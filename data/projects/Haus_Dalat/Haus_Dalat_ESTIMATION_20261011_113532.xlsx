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xmlns:r="http://schemas.openxmlformats.org/officeDocument/2006/relationships" name="00_BANG_CHAO_GIA" sheetId="1" state="visible" r:id="rId1"/>
    <sheet xmlns:r="http://schemas.openxmlformats.org/officeDocument/2006/relationships" name="00_TONG_HOP_BAO_GIA" sheetId="2" state="visible" r:id="rId2"/>
    <sheet xmlns:r="http://schemas.openxmlformats.org/officeDocument/2006/relationships" name="01_BOC_TACH_ONG" sheetId="3" state="visible" r:id="rId3"/>
    <sheet xmlns:r="http://schemas.openxmlformats.org/officeDocument/2006/relationships" name="02_BOC_TACH_CUA" sheetId="4" state="visible" r:id="rId4"/>
    <sheet xmlns:r="http://schemas.openxmlformats.org/officeDocument/2006/relationships" name="03_BOC_TACH_VAN" sheetId="5" state="visible" r:id="rId5"/>
    <sheet xmlns:r="http://schemas.openxmlformats.org/officeDocument/2006/relationships" name="05_DANH_MUC_KY_THUAT_GOC" sheetId="6" state="visible" r:id="rId6"/>
    <sheet xmlns:r="http://schemas.openxmlformats.org/officeDocument/2006/relationships" name="06_BANG_GIA_VAT_TU_AP_DUNG" sheetId="7" state="visible" r:id="rId7"/>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0" hidden="1">{"'Sheet1'!$L$16"}</definedName>
    <definedName name="________________________________________________________________a1" localSheetId="0" hidden="1">{"'Sheet1'!$L$16"}</definedName>
    <definedName name="_______________________________________________________________a1" localSheetId="0" hidden="1">{"'Sheet1'!$L$16"}</definedName>
    <definedName name="______________________________________________________________a1" localSheetId="0" hidden="1">{"'Sheet1'!$L$16"}</definedName>
    <definedName name="_____________________________________________________________a1" localSheetId="0" hidden="1">{"'Sheet1'!$L$16"}</definedName>
    <definedName name="____________________________________________________________a1" localSheetId="0" hidden="1">{"'Sheet1'!$L$16"}</definedName>
    <definedName name="___________________________________________________________a1" localSheetId="0" hidden="1">{"'Sheet1'!$L$16"}</definedName>
    <definedName name="__________________________________________________________a1" localSheetId="0" hidden="1">{"'Sheet1'!$L$16"}</definedName>
    <definedName name="_________________________________________________________a1" localSheetId="0" hidden="1">{"'Sheet1'!$L$16"}</definedName>
    <definedName name="________________________________________________________a1" localSheetId="0" hidden="1">{"'Sheet1'!$L$16"}</definedName>
    <definedName name="_______________________________________________________a1" localSheetId="0" hidden="1">{"'Sheet1'!$L$16"}</definedName>
    <definedName name="______________________________________________________a1" localSheetId="0" hidden="1">{"'Sheet1'!$L$16"}</definedName>
    <definedName name="_____________________________________________________a1" localSheetId="0" hidden="1">{"'Sheet1'!$L$16"}</definedName>
    <definedName name="____________________________________________________a1" localSheetId="0" hidden="1">{"'Sheet1'!$L$16"}</definedName>
    <definedName name="___________________________________________________a1" localSheetId="0" hidden="1">{"'Sheet1'!$L$16"}</definedName>
    <definedName name="__________________________________________________a1" localSheetId="0" hidden="1">{"'Sheet1'!$L$16"}</definedName>
    <definedName name="_________________________________________________a1" localSheetId="0" hidden="1">{"'Sheet1'!$L$16"}</definedName>
    <definedName name="________________________________________________a1" localSheetId="0" hidden="1">{"'Sheet1'!$L$16"}</definedName>
    <definedName name="_______________________________________________a1" localSheetId="0" hidden="1">{"'Sheet1'!$L$16"}</definedName>
    <definedName name="______________________________________________a1" localSheetId="0" hidden="1">{"'Sheet1'!$L$16"}</definedName>
    <definedName name="_____________________________________________a1" localSheetId="0" hidden="1">{"'Sheet1'!$L$16"}</definedName>
    <definedName name="_____________________________________________PA3" localSheetId="0" hidden="1">{"'Sheet1'!$L$16"}</definedName>
    <definedName name="____________________________________________a1" localSheetId="0" hidden="1">{"'Sheet1'!$L$16"}</definedName>
    <definedName name="____________________________________________PA3" localSheetId="0" hidden="1">{"'Sheet1'!$L$16"}</definedName>
    <definedName name="___________________________________________a1" localSheetId="0" hidden="1">{"'Sheet1'!$L$16"}</definedName>
    <definedName name="__________________________________________a1" localSheetId="0" hidden="1">{"'Sheet1'!$L$16"}</definedName>
    <definedName name="__________________________________________PA3" localSheetId="0" hidden="1">{"'Sheet1'!$L$16"}</definedName>
    <definedName name="_________________________________________a1" localSheetId="0" hidden="1">{"'Sheet1'!$L$16"}</definedName>
    <definedName name="_________________________________________PA3" localSheetId="0" hidden="1">{"'Sheet1'!$L$16"}</definedName>
    <definedName name="________________________________________a1" localSheetId="0" hidden="1">{"'Sheet1'!$L$16"}</definedName>
    <definedName name="________________________________________PA3" localSheetId="0" hidden="1">{"'Sheet1'!$L$16"}</definedName>
    <definedName name="_______________________________________a1" localSheetId="0" hidden="1">{"'Sheet1'!$L$16"}</definedName>
    <definedName name="_______________________________________PA3" localSheetId="0" hidden="1">{"'Sheet1'!$L$16"}</definedName>
    <definedName name="______________________________________a1" localSheetId="0" hidden="1">{"'Sheet1'!$L$16"}</definedName>
    <definedName name="______________________________________PA3" localSheetId="0" hidden="1">{"'Sheet1'!$L$16"}</definedName>
    <definedName name="_____________________________________a1" localSheetId="0" hidden="1">{"'Sheet1'!$L$16"}</definedName>
    <definedName name="_____________________________________PA3" localSheetId="0" hidden="1">{"'Sheet1'!$L$16"}</definedName>
    <definedName name="____________________________________a1" localSheetId="0" hidden="1">{"'Sheet1'!$L$16"}</definedName>
    <definedName name="____________________________________PA3" localSheetId="0" hidden="1">{"'Sheet1'!$L$16"}</definedName>
    <definedName name="___________________________________a1" localSheetId="0" hidden="1">{"'Sheet1'!$L$16"}</definedName>
    <definedName name="__________________________________a1" localSheetId="0" hidden="1">{"'Sheet1'!$L$16"}</definedName>
    <definedName name="__________________________________PA3" localSheetId="0" hidden="1">{"'Sheet1'!$L$16"}</definedName>
    <definedName name="__________________________________VT3" localSheetId="0" hidden="1">{"'Sheet1'!$L$16"}</definedName>
    <definedName name="_________________________________a1" localSheetId="0" hidden="1">{"'Sheet1'!$L$16"}</definedName>
    <definedName name="_________________________________NSO2" localSheetId="0" hidden="1">{"'Sheet1'!$L$16"}</definedName>
    <definedName name="_________________________________PA3" localSheetId="0" hidden="1">{"'Sheet1'!$L$16"}</definedName>
    <definedName name="________________________________a1" localSheetId="0" hidden="1">{"'Sheet1'!$L$16"}</definedName>
    <definedName name="________________________________VT3" localSheetId="0" hidden="1">{"'Sheet1'!$L$16"}</definedName>
    <definedName name="_______________________________a1" localSheetId="0" hidden="1">{"'Sheet1'!$L$16"}</definedName>
    <definedName name="_______________________________NSO2" localSheetId="0" hidden="1">{"'Sheet1'!$L$16"}</definedName>
    <definedName name="_______________________________PA3" localSheetId="0" hidden="1">{"'Sheet1'!$L$16"}</definedName>
    <definedName name="______________________________a1" localSheetId="0" hidden="1">{"'Sheet1'!$L$16"}</definedName>
    <definedName name="______________________________Goi8" localSheetId="0" hidden="1">{"'Sheet1'!$L$16"}</definedName>
    <definedName name="______________________________PA3" localSheetId="0" hidden="1">{"'Sheet1'!$L$16"}</definedName>
    <definedName name="______________________________SCL4" localSheetId="0" hidden="1">{"'Sheet1'!$L$16"}</definedName>
    <definedName name="______________________________VT3" localSheetId="0" hidden="1">{"'Sheet1'!$L$16"}</definedName>
    <definedName name="_____________________________a1" localSheetId="0" hidden="1">{"'Sheet1'!$L$16"}</definedName>
    <definedName name="_____________________________CN1" localSheetId="0" hidden="1">{"'Sheet1'!$L$16"}</definedName>
    <definedName name="_____________________________Goi8" localSheetId="0" hidden="1">{"'Sheet1'!$L$16"}</definedName>
    <definedName name="_____________________________NSO2" localSheetId="0" hidden="1">{"'Sheet1'!$L$16"}</definedName>
    <definedName name="_____________________________PA3" localSheetId="0" hidden="1">{"'Sheet1'!$L$16"}</definedName>
    <definedName name="_____________________________SCL4" localSheetId="0" hidden="1">{"'Sheet1'!$L$16"}</definedName>
    <definedName name="_____________________________VT3" localSheetId="0" hidden="1">{"'Sheet1'!$L$16"}</definedName>
    <definedName name="____________________________a1" localSheetId="0" hidden="1">{"'Sheet1'!$L$16"}</definedName>
    <definedName name="____________________________BG12" localSheetId="0" hidden="1">{"'Sheet1'!$L$16"}</definedName>
    <definedName name="____________________________CN1" localSheetId="0" hidden="1">{"'Sheet1'!$L$16"}</definedName>
    <definedName name="____________________________Goi8" localSheetId="0" hidden="1">{"'Sheet1'!$L$16"}</definedName>
    <definedName name="____________________________SCL4" localSheetId="0" hidden="1">{"'Sheet1'!$L$16"}</definedName>
    <definedName name="____________________________VT3" localSheetId="0" hidden="1">{"'Sheet1'!$L$16"}</definedName>
    <definedName name="___________________________a1" localSheetId="0" hidden="1">{"'Sheet1'!$L$16"}</definedName>
    <definedName name="___________________________BG12" localSheetId="0" hidden="1">{"'Sheet1'!$L$16"}</definedName>
    <definedName name="___________________________CN1" localSheetId="0" hidden="1">{"'Sheet1'!$L$16"}</definedName>
    <definedName name="___________________________Goi8" localSheetId="0" hidden="1">{"'Sheet1'!$L$16"}</definedName>
    <definedName name="___________________________NSO2" localSheetId="0" hidden="1">{"'Sheet1'!$L$16"}</definedName>
    <definedName name="___________________________PA3" localSheetId="0" hidden="1">{"'Sheet1'!$L$16"}</definedName>
    <definedName name="___________________________SCL4" localSheetId="0" hidden="1">{"'Sheet1'!$L$16"}</definedName>
    <definedName name="___________________________VT3" localSheetId="0" hidden="1">{"'Sheet1'!$L$16"}</definedName>
    <definedName name="__________________________a1" localSheetId="0" hidden="1">{"'Sheet1'!$L$16"}</definedName>
    <definedName name="__________________________BG12" localSheetId="0" hidden="1">{"'Sheet1'!$L$16"}</definedName>
    <definedName name="__________________________CN1" localSheetId="0" hidden="1">{"'Sheet1'!$L$16"}</definedName>
    <definedName name="__________________________Goi8" localSheetId="0" hidden="1">{"'Sheet1'!$L$16"}</definedName>
    <definedName name="__________________________PA3" localSheetId="0" hidden="1">{"'Sheet1'!$L$16"}</definedName>
    <definedName name="__________________________SCL4" localSheetId="0" hidden="1">{"'Sheet1'!$L$16"}</definedName>
    <definedName name="__________________________tt3" localSheetId="0" hidden="1">{"'Sheet1'!$L$16"}</definedName>
    <definedName name="__________________________VT3" localSheetId="0" hidden="1">{"'Sheet1'!$L$16"}</definedName>
    <definedName name="_________________________a1" localSheetId="0" hidden="1">{"'Sheet1'!$L$16"}</definedName>
    <definedName name="_________________________BG12" localSheetId="0" hidden="1">{"'Sheet1'!$L$16"}</definedName>
    <definedName name="_________________________CN1" localSheetId="0" hidden="1">{"'Sheet1'!$L$16"}</definedName>
    <definedName name="_________________________Goi8" localSheetId="0" hidden="1">{"'Sheet1'!$L$16"}</definedName>
    <definedName name="_________________________NSO2" localSheetId="0" hidden="1">{"'Sheet1'!$L$16"}</definedName>
    <definedName name="_________________________PA3" localSheetId="0" hidden="1">{"'Sheet1'!$L$16"}</definedName>
    <definedName name="_________________________SCL4" localSheetId="0" hidden="1">{"'Sheet1'!$L$16"}</definedName>
    <definedName name="_________________________VT3" localSheetId="0" hidden="1">{"'Sheet1'!$L$16"}</definedName>
    <definedName name="________________________a1" localSheetId="0" hidden="1">{"'Sheet1'!$L$16"}</definedName>
    <definedName name="________________________BG12" localSheetId="0" hidden="1">{"'Sheet1'!$L$16"}</definedName>
    <definedName name="________________________CN1" localSheetId="0" hidden="1">{"'Sheet1'!$L$16"}</definedName>
    <definedName name="________________________Goi8" localSheetId="0" hidden="1">{"'Sheet1'!$L$16"}</definedName>
    <definedName name="________________________PA3" localSheetId="0" hidden="1">{"'Sheet1'!$L$16"}</definedName>
    <definedName name="________________________SCL4" localSheetId="0" hidden="1">{"'Sheet1'!$L$16"}</definedName>
    <definedName name="________________________tt3" localSheetId="0" hidden="1">{"'Sheet1'!$L$16"}</definedName>
    <definedName name="________________________VT3" localSheetId="0" hidden="1">{"'Sheet1'!$L$16"}</definedName>
    <definedName name="_______________________a1" localSheetId="0" hidden="1">{"'Sheet1'!$L$16"}</definedName>
    <definedName name="_______________________BG12" localSheetId="0" hidden="1">{"'Sheet1'!$L$16"}</definedName>
    <definedName name="_______________________CN1" localSheetId="0" hidden="1">{"'Sheet1'!$L$16"}</definedName>
    <definedName name="_______________________Goi8" localSheetId="0" hidden="1">{"'Sheet1'!$L$16"}</definedName>
    <definedName name="_______________________NSO2" localSheetId="0" hidden="1">{"'Sheet1'!$L$16"}</definedName>
    <definedName name="_______________________PA3" localSheetId="0" hidden="1">{"'Sheet1'!$L$16"}</definedName>
    <definedName name="_______________________SCL4" localSheetId="0" hidden="1">{"'Sheet1'!$L$16"}</definedName>
    <definedName name="_______________________VT3" localSheetId="0" hidden="1">{"'Sheet1'!$L$16"}</definedName>
    <definedName name="______________________a1" localSheetId="0" hidden="1">{"'Sheet1'!$L$16"}</definedName>
    <definedName name="______________________BG12" localSheetId="0" hidden="1">{"'Sheet1'!$L$16"}</definedName>
    <definedName name="______________________CN1" localSheetId="0" hidden="1">{"'Sheet1'!$L$16"}</definedName>
    <definedName name="______________________Goi8" localSheetId="0" hidden="1">{"'Sheet1'!$L$16"}</definedName>
    <definedName name="______________________PA3" localSheetId="0" hidden="1">{"'Sheet1'!$L$16"}</definedName>
    <definedName name="______________________SCL4" localSheetId="0" hidden="1">{"'Sheet1'!$L$16"}</definedName>
    <definedName name="______________________tt3" localSheetId="0" hidden="1">{"'Sheet1'!$L$16"}</definedName>
    <definedName name="______________________VT3" localSheetId="0" hidden="1">{"'Sheet1'!$L$16"}</definedName>
    <definedName name="_____________________a1" localSheetId="0" hidden="1">{"'Sheet1'!$L$16"}</definedName>
    <definedName name="_____________________BG12" localSheetId="0" hidden="1">{"'Sheet1'!$L$16"}</definedName>
    <definedName name="_____________________CN1" localSheetId="0" hidden="1">{"'Sheet1'!$L$16"}</definedName>
    <definedName name="_____________________Goi8" localSheetId="0" hidden="1">{"'Sheet1'!$L$16"}</definedName>
    <definedName name="_____________________NSO2" localSheetId="0" hidden="1">{"'Sheet1'!$L$16"}</definedName>
    <definedName name="_____________________PA3" localSheetId="0" hidden="1">{"'Sheet1'!$L$16"}</definedName>
    <definedName name="_____________________SCL4" localSheetId="0" hidden="1">{"'Sheet1'!$L$16"}</definedName>
    <definedName name="_____________________VT3" localSheetId="0" hidden="1">{"'Sheet1'!$L$16"}</definedName>
    <definedName name="____________________a1" localSheetId="0" hidden="1">{"'Sheet1'!$L$16"}</definedName>
    <definedName name="____________________BG12" localSheetId="0" hidden="1">{"'Sheet1'!$L$16"}</definedName>
    <definedName name="____________________CN1" localSheetId="0" hidden="1">{"'Sheet1'!$L$16"}</definedName>
    <definedName name="____________________Goi8" localSheetId="0" hidden="1">{"'Sheet1'!$L$16"}</definedName>
    <definedName name="____________________m4" localSheetId="0" hidden="1">{"'Sheet1'!$L$16"}</definedName>
    <definedName name="____________________PA3" localSheetId="0" hidden="1">{"'Sheet1'!$L$16"}</definedName>
    <definedName name="____________________SCL4" localSheetId="0" hidden="1">{"'Sheet1'!$L$16"}</definedName>
    <definedName name="____________________tt3" localSheetId="0" hidden="1">{"'Sheet1'!$L$16"}</definedName>
    <definedName name="____________________VT3" localSheetId="0" hidden="1">{"'Sheet1'!$L$16"}</definedName>
    <definedName name="___________________a1" localSheetId="0" hidden="1">{"'Sheet1'!$L$16"}</definedName>
    <definedName name="___________________a1_1" localSheetId="0" hidden="1">{"'Sheet1'!$L$16"}</definedName>
    <definedName name="___________________BG12" localSheetId="0" hidden="1">{"'Sheet1'!$L$16"}</definedName>
    <definedName name="___________________CN1" localSheetId="0" hidden="1">{"'Sheet1'!$L$16"}</definedName>
    <definedName name="___________________Goi8" localSheetId="0" hidden="1">{"'Sheet1'!$L$16"}</definedName>
    <definedName name="___________________Goi8_1" localSheetId="0" hidden="1">{"'Sheet1'!$L$16"}</definedName>
    <definedName name="___________________m4" localSheetId="0" hidden="1">{"'Sheet1'!$L$16"}</definedName>
    <definedName name="___________________NSO2" localSheetId="0" hidden="1">{"'Sheet1'!$L$16"}</definedName>
    <definedName name="___________________PA3" localSheetId="0" hidden="1">{"'Sheet1'!$L$16"}</definedName>
    <definedName name="___________________SCL4" localSheetId="0" hidden="1">{"'Sheet1'!$L$16"}</definedName>
    <definedName name="___________________SCL4_1" localSheetId="0" hidden="1">{"'Sheet1'!$L$16"}</definedName>
    <definedName name="___________________VT3" localSheetId="0" hidden="1">{"'Sheet1'!$L$16"}</definedName>
    <definedName name="__________________a1" localSheetId="0" hidden="1">{"'Sheet1'!$L$16"}</definedName>
    <definedName name="__________________BG12" localSheetId="0" hidden="1">{"'Sheet1'!$L$16"}</definedName>
    <definedName name="__________________CN1" localSheetId="0" hidden="1">{"'Sheet1'!$L$16"}</definedName>
    <definedName name="__________________DT10" localSheetId="0" hidden="1">{"'Sheet1'!$L$16"}</definedName>
    <definedName name="__________________Goi8" localSheetId="0" hidden="1">{"'Sheet1'!$L$16"}</definedName>
    <definedName name="__________________h1" localSheetId="0" hidden="1">{"'Sheet1'!$L$16"}</definedName>
    <definedName name="__________________hu1" localSheetId="0" hidden="1">{"'Sheet1'!$L$16"}</definedName>
    <definedName name="__________________hu2" localSheetId="0" hidden="1">{"'Sheet1'!$L$16"}</definedName>
    <definedName name="__________________hu5" localSheetId="0" hidden="1">{"'Sheet1'!$L$16"}</definedName>
    <definedName name="__________________hu6" localSheetId="0" hidden="1">{"'Sheet1'!$L$16"}</definedName>
    <definedName name="__________________hu7" localSheetId="0" hidden="1">{"'Sheet1'!$L$16"}</definedName>
    <definedName name="__________________LAN3" localSheetId="0" hidden="1">{"'Sheet1'!$L$16"}</definedName>
    <definedName name="__________________m4" localSheetId="0" hidden="1">{"'Sheet1'!$L$16"}</definedName>
    <definedName name="__________________NSO2" localSheetId="0" hidden="1">{"'Sheet1'!$L$16"}</definedName>
    <definedName name="__________________PA3" localSheetId="0" hidden="1">{"'Sheet1'!$L$16"}</definedName>
    <definedName name="__________________SCL4" localSheetId="0" hidden="1">{"'Sheet1'!$L$16"}</definedName>
    <definedName name="__________________T10" localSheetId="0" hidden="1">{"'Sheet1'!$L$16"}</definedName>
    <definedName name="__________________TM2" localSheetId="0" hidden="1">{"'Sheet1'!$L$16"}</definedName>
    <definedName name="__________________tt3" localSheetId="0" hidden="1">{"'Sheet1'!$L$16"}</definedName>
    <definedName name="__________________VT3" localSheetId="0" hidden="1">{"'Sheet1'!$L$16"}</definedName>
    <definedName name="_________________a1" localSheetId="0" hidden="1">{"'Sheet1'!$L$16"}</definedName>
    <definedName name="_________________a1_1" localSheetId="0" hidden="1">{"'Sheet1'!$L$16"}</definedName>
    <definedName name="_________________BG12" localSheetId="0" hidden="1">{"'Sheet1'!$L$16"}</definedName>
    <definedName name="_________________CN1" localSheetId="0" hidden="1">{"'Sheet1'!$L$16"}</definedName>
    <definedName name="_________________DT10" localSheetId="0" hidden="1">{"'Sheet1'!$L$16"}</definedName>
    <definedName name="_________________Goi8" localSheetId="0" hidden="1">{"'Sheet1'!$L$16"}</definedName>
    <definedName name="_________________Goi8_1" localSheetId="0" hidden="1">{"'Sheet1'!$L$16"}</definedName>
    <definedName name="_________________h1" localSheetId="0" hidden="1">{"'Sheet1'!$L$16"}</definedName>
    <definedName name="_________________hu1" localSheetId="0" hidden="1">{"'Sheet1'!$L$16"}</definedName>
    <definedName name="_________________hu2" localSheetId="0" hidden="1">{"'Sheet1'!$L$16"}</definedName>
    <definedName name="_________________hu5" localSheetId="0" hidden="1">{"'Sheet1'!$L$16"}</definedName>
    <definedName name="_________________hu6" localSheetId="0" hidden="1">{"'Sheet1'!$L$16"}</definedName>
    <definedName name="_________________hu7" localSheetId="0" hidden="1">{"'Sheet1'!$L$16"}</definedName>
    <definedName name="_________________Lan1" localSheetId="0" hidden="1">{"'Sheet1'!$L$16"}</definedName>
    <definedName name="_________________LAN3" localSheetId="0" hidden="1">{"'Sheet1'!$L$16"}</definedName>
    <definedName name="_________________m4" localSheetId="0" hidden="1">{"'Sheet1'!$L$16"}</definedName>
    <definedName name="_________________NSO2" localSheetId="0" hidden="1">{"'Sheet1'!$L$16"}</definedName>
    <definedName name="_________________PA3" localSheetId="0" hidden="1">{"'Sheet1'!$L$16"}</definedName>
    <definedName name="_________________SCL4" localSheetId="0" hidden="1">{"'Sheet1'!$L$16"}</definedName>
    <definedName name="_________________SCL4_1" localSheetId="0" hidden="1">{"'Sheet1'!$L$16"}</definedName>
    <definedName name="_________________T10" localSheetId="0" hidden="1">{"'Sheet1'!$L$16"}</definedName>
    <definedName name="_________________TM2" localSheetId="0" hidden="1">{"'Sheet1'!$L$16"}</definedName>
    <definedName name="_________________TH1" localSheetId="0" hidden="1">{"'Sheet1'!$L$16"}</definedName>
    <definedName name="_________________VT3" localSheetId="0" hidden="1">{"'Sheet1'!$L$16"}</definedName>
    <definedName name="________________a1" localSheetId="0" hidden="1">{"'Sheet1'!$L$16"}</definedName>
    <definedName name="________________BG12" localSheetId="0" hidden="1">{"'Sheet1'!$L$16"}</definedName>
    <definedName name="________________CN1" localSheetId="0" hidden="1">{"'Sheet1'!$L$16"}</definedName>
    <definedName name="________________DT10" localSheetId="0" hidden="1">{"'Sheet1'!$L$16"}</definedName>
    <definedName name="________________Goi8" localSheetId="0" hidden="1">{"'Sheet1'!$L$16"}</definedName>
    <definedName name="________________h1" localSheetId="0" hidden="1">{"'Sheet1'!$L$16"}</definedName>
    <definedName name="________________hu1" localSheetId="0" hidden="1">{"'Sheet1'!$L$16"}</definedName>
    <definedName name="________________hu2" localSheetId="0" hidden="1">{"'Sheet1'!$L$16"}</definedName>
    <definedName name="________________hu5" localSheetId="0" hidden="1">{"'Sheet1'!$L$16"}</definedName>
    <definedName name="________________hu6" localSheetId="0" hidden="1">{"'Sheet1'!$L$16"}</definedName>
    <definedName name="________________hu7" localSheetId="0" hidden="1">{"'Sheet1'!$L$16"}</definedName>
    <definedName name="________________Lan1" localSheetId="0" hidden="1">{"'Sheet1'!$L$16"}</definedName>
    <definedName name="________________LAN3" localSheetId="0" hidden="1">{"'Sheet1'!$L$16"}</definedName>
    <definedName name="________________m4" localSheetId="0" hidden="1">{"'Sheet1'!$L$16"}</definedName>
    <definedName name="________________NSO2" localSheetId="0" hidden="1">{"'Sheet1'!$L$16"}</definedName>
    <definedName name="________________P3" localSheetId="0" hidden="1">{#N/A,#N/A,FALSE,"特殊室（ＢＱ表）"}</definedName>
    <definedName name="________________PA3" localSheetId="0" hidden="1">{"'Sheet1'!$L$16"}</definedName>
    <definedName name="________________PPP3" localSheetId="0" hidden="1">{#N/A,#N/A,FALSE,"特殊室（ＢＱ表）"}</definedName>
    <definedName name="________________PPP33" localSheetId="0" hidden="1">{#N/A,#N/A,FALSE,"特殊室（ＢＱ表）"}</definedName>
    <definedName name="________________ppp34" localSheetId="0" hidden="1">{#N/A,#N/A,FALSE,"特殊室（ＢＱ表）"}</definedName>
    <definedName name="________________ppp3444" localSheetId="0" hidden="1">{#N/A,#N/A,FALSE,"特殊室（ＢＱ表）"}</definedName>
    <definedName name="________________SCL4" localSheetId="0" hidden="1">{"'Sheet1'!$L$16"}</definedName>
    <definedName name="________________T10" localSheetId="0" hidden="1">{"'Sheet1'!$L$16"}</definedName>
    <definedName name="________________TM2" localSheetId="0" hidden="1">{"'Sheet1'!$L$16"}</definedName>
    <definedName name="________________tt3" localSheetId="0" hidden="1">{"'Sheet1'!$L$16"}</definedName>
    <definedName name="________________TH1" localSheetId="0" hidden="1">{"'Sheet1'!$L$16"}</definedName>
    <definedName name="________________THT11" localSheetId="0" hidden="1">{"'Sheet1'!$L$16"}</definedName>
    <definedName name="________________VT3" localSheetId="0" hidden="1">{"'Sheet1'!$L$16"}</definedName>
    <definedName name="_______________a1" localSheetId="0" hidden="1">{"'Sheet1'!$L$16"}</definedName>
    <definedName name="_______________a129" localSheetId="0"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BG12" localSheetId="0" hidden="1">{"'Sheet1'!$L$16"}</definedName>
    <definedName name="_______________CN1" localSheetId="0" hidden="1">{"'Sheet1'!$L$16"}</definedName>
    <definedName name="_______________DT10" localSheetId="0" hidden="1">{"'Sheet1'!$L$16"}</definedName>
    <definedName name="_______________Goi8" localSheetId="0" hidden="1">{"'Sheet1'!$L$16"}</definedName>
    <definedName name="_______________h1" localSheetId="0" hidden="1">{"'Sheet1'!$L$16"}</definedName>
    <definedName name="_______________hu1" localSheetId="0" hidden="1">{"'Sheet1'!$L$16"}</definedName>
    <definedName name="_______________hu2" localSheetId="0" hidden="1">{"'Sheet1'!$L$16"}</definedName>
    <definedName name="_______________hu5" localSheetId="0" hidden="1">{"'Sheet1'!$L$16"}</definedName>
    <definedName name="_______________hu6" localSheetId="0" hidden="1">{"'Sheet1'!$L$16"}</definedName>
    <definedName name="_______________hu7" localSheetId="0" hidden="1">{"'Sheet1'!$L$16"}</definedName>
    <definedName name="_______________Lan1" localSheetId="0" hidden="1">{"'Sheet1'!$L$16"}</definedName>
    <definedName name="_______________LAN3" localSheetId="0" hidden="1">{"'Sheet1'!$L$16"}</definedName>
    <definedName name="_______________m4" localSheetId="0" hidden="1">{"'Sheet1'!$L$16"}</definedName>
    <definedName name="_______________NSO2" localSheetId="0" hidden="1">{"'Sheet1'!$L$16"}</definedName>
    <definedName name="_______________ngk1109" localSheetId="0" hidden="1">{#N/A,#N/A,FALSE,"估價單  (3)"}</definedName>
    <definedName name="_______________P3" localSheetId="0" hidden="1">{#N/A,#N/A,FALSE,"特殊室（ＢＱ表）"}</definedName>
    <definedName name="_______________PA3" localSheetId="0" hidden="1">{"'Sheet1'!$L$16"}</definedName>
    <definedName name="_______________PPP3" localSheetId="0" hidden="1">{#N/A,#N/A,FALSE,"特殊室（ＢＱ表）"}</definedName>
    <definedName name="_______________PPP33" localSheetId="0" hidden="1">{#N/A,#N/A,FALSE,"特殊室（ＢＱ表）"}</definedName>
    <definedName name="_______________ppp34" localSheetId="0" hidden="1">{#N/A,#N/A,FALSE,"特殊室（ＢＱ表）"}</definedName>
    <definedName name="_______________ppp3444" localSheetId="0" hidden="1">{#N/A,#N/A,FALSE,"特殊室（ＢＱ表）"}</definedName>
    <definedName name="_______________SCL4" localSheetId="0" hidden="1">{"'Sheet1'!$L$16"}</definedName>
    <definedName name="_______________T10" localSheetId="0" hidden="1">{"'Sheet1'!$L$16"}</definedName>
    <definedName name="_______________TM2" localSheetId="0" hidden="1">{"'Sheet1'!$L$16"}</definedName>
    <definedName name="_______________tt3" localSheetId="0" hidden="1">{"'Sheet1'!$L$16"}</definedName>
    <definedName name="_______________TV2" localSheetId="0" hidden="1">{"'Sheet1'!$L$16"}</definedName>
    <definedName name="_______________TH1" localSheetId="0" hidden="1">{"'Sheet1'!$L$16"}</definedName>
    <definedName name="_______________THT11" localSheetId="0" hidden="1">{"'Sheet1'!$L$16"}</definedName>
    <definedName name="_______________VT3" localSheetId="0" hidden="1">{"'Sheet1'!$L$16"}</definedName>
    <definedName name="______________a1" localSheetId="0" hidden="1">{"'Sheet1'!$L$16"}</definedName>
    <definedName name="______________a1_1" localSheetId="0" hidden="1">{"'Sheet1'!$L$16"}</definedName>
    <definedName name="______________a129" localSheetId="0"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BG12" localSheetId="0" hidden="1">{"'Sheet1'!$L$16"}</definedName>
    <definedName name="______________CN1" localSheetId="0" hidden="1">{"'Sheet1'!$L$16"}</definedName>
    <definedName name="______________DT10" localSheetId="0" hidden="1">{"'Sheet1'!$L$16"}</definedName>
    <definedName name="______________Goi8" localSheetId="0" hidden="1">{"'Sheet1'!$L$16"}</definedName>
    <definedName name="______________Goi8_1" localSheetId="0" hidden="1">{"'Sheet1'!$L$16"}</definedName>
    <definedName name="______________h1" localSheetId="0" hidden="1">{"'Sheet1'!$L$16"}</definedName>
    <definedName name="______________hu1" localSheetId="0" hidden="1">{"'Sheet1'!$L$16"}</definedName>
    <definedName name="______________hu2" localSheetId="0" hidden="1">{"'Sheet1'!$L$16"}</definedName>
    <definedName name="______________hu5" localSheetId="0" hidden="1">{"'Sheet1'!$L$16"}</definedName>
    <definedName name="______________hu6" localSheetId="0" hidden="1">{"'Sheet1'!$L$16"}</definedName>
    <definedName name="______________hu7" localSheetId="0" hidden="1">{"'Sheet1'!$L$16"}</definedName>
    <definedName name="______________Lan1" localSheetId="0" hidden="1">{"'Sheet1'!$L$16"}</definedName>
    <definedName name="______________LAN3" localSheetId="0" hidden="1">{"'Sheet1'!$L$16"}</definedName>
    <definedName name="______________NSO2" localSheetId="0" hidden="1">{"'Sheet1'!$L$16"}</definedName>
    <definedName name="______________ngk1109" localSheetId="0" hidden="1">{#N/A,#N/A,FALSE,"估價單  (3)"}</definedName>
    <definedName name="______________P3" localSheetId="0" hidden="1">{#N/A,#N/A,FALSE,"特殊室（ＢＱ表）"}</definedName>
    <definedName name="______________PA3" localSheetId="0" hidden="1">{"'Sheet1'!$L$16"}</definedName>
    <definedName name="______________PPP3" localSheetId="0" hidden="1">{#N/A,#N/A,FALSE,"特殊室（ＢＱ表）"}</definedName>
    <definedName name="______________PPP33" localSheetId="0" hidden="1">{#N/A,#N/A,FALSE,"特殊室（ＢＱ表）"}</definedName>
    <definedName name="______________ppp34" localSheetId="0" hidden="1">{#N/A,#N/A,FALSE,"特殊室（ＢＱ表）"}</definedName>
    <definedName name="______________ppp3444" localSheetId="0" hidden="1">{#N/A,#N/A,FALSE,"特殊室（ＢＱ表）"}</definedName>
    <definedName name="______________SCL4" localSheetId="0" hidden="1">{"'Sheet1'!$L$16"}</definedName>
    <definedName name="______________SCL4_1" localSheetId="0" hidden="1">{"'Sheet1'!$L$16"}</definedName>
    <definedName name="______________T10" localSheetId="0" hidden="1">{"'Sheet1'!$L$16"}</definedName>
    <definedName name="______________TM2" localSheetId="0" hidden="1">{"'Sheet1'!$L$16"}</definedName>
    <definedName name="______________tu4" localSheetId="0" hidden="1">{"'Sheet1'!$L$16"}</definedName>
    <definedName name="______________TV2" localSheetId="0" hidden="1">{"'Sheet1'!$L$16"}</definedName>
    <definedName name="______________TH1" localSheetId="0" hidden="1">{"'Sheet1'!$L$16"}</definedName>
    <definedName name="______________THT11" localSheetId="0" hidden="1">{"'Sheet1'!$L$16"}</definedName>
    <definedName name="______________VT3" localSheetId="0" hidden="1">{"'Sheet1'!$L$16"}</definedName>
    <definedName name="_____________a1" localSheetId="0" hidden="1">{"'Sheet1'!$L$16"}</definedName>
    <definedName name="_____________a1_1" localSheetId="0" hidden="1">{"'Sheet1'!$L$16"}</definedName>
    <definedName name="_____________a129" localSheetId="0"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BG12" localSheetId="0" hidden="1">{"'Sheet1'!$L$16"}</definedName>
    <definedName name="_____________CN1" localSheetId="0" hidden="1">{"'Sheet1'!$L$16"}</definedName>
    <definedName name="_____________DT10" localSheetId="0" hidden="1">{"'Sheet1'!$L$16"}</definedName>
    <definedName name="_____________Goi8" localSheetId="0" hidden="1">{"'Sheet1'!$L$16"}</definedName>
    <definedName name="_____________Goi8_1" localSheetId="0" hidden="1">{"'Sheet1'!$L$16"}</definedName>
    <definedName name="_____________h1" localSheetId="0" hidden="1">{"'Sheet1'!$L$16"}</definedName>
    <definedName name="_____________hu1" localSheetId="0" hidden="1">{"'Sheet1'!$L$16"}</definedName>
    <definedName name="_____________hu2" localSheetId="0" hidden="1">{"'Sheet1'!$L$16"}</definedName>
    <definedName name="_____________hu5" localSheetId="0" hidden="1">{"'Sheet1'!$L$16"}</definedName>
    <definedName name="_____________hu6" localSheetId="0" hidden="1">{"'Sheet1'!$L$16"}</definedName>
    <definedName name="_____________hu7" localSheetId="0" hidden="1">{"'Sheet1'!$L$16"}</definedName>
    <definedName name="_____________Lan1" localSheetId="0" hidden="1">{"'Sheet1'!$L$16"}</definedName>
    <definedName name="_____________LAN3" localSheetId="0" hidden="1">{"'Sheet1'!$L$16"}</definedName>
    <definedName name="_____________lop111" localSheetId="0" hidden="1">{#N/A,#N/A,FALSE,"特殊室（ＢＱ表）"}</definedName>
    <definedName name="_____________m4" localSheetId="0" hidden="1">{"'Sheet1'!$L$16"}</definedName>
    <definedName name="_____________NSO2" localSheetId="0" hidden="1">{"'Sheet1'!$L$16"}</definedName>
    <definedName name="_____________ngk1109" localSheetId="0" hidden="1">{#N/A,#N/A,FALSE,"估價單  (3)"}</definedName>
    <definedName name="_____________P3" localSheetId="0" hidden="1">{#N/A,#N/A,FALSE,"特殊室（ＢＱ表）"}</definedName>
    <definedName name="_____________PA3" localSheetId="0" hidden="1">{"'Sheet1'!$L$16"}</definedName>
    <definedName name="_____________PPP3" localSheetId="0" hidden="1">{#N/A,#N/A,FALSE,"特殊室（ＢＱ表）"}</definedName>
    <definedName name="_____________PPP33" localSheetId="0" hidden="1">{#N/A,#N/A,FALSE,"特殊室（ＢＱ表）"}</definedName>
    <definedName name="_____________ppp34" localSheetId="0" hidden="1">{#N/A,#N/A,FALSE,"特殊室（ＢＱ表）"}</definedName>
    <definedName name="_____________ppp3444" localSheetId="0" hidden="1">{#N/A,#N/A,FALSE,"特殊室（ＢＱ表）"}</definedName>
    <definedName name="_____________SCL4" localSheetId="0" hidden="1">{"'Sheet1'!$L$16"}</definedName>
    <definedName name="_____________SCL4_1" localSheetId="0" hidden="1">{"'Sheet1'!$L$16"}</definedName>
    <definedName name="_____________T10" localSheetId="0" hidden="1">{"'Sheet1'!$L$16"}</definedName>
    <definedName name="_____________TM2" localSheetId="0" hidden="1">{"'Sheet1'!$L$16"}</definedName>
    <definedName name="_____________tt3" localSheetId="0" hidden="1">{"'Sheet1'!$L$16"}</definedName>
    <definedName name="_____________tu4" localSheetId="0" hidden="1">{"'Sheet1'!$L$16"}</definedName>
    <definedName name="_____________TV2" localSheetId="0" hidden="1">{"'Sheet1'!$L$16"}</definedName>
    <definedName name="_____________TH1" localSheetId="0" hidden="1">{"'Sheet1'!$L$16"}</definedName>
    <definedName name="_____________THT11" localSheetId="0" hidden="1">{"'Sheet1'!$L$16"}</definedName>
    <definedName name="_____________VT3" localSheetId="0" hidden="1">{"'Sheet1'!$L$16"}</definedName>
    <definedName name="____________a1" localSheetId="0" hidden="1">{"'Sheet1'!$L$16"}</definedName>
    <definedName name="____________a1_1" localSheetId="0" hidden="1">{"'Sheet1'!$L$16"}</definedName>
    <definedName name="____________a129" localSheetId="0"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BG12" localSheetId="0" hidden="1">{"'Sheet1'!$L$16"}</definedName>
    <definedName name="____________CN1" localSheetId="0" hidden="1">{"'Sheet1'!$L$16"}</definedName>
    <definedName name="____________DT10" localSheetId="0" hidden="1">{"'Sheet1'!$L$16"}</definedName>
    <definedName name="____________Goi8" localSheetId="0" hidden="1">{"'Sheet1'!$L$16"}</definedName>
    <definedName name="____________Goi8_1" localSheetId="0" hidden="1">{"'Sheet1'!$L$16"}</definedName>
    <definedName name="____________Lan1" localSheetId="0" hidden="1">{"'Sheet1'!$L$16"}</definedName>
    <definedName name="____________LAN3" localSheetId="0" hidden="1">{"'Sheet1'!$L$16"}</definedName>
    <definedName name="____________lop111" localSheetId="0" hidden="1">{#N/A,#N/A,FALSE,"特殊室（ＢＱ表）"}</definedName>
    <definedName name="____________m4" localSheetId="0" hidden="1">{"'Sheet1'!$L$16"}</definedName>
    <definedName name="____________NSO2" localSheetId="0" hidden="1">{"'Sheet1'!$L$16"}</definedName>
    <definedName name="____________ngk1109" localSheetId="0" hidden="1">{#N/A,#N/A,FALSE,"估價單  (3)"}</definedName>
    <definedName name="____________P3" localSheetId="0" hidden="1">{#N/A,#N/A,FALSE,"特殊室（ＢＱ表）"}</definedName>
    <definedName name="____________PA3" localSheetId="0" hidden="1">{"'Sheet1'!$L$16"}</definedName>
    <definedName name="____________PPP3" localSheetId="0" hidden="1">{#N/A,#N/A,FALSE,"特殊室（ＢＱ表）"}</definedName>
    <definedName name="____________PPP33" localSheetId="0" hidden="1">{#N/A,#N/A,FALSE,"特殊室（ＢＱ表）"}</definedName>
    <definedName name="____________ppp34" localSheetId="0" hidden="1">{#N/A,#N/A,FALSE,"特殊室（ＢＱ表）"}</definedName>
    <definedName name="____________ppp3444" localSheetId="0" hidden="1">{#N/A,#N/A,FALSE,"特殊室（ＢＱ表）"}</definedName>
    <definedName name="____________SCL4" localSheetId="0" hidden="1">{"'Sheet1'!$L$16"}</definedName>
    <definedName name="____________SCL4_1" localSheetId="0" hidden="1">{"'Sheet1'!$L$16"}</definedName>
    <definedName name="____________T3" localSheetId="0" hidden="1">{"'Sheet1'!$L$16"}</definedName>
    <definedName name="____________TM2" localSheetId="0" hidden="1">{"'Sheet1'!$L$16"}</definedName>
    <definedName name="____________tt3" localSheetId="0" hidden="1">{"'Sheet1'!$L$16"}</definedName>
    <definedName name="____________tu4" localSheetId="0" hidden="1">{"'Sheet1'!$L$16"}</definedName>
    <definedName name="____________TV2" localSheetId="0" hidden="1">{"'Sheet1'!$L$16"}</definedName>
    <definedName name="____________TH1" localSheetId="0" hidden="1">{"'Sheet1'!$L$16"}</definedName>
    <definedName name="____________THT11" localSheetId="0" hidden="1">{"'Sheet1'!$L$16"}</definedName>
    <definedName name="____________VT3" localSheetId="0" hidden="1">{"'Sheet1'!$L$16"}</definedName>
    <definedName name="___________a1" localSheetId="0" hidden="1">{"'Sheet1'!$L$16"}</definedName>
    <definedName name="___________a1_1" localSheetId="0" hidden="1">{"'Sheet1'!$L$16"}</definedName>
    <definedName name="___________a129" localSheetId="0"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2" localSheetId="0" hidden="1">{"'Sheet1'!$L$16"}</definedName>
    <definedName name="___________BG12" localSheetId="0" hidden="1">{"'Sheet1'!$L$16"}</definedName>
    <definedName name="___________CN1" localSheetId="0" hidden="1">{"'Sheet1'!$L$16"}</definedName>
    <definedName name="___________DT10" localSheetId="0" hidden="1">{"'Sheet1'!$L$16"}</definedName>
    <definedName name="___________Goi8" localSheetId="0" hidden="1">{"'Sheet1'!$L$16"}</definedName>
    <definedName name="___________Goi8_1" localSheetId="0" hidden="1">{"'Sheet1'!$L$16"}</definedName>
    <definedName name="___________h1" localSheetId="0" hidden="1">{"'Sheet1'!$L$16"}</definedName>
    <definedName name="___________hu1" localSheetId="0" hidden="1">{"'Sheet1'!$L$16"}</definedName>
    <definedName name="___________hu2" localSheetId="0" hidden="1">{"'Sheet1'!$L$16"}</definedName>
    <definedName name="___________hu5" localSheetId="0" hidden="1">{"'Sheet1'!$L$16"}</definedName>
    <definedName name="___________hu6" localSheetId="0" hidden="1">{"'Sheet1'!$L$16"}</definedName>
    <definedName name="___________hu7" localSheetId="0" hidden="1">{"'Sheet1'!$L$16"}</definedName>
    <definedName name="___________LAN3" localSheetId="0" hidden="1">{"'Sheet1'!$L$16"}</definedName>
    <definedName name="___________lop111" localSheetId="0" hidden="1">{#N/A,#N/A,FALSE,"特殊室（ＢＱ表）"}</definedName>
    <definedName name="___________m4" localSheetId="0" hidden="1">{"'Sheet1'!$L$16"}</definedName>
    <definedName name="___________NSO2" localSheetId="0" hidden="1">{"'Sheet1'!$L$16"}</definedName>
    <definedName name="___________ngk1109" localSheetId="0" hidden="1">{#N/A,#N/A,FALSE,"估價單  (3)"}</definedName>
    <definedName name="___________P3" localSheetId="0" hidden="1">{#N/A,#N/A,FALSE,"特殊室（ＢＱ表）"}</definedName>
    <definedName name="___________PA3" localSheetId="0" hidden="1">{"'Sheet1'!$L$16"}</definedName>
    <definedName name="___________PPP3" localSheetId="0" hidden="1">{#N/A,#N/A,FALSE,"特殊室（ＢＱ表）"}</definedName>
    <definedName name="___________PPP33" localSheetId="0" hidden="1">{#N/A,#N/A,FALSE,"特殊室（ＢＱ表）"}</definedName>
    <definedName name="___________ppp34" localSheetId="0" hidden="1">{#N/A,#N/A,FALSE,"特殊室（ＢＱ表）"}</definedName>
    <definedName name="___________ppp3444" localSheetId="0" hidden="1">{#N/A,#N/A,FALSE,"特殊室（ＢＱ表）"}</definedName>
    <definedName name="___________SCL4" localSheetId="0" hidden="1">{"'Sheet1'!$L$16"}</definedName>
    <definedName name="___________SCL4_1" localSheetId="0" hidden="1">{"'Sheet1'!$L$16"}</definedName>
    <definedName name="___________T10" localSheetId="0" hidden="1">{"'Sheet1'!$L$16"}</definedName>
    <definedName name="___________TM2" localSheetId="0" hidden="1">{"'Sheet1'!$L$16"}</definedName>
    <definedName name="___________tt3" localSheetId="0" hidden="1">{"'Sheet1'!$L$16"}</definedName>
    <definedName name="___________tu4" localSheetId="0" hidden="1">{"'Sheet1'!$L$16"}</definedName>
    <definedName name="___________TV2" localSheetId="0" hidden="1">{"'Sheet1'!$L$16"}</definedName>
    <definedName name="___________THT11" localSheetId="0" hidden="1">{"'Sheet1'!$L$16"}</definedName>
    <definedName name="___________VT3" localSheetId="0" hidden="1">{"'Sheet1'!$L$16"}</definedName>
    <definedName name="__________a1" localSheetId="0" hidden="1">{"'Sheet1'!$L$16"}</definedName>
    <definedName name="__________a1_1" localSheetId="0" hidden="1">{"'Sheet1'!$L$16"}</definedName>
    <definedName name="__________a129" localSheetId="0"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2" localSheetId="0" hidden="1">{"'Sheet1'!$L$16"}</definedName>
    <definedName name="__________BG12" localSheetId="0" hidden="1">{"'Sheet1'!$L$16"}</definedName>
    <definedName name="__________CN1" localSheetId="0" hidden="1">{"'Sheet1'!$L$16"}</definedName>
    <definedName name="__________d1500" localSheetId="0" hidden="1">{"'Sheet1'!$L$16"}</definedName>
    <definedName name="__________DT10" localSheetId="0" hidden="1">{"'Sheet1'!$L$16"}</definedName>
    <definedName name="__________Goi8" localSheetId="0" hidden="1">{"'Sheet1'!$L$16"}</definedName>
    <definedName name="__________Goi8_1" localSheetId="0" hidden="1">{"'Sheet1'!$L$16"}</definedName>
    <definedName name="__________h1" localSheetId="0" hidden="1">{"'Sheet1'!$L$16"}</definedName>
    <definedName name="__________hu1" localSheetId="0" hidden="1">{"'Sheet1'!$L$16"}</definedName>
    <definedName name="__________hu2" localSheetId="0" hidden="1">{"'Sheet1'!$L$16"}</definedName>
    <definedName name="__________hu5" localSheetId="0" hidden="1">{"'Sheet1'!$L$16"}</definedName>
    <definedName name="__________hu6" localSheetId="0" hidden="1">{"'Sheet1'!$L$16"}</definedName>
    <definedName name="__________hu7" localSheetId="0" hidden="1">{"'Sheet1'!$L$16"}</definedName>
    <definedName name="__________Lan1" localSheetId="0" hidden="1">{"'Sheet1'!$L$16"}</definedName>
    <definedName name="__________LAN3" localSheetId="0" hidden="1">{"'Sheet1'!$L$16"}</definedName>
    <definedName name="__________lop111" localSheetId="0" hidden="1">{#N/A,#N/A,FALSE,"特殊室（ＢＱ表）"}</definedName>
    <definedName name="__________m4" localSheetId="0" hidden="1">{"'Sheet1'!$L$16"}</definedName>
    <definedName name="__________NSO2" localSheetId="0" hidden="1">{"'Sheet1'!$L$16"}</definedName>
    <definedName name="__________ngk1109" localSheetId="0" hidden="1">{#N/A,#N/A,FALSE,"估價單  (3)"}</definedName>
    <definedName name="__________P3" localSheetId="0" hidden="1">{#N/A,#N/A,FALSE,"特殊室（ＢＱ表）"}</definedName>
    <definedName name="__________PA3" localSheetId="0" hidden="1">{"'Sheet1'!$L$16"}</definedName>
    <definedName name="__________PPP3" localSheetId="0" hidden="1">{#N/A,#N/A,FALSE,"特殊室（ＢＱ表）"}</definedName>
    <definedName name="__________PPP33" localSheetId="0" hidden="1">{#N/A,#N/A,FALSE,"特殊室（ＢＱ表）"}</definedName>
    <definedName name="__________ppp34" localSheetId="0" hidden="1">{#N/A,#N/A,FALSE,"特殊室（ＢＱ表）"}</definedName>
    <definedName name="__________ppp3444" localSheetId="0" hidden="1">{#N/A,#N/A,FALSE,"特殊室（ＢＱ表）"}</definedName>
    <definedName name="__________SCL4" localSheetId="0" hidden="1">{"'Sheet1'!$L$16"}</definedName>
    <definedName name="__________SCL4_1" localSheetId="0" hidden="1">{"'Sheet1'!$L$16"}</definedName>
    <definedName name="__________T10" localSheetId="0" hidden="1">{"'Sheet1'!$L$16"}</definedName>
    <definedName name="__________TM2" localSheetId="0" hidden="1">{"'Sheet1'!$L$16"}</definedName>
    <definedName name="__________tt3" localSheetId="0" hidden="1">{"'Sheet1'!$L$16"}</definedName>
    <definedName name="__________tu4" localSheetId="0" hidden="1">{"'Sheet1'!$L$16"}</definedName>
    <definedName name="__________TH1" localSheetId="0" hidden="1">{"'Sheet1'!$L$16"}</definedName>
    <definedName name="__________VT3" localSheetId="0" hidden="1">{"'Sheet1'!$L$16"}</definedName>
    <definedName name="_________a1" localSheetId="0" hidden="1">{"'Sheet1'!$L$16"}</definedName>
    <definedName name="_________a1_1" localSheetId="0" hidden="1">{"'Sheet1'!$L$16"}</definedName>
    <definedName name="_________a129" localSheetId="0"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2" localSheetId="0" hidden="1">{"'Sheet1'!$L$16"}</definedName>
    <definedName name="_________BG12" localSheetId="0" hidden="1">{"'Sheet1'!$L$16"}</definedName>
    <definedName name="_________CN1" localSheetId="0" hidden="1">{"'Sheet1'!$L$16"}</definedName>
    <definedName name="_________d1500" localSheetId="0" hidden="1">{"'Sheet1'!$L$16"}</definedName>
    <definedName name="_________DT10" localSheetId="0" hidden="1">{"'Sheet1'!$L$16"}</definedName>
    <definedName name="_________Goi8" localSheetId="0" hidden="1">{"'Sheet1'!$L$16"}</definedName>
    <definedName name="_________Goi8_1" localSheetId="0" hidden="1">{"'Sheet1'!$L$16"}</definedName>
    <definedName name="_________h1" localSheetId="0" hidden="1">{"'Sheet1'!$L$16"}</definedName>
    <definedName name="_________hu1" localSheetId="0" hidden="1">{"'Sheet1'!$L$16"}</definedName>
    <definedName name="_________hu2" localSheetId="0" hidden="1">{"'Sheet1'!$L$16"}</definedName>
    <definedName name="_________hu5" localSheetId="0" hidden="1">{"'Sheet1'!$L$16"}</definedName>
    <definedName name="_________hu6" localSheetId="0" hidden="1">{"'Sheet1'!$L$16"}</definedName>
    <definedName name="_________hu7" localSheetId="0" hidden="1">{"'Sheet1'!$L$16"}</definedName>
    <definedName name="_________Lan1" localSheetId="0" hidden="1">{"'Sheet1'!$L$16"}</definedName>
    <definedName name="_________LAN3" localSheetId="0" hidden="1">{"'Sheet1'!$L$16"}</definedName>
    <definedName name="_________lop111" localSheetId="0" hidden="1">{#N/A,#N/A,FALSE,"特殊室（ＢＱ表）"}</definedName>
    <definedName name="_________m4" localSheetId="0" hidden="1">{"'Sheet1'!$L$16"}</definedName>
    <definedName name="_________NSO2" localSheetId="0" hidden="1">{"'Sheet1'!$L$16"}</definedName>
    <definedName name="_________ngk1109" localSheetId="0" hidden="1">{#N/A,#N/A,FALSE,"估價單  (3)"}</definedName>
    <definedName name="_________P3" localSheetId="0" hidden="1">{#N/A,#N/A,FALSE,"特殊室（ＢＱ表）"}</definedName>
    <definedName name="_________PA3" localSheetId="0" hidden="1">{"'Sheet1'!$L$16"}</definedName>
    <definedName name="_________PPP3" localSheetId="0" hidden="1">{#N/A,#N/A,FALSE,"特殊室（ＢＱ表）"}</definedName>
    <definedName name="_________PPP33" localSheetId="0" hidden="1">{#N/A,#N/A,FALSE,"特殊室（ＢＱ表）"}</definedName>
    <definedName name="_________ppp34" localSheetId="0" hidden="1">{#N/A,#N/A,FALSE,"特殊室（ＢＱ表）"}</definedName>
    <definedName name="_________ppp3444" localSheetId="0" hidden="1">{#N/A,#N/A,FALSE,"特殊室（ＢＱ表）"}</definedName>
    <definedName name="_________SCL4" localSheetId="0" hidden="1">{"'Sheet1'!$L$16"}</definedName>
    <definedName name="_________SCL4_1" localSheetId="0" hidden="1">{"'Sheet1'!$L$16"}</definedName>
    <definedName name="_________T10" localSheetId="0" hidden="1">{"'Sheet1'!$L$16"}</definedName>
    <definedName name="_________T3" localSheetId="0" hidden="1">{"'Sheet1'!$L$16"}</definedName>
    <definedName name="_________TM2" localSheetId="0" hidden="1">{"'Sheet1'!$L$16"}</definedName>
    <definedName name="_________tt3" localSheetId="0" hidden="1">{"'Sheet1'!$L$16"}</definedName>
    <definedName name="_________tu4" localSheetId="0" hidden="1">{"'Sheet1'!$L$16"}</definedName>
    <definedName name="_________TV2" localSheetId="0" hidden="1">{"'Sheet1'!$L$16"}</definedName>
    <definedName name="_________TH1" localSheetId="0" hidden="1">{"'Sheet1'!$L$16"}</definedName>
    <definedName name="_________THT11" localSheetId="0" hidden="1">{"'Sheet1'!$L$16"}</definedName>
    <definedName name="_________VT3" localSheetId="0" hidden="1">{"'Sheet1'!$L$16"}</definedName>
    <definedName name="________a1" localSheetId="0" hidden="1">{"'Sheet1'!$L$16"}</definedName>
    <definedName name="________a1_1" localSheetId="0" hidden="1">{"'Sheet1'!$L$16"}</definedName>
    <definedName name="________a129" localSheetId="0"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2" localSheetId="0" hidden="1">{"'Sheet1'!$L$16"}</definedName>
    <definedName name="________BG12" localSheetId="0" hidden="1">{"'Sheet1'!$L$16"}</definedName>
    <definedName name="________CN1" localSheetId="0" hidden="1">{"'Sheet1'!$L$16"}</definedName>
    <definedName name="________d1500" localSheetId="0" hidden="1">{"'Sheet1'!$L$16"}</definedName>
    <definedName name="________DT10" localSheetId="0" hidden="1">{"'Sheet1'!$L$16"}</definedName>
    <definedName name="________Goi8" localSheetId="0" hidden="1">{"'Sheet1'!$L$16"}</definedName>
    <definedName name="________Goi8_1" localSheetId="0" hidden="1">{"'Sheet1'!$L$16"}</definedName>
    <definedName name="________h1" localSheetId="0" hidden="1">{"'Sheet1'!$L$16"}</definedName>
    <definedName name="________hu1" localSheetId="0" hidden="1">{"'Sheet1'!$L$16"}</definedName>
    <definedName name="________hu2" localSheetId="0" hidden="1">{"'Sheet1'!$L$16"}</definedName>
    <definedName name="________hu5" localSheetId="0" hidden="1">{"'Sheet1'!$L$16"}</definedName>
    <definedName name="________hu6" localSheetId="0" hidden="1">{"'Sheet1'!$L$16"}</definedName>
    <definedName name="________hu7" localSheetId="0" hidden="1">{"'Sheet1'!$L$16"}</definedName>
    <definedName name="________Lan1" localSheetId="0" hidden="1">{"'Sheet1'!$L$16"}</definedName>
    <definedName name="________LAN3" localSheetId="0" hidden="1">{"'Sheet1'!$L$16"}</definedName>
    <definedName name="________lop111" localSheetId="0" hidden="1">{#N/A,#N/A,FALSE,"特殊室（ＢＱ表）"}</definedName>
    <definedName name="________m4" localSheetId="0" hidden="1">{"'Sheet1'!$L$16"}</definedName>
    <definedName name="________MCC3" localSheetId="0" hidden="1">{#N/A,#N/A,FALSE,"CCTV"}</definedName>
    <definedName name="________nam1" localSheetId="0" hidden="1">{"'Sheet1'!$L$16"}</definedName>
    <definedName name="________NSO2" localSheetId="0" hidden="1">{"'Sheet1'!$L$16"}</definedName>
    <definedName name="________ngk1109" localSheetId="0" hidden="1">{#N/A,#N/A,FALSE,"估價單  (3)"}</definedName>
    <definedName name="________P3" localSheetId="0" hidden="1">{#N/A,#N/A,FALSE,"特殊室（ＢＱ表）"}</definedName>
    <definedName name="________PA3" localSheetId="0" hidden="1">{"'Sheet1'!$L$16"}</definedName>
    <definedName name="________PPP3" localSheetId="0" hidden="1">{#N/A,#N/A,FALSE,"特殊室（ＢＱ表）"}</definedName>
    <definedName name="________PPP33" localSheetId="0" hidden="1">{#N/A,#N/A,FALSE,"特殊室（ＢＱ表）"}</definedName>
    <definedName name="________ppp34" localSheetId="0" hidden="1">{#N/A,#N/A,FALSE,"特殊室（ＢＱ表）"}</definedName>
    <definedName name="________ppp3444" localSheetId="0" hidden="1">{#N/A,#N/A,FALSE,"特殊室（ＢＱ表）"}</definedName>
    <definedName name="________phu3" localSheetId="0" hidden="1">{"'Sheet1'!$L$16"}</definedName>
    <definedName name="________SCL4" localSheetId="0" hidden="1">{"'Sheet1'!$L$16"}</definedName>
    <definedName name="________SCL4_1" localSheetId="0" hidden="1">{"'Sheet1'!$L$16"}</definedName>
    <definedName name="________SHI1" localSheetId="0" hidden="1">{"'Sheet1'!$L$16"}</definedName>
    <definedName name="________T10" localSheetId="0" hidden="1">{"'Sheet1'!$L$16"}</definedName>
    <definedName name="________T3" localSheetId="0" hidden="1">{"'Sheet1'!$L$16"}</definedName>
    <definedName name="________TM2" localSheetId="0" hidden="1">{"'Sheet1'!$L$16"}</definedName>
    <definedName name="________tt3" localSheetId="0" hidden="1">{"'Sheet1'!$L$16"}</definedName>
    <definedName name="________tu4" localSheetId="0" hidden="1">{"'Sheet1'!$L$16"}</definedName>
    <definedName name="________TV2" localSheetId="0" hidden="1">{"'Sheet1'!$L$16"}</definedName>
    <definedName name="________TH1" localSheetId="0" hidden="1">{"'Sheet1'!$L$16"}</definedName>
    <definedName name="________THT11" localSheetId="0" hidden="1">{"'Sheet1'!$L$16"}</definedName>
    <definedName name="________VT3" localSheetId="0" hidden="1">{"'Sheet1'!$L$16"}</definedName>
    <definedName name="_______a1" localSheetId="0" hidden="1">{"'Sheet1'!$L$16"}</definedName>
    <definedName name="_______a1_1" localSheetId="0" hidden="1">{"'Sheet1'!$L$16"}</definedName>
    <definedName name="_______a129" localSheetId="0"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2" localSheetId="0" hidden="1">{"'Sheet1'!$L$16"}</definedName>
    <definedName name="_______BG12" localSheetId="0" hidden="1">{"'Sheet1'!$L$16"}</definedName>
    <definedName name="_______CN1" localSheetId="0" hidden="1">{"'Sheet1'!$L$16"}</definedName>
    <definedName name="_______d1500" localSheetId="0" hidden="1">{"'Sheet1'!$L$16"}</definedName>
    <definedName name="_______DT10" localSheetId="0" hidden="1">{"'Sheet1'!$L$16"}</definedName>
    <definedName name="_______Goi8" localSheetId="0" hidden="1">{"'Sheet1'!$L$16"}</definedName>
    <definedName name="_______Goi8_1" localSheetId="0" hidden="1">{"'Sheet1'!$L$16"}</definedName>
    <definedName name="_______h1" localSheetId="0" hidden="1">{"'Sheet1'!$L$16"}</definedName>
    <definedName name="_______hu1" localSheetId="0" hidden="1">{"'Sheet1'!$L$16"}</definedName>
    <definedName name="_______hu2" localSheetId="0" hidden="1">{"'Sheet1'!$L$16"}</definedName>
    <definedName name="_______hu5" localSheetId="0" hidden="1">{"'Sheet1'!$L$16"}</definedName>
    <definedName name="_______hu6" localSheetId="0" hidden="1">{"'Sheet1'!$L$16"}</definedName>
    <definedName name="_______hu7" localSheetId="0" hidden="1">{"'Sheet1'!$L$16"}</definedName>
    <definedName name="_______Lan1" localSheetId="0" hidden="1">{"'Sheet1'!$L$16"}</definedName>
    <definedName name="_______LAN3" localSheetId="0" hidden="1">{"'Sheet1'!$L$16"}</definedName>
    <definedName name="_______lop111" localSheetId="0" hidden="1">{#N/A,#N/A,FALSE,"特殊室（ＢＱ表）"}</definedName>
    <definedName name="_______m4" localSheetId="0" hidden="1">{"'Sheet1'!$L$16"}</definedName>
    <definedName name="_______MCC3" localSheetId="0" hidden="1">{#N/A,#N/A,FALSE,"CCTV"}</definedName>
    <definedName name="_______nam1" localSheetId="0" hidden="1">{"'Sheet1'!$L$16"}</definedName>
    <definedName name="_______NSO2" localSheetId="0" hidden="1">{"'Sheet1'!$L$16"}</definedName>
    <definedName name="_______ngk1109" localSheetId="0" hidden="1">{#N/A,#N/A,FALSE,"估價單  (3)"}</definedName>
    <definedName name="_______P3" localSheetId="0" hidden="1">{#N/A,#N/A,FALSE,"特殊室（ＢＱ表）"}</definedName>
    <definedName name="_______PA3" localSheetId="0" hidden="1">{"'Sheet1'!$L$16"}</definedName>
    <definedName name="_______PPP3" localSheetId="0" hidden="1">{#N/A,#N/A,FALSE,"特殊室（ＢＱ表）"}</definedName>
    <definedName name="_______PPP33" localSheetId="0" hidden="1">{#N/A,#N/A,FALSE,"特殊室（ＢＱ表）"}</definedName>
    <definedName name="_______ppp34" localSheetId="0" hidden="1">{#N/A,#N/A,FALSE,"特殊室（ＢＱ表）"}</definedName>
    <definedName name="_______ppp3444" localSheetId="0" hidden="1">{#N/A,#N/A,FALSE,"特殊室（ＢＱ表）"}</definedName>
    <definedName name="_______phu3" localSheetId="0" hidden="1">{"'Sheet1'!$L$16"}</definedName>
    <definedName name="_______SCL4" localSheetId="0" hidden="1">{"'Sheet1'!$L$16"}</definedName>
    <definedName name="_______SCL4_1" localSheetId="0" hidden="1">{"'Sheet1'!$L$16"}</definedName>
    <definedName name="_______SHI1" localSheetId="0" hidden="1">{"'Sheet1'!$L$16"}</definedName>
    <definedName name="_______T10" localSheetId="0" hidden="1">{"'Sheet1'!$L$16"}</definedName>
    <definedName name="_______T3" localSheetId="0" hidden="1">{"'Sheet1'!$L$16"}</definedName>
    <definedName name="_______TM2" localSheetId="0" hidden="1">{"'Sheet1'!$L$16"}</definedName>
    <definedName name="_______tt3" localSheetId="0" hidden="1">{"'Sheet1'!$L$16"}</definedName>
    <definedName name="_______tu4" localSheetId="0" hidden="1">{"'Sheet1'!$L$16"}</definedName>
    <definedName name="_______TV2" localSheetId="0" hidden="1">{"'Sheet1'!$L$16"}</definedName>
    <definedName name="_______TH1" localSheetId="0" hidden="1">{"'Sheet1'!$L$16"}</definedName>
    <definedName name="_______THT11" localSheetId="0" hidden="1">{"'Sheet1'!$L$16"}</definedName>
    <definedName name="_______VT3" localSheetId="0" hidden="1">{"'Sheet1'!$L$16"}</definedName>
    <definedName name="______a1" localSheetId="0" hidden="1">{"'Sheet1'!$L$16"}</definedName>
    <definedName name="______a1_1" localSheetId="0" hidden="1">{"'Sheet1'!$L$16"}</definedName>
    <definedName name="______a129" localSheetId="0"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2" localSheetId="0" hidden="1">{"'Sheet1'!$L$16"}</definedName>
    <definedName name="______b01" localSheetId="0" hidden="1">{#N/A,#N/A,FALSE,"MARCH"}</definedName>
    <definedName name="______ba1" localSheetId="0" hidden="1">{#N/A,#N/A,FALSE,"Chi tiÆt"}</definedName>
    <definedName name="______ba2" localSheetId="0" hidden="1">{#N/A,#N/A,FALSE,"Chi tiÆt"}</definedName>
    <definedName name="______BG12" localSheetId="0" hidden="1">{"'Sheet1'!$L$16"}</definedName>
    <definedName name="______CN1" localSheetId="0" hidden="1">{"'Sheet1'!$L$16"}</definedName>
    <definedName name="______ct2005" localSheetId="0" hidden="1">{"'Sheet1'!$L$16"}</definedName>
    <definedName name="______d1500" localSheetId="0" hidden="1">{"'Sheet1'!$L$16"}</definedName>
    <definedName name="______DT10" localSheetId="0" hidden="1">{"'Sheet1'!$L$16"}</definedName>
    <definedName name="______Goi8" localSheetId="0" hidden="1">{"'Sheet1'!$L$16"}</definedName>
    <definedName name="______Goi8_1" localSheetId="0" hidden="1">{"'Sheet1'!$L$16"}</definedName>
    <definedName name="______h1" localSheetId="0" hidden="1">{"'Sheet1'!$L$16"}</definedName>
    <definedName name="______hh1219" localSheetId="0" hidden="1">{"'Sheet1'!$L$16"}</definedName>
    <definedName name="______hu1" localSheetId="0" hidden="1">{"'Sheet1'!$L$16"}</definedName>
    <definedName name="______hu2" localSheetId="0" hidden="1">{"'Sheet1'!$L$16"}</definedName>
    <definedName name="______hu5" localSheetId="0" hidden="1">{"'Sheet1'!$L$16"}</definedName>
    <definedName name="______hu6" localSheetId="0" hidden="1">{"'Sheet1'!$L$16"}</definedName>
    <definedName name="______hu7" localSheetId="0" hidden="1">{"'Sheet1'!$L$16"}</definedName>
    <definedName name="______Lan1" localSheetId="0" hidden="1">{"'Sheet1'!$L$16"}</definedName>
    <definedName name="______LAN3" localSheetId="0" hidden="1">{"'Sheet1'!$L$16"}</definedName>
    <definedName name="______ld2" localSheetId="0" hidden="1">{"'Sheet1'!$L$16"}</definedName>
    <definedName name="______lop111" localSheetId="0" hidden="1">{#N/A,#N/A,FALSE,"特殊室（ＢＱ表）"}</definedName>
    <definedName name="______m4" localSheetId="0" hidden="1">{"'Sheet1'!$L$16"}</definedName>
    <definedName name="______MCC3" localSheetId="0" hidden="1">{#N/A,#N/A,FALSE,"CCTV"}</definedName>
    <definedName name="______nam1" localSheetId="0" hidden="1">{"'Sheet1'!$L$16"}</definedName>
    <definedName name="______NSO2" localSheetId="0" hidden="1">{"'Sheet1'!$L$16"}</definedName>
    <definedName name="______ngk1109" localSheetId="0" hidden="1">{#N/A,#N/A,FALSE,"估價單  (3)"}</definedName>
    <definedName name="______P3" localSheetId="0" hidden="1">{#N/A,#N/A,FALSE,"特殊室（ＢＱ表）"}</definedName>
    <definedName name="______PA3" localSheetId="0" hidden="1">{"'Sheet1'!$L$16"}</definedName>
    <definedName name="______PPP3" localSheetId="0" hidden="1">{#N/A,#N/A,FALSE,"特殊室（ＢＱ表）"}</definedName>
    <definedName name="______PPP33" localSheetId="0" hidden="1">{#N/A,#N/A,FALSE,"特殊室（ＢＱ表）"}</definedName>
    <definedName name="______ppp34" localSheetId="0" hidden="1">{#N/A,#N/A,FALSE,"特殊室（ＢＱ表）"}</definedName>
    <definedName name="______ppp3444" localSheetId="0" hidden="1">{#N/A,#N/A,FALSE,"特殊室（ＢＱ表）"}</definedName>
    <definedName name="______phu3" localSheetId="0" hidden="1">{"'Sheet1'!$L$16"}</definedName>
    <definedName name="______SCL4" localSheetId="0" hidden="1">{"'Sheet1'!$L$16"}</definedName>
    <definedName name="______SCL4_1" localSheetId="0" hidden="1">{"'Sheet1'!$L$16"}</definedName>
    <definedName name="______SHI1" localSheetId="0" hidden="1">{"'Sheet1'!$L$16"}</definedName>
    <definedName name="______T1" localSheetId="0" hidden="1">{#N/A,#N/A,FALSE,"Chi tiÆt"}</definedName>
    <definedName name="______T10" localSheetId="0" hidden="1">{"'Sheet1'!$L$16"}</definedName>
    <definedName name="______t2" localSheetId="0" hidden="1">{"'Sheet1'!$L$16"}</definedName>
    <definedName name="______t3" localSheetId="0" hidden="1">{"'Sheet1'!$L$16"}</definedName>
    <definedName name="______t5" localSheetId="0" hidden="1">{"'Sheet1'!$L$16"}</definedName>
    <definedName name="______TM2" localSheetId="0" hidden="1">{"'Sheet1'!$L$16"}</definedName>
    <definedName name="______tt3" localSheetId="0" hidden="1">{"'Sheet1'!$L$16"}</definedName>
    <definedName name="______tu4" localSheetId="0" hidden="1">{"'Sheet1'!$L$16"}</definedName>
    <definedName name="______TV2" localSheetId="0" hidden="1">{"'Sheet1'!$L$16"}</definedName>
    <definedName name="______TH1" localSheetId="0" hidden="1">{"'Sheet1'!$L$16"}</definedName>
    <definedName name="______THT11" localSheetId="0" hidden="1">{"'Sheet1'!$L$16"}</definedName>
    <definedName name="______VT3" localSheetId="0" hidden="1">{"'Sheet1'!$L$16"}</definedName>
    <definedName name="_____a1" localSheetId="0" hidden="1">{"'Sheet1'!$L$16"}</definedName>
    <definedName name="_____a1_1" localSheetId="0" hidden="1">{"'Sheet1'!$L$16"}</definedName>
    <definedName name="_____a129" localSheetId="0"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2" localSheetId="0" hidden="1">{"'Sheet1'!$L$16"}</definedName>
    <definedName name="_____b01" localSheetId="0" hidden="1">{#N/A,#N/A,FALSE,"MARCH"}</definedName>
    <definedName name="_____ba1" localSheetId="0" hidden="1">{#N/A,#N/A,FALSE,"Chi tiÆt"}</definedName>
    <definedName name="_____ba2" localSheetId="0" hidden="1">{#N/A,#N/A,FALSE,"Chi tiÆt"}</definedName>
    <definedName name="_____BG12" localSheetId="0" hidden="1">{"'Sheet1'!$L$16"}</definedName>
    <definedName name="_____bht6" localSheetId="0" hidden="1">{"'Sheet1'!$L$16"}</definedName>
    <definedName name="_____CN1" localSheetId="0" hidden="1">{"'Sheet1'!$L$16"}</definedName>
    <definedName name="_____ct2005" localSheetId="0" hidden="1">{"'Sheet1'!$L$16"}</definedName>
    <definedName name="_____d1500" localSheetId="0" hidden="1">{"'Sheet1'!$L$16"}</definedName>
    <definedName name="_____DT10" localSheetId="0" hidden="1">{"'Sheet1'!$L$16"}</definedName>
    <definedName name="_____FD12" localSheetId="0" hidden="1">{"'Sheet1'!$L$16"}</definedName>
    <definedName name="_____Goi8" localSheetId="0" hidden="1">{"'Sheet1'!$L$16"}</definedName>
    <definedName name="_____Goi8_1" localSheetId="0" hidden="1">{"'Sheet1'!$L$16"}</definedName>
    <definedName name="_____h1" localSheetId="0" hidden="1">{"'Sheet1'!$L$16"}</definedName>
    <definedName name="_____hh1219" localSheetId="0" hidden="1">{"'Sheet1'!$L$16"}</definedName>
    <definedName name="_____hu1" localSheetId="0" hidden="1">{"'Sheet1'!$L$16"}</definedName>
    <definedName name="_____hu2" localSheetId="0" hidden="1">{"'Sheet1'!$L$16"}</definedName>
    <definedName name="_____hu5" localSheetId="0" hidden="1">{"'Sheet1'!$L$16"}</definedName>
    <definedName name="_____hu6" localSheetId="0" hidden="1">{"'Sheet1'!$L$16"}</definedName>
    <definedName name="_____hu7" localSheetId="0" hidden="1">{"'Sheet1'!$L$16"}</definedName>
    <definedName name="_____Lan1" localSheetId="0" hidden="1">{"'Sheet1'!$L$16"}</definedName>
    <definedName name="_____Lan2" localSheetId="0" hidden="1">{"'Sheet1'!$L$16"}</definedName>
    <definedName name="_____LAN3" localSheetId="0" hidden="1">{"'Sheet1'!$L$16"}</definedName>
    <definedName name="_____lao2" localSheetId="0" hidden="1">{"'Sheet1'!$L$16"}</definedName>
    <definedName name="_____ld2" localSheetId="0" hidden="1">{"'Sheet1'!$L$16"}</definedName>
    <definedName name="_____lop111" localSheetId="0" hidden="1">{#N/A,#N/A,FALSE,"特殊室（ＢＱ表）"}</definedName>
    <definedName name="_____M2" localSheetId="0" hidden="1">{"'Sheet1'!$L$16"}</definedName>
    <definedName name="_____m4" localSheetId="0" hidden="1">{"'Sheet1'!$L$16"}</definedName>
    <definedName name="_____MCC3" localSheetId="0" hidden="1">{#N/A,#N/A,FALSE,"CCTV"}</definedName>
    <definedName name="_____nam1" localSheetId="0" hidden="1">{"'Sheet1'!$L$16"}</definedName>
    <definedName name="_____NSO2" localSheetId="0" hidden="1">{"'Sheet1'!$L$16"}</definedName>
    <definedName name="_____ngk1109" localSheetId="0" hidden="1">{#N/A,#N/A,FALSE,"估價單  (3)"}</definedName>
    <definedName name="_____P3" localSheetId="0" hidden="1">{#N/A,#N/A,FALSE,"特殊室（ＢＱ表）"}</definedName>
    <definedName name="_____PA3" localSheetId="0" hidden="1">{"'Sheet1'!$L$16"}</definedName>
    <definedName name="_____PPP3" localSheetId="0" hidden="1">{#N/A,#N/A,FALSE,"特殊室（ＢＱ表）"}</definedName>
    <definedName name="_____PPP33" localSheetId="0" hidden="1">{#N/A,#N/A,FALSE,"特殊室（ＢＱ表）"}</definedName>
    <definedName name="_____ppp34" localSheetId="0" hidden="1">{#N/A,#N/A,FALSE,"特殊室（ＢＱ表）"}</definedName>
    <definedName name="_____ppp3444" localSheetId="0" hidden="1">{#N/A,#N/A,FALSE,"特殊室（ＢＱ表）"}</definedName>
    <definedName name="_____phu3" localSheetId="0" hidden="1">{"'Sheet1'!$L$16"}</definedName>
    <definedName name="_____SCL4" localSheetId="0" hidden="1">{"'Sheet1'!$L$16"}</definedName>
    <definedName name="_____SCL4_1" localSheetId="0" hidden="1">{"'Sheet1'!$L$16"}</definedName>
    <definedName name="_____SHI1" localSheetId="0" hidden="1">{"'Sheet1'!$L$16"}</definedName>
    <definedName name="_____sxt5" localSheetId="0" hidden="1">{"'Sheet1'!$L$16"}</definedName>
    <definedName name="_____T1" localSheetId="0" hidden="1">{#N/A,#N/A,FALSE,"Chi tiÆt"}</definedName>
    <definedName name="_____T10" localSheetId="0" hidden="1">{"'Sheet1'!$L$16"}</definedName>
    <definedName name="_____T2" localSheetId="0" hidden="1">{"'Sheet1'!$L$16"}</definedName>
    <definedName name="_____T3" localSheetId="0" hidden="1">{"'Sheet1'!$L$16"}</definedName>
    <definedName name="_____t4" localSheetId="0" hidden="1">{"'Sheet1'!$L$16"}</definedName>
    <definedName name="_____T5" localSheetId="0" hidden="1">{"'Sheet1'!$L$16"}</definedName>
    <definedName name="_____TM2" localSheetId="0" hidden="1">{"'Sheet1'!$L$16"}</definedName>
    <definedName name="_____tt3" localSheetId="0" hidden="1">{"'Sheet1'!$L$16"}</definedName>
    <definedName name="_____tu4" localSheetId="0" hidden="1">{"'Sheet1'!$L$16"}</definedName>
    <definedName name="_____TV2" localSheetId="0" hidden="1">{"'Sheet1'!$L$16"}</definedName>
    <definedName name="_____TH1" localSheetId="0" hidden="1">{"'Sheet1'!$L$16"}</definedName>
    <definedName name="_____THT11" localSheetId="0" hidden="1">{"'Sheet1'!$L$16"}</definedName>
    <definedName name="_____vpt5" localSheetId="0" hidden="1">{"'Sheet1'!$L$16"}</definedName>
    <definedName name="_____vpt6" localSheetId="0" hidden="1">{"'Sheet1'!$L$16"}</definedName>
    <definedName name="_____VT3" localSheetId="0" hidden="1">{"'Sheet1'!$L$16"}</definedName>
    <definedName name="____a1" localSheetId="0" hidden="1">{"'Sheet1'!$L$16"}</definedName>
    <definedName name="____a1_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2" localSheetId="0" hidden="1">{"'Sheet1'!$L$16"}</definedName>
    <definedName name="____b2" localSheetId="0" hidden="1">{"'Sheet1'!$L$16"}</definedName>
    <definedName name="____ba1" localSheetId="0" hidden="1">{#N/A,#N/A,FALSE,"Chi tiÆt"}</definedName>
    <definedName name="____ba2" localSheetId="0" hidden="1">{#N/A,#N/A,FALSE,"Chi tiÆt"}</definedName>
    <definedName name="____BG12" localSheetId="0" hidden="1">{"'Sheet1'!$L$16"}</definedName>
    <definedName name="____bht6" localSheetId="0" hidden="1">{"'Sheet1'!$L$16"}</definedName>
    <definedName name="____CN1" localSheetId="0" hidden="1">{"'Sheet1'!$L$16"}</definedName>
    <definedName name="____ct2005" localSheetId="0" hidden="1">{"'Sheet1'!$L$16"}</definedName>
    <definedName name="____CT4" localSheetId="0" hidden="1">{"'Sheet1'!$L$16"}</definedName>
    <definedName name="____d1500" localSheetId="0" hidden="1">{"'Sheet1'!$L$16"}</definedName>
    <definedName name="____DT10" localSheetId="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D12" localSheetId="0" hidden="1">{"'Sheet1'!$L$16"}</definedName>
    <definedName name="____G4211" localSheetId="0" hidden="1">{"'Sheet1'!$L$16"}</definedName>
    <definedName name="____Goi8" localSheetId="0" hidden="1">{"'Sheet1'!$L$16"}</definedName>
    <definedName name="____Goi8_1" localSheetId="0" hidden="1">{"'Sheet1'!$L$16"}</definedName>
    <definedName name="____h1" localSheetId="0" hidden="1">{"'Sheet1'!$L$16"}</definedName>
    <definedName name="____h12" localSheetId="0" hidden="1">{"'Sheet1'!$L$16"}</definedName>
    <definedName name="____hh1219"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huy1" localSheetId="0" hidden="1">{"'Sheet1'!$L$16"}</definedName>
    <definedName name="____huy2" localSheetId="0" hidden="1">{"'Sheet1'!$L$16"}</definedName>
    <definedName name="____Lan1" localSheetId="0" hidden="1">{"'Sheet1'!$L$16"}</definedName>
    <definedName name="____Lan2" localSheetId="0" hidden="1">{"'Sheet1'!$L$16"}</definedName>
    <definedName name="____LAN3" localSheetId="0" hidden="1">{"'Sheet1'!$L$16"}</definedName>
    <definedName name="____ld2" localSheetId="0" hidden="1">{"'Sheet1'!$L$16"}</definedName>
    <definedName name="____lop111" localSheetId="0" hidden="1">{#N/A,#N/A,FALSE,"特殊室（ＢＱ表）"}</definedName>
    <definedName name="____M2" localSheetId="0" hidden="1">{"'Sheet1'!$L$16"}</definedName>
    <definedName name="____m4" localSheetId="0" hidden="1">{"'Sheet1'!$L$16"}</definedName>
    <definedName name="____MCC3" localSheetId="0" hidden="1">{#N/A,#N/A,FALSE,"CCTV"}</definedName>
    <definedName name="____nam1" localSheetId="0" hidden="1">{"'Sheet1'!$L$16"}</definedName>
    <definedName name="____NAM11" localSheetId="0" hidden="1">{#N/A,#N/A,FALSE,"Chi tiÆt"}</definedName>
    <definedName name="____nso1" localSheetId="0" hidden="1">{"'Sheet1'!$L$16"}</definedName>
    <definedName name="____NSO2" localSheetId="0" hidden="1">{"'Sheet1'!$L$16"}</definedName>
    <definedName name="____ngk1109" localSheetId="0" hidden="1">{#N/A,#N/A,FALSE,"估價單  (3)"}</definedName>
    <definedName name="____P3" localSheetId="0" hidden="1">{#N/A,#N/A,FALSE,"特殊室（ＢＱ表）"}</definedName>
    <definedName name="____pa22" localSheetId="0" hidden="1">{"'ROOF'!$B$6","'ROOF'!$B$6","'ROOF'!$B$6","'ROOF'!$B$6"}</definedName>
    <definedName name="____PA3" localSheetId="0" hidden="1">{"'Sheet1'!$L$16"}</definedName>
    <definedName name="____PPP3" localSheetId="0" hidden="1">{#N/A,#N/A,FALSE,"特殊室（ＢＱ表）"}</definedName>
    <definedName name="____PPP33" localSheetId="0" hidden="1">{#N/A,#N/A,FALSE,"特殊室（ＢＱ表）"}</definedName>
    <definedName name="____ppp34" localSheetId="0" hidden="1">{#N/A,#N/A,FALSE,"特殊室（ＢＱ表）"}</definedName>
    <definedName name="____ppp3444" localSheetId="0" hidden="1">{#N/A,#N/A,FALSE,"特殊室（ＢＱ表）"}</definedName>
    <definedName name="____phu3" localSheetId="0" hidden="1">{"'Sheet1'!$L$16"}</definedName>
    <definedName name="____Rh90" localSheetId="0" hidden="1">{"'Sheet1'!$L$16"}</definedName>
    <definedName name="____SCL4" localSheetId="0" hidden="1">{"'Sheet1'!$L$16"}</definedName>
    <definedName name="____SCL4_1" localSheetId="0" hidden="1">{"'Sheet1'!$L$16"}</definedName>
    <definedName name="____SHI1" localSheetId="0" hidden="1">{"'Sheet1'!$L$16"}</definedName>
    <definedName name="____sxt5" localSheetId="0" hidden="1">{"'Sheet1'!$L$16"}</definedName>
    <definedName name="____t1" localSheetId="0" hidden="1">{"'Sheet1'!$L$16"}</definedName>
    <definedName name="____T10" localSheetId="0" hidden="1">{"'Sheet1'!$L$16"}</definedName>
    <definedName name="____T2" localSheetId="0" hidden="1">{"'Sheet1'!$L$16"}</definedName>
    <definedName name="____T3" localSheetId="0" hidden="1">{"'Sheet1'!$L$16"}</definedName>
    <definedName name="____T4" localSheetId="0" hidden="1">{"'Sheet1'!$L$16"}</definedName>
    <definedName name="____t5" localSheetId="0" hidden="1">{"'Sheet1'!$L$16"}</definedName>
    <definedName name="____T9" localSheetId="0" hidden="1">{#N/A,#N/A,FALSE,"Chi tiÆt"}</definedName>
    <definedName name="____TM2" localSheetId="0" hidden="1">{"'Sheet1'!$L$16"}</definedName>
    <definedName name="____tt3" localSheetId="0" hidden="1">{"'Sheet1'!$L$16"}</definedName>
    <definedName name="____ttt1" localSheetId="0" hidden="1">{"'Sheet1'!$L$16"}</definedName>
    <definedName name="____tu4" localSheetId="0" hidden="1">{"'Sheet1'!$L$16"}</definedName>
    <definedName name="____TV2" localSheetId="0" hidden="1">{"'Sheet1'!$L$16"}</definedName>
    <definedName name="____TH1" localSheetId="0" hidden="1">{"'Sheet1'!$L$16"}</definedName>
    <definedName name="____THT11" localSheetId="0" hidden="1">{"'Sheet1'!$L$16"}</definedName>
    <definedName name="____vpt5" localSheetId="0" hidden="1">{"'Sheet1'!$L$16"}</definedName>
    <definedName name="____vpt6" localSheetId="0" hidden="1">{"'Sheet1'!$L$16"}</definedName>
    <definedName name="____VT3" localSheetId="0" hidden="1">{"'Sheet1'!$L$16"}</definedName>
    <definedName name="___a1" localSheetId="0" hidden="1">{"'Sheet1'!$L$16"}</definedName>
    <definedName name="___a1_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2" localSheetId="0" hidden="1">{"'Sheet1'!$L$16"}</definedName>
    <definedName name="___A4" localSheetId="0" hidden="1">{"'Sheet1'!$L$16"}</definedName>
    <definedName name="___b01" localSheetId="0" hidden="1">{#N/A,#N/A,FALSE,"MARCH"}</definedName>
    <definedName name="___b2" localSheetId="0" hidden="1">{"'Sheet1'!$L$16"}</definedName>
    <definedName name="___ba1" localSheetId="0" hidden="1">{#N/A,#N/A,FALSE,"Chi tiÆt"}</definedName>
    <definedName name="___ba2" localSheetId="0" hidden="1">{#N/A,#N/A,FALSE,"Chi tiÆt"}</definedName>
    <definedName name="___BG12" localSheetId="0" hidden="1">{"'Sheet1'!$L$16"}</definedName>
    <definedName name="___bht6" localSheetId="0" hidden="1">{"'Sheet1'!$L$16"}</definedName>
    <definedName name="___CN1" localSheetId="0" hidden="1">{"'Sheet1'!$L$16"}</definedName>
    <definedName name="___Coc39" localSheetId="0" hidden="1">{"'Sheet1'!$L$16"}</definedName>
    <definedName name="___ct2005" localSheetId="0" hidden="1">{"'Sheet1'!$L$16"}</definedName>
    <definedName name="___CT4" localSheetId="0" hidden="1">{"'Sheet1'!$L$16"}</definedName>
    <definedName name="___Cty501" localSheetId="0" hidden="1">{"'Sheet1'!$L$16"}</definedName>
    <definedName name="___d1500" localSheetId="0" hidden="1">{"'Sheet1'!$L$16"}</definedName>
    <definedName name="___dt1" localSheetId="0" hidden="1">{"'Sheet1'!$L$16"}</definedName>
    <definedName name="___DT10" localSheetId="0" hidden="1">{"'Sheet1'!$L$16"}</definedName>
    <definedName name="___ewt3" localSheetId="0"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D12" localSheetId="0" hidden="1">{"'Sheet1'!$L$16"}</definedName>
    <definedName name="___G4211" localSheetId="0" hidden="1">{"'Sheet1'!$L$16"}</definedName>
    <definedName name="___Goi8" localSheetId="0" hidden="1">{"'Sheet1'!$L$16"}</definedName>
    <definedName name="___Goi8_1" localSheetId="0" hidden="1">{"'Sheet1'!$L$16"}</definedName>
    <definedName name="___h1" localSheetId="0" hidden="1">{"'Sheet1'!$L$16"}</definedName>
    <definedName name="___h12" localSheetId="0" hidden="1">{"'Sheet1'!$L$16"}</definedName>
    <definedName name="___h14" localSheetId="0" hidden="1">{"'Sheet1'!$L$16"}</definedName>
    <definedName name="___hh1219"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huy1" localSheetId="0" hidden="1">{"'Sheet1'!$L$16"}</definedName>
    <definedName name="___huy2" localSheetId="0" hidden="1">{"'Sheet1'!$L$16"}</definedName>
    <definedName name="___Lan1" localSheetId="0" hidden="1">{"'Sheet1'!$L$16"}</definedName>
    <definedName name="___Lan2" localSheetId="0" hidden="1">{"'Sheet1'!$L$16"}</definedName>
    <definedName name="___LAN3" localSheetId="0" hidden="1">{"'Sheet1'!$L$16"}</definedName>
    <definedName name="___lao2" localSheetId="0" hidden="1">{"'Sheet1'!$L$16"}</definedName>
    <definedName name="___ld2" localSheetId="0" hidden="1">{"'Sheet1'!$L$16"}</definedName>
    <definedName name="___lk2" localSheetId="0" hidden="1">{"'Sheet1'!$L$16"}</definedName>
    <definedName name="___lop111" localSheetId="0" hidden="1">{#N/A,#N/A,FALSE,"特殊室（ＢＱ表）"}</definedName>
    <definedName name="___M2" localSheetId="0" hidden="1">{"'Sheet1'!$L$16"}</definedName>
    <definedName name="___M36" localSheetId="0" hidden="1">{"'Sheet1'!$L$16"}</definedName>
    <definedName name="___m4" localSheetId="0" hidden="1">{"'Sheet1'!$L$16"}</definedName>
    <definedName name="___MCC3" localSheetId="0" hidden="1">{#N/A,#N/A,FALSE,"CCTV"}</definedName>
    <definedName name="___nam1" localSheetId="0" hidden="1">{"'Sheet1'!$L$16"}</definedName>
    <definedName name="___NAM11" localSheetId="0" hidden="1">{#N/A,#N/A,FALSE,"Chi tiÆt"}</definedName>
    <definedName name="___nso1" localSheetId="0" hidden="1">{"'Sheet1'!$L$16"}</definedName>
    <definedName name="___NSO2" localSheetId="0" hidden="1">{"'Sheet1'!$L$16"}</definedName>
    <definedName name="___ngk1109" localSheetId="0" hidden="1">{#N/A,#N/A,FALSE,"估價單  (3)"}</definedName>
    <definedName name="___P3" localSheetId="0" hidden="1">{#N/A,#N/A,FALSE,"特殊室（ＢＱ表）"}</definedName>
    <definedName name="___pa22" localSheetId="0" hidden="1">{"'ROOF'!$B$6","'ROOF'!$B$6","'ROOF'!$B$6","'ROOF'!$B$6"}</definedName>
    <definedName name="___PA3" localSheetId="0" hidden="1">{"'Sheet1'!$L$16"}</definedName>
    <definedName name="___PK2" localSheetId="0" hidden="1">{"'장비'!$A$3:$M$12"}</definedName>
    <definedName name="___PKG3" localSheetId="0" hidden="1">{"'장비'!$A$3:$M$12"}</definedName>
    <definedName name="___PPP3" localSheetId="0" hidden="1">{#N/A,#N/A,FALSE,"特殊室（ＢＱ表）"}</definedName>
    <definedName name="___PPP33" localSheetId="0" hidden="1">{#N/A,#N/A,FALSE,"特殊室（ＢＱ表）"}</definedName>
    <definedName name="___ppp34" localSheetId="0" hidden="1">{#N/A,#N/A,FALSE,"特殊室（ＢＱ表）"}</definedName>
    <definedName name="___ppp3444" localSheetId="0" hidden="1">{#N/A,#N/A,FALSE,"特殊室（ＢＱ表）"}</definedName>
    <definedName name="___phu3" localSheetId="0" hidden="1">{"'Sheet1'!$L$16"}</definedName>
    <definedName name="___qqq222" localSheetId="0" hidden="1">{"'장비'!$A$3:$M$12"}</definedName>
    <definedName name="___Rh90" localSheetId="0" hidden="1">{"'Sheet1'!$L$16"}</definedName>
    <definedName name="___SCL4" localSheetId="0" hidden="1">{"'Sheet1'!$L$16"}</definedName>
    <definedName name="___SCL4_1" localSheetId="0" hidden="1">{"'Sheet1'!$L$16"}</definedName>
    <definedName name="___SHI1" localSheetId="0" hidden="1">{"'Sheet1'!$L$16"}</definedName>
    <definedName name="___sxt5" localSheetId="0" hidden="1">{"'Sheet1'!$L$16"}</definedName>
    <definedName name="___t1" localSheetId="0" hidden="1">{"'Sheet1'!$L$16"}</definedName>
    <definedName name="___T10" localSheetId="0" hidden="1">{"'Sheet1'!$L$16"}</definedName>
    <definedName name="___t2" localSheetId="0" hidden="1">{"'Sheet1'!$L$16"}</definedName>
    <definedName name="___T3" localSheetId="0" hidden="1">{"'Sheet1'!$L$16"}</definedName>
    <definedName name="___T4" localSheetId="0" hidden="1">{"'Sheet1'!$L$16"}</definedName>
    <definedName name="___t5" localSheetId="0" hidden="1">{"'Sheet1'!$L$16"}</definedName>
    <definedName name="___T9" localSheetId="0" hidden="1">{#N/A,#N/A,FALSE,"Chi tiÆt"}</definedName>
    <definedName name="___TM2" localSheetId="0" hidden="1">{"'Sheet1'!$L$16"}</definedName>
    <definedName name="___tt3" localSheetId="0" hidden="1">{"'Sheet1'!$L$16"}</definedName>
    <definedName name="___TT31" localSheetId="0" hidden="1">{"'Sheet1'!$L$16"}</definedName>
    <definedName name="___ttt1" localSheetId="0" hidden="1">{"'Sheet1'!$L$16"}</definedName>
    <definedName name="___tu4" localSheetId="0" hidden="1">{"'Sheet1'!$L$16"}</definedName>
    <definedName name="___TV2" localSheetId="0" hidden="1">{"'Sheet1'!$L$16"}</definedName>
    <definedName name="___TH1" localSheetId="0" hidden="1">{"'Sheet1'!$L$16"}</definedName>
    <definedName name="___tha1" localSheetId="0" hidden="1">{"'Sheet1'!$L$16"}</definedName>
    <definedName name="___THT11" localSheetId="0" hidden="1">{"'Sheet1'!$L$16"}</definedName>
    <definedName name="___vpt5" localSheetId="0" hidden="1">{"'Sheet1'!$L$16"}</definedName>
    <definedName name="___vpt6" localSheetId="0" hidden="1">{"'Sheet1'!$L$16"}</definedName>
    <definedName name="___VT3" localSheetId="0" hidden="1">{"'Sheet1'!$L$16"}</definedName>
    <definedName name="__1" localSheetId="0" hidden="1">{"'Sheet1'!$L$16"}</definedName>
    <definedName name="__a1" localSheetId="0" hidden="1">{"'Sheet1'!$L$16"}</definedName>
    <definedName name="__a1_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2" localSheetId="0" hidden="1">{"'Sheet1'!$L$16"}</definedName>
    <definedName name="__A4" localSheetId="0" hidden="1">{"'Sheet1'!$L$16"}</definedName>
    <definedName name="__a9" localSheetId="0" hidden="1">{"'Sheet1'!$L$16"}</definedName>
    <definedName name="__b2" localSheetId="0" hidden="1">{"'Sheet1'!$L$16"}</definedName>
    <definedName name="__ba1" localSheetId="0" hidden="1">{#N/A,#N/A,FALSE,"Chi tiÆt"}</definedName>
    <definedName name="__ba2" localSheetId="0" hidden="1">{#N/A,#N/A,FALSE,"Chi tiÆt"}</definedName>
    <definedName name="__BG12" localSheetId="0" hidden="1">{"'Sheet1'!$L$16"}</definedName>
    <definedName name="__bht6" localSheetId="0" hidden="1">{"'Sheet1'!$L$16"}</definedName>
    <definedName name="__ccr1" localSheetId="0" hidden="1">{#N/A,#N/A,TRUE,"Cover";#N/A,#N/A,TRUE,"Conts";#N/A,#N/A,TRUE,"VOS";#N/A,#N/A,TRUE,"Warrington";#N/A,#N/A,TRUE,"Widnes"}</definedName>
    <definedName name="__CN1" localSheetId="0" hidden="1">{"'Sheet1'!$L$16"}</definedName>
    <definedName name="__coc1000" localSheetId="0" hidden="1">{#N/A,#N/A,FALSE,"Chi tiÆt"}</definedName>
    <definedName name="__Coc39" localSheetId="0" hidden="1">{"'Sheet1'!$L$16"}</definedName>
    <definedName name="__CT2" localSheetId="0" hidden="1">{"'Sheet1'!$L$16"}</definedName>
    <definedName name="__ct2005" localSheetId="0" hidden="1">{"'Sheet1'!$L$16"}</definedName>
    <definedName name="__CT4" localSheetId="0" hidden="1">{"'Sheet1'!$L$16"}</definedName>
    <definedName name="__Cty501" localSheetId="0" hidden="1">{"'Sheet1'!$L$16"}</definedName>
    <definedName name="__d1500" localSheetId="0" hidden="1">{"'Sheet1'!$L$16"}</definedName>
    <definedName name="__D41" localSheetId="0" hidden="1">{"'Sheet1'!$L$16"}</definedName>
    <definedName name="__D42" localSheetId="0" hidden="1">{"'Sheet1'!$L$16"}</definedName>
    <definedName name="__dt1" localSheetId="0" hidden="1">{"'Sheet1'!$L$16"}</definedName>
    <definedName name="__DT10" localSheetId="0" hidden="1">{"'Sheet1'!$L$16"}</definedName>
    <definedName name="__e2" localSheetId="0" hidden="1">{"'Sheet1'!$L$16"}</definedName>
    <definedName name="__ewt3" localSheetId="0"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D12" localSheetId="0"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oi8" localSheetId="0" hidden="1">{"'Sheet1'!$L$16"}</definedName>
    <definedName name="__Goi8_1" localSheetId="0" hidden="1">{"'Sheet1'!$L$16"}</definedName>
    <definedName name="__h1" localSheetId="0" hidden="1">{"'Sheet1'!$L$16"}</definedName>
    <definedName name="__h12" localSheetId="0" hidden="1">{"'Sheet1'!$L$16"}</definedName>
    <definedName name="__h14" localSheetId="0" hidden="1">{"'Sheet1'!$L$16"}</definedName>
    <definedName name="__hh1219"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huy1" localSheetId="0" hidden="1">{"'Sheet1'!$L$16"}</definedName>
    <definedName name="__huy2" localSheetId="0" hidden="1">{"'Sheet1'!$L$16"}</definedName>
    <definedName name="__K146" localSheetId="0" hidden="1">{"'Sheet1'!$L$16"}</definedName>
    <definedName name="__khq3" localSheetId="0" hidden="1">{"'Sheet1'!$L$16"}</definedName>
    <definedName name="__Lan1" localSheetId="0" hidden="1">{"'Sheet1'!$L$16"}</definedName>
    <definedName name="__Lan2" localSheetId="0" hidden="1">{"'Sheet1'!$L$16"}</definedName>
    <definedName name="__LAN3" localSheetId="0" hidden="1">{"'Sheet1'!$L$16"}</definedName>
    <definedName name="__lao2" localSheetId="0" hidden="1">{"'Sheet1'!$L$16"}</definedName>
    <definedName name="__ld2" localSheetId="0" hidden="1">{"'Sheet1'!$L$16"}</definedName>
    <definedName name="__lk2" localSheetId="0" hidden="1">{"'Sheet1'!$L$16"}</definedName>
    <definedName name="__lop111" localSheetId="0" hidden="1">{#N/A,#N/A,FALSE,"特殊室（ＢＱ表）"}</definedName>
    <definedName name="__M2" localSheetId="0" hidden="1">{"'Sheet1'!$L$16"}</definedName>
    <definedName name="__M36" localSheetId="0" hidden="1">{"'Sheet1'!$L$16"}</definedName>
    <definedName name="__m4" localSheetId="0" hidden="1">{"'Sheet1'!$L$16"}</definedName>
    <definedName name="__MCC3" localSheetId="0" hidden="1">{#N/A,#N/A,FALSE,"CCTV"}</definedName>
    <definedName name="__nam1" localSheetId="0" hidden="1">{"'Sheet1'!$L$16"}</definedName>
    <definedName name="__NAM11" localSheetId="0" hidden="1">{#N/A,#N/A,FALSE,"Chi tiÆt"}</definedName>
    <definedName name="__nso1" localSheetId="0" hidden="1">{"'Sheet1'!$L$16"}</definedName>
    <definedName name="__NSO2" localSheetId="0" hidden="1">{"'Sheet1'!$L$16"}</definedName>
    <definedName name="__ngk1109" localSheetId="0" hidden="1">{#N/A,#N/A,FALSE,"估價單  (3)"}</definedName>
    <definedName name="__P3" localSheetId="0" hidden="1">{#N/A,#N/A,FALSE,"特殊室（ＢＱ表）"}</definedName>
    <definedName name="__pa22" localSheetId="0" hidden="1">{"'ROOF'!$B$6","'ROOF'!$B$6","'ROOF'!$B$6","'ROOF'!$B$6"}</definedName>
    <definedName name="__PA3" localSheetId="0" hidden="1">{"'Sheet1'!$L$16"}</definedName>
    <definedName name="__PK2" localSheetId="0" hidden="1">{"'장비'!$A$3:$M$12"}</definedName>
    <definedName name="__PKG3" localSheetId="0" hidden="1">{"'장비'!$A$3:$M$12"}</definedName>
    <definedName name="__PPP3" localSheetId="0" hidden="1">{#N/A,#N/A,FALSE,"特殊室（ＢＱ表）"}</definedName>
    <definedName name="__PPP33" localSheetId="0" hidden="1">{#N/A,#N/A,FALSE,"特殊室（ＢＱ表）"}</definedName>
    <definedName name="__ppp34" localSheetId="0" hidden="1">{#N/A,#N/A,FALSE,"特殊室（ＢＱ表）"}</definedName>
    <definedName name="__ppp3444" localSheetId="0" hidden="1">{#N/A,#N/A,FALSE,"特殊室（ＢＱ表）"}</definedName>
    <definedName name="__phu3" localSheetId="0" hidden="1">{"'Sheet1'!$L$16"}</definedName>
    <definedName name="__qqq222" localSheetId="0" hidden="1">{"'장비'!$A$3:$M$12"}</definedName>
    <definedName name="__Rh90" localSheetId="0" hidden="1">{"'Sheet1'!$L$16"}</definedName>
    <definedName name="__SCL4" localSheetId="0" hidden="1">{"'Sheet1'!$L$16"}</definedName>
    <definedName name="__SCL4_1" localSheetId="0" hidden="1">{"'Sheet1'!$L$16"}</definedName>
    <definedName name="__SHI1" localSheetId="0" hidden="1">{"'Sheet1'!$L$16"}</definedName>
    <definedName name="__sxt5" localSheetId="0" hidden="1">{"'Sheet1'!$L$16"}</definedName>
    <definedName name="__t1" localSheetId="0" hidden="1">{"'Sheet1'!$L$16"}</definedName>
    <definedName name="__T10" localSheetId="0" hidden="1">{"'Sheet1'!$L$16"}</definedName>
    <definedName name="__t2" localSheetId="0" hidden="1">{"'Sheet1'!$L$16"}</definedName>
    <definedName name="__T3" localSheetId="0" hidden="1">{"'Sheet1'!$L$16"}</definedName>
    <definedName name="__T4" localSheetId="0" hidden="1">{"'Sheet1'!$L$16"}</definedName>
    <definedName name="__t5" localSheetId="0" hidden="1">{"'Sheet1'!$L$16"}</definedName>
    <definedName name="__T9" localSheetId="0" hidden="1">{#N/A,#N/A,FALSE,"Chi tiÆt"}</definedName>
    <definedName name="__TM2" localSheetId="0" hidden="1">{"'Sheet1'!$L$16"}</definedName>
    <definedName name="__tt3" localSheetId="0" hidden="1">{"'Sheet1'!$L$16"}</definedName>
    <definedName name="__TT31" localSheetId="0" hidden="1">{"'Sheet1'!$L$16"}</definedName>
    <definedName name="__TT623" localSheetId="0" hidden="1">{"'Sheet1'!$L$16"}</definedName>
    <definedName name="__ttt1" localSheetId="0" hidden="1">{"'Sheet1'!$L$16"}</definedName>
    <definedName name="__tu4" localSheetId="0" hidden="1">{"'Sheet1'!$L$16"}</definedName>
    <definedName name="__TV2" localSheetId="0" hidden="1">{"'Sheet1'!$L$16"}</definedName>
    <definedName name="__TH1" localSheetId="0" hidden="1">{"'Sheet1'!$L$16"}</definedName>
    <definedName name="__THT11" localSheetId="0" hidden="1">{"'Sheet1'!$L$16"}</definedName>
    <definedName name="__UI33" localSheetId="0" hidden="1">{"'Sheet1'!$L$16"}</definedName>
    <definedName name="__vpt5" localSheetId="0" hidden="1">{"'Sheet1'!$L$16"}</definedName>
    <definedName name="__vpt6" localSheetId="0" hidden="1">{"'Sheet1'!$L$16"}</definedName>
    <definedName name="__VT3" localSheetId="0" hidden="1">{"'Sheet1'!$L$16"}</definedName>
    <definedName name="__VT675" localSheetId="0"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3.p854._.addendum." localSheetId="0" hidden="1">{#N/A,#N/A,FALSE,"mgtsum.XLS";#N/A,#N/A,FALSE,"CAPONE";#N/A,#N/A,FALSE,"CAPTWO";#N/A,#N/A,FALSE,"CAPTHREE"}</definedName>
    <definedName name="_11P3_" localSheetId="0" hidden="1">{#N/A,#N/A,FALSE,"特殊室（ＢＱ表）"}</definedName>
    <definedName name="_16fd2_" localSheetId="0"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7a1_" localSheetId="0"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P3_" localSheetId="0" hidden="1">{#N/A,#N/A,FALSE,"特殊室（ＢＱ表）"}</definedName>
    <definedName name="_21P3_" localSheetId="0" hidden="1">{#N/A,#N/A,FALSE,"特殊室（ＢＱ表）"}</definedName>
    <definedName name="_2a1_" localSheetId="0"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3a1_" localSheetId="0" hidden="1">{"'Sheet1'!$L$16"}</definedName>
    <definedName name="_6fd2_" localSheetId="0" hidden="1">{#N/A,#N/A,TRUE,"Cover Memo";"Complete Sys. Estimate",#N/A,TRUE,"Change Summary";"Complete Sys. Estimate",#N/A,TRUE,"Estimate Summary";"Complete Sys. Estimate",#N/A,TRUE,"Dept. Summary";"Complete Sys. Estimate",#N/A,TRUE,"DOW Detail"}</definedName>
    <definedName name="_a1" localSheetId="0" hidden="1">{"'Sheet1'!$L$16"}</definedName>
    <definedName name="_a1_1" localSheetId="0" hidden="1">{"'Sheet1'!$L$16"}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s" localSheetId="0" hidden="1">{"'Sheet1'!$L$16"}</definedName>
    <definedName name="_a2" localSheetId="0" hidden="1">{"'Sheet1'!$L$16"}</definedName>
    <definedName name="_A4" localSheetId="0" hidden="1">{"'Sheet1'!$L$16"}</definedName>
    <definedName name="_a9" localSheetId="0" hidden="1">{"'Sheet1'!$L$16"}</definedName>
    <definedName name="_b01" localSheetId="0" hidden="1">{#N/A,#N/A,FALSE,"MARCH"}</definedName>
    <definedName name="_B2" localSheetId="0" hidden="1">{"'Sheet1'!$L$16"}</definedName>
    <definedName name="_ba1" localSheetId="0" hidden="1">{#N/A,#N/A,FALSE,"Chi tiÆt"}</definedName>
    <definedName name="_ba2" localSheetId="0" hidden="1">{#N/A,#N/A,FALSE,"Chi tiÆt"}</definedName>
    <definedName name="_BG12" localSheetId="0" hidden="1">{"'Sheet1'!$L$16"}</definedName>
    <definedName name="_bht4" localSheetId="0" hidden="1">{#N/A,#N/A,FALSE,"Chi tiÆt"}</definedName>
    <definedName name="_bht5" localSheetId="0" hidden="1">{#N/A,#N/A,FALSE,"Chi tiÆt"}</definedName>
    <definedName name="_bht6" localSheetId="0" hidden="1">{"'Sheet1'!$L$16"}</definedName>
    <definedName name="_ccr1" localSheetId="0" hidden="1">{#N/A,#N/A,TRUE,"Cover";#N/A,#N/A,TRUE,"Conts";#N/A,#N/A,TRUE,"VOS";#N/A,#N/A,TRUE,"Warrington";#N/A,#N/A,TRUE,"Widnes"}</definedName>
    <definedName name="_CN1" localSheetId="0" hidden="1">{"'Sheet1'!$L$16"}</definedName>
    <definedName name="_coc1000" localSheetId="0" hidden="1">{#N/A,#N/A,FALSE,"Chi tiÆt"}</definedName>
    <definedName name="_Coc39" localSheetId="0" hidden="1">{"'Sheet1'!$L$16"}</definedName>
    <definedName name="_CT2" localSheetId="0" hidden="1">{"'Sheet1'!$L$16"}</definedName>
    <definedName name="_ct2005" localSheetId="0" hidden="1">{"'Sheet1'!$L$16"}</definedName>
    <definedName name="_CT4" localSheetId="0" hidden="1">{"'Sheet1'!$L$16"}</definedName>
    <definedName name="_Cty501" localSheetId="0" hidden="1">{"'Sheet1'!$L$16"}</definedName>
    <definedName name="_d12" localSheetId="0" hidden="1">{"'Sheet1'!$L$16"}</definedName>
    <definedName name="_d1500" localSheetId="0" hidden="1">{"'Sheet1'!$L$16"}</definedName>
    <definedName name="_d2" localSheetId="0" hidden="1">{#N/A,#N/A,FALSE,"mgtsum.XLS";#N/A,#N/A,FALSE,"CAPONE";#N/A,#N/A,FALSE,"CAPTWO";#N/A,#N/A,FALSE,"CAPTHREE"}</definedName>
    <definedName name="_dt1" localSheetId="0" hidden="1">{"'Sheet1'!$L$16"}</definedName>
    <definedName name="_DT10" localSheetId="0" hidden="1">{"'Sheet1'!$L$16"}</definedName>
    <definedName name="_e2" localSheetId="0" hidden="1">{"'Sheet1'!$L$16"}</definedName>
    <definedName name="_ewt3" localSheetId="0" hidden="1">{#N/A,#N/A,FALSE,"CCTV"}</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D12" localSheetId="0" hidden="1">{"'Sheet1'!$L$16"}</definedName>
    <definedName name="_G4211" localSheetId="0" hidden="1">{"'Sheet1'!$L$16"}</definedName>
    <definedName name="_Goi8" localSheetId="0" hidden="1">{"'Sheet1'!$L$16"}</definedName>
    <definedName name="_Goi8_1" localSheetId="0" hidden="1">{"'Sheet1'!$L$16"}</definedName>
    <definedName name="_h1" localSheetId="0" hidden="1">{"'Sheet1'!$L$16"}</definedName>
    <definedName name="_h12" localSheetId="0" hidden="1">{"'Sheet1'!$L$16"}</definedName>
    <definedName name="_h14" localSheetId="0" hidden="1">{"'Sheet1'!$L$16"}</definedName>
    <definedName name="_h2" localSheetId="0" hidden="1">{"'Sheet1'!$L$16"}</definedName>
    <definedName name="_hh1219" localSheetId="0" hidden="1">{"'Sheet1'!$L$16"}</definedName>
    <definedName name="_hu1" localSheetId="0" hidden="1">{"'Sheet1'!$L$16"}</definedName>
    <definedName name="_hu2" localSheetId="0" hidden="1">{"'Sheet1'!$L$16"}</definedName>
    <definedName name="_hu5" localSheetId="0" hidden="1">{"'Sheet1'!$L$16"}</definedName>
    <definedName name="_hu57" localSheetId="0" hidden="1">{"'Sheet1'!$L$16"}</definedName>
    <definedName name="_hu6" localSheetId="0" hidden="1">{"'Sheet1'!$L$16"}</definedName>
    <definedName name="_hu7" localSheetId="0" hidden="1">{"'Sheet1'!$L$16"}</definedName>
    <definedName name="_huy1" localSheetId="0" hidden="1">{"'Sheet1'!$L$16"}</definedName>
    <definedName name="_huy2" localSheetId="0" hidden="1">{"'Sheet1'!$L$16"}</definedName>
    <definedName name="_K146" localSheetId="0" hidden="1">{"'Sheet1'!$L$16"}</definedName>
    <definedName name="_kl11" localSheetId="0" hidden="1">{"'Sheet1'!$L$16"}</definedName>
    <definedName name="_kl4" localSheetId="0" hidden="1">{"'Sheet1'!$L$16"}</definedName>
    <definedName name="_kl6" localSheetId="0" hidden="1">{"'Sheet1'!$L$16"}</definedName>
    <definedName name="_KH12" localSheetId="0" hidden="1">{#N/A,#N/A,FALSE,"Chi tiÆt"}</definedName>
    <definedName name="_khq3" localSheetId="0" hidden="1">{"'Sheet1'!$L$16"}</definedName>
    <definedName name="_Lan1" localSheetId="0" hidden="1">{"'Sheet1'!$L$16"}</definedName>
    <definedName name="_Lan2" localSheetId="0" hidden="1">{"'Sheet1'!$L$16"}</definedName>
    <definedName name="_LAN3" localSheetId="0" hidden="1">{"'Sheet1'!$L$16"}</definedName>
    <definedName name="_lao2" localSheetId="0" hidden="1">{"'Sheet1'!$L$16"}</definedName>
    <definedName name="_ld2" localSheetId="0" hidden="1">{"'Sheet1'!$L$16"}</definedName>
    <definedName name="_lk2" localSheetId="0" hidden="1">{"'Sheet1'!$L$16"}</definedName>
    <definedName name="_lop111" localSheetId="0" hidden="1">{#N/A,#N/A,FALSE,"特殊室（ＢＱ表）"}</definedName>
    <definedName name="_M2" localSheetId="0" hidden="1">{"'Sheet1'!$L$16"}</definedName>
    <definedName name="_M36" localSheetId="0" hidden="1">{"'Sheet1'!$L$16"}</definedName>
    <definedName name="_m4" localSheetId="0" hidden="1">{"'Sheet1'!$L$16"}</definedName>
    <definedName name="_MCC3" localSheetId="0" hidden="1">{#N/A,#N/A,FALSE,"CCTV"}</definedName>
    <definedName name="_nam1" localSheetId="0" hidden="1">{"'Sheet1'!$L$16"}</definedName>
    <definedName name="_NAM11" localSheetId="0" hidden="1">{#N/A,#N/A,FALSE,"Chi tiÆt"}</definedName>
    <definedName name="_nso1" localSheetId="0" hidden="1">{"'Sheet1'!$L$16"}</definedName>
    <definedName name="_NSO2" localSheetId="0" hidden="1">{"'Sheet1'!$L$16"}</definedName>
    <definedName name="_ngk1109" localSheetId="0" hidden="1">{#N/A,#N/A,FALSE,"估價單  (3)"}</definedName>
    <definedName name="_P3" localSheetId="0" hidden="1">{#N/A,#N/A,FALSE,"特殊室（ＢＱ表）"}</definedName>
    <definedName name="_pa2" localSheetId="0" hidden="1">{"'Sheet1'!$L$16"}</definedName>
    <definedName name="_pa22" localSheetId="0" hidden="1">{"'ROOF'!$B$6","'ROOF'!$B$6","'ROOF'!$B$6","'ROOF'!$B$6"}</definedName>
    <definedName name="_PA3" localSheetId="0" hidden="1">{"'Sheet1'!$L$16"}</definedName>
    <definedName name="_PK2" localSheetId="0" hidden="1">{"'장비'!$A$3:$M$12"}</definedName>
    <definedName name="_PKG3" localSheetId="0" hidden="1">{"'장비'!$A$3:$M$12"}</definedName>
    <definedName name="_PP1" localSheetId="0" hidden="1">{#N/A,#N/A,FALSE,"CCTV"}</definedName>
    <definedName name="_PPP3" localSheetId="0" hidden="1">{#N/A,#N/A,FALSE,"特殊室（ＢＱ表）"}</definedName>
    <definedName name="_PPP33" localSheetId="0" hidden="1">{#N/A,#N/A,FALSE,"特殊室（ＢＱ表）"}</definedName>
    <definedName name="_ppp34" localSheetId="0" hidden="1">{#N/A,#N/A,FALSE,"特殊室（ＢＱ表）"}</definedName>
    <definedName name="_ppp3444" localSheetId="0" hidden="1">{#N/A,#N/A,FALSE,"特殊室（ＢＱ表）"}</definedName>
    <definedName name="_phu3" localSheetId="0" hidden="1">{"'Sheet1'!$L$16"}</definedName>
    <definedName name="_q45" localSheetId="0" hidden="1">{"'용역비'!$A$4:$C$8"}</definedName>
    <definedName name="_qqq222" localSheetId="0" hidden="1">{"'장비'!$A$3:$M$12"}</definedName>
    <definedName name="_r" localSheetId="0" hidden="1">{"'Sheet1'!$L$16"}</definedName>
    <definedName name="_REV1" localSheetId="0" hidden="1">{#N/A,#N/A,TRUE,"Str.";#N/A,#N/A,TRUE,"Steel &amp; Roof";#N/A,#N/A,TRUE,"Arc.";#N/A,#N/A,TRUE,"Preliminary";#N/A,#N/A,TRUE,"Sum_Prelim"}</definedName>
    <definedName name="_Rh90" localSheetId="0" hidden="1">{"'Sheet1'!$L$16"}</definedName>
    <definedName name="_SCL4" localSheetId="0" hidden="1">{"'Sheet1'!$L$16"}</definedName>
    <definedName name="_SCL4_1" localSheetId="0" hidden="1">{"'Sheet1'!$L$16"}</definedName>
    <definedName name="_SHI1" localSheetId="0" hidden="1">{"'Sheet1'!$L$16"}</definedName>
    <definedName name="_ss1" localSheetId="0" hidden="1">{0}</definedName>
    <definedName name="_ss4" localSheetId="0" hidden="1">{0,0,0,0;0,0,0,0;0,0,0,0;0,0,0,0;0,0,0,0;0,0,0,0;0,0,0,0}</definedName>
    <definedName name="_SXT3" localSheetId="0" hidden="1">{#N/A,#N/A,FALSE,"Chi tiÆt"}</definedName>
    <definedName name="_sxt5" localSheetId="0" hidden="1">{"'Sheet1'!$L$16"}</definedName>
    <definedName name="_sxt6" localSheetId="0" hidden="1">{#N/A,#N/A,FALSE,"Chi tiÆt"}</definedName>
    <definedName name="_T1" localSheetId="0" hidden="1">{#N/A,#N/A,FALSE,"Chi tiÆt"}</definedName>
    <definedName name="_T10" localSheetId="0" hidden="1">{"'Sheet1'!$L$16"}</definedName>
    <definedName name="_t112" localSheetId="0" hidden="1">{#N/A,#N/A,FALSE,"Chi tiÆt"}</definedName>
    <definedName name="_T12" localSheetId="0" hidden="1">{"'Sheet1'!$L$16"}</definedName>
    <definedName name="_t2" localSheetId="0" hidden="1">{"'Sheet1'!$L$16"}</definedName>
    <definedName name="_T3" localSheetId="0" hidden="1">{"'Sheet1'!$L$16"}</definedName>
    <definedName name="_t4" localSheetId="0" hidden="1">{"'Sheet1'!$L$16"}</definedName>
    <definedName name="_t5" localSheetId="0" hidden="1">{"'Sheet1'!$L$16"}</definedName>
    <definedName name="_T9" localSheetId="0" hidden="1">{#N/A,#N/A,FALSE,"Chi tiÆt"}</definedName>
    <definedName name="_tb2" localSheetId="0" hidden="1">{"'Sheet1'!$L$16"}</definedName>
    <definedName name="_td1" localSheetId="0" hidden="1">{"'Sheet1'!$L$16"}</definedName>
    <definedName name="_TM2" localSheetId="0" hidden="1">{"'Sheet1'!$L$16"}</definedName>
    <definedName name="_TT11" localSheetId="0" hidden="1">{"'Sheet1'!$L$16"}</definedName>
    <definedName name="_tt3" localSheetId="0" hidden="1">{"'Sheet1'!$L$16"}</definedName>
    <definedName name="_TT31" localSheetId="0" hidden="1">{"'Sheet1'!$L$16"}</definedName>
    <definedName name="_TT623" localSheetId="0" hidden="1">{"'Sheet1'!$L$16"}</definedName>
    <definedName name="_ttt1" localSheetId="0" hidden="1">{"'Sheet1'!$L$16"}</definedName>
    <definedName name="_tu4" localSheetId="0" hidden="1">{"'Sheet1'!$L$16"}</definedName>
    <definedName name="_TV2" localSheetId="0" hidden="1">{"'Sheet1'!$L$16"}</definedName>
    <definedName name="_TH1" localSheetId="0" hidden="1">{"'Sheet1'!$L$16"}</definedName>
    <definedName name="_tha1" localSheetId="0" hidden="1">{"'Sheet1'!$L$16"}</definedName>
    <definedName name="_THT11" localSheetId="0" hidden="1">{"'Sheet1'!$L$16"}</definedName>
    <definedName name="_vl1" localSheetId="0" hidden="1">{"'Sheet1'!$L$16"}</definedName>
    <definedName name="_VO15" localSheetId="0" hidden="1">{"'CPA Sum'!$A$1:$X$30","'CPA'!$A$1:$K$187","'Infra Cost'!$A$1:$Q$30","'Dev't Cost'!$A$1:$AH$40","'Cashflow'!$A$1:$DG$82"}</definedName>
    <definedName name="_vpt5" localSheetId="0" hidden="1">{"'Sheet1'!$L$16"}</definedName>
    <definedName name="_vpt6" localSheetId="0" hidden="1">{"'Sheet1'!$L$16"}</definedName>
    <definedName name="_VT3" localSheetId="0" hidden="1">{"'Sheet1'!$L$16"}</definedName>
    <definedName name="_VT675" localSheetId="0"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WRN2.P854._.addendum." localSheetId="0" hidden="1">{#N/A,#N/A,FALSE,"mgtsum.XLS";#N/A,#N/A,FALSE,"CAPONE";#N/A,#N/A,FALSE,"CAPTWO";#N/A,#N/A,FALSE,"CAPTHREE"}</definedName>
    <definedName name="_wrn3.p854._.addendum." localSheetId="0" hidden="1">{#N/A,#N/A,FALSE,"mgtsum.XLS";#N/A,#N/A,FALSE,"CAPONE";#N/A,#N/A,FALSE,"CAPTWO";#N/A,#N/A,FALSE,"CAPTHREE"}</definedName>
    <definedName name="¸d" localSheetId="0" hidden="1">{"'Sheet1'!$L$16"}</definedName>
    <definedName name="a129_xoa" localSheetId="0"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moi" localSheetId="0" hidden="1">{"'Sheet1'!$L$16"}</definedName>
    <definedName name="a3rt" localSheetId="0" hidden="1">{"'Sheet1'!$L$16"}</definedName>
    <definedName name="AAAAA" localSheetId="0" hidden="1">{0}</definedName>
    <definedName name="aaaaaa" localSheetId="0" hidden="1">{"Offgrid",#N/A,FALSE,"OFFGRID";"Region",#N/A,FALSE,"REGION";"Offgrid -2",#N/A,FALSE,"OFFGRID";"WTP",#N/A,FALSE,"WTP";"WTP -2",#N/A,FALSE,"WTP";"Project",#N/A,FALSE,"PROJECT";"Summary -2",#N/A,FALSE,"SUMMARY"}</definedName>
    <definedName name="aaaaaaaaaaaaaaaa" localSheetId="0" hidden="1">{#N/A,#N/A,FALSE,"CCTV"}</definedName>
    <definedName name="aaag" localSheetId="0" hidden="1">{#N/A,#N/A,TRUE,"SUM";#N/A,#N/A,TRUE,"EE";#N/A,#N/A,TRUE,"AC";#N/A,#N/A,TRUE,"SN"}</definedName>
    <definedName name="aakdf" localSheetId="0" hidden="1">{#N/A,#N/A,FALSE,"mgtsum.XLS";#N/A,#N/A,FALSE,"CAPONE";#N/A,#N/A,FALSE,"CAPTWO";#N/A,#N/A,FALSE,"CAPTHREE"}</definedName>
    <definedName name="ÀASA" localSheetId="0" hidden="1">{"'Sheet1'!$L$16"}</definedName>
    <definedName name="aasasas" localSheetId="0" hidden="1">{"'Sheet1'!$L$16"}</definedName>
    <definedName name="aassa" localSheetId="0" hidden="1">{"'Sheet1'!$L$16"}</definedName>
    <definedName name="AAX" localSheetId="0" hidden="1">{#N/A,#N/A,TRUE,"SUM";#N/A,#N/A,TRUE,"EE";#N/A,#N/A,TRUE,"AC";#N/A,#N/A,TRUE,"SN"}</definedName>
    <definedName name="ABAB" localSheetId="0" hidden="1">{#N/A,#N/A,FALSE,"CCTV"}</definedName>
    <definedName name="abcd" localSheetId="0" hidden="1">{#N/A,#N/A,FALSE,"特殊室（ＢＱ表）"}</definedName>
    <definedName name="abcdefg" localSheetId="0" hidden="1">{#N/A,#N/A,FALSE,"mgtsum.XLS";#N/A,#N/A,FALSE,"CAPONE";#N/A,#N/A,FALSE,"CAPTWO";#N/A,#N/A,FALSE,"CAPTHREE"}</definedName>
    <definedName name="abcxyz" localSheetId="0" hidden="1">{#N/A,#N/A,FALSE,"mgtsum.XLS";#N/A,#N/A,FALSE,"CAPONE";#N/A,#N/A,FALSE,"CAPTWO";#N/A,#N/A,FALSE,"CAPTHREE"}</definedName>
    <definedName name="acd" localSheetId="0" hidden="1">{"'Sheet1'!$L$16"}</definedName>
    <definedName name="ACMV" localSheetId="0" hidden="1">{"'Sheet1'!$L$16"}</definedName>
    <definedName name="ACMV_1" localSheetId="0" hidden="1">{"'Sheet1'!$L$16"}</definedName>
    <definedName name="ád" localSheetId="0" hidden="1">{#N/A,#N/A,TRUE,"BT M200 da 10x20"}</definedName>
    <definedName name="AD_1" localSheetId="0" hidden="1">{"'Sheet1'!$L$16"}</definedName>
    <definedName name="ada" localSheetId="0" hidden="1">{"'Sheet1'!$L$16"}</definedName>
    <definedName name="adad" localSheetId="0" hidden="1">{"'Sheet1'!$L$16"}</definedName>
    <definedName name="adadada" localSheetId="0" hidden="1">{0,0,0,0;0,0,0,0;0,0,0,0;0,0,0,0;0,0,0,0;0,0,0,0;0,0,0,0}</definedName>
    <definedName name="ADADADD" localSheetId="0" hidden="1">{"'Sheet1'!$L$16"}</definedName>
    <definedName name="adaf" localSheetId="0" hidden="1">{"'Sheet1'!$L$16"}</definedName>
    <definedName name="ÁDAF" localSheetId="0" hidden="1">{"'Sheet1'!$L$16"}</definedName>
    <definedName name="ádas" localSheetId="0" hidden="1">{"'Sheet1'!$L$16"}</definedName>
    <definedName name="ÁDASDFASFA" localSheetId="0" hidden="1">{"'Sheet1'!$L$16"}</definedName>
    <definedName name="adasfgdsg" localSheetId="0" hidden="1">{"'Sheet1'!$L$16"}</definedName>
    <definedName name="adc" localSheetId="0" hidden="1">{#N/A,#N/A,FALSE,"CCTV"}</definedName>
    <definedName name="ADCD" localSheetId="0" hidden="1">{#N/A,#N/A,FALSE,"特殊室（ＢＱ表）"}</definedName>
    <definedName name="ade" localSheetId="0" hidden="1">{#N/A,#N/A,FALSE,"Chi tiÆt"}</definedName>
    <definedName name="ÁDFGHJ" localSheetId="0" hidden="1">{"'Sheet1'!$L$16"}</definedName>
    <definedName name="àds" localSheetId="0" hidden="1">{"'Sheet1'!$L$16"}</definedName>
    <definedName name="áds" localSheetId="0" hidden="1">{"'Sheet1'!$L$16"}</definedName>
    <definedName name="adsadsa" localSheetId="0"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ádsấ" localSheetId="0" hidden="1">{#N/A,#N/A,FALSE,"Tabelle2";#N/A,#N/A,FALSE,"Tabelle1"}</definedName>
    <definedName name="advass" localSheetId="0" hidden="1">{"'Sheet1'!$L$16"}</definedName>
    <definedName name="ae" localSheetId="0" hidden="1">{"'Sheet1'!$L$16"}</definedName>
    <definedName name="aefaef" localSheetId="0" hidden="1">{"'Sheet1'!$L$16"}</definedName>
    <definedName name="aefesa" localSheetId="0" hidden="1">{"'Sheet1'!$L$16"}</definedName>
    <definedName name="aesde" localSheetId="0" hidden="1">{#N/A,#N/A,FALSE,"CCTV"}</definedName>
    <definedName name="AEWWQAFDASF" localSheetId="0" hidden="1">{"'Sheet1'!$L$16"}</definedName>
    <definedName name="afafa" localSheetId="0"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DFD" localSheetId="0"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ff" localSheetId="0" hidden="1">{"'Sheet1'!$L$16"}</definedName>
    <definedName name="AFWRR" localSheetId="0" hidden="1">{"'Sheet1'!$L$16"}</definedName>
    <definedName name="AGE" localSheetId="0" hidden="1">{"'Sheet1'!$L$16"}</definedName>
    <definedName name="ah" localSheetId="0" hidden="1">{"'Sheet1'!$L$16"}</definedName>
    <definedName name="ahah" localSheetId="0" hidden="1">{"'Sheet1'!$L$16"}</definedName>
    <definedName name="ahajdks" localSheetId="0" hidden="1">{"'Sheet1'!$L$16"}</definedName>
    <definedName name="AHGA" localSheetId="0" hidden="1">{"'Sheet1'!$L$16"}</definedName>
    <definedName name="ahtjht" localSheetId="0"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0" hidden="1">{"'Sheet1'!$L$16"}</definedName>
    <definedName name="ameeenn" localSheetId="0" hidden="1">{#N/A,#N/A,FALSE,"估價單  (3)"}</definedName>
    <definedName name="An" localSheetId="0" hidden="1">{"'Sheet1'!$L$16"}</definedName>
    <definedName name="Antoan" localSheetId="0" hidden="1">{"'Sheet1'!$L$16"}</definedName>
    <definedName name="aqe" localSheetId="0" hidden="1">{"'Sheet1'!$L$16"}</definedName>
    <definedName name="aqwerq" localSheetId="0" hidden="1">{"'Sheet1'!$L$16"}</definedName>
    <definedName name="asa" localSheetId="0" hidden="1">{"'Sheet1'!$L$16"}</definedName>
    <definedName name="asas" localSheetId="0" hidden="1">{#N/A,#N/A,FALSE,"Sheet2";#N/A,#N/A,FALSE,"Sheet4";#N/A,#N/A,FALSE,"Sheet6"}</definedName>
    <definedName name="asca" localSheetId="0" hidden="1">{"'Sheet1'!$L$16"}</definedName>
    <definedName name="asdada" localSheetId="0"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d" localSheetId="0" hidden="1">{"'Sheet1'!$L$16"}</definedName>
    <definedName name="ASDASDSADAS" localSheetId="0" hidden="1">{"'Sheet1'!$L$16"}</definedName>
    <definedName name="asdc" localSheetId="0" hidden="1">{#N/A,#N/A,FALSE,"변경관리예산";#N/A,#N/A,FALSE,"변경장비예산";#N/A,#N/A,FALSE,"변경준설예산";#N/A,#N/A,FALSE,"변경철구예산"}</definedName>
    <definedName name="asdf" localSheetId="0" hidden="1">{#N/A,#N/A,FALSE,"Chi tiÆt"}</definedName>
    <definedName name="asdffgggh" localSheetId="0" hidden="1">{"'Sheet1'!$L$16"}</definedName>
    <definedName name="asdfg" localSheetId="0" hidden="1">{"'Sheet1'!$L$16"}</definedName>
    <definedName name="aserasdea" localSheetId="0" hidden="1">{"'Sheet1'!$L$16"}</definedName>
    <definedName name="asf" localSheetId="0" hidden="1">{"'Sheet1'!$L$16"}</definedName>
    <definedName name="asfsf" localSheetId="0" hidden="1">{"'Sheet1'!$L$16"}</definedName>
    <definedName name="asmd" localSheetId="0" hidden="1">{#N/A,#N/A,FALSE,"Chi tiÆt"}</definedName>
    <definedName name="ASS" localSheetId="0" hidden="1">{"'Sheet1'!$L$16"}</definedName>
    <definedName name="asss" localSheetId="0" hidden="1">{"'Sheet1'!$L$16"}</definedName>
    <definedName name="asssss" localSheetId="0" hidden="1">{"'Sheet1'!$L$16"}</definedName>
    <definedName name="ata" localSheetId="0" hidden="1">{#N/A,#N/A,FALSE,"CCTV"}</definedName>
    <definedName name="ATGT" localSheetId="0" hidden="1">{"'Sheet1'!$L$16"}</definedName>
    <definedName name="atien1" localSheetId="0" hidden="1">{"'Sheet1'!$L$16"}</definedName>
    <definedName name="AU" localSheetId="0"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wegw" localSheetId="0" hidden="1">{#N/A,#N/A,TRUE,"BT M200 da 10x20"}</definedName>
    <definedName name="ằ" localSheetId="0" hidden="1">{"'Sheet1'!$L$16"}</definedName>
    <definedName name="ĂFRSGDF" localSheetId="0" hidden="1">{"'Sheet1'!$L$16"}</definedName>
    <definedName name="ăg" localSheetId="0" hidden="1">{"'Sheet1'!$L$16"}</definedName>
    <definedName name="â" localSheetId="0" hidden="1">{"'Sheet1'!$L$16"}</definedName>
    <definedName name="ầ" localSheetId="0" hidden="1">{"'Sheet1'!$L$16"}</definedName>
    <definedName name="ấdfsdfasdfsd" localSheetId="0" hidden="1">{"'Sheet1'!$L$16"}</definedName>
    <definedName name="âfA" localSheetId="0" hidden="1">{"'Sheet1'!$L$16"}</definedName>
    <definedName name="ẩgg" localSheetId="0" hidden="1">{"'Sheet1'!$L$16"}</definedName>
    <definedName name="ầgga" localSheetId="0" hidden="1">{"'Sheet1'!$L$16"}</definedName>
    <definedName name="ÂSSSSS" localSheetId="0" hidden="1">{"'Sheet1'!$L$16"}</definedName>
    <definedName name="b14b" localSheetId="0" hidden="1">{"'Sheet1'!$L$16"}</definedName>
    <definedName name="b14b1" localSheetId="0" hidden="1">{"'Sheet1'!$L$16"}</definedName>
    <definedName name="B1V" localSheetId="0" hidden="1">{"'ROOF'!$B$6","'ROOF'!$B$6","'ROOF'!$B$6","'ROOF'!$B$6"}</definedName>
    <definedName name="B2.Other" localSheetId="0" hidden="1">{"'Sheet1'!$L$16"}</definedName>
    <definedName name="b22aaa" localSheetId="0" hidden="1">{"'ROOF'!$B$6","'ROOF'!$B$6","'ROOF'!$B$6","'ROOF'!$B$6"}</definedName>
    <definedName name="b2b" localSheetId="0" hidden="1">{"'ROOF'!$B$6","'ROOF'!$B$6","'ROOF'!$B$6","'ROOF'!$B$6"}</definedName>
    <definedName name="B2BB" localSheetId="0" hidden="1">{"'ROOF'!$B$6","'ROOF'!$B$6","'ROOF'!$B$6","'ROOF'!$B$6"}</definedName>
    <definedName name="b2bbb" localSheetId="0" hidden="1">{"'ROOF'!$B$6","'ROOF'!$B$6","'ROOF'!$B$6","'ROOF'!$B$6"}</definedName>
    <definedName name="B2C" localSheetId="0" hidden="1">{"'ROOF'!$B$6","'ROOF'!$B$6","'ROOF'!$B$6","'ROOF'!$B$6"}</definedName>
    <definedName name="b2d" localSheetId="0" hidden="1">{"'ROOF'!$B$6","'ROOF'!$B$6","'ROOF'!$B$6","'ROOF'!$B$6"}</definedName>
    <definedName name="b2e" localSheetId="0" hidden="1">{"'ROOF'!$B$6","'ROOF'!$B$6","'ROOF'!$B$6","'ROOF'!$B$6"}</definedName>
    <definedName name="b2f" localSheetId="0" hidden="1">{"'ROOF'!$B$6","'ROOF'!$B$6","'ROOF'!$B$6","'ROOF'!$B$6"}</definedName>
    <definedName name="B2G" localSheetId="0" hidden="1">{"'ROOF'!$B$6","'ROOF'!$B$6","'ROOF'!$B$6","'ROOF'!$B$6"}</definedName>
    <definedName name="B2GG" localSheetId="0" hidden="1">{"'ROOF'!$B$6","'ROOF'!$B$6","'ROOF'!$B$6","'ROOF'!$B$6"}</definedName>
    <definedName name="B2GSSL" localSheetId="0" hidden="1">{"'ROOF'!$B$6","'ROOF'!$B$6","'ROOF'!$B$6","'ROOF'!$B$6"}</definedName>
    <definedName name="B2H" localSheetId="0" hidden="1">{"'ROOF'!$B$6","'ROOF'!$B$6","'ROOF'!$B$6","'ROOF'!$B$6"}</definedName>
    <definedName name="B2J" localSheetId="0" hidden="1">{"'ROOF'!$B$6","'ROOF'!$B$6","'ROOF'!$B$6","'ROOF'!$B$6"}</definedName>
    <definedName name="b2k" localSheetId="0" hidden="1">{"'ROOF'!$B$6","'ROOF'!$B$6","'ROOF'!$B$6","'ROOF'!$B$6"}</definedName>
    <definedName name="b2l" localSheetId="0" hidden="1">{"'ROOF'!$B$6","'ROOF'!$B$6","'ROOF'!$B$6","'ROOF'!$B$6"}</definedName>
    <definedName name="b3sl" localSheetId="0" hidden="1">{"'ROOF'!$B$6","'ROOF'!$B$6","'ROOF'!$B$6","'ROOF'!$B$6"}</definedName>
    <definedName name="b5sl" localSheetId="0" hidden="1">{"'ROOF'!$B$6","'ROOF'!$B$6","'ROOF'!$B$6","'ROOF'!$B$6"}</definedName>
    <definedName name="b5slL" localSheetId="0" hidden="1">{"'ROOF'!$B$6","'ROOF'!$B$6","'ROOF'!$B$6","'ROOF'!$B$6"}</definedName>
    <definedName name="B6a" localSheetId="0" hidden="1">{"'Sheet1'!$L$16"}</definedName>
    <definedName name="bai" localSheetId="0" hidden="1">{"'Sheet1'!$L$16"}</definedName>
    <definedName name="banQL" localSheetId="0" hidden="1">{"'Sheet1'!$L$16"}</definedName>
    <definedName name="BB" localSheetId="0" hidden="1">{#N/A,#N/A,FALSE,"Sheet1";#N/A,#N/A,FALSE,"Sheet3";#N/A,#N/A,FALSE,"Sheet5"}</definedName>
    <definedName name="BB_new" localSheetId="0" hidden="1">{"'Sheet1'!$L$16"}</definedName>
    <definedName name="BBB" localSheetId="0" hidden="1">{"'Sheet1'!$L$16"}</definedName>
    <definedName name="bbbb" localSheetId="0" hidden="1">{"'Sheet1'!$L$16"}</definedName>
    <definedName name="ｂｂｂｂｂ" localSheetId="0" hidden="1">{"'Sheet1'!$L$16"}</definedName>
    <definedName name="BBBG" localSheetId="0" hidden="1">{"'Sheet1'!$L$16"}</definedName>
    <definedName name="bbfd" localSheetId="0" hidden="1">{#N/A,#N/A,FALSE,"Chi tiÆt"}</definedName>
    <definedName name="BBKK" localSheetId="0" hidden="1">{"'Sheet1'!$L$16"}</definedName>
    <definedName name="bc" localSheetId="0" hidden="1">{"'Sheet1'!$L$16"}</definedName>
    <definedName name="bcb" localSheetId="0" hidden="1">{"'Sheet1'!$L$16"}</definedName>
    <definedName name="BCTQ" localSheetId="0" hidden="1">{"'Sheet1'!$L$16"}</definedName>
    <definedName name="BCTV" localSheetId="0" hidden="1">{"'Sheet1'!$L$16"}</definedName>
    <definedName name="bcv" localSheetId="0" hidden="1">{"'Sheet1'!$L$16"}</definedName>
    <definedName name="BDFBDFBDF" localSheetId="0" hidden="1">{"'Sheet1'!$L$16"}</definedName>
    <definedName name="BDGNDNGB" localSheetId="0" hidden="1">{"'Sheet1'!$L$16"}</definedName>
    <definedName name="bdv" localSheetId="0" hidden="1">{"'Sheet1'!$L$16"}</definedName>
    <definedName name="bemai" localSheetId="0" hidden="1">{"'Sheet1'!$L$16"}</definedName>
    <definedName name="BFSBFD" localSheetId="0" hidden="1">{"'Sheet1'!$L$16"}</definedName>
    <definedName name="bg" localSheetId="0" hidden="1">{"'Sheet1'!$L$16"}</definedName>
    <definedName name="BGFNC" localSheetId="0" hidden="1">{"'Sheet1'!$L$16"}</definedName>
    <definedName name="BGHG" localSheetId="0" hidden="1">{#N/A,#N/A,FALSE,"估價單  (3)"}</definedName>
    <definedName name="bghui" localSheetId="0" hidden="1">{"'Sheet1'!$L$16"}</definedName>
    <definedName name="BGSFGSD" localSheetId="0" hidden="1">{"'Sheet1'!$L$16"}</definedName>
    <definedName name="Bgiang" localSheetId="0" hidden="1">{"'Sheet1'!$L$16"}</definedName>
    <definedName name="BHDB" localSheetId="0" hidden="1">{"'Sheet1'!$L$16"}</definedName>
    <definedName name="BHJ" localSheetId="0" hidden="1">{#N/A,#N/A,FALSE,"Sheet6"}</definedName>
    <definedName name="Bhthang4" localSheetId="0" hidden="1">{#N/A,#N/A,FALSE,"Chi tiÆt"}</definedName>
    <definedName name="bhthang5" localSheetId="0" hidden="1">{#N/A,#N/A,FALSE,"Chi tiÆt"}</definedName>
    <definedName name="bhthang6" localSheetId="0" hidden="1">{"'Sheet1'!$L$16"}</definedName>
    <definedName name="BI" localSheetId="0" hidden="1">{#N/A,#N/A,FALSE,"이태원철근"}</definedName>
    <definedName name="BIA" localSheetId="0" hidden="1">{"'Sheet1'!$L$16"}</definedName>
    <definedName name="bietthu" localSheetId="0" hidden="1">{"'Sheet1'!$L$16"}</definedName>
    <definedName name="BIGC" localSheetId="0" hidden="1">{#N/A,#N/A,TRUE,"Str.";#N/A,#N/A,TRUE,"Steel &amp; Roof";#N/A,#N/A,TRUE,"Arc.";#N/A,#N/A,TRUE,"Preliminary";#N/A,#N/A,TRUE,"Sum_Prelim"}</definedName>
    <definedName name="bill1a" localSheetId="0" hidden="1">{"'Sheet1'!$L$16"}</definedName>
    <definedName name="Binh" localSheetId="0" hidden="1">{"'Sheet1'!$L$16"}</definedName>
    <definedName name="BMS" localSheetId="0" hidden="1">{"'Sheet1'!$L$16"}</definedName>
    <definedName name="BN" localSheetId="0" hidden="1">{"'Sheet1'!$L$16"}</definedName>
    <definedName name="bnm" localSheetId="0" hidden="1">{#N/A,#N/A,FALSE,"Chi tiÆt"}</definedName>
    <definedName name="bo" localSheetId="0" hidden="1">{#N/A,#N/A,FALSE,"Chi tiÆt"}</definedName>
    <definedName name="book1" localSheetId="0" hidden="1">{"'现金流量表（全部投资）'!$B$4:$P$23"}</definedName>
    <definedName name="BOQ" localSheetId="0">{"Book1","BoQ2.XLS"}</definedName>
    <definedName name="BOQA2" localSheetId="0" hidden="1">{"'Sheet1'!$L$16"}</definedName>
    <definedName name="bql" localSheetId="0" hidden="1">{#N/A,#N/A,FALSE,"Chi tiÆt"}</definedName>
    <definedName name="BREAK" localSheetId="0" hidden="1">{#N/A,#N/A,FALSE,"CCTV"}</definedName>
    <definedName name="BSFSDBVSD" localSheetId="0" hidden="1">{"'Sheet1'!$L$16"}</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0" hidden="1">{"'Sheet1'!$L$16"}</definedName>
    <definedName name="btnm3" localSheetId="0" hidden="1">{"'Sheet1'!$L$16"}</definedName>
    <definedName name="BTH" localSheetId="0" hidden="1">{"'Sheet1'!$L$16"}</definedName>
    <definedName name="bu" localSheetId="0" hidden="1">{"'Sheet1'!$L$16"}</definedName>
    <definedName name="buoi" localSheetId="0" hidden="1">{"'Sheet1'!$L$16"}</definedName>
    <definedName name="bvb" localSheetId="0" hidden="1">{"NGUYEN QUI THIEP - Personal View",#N/A,FALSE,"XDCB.HT.FUR."}</definedName>
    <definedName name="bvx" localSheetId="0" hidden="1">{#N/A,#N/A,FALSE,"토공2"}</definedName>
    <definedName name="BXBXCBC" localSheetId="0" hidden="1">{"'Sheet1'!$L$16"}</definedName>
    <definedName name="bxvbx" localSheetId="0" hidden="1">{"'Sheet1'!$L$16"}</definedName>
    <definedName name="ca" localSheetId="0" hidden="1">{"'Sheet1'!$L$16"}</definedName>
    <definedName name="Cable" localSheetId="0" hidden="1">{"'Sheet1'!$L$16"}</definedName>
    <definedName name="cables" localSheetId="0" hidden="1">{"IMRAK42x8x8",#N/A,TRUE,"IMRAK 1400 42U 800X800";"IMRAK32x6x6",#N/A,TRUE,"IMRAK 1400 32U 600x600";"IMRAK42x12x8",#N/A,TRUE,"IMRAK 1400 42U 1200x800";"IMRAK15x6x4",#N/A,TRUE,"IMRAK 400 15U FRONT SECTION"}</definedName>
    <definedName name="caccccc" localSheetId="0" hidden="1">{"'Sheet1'!$L$16"}</definedName>
    <definedName name="CACSA" localSheetId="0" hidden="1">{"'Sheet1'!$L$16"}</definedName>
    <definedName name="CALBE" localSheetId="0" hidden="1">{"'Sheet1'!$L$16"}</definedName>
    <definedName name="cald" localSheetId="0" hidden="1">{#N/A,#N/A,FALSE,"CCTV"}</definedName>
    <definedName name="came" localSheetId="0" hidden="1">{"'Sheet1'!$L$16"}</definedName>
    <definedName name="CANON" localSheetId="0" hidden="1">{"'Sheet1'!$L$16"}</definedName>
    <definedName name="CaododayGa" localSheetId="0" hidden="1">{"'Sheet1'!$L$16"}</definedName>
    <definedName name="cap" localSheetId="0" hidden="1">{"'Sheet1'!$L$16"}</definedName>
    <definedName name="CARL" localSheetId="0" hidden="1">{#N/A,#N/A,FALSE,"CCTV"}</definedName>
    <definedName name="CARL1" localSheetId="0" hidden="1">{#N/A,#N/A,FALSE,"CCTV"}</definedName>
    <definedName name="CARL2" localSheetId="0" hidden="1">{#N/A,#N/A,FALSE,"CCTV"}</definedName>
    <definedName name="cashfl" localSheetId="0" hidden="1">{#N/A,#N/A,TRUE,"Cover";#N/A,#N/A,TRUE,"Conts";#N/A,#N/A,TRUE,"VOS";#N/A,#N/A,TRUE,"Warrington";#N/A,#N/A,TRUE,"Widnes"}</definedName>
    <definedName name="catalogue" localSheetId="0" hidden="1">{"'Sheet1'!$L$16"}</definedName>
    <definedName name="cauthang" localSheetId="0" hidden="1">{"'Sheet1'!$L$16"}</definedName>
    <definedName name="cay" localSheetId="0" hidden="1">{"'Sheet1'!$L$16"}</definedName>
    <definedName name="CẪ" localSheetId="0" hidden="1">{"'Sheet1'!$L$16"}</definedName>
    <definedName name="CCC" localSheetId="0" hidden="1">{"'Sheet1'!$L$16"}</definedName>
    <definedName name="cccc" localSheetId="0" hidden="1">{#N/A,#N/A,TRUE,"SUM";#N/A,#N/A,TRUE,"EE";#N/A,#N/A,TRUE,"AC";#N/A,#N/A,TRUE,"SN"}</definedName>
    <definedName name="cccccccasdasd" localSheetId="0" hidden="1">{"'Sheet1'!$L$16"}</definedName>
    <definedName name="CCR" localSheetId="0" hidden="1">{#N/A,#N/A,TRUE,"Cover";#N/A,#N/A,TRUE,"Conts";#N/A,#N/A,TRUE,"VOS";#N/A,#N/A,TRUE,"Warrington";#N/A,#N/A,TRUE,"Widnes"}</definedName>
    <definedName name="Çdµ" localSheetId="0" hidden="1">{"'Sheet1'!$L$16"}</definedName>
    <definedName name="cdfdf" localSheetId="0" hidden="1">{#N/A,#N/A,TRUE,"1";#N/A,#N/A,TRUE,"2";#N/A,#N/A,TRUE,"3";#N/A,#N/A,TRUE,"4";#N/A,#N/A,TRUE,"5";#N/A,#N/A,TRUE,"6";#N/A,#N/A,TRUE,"7"}</definedName>
    <definedName name="ced" localSheetId="0" hidden="1">{#N/A,#N/A,FALSE,"Chi tiÆt"}</definedName>
    <definedName name="Celling" localSheetId="0" hidden="1">{"'Sheet1'!$L$16"}</definedName>
    <definedName name="CF1_a129" localSheetId="0" hidden="1">{"Offgrid",#N/A,FALSE,"OFFGRID";"Region",#N/A,FALSE,"REGION";"Offgrid -2",#N/A,FALSE,"OFFGRID";"WTP",#N/A,FALSE,"WTP";"WTP -2",#N/A,FALSE,"WTP";"Project",#N/A,FALSE,"PROJECT";"Summary -2",#N/A,FALSE,"SUMMARY"}</definedName>
    <definedName name="cg" localSheetId="0" hidden="1">{"'Sheet1'!$L$16"}</definedName>
    <definedName name="cgghh" localSheetId="0" hidden="1">{"'Sheet1'!$L$16"}</definedName>
    <definedName name="cgmh" localSheetId="0" hidden="1">{"'용역비'!$A$4:$C$8"}</definedName>
    <definedName name="ci" localSheetId="0"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0" hidden="1">{#N/A,#N/A,TRUE,"Cover Memo";"Complete Sys. Estimate",#N/A,TRUE,"Change Summary";"Complete Sys. Estimate",#N/A,TRUE,"Estimate Summary";"Complete Sys. Estimate",#N/A,TRUE,"Dept. Summary";"Complete Sys. Estimate",#N/A,TRUE,"DOW Detail"}</definedName>
    <definedName name="CMC" localSheetId="0" hidden="1">{"'Sheet1'!$L$16"}</definedName>
    <definedName name="CNchung" localSheetId="0" hidden="1">{"'Sheet1'!$L$16"}</definedName>
    <definedName name="CNSCL" localSheetId="0" hidden="1">{"'Sheet1'!$L$16"}</definedName>
    <definedName name="cntksdtj" localSheetId="0" hidden="1">{#N/A,#N/A,FALSE,"견적갑지";#N/A,#N/A,FALSE,"총괄표";#N/A,#N/A,FALSE,"철골공사";#N/A,#N/A,FALSE,"토목공사";#N/A,#N/A,FALSE,"판넬전기공사"}</definedName>
    <definedName name="Coc_60" localSheetId="0" hidden="1">{"'Sheet1'!$L$16"}</definedName>
    <definedName name="coccat" localSheetId="0" hidden="1">{"'Sheet1'!$L$16"}</definedName>
    <definedName name="cocly" localSheetId="0" hidden="1">{"'Sheet1'!$L$16"}</definedName>
    <definedName name="compare" localSheetId="0" hidden="1">{#N/A,#N/A,FALSE,"Chi tiÆt"}</definedName>
    <definedName name="con" localSheetId="0" hidden="1">{#N/A,#N/A,FALSE,"Chi tiÆt"}</definedName>
    <definedName name="CONGD300" localSheetId="0" hidden="1">{"'Sheet1'!$L$16"}</definedName>
    <definedName name="CONGPA1" localSheetId="0" hidden="1">{"'Sheet1'!$L$16"}</definedName>
    <definedName name="coping" localSheetId="0"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y" localSheetId="0" hidden="1">{"'Sheet1'!$L$16"}</definedName>
    <definedName name="cotycap" localSheetId="0" hidden="1">{"'Sheet1'!$L$16"}</definedName>
    <definedName name="COVE" localSheetId="0" hidden="1">{"'Sheet1'!$L$16"}</definedName>
    <definedName name="CPM" localSheetId="0" hidden="1">{#N/A,#N/A,FALSE,"Chi tiÆt"}</definedName>
    <definedName name="CPXD" localSheetId="0" hidden="1">{"'Sheet1'!$L$16"}</definedName>
    <definedName name="csa" localSheetId="0" hidden="1">{#N/A,#N/A,FALSE,"Chi tiÆt"}</definedName>
    <definedName name="csac" localSheetId="0" hidden="1">{"'Sheet1'!$L$16"}</definedName>
    <definedName name="cscx" localSheetId="0" hidden="1">{"'Sheet1'!$L$16"}</definedName>
    <definedName name="CSODJWO" localSheetId="0" hidden="1">{#N/A,#N/A,TRUE,"SUM";#N/A,#N/A,TRUE,"EE";#N/A,#N/A,TRUE,"AC";#N/A,#N/A,TRUE,"SN"}</definedName>
    <definedName name="css" localSheetId="0" hidden="1">{"'Sheet1'!$L$16"}</definedName>
    <definedName name="csxxc" localSheetId="0" hidden="1">{"'Sheet1'!$L$16"}</definedName>
    <definedName name="ct" localSheetId="0" hidden="1">{"'Sheet1'!$L$16"}</definedName>
    <definedName name="ctbbt" localSheetId="0" hidden="1">{"'Sheet1'!$L$16"}</definedName>
    <definedName name="CTCT1" localSheetId="0" hidden="1">{"'Sheet1'!$L$16"}</definedName>
    <definedName name="CTCT1_1" localSheetId="0" hidden="1">{"'Sheet1'!$L$16"}</definedName>
    <definedName name="ctct2" localSheetId="0" hidden="1">{"'Sheet1'!$L$16"}</definedName>
    <definedName name="ctieu" localSheetId="0" hidden="1">{"'Sheet1'!$L$16"}</definedName>
    <definedName name="CTTC10nam" localSheetId="0" hidden="1">{"'Sheet1'!$L$16"}</definedName>
    <definedName name="cung" localSheetId="0" hidden="1">{"'Sheet1'!$L$16"}</definedName>
    <definedName name="cuong" localSheetId="0" hidden="1">{"'Sheet1'!$L$16"}</definedName>
    <definedName name="CVBCXBCV" localSheetId="0" hidden="1">{"'Sheet1'!$L$16"}</definedName>
    <definedName name="cvfr" localSheetId="0" hidden="1">{"'Sheet1'!$L$16"}</definedName>
    <definedName name="cxcxcxc" localSheetId="0" hidden="1">{"'Sheet1'!$L$16"}</definedName>
    <definedName name="cxsxs" localSheetId="0" hidden="1">{"'Sheet1'!$L$16"}</definedName>
    <definedName name="cxvv" localSheetId="0" hidden="1">{"'Sheet1'!$L$16"}</definedName>
    <definedName name="cxxacazc" localSheetId="0" hidden="1">{"'Sheet1'!$L$16"}</definedName>
    <definedName name="Cham" localSheetId="0" hidden="1">{#N/A,#N/A,FALSE,"CCTV"}</definedName>
    <definedName name="Chart3" localSheetId="0" hidden="1">{"'Sheet1'!$L$16"}</definedName>
    <definedName name="chietchai2" localSheetId="0" hidden="1">{"'Sheet1'!$L$16"}</definedName>
    <definedName name="chilk" localSheetId="0" hidden="1">{"'Sheet1'!$L$16"}</definedName>
    <definedName name="chitietbgiang2" localSheetId="0" hidden="1">{"'Sheet1'!$L$16"}</definedName>
    <definedName name="chl" localSheetId="0"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tda" localSheetId="0" hidden="1">{"'Sheet1'!$L$16"}</definedName>
    <definedName name="chuyen" localSheetId="0" hidden="1">{"'Sheet1'!$L$16"}</definedName>
    <definedName name="d" localSheetId="0" hidden="1">{"'Sheet1'!$L$16"}</definedName>
    <definedName name="Ð" localSheetId="0" hidden="1">{"'Sheet1'!$L$16"}</definedName>
    <definedName name="d¸" localSheetId="0" hidden="1">{"'Sheet1'!$L$16"}</definedName>
    <definedName name="D1D" localSheetId="0" hidden="1">{"'Sheet1'!$L$16"}</definedName>
    <definedName name="D3D" localSheetId="0" hidden="1">{"'Sheet1'!$L$16"}</definedName>
    <definedName name="da" localSheetId="0" hidden="1">{"'Sheet1'!$L$16"}</definedName>
    <definedName name="dà" localSheetId="0" hidden="1">{"'Sheet1'!$L$16"}</definedName>
    <definedName name="dá" localSheetId="0" hidden="1">{"'Sheet1'!$L$16"}</definedName>
    <definedName name="daa" localSheetId="0" hidden="1">{#N/A,#N/A,FALSE,"特殊室（ＢＱ表）"}</definedName>
    <definedName name="Dad" localSheetId="0" hidden="1">{#N/A,#N/A,FALSE,"MARCH"}</definedName>
    <definedName name="dada" localSheetId="0" hidden="1">{#N/A,#N/A,FALSE,"特殊室（ＢＱ表）"}</definedName>
    <definedName name="dadasda" localSheetId="0" hidden="1">{#N/A,#N/A,FALSE,"特殊室（ＢＱ表）"}</definedName>
    <definedName name="DADASDSADSA" localSheetId="0" hidden="1">{"'Sheet1'!$L$16"}</definedName>
    <definedName name="daDSD" localSheetId="0" hidden="1">{"'Sheet1'!$L$16"}</definedName>
    <definedName name="dafas" localSheetId="0" hidden="1">{#N/A,#N/A,TRUE,"BT M200 da 10x20"}</definedName>
    <definedName name="dam" localSheetId="0" hidden="1">{"'Sheet1'!$L$16"}</definedName>
    <definedName name="DAMMONG" localSheetId="0" hidden="1">{"'Sheet1'!$L$16"}</definedName>
    <definedName name="dang" localSheetId="0" hidden="1">{"'Sheet1'!$L$16"}</definedName>
    <definedName name="dao" localSheetId="0" hidden="1">{"'Sheet1'!$L$16"}</definedName>
    <definedName name="daomuong" localSheetId="0" hidden="1">{"'Sheet1'!$L$16"}</definedName>
    <definedName name="das" localSheetId="0" hidden="1">{"'Sheet1'!$L$16"}</definedName>
    <definedName name="DASDSADADS" localSheetId="0" hidden="1">{"'Sheet1'!$L$16"}</definedName>
    <definedName name="DASDSADAS" localSheetId="0" hidden="1">{"'Sheet1'!$L$16"}</definedName>
    <definedName name="dase" localSheetId="0" hidden="1">{#N/A,#N/A,FALSE,"CCTV"}</definedName>
    <definedName name="dat" localSheetId="0" hidden="1">{#N/A,#N/A,FALSE,"Sheet1"}</definedName>
    <definedName name="datct" localSheetId="0" hidden="1">{"'Sheet1'!$L$16"}</definedName>
    <definedName name="davdacsa" localSheetId="0" hidden="1">{"'Sheet1'!$L$16"}</definedName>
    <definedName name="Daywork1" localSheetId="0" hidden="1">{#N/A,#N/A,FALSE,"MARCH"}</definedName>
    <definedName name="DBSDVSDVS" localSheetId="0" hidden="1">{"'Sheet1'!$L$16"}</definedName>
    <definedName name="dc" localSheetId="0" hidden="1">{"'Sheet1'!$L$16"}</definedName>
    <definedName name="dca" localSheetId="0" hidden="1">{#N/A,#N/A,FALSE,"Chi tiÆt"}</definedName>
    <definedName name="dcdxsz" localSheetId="0" hidden="1">{"'Sheet1'!$L$16"}</definedName>
    <definedName name="DCKS" localSheetId="0" hidden="1">{"'Sheet1'!$L$16"}</definedName>
    <definedName name="dcvxdsz" localSheetId="0" hidden="1">{"'Sheet1'!$L$16"}</definedName>
    <definedName name="dd" localSheetId="0" hidden="1">{"'Sheet1'!$L$16"}</definedName>
    <definedName name="ddång" localSheetId="0" hidden="1">{"'Sheet1'!$L$16"}</definedName>
    <definedName name="ddc" localSheetId="0" hidden="1">{"'Sheet1'!$L$16"}</definedName>
    <definedName name="ddd" localSheetId="0" hidden="1">{"'Sheet1'!$L$16"}</definedName>
    <definedName name="dddd" localSheetId="0" hidden="1">{"'Sheet1'!$L$16"}</definedName>
    <definedName name="dddddd" localSheetId="0" hidden="1">{"Offgrid",#N/A,FALSE,"OFFGRID";"Region",#N/A,FALSE,"REGION";"Offgrid -2",#N/A,FALSE,"OFFGRID";"WTP",#N/A,FALSE,"WTP";"WTP -2",#N/A,FALSE,"WTP";"Project",#N/A,FALSE,"PROJECT";"Summary -2",#N/A,FALSE,"SUMMARY"}</definedName>
    <definedName name="DDDDDDDD" localSheetId="0" hidden="1">{#N/A,#N/A,TRUE,"SUM";#N/A,#N/A,TRUE,"EE";#N/A,#N/A,TRUE,"AC";#N/A,#N/A,TRUE,"SN"}</definedName>
    <definedName name="dddddddddddddddđ" localSheetId="0" hidden="1">{"'Sheet1'!$L$16"}</definedName>
    <definedName name="DDDĐ" localSheetId="0" hidden="1">{"'Sheet1'!$L$16"}</definedName>
    <definedName name="ddds" localSheetId="0" hidden="1">{"'Sheet1'!$L$16"}</definedName>
    <definedName name="ddf" localSheetId="0"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0" hidden="1">{"'Sheet1'!$L$16"}</definedName>
    <definedName name="def" localSheetId="0" hidden="1">{#N/A,#N/A,TRUE,"BT M200 da 10x20"}</definedName>
    <definedName name="deí" localSheetId="0" hidden="1">{"'Sheet1'!$L$16"}</definedName>
    <definedName name="DenDK" localSheetId="0" hidden="1">{"'Sheet1'!$L$16"}</definedName>
    <definedName name="deqetq" localSheetId="0" hidden="1">{"'Sheet1'!$L$16"}</definedName>
    <definedName name="der" localSheetId="0">{"Book1","BoQ2.XLS"}</definedName>
    <definedName name="deviation" localSheetId="0" hidden="1">{#N/A,#N/A,FALSE,"CCTV"}</definedName>
    <definedName name="DEWSLDW" localSheetId="0" hidden="1">{#N/A,#N/A,TRUE,"SUM";#N/A,#N/A,TRUE,"EE";#N/A,#N/A,TRUE,"AC";#N/A,#N/A,TRUE,"SN"}</definedName>
    <definedName name="dex" localSheetId="0" hidden="1">{"'Sheet1'!$L$16"}</definedName>
    <definedName name="DFADF" localSheetId="0" hidden="1">{"'Sheet1'!$L$16"}</definedName>
    <definedName name="DFADFDA" localSheetId="0" hidden="1">{"'Sheet1'!$L$16"}</definedName>
    <definedName name="dfadsfsdf" localSheetId="0" hidden="1">{"'Sheet1'!$L$16"}</definedName>
    <definedName name="dfafa" localSheetId="0" hidden="1">{#N/A,#N/A,FALSE,"Chi tiÆt"}</definedName>
    <definedName name="dfasdfsdfsdf" localSheetId="0" hidden="1">{"'Sheet1'!$L$16"}</definedName>
    <definedName name="dfd" localSheetId="0"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_1" localSheetId="0" hidden="1">{"ECA Qtrs C",#N/A,TRUE,"ECA_Qtrs_C";"ECA Qtrs D",#N/A,TRUE,"ECA_Qtrs_D";"ECA Qtrs F",#N/A,TRUE,"ECA_Qtrs_F";"ECA Qtrs G",#N/A,TRUE,"ECA_Qtrs_G";"ECA SisterApt",#N/A,TRUE,"ECA_SisterApt";"ECA Nurses",#N/A,TRUE,"ECA_NursesHostel"}</definedName>
    <definedName name="DFDFBGFBFB" localSheetId="0" hidden="1">{"'Sheet1'!$L$16"}</definedName>
    <definedName name="dfdfd" localSheetId="0" hidden="1">{"'Sheet1'!$L$16"}</definedName>
    <definedName name="dfdfdf" localSheetId="0" hidden="1">{"'Sheet1'!$L$16"}</definedName>
    <definedName name="DFDFDS" localSheetId="0" hidden="1">{#N/A,#N/A,TRUE,"SUM";#N/A,#N/A,TRUE,"EE";#N/A,#N/A,TRUE,"AC";#N/A,#N/A,TRUE,"SN"}</definedName>
    <definedName name="DFDFGE" localSheetId="0" hidden="1">{#N/A,#N/A,FALSE,"Chi tiÆt"}</definedName>
    <definedName name="dfdfsdf" localSheetId="0" hidden="1">{"'Sheet1'!$L$16"}</definedName>
    <definedName name="DFDFSDFSD" localSheetId="0" hidden="1">{#N/A,#N/A,TRUE,"SUM";#N/A,#N/A,TRUE,"EE";#N/A,#N/A,TRUE,"AC";#N/A,#N/A,TRUE,"SN"}</definedName>
    <definedName name="DFDSAFASF" localSheetId="0" hidden="1">{"'Sheet1'!$L$16"}</definedName>
    <definedName name="DFDSFA" localSheetId="0" hidden="1">{"'Sheet1'!$L$16"}</definedName>
    <definedName name="DFĐF" localSheetId="0" hidden="1">{"'Sheet1'!$L$16"}</definedName>
    <definedName name="DFF" localSheetId="0" hidden="1">{#N/A,#N/A,TRUE,"SUM";#N/A,#N/A,TRUE,"EE";#N/A,#N/A,TRUE,"AC";#N/A,#N/A,TRUE,"SN"}</definedName>
    <definedName name="dffddf" localSheetId="0" hidden="1">{"'Break down'!$A$4"}</definedName>
    <definedName name="DFFDF" localSheetId="0" hidden="1">{#N/A,#N/A,FALSE,"CCTV"}</definedName>
    <definedName name="dfg" localSheetId="0" hidden="1">{"Offgrid",#N/A,FALSE,"OFFGRID";"Region",#N/A,FALSE,"REGION";"Offgrid -2",#N/A,FALSE,"OFFGRID";"WTP",#N/A,FALSE,"WTP";"WTP -2",#N/A,FALSE,"WTP";"Project",#N/A,FALSE,"PROJECT";"Summary -2",#N/A,FALSE,"SUMMARY"}</definedName>
    <definedName name="dfgadfa" localSheetId="0" hidden="1">{#N/A,#N/A,TRUE,"BT M200 da 10x20"}</definedName>
    <definedName name="DFGASDFA" localSheetId="0" hidden="1">{"'Sheet1'!$L$16"}</definedName>
    <definedName name="dfggg" localSheetId="0" hidden="1">{"'Sheet1'!$L$16"}</definedName>
    <definedName name="dfgh" localSheetId="0" hidden="1">{#N/A,#N/A,FALSE,"Chi tiÆt"}</definedName>
    <definedName name="DFGHFSGFDS" localSheetId="0" hidden="1">{"'Sheet1'!$L$16"}</definedName>
    <definedName name="dfgsdsdfe" localSheetId="0" hidden="1">{"'Sheet1'!$L$16"}</definedName>
    <definedName name="dfgzxdf" localSheetId="0" hidden="1">{0,#N/A,FALSE,0;0,#N/A,FALSE,0;0,#N/A,FALSE,0;0,#N/A,FALSE,0;0,#N/A,FALSE,0;0,#N/A,FALSE,0;0,#N/A,FALSE,0}</definedName>
    <definedName name="dfh" localSheetId="0" hidden="1">{"'Sheet1'!$L$16"}</definedName>
    <definedName name="dfhf" localSheetId="0" hidden="1">{"'Sheet1'!$L$16"}</definedName>
    <definedName name="dfhh" localSheetId="0" hidden="1">{#N/A,#N/A,FALSE,"Chi tiÆt"}</definedName>
    <definedName name="dfhp" localSheetId="0" hidden="1">{"'Sheet1'!$L$16"}</definedName>
    <definedName name="dfjgw" localSheetId="0" hidden="1">{"Offgrid",#N/A,FALSE,"OFFGRID";"Region",#N/A,FALSE,"REGION";"Offgrid -2",#N/A,FALSE,"OFFGRID";"WTP",#N/A,FALSE,"WTP";"WTP -2",#N/A,FALSE,"WTP";"Project",#N/A,FALSE,"PROJECT";"Summary -2",#N/A,FALSE,"SUMMARY"}</definedName>
    <definedName name="dfs" localSheetId="0" hidden="1">{#N/A,#N/A,TRUE,"SUM";#N/A,#N/A,TRUE,"EE";#N/A,#N/A,TRUE,"AC";#N/A,#N/A,TRUE,"SN"}</definedName>
    <definedName name="DFSD" localSheetId="0" hidden="1">{#N/A,#N/A,FALSE,"Sheet6"}</definedName>
    <definedName name="DFSDF" localSheetId="0" hidden="1">{"'Sheet1'!$L$16"}</definedName>
    <definedName name="DFSF" localSheetId="0" hidden="1">{#N/A,#N/A,FALSE,"特殊室（ＢＱ表）"}</definedName>
    <definedName name="dfsfsd" localSheetId="0" hidden="1">{"'Sheet1'!$L$16"}</definedName>
    <definedName name="dfsgsag" localSheetId="0"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ctp2" localSheetId="0" hidden="1">{"'Sheet1'!$L$16"}</definedName>
    <definedName name="DGDG" localSheetId="0" hidden="1">{"'Sheet1'!$L$16"}</definedName>
    <definedName name="dgdjdkgd" localSheetId="0" hidden="1">{#N/A,#N/A,FALSE,"CCTV"}</definedName>
    <definedName name="DGF" localSheetId="0" hidden="1">{#N/A,#N/A,FALSE,"特殊室（ＢＱ表）"}</definedName>
    <definedName name="DGFDG" localSheetId="0" hidden="1">{#N/A,#N/A,FALSE,"特殊室（ＢＱ表）"}</definedName>
    <definedName name="dggfhd" localSheetId="0" hidden="1">{#N/A,#N/A,FALSE,"Chi tiÆt"}</definedName>
    <definedName name="dghg" localSheetId="0" hidden="1">{"'Sheet1'!$L$16"}</definedName>
    <definedName name="dghjyuk" localSheetId="0" hidden="1">{"'Sheet1'!$L$16"}</definedName>
    <definedName name="DGSDG" localSheetId="0" hidden="1">{"'Sheet1'!$L$16"}</definedName>
    <definedName name="DGSEGWE" localSheetId="0" hidden="1">{"'Sheet1'!$L$16"}</definedName>
    <definedName name="dgsgsg" localSheetId="0" hidden="1">{"'Sheet1'!$L$16"}</definedName>
    <definedName name="DGWEHWR" localSheetId="0" hidden="1">{"'Sheet1'!$L$16"}</definedName>
    <definedName name="DHDFGSF" localSheetId="0" hidden="1">{"'Sheet1'!$L$16"}</definedName>
    <definedName name="dhdhd" localSheetId="0" hidden="1">{"'Sheet1'!$L$16"}</definedName>
    <definedName name="dhh" localSheetId="0" hidden="1">{"'Sheet1'!$L$16"}</definedName>
    <definedName name="dhj" localSheetId="0" hidden="1">{"'용역비'!$A$4:$C$8"}</definedName>
    <definedName name="DHSRHGR" localSheetId="0" hidden="1">{"'Sheet1'!$L$16"}</definedName>
    <definedName name="dien" localSheetId="0" hidden="1">{"'Sheet1'!$L$16"}</definedName>
    <definedName name="dj" localSheetId="0" hidden="1">{"'Sheet1'!$L$16"}</definedName>
    <definedName name="DKD" localSheetId="0" hidden="1">{#N/A,#N/A,FALSE,"주간공정";#N/A,#N/A,FALSE,"주간보고";#N/A,#N/A,FALSE,"주간공정표"}</definedName>
    <definedName name="dkdkdkdkd" localSheetId="0"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yddn" localSheetId="0" hidden="1">{"'별표'!$N$220"}</definedName>
    <definedName name="dlff" localSheetId="0" hidden="1">{#N/A,#N/A,FALSE,"운반시간"}</definedName>
    <definedName name="dmxl2" localSheetId="0" hidden="1">{"'Sheet1'!$L$16"}</definedName>
    <definedName name="dn" localSheetId="0" hidden="1">{#N/A,#N/A,FALSE,"혼합골재"}</definedName>
    <definedName name="DN1_CT5" localSheetId="0" hidden="1">{"'Sheet1'!$L$16"}</definedName>
    <definedName name="DNTT" localSheetId="0" hidden="1">{"NGUYEN QUI THIEP - Personal View",#N/A,FALSE,"XDCB.HT.FUR."}</definedName>
    <definedName name="dntt10" localSheetId="0" hidden="1">{"'Sheet1'!$L$16"}</definedName>
    <definedName name="dntt9" localSheetId="0" hidden="1">{"'Sheet1'!$L$16"}</definedName>
    <definedName name="doc" localSheetId="0" hidden="1">{"'Sheet1'!$L$16"}</definedName>
    <definedName name="Document_array" localSheetId="0">{"Book1","BoQ2.XLS"}</definedName>
    <definedName name="dohong" localSheetId="0" hidden="1">{"'Sheet1'!$L$16"}</definedName>
    <definedName name="dq" localSheetId="0" hidden="1">{"'Sheet1'!$L$16"}</definedName>
    <definedName name="dqdq" localSheetId="0" hidden="1">{"'Sheet1'!$L$16"}</definedName>
    <definedName name="dQlda_GdpVal" localSheetId="0" hidden="1">10%*([0]!dQlda_GxlGtbVal+dQlda_GcpkVal)/10^9</definedName>
    <definedName name="dQlda_GtongVal" localSheetId="0" hidden="1">[0]!dQlda_GxlGtbVal+dQlda_GcpkVal+10%*([0]!dQlda_GxlGtbVal+dQlda_GcpkVal)</definedName>
    <definedName name="dQlda_GxlGtbVal" localSheetId="0" hidden="1">dQlda_GxlVal+dQlda_GtbVal</definedName>
    <definedName name="dqw" localSheetId="0" hidden="1">{"'Sheet1'!$L$16"}</definedName>
    <definedName name="ds" localSheetId="0" hidden="1">{"'Sheet1'!$L$16"}</definedName>
    <definedName name="dsa" localSheetId="0" hidden="1">{"'Sheet1'!$L$16"}</definedName>
    <definedName name="dsaaee" localSheetId="0" hidden="1">{"'Sheet1'!$L$16"}</definedName>
    <definedName name="dsada" localSheetId="0" hidden="1">{"'Sheet1'!$L$16"}</definedName>
    <definedName name="dsadasdasdas" localSheetId="0" hidden="1">{"'Sheet1'!$L$16"}</definedName>
    <definedName name="DSADEDWE" localSheetId="0" hidden="1">{"'Sheet1'!$L$16"}</definedName>
    <definedName name="dsadsa" localSheetId="0" hidden="1">{"'Sheet1'!$L$16"}</definedName>
    <definedName name="dsaf" localSheetId="0" hidden="1">{"'Sheet1'!$L$16"}</definedName>
    <definedName name="dsafddsdf" localSheetId="0" hidden="1">{"'Sheet1'!$L$16"}</definedName>
    <definedName name="DSD" localSheetId="0" hidden="1">{"'Sheet1'!$L$16"}</definedName>
    <definedName name="DSDL" localSheetId="0" hidden="1">{"'Sheet1'!$L$16"}</definedName>
    <definedName name="dsds" localSheetId="0" hidden="1">{"'Sheet1'!$L$16"}</definedName>
    <definedName name="dsdsd" localSheetId="0" hidden="1">{#N/A,#N/A,FALSE,"운반시간"}</definedName>
    <definedName name="DSDSDS" localSheetId="0" hidden="1">{"'Sheet1'!$L$16"}</definedName>
    <definedName name="dsfas" localSheetId="0" hidden="1">{"'Sheet1'!$L$16"}</definedName>
    <definedName name="dsfaws" localSheetId="0" hidden="1">{"'Sheet1'!$L$16"}</definedName>
    <definedName name="DSFDS" localSheetId="0" hidden="1">{"'Sheet1'!$L$16"}</definedName>
    <definedName name="DSFDSDFSD" localSheetId="0" hidden="1">{"'Sheet1'!$L$16"}</definedName>
    <definedName name="dsfs" localSheetId="0" hidden="1">{"'Sheet1'!$L$16"}</definedName>
    <definedName name="dsfsad" localSheetId="0" hidden="1">{"'Sheet1'!$L$16"}</definedName>
    <definedName name="dsg" localSheetId="0" hidden="1">{#N/A,#N/A,FALSE,"Chi tiÆt"}</definedName>
    <definedName name="DSGDSG" localSheetId="0" hidden="1">{"'Sheet1'!$L$16"}</definedName>
    <definedName name="dsgsdg" localSheetId="0" hidden="1">{"'Sheet1'!$L$16"}</definedName>
    <definedName name="DSH" localSheetId="0" hidden="1">{#N/A,#N/A,FALSE,"Chi tiÆt"}</definedName>
    <definedName name="dsjk" localSheetId="0" hidden="1">{"'Sheet1'!$L$16"}</definedName>
    <definedName name="DSJKLDE" localSheetId="0" hidden="1">{#N/A,#N/A,TRUE,"SUM";#N/A,#N/A,TRUE,"EE";#N/A,#N/A,TRUE,"AC";#N/A,#N/A,TRUE,"SN"}</definedName>
    <definedName name="dssad" localSheetId="0" hidden="1">{"'Sheet1'!$L$16"}</definedName>
    <definedName name="DSTD_Clear" localSheetId="0">#N/A</definedName>
    <definedName name="dtctnd" localSheetId="0" hidden="1">{"'Sheet1'!$L$16"}</definedName>
    <definedName name="DTMG_vumua" localSheetId="0" hidden="1">{#N/A,#N/A,FALSE,"Chi tiÆt"}</definedName>
    <definedName name="DTTK" localSheetId="0" hidden="1">{"'Sheet1'!$L$16"}</definedName>
    <definedName name="dthft" localSheetId="0" hidden="1">{"'Sheet1'!$L$16"}</definedName>
    <definedName name="du" localSheetId="0" hidden="1">{"'Sheet1'!$L$16"}</definedName>
    <definedName name="duc" localSheetId="0" hidden="1">{"'Sheet1'!$L$16"}</definedName>
    <definedName name="DucO" localSheetId="0" hidden="1">{"'Sheet1'!$L$16"}</definedName>
    <definedName name="DUCT" localSheetId="0" hidden="1">{#N/A,#N/A,FALSE,"Sheet1"}</definedName>
    <definedName name="dudwhd" localSheetId="0" hidden="1">{#N/A,#N/A,FALSE,"CCTV"}</definedName>
    <definedName name="dumbwaiter" localSheetId="0" hidden="1">{#N/A,#N/A,FALSE,"Sheet1";#N/A,#N/A,FALSE,"Sheet3";#N/A,#N/A,FALSE,"Sheet5"}</definedName>
    <definedName name="DUNG" localSheetId="0" hidden="1">{"'Sheet1'!$L$16"}</definedName>
    <definedName name="Duong1" localSheetId="0" hidden="1">{"'Sheet1'!$L$16"}</definedName>
    <definedName name="Duongnaco" localSheetId="0" hidden="1">{"'Sheet1'!$L$16"}</definedName>
    <definedName name="dutoanbenuoc" localSheetId="0" hidden="1">{"'Sheet1'!$L$16"}</definedName>
    <definedName name="dutoanc2" localSheetId="0" hidden="1">{"'Sheet1'!$L$16"}</definedName>
    <definedName name="Dutoandien" localSheetId="0" hidden="1">{"'Sheet1'!$L$16"}</definedName>
    <definedName name="dutruchiphi" localSheetId="0" hidden="1">{"NGUYEN QUI THIEP - Personal View",#N/A,FALSE,"XDCB.HT.FUR."}</definedName>
    <definedName name="DVGEWVBEW" localSheetId="0" hidden="1">{"'Sheet1'!$L$16"}</definedName>
    <definedName name="DZ" localSheetId="0" hidden="1">{"'Sheet1'!$L$16"}</definedName>
    <definedName name="đấ" localSheetId="0" hidden="1">{"'Sheet1'!$L$16"}</definedName>
    <definedName name="đe" localSheetId="0" hidden="1">{"'Sheet1'!$L$16"}</definedName>
    <definedName name="đhf" localSheetId="0" hidden="1">{"'Sheet1'!$L$16"}</definedName>
    <definedName name="e" localSheetId="0" hidden="1">{#N/A,#N/A,FALSE,"Chi tiÆt"}</definedName>
    <definedName name="Ẻ" localSheetId="0" hidden="1">{"'Sheet1'!$L$16"}</definedName>
    <definedName name="e4y" localSheetId="0" hidden="1">{#N/A,#N/A,FALSE,"Chi tiÆt"}</definedName>
    <definedName name="èafe" localSheetId="0" hidden="1">{"'Sheet1'!$L$16"}</definedName>
    <definedName name="ED" localSheetId="0" hidden="1">{#N/A,#N/A,FALSE,"CCTV"}</definedName>
    <definedName name="edd" localSheetId="0" hidden="1">{"'Sheet1'!$L$16"}</definedName>
    <definedName name="edssqq" localSheetId="0" hidden="1">{#N/A,#N/A,FALSE,"혼합골재"}</definedName>
    <definedName name="edwtgfdsgf" localSheetId="0" hidden="1">{"'Sheet1'!$L$16"}</definedName>
    <definedName name="ee" localSheetId="0" hidden="1">{#N/A,#N/A,FALSE,"단가표지"}</definedName>
    <definedName name="EEE" localSheetId="0" hidden="1">{#N/A,#N/A,FALSE,"Sheet6"}</definedName>
    <definedName name="eee.송운" localSheetId="0" hidden="1">{#N/A,#N/A,FALSE,"운반시간"}</definedName>
    <definedName name="eeee" localSheetId="0" hidden="1">{#N/A,#N/A,FALSE,"사업총괄";#N/A,#N/A,FALSE,"장비사업";#N/A,#N/A,FALSE,"철구사업";#N/A,#N/A,FALSE,"준설사업"}</definedName>
    <definedName name="eeeee" localSheetId="0" hidden="1">{#N/A,#N/A,TRUE,"SUM";#N/A,#N/A,TRUE,"EE";#N/A,#N/A,TRUE,"AC";#N/A,#N/A,TRUE,"SN"}</definedName>
    <definedName name="EEEEEEEEEEEEEEEEEE" localSheetId="0" hidden="1">{#N/A,#N/A,FALSE,"CCTV"}</definedName>
    <definedName name="eef" localSheetId="0" hidden="1">{"'Sheet1'!$L$16"}</definedName>
    <definedName name="eerefdg" localSheetId="0" hidden="1">{#N/A,#N/A,FALSE,"CCTV"}</definedName>
    <definedName name="ẻger" localSheetId="0" hidden="1">{#N/A,#N/A,TRUE,"BT M200 da 10x20"}</definedName>
    <definedName name="ẻgwe" localSheetId="0" hidden="1">{"'Sheet1'!$L$16"}</definedName>
    <definedName name="eïhd" localSheetId="0" hidden="1">{"'Sheet1'!$L$16"}</definedName>
    <definedName name="ej" localSheetId="0" hidden="1">{"'용역비'!$A$4:$C$8"}</definedName>
    <definedName name="EL" localSheetId="0" hidden="1">{"'Sheet1'!$L$16"}</definedName>
    <definedName name="Ele" localSheetId="0" hidden="1">{"'Break down'!$A$4"}</definedName>
    <definedName name="ELELLELEELE" localSheetId="0" hidden="1">{#N/A,#N/A,FALSE,"주간공정";#N/A,#N/A,FALSE,"주간보고";#N/A,#N/A,FALSE,"주간공정표"}</definedName>
    <definedName name="elle18" localSheetId="0" hidden="1">{#N/A,#N/A,FALSE,"CCTV"}</definedName>
    <definedName name="ELLEN1" localSheetId="0" hidden="1">{#N/A,#N/A,FALSE,"CCTV"}</definedName>
    <definedName name="ELLEN10" localSheetId="0" hidden="1">{#N/A,#N/A,FALSE,"CCTV"}</definedName>
    <definedName name="ELLEN11" localSheetId="0" hidden="1">{#N/A,#N/A,FALSE,"CCTV"}</definedName>
    <definedName name="ELLEN12" localSheetId="0" hidden="1">{#N/A,#N/A,FALSE,"CCTV"}</definedName>
    <definedName name="ELLEN13" localSheetId="0" hidden="1">{#N/A,#N/A,FALSE,"CCTV"}</definedName>
    <definedName name="ELLEN14" localSheetId="0" hidden="1">{#N/A,#N/A,FALSE,"CCTV"}</definedName>
    <definedName name="ELLEN15" localSheetId="0" hidden="1">{#N/A,#N/A,FALSE,"CCTV"}</definedName>
    <definedName name="ELLEN16" localSheetId="0" hidden="1">{#N/A,#N/A,FALSE,"CCTV"}</definedName>
    <definedName name="ELLEN17" localSheetId="0" hidden="1">{#N/A,#N/A,FALSE,"CCTV"}</definedName>
    <definedName name="ELLEN18" localSheetId="0" hidden="1">{#N/A,#N/A,FALSE,"CCTV"}</definedName>
    <definedName name="ELLEN19" localSheetId="0" hidden="1">{#N/A,#N/A,FALSE,"CCTV"}</definedName>
    <definedName name="ELLEN2" localSheetId="0" hidden="1">{#N/A,#N/A,FALSE,"CCTV"}</definedName>
    <definedName name="ELLEN3" localSheetId="0" hidden="1">{#N/A,#N/A,FALSE,"CCTV"}</definedName>
    <definedName name="ELLEN4" localSheetId="0" hidden="1">{#N/A,#N/A,FALSE,"CCTV"}</definedName>
    <definedName name="ELLEN5" localSheetId="0" hidden="1">{#N/A,#N/A,FALSE,"CCTV"}</definedName>
    <definedName name="ELLEN6" localSheetId="0" hidden="1">{#N/A,#N/A,FALSE,"CCTV"}</definedName>
    <definedName name="ELLEN7" localSheetId="0" hidden="1">{#N/A,#N/A,FALSE,"CCTV"}</definedName>
    <definedName name="ELLEN8" localSheetId="0" hidden="1">{#N/A,#N/A,FALSE,"CCTV"}</definedName>
    <definedName name="ELLEN9" localSheetId="0" hidden="1">{#N/A,#N/A,FALSE,"CCTV"}</definedName>
    <definedName name="elv" localSheetId="0" hidden="1">{"'Sheet1'!$L$16"}</definedName>
    <definedName name="en" localSheetId="0" hidden="1">{#N/A,#N/A,FALSE,"변경관리예산";#N/A,#N/A,FALSE,"변경장비예산";#N/A,#N/A,FALSE,"변경준설예산";#N/A,#N/A,FALSE,"변경철구예산"}</definedName>
    <definedName name="enfgfgfdffddddddddddddddddd" localSheetId="0"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0" hidden="1">{0,0,0,0;0,0,0,0;0,0,0,0;0,0,0,0;0,0,0,0;0,0,0,0;0,0,0,0}</definedName>
    <definedName name="ERT" localSheetId="0" hidden="1">{"'Sheet1'!$L$16"}</definedName>
    <definedName name="ertwqtg" localSheetId="0" hidden="1">{"'Sheet1'!$L$16"}</definedName>
    <definedName name="ertyertye" localSheetId="0" hidden="1">{"'용역비'!$A$4:$C$8"}</definedName>
    <definedName name="es" localSheetId="0" hidden="1">{"'Sheet1'!$L$16"}</definedName>
    <definedName name="estimateb" localSheetId="0" hidden="1">{#N/A,#N/A,TRUE,"Cover";#N/A,#N/A,TRUE,"Conts";#N/A,#N/A,TRUE,"VOS";#N/A,#N/A,TRUE,"Warrington";#N/A,#N/A,TRUE,"Widnes"}</definedName>
    <definedName name="etqgsg_đhs" localSheetId="0" hidden="1">{"'Sheet1'!$L$16"}</definedName>
    <definedName name="ettr" localSheetId="0" hidden="1">{#N/A,#N/A,FALSE,"Chi tiÆt"}</definedName>
    <definedName name="etuiuti" localSheetId="0" hidden="1">{"'Sheet1'!$L$16"}</definedName>
    <definedName name="ETWE" localSheetId="0" hidden="1">{#N/A,#N/A,FALSE,"Sheet6"}</definedName>
    <definedName name="ETWEGF" localSheetId="0" hidden="1">{#N/A,#N/A,FALSE,"Sheet6"}</definedName>
    <definedName name="ẺTWTW" localSheetId="0" hidden="1">{"'Sheet1'!$L$16"}</definedName>
    <definedName name="etyj" localSheetId="0" hidden="1">{"'용역비'!$A$4:$C$8"}</definedName>
    <definedName name="etyjj" localSheetId="0" hidden="1">{"'용역비'!$A$4:$C$8"}</definedName>
    <definedName name="eù" localSheetId="0">{"Book1"}</definedName>
    <definedName name="eûtheí" localSheetId="0" hidden="1">{"'Sheet1'!$L$16"}</definedName>
    <definedName name="ewdsd" localSheetId="0" hidden="1">{"'Break down'!$A$4"}</definedName>
    <definedName name="EWEREWRE" localSheetId="0" hidden="1">{"'Sheet1'!$L$16"}</definedName>
    <definedName name="èwerwe" localSheetId="0" hidden="1">{"'Sheet1'!$L$16"}</definedName>
    <definedName name="ẺWERWE" localSheetId="0" hidden="1">{"'Sheet1'!$L$16"}</definedName>
    <definedName name="ewrfewr" localSheetId="0" hidden="1">{"'Sheet1'!$L$16"}</definedName>
    <definedName name="ewrfqewrrefeqrftr" localSheetId="0" hidden="1">{"'Sheet1'!$L$16"}</definedName>
    <definedName name="ewrfwe" localSheetId="0" hidden="1">{"'Sheet1'!$L$16"}</definedName>
    <definedName name="ewrfwef" localSheetId="0" hidden="1">{"'Sheet1'!$L$16"}</definedName>
    <definedName name="ews" localSheetId="0" hidden="1">{0}</definedName>
    <definedName name="ewtgyqyewy" localSheetId="0" hidden="1">{"'Sheet1'!$L$16"}</definedName>
    <definedName name="EWTWV" localSheetId="0" hidden="1">{#N/A,#N/A,FALSE,"Sheet6"}</definedName>
    <definedName name="ewwq" localSheetId="0" hidden="1">{"'Sheet1'!$L$16"}</definedName>
    <definedName name="Excavati" localSheetId="0" hidden="1">{#N/A,#N/A,FALSE,"Chi tiÆt"}</definedName>
    <definedName name="eXCLUSIONS" localSheetId="0" hidden="1">{#N/A,#N/A,TRUE,"Cover";#N/A,#N/A,TRUE,"Conts";#N/A,#N/A,TRUE,"VOS";#N/A,#N/A,TRUE,"Warrington";#N/A,#N/A,TRUE,"Widnes"}</definedName>
    <definedName name="explorer" localSheetId="0" hidden="1">{"'Sheet1'!$L$16"}</definedName>
    <definedName name="Êc" localSheetId="0" hidden="1">{"'Sheet1'!$L$16"}</definedName>
    <definedName name="ÊR" localSheetId="0" hidden="1">{"'Sheet1'!$L$16"}</definedName>
    <definedName name="êre" localSheetId="0" hidden="1">{"'Sheet1'!$L$16"}</definedName>
    <definedName name="f" localSheetId="0" hidden="1">{#N/A,#N/A,FALSE,"Sheet1"}</definedName>
    <definedName name="F6A" localSheetId="0" hidden="1">{"'Sheet1'!$L$16"}</definedName>
    <definedName name="F6B" localSheetId="0" hidden="1">{"'Sheet1'!$L$16"}</definedName>
    <definedName name="fáaafafaf" localSheetId="0" hidden="1">{"'Sheet1'!$L$16"}</definedName>
    <definedName name="FACTORY" localSheetId="0" hidden="1">{#N/A,#N/A,TRUE,"SUM";#N/A,#N/A,TRUE,"EE";#N/A,#N/A,TRUE,"AC";#N/A,#N/A,TRUE,"SN"}</definedName>
    <definedName name="factory4" localSheetId="0" hidden="1">{"'Sheet1'!$L$16"}</definedName>
    <definedName name="fae" localSheetId="0" hidden="1">{"'Sheet1'!$L$16"}</definedName>
    <definedName name="FAFA" localSheetId="0" hidden="1">{"'Sheet1'!$L$16"}</definedName>
    <definedName name="fafafda" localSheetId="0" hidden="1">{"AnalRSA",#N/A,TRUE,"PL-Anal";"AnalIAS",#N/A,TRUE,"PL-Anal"}</definedName>
    <definedName name="fasdfsdfsdfsdf" localSheetId="0" hidden="1">{"'Sheet1'!$L$16"}</definedName>
    <definedName name="fasfa" localSheetId="0" hidden="1">{"'Sheet1'!$L$16"}</definedName>
    <definedName name="fasfaga" localSheetId="0" hidden="1">{"'Sheet1'!$L$16"}</definedName>
    <definedName name="fasfsadfs" localSheetId="0" hidden="1">{"'Sheet1'!$L$16"}</definedName>
    <definedName name="FBSEEBASD" localSheetId="0" hidden="1">{"'Sheet1'!$L$16"}</definedName>
    <definedName name="fÇ" localSheetId="0" hidden="1">{"'Sheet1'!$L$16"}</definedName>
    <definedName name="fcae" localSheetId="0" hidden="1">{"'Sheet1'!$L$16"}</definedName>
    <definedName name="fd" localSheetId="0" hidden="1">{#N/A,#N/A,TRUE,"Cover Memo";"Complete Sys. Estimate",#N/A,TRUE,"Change Summary";"Complete Sys. Estimate",#N/A,TRUE,"Estimate Summary";"Complete Sys. Estimate",#N/A,TRUE,"Dept. Summary";"Complete Sys. Estimate",#N/A,TRUE,"DOW Detail"}</definedName>
    <definedName name="FDAFW" localSheetId="0" hidden="1">{"'Sheet1'!$L$16"}</definedName>
    <definedName name="fdasfa" localSheetId="0" hidden="1">{"'Sheet1'!$L$16"}</definedName>
    <definedName name="fdasfdsa" localSheetId="0" hidden="1">{#N/A,#N/A,FALSE,"Chi tiÆt"}</definedName>
    <definedName name="fdds" localSheetId="0" hidden="1">{"'Sheet1'!$L$16"}</definedName>
    <definedName name="fdf" localSheetId="0"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SF" localSheetId="0" hidden="1">{#N/A,#N/A,TRUE,"SUM";#N/A,#N/A,TRUE,"EE";#N/A,#N/A,TRUE,"AC";#N/A,#N/A,TRUE,"SN"}</definedName>
    <definedName name="fdfs" localSheetId="0" hidden="1">{#N/A,#N/A,TRUE,"SUM";#N/A,#N/A,TRUE,"EE";#N/A,#N/A,TRUE,"AC";#N/A,#N/A,TRUE,"SN"}</definedName>
    <definedName name="fdfs2" localSheetId="0" hidden="1">{#N/A,#N/A,TRUE,"SUM";#N/A,#N/A,TRUE,"EE";#N/A,#N/A,TRUE,"AC";#N/A,#N/A,TRUE,"SN"}</definedName>
    <definedName name="fdfsdfs" localSheetId="0" hidden="1">{#N/A,#N/A,TRUE,"SUM";#N/A,#N/A,TRUE,"EE";#N/A,#N/A,TRUE,"AC";#N/A,#N/A,TRUE,"SN"}</definedName>
    <definedName name="fdfsf" localSheetId="0" hidden="1">{#N/A,#N/A,FALSE,"Chi tiÆt"}</definedName>
    <definedName name="fdg" localSheetId="0"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fg" localSheetId="0" hidden="1">{"'Sheet1'!$L$16"}</definedName>
    <definedName name="fdgssda" localSheetId="0" hidden="1">{"'Sheet1'!$L$16"}</definedName>
    <definedName name="fdhgf" localSheetId="0" hidden="1">{"'Sheet1'!$L$16"}</definedName>
    <definedName name="fdsdf" localSheetId="0" hidden="1">{"'Sheet1'!$L$16"}</definedName>
    <definedName name="fdsfds" localSheetId="0" hidden="1">{"ECA Qtrs C",#N/A,TRUE,"ECA_Qtrs_C";"ECA Qtrs D",#N/A,TRUE,"ECA_Qtrs_D";"ECA Qtrs F",#N/A,TRUE,"ECA_Qtrs_F";"ECA Qtrs G",#N/A,TRUE,"ECA_Qtrs_G";"ECA SisterApt",#N/A,TRUE,"ECA_SisterApt";"ECA Nurses",#N/A,TRUE,"ECA_NursesHostel"}</definedName>
    <definedName name="fdsff" localSheetId="0" hidden="1">{"'Sheet1'!$L$16"}</definedName>
    <definedName name="fdsfsdfd" localSheetId="0" hidden="1">{"'Sheet1'!$L$16"}</definedName>
    <definedName name="fđhh" localSheetId="0" hidden="1">{"'Sheet1'!$L$16"}</definedName>
    <definedName name="FEDSBSD" localSheetId="0" hidden="1">{"'Sheet1'!$L$16"}</definedName>
    <definedName name="Fees.1" localSheetId="0" hidden="1">{#N/A,#N/A,TRUE,"Cover";#N/A,#N/A,TRUE,"Conts";#N/A,#N/A,TRUE,"VOS";#N/A,#N/A,TRUE,"Warrington";#N/A,#N/A,TRUE,"Widnes"}</definedName>
    <definedName name="fef" localSheetId="0" hidden="1">{"'Sheet1'!$L$16"}</definedName>
    <definedName name="FEFE" localSheetId="0" hidden="1">{"'Sheet1'!$L$16"}</definedName>
    <definedName name="FERQAA" localSheetId="0" hidden="1">{"'Sheet1'!$L$16"}</definedName>
    <definedName name="ffas" localSheetId="0" hidden="1">{"'Sheet1'!$L$16"}</definedName>
    <definedName name="ffdfc" localSheetId="0" hidden="1">{"'Sheet1'!$L$16"}</definedName>
    <definedName name="fff" localSheetId="0" hidden="1">{"'Sheet1'!$L$16"}</definedName>
    <definedName name="Fffef" localSheetId="0" hidden="1">{#N/A,#N/A,FALSE,"MARCH"}</definedName>
    <definedName name="ffff" localSheetId="0" hidden="1">{"'Sheet1'!$L$16"}</definedName>
    <definedName name="ffffd" localSheetId="0" hidden="1">{#N/A,#N/A,TRUE,"SUM";#N/A,#N/A,TRUE,"EE";#N/A,#N/A,TRUE,"AC";#N/A,#N/A,TRUE,"SN"}</definedName>
    <definedName name="fffffffffffffff" localSheetId="0" hidden="1">{"'Sheet1'!$L$16"}</definedName>
    <definedName name="fg" localSheetId="0" hidden="1">{"'Sheet1'!$L$16"}</definedName>
    <definedName name="FGDFAG" localSheetId="0" hidden="1">{"'Sheet1'!$L$16"}</definedName>
    <definedName name="FGDFGH" localSheetId="0" hidden="1">{"'Sheet1'!$L$16"}</definedName>
    <definedName name="FGDFHG" localSheetId="0" hidden="1">{"'Sheet1'!$L$16"}</definedName>
    <definedName name="FGF" localSheetId="0" hidden="1">{#N/A,#N/A,FALSE,"Sheet2";#N/A,#N/A,FALSE,"Sheet4";#N/A,#N/A,FALSE,"Sheet6"}</definedName>
    <definedName name="fgff" localSheetId="0" hidden="1">{#N/A,#N/A,TRUE,"SUM";#N/A,#N/A,TRUE,"EE";#N/A,#N/A,TRUE,"AC";#N/A,#N/A,TRUE,"SN"}</definedName>
    <definedName name="fgfg" localSheetId="0" hidden="1">{#N/A,#N/A,TRUE,"BT M200 da 10x20"}</definedName>
    <definedName name="fgfgf" localSheetId="0" hidden="1">{"'Sheet1'!$L$16"}</definedName>
    <definedName name="fgfgfg" localSheetId="0" hidden="1">{"'Sheet1'!$L$16"}</definedName>
    <definedName name="fgfgfgfg" localSheetId="0" hidden="1">{#N/A,#N/A,TRUE,"BT M200 da 10x20"}</definedName>
    <definedName name="fgfgfgfgf" localSheetId="0" hidden="1">{"'Sheet1'!$L$16"}</definedName>
    <definedName name="fgg" localSheetId="0" hidden="1">{"'장비'!$A$3:$M$12"}</definedName>
    <definedName name="fggfgfgfg" localSheetId="0" hidden="1">{"'Sheet1'!$L$16"}</definedName>
    <definedName name="FGHDGFHDF" localSheetId="0" hidden="1">{"'Sheet1'!$L$16"}</definedName>
    <definedName name="FGHDGHD" localSheetId="0" hidden="1">{"'Sheet1'!$L$16"}</definedName>
    <definedName name="FGHH" localSheetId="0" hidden="1">{#N/A,#N/A,FALSE,"CCTV"}</definedName>
    <definedName name="FGJFGH" localSheetId="0" hidden="1">{"'Sheet1'!$L$16"}</definedName>
    <definedName name="fgjft" localSheetId="0" hidden="1">{#N/A,#N/A,FALSE,"Sheet6"}</definedName>
    <definedName name="fgjj" localSheetId="0" hidden="1">{"'Sheet1'!$L$16"}</definedName>
    <definedName name="fgn" localSheetId="0" hidden="1">{"'Sheet1'!$L$16"}</definedName>
    <definedName name="fgsdaa" localSheetId="0" hidden="1">{#N/A,#N/A,TRUE,"BT M200 da 10x20"}</definedName>
    <definedName name="fgㅗ" localSheetId="0" hidden="1">{#N/A,#N/A,FALSE,"집계표"}</definedName>
    <definedName name="fhdfh" localSheetId="0" hidden="1">{"'Sheet1'!$L$16"}</definedName>
    <definedName name="fhf" localSheetId="0" hidden="1">{0,0,0,0}</definedName>
    <definedName name="fhfdyh" localSheetId="0" hidden="1">{"'Sheet1'!$L$16"}</definedName>
    <definedName name="fhgj" localSheetId="0" hidden="1">{"'Sheet1'!$L$16"}</definedName>
    <definedName name="FHJHJHG" localSheetId="0" hidden="1">{"'Sheet1'!$L$16"}</definedName>
    <definedName name="FK" localSheetId="0" hidden="1">{"'용역비'!$A$4:$C$8"}</definedName>
    <definedName name="FKFKFKFKF" localSheetId="0" hidden="1">{#N/A,#N/A,FALSE,"주간공정";#N/A,#N/A,FALSE,"주간보고";#N/A,#N/A,FALSE,"주간공정표"}</definedName>
    <definedName name="FOR" localSheetId="0" hidden="1">{#N/A,#N/A,FALSE,"CCTV"}</definedName>
    <definedName name="form" localSheetId="0" hidden="1">{"'ELEC'!$A$2:$H$216","'ELEC'!$C$2:$D$2"}</definedName>
    <definedName name="FORMAT" localSheetId="0" hidden="1">{#N/A,#N/A,FALSE,"CCTV"}</definedName>
    <definedName name="FReport5" localSheetId="0" hidden="1">{#N/A,#N/A,FALSE,"MARCH"}</definedName>
    <definedName name="FREPRT6" localSheetId="0" hidden="1">{#N/A,#N/A,FALSE,"MARCH"}</definedName>
    <definedName name="fsd" localSheetId="0" hidden="1">{#N/A,#N/A,FALSE,"mgtsum.XLS";#N/A,#N/A,FALSE,"CAPONE";#N/A,#N/A,FALSE,"CAPTWO";#N/A,#N/A,FALSE,"CAPTHREE"}</definedName>
    <definedName name="fsdf" localSheetId="0" hidden="1">{"'Sheet1'!$L$16"}</definedName>
    <definedName name="fsdfdsf" localSheetId="0" hidden="1">{"'Sheet1'!$L$16"}</definedName>
    <definedName name="FSDFĐ" localSheetId="0" hidden="1">{"'Sheet1'!$L$16"}</definedName>
    <definedName name="FSDFEW" localSheetId="0" hidden="1">{"'Sheet1'!$L$16"}</definedName>
    <definedName name="fsdfs" localSheetId="0" hidden="1">{"'Sheet1'!$L$16"}</definedName>
    <definedName name="fsdfsd" localSheetId="0" hidden="1">{#N/A,#N/A,FALSE,"Chi tiÆt"}</definedName>
    <definedName name="FSDFSDF" localSheetId="0" hidden="1">{#N/A,#N/A,TRUE,"SUM";#N/A,#N/A,TRUE,"EE";#N/A,#N/A,TRUE,"AC";#N/A,#N/A,TRUE,"SN"}</definedName>
    <definedName name="FSDFSĐ" localSheetId="0" hidden="1">{"'Sheet1'!$L$16"}</definedName>
    <definedName name="fsdfsf" localSheetId="0"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f" localSheetId="0"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f" localSheetId="0" hidden="1">{"'Sheet1'!$L$16"}</definedName>
    <definedName name="fsfsfdd" localSheetId="0" hidden="1">{"'Sheet1'!$L$16"}</definedName>
    <definedName name="fsm" localSheetId="0" hidden="1">{"'CPA Sum'!$A$1:$X$30","'CPA'!$A$1:$K$187","'Infra Cost'!$A$1:$Q$30","'Dev't Cost'!$A$1:$AH$40","'Cashflow'!$A$1:$DG$82"}</definedName>
    <definedName name="fszg" localSheetId="0" hidden="1">{"'Sheet1'!$L$16"}</definedName>
    <definedName name="fu" localSheetId="0" hidden="1">{"Offgrid",#N/A,FALSE,"OFFGRID";"Region",#N/A,FALSE,"REGION";"Offgrid -2",#N/A,FALSE,"OFFGRID";"WTP",#N/A,FALSE,"WTP";"WTP -2",#N/A,FALSE,"WTP";"Project",#N/A,FALSE,"PROJECT";"Summary -2",#N/A,FALSE,"SUMMARY"}</definedName>
    <definedName name="fwerfaef" localSheetId="0" hidden="1">{#N/A,#N/A,FALSE,"Tabelle2";#N/A,#N/A,FALSE,"Tabelle1"}</definedName>
    <definedName name="FXBFXB" localSheetId="0" hidden="1">{"'Sheet1'!$L$16"}</definedName>
    <definedName name="g" localSheetId="0" hidden="1">{"'Sheet1'!$L$16"}</definedName>
    <definedName name="ga" localSheetId="0" hidden="1">{"'Sheet1'!$L$16"}</definedName>
    <definedName name="GÀGF" localSheetId="0" hidden="1">{"'Sheet1'!$L$16"}</definedName>
    <definedName name="gbb" localSheetId="0" hidden="1">{"'Sheet1'!$L$16"}</definedName>
    <definedName name="gbdff" localSheetId="0" hidden="1">{#N/A,#N/A,FALSE,"Chi tiÆt"}</definedName>
    <definedName name="gbdg" localSheetId="0" hidden="1">{"'Sheet1'!$L$16"}</definedName>
    <definedName name="gcm" localSheetId="0" hidden="1">{"'Sheet1'!$L$16"}</definedName>
    <definedName name="gd" localSheetId="0" hidden="1">{"'Sheet1'!$L$16"}</definedName>
    <definedName name="gdfg" localSheetId="0" hidden="1">{0}</definedName>
    <definedName name="gdfgdfgdf" localSheetId="0" hidden="1">{"'Sheet1'!$L$16"}</definedName>
    <definedName name="gdg" localSheetId="0" hidden="1">{"'Sheet1'!$L$16"}</definedName>
    <definedName name="gdgdg." localSheetId="0" hidden="1">{"'Sheet1'!$L$16"}</definedName>
    <definedName name="GDGDS" localSheetId="0" hidden="1">{"'Sheet1'!$L$16"}</definedName>
    <definedName name="gdgfgf" localSheetId="0" hidden="1">{"'Sheet1'!$L$16"}</definedName>
    <definedName name="gdh" localSheetId="0" hidden="1">{"'Sheet1'!$L$16"}</definedName>
    <definedName name="gdjf" localSheetId="0" hidden="1">{#N/A,#N/A,FALSE,"Chi tiÆt"}</definedName>
    <definedName name="gdret" localSheetId="0" hidden="1">{"'Sheet1'!$L$16"}</definedName>
    <definedName name="GDRFHDF" localSheetId="0" hidden="1">{"'Sheet1'!$L$16"}</definedName>
    <definedName name="GDS" localSheetId="0" hidden="1">{"'Sheet1'!$L$16"}</definedName>
    <definedName name="ge" localSheetId="0" hidden="1">{"'Sheet1'!$L$16"}</definedName>
    <definedName name="GÈGEWG" localSheetId="0" hidden="1">{"'Sheet1'!$L$16"}</definedName>
    <definedName name="GEWGEW" localSheetId="0" hidden="1">{"'Sheet1'!$L$16"}</definedName>
    <definedName name="gfdg" localSheetId="0" hidden="1">{"'Sheet1'!$L$16"}</definedName>
    <definedName name="GFGFG" localSheetId="0" hidden="1">{"'Sheet1'!$L$16"}</definedName>
    <definedName name="gfgfgfgfgfg" localSheetId="0" hidden="1">{"'Sheet1'!$L$16"}</definedName>
    <definedName name="gfh" localSheetId="0" hidden="1">{"ECA Qtrs C",#N/A,TRUE,"ECA_Qtrs_C";"ECA Qtrs D",#N/A,TRUE,"ECA_Qtrs_D";"ECA Qtrs F",#N/A,TRUE,"ECA_Qtrs_F";"ECA Qtrs G",#N/A,TRUE,"ECA_Qtrs_G";"ECA SisterApt",#N/A,TRUE,"ECA_SisterApt";"ECA Nurses",#N/A,TRUE,"ECA_NursesHostel"}</definedName>
    <definedName name="gfj" localSheetId="0" hidden="1">{"'Sheet1'!$L$16"}</definedName>
    <definedName name="gfjf" localSheetId="0" hidden="1">{#N/A,#N/A,FALSE,"Sheet6"}</definedName>
    <definedName name="gfjnfg" localSheetId="0" hidden="1">{"'Sheet1'!$L$16"}</definedName>
    <definedName name="GFNGHFN" localSheetId="0" hidden="1">{"'Sheet1'!$L$16"}</definedName>
    <definedName name="GFSDFSF" localSheetId="0" hidden="1">{"'Sheet1'!$L$16"}</definedName>
    <definedName name="gfxhfh" localSheetId="0"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0" hidden="1">{"'Sheet1'!$L$16"}</definedName>
    <definedName name="ggger" localSheetId="0" hidden="1">{#N/A,#N/A,FALSE,"지침";#N/A,#N/A,FALSE,"환경분석";#N/A,#N/A,FALSE,"Sheet16"}</definedName>
    <definedName name="GGGGG" localSheetId="0" hidden="1">{#N/A,#N/A,TRUE,"SUM";#N/A,#N/A,TRUE,"EE";#N/A,#N/A,TRUE,"AC";#N/A,#N/A,TRUE,"SN"}</definedName>
    <definedName name="ggggggg" localSheetId="0" hidden="1">{#N/A,#N/A,FALSE,"전력간선"}</definedName>
    <definedName name="gggppiou" localSheetId="0"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ss" localSheetId="0"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0" hidden="1">{#N/A,#N/A,FALSE,"Chi tiÆt"}</definedName>
    <definedName name="ghfj" localSheetId="0" hidden="1">{#N/A,#N/A,FALSE,"Sheet6"}</definedName>
    <definedName name="ghg" localSheetId="0" hidden="1">{"'Sheet1'!$L$16"}</definedName>
    <definedName name="GHGF" localSheetId="0"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{#N/A,#N/A,FALSE,"Chi tiÆt"}</definedName>
    <definedName name="ghhh" localSheetId="0" hidden="1">{"'Sheet1'!$L$16"}</definedName>
    <definedName name="ghj" localSheetId="0" hidden="1">{"'Sheet1'!$L$16"}</definedName>
    <definedName name="ghjhgj" localSheetId="0" hidden="1">{"'Sheet1'!$L$16"}</definedName>
    <definedName name="GHK" localSheetId="0" hidden="1">{"'용역비'!$A$4:$C$8"}</definedName>
    <definedName name="GHTRH" localSheetId="0" hidden="1">{#N/A,#N/A,FALSE,"Sheet6"}</definedName>
    <definedName name="gjfd" localSheetId="0" hidden="1">{"'Sheet1'!$L$16"}</definedName>
    <definedName name="gjfgvfh" localSheetId="0" hidden="1">{#N/A,#N/A,FALSE,"特殊室（ＢＱ表）"}</definedName>
    <definedName name="gjhhn" localSheetId="0" hidden="1">{"'Sheet1'!$L$16"}</definedName>
    <definedName name="gjhi" localSheetId="0" hidden="1">{"'Sheet1'!$L$16"}</definedName>
    <definedName name="gjk" localSheetId="0" hidden="1">{0}</definedName>
    <definedName name="gjkj" localSheetId="0" hidden="1">{"'Sheet1'!$L$16"}</definedName>
    <definedName name="GJKHJFG" localSheetId="0" hidden="1">{"'Sheet1'!$L$16"}</definedName>
    <definedName name="GJKHK" localSheetId="0" hidden="1">{"'Sheet1'!$L$16"}</definedName>
    <definedName name="gjrđjsjs" localSheetId="0" hidden="1">{"'Sheet1'!$L$16"}</definedName>
    <definedName name="glhlhl" localSheetId="0" hidden="1">{"'Sheet1'!$L$16"}</definedName>
    <definedName name="glllhlh" localSheetId="0" hidden="1">{"'Sheet1'!$L$16"}</definedName>
    <definedName name="GMG" localSheetId="0" hidden="1">{#N/A,#N/A,FALSE,"特殊室（ＢＱ表）"}</definedName>
    <definedName name="gndfd" localSheetId="0" hidden="1">{"'Sheet1'!$L$16"}</definedName>
    <definedName name="gnfgf" localSheetId="0" hidden="1">{#N/A,#N/A,FALSE,"Chi tiÆt"}</definedName>
    <definedName name="GNFKD" localSheetId="0" hidden="1">{#N/A,#N/A,TRUE,"SUM";#N/A,#N/A,TRUE,"EE";#N/A,#N/A,TRUE,"AC";#N/A,#N/A,TRUE,"SN"}</definedName>
    <definedName name="GR" localSheetId="0" hidden="1">{#N/A,#N/A,TRUE,"Cover Memo";"Complete Sys. Estimate",#N/A,TRUE,"Change Summary";"Complete Sys. Estimate",#N/A,TRUE,"Estimate Summary";"Complete Sys. Estimate",#N/A,TRUE,"Dept. Summary";"Complete Sys. Estimate",#N/A,TRUE,"DOW Detail"}</definedName>
    <definedName name="gra" localSheetId="0" hidden="1">{"'Sheet1'!$L$16"}</definedName>
    <definedName name="GREG4E" localSheetId="0" hidden="1">{"'Sheet1'!$L$16"}</definedName>
    <definedName name="gresg" localSheetId="0" hidden="1">{"'Sheet1'!$L$16"}</definedName>
    <definedName name="gsdbsa" localSheetId="0" hidden="1">{#N/A,#N/A,FALSE,"Chi tiÆt"}</definedName>
    <definedName name="GSDGA" localSheetId="0" hidden="1">{"'Sheet1'!$L$16"}</definedName>
    <definedName name="GSETGS" localSheetId="0" hidden="1">{#N/A,#N/A,FALSE,"Sheet6"}</definedName>
    <definedName name="GSFFAFSFSDF" localSheetId="0" hidden="1">{"'Sheet1'!$L$16"}</definedName>
    <definedName name="GSGSD" localSheetId="0" hidden="1">{"'Sheet1'!$L$16"}</definedName>
    <definedName name="gshsdgf" localSheetId="0" hidden="1">{#N/A,#N/A,FALSE,"부대2"}</definedName>
    <definedName name="gssl" localSheetId="0" hidden="1">{"'ROOF'!$B$6","'ROOF'!$B$6","'ROOF'!$B$6","'ROOF'!$B$6"}</definedName>
    <definedName name="gteyhưez" localSheetId="0" hidden="1">{"'Sheet1'!$L$16"}</definedName>
    <definedName name="GTOTAL" localSheetId="0"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UUUUU" localSheetId="0" hidden="1">{"ECA Qtrs C",#N/A,TRUE,"ECA_Qtrs_C";"ECA Qtrs D",#N/A,TRUE,"ECA_Qtrs_D";"ECA Qtrs F",#N/A,TRUE,"ECA_Qtrs_F";"ECA Qtrs G",#N/A,TRUE,"ECA_Qtrs_G";"ECA SisterApt",#N/A,TRUE,"ECA_SisterApt";"ECA Nurses",#N/A,TRUE,"ECA_NursesHostel"}</definedName>
    <definedName name="GƯD" localSheetId="0" hidden="1">{"'Sheet1'!$L$16"}</definedName>
    <definedName name="GƯEGWEGED" localSheetId="0" hidden="1">{"'Sheet1'!$L$16"}</definedName>
    <definedName name="GV" localSheetId="0" hidden="1">{#N/A,#N/A,FALSE,"CCTV"}</definedName>
    <definedName name="gvjgkjh" localSheetId="0"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0" hidden="1">{"'Sheet1'!$L$16"}</definedName>
    <definedName name="h" localSheetId="0" hidden="1">{"'Sheet1'!$L$16"}</definedName>
    <definedName name="h_1" localSheetId="0" hidden="1">{"'Sheet1'!$L$16"}</definedName>
    <definedName name="h_xoa" localSheetId="0" hidden="1">{"'Sheet1'!$L$16"}</definedName>
    <definedName name="h_xoa_1" localSheetId="0" hidden="1">{"'Sheet1'!$L$16"}</definedName>
    <definedName name="h_xoa2" localSheetId="0" hidden="1">{"'Sheet1'!$L$16"}</definedName>
    <definedName name="h_xoa2_1" localSheetId="0" hidden="1">{"'Sheet1'!$L$16"}</definedName>
    <definedName name="h_xoa3" localSheetId="0" hidden="1">{"'Sheet1'!$L$16"}</definedName>
    <definedName name="HA" localSheetId="0" hidden="1">{"'Sheet1'!$L$16"}</definedName>
    <definedName name="halong" localSheetId="0" hidden="1">{"'Sheet1'!$L$16"}</definedName>
    <definedName name="hanh" localSheetId="0" hidden="1">{"'Sheet1'!$L$16"}</definedName>
    <definedName name="HAO" localSheetId="0" hidden="1">{#N/A,#N/A,FALSE,"Sheet1"}</definedName>
    <definedName name="haq" localSheetId="0" hidden="1">{"'Sheet1'!$L$16"}</definedName>
    <definedName name="hau" localSheetId="0" hidden="1">{"'Sheet1'!$L$16"}</definedName>
    <definedName name="hb" localSheetId="0" hidden="1">{"'Sheet1'!$L$16"}</definedName>
    <definedName name="hbbbbbb" localSheetId="0" hidden="1">{"'Sheet1'!$L$16"}</definedName>
    <definedName name="hbhbh" localSheetId="0" hidden="1">{"'Sheet1'!$L$16"}</definedName>
    <definedName name="HCNA" localSheetId="0" hidden="1">{"'Sheet1'!$L$16"}</definedName>
    <definedName name="HDFGHFD" localSheetId="0" hidden="1">{"'Sheet1'!$L$16"}</definedName>
    <definedName name="HDGUJ" localSheetId="0" hidden="1">{"'Sheet1'!$L$16"}</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yt" localSheetId="0" hidden="1">{"'Sheet1'!$L$16"}</definedName>
    <definedName name="hee_opjg" localSheetId="0"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reh" localSheetId="0" hidden="1">{"'Sheet1'!$L$16"}</definedName>
    <definedName name="help" localSheetId="0" hidden="1">{"summary",#N/A,FALSE,"Summary";"parameter",#N/A,FALSE,"Parameter Summary";"detail",#N/A,FALSE,"Detail";"gsf",#N/A,FALSE,"GSF"}</definedName>
    <definedName name="help1" localSheetId="0" hidden="1">{#N/A,#N/A,FALSE,"Project Summary";#N/A,#N/A,FALSE,"Parameter Summary";#N/A,#N/A,FALSE,"Budget Control Report";#N/A,#N/A,FALSE,"DETAIL.XLS"}</definedName>
    <definedName name="hergyew" localSheetId="0" hidden="1">{"'Sheet1'!$L$16"}</definedName>
    <definedName name="herse" localSheetId="0" hidden="1">{#N/A,#N/A,FALSE,"Chi tiÆt"}</definedName>
    <definedName name="HETH" localSheetId="0" hidden="1">{"'Sheet1'!$L$16"}</definedName>
    <definedName name="hẻy" localSheetId="0" hidden="1">{"'Sheet1'!$L$16"}</definedName>
    <definedName name="HFGHFGHDG" localSheetId="0" hidden="1">{"'Sheet1'!$L$16"}</definedName>
    <definedName name="hfgk" localSheetId="0" hidden="1">{#N/A,#N/A,FALSE,"特殊室（ＢＱ表）"}</definedName>
    <definedName name="hfgsdf" localSheetId="0" hidden="1">{"'Sheet1'!$L$16"}</definedName>
    <definedName name="hfgsdf_1" localSheetId="0" hidden="1">{"'Sheet1'!$L$16"}</definedName>
    <definedName name="hg" localSheetId="0" hidden="1">{"'Sheet1'!$L$16"}</definedName>
    <definedName name="HGDHDFG" localSheetId="0" hidden="1">{"'Sheet1'!$L$16"}</definedName>
    <definedName name="hgdhdghd" localSheetId="0" hidden="1">{"'Sheet1'!$L$16"}</definedName>
    <definedName name="HGFGJHG" localSheetId="0"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g" localSheetId="0" hidden="1">{"'Sheet1'!$L$16"}</definedName>
    <definedName name="HGH" localSheetId="0" hidden="1">{"'Sheet1'!$L$16"}</definedName>
    <definedName name="HGHG" localSheetId="0" hidden="1">{"'Sheet1'!$L$16"}</definedName>
    <definedName name="hghghg" localSheetId="0" hidden="1">{"'Sheet1'!$L$16"}</definedName>
    <definedName name="hgj" localSheetId="0" hidden="1">{#N/A,#N/A,FALSE,"Sheet6"}</definedName>
    <definedName name="hgjhkh" localSheetId="0" hidden="1">{"'Sheet1'!$L$16"}</definedName>
    <definedName name="hgjjjh" localSheetId="0" hidden="1">{"'Sheet1'!$L$16"}</definedName>
    <definedName name="hgre_zdfhgfd" localSheetId="0" hidden="1">{"'Sheet1'!$L$16"}</definedName>
    <definedName name="hgrf" localSheetId="0" hidden="1">{"'Sheet1'!$L$16"}</definedName>
    <definedName name="hgsa" localSheetId="0" hidden="1">{#N/A,#N/A,FALSE,"Chi tiÆt"}</definedName>
    <definedName name="hh" localSheetId="0" hidden="1">{"'Sheet1'!$L$16"}</definedName>
    <definedName name="hhb" localSheetId="0" hidden="1">{"'Sheet1'!$L$16"}</definedName>
    <definedName name="HHG" localSheetId="0" hidden="1">{"'ROOF'!$B$6","'ROOF'!$B$6","'ROOF'!$B$6","'ROOF'!$B$6"}</definedName>
    <definedName name="hhgggggg" localSheetId="0" hidden="1">{"'Sheet1'!$L$16"}</definedName>
    <definedName name="hhghg" localSheetId="0" hidden="1">{"'Sheet1'!$L$16"}</definedName>
    <definedName name="HHHHHH" localSheetId="0" hidden="1">{#N/A,#N/A,TRUE,"SUM";#N/A,#N/A,TRUE,"EE";#N/A,#N/A,TRUE,"AC";#N/A,#N/A,TRUE,"SN"}</definedName>
    <definedName name="hhhhhhh" localSheetId="0" hidden="1">{"'Sheet1'!$L$16"}</definedName>
    <definedName name="hhhhhu" localSheetId="0" hidden="1">{"'Sheet1'!$L$16"}</definedName>
    <definedName name="hhhlll" localSheetId="0" hidden="1">{"'Sheet1'!$L$16"}</definedName>
    <definedName name="hhjd" localSheetId="0" hidden="1">{0}</definedName>
    <definedName name="hiep" localSheetId="0" hidden="1">{#N/A,#N/A,FALSE,"Chi tiÆt"}</definedName>
    <definedName name="hiept2" localSheetId="0" hidden="1">{"'Sheet1'!$L$16"}</definedName>
    <definedName name="hieu" localSheetId="0" hidden="1">{"'Sheet1'!$L$16"}</definedName>
    <definedName name="hihi" localSheetId="0" hidden="1">{"'Sheet1'!$L$16"}</definedName>
    <definedName name="hj" localSheetId="0" hidden="1">{#N/A,#N/A,FALSE,"Sheet6"}</definedName>
    <definedName name="HJHH" localSheetId="0"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jkl" localSheetId="0" hidden="1">{"'Sheet1'!$L$16"}</definedName>
    <definedName name="hjjpu" localSheetId="0" hidden="1">{"'Sheet1'!$L$16"}</definedName>
    <definedName name="hjjþu" localSheetId="0" hidden="1">{"'Sheet1'!$L$16"}</definedName>
    <definedName name="hjk" localSheetId="0" hidden="1">{"'Sheet1'!$L$16"}</definedName>
    <definedName name="HJTHE" localSheetId="0" hidden="1">{"'Sheet1'!$L$16"}</definedName>
    <definedName name="hkilgu" localSheetId="0"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l" localSheetId="0" hidden="1">{"'Sheet1'!$L$16"}</definedName>
    <definedName name="hklhj" localSheetId="0" hidden="1">{"'Sheet1'!$L$16"}</definedName>
    <definedName name="hllgljl" localSheetId="0" hidden="1">{"'Sheet1'!$L$16"}</definedName>
    <definedName name="HMFDFG" localSheetId="0" hidden="1">{"'Sheet1'!$L$16"}</definedName>
    <definedName name="HMFGMFG" localSheetId="0" hidden="1">{"'Sheet1'!$L$16"}</definedName>
    <definedName name="ho" localSheetId="0" hidden="1">{"'Sheet1'!$L$16"}</definedName>
    <definedName name="hoa" localSheetId="0" hidden="1">{"'Sheet1'!$L$16"}</definedName>
    <definedName name="Hoang" localSheetId="0" hidden="1">{"'Sheet1'!$L$16"}</definedName>
    <definedName name="hoc" localSheetId="0" hidden="1">{"'Sheet1'!$L$16"}</definedName>
    <definedName name="hoe" localSheetId="0" hidden="1">{#N/A,#N/A,FALSE,"Chi tiÆt"}</definedName>
    <definedName name="hoi" localSheetId="0" hidden="1">{0}</definedName>
    <definedName name="hong" localSheetId="0" hidden="1">{"'Sheet1'!$L$16"}</definedName>
    <definedName name="hp" localSheetId="0" hidden="1">{"'Sheet1'!$L$16"}</definedName>
    <definedName name="HREHRE" localSheetId="0" hidden="1">{"'Sheet1'!$L$16"}</definedName>
    <definedName name="HTD" localSheetId="0" hidden="1">{#N/A,#N/A,FALSE,"CCTV"}</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0" hidden="1">{"'Sheet1'!$L$16"}</definedName>
    <definedName name="html" localSheetId="0" hidden="1">{"'Sheet1'!$L$16"}</definedName>
    <definedName name="HTML_Control" localSheetId="0" hidden="1">{"'Sheet1'!$L$16"}</definedName>
    <definedName name="HTML_Control_1" localSheetId="0" hidden="1">{"'Sheet1'!$L$16"}</definedName>
    <definedName name="html_control_xoa2" localSheetId="0" hidden="1">{"'Sheet1'!$L$16"}</definedName>
    <definedName name="html_control_xoa2_1" localSheetId="0" hidden="1">{"'Sheet1'!$L$16"}</definedName>
    <definedName name="HTML_Control1" localSheetId="0" hidden="1">{"'Sheet1'!$L$16"}</definedName>
    <definedName name="HTML_Control1_1" localSheetId="0" hidden="1">{"'Sheet1'!$L$16"}</definedName>
    <definedName name="HTML_Controlmoi" localSheetId="0" hidden="1">{"'Sheet1'!$L$16"}</definedName>
    <definedName name="html2" localSheetId="0" hidden="1">{"'Sheet1'!$L$16"}</definedName>
    <definedName name="HTMLcpnmtrol" localSheetId="0" hidden="1">{"'Sheet1'!$L$16"}</definedName>
    <definedName name="htmll" localSheetId="0" hidden="1">{"'Sheet1'!$L$16"}</definedName>
    <definedName name="hþ" localSheetId="0" hidden="1">{"'Sheet1'!$L$16"}</definedName>
    <definedName name="HTHTR" localSheetId="0" hidden="1">{"'Sheet1'!$L$16"}</definedName>
    <definedName name="hþwr" localSheetId="0" hidden="1">{"'Sheet1'!$L$16"}</definedName>
    <definedName name="HTR" localSheetId="0" hidden="1">{#N/A,#N/A,FALSE,"이태원철근"}</definedName>
    <definedName name="htrhrt" localSheetId="0" hidden="1">{"'Sheet1'!$L$16"}</definedName>
    <definedName name="hu" localSheetId="0" hidden="1">{"'Sheet1'!$L$16"}</definedName>
    <definedName name="hu_1" localSheetId="0" hidden="1">{"'Sheet1'!$L$16"}</definedName>
    <definedName name="hud" localSheetId="0" hidden="1">{"'Sheet1'!$L$16"}</definedName>
    <definedName name="hudas" localSheetId="0" hidden="1">{"'Sheet1'!$L$16"}</definedName>
    <definedName name="HUE" localSheetId="0"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NG" localSheetId="0" hidden="1">{#N/A,#N/A,FALSE,"Chi tiÆt"}</definedName>
    <definedName name="hung3" localSheetId="0" hidden="1">{"'Sheet1'!$L$16"}</definedName>
    <definedName name="hunh" localSheetId="0" hidden="1">{"'Sheet1'!$L$16"}</definedName>
    <definedName name="huong" localSheetId="0" hidden="1">{"'Sheet1'!$L$16"}</definedName>
    <definedName name="hut" localSheetId="0" hidden="1">{"'Sheet1'!$L$16"}</definedName>
    <definedName name="HUU" localSheetId="0" hidden="1">{"'Sheet1'!$L$16"}</definedName>
    <definedName name="huy" localSheetId="0" hidden="1">{"'Sheet1'!$L$16"}</definedName>
    <definedName name="huy_1" localSheetId="0" hidden="1">{"'Sheet1'!$L$16"}</definedName>
    <definedName name="huy_xoa" localSheetId="0" hidden="1">{"'Sheet1'!$L$16"}</definedName>
    <definedName name="huy_xoa_1" localSheetId="0" hidden="1">{"'Sheet1'!$L$16"}</definedName>
    <definedName name="huy_xoa2" localSheetId="0" hidden="1">{"'Sheet1'!$L$16"}</definedName>
    <definedName name="huy_xoa2_1" localSheetId="0" hidden="1">{"'Sheet1'!$L$16"}</definedName>
    <definedName name="huyen" localSheetId="0" hidden="1">{"'Sheet1'!$L$16"}</definedName>
    <definedName name="huyhoa" localSheetId="0" hidden="1">{"'Sheet1'!$L$16"}</definedName>
    <definedName name="huyhu" localSheetId="0" hidden="1">{"'Sheet1'!$L$16"}</definedName>
    <definedName name="huymoi" localSheetId="0" hidden="1">{"'Sheet1'!$L$16"}</definedName>
    <definedName name="HUYØ" localSheetId="0" hidden="1">{"'Sheet1'!$L$16"}</definedName>
    <definedName name="huyy" localSheetId="0" hidden="1">{"'Sheet1'!$L$16"}</definedName>
    <definedName name="huyyy" localSheetId="0" hidden="1">{"'Sheet1'!$L$16"}</definedName>
    <definedName name="hvjhvj" localSheetId="0" hidden="1">{"'Sheet1'!$L$16"}</definedName>
    <definedName name="hy" localSheetId="0" hidden="1">{"'Sheet1'!$L$16"}</definedName>
    <definedName name="ii" localSheetId="0"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n" localSheetId="0" hidden="1">{#N/A,#N/A,FALSE,"MARCH"}</definedName>
    <definedName name="IN" localSheetId="0"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tyityit" localSheetId="0" hidden="1">{#N/A,#N/A,FALSE,"변경관리예산";#N/A,#N/A,FALSE,"변경장비예산";#N/A,#N/A,FALSE,"변경준설예산";#N/A,#N/A,FALSE,"변경철구예산"}</definedName>
    <definedName name="ịth" localSheetId="0" hidden="1">{"'Sheet1'!$L$16"}</definedName>
    <definedName name="iuliupoui" localSheetId="0" hidden="1">{"'Sheet1'!$L$16"}</definedName>
    <definedName name="iutrir" localSheetId="0" hidden="1">{#N/A,#N/A,FALSE,"부대1"}</definedName>
    <definedName name="IV" localSheetId="0" hidden="1">{#N/A,#N/A,TRUE,"Cover Memo";"Ride Estimate",#N/A,TRUE,"Change Summary";"Ride Estimate",#N/A,TRUE,"Estimate Summary";"Ride Estimate",#N/A,TRUE,"Dept. Summary";"Ride Estimate",#N/A,TRUE,"DOW Detail"}</definedName>
    <definedName name="iwer" localSheetId="0" hidden="1">{"'Sheet1'!$L$16"}</definedName>
    <definedName name="iylryi" localSheetId="0" hidden="1">{"'Sheet1'!$L$16"}</definedName>
    <definedName name="Î" localSheetId="0" hidden="1">{#N/A,#N/A,FALSE,"Chi tiÆt"}</definedName>
    <definedName name="Ît" localSheetId="0"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DFHDH" localSheetId="0" hidden="1">{"'Sheet1'!$L$16"}</definedName>
    <definedName name="jfdjf" localSheetId="0" hidden="1">{#N/A,#N/A,FALSE,"Chi tiÆt"}</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ggui78" localSheetId="0" hidden="1">{"'Sheet1'!$L$16"}</definedName>
    <definedName name="JGHJFHJJ" localSheetId="0" hidden="1">{"'Sheet1'!$L$16"}</definedName>
    <definedName name="jgtjdt" localSheetId="0" hidden="1">{"'Sheet1'!$L$16"}</definedName>
    <definedName name="jh" localSheetId="0" hidden="1">{"'Sheet1'!$L$16"}</definedName>
    <definedName name="jhakjhskjd" localSheetId="0" hidden="1">{0,0,0,0;0,0,TRUE,0;0,#N/A,FALSE,0;0,#N/A,FALSE,0;0,#N/A,FALSE,0;0,#N/A,FALSE,0;0,#N/A,FALSE,0}</definedName>
    <definedName name="jhfdgy" localSheetId="0"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j" localSheetId="0" hidden="1">{#N/A,#N/A,FALSE,"단가표지"}</definedName>
    <definedName name="jjjjj" localSheetId="0" hidden="1">{"'Sheet1'!$L$16"}</definedName>
    <definedName name="jjkk" localSheetId="0"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jlkl" localSheetId="0" hidden="1">{#N/A,#N/A,FALSE,"Chi tiÆt"}</definedName>
    <definedName name="jkl" localSheetId="0"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mjkjk" localSheetId="0" hidden="1">{"'Break down'!$A$4"}</definedName>
    <definedName name="jn" localSheetId="0" hidden="1">{#N/A,#N/A,FALSE,"CCTV"}</definedName>
    <definedName name="jo" localSheetId="0" hidden="1">{"'Sheet1'!$L$16"}</definedName>
    <definedName name="jrtj" localSheetId="0" hidden="1">{#N/A,#N/A,FALSE,"Chi tiÆt"}</definedName>
    <definedName name="JRY" localSheetId="0" hidden="1">{"'Sheet1'!$L$16"}</definedName>
    <definedName name="jsdh" localSheetId="0" hidden="1">{"'Sheet1'!$L$16"}</definedName>
    <definedName name="jsdjs" localSheetId="0"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0" hidden="1">{"'Sheet1'!$L$16"}</definedName>
    <definedName name="jt" localSheetId="0" hidden="1">{"'Sheet1'!$L$16"}</definedName>
    <definedName name="JTDEYW" localSheetId="0"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0" hidden="1">{"'Sheet1'!$L$16"}</definedName>
    <definedName name="jtru" localSheetId="0" hidden="1">{"'Sheet1'!$L$16"}</definedName>
    <definedName name="jtrujt" localSheetId="0" hidden="1">{#N/A,#N/A,FALSE,"부대2"}</definedName>
    <definedName name="JUNK" localSheetId="0" hidden="1">{"SCHEDULE",#N/A,FALSE,"Fin_sched"}</definedName>
    <definedName name="JUNK2" localSheetId="0" hidden="1">{"SUMMARY",#N/A,FALSE,"Fin_sched"}</definedName>
    <definedName name="JY" localSheetId="0" hidden="1">{"'Sheet1'!$L$16"}</definedName>
    <definedName name="jyuk" localSheetId="0" hidden="1">{"'Sheet1'!$L$16"}</definedName>
    <definedName name="jýỵy" localSheetId="0" hidden="1">{"'Sheet1'!$L$16"}</definedName>
    <definedName name="k" localSheetId="0" hidden="1">{"Offgrid",#N/A,FALSE,"OFFGRID";"Region",#N/A,FALSE,"REGION";"Offgrid -2",#N/A,FALSE,"OFFGRID";"WTP",#N/A,FALSE,"WTP";"WTP -2",#N/A,FALSE,"WTP";"Project",#N/A,FALSE,"PROJECT";"Summary -2",#N/A,FALSE,"SUMMARY"}</definedName>
    <definedName name="K.viecBAHUNG" localSheetId="0" hidden="1">{"'Sheet1'!$L$16"}</definedName>
    <definedName name="k_xoa" localSheetId="0"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CThep" localSheetId="0" hidden="1">{"'Sheet1'!$L$16"}</definedName>
    <definedName name="kd" localSheetId="0" hidden="1">{"SUMMARY",#N/A,FALSE,"Fin_sched"}</definedName>
    <definedName name="KDCNThonmoi20_00" localSheetId="0" hidden="1">{"'Sheet1'!$L$16"}</definedName>
    <definedName name="KDJU" localSheetId="0" hidden="1">{"'장비'!$A$3:$M$12"}</definedName>
    <definedName name="kdkk" localSheetId="0" hidden="1">{"'Sheet1'!$L$16"}</definedName>
    <definedName name="kgdf" localSheetId="0" hidden="1">{#N/A,#N/A,FALSE,"Chi tiÆt"}</definedName>
    <definedName name="kgh" localSheetId="0" hidden="1">{"'Sheet1'!$L$16"}</definedName>
    <definedName name="kgj" localSheetId="0" hidden="1">{#N/A,#N/A,FALSE,"MARCH"}</definedName>
    <definedName name="Kien" localSheetId="0" hidden="1">{"'Sheet1'!$L$16"}</definedName>
    <definedName name="kij" localSheetId="0" hidden="1">{#N/A,#N/A,FALSE,"MARCH"}</definedName>
    <definedName name="kiyddfdr" localSheetId="0" hidden="1">{"'Sheet1'!$L$16"}</definedName>
    <definedName name="kj" localSheetId="0" hidden="1">{#N/A,#N/A,FALSE,"Chi tiÆt"}</definedName>
    <definedName name="kjhkhj" localSheetId="0" hidden="1">{"'Sheet1'!$L$16"}</definedName>
    <definedName name="kjjkjgg" localSheetId="0" hidden="1">{"'Sheet1'!$L$16"}</definedName>
    <definedName name="kjjlll" localSheetId="0" hidden="1">{"'Sheet1'!$L$16"}</definedName>
    <definedName name="kjkjk" localSheetId="0" hidden="1">{"'Sheet1'!$L$16"}</definedName>
    <definedName name="kjkjkj" localSheetId="0" hidden="1">{"'Sheet1'!$L$16"}</definedName>
    <definedName name="kjoh" localSheetId="0" hidden="1">{#N/A,#N/A,FALSE,"特殊室（ＢＱ表）"}</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k" localSheetId="0" hidden="1">{"'Sheet1'!$L$16"}</definedName>
    <definedName name="kkkl" localSheetId="0"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l" localSheetId="0" hidden="1">{"'Sheet1'!$L$16"}</definedName>
    <definedName name="kklll" localSheetId="0"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duonggiaods" localSheetId="0" hidden="1">{"'Sheet1'!$L$16"}</definedName>
    <definedName name="klhkl" localSheetId="0" hidden="1">{#N/A,#N/A,FALSE,"CCTV"}</definedName>
    <definedName name="kljg" localSheetId="0" hidden="1">{"'Sheet1'!$L$16"}</definedName>
    <definedName name="klkklk" localSheetId="0" hidden="1">{#N/A,#N/A,FALSE,"Sheet1";#N/A,#N/A,FALSE,"Sheet3";#N/A,#N/A,FALSE,"Sheet5"}</definedName>
    <definedName name="klm" localSheetId="0" hidden="1">{"'Sheet1'!$L$16"}</definedName>
    <definedName name="klnhhh" localSheetId="0" hidden="1">{"'Sheet1'!$L$16"}</definedName>
    <definedName name="kon" localSheetId="0" hidden="1">{"'Sheet1'!$L$16"}</definedName>
    <definedName name="ks" localSheetId="0" hidden="1">{"'Sheet1'!$L$16"}</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ukek" localSheetId="0" hidden="1">{"'Sheet1'!$L$16"}</definedName>
    <definedName name="kuklk" localSheetId="0" hidden="1">{"'Sheet1'!$L$16"}</definedName>
    <definedName name="kutkuk" localSheetId="0" hidden="1">{"'Sheet1'!$L$16"}</definedName>
    <definedName name="KYUKGH" localSheetId="0" hidden="1">{"'Sheet1'!$L$16"}</definedName>
    <definedName name="khg" localSheetId="0" hidden="1">{"'Sheet1'!$L$16"}</definedName>
    <definedName name="KHKN" localSheetId="0" hidden="1">{#N/A,#N/A,FALSE,"特殊室（ＢＱ表）"}</definedName>
    <definedName name="khkttt" localSheetId="0" hidden="1">{"'Sheet1'!$L$16"}</definedName>
    <definedName name="khoas" localSheetId="0" hidden="1">{"'Sheet1'!$L$16"}</definedName>
    <definedName name="KHOILUONG" localSheetId="0" hidden="1">{"'Sheet1'!$L$16"}</definedName>
    <definedName name="KhongCT" localSheetId="0" hidden="1">{"'Sheet1'!$L$16"}</definedName>
    <definedName name="khongtruotgia" localSheetId="0" hidden="1">{"'Sheet1'!$L$16"}</definedName>
    <definedName name="khuyen" localSheetId="0" hidden="1">{"'Sheet1'!$L$16"}</definedName>
    <definedName name="l" localSheetId="0">{"Book1","BoQ2.XLS"}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n" localSheetId="0" hidden="1">{#N/A,#N/A,TRUE,"BT M200 da 10x20"}</definedName>
    <definedName name="langson" localSheetId="0" hidden="1">{"'Sheet1'!$L$16"}</definedName>
    <definedName name="lapmoi8430" localSheetId="0" hidden="1">{"'Sheet1'!$L$16"}</definedName>
    <definedName name="LC산출" localSheetId="0" hidden="1">{#N/A,#N/A,FALSE,"사업총괄";#N/A,#N/A,FALSE,"장비사업";#N/A,#N/A,FALSE,"철구사업";#N/A,#N/A,FALSE,"준설사업"}</definedName>
    <definedName name="le" localSheetId="0" hidden="1">{"'Sheet1'!$L$16"}</definedName>
    <definedName name="LEE" localSheetId="0"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0" hidden="1">{"'Sheet1'!$L$16"}</definedName>
    <definedName name="lhhh" localSheetId="0" hidden="1">{#N/A,#N/A,FALSE,"Chi tiÆt"}</definedName>
    <definedName name="li" localSheetId="0" hidden="1">{"'용역비'!$A$4:$C$8"}</definedName>
    <definedName name="lie" localSheetId="0" hidden="1">{"'Sheet1'!$L$16"}</definedName>
    <definedName name="linh" localSheetId="0" hidden="1">{"'Sheet1'!$L$16"}</definedName>
    <definedName name="linhT" localSheetId="0" hidden="1">{"'Sheet1'!$L$16"}</definedName>
    <definedName name="List" localSheetId="0" hidden="1">{"'Sheet1'!$L$16"}</definedName>
    <definedName name="ljhghg" localSheetId="0" hidden="1">{"'Sheet1'!$L$16"}</definedName>
    <definedName name="ljklk" localSheetId="0" hidden="1">{"'Sheet1'!$L$16"}</definedName>
    <definedName name="lk" localSheetId="0" hidden="1">{#N/A,#N/A,FALSE,"mgtsum.XLS";#N/A,#N/A,FALSE,"CAPONE";#N/A,#N/A,FALSE,"CAPTWO";#N/A,#N/A,FALSE,"CAPTHREE"}</definedName>
    <definedName name="lkj" localSheetId="0" hidden="1">{"'Sheet1'!$L$16"}</definedName>
    <definedName name="lkjhgf" localSheetId="0" hidden="1">{"'Sheet1'!$L$16"}</definedName>
    <definedName name="lkklll" localSheetId="0" hidden="1">{"'Sheet1'!$L$16"}</definedName>
    <definedName name="lklkhh" localSheetId="0"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j" localSheetId="0" hidden="1">{"'Sheet1'!$L$16"}</definedName>
    <definedName name="LLLL" localSheetId="0" hidden="1">{"ECA Qtrs C",#N/A,TRUE,"ECA_Qtrs_C";"ECA Qtrs D",#N/A,TRUE,"ECA_Qtrs_D";"ECA Qtrs F",#N/A,TRUE,"ECA_Qtrs_F";"ECA Qtrs G",#N/A,TRUE,"ECA_Qtrs_G";"ECA SisterApt",#N/A,TRUE,"ECA_SisterApt";"ECA Nurses",#N/A,TRUE,"ECA_NursesHostel"}</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0" hidden="1">{#N/A,#N/A,FALSE,"CCTV"}</definedName>
    <definedName name="LOCO" localSheetId="0" hidden="1">{"'Sheet1'!$L$16"}</definedName>
    <definedName name="LOCO2" localSheetId="0" hidden="1">{"'Sheet1'!$L$16"}</definedName>
    <definedName name="lon" localSheetId="0" hidden="1">{"'Sheet1'!$L$16"}</definedName>
    <definedName name="lontrau" localSheetId="0" hidden="1">{"'Sheet1'!$L$16"}</definedName>
    <definedName name="Long" localSheetId="0" hidden="1">{"'Sheet1'!$L$16"}</definedName>
    <definedName name="lop" localSheetId="0" hidden="1">{#N/A,#N/A,FALSE,"特殊室（ＢＱ表）"}</definedName>
    <definedName name="lop." localSheetId="0" hidden="1">{#N/A,#N/A,FALSE,"特殊室（ＢＱ表）"}</definedName>
    <definedName name="luan" localSheetId="0" hidden="1">{"'Sheet1'!$L$16"}</definedName>
    <definedName name="luong" localSheetId="0" hidden="1">{"'Sheet1'!$L$16"}</definedName>
    <definedName name="luyÕn" localSheetId="0" hidden="1">{"'Sheet1'!$L$16"}</definedName>
    <definedName name="M10." localSheetId="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i" localSheetId="0" hidden="1">{"'Sheet1'!$L$16"}</definedName>
    <definedName name="mainu" localSheetId="0" hidden="1">{"'ROOF'!$B$6","'ROOF'!$B$6","'ROOF'!$B$6","'ROOF'!$B$6"}</definedName>
    <definedName name="MAITAI.11.MARCH08" localSheetId="0"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sonry" localSheetId="0" hidden="1">{#N/A,#N/A,FALSE,"Tabelle2";#N/A,#N/A,FALSE,"Tabelle1"}</definedName>
    <definedName name="mat.spare" localSheetId="0" hidden="1">{"'ELEC'!$A$2:$H$216","'ELEC'!$C$2:$D$2"}</definedName>
    <definedName name="MAU" localSheetId="0" hidden="1">{"'Sheet1'!$L$16"}</definedName>
    <definedName name="May" localSheetId="0" hidden="1">{#N/A,#N/A,FALSE,"MARCH"}</definedName>
    <definedName name="mbm" localSheetId="0"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O" localSheetId="0" hidden="1">{#N/A,#N/A,FALSE,"CCTV"}</definedName>
    <definedName name="MCCO10" localSheetId="0" hidden="1">{#N/A,#N/A,FALSE,"CCTV"}</definedName>
    <definedName name="MCCO11" localSheetId="0" hidden="1">{#N/A,#N/A,FALSE,"CCTV"}</definedName>
    <definedName name="MCCO12" localSheetId="0" hidden="1">{#N/A,#N/A,FALSE,"CCTV"}</definedName>
    <definedName name="MCCO13" localSheetId="0" hidden="1">{#N/A,#N/A,FALSE,"CCTV"}</definedName>
    <definedName name="MCCO3" localSheetId="0" hidden="1">{#N/A,#N/A,FALSE,"CCTV"}</definedName>
    <definedName name="MCCO4" localSheetId="0" hidden="1">{#N/A,#N/A,FALSE,"CCTV"}</definedName>
    <definedName name="MCCO5" localSheetId="0" hidden="1">{#N/A,#N/A,FALSE,"CCTV"}</definedName>
    <definedName name="MCCO6" localSheetId="0" hidden="1">{#N/A,#N/A,FALSE,"CCTV"}</definedName>
    <definedName name="MCCO7" localSheetId="0" hidden="1">{#N/A,#N/A,FALSE,"CCTV"}</definedName>
    <definedName name="MCCO8" localSheetId="0" hidden="1">{#N/A,#N/A,FALSE,"CCTV"}</definedName>
    <definedName name="MCCO9" localSheetId="0" hidden="1">{#N/A,#N/A,FALSE,"CCTV"}</definedName>
    <definedName name="MCCOÙ" localSheetId="0" hidden="1">{#N/A,#N/A,FALSE,"CCTV"}</definedName>
    <definedName name="mck" localSheetId="0" hidden="1">{#N/A,#N/A,FALSE,"Chi tiÆt"}</definedName>
    <definedName name="MFGND" localSheetId="0" hidden="1">{"'Sheet1'!$L$16"}</definedName>
    <definedName name="MFHMFGNG" localSheetId="0" hidden="1">{"'Sheet1'!$L$16"}</definedName>
    <definedName name="MGB" localSheetId="0" hidden="1">{#N/A,#N/A,FALSE,"特殊室（ＢＱ表）"}</definedName>
    <definedName name="mh" localSheetId="0" hidden="1">{"'Sheet1'!$L$16"}</definedName>
    <definedName name="minh" localSheetId="0" hidden="1">{"'Sheet1'!$L$16"}</definedName>
    <definedName name="mj" localSheetId="0" hidden="1">{#N/A,#N/A,FALSE,"표지"}</definedName>
    <definedName name="mm" localSheetId="0">{"Book1","BoQ2.XLS"}</definedName>
    <definedName name="mmlj" localSheetId="0" hidden="1">{0}</definedName>
    <definedName name="mmm" localSheetId="0" hidden="1">{"'Sheet1'!$L$16"}</definedName>
    <definedName name="MMMM" localSheetId="0" hidden="1">{"'Sheet1'!$L$16"}</definedName>
    <definedName name="mmmmmmmm" localSheetId="0" hidden="1">{"'Sheet1'!$L$16"}</definedName>
    <definedName name="MNB" localSheetId="0" hidden="1">{#N/A,#N/A,FALSE,"特殊室（ＢＱ表）"}</definedName>
    <definedName name="mnjjhkj" localSheetId="0" hidden="1">{#N/A,#N/A,FALSE,"Chi tiÆt"}</definedName>
    <definedName name="mo" localSheetId="0" hidden="1">{"'Sheet1'!$L$16"}</definedName>
    <definedName name="moi" localSheetId="0" hidden="1">{"'Sheet1'!$L$16"}</definedName>
    <definedName name="mot" localSheetId="0" hidden="1">{"'Sheet1'!$L$16"}</definedName>
    <definedName name="MP" localSheetId="0" hidden="1">{#N/A,#N/A,FALSE,"CCTV"}</definedName>
    <definedName name="MTYMYTMY" localSheetId="0" hidden="1">{"'Sheet1'!$L$16"}</definedName>
    <definedName name="MV" localSheetId="0" hidden="1">{#N/A,#N/A,FALSE,"Sheet1";#N/A,#N/A,FALSE,"Sheet3";#N/A,#N/A,FALSE,"Sheet5"}</definedName>
    <definedName name="mvac" localSheetId="0" hidden="1">{"'Sheet1'!$L$16"}</definedName>
    <definedName name="Na" localSheetId="0" hidden="1">{"'Sheet1'!$L$16"}</definedName>
    <definedName name="nam" localSheetId="0" hidden="1">{"'Sheet1'!$L$16"}</definedName>
    <definedName name="NAME" localSheetId="0"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{"'Sheet1'!$L$16"}</definedName>
    <definedName name="nbfđ" localSheetId="0" hidden="1">{"'Sheet1'!$L$16"}</definedName>
    <definedName name="NCga" localSheetId="0" hidden="1">{"'Sheet1'!$L$16"}</definedName>
    <definedName name="NCVBXVCB" localSheetId="0" hidden="1">{"'Sheet1'!$L$16"}</definedName>
    <definedName name="NDFNDF" localSheetId="0" hidden="1">{"'Sheet1'!$L$16"}</definedName>
    <definedName name="NDFNDFB" localSheetId="0" hidden="1">{"'Sheet1'!$L$16"}</definedName>
    <definedName name="NDFNDN" localSheetId="0" hidden="1">{"'Sheet1'!$L$16"}</definedName>
    <definedName name="NDFNSF" localSheetId="0" hidden="1">{"'Sheet1'!$L$16"}</definedName>
    <definedName name="NDGFD" localSheetId="0" hidden="1">{"'Sheet1'!$L$16"}</definedName>
    <definedName name="NDGNFGNG" localSheetId="0" hidden="1">{"'Sheet1'!$L$16"}</definedName>
    <definedName name="NDNSBS" localSheetId="0" hidden="1">{"'Sheet1'!$L$16"}</definedName>
    <definedName name="Ne" localSheetId="0"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r" localSheetId="0" hidden="1">{"'Sheet1'!$L$16"}</definedName>
    <definedName name="NEW" localSheetId="0" hidden="1">{#N/A,#N/A,FALSE,"Chi tiÆt"}</definedName>
    <definedName name="NEWNAME" localSheetId="0" hidden="1">{#N/A,#N/A,FALSE,"CCTV"}</definedName>
    <definedName name="NFDBDB" localSheetId="0" hidden="1">{"'Sheet1'!$L$16"}</definedName>
    <definedName name="NFDNDF" localSheetId="0" hidden="1">{"'Sheet1'!$L$16"}</definedName>
    <definedName name="NFGJH" localSheetId="0" hidden="1">{"'Sheet1'!$L$16"}</definedName>
    <definedName name="NFGMGF" localSheetId="0" hidden="1">{"'Sheet1'!$L$16"}</definedName>
    <definedName name="NFGNDBDF" localSheetId="0" hidden="1">{"'Sheet1'!$L$16"}</definedName>
    <definedName name="NFHJYFF" localSheetId="0" hidden="1">{"'Sheet1'!$L$16"}</definedName>
    <definedName name="NFNGFH" localSheetId="0" hidden="1">{"'Sheet1'!$L$16"}</definedName>
    <definedName name="nn" localSheetId="0">{"Book1","BoQ2.XLS"}</definedName>
    <definedName name="nnn" localSheetId="0" hidden="1">{"'Sheet1'!$L$16"}</definedName>
    <definedName name="nnnnn" localSheetId="0" hidden="1">{"'Sheet1'!$L$16"}</definedName>
    <definedName name="No.10" localSheetId="0" hidden="1">{"'Sheet1'!$L$16"}</definedName>
    <definedName name="No.9" localSheetId="0" hidden="1">{"'Sheet1'!$L$16"}</definedName>
    <definedName name="NRBFD" localSheetId="0" hidden="1">{"'Sheet1'!$L$16"}</definedName>
    <definedName name="NRNRD" localSheetId="0" hidden="1">{"'Sheet1'!$L$16"}</definedName>
    <definedName name="NT" localSheetId="0" hidden="1">{"'Sheet1'!$L$16"}</definedName>
    <definedName name="nttn" localSheetId="0" hidden="1">{"'Sheet1'!$L$16"}</definedName>
    <definedName name="NUOCHKHOAN" localSheetId="0" hidden="1">{"'Sheet1'!$L$16"}</definedName>
    <definedName name="NUOCHKHOANMOI" localSheetId="0" hidden="1">{"'Sheet1'!$L$16"}</definedName>
    <definedName name="NVCB" localSheetId="0" hidden="1">{"'Sheet1'!$L$16"}</definedName>
    <definedName name="ng" localSheetId="0" hidden="1">{"'Sheet1'!$L$16"}</definedName>
    <definedName name="ngfmg" localSheetId="0" hidden="1">{#N/A,#N/A,FALSE,"Chi tiÆt"}</definedName>
    <definedName name="NGFN" localSheetId="0" hidden="1">{"'Sheet1'!$L$16"}</definedName>
    <definedName name="nghgh" localSheetId="0" hidden="1">{"'Sheet1'!$L$16"}</definedName>
    <definedName name="NGK" localSheetId="0" hidden="1">{#N/A,#N/A,FALSE,"估價單  (3)"}</definedName>
    <definedName name="ngljlj" localSheetId="0" hidden="1">{"'Sheet1'!$L$16"}</definedName>
    <definedName name="ngu" localSheetId="0" hidden="1">{"'Sheet1'!$L$16"}</definedName>
    <definedName name="NguyenDiep" localSheetId="0" hidden="1">{"'Sheet1'!$L$16"}</definedName>
    <definedName name="nguyennha" localSheetId="0" hidden="1">{"'Sheet1'!$L$16"}</definedName>
    <definedName name="nham" localSheetId="0" hidden="1">{0,#VALUE!,0,0;0,#VALUE!,0,#VALUE!;0,0,0,0;#NULL!,0,0,0;0,0,TRUE,0;0,#N/A,FALSE,0;0,#N/A,FALSE,0}</definedName>
    <definedName name="nhanuoc" localSheetId="0" hidden="1">{"'Sheet1'!$L$16"}</definedName>
    <definedName name="NHANH2_CG4" localSheetId="0" hidden="1">{"'Sheet1'!$L$16"}</definedName>
    <definedName name="NHAP5P" localSheetId="0" hidden="1">{"'Sheet1'!$L$16"}</definedName>
    <definedName name="nharac" localSheetId="0" hidden="1">{#N/A,#N/A,FALSE,"Chi tiÆt"}</definedName>
    <definedName name="Nhiem" localSheetId="0" hidden="1">{"'Sheet1'!$L$16"}</definedName>
    <definedName name="nhjyeru" localSheetId="0" hidden="1">{"'Sheet1'!$L$16"}</definedName>
    <definedName name="nhug" localSheetId="0" hidden="1">{"một";"hai";"ba";"bốn";"năm";"sáu";"bảy";"tám";"chín";"mười";"mươi";"mốt";"lăm";"trăm";"nghìn";"triệu";"tỷ";"lẻ";"không trăm";"Bằng chử : "}</definedName>
    <definedName name="NHUNG" localSheetId="0" hidden="1">zIsDgiaCTiet_Gia.VTu*2+3</definedName>
    <definedName name="o" localSheetId="0" hidden="1">{"'Sheet1'!$L$16"}</definedName>
    <definedName name="õadfgdfgdf" localSheetId="0" hidden="1">{"'Sheet1'!$L$16"}</definedName>
    <definedName name="oanh" localSheetId="0" hidden="1">{"'Sheet1'!$L$16"}</definedName>
    <definedName name="OC" localSheetId="0" hidden="1">{"'Sheet1'!$L$16"}</definedName>
    <definedName name="office" localSheetId="0" hidden="1">{"'Sheet1'!$L$16"}</definedName>
    <definedName name="OIJYED" localSheetId="0" hidden="1">{"'Sheet1'!$L$16"}</definedName>
    <definedName name="OIL" localSheetId="0" hidden="1">{"'용역비'!$A$4:$C$8"}</definedName>
    <definedName name="oiuy" localSheetId="0" hidden="1">{#N/A,#N/A,FALSE,"Chi tiÆt"}</definedName>
    <definedName name="oiy" localSheetId="0" hidden="1">{#N/A,#N/A,FALSE,"포장2"}</definedName>
    <definedName name="ok" localSheetId="0" hidden="1">{#N/A,#N/A,FALSE,"MARCH"}</definedName>
    <definedName name="okay" localSheetId="0" hidden="1">{#N/A,#N/A,FALSE,"mgtsum.XLS";#N/A,#N/A,FALSE,"CAPONE";#N/A,#N/A,FALSE,"CAPTWO";#N/A,#N/A,FALSE,"CAPTHREE"}</definedName>
    <definedName name="okko" localSheetId="0" hidden="1">{#N/A,#N/A,FALSE,"MARCH"}</definedName>
    <definedName name="old" localSheetId="0" hidden="1">{"'ELEC'!$A$2:$H$216","'ELEC'!$C$2:$D$2"}</definedName>
    <definedName name="olk" localSheetId="0" hidden="1">{#N/A,#N/A,FALSE,"特殊室（ＢＱ表）"}</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0" hidden="1">{"'Sheet1'!$L$16"}</definedName>
    <definedName name="opo" localSheetId="0" hidden="1">{#N/A,#N/A,FALSE,"지침";#N/A,#N/A,FALSE,"환경분석";#N/A,#N/A,FALSE,"Sheet16"}</definedName>
    <definedName name="ôclsaclnmc" localSheetId="0" hidden="1">{"'Sheet1'!$L$16"}</definedName>
    <definedName name="p" localSheetId="0"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0" hidden="1">{"'Sheet1'!$L$16"}</definedName>
    <definedName name="Panel" localSheetId="0"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iling" localSheetId="0" hidden="1">{#N/A,#N/A,FALSE,"CCTV"}</definedName>
    <definedName name="Pipe" localSheetId="0" hidden="1">{#N/A,#N/A,FALSE,"CCTV"}</definedName>
    <definedName name="PlucBcaoTD" localSheetId="0" hidden="1">{"'Sheet1'!$L$16"}</definedName>
    <definedName name="PMS" localSheetId="0" hidden="1">{"'Sheet1'!$L$16"}</definedName>
    <definedName name="poi" localSheetId="0" hidden="1">{"'Sheet1'!$L$16"}</definedName>
    <definedName name="pol" localSheetId="0" hidden="1">{#N/A,#N/A,FALSE,"Chi tiÆt"}</definedName>
    <definedName name="pope" localSheetId="0" hidden="1">{"'Sheet1'!$L$16"}</definedName>
    <definedName name="Port1" localSheetId="0" hidden="1">{#N/A,#N/A,FALSE,"特殊室（ＢＱ表）"}</definedName>
    <definedName name="port11" localSheetId="0" hidden="1">{#N/A,#N/A,FALSE,"特殊室（ＢＱ表）"}</definedName>
    <definedName name="pp" localSheetId="0" hidden="1">{#N/A,#N/A,FALSE,"OUTPUT SHEET "}</definedName>
    <definedName name="PPPP" localSheetId="0" hidden="1">{"'Sheet1'!$L$16"}</definedName>
    <definedName name="ppppp" localSheetId="0" hidden="1">{#N/A,#N/A,FALSE,"지침";#N/A,#N/A,FALSE,"환경분석";#N/A,#N/A,FALSE,"Sheet16"}</definedName>
    <definedName name="pri" localSheetId="0" hidden="1">{#N/A,#N/A,TRUE,"Str.";#N/A,#N/A,TRUE,"Steel &amp; Roof";#N/A,#N/A,TRUE,"Arc.";#N/A,#N/A,TRUE,"Preliminary";#N/A,#N/A,TRUE,"Sum_Prelim"}</definedName>
    <definedName name="Print_Area_Reset" localSheetId="0">OFFSET(Full_Print,0,0,Last_Row)</definedName>
    <definedName name="PRODUCTION" localSheetId="0" hidden="1">{"'Sheet1'!$L$16"}</definedName>
    <definedName name="psm" localSheetId="0" hidden="1">{"'Sheet1'!$L$16"}</definedName>
    <definedName name="pst" localSheetId="0" hidden="1">{"'Sheet1'!$L$16"}</definedName>
    <definedName name="ptich3" localSheetId="0" hidden="1">{"'Sheet1'!$L$16"}</definedName>
    <definedName name="PUBLIC" localSheetId="0" hidden="1">{"'Sheet1'!$L$16"}</definedName>
    <definedName name="PVC" localSheetId="0" hidden="1">{"'Sheet1'!$L$16"}</definedName>
    <definedName name="phantich3" localSheetId="0" hidden="1">{"'Sheet1'!$L$16"}</definedName>
    <definedName name="phong" localSheetId="0" hidden="1">{"'Sheet1'!$L$16"}</definedName>
    <definedName name="phuoc" localSheetId="0" hidden="1">{"'Sheet1'!$L$16"}</definedName>
    <definedName name="Phuong" localSheetId="0" hidden="1">{"'Sheet1'!$L$16"}</definedName>
    <definedName name="q" localSheetId="0" hidden="1">{"'Sheet1'!$L$16"}</definedName>
    <definedName name="q234562456" localSheetId="0" hidden="1">{"'용역비'!$A$4:$C$8"}</definedName>
    <definedName name="qasd" localSheetId="0" hidden="1">{"'Sheet1'!$L$16"}</definedName>
    <definedName name="qcdc" localSheetId="0" hidden="1">{"'Sheet1'!$L$16"}</definedName>
    <definedName name="qd10_gt" localSheetId="0" hidden="1">{"'Sheet1'!$L$16"}</definedName>
    <definedName name="qd10_gt_1" localSheetId="0" hidden="1">{"'Sheet1'!$L$16"}</definedName>
    <definedName name="qd10_gt1" localSheetId="0" hidden="1">{"'Sheet1'!$L$16"}</definedName>
    <definedName name="qdqdwd" localSheetId="0" hidden="1">{"'Sheet1'!$L$16"}</definedName>
    <definedName name="qet" localSheetId="0" hidden="1">{"'Sheet1'!$L$16"}</definedName>
    <definedName name="qềqg" localSheetId="0" hidden="1">{"'Sheet1'!$L$16"}</definedName>
    <definedName name="qkqh1" localSheetId="0" hidden="1">{#N/A,#N/A,FALSE,"명세표"}</definedName>
    <definedName name="qncjstkdehdwhrud" localSheetId="0" hidden="1">{#N/A,#N/A,TRUE,"1";#N/A,#N/A,TRUE,"2";#N/A,#N/A,TRUE,"3";#N/A,#N/A,TRUE,"4";#N/A,#N/A,TRUE,"5";#N/A,#N/A,TRUE,"6";#N/A,#N/A,TRUE,"7"}</definedName>
    <definedName name="qq" localSheetId="0" hidden="1">{"'Sheet1'!$L$16"}</definedName>
    <definedName name="qqq" localSheetId="0" hidden="1">{"'Sheet1'!$L$16"}</definedName>
    <definedName name="QQQ_1" localSheetId="0" hidden="1">{"'Sheet1'!$L$16"}</definedName>
    <definedName name="qqqq" localSheetId="0" hidden="1">{"'Sheet1'!$L$16"}</definedName>
    <definedName name="qqqqq" localSheetId="0" hidden="1">{"'Sheet1'!$L$16"}</definedName>
    <definedName name="qqqqqqq" localSheetId="0" hidden="1">{"'Sheet1'!$L$16"}</definedName>
    <definedName name="qqqqqqqqqqqqqqqqqqqqqq" localSheetId="0" hidden="1">{"'Sheet1'!$L$16"}</definedName>
    <definedName name="qrt" localSheetId="0" hidden="1">{"'Sheet1'!$L$16"}</definedName>
    <definedName name="qrw" localSheetId="0" hidden="1">{#N/A,#N/A,FALSE,"Sheet2";#N/A,#N/A,FALSE,"Sheet4";#N/A,#N/A,FALSE,"Sheet6"}</definedName>
    <definedName name="qthoan" localSheetId="0" hidden="1">{#N/A,#N/A,FALSE,"Chi tiÆt"}</definedName>
    <definedName name="qvv" localSheetId="0" hidden="1">{"'Sheet1'!$L$16"}</definedName>
    <definedName name="qw" localSheetId="0" hidden="1">{#N/A,#N/A,FALSE,"단가표지"}</definedName>
    <definedName name="QWE" localSheetId="0" hidden="1">{"'Sheet1'!$L$16"}</definedName>
    <definedName name="qwer" localSheetId="0" hidden="1">{"'Sheet1'!$L$16"}</definedName>
    <definedName name="qwertet" localSheetId="0" hidden="1">{"'Sheet1'!$L$16"}</definedName>
    <definedName name="qwwe" localSheetId="0" hidden="1">{#N/A,#N/A,FALSE,"CCTV"}</definedName>
    <definedName name="qwwqe" localSheetId="0" hidden="1">{"'Sheet1'!$L$16"}</definedName>
    <definedName name="qyk" localSheetId="0" hidden="1">{"'용역비'!$A$4:$C$8"}</definedName>
    <definedName name="quan" localSheetId="0" hidden="1">{"'Sheet1'!$L$16"}</definedName>
    <definedName name="QUATANG" localSheetId="0" hidden="1">{"'Sheet1'!$L$16"}</definedName>
    <definedName name="quoan" localSheetId="0" hidden="1">{"'Sheet1'!$L$16"}</definedName>
    <definedName name="quyet" localSheetId="0" hidden="1">{"'Sheet1'!$L$16"}</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0" hidden="1">{"'Sheet1'!$L$16"}</definedName>
    <definedName name="RANH2" localSheetId="0" hidden="1">{"'Sheet1'!$L$16"}</definedName>
    <definedName name="Ranhxay" localSheetId="0" hidden="1">{"'Sheet1'!$L$16"}</definedName>
    <definedName name="rbsr" localSheetId="0" hidden="1">{"'Sheet1'!$L$16"}</definedName>
    <definedName name="rdetgéhýdy" localSheetId="0" hidden="1">{#N/A,#N/A,FALSE,"Chi tiÆt"}</definedName>
    <definedName name="reawrew" localSheetId="0" hidden="1">{"'Sheet1'!$L$16"}</definedName>
    <definedName name="reay" localSheetId="0" hidden="1">{"'Sheet1'!$L$16"}</definedName>
    <definedName name="Ref" localSheetId="0" hidden="1">{"'Sheet1'!$L$16"}</definedName>
    <definedName name="Regional" localSheetId="0" hidden="1">{#N/A,#N/A,FALSE,"mgtsum.XLS";#N/A,#N/A,FALSE,"CAPONE";#N/A,#N/A,FALSE,"CAPTWO";#N/A,#N/A,FALSE,"CAPTHREE"}</definedName>
    <definedName name="report1" localSheetId="0" hidden="1">{#N/A,#N/A,FALSE,"特殊室（ＢＱ表）"}</definedName>
    <definedName name="report2" localSheetId="0" hidden="1">{#N/A,#N/A,FALSE,"特殊室（ＢＱ表）"}</definedName>
    <definedName name="reprort" localSheetId="0" hidden="1">{#N/A,#N/A,FALSE,"MARCH"}</definedName>
    <definedName name="Result21" localSheetId="0" hidden="1">{"'Sheet1'!$L$16"}</definedName>
    <definedName name="reuse" localSheetId="0" hidden="1">{#N/A,#N/A,FALSE,"mgtsum.XLS";#N/A,#N/A,FALSE,"CAPONE";#N/A,#N/A,FALSE,"CAPTWO";#N/A,#N/A,FALSE,"CAPTHREE"}</definedName>
    <definedName name="reûtht" localSheetId="0" hidden="1">{"'Sheet1'!$L$16"}</definedName>
    <definedName name="rewgwegn" localSheetId="0" hidden="1">{"'Sheet1'!$L$16"}</definedName>
    <definedName name="rewr" localSheetId="0" hidden="1">{"'Sheet1'!$L$16"}</definedName>
    <definedName name="rewrer" localSheetId="0" hidden="1">{"'Sheet1'!$L$16"}</definedName>
    <definedName name="rewrewr" localSheetId="0" hidden="1">{"'Sheet1'!$L$16"}</definedName>
    <definedName name="rêreeyre" localSheetId="0" hidden="1">{"'Sheet1'!$L$16"}</definedName>
    <definedName name="RF" localSheetId="0" hidden="1">{#N/A,#N/A,FALSE,"CCTV"}</definedName>
    <definedName name="rferfg" localSheetId="0" hidden="1">{"'Sheet1'!$L$16"}</definedName>
    <definedName name="rfwetet" localSheetId="0" hidden="1">{"'Sheet1'!$L$16"}</definedName>
    <definedName name="rgdf" localSheetId="0" hidden="1">{"'Sheet1'!$L$16"}</definedName>
    <definedName name="rggsg" localSheetId="0" hidden="1">{"'Sheet1'!$L$16"}</definedName>
    <definedName name="rgwerg" localSheetId="0" hidden="1">{#N/A,#N/A,FALSE,"Chi tiÆt"}</definedName>
    <definedName name="RH" localSheetId="0" hidden="1">{#N/A,#N/A,FALSE,"주간공정";#N/A,#N/A,FALSE,"주간보고";#N/A,#N/A,FALSE,"주간공정표"}</definedName>
    <definedName name="rhgrs" localSheetId="0" hidden="1">{"'Sheet1'!$L$16"}</definedName>
    <definedName name="RHODIA" localSheetId="0" hidden="1">{"'DocTypeCode'!$A$142:$A$226"}</definedName>
    <definedName name="rhq" localSheetId="0">{"Book1"}</definedName>
    <definedName name="RJJRJR" localSheetId="0" hidden="1">{#N/A,#N/A,FALSE,"주간공정";#N/A,#N/A,FALSE,"주간보고";#N/A,#N/A,FALSE,"주간공정표"}</definedName>
    <definedName name="rkd" localSheetId="0" hidden="1">{#N/A,#N/A,FALSE,"CCTV"}</definedName>
    <definedName name="rkdkd" localSheetId="0" hidden="1">{#N/A,#N/A,FALSE,"2~8번"}</definedName>
    <definedName name="RKDLKS" localSheetId="0" hidden="1">{#N/A,#N/A,TRUE,"1";#N/A,#N/A,TRUE,"2";#N/A,#N/A,TRUE,"3";#N/A,#N/A,TRUE,"4";#N/A,#N/A,TRUE,"5";#N/A,#N/A,TRUE,"6";#N/A,#N/A,TRUE,"7"}</definedName>
    <definedName name="RKRKRKRK" localSheetId="0" hidden="1">{#N/A,#N/A,FALSE,"주간공정";#N/A,#N/A,FALSE,"주간보고";#N/A,#N/A,FALSE,"주간공정표"}</definedName>
    <definedName name="Road" localSheetId="0" hidden="1">{"'Sheet1'!$L$16"}</definedName>
    <definedName name="RPLA" localSheetId="0" hidden="1">{"'Sheet1'!$L$16"}</definedName>
    <definedName name="rr" localSheetId="0" hidden="1">{#N/A,#N/A,FALSE,"단가표지"}</definedName>
    <definedName name="rrr" localSheetId="0" hidden="1">{"'Sheet1'!$L$16"}</definedName>
    <definedName name="rrrr" localSheetId="0" hidden="1">{"'Sheet1'!$L$16"}</definedName>
    <definedName name="rrrrr" localSheetId="0" hidden="1">{"'장비'!$A$3:$M$12"}</definedName>
    <definedName name="rrrrrrrr" localSheetId="0" hidden="1">{"'장비'!$A$3:$M$12"}</definedName>
    <definedName name="rrrrrrrrrr" localSheetId="0" hidden="1">{"'Sheet1'!$L$16"}</definedName>
    <definedName name="rrttt" localSheetId="0" hidden="1">{#N/A,#N/A,FALSE,"Chi tiÆt"}</definedName>
    <definedName name="rsls" localSheetId="0" hidden="1">{"'Sheet1'!$L$16"}</definedName>
    <definedName name="RTJR" localSheetId="0" hidden="1">{"'Sheet1'!$L$16"}</definedName>
    <definedName name="RTWR" localSheetId="0" hidden="1">{"'Sheet1'!$L$16"}</definedName>
    <definedName name="rty" localSheetId="0" hidden="1">{"'용역비'!$A$4:$C$8"}</definedName>
    <definedName name="RTYE" localSheetId="0" hidden="1">{"'장비'!$A$3:$M$12"}</definedName>
    <definedName name="rtyreyey" localSheetId="0" hidden="1">{"'Sheet1'!$L$16"}</definedName>
    <definedName name="rth" localSheetId="0" hidden="1">{"'용역비'!$A$4:$C$8"}</definedName>
    <definedName name="rtrđhjkl" localSheetId="0" hidden="1">{#N/A,#N/A,FALSE,"Chi tiÆt"}</definedName>
    <definedName name="rtrt" localSheetId="0" hidden="1">{"'Sheet1'!$L$16"}</definedName>
    <definedName name="rưerew" localSheetId="0" hidden="1">{"'Sheet1'!$L$16"}</definedName>
    <definedName name="RƯET" localSheetId="0" hidden="1">{"'Sheet1'!$L$16"}</definedName>
    <definedName name="RƯT4WTW" localSheetId="0" hidden="1">{"'Sheet1'!$L$16"}</definedName>
    <definedName name="rweqrwe" localSheetId="0" hidden="1">{"'Sheet1'!$L$16"}</definedName>
    <definedName name="ryuk" localSheetId="0" hidden="1">{"'용역비'!$A$4:$C$8"}</definedName>
    <definedName name="s" localSheetId="0" hidden="1">{"'Sheet1'!$L$16"}</definedName>
    <definedName name="sa" localSheetId="0" hidden="1">{"'Sheet1'!$L$16"}</definedName>
    <definedName name="saa" localSheetId="0" hidden="1">{#N/A,#N/A,FALSE,"Sheet2";#N/A,#N/A,FALSE,"Sheet4";#N/A,#N/A,FALSE,"Sheet6"}</definedName>
    <definedName name="saada" localSheetId="0" hidden="1">{#N/A,#N/A,FALSE,"特殊室（ＢＱ表）"}</definedName>
    <definedName name="SADASC" localSheetId="0" hidden="1">{"'Sheet1'!$L$16"}</definedName>
    <definedName name="sadcs" localSheetId="0" hidden="1">{"'Sheet1'!$L$16"}</definedName>
    <definedName name="sadf¸a" localSheetId="0" hidden="1">{"'Sheet1'!$L$16"}</definedName>
    <definedName name="sadSa" localSheetId="0" hidden="1">{#N/A,#N/A,FALSE,"Chi tiÆt"}</definedName>
    <definedName name="safd" localSheetId="0" hidden="1">{#N/A,#N/A,FALSE,"MARCH"}</definedName>
    <definedName name="safEF" localSheetId="0" hidden="1">{#N/A,#N/A,FALSE,"MARCH"}</definedName>
    <definedName name="sailech" localSheetId="0" hidden="1">{"Offgrid",#N/A,FALSE,"OFFGRID";"Region",#N/A,FALSE,"REGION";"Offgrid -2",#N/A,FALSE,"OFFGRID";"WTP",#N/A,FALSE,"WTP";"WTP -2",#N/A,FALSE,"WTP";"Project",#N/A,FALSE,"PROJECT";"Summary -2",#N/A,FALSE,"SUMMARY"}</definedName>
    <definedName name="san" localSheetId="0" hidden="1">{"'Sheet1'!$L$16"}</definedName>
    <definedName name="sang" localSheetId="0" hidden="1">{"'Sheet1'!$L$16"}</definedName>
    <definedName name="sasa" localSheetId="0" hidden="1">{#N/A,#N/A,FALSE,"Sheet1";#N/A,#N/A,FALSE,"Sheet3";#N/A,#N/A,FALSE,"Sheet5"}</definedName>
    <definedName name="SAVDSVVAV" localSheetId="0" hidden="1">{"'Sheet1'!$L$16"}</definedName>
    <definedName name="SBSDGBRS" localSheetId="0" hidden="1">{"'Sheet1'!$L$16"}</definedName>
    <definedName name="sc" localSheetId="0" hidden="1">{"'ELEC'!$A$2:$H$216","'ELEC'!$C$2:$D$2"}</definedName>
    <definedName name="Scaffolding" localSheetId="0" hidden="1">{"'Break down'!$A$4"}</definedName>
    <definedName name="scẪ" localSheetId="0" hidden="1">{"'Sheet1'!$L$16"}</definedName>
    <definedName name="scÂC" localSheetId="0" hidden="1">{"'Sheet1'!$L$16"}</definedName>
    <definedName name="sCol" localSheetId="0" hidden="1">zIsDgiaCTiet_Gia.VTu*2+3</definedName>
    <definedName name="sctcn" localSheetId="0" hidden="1">{"'Sheet1'!$L$16"}</definedName>
    <definedName name="SCTX" localSheetId="0" hidden="1">{"'Sheet1'!$L$16"}</definedName>
    <definedName name="scxca" localSheetId="0" hidden="1">{"'Sheet1'!$L$16"}</definedName>
    <definedName name="schedule" localSheetId="0" hidden="1">{"'Sheet1'!$L$16"}</definedName>
    <definedName name="sd" localSheetId="0" hidden="1">{"'Sheet1'!$L$16"}</definedName>
    <definedName name="sdad" localSheetId="0" hidden="1">{"'Sheet1'!$L$16"}</definedName>
    <definedName name="sdaf" localSheetId="0" hidden="1">{"'Sheet1'!$L$16"}</definedName>
    <definedName name="sdasa" localSheetId="0" hidden="1">{#N/A,#N/A,TRUE,"SUM";#N/A,#N/A,TRUE,"EE";#N/A,#N/A,TRUE,"AC";#N/A,#N/A,TRUE,"SN"}</definedName>
    <definedName name="sdbv" localSheetId="0" hidden="1">{"'Sheet1'!$L$16"}</definedName>
    <definedName name="sdcsd" localSheetId="0" hidden="1">{"'Sheet1'!$L$16"}</definedName>
    <definedName name="sdd" localSheetId="0" hidden="1">{"'Sheet1'!$L$16"}</definedName>
    <definedName name="sddsd" localSheetId="0" hidden="1">{"'Break down'!$A$4"}</definedName>
    <definedName name="sdf" localSheetId="0" hidden="1">{"'Sheet1'!$L$16"}</definedName>
    <definedName name="sdfas" localSheetId="0" hidden="1">{"'Sheet1'!$L$16"}</definedName>
    <definedName name="SDFASFSA" localSheetId="0" hidden="1">{"'Sheet1'!$L$16"}</definedName>
    <definedName name="sdfda" localSheetId="0" hidden="1">{"'Sheet1'!$L$16"}</definedName>
    <definedName name="SDFDS" localSheetId="0" hidden="1">{"'Sheet1'!$L$16"}</definedName>
    <definedName name="sdfdsfdsf" localSheetId="0" hidden="1">{"'Sheet1'!$L$16"}</definedName>
    <definedName name="SDFSDFS" localSheetId="0" hidden="1">{"'Sheet1'!$L$16"}</definedName>
    <definedName name="sdfsdfsd" localSheetId="0" hidden="1">{"'Sheet1'!$L$16"}</definedName>
    <definedName name="SDFSDGD" localSheetId="0" hidden="1">{"'Sheet1'!$L$16"}</definedName>
    <definedName name="SDFSDGF" localSheetId="0" hidden="1">{"'Sheet1'!$L$16"}</definedName>
    <definedName name="SDFSE" localSheetId="0" hidden="1">{"'Sheet1'!$L$16"}</definedName>
    <definedName name="sdfsfd" localSheetId="0" hidden="1">{"'Sheet1'!$L$16"}</definedName>
    <definedName name="SDGSDG" localSheetId="0" hidden="1">{"'Sheet1'!$L$16"}</definedName>
    <definedName name="SDGSDHET" localSheetId="0" hidden="1">{"'Sheet1'!$L$16"}</definedName>
    <definedName name="SDGWRSRWG" localSheetId="0" hidden="1">{"'Sheet1'!$L$16"}</definedName>
    <definedName name="sdryhj" localSheetId="0" hidden="1">{"'용역비'!$A$4:$C$8"}</definedName>
    <definedName name="SDS" localSheetId="0" hidden="1">{#N/A,#N/A,FALSE,"Sheet1";#N/A,#N/A,FALSE,"Sheet3";#N/A,#N/A,FALSE,"Sheet5"}</definedName>
    <definedName name="SDSD" localSheetId="0" hidden="1">{#N/A,#N/A,FALSE,"Sheet1";#N/A,#N/A,FALSE,"Sheet3";#N/A,#N/A,FALSE,"Sheet5"}</definedName>
    <definedName name="sdz" localSheetId="0" hidden="1">{"'Sheet1'!$L$16"}</definedName>
    <definedName name="sđ" localSheetId="0" hidden="1">{"'Sheet1'!$L$16"}</definedName>
    <definedName name="SE" localSheetId="0" hidden="1">{"'용역비'!$A$4:$C$8"}</definedName>
    <definedName name="sen" localSheetId="0" hidden="1">{"'Sheet1'!$L$16"}</definedName>
    <definedName name="SERVICE" localSheetId="0" hidden="1">{#N/A,#N/A,FALSE,"이태원철근"}</definedName>
    <definedName name="SFBAS" localSheetId="0" hidden="1">{"'Sheet1'!$L$16"}</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0" hidden="1">{"'Sheet1'!$L$16"}</definedName>
    <definedName name="sfg" localSheetId="0" hidden="1">{"'Sheet1'!$L$16"}</definedName>
    <definedName name="sfsafsfds" localSheetId="0" hidden="1">{"'Sheet1'!$L$16"}</definedName>
    <definedName name="sfsd" localSheetId="0" hidden="1">{"'Sheet1'!$L$16"}</definedName>
    <definedName name="sfsdg" localSheetId="0" hidden="1">{"'Sheet1'!$L$16"}</definedName>
    <definedName name="SFSFS" localSheetId="0" hidden="1">{"'Sheet1'!$L$16"}</definedName>
    <definedName name="sfsfsfas" localSheetId="0" hidden="1">{"'Sheet1'!$L$16"}</definedName>
    <definedName name="sgfdgdf" localSheetId="0" hidden="1">{"'Sheet1'!$L$16"}</definedName>
    <definedName name="sgfhsdhe" localSheetId="0" hidden="1">{"'Sheet1'!$L$16"}</definedName>
    <definedName name="SGG" localSheetId="0" hidden="1">{"'Sheet1'!$L$16"}</definedName>
    <definedName name="sgjhk" localSheetId="0" hidden="1">{"'Sheet1'!$L$16"}</definedName>
    <definedName name="sgjyti" localSheetId="0" hidden="1">{"'Sheet1'!$L$16"}</definedName>
    <definedName name="sgs" localSheetId="0" hidden="1">{"'Sheet1'!$L$16"}</definedName>
    <definedName name="sgsdg" localSheetId="0" hidden="1">{"'Sheet1'!$L$16"}</definedName>
    <definedName name="sgsr" localSheetId="0" hidden="1">{"'Sheet1'!$L$16"}</definedName>
    <definedName name="shee12" localSheetId="0" hidden="1">{"'Sheet1'!$L$16"}</definedName>
    <definedName name="sheet" localSheetId="0" hidden="1">{"'Sheet1'!$L$16"}</definedName>
    <definedName name="sheet1" localSheetId="0" hidden="1">{#N/A,#N/A,FALSE,"CCTV"}</definedName>
    <definedName name="Sheet2" localSheetId="0" hidden="1">{#N/A,#N/A,FALSE,"Sheet1"}</definedName>
    <definedName name="sheet3" localSheetId="0" hidden="1">{"NGUYEN QUI THIEP - Personal View",#N/A,FALSE,"XDCB.HT.FUR."}</definedName>
    <definedName name="sheet4" localSheetId="0" hidden="1">{"NGUYEN QUI THIEP - Personal View",#N/A,FALSE,"XDCB.HT.FUR."}</definedName>
    <definedName name="sheet5" localSheetId="0" hidden="1">{"'Sheet1'!$L$16"}</definedName>
    <definedName name="shsrhtr" localSheetId="0" hidden="1">{"'Sheet1'!$L$16"}</definedName>
    <definedName name="sHsVlNcCm" localSheetId="0" hidden="1">VALUE(IF(LEFT(OFFSET(Acell,0,-4),1)="A",dTHKP_HsVl,IF(LEFT(OFFSET(Acell,0,-4),1)="B",dTHKP_HsNc,dTHKP_HsCm)))</definedName>
    <definedName name="silo4" localSheetId="0" hidden="1">{"'ELEC'!$A$2:$H$216","'ELEC'!$C$2:$D$2"}</definedName>
    <definedName name="skskksksks" localSheetId="0" hidden="1">{#N/A,#N/A,FALSE,"주간공정";#N/A,#N/A,FALSE,"주간보고";#N/A,#N/A,FALSE,"주간공정표"}</definedName>
    <definedName name="sMh" localSheetId="0" hidden="1">IF(LEFT(OFFSET(Acell,0,-6),1)="1",dVTu_Mh,IF(LEFT(OFFSET(Acell,0,-6),1)="2",dNCong_Mh,dCMay_Mh))</definedName>
    <definedName name="sName" localSheetId="0" hidden="1">IF(LEFT(OFFSET(Acell,0,-6),1)="1",dVTu_Name,IF(LEFT(OFFSET(Acell,0,-6),1)="2",dNCong_Name,dCMay_Name))</definedName>
    <definedName name="sodu" localSheetId="0" hidden="1">{"'Sheet1'!$L$16"}</definedName>
    <definedName name="solver_rhs5" localSheetId="0" hidden="1">binary</definedName>
    <definedName name="SON" localSheetId="0" hidden="1">{#N/A,#N/A,FALSE,"CCTV"}</definedName>
    <definedName name="Sosanh2" localSheetId="0" hidden="1">{"'Sheet1'!$L$16"}</definedName>
    <definedName name="Spample" localSheetId="0" hidden="1">{"'Sheet1'!$L$16"}</definedName>
    <definedName name="sRng" localSheetId="0" hidden="1">IF(LEFT(OFFSET(Acell,0,-6),1)="1",dVTu_Rng,IF(LEFT(OFFSET(Acell,0,-6),1)="2",dNCong_Rng,dCMay_Rng))</definedName>
    <definedName name="SRTWER" localSheetId="0" hidden="1">{"'Sheet1'!$L$16"}</definedName>
    <definedName name="srth" localSheetId="0" hidden="1">{"'용역비'!$A$4:$C$8"}</definedName>
    <definedName name="sscsd" localSheetId="0" hidden="1">{"'Sheet1'!$L$16"}</definedName>
    <definedName name="sss" localSheetId="0" hidden="1">{#N/A,#N/A,FALSE,"전력간선"}</definedName>
    <definedName name="ssss_1" localSheetId="0"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s" localSheetId="0" hidden="1">{#N/A,#N/A,FALSE,"Chi tiÆt"}</definedName>
    <definedName name="STJST" localSheetId="0" hidden="1">{"'Sheet1'!$L$16"}</definedName>
    <definedName name="STS" localSheetId="0" hidden="1">{"'용역비'!$A$4:$C$8"}</definedName>
    <definedName name="sualoixm" localSheetId="0"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mimasenn" localSheetId="0" hidden="1">{"'Sheet1'!$L$16"}</definedName>
    <definedName name="summar" localSheetId="0" hidden="1">{#N/A,#N/A,TRUE,"SUM";#N/A,#N/A,TRUE,"EE";#N/A,#N/A,TRUE,"AC";#N/A,#N/A,TRUE,"SN"}</definedName>
    <definedName name="SUMMARYQ" localSheetId="0">{"Thuxm2.xls","Sheet1"}</definedName>
    <definedName name="SUOIDOI2" localSheetId="0" hidden="1">{"'Sheet1'!$L$16"}</definedName>
    <definedName name="SWw" localSheetId="0" hidden="1">{#N/A,#N/A,TRUE,"SUM";#N/A,#N/A,TRUE,"EE";#N/A,#N/A,TRUE,"AC";#N/A,#N/A,TRUE,"SN"}</definedName>
    <definedName name="swㅗ" localSheetId="0" hidden="1">{#N/A,#N/A,FALSE,"집계표"}</definedName>
    <definedName name="sxcsac" localSheetId="0" hidden="1">{"'Sheet1'!$L$16"}</definedName>
    <definedName name="sxcxc" localSheetId="0" hidden="1">{"'Sheet1'!$L$16"}</definedName>
    <definedName name="szdasda" localSheetId="0" hidden="1">{#N/A,#N/A,FALSE,"Chi tiÆt"}</definedName>
    <definedName name="T.3" localSheetId="0" hidden="1">{"'Sheet1'!$L$16"}</definedName>
    <definedName name="T1PC" localSheetId="0" hidden="1">{"'Sheet1'!$L$16"}</definedName>
    <definedName name="TamdanTB" localSheetId="0" hidden="1">{"'Sheet1'!$L$16"}</definedName>
    <definedName name="tamm" localSheetId="0" hidden="1">{"'Sheet1'!$L$16"}</definedName>
    <definedName name="tammm" localSheetId="0" hidden="1">{"'Sheet1'!$L$16"}</definedName>
    <definedName name="tammmm" localSheetId="0" hidden="1">{#N/A,#N/A,FALSE,"Chi tiÆt"}</definedName>
    <definedName name="tan" localSheetId="0" hidden="1">{"'Sheet1'!$L$16"}</definedName>
    <definedName name="tªtrt" localSheetId="0" hidden="1">{"'Sheet1'!$L$16"}</definedName>
    <definedName name="taun" localSheetId="0" hidden="1">{"'Sheet1'!$L$16"}</definedName>
    <definedName name="tbao" localSheetId="0" hidden="1">{"'Sheet1'!$L$16"}</definedName>
    <definedName name="tdrutru" localSheetId="0" hidden="1">{#N/A,#N/A,FALSE,"Sheet6"}</definedName>
    <definedName name="tecco" localSheetId="0" hidden="1">{"'Sheet1'!$L$16"}</definedName>
    <definedName name="tem" localSheetId="0" hidden="1">{"'Sheet1'!$L$16"}</definedName>
    <definedName name="temporary" localSheetId="0" hidden="1">{#N/A,#N/A,FALSE,"CCTV"}</definedName>
    <definedName name="test2" localSheetId="0" hidden="1">{"IASTrail",#N/A,FALSE,"IAS"}</definedName>
    <definedName name="test3" localSheetId="0" hidden="1">{#N/A,#N/A,FALSE,"FA_1";#N/A,#N/A,FALSE,"Dep'n SE";#N/A,#N/A,FALSE,"Dep'n FC"}</definedName>
    <definedName name="tet" localSheetId="0" hidden="1">{0,#NULL!,0,FALSE;0,0,0,0;0,0,0,7.29290327383173E-304;0,0,0,0;0,0,0,0;0,0,0,0;0,0,0,0}</definedName>
    <definedName name="tểt" localSheetId="0" hidden="1">{"'Sheet1'!$L$16"}</definedName>
    <definedName name="tfrefefewfrefe" localSheetId="0" hidden="1">{#N/A,#N/A,FALSE,"Chi tiÆt"}</definedName>
    <definedName name="TFUI" localSheetId="0" hidden="1">{"'용역비'!$A$4:$C$8"}</definedName>
    <definedName name="tghy" localSheetId="0" hidden="1">{"'Break down'!$A$4"}</definedName>
    <definedName name="tgưgz" localSheetId="0" hidden="1">{"'Sheet1'!$L$16"}</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0" hidden="1">{"'Sheet1'!$L$16"}</definedName>
    <definedName name="TINH" localSheetId="0" hidden="1">{#N/A,#N/A,FALSE,"CCTV"}</definedName>
    <definedName name="tirirn" localSheetId="0" hidden="1">{"'Sheet1'!$L$16"}</definedName>
    <definedName name="tit" localSheetId="0" hidden="1">{"'Sheet1'!$L$16"}</definedName>
    <definedName name="tjhtrjntrsjnsr" localSheetId="0" hidden="1">{"'Sheet1'!$L$16"}</definedName>
    <definedName name="TL" localSheetId="0" hidden="1">{#N/A,#N/A,FALSE,"Chi tiÆt"}</definedName>
    <definedName name="tlc" localSheetId="0" hidden="1">{"'Sheet1'!$L$16"}</definedName>
    <definedName name="TLP" localSheetId="0" hidden="1">{#N/A,#N/A,FALSE,"Chi tiÆt"}</definedName>
    <definedName name="TLPMG" localSheetId="0" hidden="1">{"'Sheet1'!$L$16"}</definedName>
    <definedName name="tmp" localSheetId="0" hidden="1">{"'Break down'!$A$4"}</definedName>
    <definedName name="tn" localSheetId="0" hidden="1">{"'Sheet1'!$L$16"}</definedName>
    <definedName name="tntn" localSheetId="0" hidden="1">{"'Sheet1'!$L$16"}</definedName>
    <definedName name="toan" localSheetId="0" hidden="1">{"'Sheet1'!$L$16"}</definedName>
    <definedName name="toilet" localSheetId="0" hidden="1">{"'Sheet1'!$L$16"}</definedName>
    <definedName name="tol" localSheetId="0" hidden="1">{"'Sheet1'!$L$16"}</definedName>
    <definedName name="tÓtrte" localSheetId="0" hidden="1">{"'Sheet1'!$L$16"}</definedName>
    <definedName name="tt" localSheetId="0" hidden="1">{"'Sheet1'!$L$16"}</definedName>
    <definedName name="ttoan" localSheetId="0" hidden="1">{"'Sheet1'!$L$16"}</definedName>
    <definedName name="tttskldf" localSheetId="0" hidden="1">{0}</definedName>
    <definedName name="tttt" localSheetId="0" hidden="1">{"'Sheet1'!$L$16"}</definedName>
    <definedName name="ｔｔｔｔｔ" localSheetId="0" hidden="1">{"'Sheet1'!$L$16"}</definedName>
    <definedName name="tttttt" localSheetId="0" hidden="1">{#N/A,#N/A,FALSE,"Chi tiÆt"}</definedName>
    <definedName name="tthkprtn" localSheetId="0" hidden="1">{"'Sheet1'!$L$16"}</definedName>
    <definedName name="TTHU" localSheetId="0" hidden="1">{"'Sheet1'!$L$16"}</definedName>
    <definedName name="ttr" localSheetId="0" hidden="1">{#N/A,#N/A,FALSE,"Sheet6"}</definedName>
    <definedName name="TU" localSheetId="0" hidden="1">{"'Sheet1'!$L$16"}</definedName>
    <definedName name="tuam" localSheetId="0" hidden="1">{"'Sheet1'!$L$16"}</definedName>
    <definedName name="Tuan" localSheetId="0" hidden="1">{"'Sheet1'!$L$16"}</definedName>
    <definedName name="tuan03" localSheetId="0" hidden="1">{"'Sheet1'!$L$16"}</definedName>
    <definedName name="tuan123456" localSheetId="0" hidden="1">{"'Sheet1'!$L$16"}</definedName>
    <definedName name="tuan2" localSheetId="0" hidden="1">{"'Sheet1'!$L$16"}</definedName>
    <definedName name="TUANKHANHTUYET45" localSheetId="0" hidden="1">{0}</definedName>
    <definedName name="tuannn" localSheetId="0" hidden="1">{"'Sheet1'!$L$16"}</definedName>
    <definedName name="tuilol" localSheetId="0" hidden="1">{"'용역비'!$A$4:$C$8"}</definedName>
    <definedName name="TUKHKJT" localSheetId="0" hidden="1">{"'Sheet1'!$L$16"}</definedName>
    <definedName name="tuurtur" localSheetId="0" hidden="1">{"'Sheet1'!$L$16"}</definedName>
    <definedName name="tuy" localSheetId="0" hidden="1">{"'Sheet1'!$L$16"}</definedName>
    <definedName name="tuyennhanh" localSheetId="0" hidden="1">{"'Sheet1'!$L$16"}</definedName>
    <definedName name="tuyet" localSheetId="0" hidden="1">{"'Sheet1'!$L$16"}</definedName>
    <definedName name="tv" localSheetId="0"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0" hidden="1">{#N/A,#N/A,FALSE,"Sheet6"}</definedName>
    <definedName name="TYJ" localSheetId="0" hidden="1">{"'용역비'!$A$4:$C$8"}</definedName>
    <definedName name="tyje" localSheetId="0" hidden="1">{"'용역비'!$A$4:$C$8"}</definedName>
    <definedName name="tyjet" localSheetId="0" hidden="1">{"'용역비'!$A$4:$C$8"}</definedName>
    <definedName name="TYJTJMMHJM" localSheetId="0"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H" localSheetId="0" hidden="1">{#N/A,#N/A,FALSE,"Chi tiÆt"}</definedName>
    <definedName name="th.xls" localSheetId="0" hidden="1">{"'Sheet1'!$L$16"}</definedName>
    <definedName name="thµ" localSheetId="0" hidden="1">{"'Sheet1'!$L$16"}</definedName>
    <definedName name="tha" localSheetId="0" hidden="1">{"'Sheet1'!$L$16"}</definedName>
    <definedName name="thai" localSheetId="0" hidden="1">{"'Sheet1'!$L$16"}</definedName>
    <definedName name="thang" localSheetId="0" hidden="1">{"'Sheet1'!$L$16"}</definedName>
    <definedName name="thang_1" localSheetId="0" hidden="1">{"'Sheet1'!$L$16"}</definedName>
    <definedName name="Thang1" localSheetId="0" hidden="1">{"'Sheet1'!$L$16"}</definedName>
    <definedName name="thang10" localSheetId="0" hidden="1">{"'Sheet1'!$L$16"}</definedName>
    <definedName name="Thang12" localSheetId="0" hidden="1">{"'Sheet1'!$L$16"}</definedName>
    <definedName name="thang13" localSheetId="0" hidden="1">{"'Sheet1'!$L$16"}</definedName>
    <definedName name="thang2" localSheetId="0" hidden="1">{"'Sheet1'!$L$16"}</definedName>
    <definedName name="THANH" localSheetId="0" hidden="1">{"'Sheet1'!$L$16"}</definedName>
    <definedName name="THANH_1" localSheetId="0" hidden="1">{"'Sheet1'!$L$16"}</definedName>
    <definedName name="thanhtoankl" localSheetId="0" hidden="1">{"'Sheet1'!$L$16"}</definedName>
    <definedName name="thao1" localSheetId="0" hidden="1">{"'Sheet1'!$L$16"}</definedName>
    <definedName name="thao2" localSheetId="0" hidden="1">{"'Sheet1'!$L$16"}</definedName>
    <definedName name="THC" localSheetId="0" hidden="1">{"'Sheet1'!$L$16"}</definedName>
    <definedName name="THDT" localSheetId="0" hidden="1">{"'Sheet1'!$L$16"}</definedName>
    <definedName name="Thepsan" localSheetId="0" hidden="1">{"'Sheet1'!$L$16"}</definedName>
    <definedName name="thepsan2" localSheetId="0" hidden="1">{"'Sheet1'!$L$16"}</definedName>
    <definedName name="THG" localSheetId="0" hidden="1">{"'Sheet1'!$L$16"}</definedName>
    <definedName name="THGT" localSheetId="0" hidden="1">{"'Sheet1'!$L$16"}</definedName>
    <definedName name="THHD" localSheetId="0" hidden="1">{"'Sheet1'!$L$16"}</definedName>
    <definedName name="THHVT" localSheetId="0" hidden="1">{"'Sheet1'!$L$16"}</definedName>
    <definedName name="Thietbi" localSheetId="0" hidden="1">{"'Sheet1'!$L$16"}</definedName>
    <definedName name="THKLDD" localSheetId="0" hidden="1">{"'Sheet1'!$L$16"}</definedName>
    <definedName name="thkp5" localSheetId="0" hidden="1">{"'Sheet1'!$L$16"}</definedName>
    <definedName name="thkp6" localSheetId="0" hidden="1">{"'Sheet1'!$L$16"}</definedName>
    <definedName name="thkp7" localSheetId="0" hidden="1">{"'Sheet1'!$L$16"}</definedName>
    <definedName name="THKP7YT" localSheetId="0" hidden="1">{"'Sheet1'!$L$16"}</definedName>
    <definedName name="thkpdnt" localSheetId="0" hidden="1">{"'Sheet1'!$L$16"}</definedName>
    <definedName name="THKPM8" localSheetId="0" hidden="1">{"'Sheet1'!$L$16"}</definedName>
    <definedName name="thkprtn" localSheetId="0" hidden="1">{"'Sheet1'!$L$16"}</definedName>
    <definedName name="THLeloi" localSheetId="0" hidden="1">{"'Sheet1'!$L$16"}</definedName>
    <definedName name="thng" localSheetId="0" hidden="1">{#N/A,#N/A,FALSE,"Chi tiÆt"}</definedName>
    <definedName name="THNgHue" localSheetId="0" hidden="1">{"'Sheet1'!$L$16"}</definedName>
    <definedName name="THNgThHoc" localSheetId="0" hidden="1">{"'Sheet1'!$L$16"}</definedName>
    <definedName name="THOAT" localSheetId="0" hidden="1">{"'Sheet1'!$L$16"}</definedName>
    <definedName name="thopsohoc" localSheetId="0" hidden="1">{"Offgrid",#N/A,FALSE,"OFFGRID";"Region",#N/A,FALSE,"REGION";"Offgrid -2",#N/A,FALSE,"OFFGRID";"WTP",#N/A,FALSE,"WTP";"WTP -2",#N/A,FALSE,"WTP";"Project",#N/A,FALSE,"PROJECT";"Summary -2",#N/A,FALSE,"SUMMARY"}</definedName>
    <definedName name="THQT" localSheetId="0" hidden="1">{#N/A,#N/A,FALSE,"Chi tiÆt"}</definedName>
    <definedName name="thqtpsg" localSheetId="0" hidden="1">{"'Sheet1'!$L$16"}</definedName>
    <definedName name="THQuiCapChan" localSheetId="0" hidden="1">{"'Sheet1'!$L$16"}</definedName>
    <definedName name="thQuicaple" localSheetId="0" hidden="1">{"'Sheet1'!$L$16"}</definedName>
    <definedName name="tht" localSheetId="0" hidden="1">{"'Sheet1'!$L$16"}</definedName>
    <definedName name="THTranPhu" localSheetId="0" hidden="1">{"'Sheet1'!$L$16"}</definedName>
    <definedName name="thu" localSheetId="0" hidden="1">{"'Sheet1'!$L$16"}</definedName>
    <definedName name="THUAN" localSheetId="0" hidden="1">{#N/A,#N/A,FALSE,"CCTV"}</definedName>
    <definedName name="thuat" localSheetId="0" hidden="1">{"'Sheet1'!$L$16"}</definedName>
    <definedName name="Thuong" localSheetId="0" hidden="1">{"'Sheet1'!$L$16"}</definedName>
    <definedName name="thuy" localSheetId="0" hidden="1">{"'Sheet1'!$L$16"}</definedName>
    <definedName name="thvlmoi" localSheetId="0" hidden="1">{"'Sheet1'!$L$16"}</definedName>
    <definedName name="thvlmoimoi" localSheetId="0" hidden="1">{"'Sheet1'!$L$16"}</definedName>
    <definedName name="THVT" localSheetId="0" hidden="1">{"'ELEC'!$A$2:$H$216","'ELEC'!$C$2:$D$2"}</definedName>
    <definedName name="Tram" localSheetId="0" hidden="1">{"'Sheet1'!$L$16"}</definedName>
    <definedName name="tran" localSheetId="0" hidden="1">{"'现金流量表（全部投资）'!$B$4:$P$23"}</definedName>
    <definedName name="tre" localSheetId="0" hidden="1">{#N/A,#N/A,FALSE,"Chi tiÆt"}</definedName>
    <definedName name="TRHEE" localSheetId="0" hidden="1">{#N/A,#N/A,FALSE,"Sheet6"}</definedName>
    <definedName name="TRHEH" localSheetId="0" hidden="1">{"'Sheet1'!$L$16"}</definedName>
    <definedName name="trhr" localSheetId="0" hidden="1">{#N/A,#N/A,FALSE,"Sheet6"}</definedName>
    <definedName name="trieu" localSheetId="0" hidden="1">{"'Sheet1'!$L$16"}</definedName>
    <definedName name="trong" localSheetId="0" hidden="1">{"'Sheet1'!$L$16"}</definedName>
    <definedName name="trr" localSheetId="0" hidden="1">{"Offgrid",#N/A,FALSE,"OFFGRID";"Region",#N/A,FALSE,"REGION";"Offgrid -2",#N/A,FALSE,"OFFGRID";"WTP",#N/A,FALSE,"WTP";"WTP -2",#N/A,FALSE,"WTP";"Project",#N/A,FALSE,"PROJECT";"Summary -2",#N/A,FALSE,"SUMMARY"}</definedName>
    <definedName name="trrh" localSheetId="0" hidden="1">{"'Sheet1'!$L$16"}</definedName>
    <definedName name="TRUNGNGUYEN" localSheetId="0" hidden="1">{#N/A,#N/A,FALSE,"Chi tiÆt"}</definedName>
    <definedName name="trutriutit" localSheetId="0" hidden="1">{#N/A,#N/A,FALSE,"속도"}</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5u6" localSheetId="0" hidden="1">{"'Sheet1'!$L$16"}</definedName>
    <definedName name="uassw_sh" localSheetId="0" hidden="1">{"'Sheet1'!$L$16"}</definedName>
    <definedName name="uchihashi" localSheetId="0" hidden="1">{#N/A,#N/A,FALSE,"特殊室（ＢＱ表）"}</definedName>
    <definedName name="uip" localSheetId="0" hidden="1">{"'Sheet1'!$L$16"}</definedName>
    <definedName name="ujdffdf" localSheetId="0" hidden="1">{#N/A,#N/A,FALSE,"단가표지"}</definedName>
    <definedName name="ukj" localSheetId="0" hidden="1">{#N/A,#N/A,FALSE,"전력간선"}</definedName>
    <definedName name="ukluy" localSheetId="0" hidden="1">{"'Sheet1'!$L$16"}</definedName>
    <definedName name="UL" localSheetId="0" hidden="1">{"'Sheet1'!$L$16"}</definedName>
    <definedName name="ulo" localSheetId="0" hidden="1">{"'용역비'!$A$4:$C$8"}</definedName>
    <definedName name="ủnt" localSheetId="0" hidden="1">{"'Sheet1'!$L$16"}</definedName>
    <definedName name="urreur" localSheetId="0" hidden="1">{#N/A,#N/A,FALSE,"사업총괄";#N/A,#N/A,FALSE,"장비사업";#N/A,#N/A,FALSE,"철구사업";#N/A,#N/A,FALSE,"준설사업"}</definedName>
    <definedName name="urtureu" localSheetId="0" hidden="1">{#N/A,#N/A,FALSE,"전력간선"}</definedName>
    <definedName name="urtureuer" localSheetId="0" hidden="1">{#N/A,#N/A,FALSE,"구조2"}</definedName>
    <definedName name="uru4u4urur" localSheetId="0" hidden="1">{#N/A,#N/A,FALSE,"배수1"}</definedName>
    <definedName name="ututut" localSheetId="0" hidden="1">{"'Sheet1'!$L$16"}</definedName>
    <definedName name="UTWER" localSheetId="0"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0" hidden="1">{#N/A,#N/A,FALSE,"배수2"}</definedName>
    <definedName name="uu" localSheetId="0" hidden="1">{"'용역비'!$A$4:$C$8"}</definedName>
    <definedName name="uuuu" localSheetId="0" hidden="1">{#N/A,#N/A,FALSE,"단가표지"}</definedName>
    <definedName name="uyi" localSheetId="0" hidden="1">{"'Sheet1'!$L$16"}</definedName>
    <definedName name="ủytỉt" localSheetId="0" hidden="1">{"'Sheet1'!$L$16"}</definedName>
    <definedName name="uytjhtdjtj" localSheetId="0" hidden="1">{"'Sheet1'!$L$16"}</definedName>
    <definedName name="ưegweg" localSheetId="0" hidden="1">{"'Sheet1'!$L$16"}</definedName>
    <definedName name="ưergwrgn" localSheetId="0" hidden="1">{"'Sheet1'!$L$16"}</definedName>
    <definedName name="ƯERWER" localSheetId="0" hidden="1">{"'Sheet1'!$L$16"}</definedName>
    <definedName name="V.clvl3" localSheetId="0" hidden="1">{"'Sheet1'!$L$16"}</definedName>
    <definedName name="V_a_b__t_ng_M200____1x2" localSheetId="0">ptdg</definedName>
    <definedName name="V8.Refresh" localSheetId="0" hidden="1">{"NGUYEN QUI THIEP - Personal View",#N/A,FALSE,"XDCB.HT.FUR."}</definedName>
    <definedName name="vadvsa" localSheetId="0" hidden="1">{"'Sheet1'!$L$16"}</definedName>
    <definedName name="Valve" localSheetId="0" hidden="1">{"'Sheet1'!$L$16"}</definedName>
    <definedName name="Valve_1" localSheetId="0" hidden="1">{"'Sheet1'!$L$16"}</definedName>
    <definedName name="VATM" localSheetId="0" hidden="1">{"'Sheet1'!$L$16"}</definedName>
    <definedName name="vb" localSheetId="0" hidden="1">{"'Sheet1'!$L$16"}</definedName>
    <definedName name="VBN" localSheetId="0" hidden="1">{#N/A,#N/A,FALSE,"이태원철근"}</definedName>
    <definedName name="vbnhj" localSheetId="0" hidden="1">{#N/A,#N/A,FALSE,"Sheet6"}</definedName>
    <definedName name="vcbo1" localSheetId="0" hidden="1">{"'Sheet1'!$L$16"}</definedName>
    <definedName name="vcc" localSheetId="0" hidden="1">{#N/A,#N/A,FALSE,"구조1"}</definedName>
    <definedName name="vcoto" localSheetId="0" hidden="1">{"'Sheet1'!$L$16"}</definedName>
    <definedName name="vcvc" localSheetId="0" hidden="1">{"'Sheet1'!$L$16"}</definedName>
    <definedName name="vd" localSheetId="0" hidden="1">{"'Sheet1'!$L$16"}</definedName>
    <definedName name="vdbdb" localSheetId="0" hidden="1">{"'Sheet1'!$L$16"}</definedName>
    <definedName name="vdfgdfg" localSheetId="0" hidden="1">{"'Sheet1'!$L$16"}</definedName>
    <definedName name="VEN" localSheetId="0" hidden="1">{#N/A,#N/A,TRUE,"SUM";#N/A,#N/A,TRUE,"EE";#N/A,#N/A,TRUE,"AC";#N/A,#N/A,TRUE,"SN"}</definedName>
    <definedName name="vetbun" localSheetId="0" hidden="1">{"'Sheet1'!$L$16"}</definedName>
    <definedName name="VF" localSheetId="0" hidden="1">{#N/A,#N/A,FALSE,"Sheet2";#N/A,#N/A,FALSE,"Sheet4";#N/A,#N/A,FALSE,"Sheet6"}</definedName>
    <definedName name="vgb" localSheetId="0" hidden="1">{"'Sheet1'!$L$16"}</definedName>
    <definedName name="vghn" localSheetId="0" hidden="1">{"'Sheet1'!$L$16"}</definedName>
    <definedName name="vgho" localSheetId="0" hidden="1">{"'Sheet1'!$L$16"}</definedName>
    <definedName name="vgjh" localSheetId="0" hidden="1">{#N/A,#N/A,FALSE,"特殊室（ＢＱ表）"}</definedName>
    <definedName name="vi" localSheetId="0" hidden="1">{"'Sheet1'!$L$16"}</definedName>
    <definedName name="Viet" localSheetId="0" hidden="1">{"'Sheet1'!$L$16"}</definedName>
    <definedName name="Viets" localSheetId="0" hidden="1">{"'Sheet1'!$L$16"}</definedName>
    <definedName name="vinod" localSheetId="0" hidden="1">{#N/A,#N/A,FALSE,"估價單  (3)"}</definedName>
    <definedName name="vl" localSheetId="0" hidden="1">{"'Sheet1'!$L$16"}</definedName>
    <definedName name="vlct" localSheetId="0" hidden="1">{"'Sheet1'!$L$16"}</definedName>
    <definedName name="vnd_list" localSheetId="0" hidden="1">{"một";"hai";"ba";"bốn";"năm";"sáu";"bảy";"tám";"chín";"mười";"mươi";"mốt";"lăm";"trăm";"nghìn";"triệu";"tỷ";"lẻ";"không trăm";"Bằng chử : "}</definedName>
    <definedName name="vnvnvn" localSheetId="0" hidden="1">{"'Sheet1'!$L$16"}</definedName>
    <definedName name="vo" localSheetId="0" hidden="1">{"'CPA Sum'!$A$1:$X$30","'CPA'!$A$1:$K$187","'Infra Cost'!$A$1:$Q$30","'Dev't Cost'!$A$1:$AH$40","'Cashflow'!$A$1:$DG$82"}</definedName>
    <definedName name="VOLTAGE" localSheetId="0" hidden="1">{#N/A,#N/A,FALSE,"Sheet1";#N/A,#N/A,FALSE,"Sheet3";#N/A,#N/A,FALSE,"Sheet5"}</definedName>
    <definedName name="vsvs" localSheetId="0" hidden="1">{"'Sheet1'!$L$16"}</definedName>
    <definedName name="vttc2" localSheetId="0" hidden="1">{#N/A,#N/A,FALSE,"Sheet1";#N/A,#N/A,FALSE,"Sheet1";#N/A,#N/A,FALSE,"Sheet1"}</definedName>
    <definedName name="VTuphu" localSheetId="0" hidden="1">{"'Sheet1'!$L$16"}</definedName>
    <definedName name="VU" localSheetId="0" hidden="1">{"'Sheet1'!$L$16"}</definedName>
    <definedName name="VUNGTB" localSheetId="0" hidden="1">{"'Sheet1'!$L$16"}</definedName>
    <definedName name="vut" localSheetId="0" hidden="1">{#N/A,#N/A,FALSE,"Chi tiÆt"}</definedName>
    <definedName name="vv" localSheetId="0" hidden="1">{"'Sheet1'!$L$16"}</definedName>
    <definedName name="vvv" localSheetId="0" hidden="1">{"'Sheet1'!$L$16"}</definedName>
    <definedName name="ｖｖｖｖｖ" localSheetId="0" hidden="1">{"'Sheet1'!$L$16"}</definedName>
    <definedName name="VVVVVV" localSheetId="0" hidden="1">{"'Sheet1'!$L$16"}</definedName>
    <definedName name="vvvvvvv" localSheetId="0" hidden="1">{#N/A,#N/A,FALSE,"Chi tiÆt"}</definedName>
    <definedName name="vxcgs" localSheetId="0" hidden="1">{"'Sheet1'!$L$16"}</definedName>
    <definedName name="VXVZX" localSheetId="0" hidden="1">{"'Sheet1'!$L$16"}</definedName>
    <definedName name="vyu" localSheetId="0" hidden="1">{"'Sheet1'!$L$16"}</definedName>
    <definedName name="VZDVA" localSheetId="0" hidden="1">{"'Sheet1'!$L$16"}</definedName>
    <definedName name="VZVZD" localSheetId="0" hidden="1">{"'Sheet1'!$L$16"}</definedName>
    <definedName name="VZVZXCZ" localSheetId="0"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0" hidden="1">{#N/A,#N/A,FALSE,"Chi tiÆt"}</definedName>
    <definedName name="wafef" localSheetId="0" hidden="1">{"'Sheet1'!$L$16"}</definedName>
    <definedName name="walkway" localSheetId="0" hidden="1">{"'Sheet1'!$L$16"}</definedName>
    <definedName name="wdd" localSheetId="0" hidden="1">{"'Sheet1'!$L$16"}</definedName>
    <definedName name="WE" localSheetId="0" hidden="1">{#N/A,#N/A,FALSE,"CCTV"}</definedName>
    <definedName name="wefwgfwegf" localSheetId="0" hidden="1">{"'Sheet1'!$L$16"}</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rar" localSheetId="0" hidden="1">{"'Sheet1'!$L$16"}</definedName>
    <definedName name="wererr" localSheetId="0" hidden="1">{#N/A,#N/A,FALSE,"운반시간"}</definedName>
    <definedName name="werewr" localSheetId="0"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indow" localSheetId="0"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K" localSheetId="0" hidden="1">{#N/A,#N/A,FALSE,"견적대비-2"}</definedName>
    <definedName name="WLQ" localSheetId="0" hidden="1">{#N/A,#N/A,FALSE,"명세표"}</definedName>
    <definedName name="wm.조골재1" localSheetId="0" hidden="1">{#N/A,#N/A,FALSE,"조골재"}</definedName>
    <definedName name="WPWPPW" localSheetId="0" hidden="1">{#N/A,#N/A,FALSE,"주간공정";#N/A,#N/A,FALSE,"주간보고";#N/A,#N/A,FALSE,"주간공정표"}</definedName>
    <definedName name="wqe" localSheetId="0" hidden="1">{"'ELEC'!$A$2:$H$216","'ELEC'!$C$2:$D$2"}</definedName>
    <definedName name="wqweqr" localSheetId="0" hidden="1">{"'Sheet1'!$L$16"}</definedName>
    <definedName name="WRITE" localSheetId="0" hidden="1">{#N/A,#N/A,FALSE,"CCTV"}</definedName>
    <definedName name="WRN" localSheetId="0"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2번." localSheetId="0"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 localSheetId="0" hidden="1">{#N/A,#N/A,TRUE,"SUM";#N/A,#N/A,TRUE,"EE";#N/A,#N/A,TRUE,"AC";#N/A,#N/A,TRUE,"SN"}</definedName>
    <definedName name="wrn.aaa." localSheetId="0" hidden="1">{#N/A,#N/A,FALSE,"Sheet1";#N/A,#N/A,FALSE,"Sheet1";#N/A,#N/A,FALSE,"Sheet1"}</definedName>
    <definedName name="wrn.aaa.1" localSheetId="0" hidden="1">{#N/A,#N/A,FALSE,"Sheet1";#N/A,#N/A,FALSE,"Sheet1";#N/A,#N/A,FALSE,"Sheet1"}</definedName>
    <definedName name="wrn.abc." localSheetId="0" hidden="1">{#N/A,#N/A,TRUE,"천상그린44PY"}</definedName>
    <definedName name="wrn.ac30prn." localSheetId="0"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OCAO." localSheetId="0" hidden="1">{#N/A,#N/A,FALSE,"sum";#N/A,#N/A,FALSE,"MARTV";#N/A,#N/A,FALSE,"APRTV"}</definedName>
    <definedName name="wrn.bbb." localSheetId="0" hidden="1">{#N/A,#N/A,FALSE,"Sheet1";#N/A,#N/A,FALSE,"Sheet1";#N/A,#N/A,FALSE,"Sheet1"}</definedName>
    <definedName name="wrn.BIDSUM." localSheetId="0" hidden="1">{#N/A,#N/A,TRUE,"SUMMARY";#N/A,#N/A,TRUE,"ISBL";#N/A,#N/A,TRUE,"OSBL";#N/A,#N/A,TRUE,"OFFSITE";#N/A,#N/A,TRUE,"STEAM"}</definedName>
    <definedName name="wrn.BILLS._.OF._.QUANTITY." localSheetId="0" hidden="1">{#N/A,#N/A,TRUE,"Str.";#N/A,#N/A,TRUE,"Steel &amp; Roof";#N/A,#N/A,TRUE,"Arc.";#N/A,#N/A,TRUE,"Preliminary";#N/A,#N/A,TRUE,"Sum_Prelim"}</definedName>
    <definedName name="wrn.BM" localSheetId="0" hidden="1">{#N/A,#N/A,FALSE,"CCTV"}</definedName>
    <definedName name="wrn.BM." localSheetId="0" hidden="1">{#N/A,#N/A,FALSE,"CCTV"}</definedName>
    <definedName name="wrn.Boq_summary." localSheetId="0" hidden="1">{#N/A,#N/A,FALSE,"Sum_BOQ";#N/A,#N/A,FALSE,"Preliminary";#N/A,#N/A,FALSE,"Sum_Prelim";#N/A,#N/A,FALSE,"Prime Cost&amp;Prov_sum"}</definedName>
    <definedName name="wrn.clntrpt." localSheetId="0" hidden="1">{#N/A,#N/A,FALSE,"CLIENT HOPSR";#N/A,#N/A,FALSE,"JEG GRAPH";#N/A,#N/A,FALSE,"PROCESS";#N/A,#N/A,FALSE,"CIVIL";#N/A,#N/A,FALSE,"ELECTRICAL";#N/A,#N/A,FALSE,"CNTRL SYS";#N/A,#N/A,FALSE,"MECH";#N/A,#N/A,FALSE,"PIPE"}</definedName>
    <definedName name="wrn.Coded._.IAS._.FS." localSheetId="0"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st._.Summary." localSheetId="0"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harts." localSheetId="0" hidden="1">{"Chart 1",#N/A,TRUE,"Charts";"Chart 2",#N/A,TRUE,"Charts"}</definedName>
    <definedName name="wrn.Che._.do._.duoc._.huong." localSheetId="0" hidden="1">{#N/A,#N/A,FALSE,"BN (2)"}</definedName>
    <definedName name="wrn.chi._.tiÆt." localSheetId="0" hidden="1">{#N/A,#N/A,FALSE,"Chi tiÆt"}</definedName>
    <definedName name="wrn.dcf." localSheetId="0"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terior._.Wall." localSheetId="0"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GENSERV." localSheetId="0"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DIRCOS." localSheetId="0" hidden="1">{#N/A,#N/A,TRUE,"FIELDOFF";#N/A,#N/A,TRUE,"SCAFF";#N/A,#N/A,TRUE,"CONSTEQP";#N/A,#N/A,TRUE,"FUELUBE";#N/A,#N/A,TRUE,"CONSUME";#N/A,#N/A,TRUE,"FIELDEXP";#N/A,#N/A,TRUE,"MANPLAN";#N/A,#N/A,TRUE,"EQPLAN"}</definedName>
    <definedName name="wrn.Inflation._.factors._.used." localSheetId="0" hidden="1">{#N/A,#N/A,FALSE,"Infl_fact"}</definedName>
    <definedName name="wrn.Interior._.finishes." localSheetId="0"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hrfcst." localSheetId="0" hidden="1">{#N/A,#N/A,FALSE,"MANHR FCST-BASE"}</definedName>
    <definedName name="wrn.Monthly._.Statement." localSheetId="0" hidden="1">{#N/A,#N/A,FALSE,"Tabelle2";#N/A,#N/A,FALSE,"Tabelle1"}</definedName>
    <definedName name="wrn.MTD1." localSheetId="0" hidden="1">{#N/A,#N/A,FALSE,"Sheet1";#N/A,#N/A,FALSE,"Sheet3";#N/A,#N/A,FALSE,"Sheet5"}</definedName>
    <definedName name="wrn.MTD2." localSheetId="0" hidden="1">{#N/A,#N/A,FALSE,"Sheet2";#N/A,#N/A,FALSE,"Sheet4";#N/A,#N/A,FALSE,"Sheet6"}</definedName>
    <definedName name="wrn.Output." localSheetId="0"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2" localSheetId="0" hidden="1">{#N/A,#N/A,FALSE,"mgtsum.XLS";#N/A,#N/A,FALSE,"CAPONE";#N/A,#N/A,FALSE,"CAPTWO";#N/A,#N/A,FALSE,"CAPTHREE"}</definedName>
    <definedName name="wrn.p854._.addendum3" localSheetId="0" hidden="1">{#N/A,#N/A,FALSE,"mgtsum.XLS";#N/A,#N/A,FALSE,"CAPONE";#N/A,#N/A,FALSE,"CAPTWO";#N/A,#N/A,FALSE,"CAPTHREE"}</definedName>
    <definedName name="wrn.PL._.Analysis." localSheetId="0" hidden="1">{"AnalRSA",#N/A,TRUE,"PL-Anal";"AnalIAS",#N/A,TRUE,"PL-Anal"}</definedName>
    <definedName name="wrn.Present." localSheetId="0"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ofile." localSheetId="0"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1." localSheetId="0" hidden="1">{#N/A,#N/A,FALSE,"特殊室（ＢＱ表）"}</definedName>
    <definedName name="wrn.reports." localSheetId="0"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SCHEDULE." localSheetId="0"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UMMARY." localSheetId="0" hidden="1">{"SUMMARY",#N/A,FALSE,"Fin_sched"}</definedName>
    <definedName name="wrn.TEST." localSheetId="0" hidden="1">{#N/A,#N/A,FALSE,"估價單  (3)"}</definedName>
    <definedName name="wrn.test1." localSheetId="0" hidden="1">{#N/A,#N/A,FALSE,"명세표"}</definedName>
    <definedName name="wrn.TOTALE." localSheetId="0"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vd." localSheetId="0" hidden="1">{#N/A,#N/A,TRUE,"BT M200 da 10x20"}</definedName>
    <definedName name="WRN.VOLTAGE." localSheetId="0" hidden="1">{#N/A,#N/A,FALSE,"Sheet2";#N/A,#N/A,FALSE,"Sheet4";#N/A,#N/A,FALSE,"Sheet6"}</definedName>
    <definedName name="wrn.Warrington._.Widnes._.QS._.Costs." localSheetId="0"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견적." localSheetId="0" hidden="1">{#N/A,#N/A,FALSE,"Sheet1";#N/A,#N/A,FALSE,"Sheet2";#N/A,#N/A,FALSE,"TAB96-1"}</definedName>
    <definedName name="wrn.고희석." localSheetId="0" hidden="1">{#N/A,#N/A,FALSE,"교리2"}</definedName>
    <definedName name="wrn.골재소요량." localSheetId="0" hidden="1">{#N/A,#N/A,FALSE,"골재소요량";#N/A,#N/A,FALSE,"골재소요량"}</definedName>
    <definedName name="wrn.교육청." localSheetId="0" hidden="1">{#N/A,#N/A,FALSE,"전력간선"}</definedName>
    <definedName name="wrn.교육청.1" localSheetId="0" hidden="1">{#N/A,#N/A,FALSE,"전력간선"}</definedName>
    <definedName name="wrn.구조2." localSheetId="0" hidden="1">{#N/A,#N/A,FALSE,"구조2"}</definedName>
    <definedName name="wrn.기성." localSheetId="0" hidden="1">{#N/A,#N/A,FALSE,"신청통보";#N/A,#N/A,FALSE,"기성확인서";#N/A,#N/A,FALSE,"기성내역서"}</definedName>
    <definedName name="wrn.기초." localSheetId="0" hidden="1">{#N/A,#N/A,FALSE,"터빈집계";#N/A,#N/A,FALSE,"터빈내역";#N/A,#N/A,FALSE,"보일러집계";#N/A,#N/A,FALSE,"보일러내역"}</definedName>
    <definedName name="wrn.단가표지." localSheetId="0"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배수1." localSheetId="0" hidden="1">{#N/A,#N/A,FALSE,"배수1"}</definedName>
    <definedName name="wrn.배수2." localSheetId="0" hidden="1">{#N/A,#N/A,FALSE,"배수2"}</definedName>
    <definedName name="wrn.변경예산." localSheetId="0"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외주기성." localSheetId="0" hidden="1">{#N/A,#N/A,FALSE,"신청통보";#N/A,#N/A,FALSE,"기성확인서";#N/A,#N/A,FALSE,"기성내역서"}</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전열선출서." localSheetId="0" hidden="1">{#N/A,#N/A,FALSE,"전열산출서"}</definedName>
    <definedName name="wrn.조골재." localSheetId="0" hidden="1">{#N/A,#N/A,FALSE,"조골재"}</definedName>
    <definedName name="wrn.종점1" localSheetId="0" hidden="1">{#N/A,#N/A,FALSE,"이정표"}</definedName>
    <definedName name="wrn.주간보고." localSheetId="0"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포장단가." localSheetId="0"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_xoa2" localSheetId="0" hidden="1">{#N/A,#N/A,FALSE,"Chi tiÆt"}</definedName>
    <definedName name="WRNE.CHARTS" localSheetId="0" hidden="1">{"Chart 1",#N/A,TRUE,"Charts";"Chart 2",#N/A,TRUE,"Charts"}</definedName>
    <definedName name="wrnf.report" localSheetId="0"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S" localSheetId="0" hidden="1">{"'장비'!$A$3:$M$12"}</definedName>
    <definedName name="WRTWE" localSheetId="0" hidden="1">{"'Sheet1'!$L$16"}</definedName>
    <definedName name="wrty" localSheetId="0" hidden="1">{"'용역비'!$A$4:$C$8"}</definedName>
    <definedName name="wrtyrtyrt" localSheetId="0" hidden="1">{"'용역비'!$A$4:$C$8"}</definedName>
    <definedName name="wrtywrtywr" localSheetId="0" hidden="1">{"'용역비'!$A$4:$C$8"}</definedName>
    <definedName name="wuy" localSheetId="0"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F" localSheetId="0" hidden="1">{"'Sheet1'!$L$16"}</definedName>
    <definedName name="wwhwhwrh" localSheetId="0" hidden="1">{"'Sheet1'!$L$16"}</definedName>
    <definedName name="www" localSheetId="0"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rwee" localSheetId="0" hidden="1">{"'Sheet1'!$L$16"}</definedName>
    <definedName name="WWWW" localSheetId="0" hidden="1">{"'Sheet1'!$L$16"}</definedName>
    <definedName name="wwwwwww" localSheetId="0" hidden="1">{"Offgrid",#N/A,FALSE,"OFFGRID";"Region",#N/A,FALSE,"REGION";"Offgrid -2",#N/A,FALSE,"OFFGRID";"WTP",#N/A,FALSE,"WTP";"WTP -2",#N/A,FALSE,"WTP";"Project",#N/A,FALSE,"PROJECT";"Summary -2",#N/A,FALSE,"SUMMARY"}</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0" hidden="1">{"'Sheet1'!$L$16"}</definedName>
    <definedName name="XDKT" localSheetId="0" hidden="1">{"NGUYEN QUI THIEP - Personal View",#N/A,FALSE,"XDCB.HT.FUR."}</definedName>
    <definedName name="xf" localSheetId="0" hidden="1">{#N/A,#N/A,FALSE,"Sheet6"}</definedName>
    <definedName name="XFBDSBSB" localSheetId="0" hidden="1">{"'Sheet1'!$L$16"}</definedName>
    <definedName name="XFHGHTD" localSheetId="0" hidden="1">{"'Sheet1'!$L$16"}</definedName>
    <definedName name="xls." localSheetId="0" hidden="1">{"'Break down'!$A$4"}</definedName>
    <definedName name="xlttbninh" localSheetId="0" hidden="1">{"'Sheet1'!$L$16"}</definedName>
    <definedName name="XN908nam2003" localSheetId="0" hidden="1">{"'Sheet1'!$L$16"}</definedName>
    <definedName name="xoa1" localSheetId="0" hidden="1">{"'Sheet1'!$L$16"}</definedName>
    <definedName name="xoa1_1" localSheetId="0" hidden="1">{"'Sheet1'!$L$16"}</definedName>
    <definedName name="xoa2" localSheetId="0" hidden="1">{#N/A,#N/A,FALSE,"Chi tiÆt"}</definedName>
    <definedName name="xoa3" localSheetId="0"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scxz" localSheetId="0" hidden="1">{"'Sheet1'!$L$16"}</definedName>
    <definedName name="xu" localSheetId="0" hidden="1">{#N/A,#N/A,FALSE,"Chi tiÆt"}</definedName>
    <definedName name="XuÊt8" localSheetId="0" hidden="1">{"'Sheet1'!$L$16"}</definedName>
    <definedName name="xvxcvxc" localSheetId="0" hidden="1">{"'Sheet1'!$L$16"}</definedName>
    <definedName name="XVXZ" localSheetId="0" hidden="1">{"'Sheet1'!$L$16"}</definedName>
    <definedName name="xxx" localSheetId="0" hidden="1">{"'Sheet1'!$L$16"}</definedName>
    <definedName name="XXXAAAA" localSheetId="0" hidden="1">{"'Sheet1'!$L$16"}</definedName>
    <definedName name="XXXAAAA_1" localSheetId="0" hidden="1">{"'Sheet1'!$L$16"}</definedName>
    <definedName name="ｘｘｘｘ" localSheetId="0" hidden="1">{"'Sheet1'!$L$16"}</definedName>
    <definedName name="ｘｘｘｘｘ" localSheetId="0" hidden="1">{"'Sheet1'!$L$16"}</definedName>
    <definedName name="xxxxxxx" localSheetId="0" hidden="1">{#N/A,#N/A,FALSE,"MARCH"}</definedName>
    <definedName name="y" localSheetId="0" hidden="1">{#N/A,#N/A,FALSE,"Chi tiÆt"}</definedName>
    <definedName name="ỵ" localSheetId="0" hidden="1">{"'Sheet1'!$L$16"}</definedName>
    <definedName name="y5ey3y33y3" localSheetId="0" hidden="1">{#N/A,#N/A,FALSE,"Chi tiÆt"}</definedName>
    <definedName name="Y5T45" localSheetId="0" hidden="1">{"'Sheet1'!$L$16"}</definedName>
    <definedName name="ỳdhgg" localSheetId="0" hidden="1">{"'Sheet1'!$L$16"}</definedName>
    <definedName name="ýenda" localSheetId="0" hidden="1">{"'Sheet1'!$L$16"}</definedName>
    <definedName name="yeryewy3" localSheetId="0" hidden="1">{#N/A,#N/A,TRUE,"1";#N/A,#N/A,TRUE,"2";#N/A,#N/A,TRUE,"3";#N/A,#N/A,TRUE,"4";#N/A,#N/A,TRUE,"5";#N/A,#N/A,TRUE,"6";#N/A,#N/A,TRUE,"7"}</definedName>
    <definedName name="YFU" localSheetId="0" hidden="1">{"'용역비'!$A$4:$C$8"}</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dti" localSheetId="0" hidden="1">{"'Sheet1'!$L$16"}</definedName>
    <definedName name="YSY" localSheetId="0" hidden="1">{#N/A,#N/A,FALSE,"Sheet2";#N/A,#N/A,FALSE,"Sheet4";#N/A,#N/A,FALSE,"Sheet6"}</definedName>
    <definedName name="yteye5y" localSheetId="0" hidden="1">{"'Sheet1'!$L$16"}</definedName>
    <definedName name="YTJTY" localSheetId="0" hidden="1">{0,0,0,0}</definedName>
    <definedName name="YTYT" localSheetId="0" hidden="1">{"'Sheet1'!$L$16"}</definedName>
    <definedName name="yu" localSheetId="0" hidden="1">{#N/A,#N/A,FALSE,"Sheet6"}</definedName>
    <definedName name="ỵu" localSheetId="0" hidden="1">{"'Sheet1'!$L$16"}</definedName>
    <definedName name="yuj" localSheetId="0" hidden="1">{#N/A,#N/A,TRUE,"1";#N/A,#N/A,TRUE,"2";#N/A,#N/A,TRUE,"3";#N/A,#N/A,TRUE,"4";#N/A,#N/A,TRUE,"5";#N/A,#N/A,TRUE,"6";#N/A,#N/A,TRUE,"7"}</definedName>
    <definedName name="YUK" localSheetId="0" hidden="1">{"'용역비'!$A$4:$C$8"}</definedName>
    <definedName name="YUTY" localSheetId="0" hidden="1">{#N/A,#N/A,FALSE,"Sheet6"}</definedName>
    <definedName name="yy" localSheetId="0" hidden="1">{"'장비'!$A$3:$M$12"}</definedName>
    <definedName name="yyiiyff" localSheetId="0" hidden="1">{#N/A,#N/A,FALSE,"Chi tiÆt"}</definedName>
    <definedName name="yyjy_ukyu" localSheetId="0" hidden="1">{"'Sheet1'!$L$16"}</definedName>
    <definedName name="ｙｙｙ" localSheetId="0" hidden="1">{"'Sheet1'!$L$16"}</definedName>
    <definedName name="yyyyy" localSheetId="0"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0" hidden="1">{"'용역비'!$A$4:$C$8"}</definedName>
    <definedName name="ZCZXC" localSheetId="0" hidden="1">{"'Sheet1'!$L$16"}</definedName>
    <definedName name="zKm2" localSheetId="0" hidden="1">{"'Sheet1'!$L$16"}</definedName>
    <definedName name="zscsxz" localSheetId="0" hidden="1">{"'Sheet1'!$L$16"}</definedName>
    <definedName name="ZXC" localSheetId="0" hidden="1">{#N/A,#N/A,FALSE,"이태원철근"}</definedName>
    <definedName name="ZXzX" localSheetId="0" hidden="1">{"'Sheet1'!$L$16"}</definedName>
    <definedName name="zxzxasasas" localSheetId="0" hidden="1">{#N/A,#N/A,FALSE,"Chi tiÆt"}</definedName>
    <definedName name="ｚｚｚｚｚ" localSheetId="0" hidden="1">{"'Sheet1'!$L$16"}</definedName>
    <definedName name="ｚｚｚｚｚｚ" localSheetId="0"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あ" localSheetId="0" hidden="1">{"'Sheet1'!$L$16"}</definedName>
    <definedName name="ああ" localSheetId="0" hidden="1">{"'Sheet1'!$L$16"}</definedName>
    <definedName name="あああ" localSheetId="0" hidden="1">{"'Sheet1'!$L$16"}</definedName>
    <definedName name="ああああ" localSheetId="0" hidden="1">{"'Sheet1'!$L$16"}</definedName>
    <definedName name="あああああ" localSheetId="0" hidden="1">{"'Sheet1'!$L$16"}</definedName>
    <definedName name="ううう" localSheetId="0" hidden="1">{"'Sheet1'!$L$16"}</definedName>
    <definedName name="えええ" localSheetId="0" hidden="1">{"'Sheet1'!$L$16"}</definedName>
    <definedName name="んｎ" localSheetId="0" hidden="1">{"'Sheet1'!$L$16"}</definedName>
    <definedName name="んんｎ" localSheetId="0" hidden="1">{"'Sheet1'!$L$16"}</definedName>
    <definedName name="ㄱ" localSheetId="0" hidden="1">{#N/A,#N/A,FALSE,"골재소요량";#N/A,#N/A,FALSE,"골재소요량"}</definedName>
    <definedName name="ㄱㄱ" localSheetId="0" hidden="1">{#N/A,#N/A,FALSE,"전력간선"}</definedName>
    <definedName name="ㄱㄱㄱ" localSheetId="0" hidden="1">{#N/A,#N/A,FALSE,"표지목차"}</definedName>
    <definedName name="ㄱㄱㄱㄱ" localSheetId="0" hidden="1">{#N/A,#N/A,FALSE,"지침";#N/A,#N/A,FALSE,"환경분석";#N/A,#N/A,FALSE,"Sheet16"}</definedName>
    <definedName name="ㄱㄱㄱㄱㄱ" localSheetId="0" hidden="1">{#N/A,#N/A,FALSE,"교리2"}</definedName>
    <definedName name="ㄱㄱㄱㅎ" localSheetId="0" hidden="1">{#N/A,#N/A,FALSE,"Sheet6"}</definedName>
    <definedName name="ㄱㄷㄱ" localSheetId="0" hidden="1">{#N/A,#N/A,FALSE,"Sheet6"}</definedName>
    <definedName name="ㄱㄷㄱㄷㄱㄱㅎㄺㄷ" localSheetId="0"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ㅈㄱㄷㅈㄱㅈㄷ" localSheetId="0" hidden="1">{#N/A,#N/A,FALSE,"혼합골재"}</definedName>
    <definedName name="ㄱㄹ홍ㄱ호" localSheetId="0" hidden="1">{#N/A,#N/A,FALSE,"Sheet6"}</definedName>
    <definedName name="ㄱ서ㅗㅇ" localSheetId="0" hidden="1">{#N/A,#N/A,FALSE,"집계표"}</definedName>
    <definedName name="ㄱ솧" localSheetId="0" hidden="1">{#N/A,#N/A,FALSE,"집계표"}</definedName>
    <definedName name="ㄱ쇽" localSheetId="0" hidden="1">{#N/A,#N/A,FALSE,"Sheet6"}</definedName>
    <definedName name="가" localSheetId="0" hidden="1">{#N/A,#N/A,FALSE,"골재소요량";#N/A,#N/A,FALSE,"골재소요량"}</definedName>
    <definedName name="가설건물면적산정" localSheetId="0"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실행1" localSheetId="0" hidden="1">{#N/A,#N/A,FALSE,"배수1"}</definedName>
    <definedName name="가재가시설" localSheetId="0" hidden="1">{#N/A,#N/A,FALSE,"Sheet6"}</definedName>
    <definedName name="간접비" localSheetId="0"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복만" localSheetId="0" hidden="1">{#N/A,#N/A,FALSE,"교리2"}</definedName>
    <definedName name="감승주" localSheetId="0" hidden="1">{#N/A,#N/A,FALSE,"교리2"}</definedName>
    <definedName name="갑지02" localSheetId="0" hidden="1">{#N/A,#N/A,FALSE,"Sheet6"}</definedName>
    <definedName name="갑지2" localSheetId="0" hidden="1">{#N/A,#N/A,FALSE,"CCTV"}</definedName>
    <definedName name="갑지3" localSheetId="0" hidden="1">{#N/A,#N/A,FALSE,"CCTV"}</definedName>
    <definedName name="갑지외" localSheetId="0" hidden="1">{#N/A,#N/A,FALSE,"CCTV"}</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구조물" localSheetId="0" hidden="1">{#N/A,#N/A,FALSE,"포장1";#N/A,#N/A,FALSE,"포장1"}</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0" hidden="1">{#N/A,#N/A,FALSE,"예상손익";#N/A,#N/A,FALSE,"관리분석";#N/A,#N/A,FALSE,"장비분석";#N/A,#N/A,FALSE,"준설분석";#N/A,#N/A,FALSE,"철구분석"}</definedName>
    <definedName name="거소" localSheetId="0" hidden="1">{#N/A,#N/A,FALSE,"집계표"}</definedName>
    <definedName name="거추서" localSheetId="0" hidden="1">{#N/A,#N/A,FALSE,"견적갑지";#N/A,#N/A,FALSE,"총괄표";#N/A,#N/A,FALSE,"철골공사";#N/A,#N/A,FALSE,"토목공사";#N/A,#N/A,FALSE,"판넬전기공사"}</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3" localSheetId="0"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걱" localSheetId="0" hidden="1">{"'Sheet1'!$A$4:$M$21","'Sheet1'!$J$17:$K$19"}</definedName>
    <definedName name="건검" localSheetId="0" hidden="1">{#N/A,#N/A,FALSE,"견적갑지";#N/A,#N/A,FALSE,"총괄표";#N/A,#N/A,FALSE,"철골공사";#N/A,#N/A,FALSE,"토목공사";#N/A,#N/A,FALSE,"판넬전기공사"}</definedName>
    <definedName name="건적" localSheetId="0" hidden="1">{"'Sheet1'!$A$4:$M$21","'Sheet1'!$J$17:$K$19"}</definedName>
    <definedName name="건추" localSheetId="0" hidden="1">{#N/A,#N/A,FALSE,"견적갑지";#N/A,#N/A,FALSE,"총괄표";#N/A,#N/A,FALSE,"철골공사";#N/A,#N/A,FALSE,"토목공사";#N/A,#N/A,FALSE,"판넬전기공사"}</definedName>
    <definedName name="건축내역2" localSheetId="0" hidden="1">{#N/A,#N/A,FALSE,"기안지";#N/A,#N/A,FALSE,"통신지"}</definedName>
    <definedName name="건축비목집계" localSheetId="0" hidden="1">{#N/A,#N/A,FALSE,"표지"}</definedName>
    <definedName name="건축토공" localSheetId="0" hidden="1">{#N/A,#N/A,FALSE,"기안지";#N/A,#N/A,FALSE,"통신지"}</definedName>
    <definedName name="건축토공2" localSheetId="0" hidden="1">{#N/A,#N/A,FALSE,"기안지";#N/A,#N/A,FALSE,"통신지"}</definedName>
    <definedName name="건축팀별" localSheetId="0" hidden="1">{#N/A,#N/A,FALSE,"지침";#N/A,#N/A,FALSE,"환경분석";#N/A,#N/A,FALSE,"Sheet16"}</definedName>
    <definedName name="견본갑을" localSheetId="0" hidden="1">{#N/A,#N/A,FALSE,"Sheet1"}</definedName>
    <definedName name="견적" localSheetId="0"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3" localSheetId="0"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대비" localSheetId="0" hidden="1">{#N/A,#N/A,FALSE,"포장2"}</definedName>
    <definedName name="견적서" localSheetId="0"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결" localSheetId="0" hidden="1">{#N/A,#N/A,FALSE,"포장2"}</definedName>
    <definedName name="결과" localSheetId="0"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0"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곧ㄱ" localSheetId="0" hidden="1">{#N/A,#N/A,FALSE,"Sheet6"}</definedName>
    <definedName name="공" localSheetId="0"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0" hidden="1">{#N/A,#N/A,FALSE,"Sheet6"}</definedName>
    <definedName name="공동구토공" localSheetId="0" hidden="1">{#N/A,#N/A,FALSE,"기안지";#N/A,#N/A,FALSE,"통신지"}</definedName>
    <definedName name="공동구토공2" localSheetId="0" hidden="1">{#N/A,#N/A,FALSE,"기안지";#N/A,#N/A,FALSE,"통신지"}</definedName>
    <definedName name="공사" localSheetId="0" hidden="1">{#N/A,#N/A,FALSE,"이태원철근"}</definedName>
    <definedName name="공사비" localSheetId="0" hidden="1">{#N/A,#N/A,FALSE,"전력간선"}</definedName>
    <definedName name="공사원가계산서" localSheetId="0" hidden="1">{#N/A,#N/A,TRUE,"토적및재료집계";#N/A,#N/A,TRUE,"토적및재료집계";#N/A,#N/A,TRUE,"단위량"}</definedName>
    <definedName name="공양식" localSheetId="0" hidden="1">{#N/A,#N/A,FALSE,"교리2"}</definedName>
    <definedName name="공정계획" localSheetId="0" hidden="1">{#N/A,#N/A,FALSE,"이태원철근"}</definedName>
    <definedName name="공정표" localSheetId="0"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0" hidden="1">{#N/A,#N/A,FALSE,"포장2"}</definedName>
    <definedName name="관리비2" localSheetId="0"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0" hidden="1">{#N/A,#N/A,FALSE,"이태원철근"}</definedName>
    <definedName name="교좌" localSheetId="0" hidden="1">{#N/A,#N/A,FALSE,"포장2"}</definedName>
    <definedName name="굗ㄱ" localSheetId="0"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본" localSheetId="0" hidden="1">{#N/A,#N/A,FALSE,"Sheet6"}</definedName>
    <definedName name="구자관" localSheetId="0" hidden="1">{#N/A,#N/A,FALSE,"신청통보";#N/A,#N/A,FALSE,"기성확인서";#N/A,#N/A,FALSE,"기성내역서"}</definedName>
    <definedName name="국보" localSheetId="0"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주차" localSheetId="0" hidden="1">{#N/A,#N/A,FALSE,"CCTV"}</definedName>
    <definedName name="기계집계" localSheetId="0" hidden="1">{#N/A,#N/A,FALSE,"견적갑지";#N/A,#N/A,FALSE,"총괄표";#N/A,#N/A,FALSE,"철골공사";#N/A,#N/A,FALSE,"토목공사";#N/A,#N/A,FALSE,"판넬전기공사"}</definedName>
    <definedName name="기성3" localSheetId="0" hidden="1">{#N/A,#N/A,FALSE,"CCTV"}</definedName>
    <definedName name="기술" localSheetId="0" hidden="1">{#N/A,#N/A,FALSE,"부대1"}</definedName>
    <definedName name="기타경비" localSheetId="0"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김0" localSheetId="0" hidden="1">{#N/A,#N/A,FALSE,"2~8번"}</definedName>
    <definedName name="김1" localSheetId="0" hidden="1">{#N/A,#N/A,FALSE,"골재소요량";#N/A,#N/A,FALSE,"골재소요량"}</definedName>
    <definedName name="김5" localSheetId="0" hidden="1">{#N/A,#N/A,FALSE,"운반시간"}</definedName>
    <definedName name="김6" localSheetId="0" hidden="1">{#N/A,#N/A,FALSE,"조골재"}</definedName>
    <definedName name="김병국임" localSheetId="0" hidden="1">{#N/A,#N/A,FALSE,"단가표지"}</definedName>
    <definedName name="김봉만" localSheetId="0" hidden="1">{#N/A,#N/A,FALSE,"교리2"}</definedName>
    <definedName name="김승주" localSheetId="0" hidden="1">{#N/A,#N/A,FALSE,"교리2"}</definedName>
    <definedName name="김영훈" localSheetId="0" hidden="1">{#N/A,#N/A,FALSE,"변경관리예산";#N/A,#N/A,FALSE,"변경장비예산";#N/A,#N/A,FALSE,"변경준설예산";#N/A,#N/A,FALSE,"변경철구예산"}</definedName>
    <definedName name="김중규" localSheetId="0" hidden="1">{#N/A,#N/A,FALSE,"이태원철근"}</definedName>
    <definedName name="ㄳㄳㄳㄳ" localSheetId="0" hidden="1">{"'용역비'!$A$4:$C$8"}</definedName>
    <definedName name="ㄳㄷ" localSheetId="0"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0" hidden="1">{#N/A,#N/A,FALSE,"집계표"}</definedName>
    <definedName name="ㄴㄴㅎ" localSheetId="0" hidden="1">{#N/A,#N/A,FALSE,"집계표"}</definedName>
    <definedName name="ㄴ너넌ㄱㅎ" localSheetId="0" hidden="1">{#N/A,#N/A,FALSE,"집계표"}</definedName>
    <definedName name="ㄴ눀너노" localSheetId="0" hidden="1">{#N/A,#N/A,FALSE,"집계표"}</definedName>
    <definedName name="ㄴㄶ" localSheetId="0" hidden="1">{#N/A,#N/A,FALSE,"집계표"}</definedName>
    <definedName name="ㄴㄷㄱㅈ" localSheetId="0" hidden="1">{#N/A,#N/A,FALSE,"Sheet6"}</definedName>
    <definedName name="ㄴㄷㄹ" localSheetId="0" hidden="1">{#N/A,#N/A,FALSE,"Sheet1"}</definedName>
    <definedName name="ㄴㄹ" localSheetId="0" hidden="1">{#N/A,#N/A,FALSE,"집계표"}</definedName>
    <definedName name="ㄴㄹㅇㄹㅇㄴ" localSheetId="0" hidden="1">{#N/A,#N/A,FALSE,"Aging Summary";#N/A,#N/A,FALSE,"Ratio Analysis";#N/A,#N/A,FALSE,"Test 120 Day Accts";#N/A,#N/A,FALSE,"Tickmarks"}</definedName>
    <definedName name="ㄴㄹㅇ호" localSheetId="0" hidden="1">{#N/A,#N/A,FALSE,"집계표"}</definedName>
    <definedName name="ㄴㅁㄴㅇㄹ" localSheetId="0" hidden="1">{#N/A,#N/A,FALSE,"집계표"}</definedName>
    <definedName name="ㄴㅁㄹ아ㅣㅏ" localSheetId="0" hidden="1">{#N/A,#N/A,FALSE,"집계표"}</definedName>
    <definedName name="ㄴㅁㅇㄹ" localSheetId="0" hidden="1">{#N/A,#N/A,FALSE,"집계표"}</definedName>
    <definedName name="ㄴㅁㅇ라ㅓ" localSheetId="0" hidden="1">{#N/A,#N/A,FALSE,"집계표"}</definedName>
    <definedName name="ㄴㅁ아겈" localSheetId="0" hidden="1">{#N/A,#N/A,FALSE,"집계표"}</definedName>
    <definedName name="ㄴㅁ아ㅓ린ㅁ" localSheetId="0" hidden="1">{#N/A,#N/A,FALSE,"집계표"}</definedName>
    <definedName name="ㄴ마ㅓㅇㅎ리ㅏㅇㄴ" localSheetId="0" hidden="1">{#N/A,#N/A,FALSE,"집계표"}</definedName>
    <definedName name="ㄴ뫃ㄴ오" localSheetId="0" hidden="1">{#N/A,#N/A,FALSE,"집계표"}</definedName>
    <definedName name="ㄴㅇ다ㅓㅀㅌ" localSheetId="0" hidden="1">{#N/A,#N/A,FALSE,"집계표"}</definedName>
    <definedName name="ㄴㅇ닳ㅌ처" localSheetId="0" hidden="1">{#N/A,#N/A,FALSE,"집계표"}</definedName>
    <definedName name="ㄴㅇㄹㄴ" localSheetId="0" hidden="1">{#N/A,#N/A,FALSE,"사업총괄";#N/A,#N/A,FALSE,"장비사업";#N/A,#N/A,FALSE,"철구사업";#N/A,#N/A,FALSE,"준설사업"}</definedName>
    <definedName name="ㄴㅇㄹ하ㅓ" localSheetId="0" hidden="1">{#N/A,#N/A,FALSE,"집계표"}</definedName>
    <definedName name="ㄴㅇㄹ헤ㅐㅇㅅㄱㄷ" localSheetId="0" hidden="1">{#N/A,#N/A,FALSE,"집계표"}</definedName>
    <definedName name="ㄴㅇㄹ호" localSheetId="0" hidden="1">{#N/A,#N/A,FALSE,"집계표"}</definedName>
    <definedName name="ㄴㅇㄹ히ㅏㅓ" localSheetId="0" hidden="1">{#N/A,#N/A,FALSE,"집계표"}</definedName>
    <definedName name="ㄴㅇㄹ히ㅏㅓㄴㅇㄹ하ㅓ" localSheetId="0" hidden="1">{#N/A,#N/A,FALSE,"집계표"}</definedName>
    <definedName name="ㄴㅇ레ㅔㅔ" localSheetId="0" hidden="1">{#N/A,#N/A,FALSE,"집계표"}</definedName>
    <definedName name="ㄴㅇ로" localSheetId="0" hidden="1">{#N/A,#N/A,FALSE,"집계표"}</definedName>
    <definedName name="ㄴㅇㄻㅇㄴ" localSheetId="0" hidden="1">{#N/A,#N/A,FALSE,"집계표"}</definedName>
    <definedName name="ㄴㅇㅀㄴ" localSheetId="0" hidden="1">{#N/A,#N/A,FALSE,"집계표"}</definedName>
    <definedName name="ㄴㅇㅀㄹ" localSheetId="0" hidden="1">{#N/A,#N/A,FALSE,"집계표"}</definedName>
    <definedName name="ㄴㅇㅀㅇ" localSheetId="0" hidden="1">{#N/A,#N/A,FALSE,"집계표"}</definedName>
    <definedName name="ㄴㅇㅀㅇㄶ" localSheetId="0" hidden="1">{#N/A,#N/A,FALSE,"집계표"}</definedName>
    <definedName name="ㄴㅇㅁㅎ리ㅏㅓㅣ" localSheetId="0" hidden="1">{#N/A,#N/A,FALSE,"집계표"}</definedName>
    <definedName name="ㄴㅇㅅ" localSheetId="0"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ㅎㄹ" localSheetId="0" hidden="1">{#N/A,#N/A,FALSE,"집계표"}</definedName>
    <definedName name="ㄴㅇㅎ리ㅏ" localSheetId="0" hidden="1">{#N/A,#N/A,FALSE,"집계표"}</definedName>
    <definedName name="ㄴㅇㅎ리ㅏㅓㅊㅌ" localSheetId="0" hidden="1">{#N/A,#N/A,FALSE,"집계표"}</definedName>
    <definedName name="ㄴ어" localSheetId="0" hidden="1">{#N/A,#N/A,FALSE,"집계표"}</definedName>
    <definedName name="ㄴ어ㅏ엉ㄹ" localSheetId="0" hidden="1">{#N/A,#N/A,FALSE,"집계표"}</definedName>
    <definedName name="ㄴ옿ㅅㄴㅇ" localSheetId="0" hidden="1">{#N/A,#N/A,FALSE,"집계표"}</definedName>
    <definedName name="ㄴ이라ㅓㅎ" localSheetId="0" hidden="1">{#N/A,#N/A,FALSE,"집계표"}</definedName>
    <definedName name="ㄴ이ㅏ렇" localSheetId="0" hidden="1">{#N/A,#N/A,FALSE,"집계표"}</definedName>
    <definedName name="ㄴ이ㅏㅎ러" localSheetId="0" hidden="1">{#N/A,#N/A,FALSE,"집계표"}</definedName>
    <definedName name="ㄴ이ㅏㅎ러ㅗ" localSheetId="0" hidden="1">{#N/A,#N/A,FALSE,"집계표"}</definedName>
    <definedName name="ㄴ잏라ㅓ" localSheetId="0" hidden="1">{#N/A,#N/A,FALSE,"집계표"}</definedName>
    <definedName name="ㄴ잏라ㅓㅣㅏㅇㄴㅀ" localSheetId="0" hidden="1">{#N/A,#N/A,FALSE,"집계표"}</definedName>
    <definedName name="ㄴㅊㅌㅇㅍ" localSheetId="0" hidden="1">{#N/A,#N/A,FALSE,"집계표"}</definedName>
    <definedName name="ㄴㅗㅎ" localSheetId="0" hidden="1">{#N/A,#N/A,FALSE,"집계표"}</definedName>
    <definedName name="나" localSheetId="0" hidden="1">{#N/A,#N/A,FALSE,"교리2"}</definedName>
    <definedName name="나나너넌너" localSheetId="0" hidden="1">{#N/A,#N/A,FALSE,"집계표"}</definedName>
    <definedName name="나난" localSheetId="0" hidden="1">{#N/A,#N/A,FALSE,"주간공정";#N/A,#N/A,FALSE,"주간보고";#N/A,#N/A,FALSE,"주간공정표"}</definedName>
    <definedName name="나는" localSheetId="0"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나ㅏㄴ" localSheetId="0" hidden="1">{#N/A,#N/A,FALSE,"집계표"}</definedName>
    <definedName name="난느오늘" localSheetId="0" hidden="1">{#N/A,#N/A,FALSE,"집계표"}</definedName>
    <definedName name="내역" localSheetId="0" hidden="1">{#N/A,#N/A,FALSE,"CCTV"}</definedName>
    <definedName name="내역산출근거" localSheetId="0"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너를" localSheetId="0"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놓ㄹㅇ" localSheetId="0" hidden="1">{#N/A,#N/A,FALSE,"집계표"}</definedName>
    <definedName name="뇫" localSheetId="0" hidden="1">{#N/A,#N/A,FALSE,"집계표"}</definedName>
    <definedName name="늘푸른쉼나무" localSheetId="0"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ㄶ" localSheetId="0"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 hidden="1">{#N/A,#N/A,FALSE,"집계표"}</definedName>
    <definedName name="ㄷㅈㄱ" localSheetId="0" hidden="1">{#N/A,#N/A,FALSE,"포장1";#N/A,#N/A,FALSE,"포장1"}</definedName>
    <definedName name="ㄷㅈ거" localSheetId="0" hidden="1">{#N/A,#N/A,FALSE,"집계표"}</definedName>
    <definedName name="ㄷㅈㅂㄷ" localSheetId="0" hidden="1">{"'장비'!$A$3:$M$12"}</definedName>
    <definedName name="다" localSheetId="0" hidden="1">{#N/A,#N/A,FALSE,"표지목차"}</definedName>
    <definedName name="다라" localSheetId="0" hidden="1">{#N/A,#N/A,FALSE,"표지목차"}</definedName>
    <definedName name="단ㄱ" localSheetId="0"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비3" localSheetId="0" hidden="1">{"'용역비'!$A$4:$C$8"}</definedName>
    <definedName name="대표회의" localSheetId="0"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진" localSheetId="0" hidden="1">{#N/A,#N/A,FALSE,"포장2"}</definedName>
    <definedName name="덕호" localSheetId="0"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0" hidden="1">{#N/A,#N/A,FALSE,"Sheet1"}</definedName>
    <definedName name="독립기초" localSheetId="0" hidden="1">{#N/A,#N/A,FALSE,"기안지";#N/A,#N/A,FALSE,"통신지"}</definedName>
    <definedName name="독립기초토공수량산출" localSheetId="0"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구연숩" localSheetId="0" hidden="1">{#N/A,#N/A,FALSE,"전력간선"}</definedName>
    <definedName name="동력" localSheetId="0"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내역" localSheetId="0"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ㄹ" localSheetId="0"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ㄶㅗ" localSheetId="0" hidden="1">{#N/A,#N/A,FALSE,"집계표"}</definedName>
    <definedName name="ㄹㄹ" localSheetId="0" hidden="1">{#N/A,#N/A,FALSE,"CCTV"}</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ㅇ" localSheetId="0"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ㅇㄴㅇㄹㅇ" localSheetId="0" hidden="1">{#N/A,#N/A,FALSE,"집계표"}</definedName>
    <definedName name="ㄹㅇ넛교ㅗ" localSheetId="0" hidden="1">{#N/A,#N/A,FALSE,"집계표"}</definedName>
    <definedName name="ㄹㅇ노ㅎ" localSheetId="0" hidden="1">{#N/A,#N/A,FALSE,"집계표"}</definedName>
    <definedName name="ㄹㅇㄶㄴㅅ" localSheetId="0" hidden="1">{#N/A,#N/A,FALSE,"집계표"}</definedName>
    <definedName name="ㄹㅇㄶㅎㅇㄶㅇㅎㄹㅇ" localSheetId="0" hidden="1">{#N/A,#N/A,FALSE,"집계표"}</definedName>
    <definedName name="ㄹㅇㄹㅇㄹㅇ" localSheetId="0"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소ㅛ" localSheetId="0" hidden="1">{#N/A,#N/A,FALSE,"집계표"}</definedName>
    <definedName name="ㄹㅇㅇㅇㅇㅇㅇ" localSheetId="0" hidden="1">{#N/A,#N/A,FALSE,"집계표"}</definedName>
    <definedName name="ㄹㅇㅇㅇㅇㅇㅇㅇㅇㅇㅇ" localSheetId="0" hidden="1">{#N/A,#N/A,FALSE,"집계표"}</definedName>
    <definedName name="ㄹㅇ옷" localSheetId="0" hidden="1">{#N/A,#N/A,FALSE,"집계표"}</definedName>
    <definedName name="ㄹㅇㅌㅇㄴㄱㄷ" localSheetId="0" hidden="1">{#N/A,#N/A,FALSE,"포장2"}</definedName>
    <definedName name="ㄹㅇㅌㅎㅎㅎㅎㅎ" localSheetId="0" hidden="1">{#N/A,#N/A,FALSE,"집계표"}</definedName>
    <definedName name="ㄹㅇㅎ" localSheetId="0" hidden="1">{#N/A,#N/A,FALSE,"집계표"}</definedName>
    <definedName name="ㄹㅇㅎㅊㅌㅍㅍ" localSheetId="0" hidden="1">{#N/A,#N/A,FALSE,"집계표"}</definedName>
    <definedName name="ㄹㅇㅎㅎㅎㅎㅎㅎㅎㅎㅎ" localSheetId="0" hidden="1">{#N/A,#N/A,FALSE,"집계표"}</definedName>
    <definedName name="ㄹㅇ허ㅗ" localSheetId="0" hidden="1">{#N/A,#N/A,FALSE,"집계표"}</definedName>
    <definedName name="ㄹㅇ효" localSheetId="0" hidden="1">{#N/A,#N/A,FALSE,"집계표"}</definedName>
    <definedName name="ㄹ어호" localSheetId="0" hidden="1">{#N/A,#N/A,FALSE,"집계표"}</definedName>
    <definedName name="ㄹ오" localSheetId="0" hidden="1">{#N/A,#N/A,FALSE,"집계표"}</definedName>
    <definedName name="ㄹ오ㅛ" localSheetId="0" hidden="1">{#N/A,#N/A,FALSE,"집계표"}</definedName>
    <definedName name="ㄹ옿" localSheetId="0" hidden="1">{#N/A,#N/A,FALSE,"집계표"}</definedName>
    <definedName name="ㄹ옿ㄴㄴㄴ노" localSheetId="0" hidden="1">{#N/A,#N/A,FALSE,"집계표"}</definedName>
    <definedName name="ㄹ옿ㅇㄹ" localSheetId="0" hidden="1">{#N/A,#N/A,FALSE,"집계표"}</definedName>
    <definedName name="ㄹ옿ㅎㅎㅎㅎㅎㅎㅎ" localSheetId="0" hidden="1">{#N/A,#N/A,FALSE,"집계표"}</definedName>
    <definedName name="ㄹ하ㅏㅏㅏㅏㅏ" localSheetId="0" hidden="1">{#N/A,#N/A,FALSE,"집계표"}</definedName>
    <definedName name="ㄹ허ㅗ" localSheetId="0" hidden="1">{#N/A,#N/A,FALSE,"집계표"}</definedName>
    <definedName name="ㄹ허ㅛㅛㅛㅛㅛㅛ" localSheetId="0" hidden="1">{#N/A,#N/A,FALSE,"집계표"}</definedName>
    <definedName name="ㄹ혀퍼ㅜㅠ" localSheetId="0" hidden="1">{#N/A,#N/A,FALSE,"집계표"}</definedName>
    <definedName name="ㄹ호ㅓㅛ" localSheetId="0" hidden="1">{#N/A,#N/A,FALSE,"집계표"}</definedName>
    <definedName name="ㄹ호ㅗㅎ" localSheetId="0" hidden="1">{#N/A,#N/A,FALSE,"집계표"}</definedName>
    <definedName name="ㄹ홀ㅅ" localSheetId="0" hidden="1">{#N/A,#N/A,FALSE,"집계표"}</definedName>
    <definedName name="ㄹ홓ㄹ로ㅗㅗㅗㅗㅗㅗㅗ" localSheetId="0" hidden="1">{#N/A,#N/A,FALSE,"집계표"}</definedName>
    <definedName name="ㄹ효ㅓㅕ" localSheetId="0" hidden="1">{#N/A,#N/A,FALSE,"집계표"}</definedName>
    <definedName name="라" localSheetId="0" hidden="1">{"'Sheet1'!$A$22:$G$23","'Sheet1'!$A$6","'Sheet1'!$E$10","'Sheet1'!$A$1:$F$23","'Sheet1'!$B$10","'Sheet1'!$A$1:$G$22","'Sheet1'!$A$1:$G$51"}</definedName>
    <definedName name="라라라ㅏㄹ" localSheetId="0" hidden="1">{#N/A,#N/A,FALSE,"집계표"}</definedName>
    <definedName name="라ㅏㅏ" localSheetId="0"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래" localSheetId="0" hidden="1">{#N/A,#N/A,FALSE,"변경관리예산";#N/A,#N/A,FALSE,"변경장비예산";#N/A,#N/A,FALSE,"변경준설예산";#N/A,#N/A,FALSE,"변경철구예산"}</definedName>
    <definedName name="래그" localSheetId="0" hidden="1">{#N/A,#N/A,FALSE,"CCTV"}</definedName>
    <definedName name="랴" localSheetId="0" hidden="1">{#N/A,#N/A,FALSE,"예상손익";#N/A,#N/A,FALSE,"관리분석";#N/A,#N/A,FALSE,"장비분석";#N/A,#N/A,FALSE,"준설분석";#N/A,#N/A,FALSE,"철구분석"}</definedName>
    <definedName name="러러럴" localSheetId="0" hidden="1">{#N/A,#N/A,FALSE,"주간공정";#N/A,#N/A,FALSE,"주간보고";#N/A,#N/A,FALSE,"주간공정표"}</definedName>
    <definedName name="러헐" localSheetId="0" hidden="1">{#N/A,#N/A,FALSE,"도급대비시행율";#N/A,#N/A,FALSE,"결의서";#N/A,#N/A,FALSE,"내역서";#N/A,#N/A,FALSE,"도급예상"}</definedName>
    <definedName name="러ㅏㄹ" localSheetId="0"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로헝ㄱ" localSheetId="0" hidden="1">{#N/A,#N/A,FALSE,"집계표"}</definedName>
    <definedName name="롷ㅎㅎㅎㅎ" localSheetId="0" hidden="1">{#N/A,#N/A,FALSE,"집계표"}</definedName>
    <definedName name="룸" localSheetId="0" hidden="1">{#N/A,#N/A,FALSE,"사업총괄";#N/A,#N/A,FALSE,"장비사업";#N/A,#N/A,FALSE,"철구사업";#N/A,#N/A,FALSE,"준설사업"}</definedName>
    <definedName name="류ㅣㅏ" localSheetId="0"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ㄿ호ㅗㅗ" localSheetId="0" hidden="1">{#N/A,#N/A,FALSE,"집계표"}</definedName>
    <definedName name="ㅀㅅㄱ" localSheetId="0" hidden="1">{#N/A,#N/A,FALSE,"Sheet6"}</definedName>
    <definedName name="ㅀㅇ" localSheetId="0" hidden="1">{#N/A,#N/A,FALSE,"집계표"}</definedName>
    <definedName name="ㅀ오ㅓㅎ롱ㄶㄹㄴ" localSheetId="0" hidden="1">{#N/A,#N/A,FALSE,"2~8번"}</definedName>
    <definedName name="ㅀ허" localSheetId="0"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ㅁㅌㅋ" localSheetId="0" hidden="1">{#N/A,#N/A,FALSE,"집계표"}</definedName>
    <definedName name="ㅁㄴ아랴" localSheetId="0" hidden="1">{#N/A,#N/A,FALSE,"집계표"}</definedName>
    <definedName name="ㅁㄴ아ㅓㄹ킽" localSheetId="0" hidden="1">{#N/A,#N/A,FALSE,"집계표"}</definedName>
    <definedName name="ㅁㄴ아ㅓㅎ" localSheetId="0" hidden="1">{#N/A,#N/A,FALSE,"집계표"}</definedName>
    <definedName name="ㅁㄴ얼" localSheetId="0" hidden="1">{#N/A,#N/A,FALSE,"집계표"}</definedName>
    <definedName name="ㅁ날어" localSheetId="0" hidden="1">{#N/A,#N/A,FALSE,"집계표"}</definedName>
    <definedName name="ㅁ널머밀ㅇㄴ" localSheetId="0" hidden="1">{#N/A,#N/A,FALSE,"집계표"}</definedName>
    <definedName name="ㅁ널이ㅏㅓㄴ" localSheetId="0" hidden="1">{#N/A,#N/A,FALSE,"집계표"}</definedName>
    <definedName name="ㅁ니ㅏㅎㅋㅇ" localSheetId="0" hidden="1">{#N/A,#N/A,FALSE,"집계표"}</definedName>
    <definedName name="ㅁㄶ리ㅏㅓ" localSheetId="0" hidden="1">{#N/A,#N/A,FALSE,"집계표"}</definedName>
    <definedName name="ㅁㄶㅇ" localSheetId="0" hidden="1">{#N/A,#N/A,FALSE,"집계표"}</definedName>
    <definedName name="ㅁㄷ나ㅓㅇㅇㅌ" localSheetId="0" hidden="1">{#N/A,#N/A,FALSE,"집계표"}</definedName>
    <definedName name="ㅁㄻ" localSheetId="0" hidden="1">{#N/A,#N/A,FALSE,"Sheet1"}</definedName>
    <definedName name="ㅁㅁㅁㅁ" localSheetId="0"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ㄹㅇㅎㄻㅍ" localSheetId="0" hidden="1">{#N/A,#N/A,FALSE,"집계표"}</definedName>
    <definedName name="ㅁㅇㅇ" localSheetId="0" hidden="1">{#N/A,#N/A,FALSE,"Sheet1"}</definedName>
    <definedName name="ㅁㅈㅂㄷㄺㅂ" localSheetId="0" hidden="1">{#N/A,#N/A,FALSE,"집계표"}</definedName>
    <definedName name="ㅁㅈ뱔ㅇ" localSheetId="0" hidden="1">{#N/A,#N/A,FALSE,"집계표"}</definedName>
    <definedName name="ㅁㅋㄴ이ㅏㄹ" localSheetId="0" hidden="1">{#N/A,#N/A,FALSE,"집계표"}</definedName>
    <definedName name="ㅁㅎㅁ" localSheetId="0" hidden="1">{#N/A,#N/A,FALSE,"Sheet1"}</definedName>
    <definedName name="ㅁㅎ이ㅏ" localSheetId="0" hidden="1">{#N/A,#N/A,FALSE,"집계표"}</definedName>
    <definedName name="마널이ㅏ" localSheetId="0" hidden="1">{#N/A,#N/A,FALSE,"집계표"}</definedName>
    <definedName name="만득이" localSheetId="0"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맨홀집계표" localSheetId="0" hidden="1">{#N/A,#N/A,FALSE,"포장단가"}</definedName>
    <definedName name="머" localSheetId="0"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모" localSheetId="0" hidden="1">{#N/A,#N/A,FALSE,"변경관리예산";#N/A,#N/A,FALSE,"변경장비예산";#N/A,#N/A,FALSE,"변경준설예산";#N/A,#N/A,FALSE,"변경철구예산"}</definedName>
    <definedName name="목수장계산" localSheetId="0" hidden="1">{#N/A,#N/A,FALSE,"이태원철근"}</definedName>
    <definedName name="목수장원가계산" localSheetId="0" hidden="1">{#N/A,#N/A,FALSE,"이태원철근"}</definedName>
    <definedName name="목수장원가계산서" localSheetId="0" hidden="1">{#N/A,#N/A,FALSE,"이태원철근"}</definedName>
    <definedName name="목재틀" localSheetId="0" hidden="1">{#N/A,#N/A,FALSE,"CCTV"}</definedName>
    <definedName name="목재틀갑지" localSheetId="0" hidden="1">{#N/A,#N/A,FALSE,"CCTV"}</definedName>
    <definedName name="문서" localSheetId="0" hidden="1">{#N/A,#N/A,FALSE,"현장 NCR 분석";#N/A,#N/A,FALSE,"현장품질감사";#N/A,#N/A,FALSE,"현장품질감사"}</definedName>
    <definedName name="물" localSheetId="0" hidden="1">{#N/A,#N/A,FALSE,"이태원철근"}</definedName>
    <definedName name="물가" localSheetId="0" hidden="1">{#N/A,#N/A,FALSE,"이태원철근"}</definedName>
    <definedName name="물량산출랍" localSheetId="0" hidden="1">{#N/A,#N/A,FALSE,"Sheet1"}</definedName>
    <definedName name="뭐가이태원이야" localSheetId="0" hidden="1">{#N/A,#N/A,FALSE,"이태원철근"}</definedName>
    <definedName name="므ㅓ" localSheetId="0"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0" hidden="1">{#N/A,#N/A,FALSE,"Sheet1"}</definedName>
    <definedName name="미ㅣㅁ" localSheetId="0"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ㅂ" localSheetId="0" hidden="1">{#N/A,#N/A,FALSE,"조골재"}</definedName>
    <definedName name="ㅂ2ㅂ2" localSheetId="0" hidden="1">{#N/A,#N/A,FALSE,"배수1"}</definedName>
    <definedName name="ㅂㅂ" localSheetId="0" hidden="1">{#N/A,#N/A,FALSE,"표지"}</definedName>
    <definedName name="ㅂㅂㅂ" localSheetId="0" hidden="1">{#N/A,#N/A,FALSE,"혼합골재"}</definedName>
    <definedName name="ㅂㅂㅂㅂㅂ" localSheetId="0" hidden="1">{"'별표'!$N$220"}</definedName>
    <definedName name="ㅂㅂㅂㅂㅂㅂ" localSheetId="0" hidden="1">{"'용역비'!$A$4:$C$8"}</definedName>
    <definedName name="ㅂㅂㅂㅂㅂㅂㅂ" localSheetId="0" hidden="1">{#N/A,#N/A,FALSE,"명세표"}</definedName>
    <definedName name="ㅂㅈ" localSheetId="0" hidden="1">{#N/A,#N/A,TRUE,"1";#N/A,#N/A,TRUE,"2";#N/A,#N/A,TRUE,"3";#N/A,#N/A,TRUE,"4";#N/A,#N/A,TRUE,"5";#N/A,#N/A,TRUE,"6";#N/A,#N/A,TRUE,"7"}</definedName>
    <definedName name="ㅂㅈㄱㅂㅈㄷㄱ" localSheetId="0" hidden="1">{"'장비'!$A$3:$M$12"}</definedName>
    <definedName name="ㅂㅈㄷ" localSheetId="0" hidden="1">{"'장비'!$A$3:$M$12"}</definedName>
    <definedName name="ㅂㅈㄷㄱ" localSheetId="0" hidden="1">{#N/A,#N/A,FALSE,"지침";#N/A,#N/A,FALSE,"환경분석";#N/A,#N/A,FALSE,"Sheet16"}</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쟈ㅕㅑㅂ1" localSheetId="0" hidden="1">{#N/A,#N/A,FALSE,"배수1"}</definedName>
    <definedName name="바닥재" localSheetId="0" hidden="1">{#N/A,#N/A,FALSE,"CCTV"}</definedName>
    <definedName name="바닥제외갑지" localSheetId="0" hidden="1">{#N/A,#N/A,FALSE,"CCTV"}</definedName>
    <definedName name="바부" localSheetId="0" hidden="1">{"'용역비'!$A$4:$C$8"}</definedName>
    <definedName name="바붕" localSheetId="0" hidden="1">{#N/A,#N/A,FALSE,"전력간선"}</definedName>
    <definedName name="박" localSheetId="0"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배기덕트공사" localSheetId="0" hidden="1">{#N/A,#N/A,FALSE,"CCTV"}</definedName>
    <definedName name="배수공집계_주요자재" localSheetId="0" hidden="1">{#N/A,#N/A,FALSE,"포장단가"}</definedName>
    <definedName name="벙" localSheetId="0" hidden="1">{#N/A,#N/A,FALSE,"Sheet6"}</definedName>
    <definedName name="벽체" localSheetId="0"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0" hidden="1">{#N/A,#N/A,FALSE,"집계표"}</definedName>
    <definedName name="보링" localSheetId="0"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활공정" localSheetId="0" hidden="1">{#N/A,#N/A,FALSE,"이태원철근"}</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본" localSheetId="0" hidden="1">{#N/A,#N/A,FALSE,"토공2"}</definedName>
    <definedName name="부대철콘" localSheetId="0" hidden="1">{#N/A,#N/A,FALSE,"배수1"}</definedName>
    <definedName name="부대토공" localSheetId="0" hidden="1">{#N/A,#N/A,FALSE,"구조2"}</definedName>
    <definedName name="부대토공2" localSheetId="0" hidden="1">{#N/A,#N/A,FALSE,"구조2"}</definedName>
    <definedName name="부발" localSheetId="0"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천상동조경" localSheetId="0" hidden="1">{#N/A,#N/A,FALSE,"표지"}</definedName>
    <definedName name="분" localSheetId="0" hidden="1">{#N/A,#N/A,FALSE,"이태원철근"}</definedName>
    <definedName name="분당협조" localSheetId="0" hidden="1">{#N/A,#N/A,FALSE,"이태원철근"}</definedName>
    <definedName name="분석" localSheetId="0"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0"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ㅅ" localSheetId="0" hidden="1">{#N/A,#N/A,TRUE,"토적및재료집계";#N/A,#N/A,TRUE,"토적및재료집계";#N/A,#N/A,TRUE,"단위량"}</definedName>
    <definedName name="ㅅㄱㄱㄷ" localSheetId="0" hidden="1">{#N/A,#N/A,FALSE,"집계표"}</definedName>
    <definedName name="ㅅㄱㄷㅅㄱㄷ" localSheetId="0" hidden="1">{#N/A,#N/A,FALSE,"구조2"}</definedName>
    <definedName name="ㅅㄱㄷㅅㄷㄱ" localSheetId="0" hidden="1">{#N/A,#N/A,FALSE,"단가표지"}</definedName>
    <definedName name="ㅅㄱㄷㅅㄷㄳ" localSheetId="0" hidden="1">{#N/A,#N/A,FALSE,"골재소요량";#N/A,#N/A,FALSE,"골재소요량"}</definedName>
    <definedName name="ㅅㄱ혿ㄱㅎ" localSheetId="0" hidden="1">{#N/A,#N/A,FALSE,"Sheet6"}</definedName>
    <definedName name="ㅅ굔ㄱㄷ" localSheetId="0" hidden="1">{#N/A,#N/A,FALSE,"Sheet6"}</definedName>
    <definedName name="ㅅ굦ㄷㄱ" localSheetId="0" hidden="1">{#N/A,#N/A,FALSE,"집계표"}</definedName>
    <definedName name="ㅅㅅㅅ" localSheetId="0"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사1" localSheetId="0" hidden="1">{#N/A,#N/A,FALSE,"지침";#N/A,#N/A,FALSE,"환경분석";#N/A,#N/A,FALSE,"Sheet16"}</definedName>
    <definedName name="사급" localSheetId="0" hidden="1">{#N/A,#N/A,FALSE,"배수2"}</definedName>
    <definedName name="사면녹화공" localSheetId="0" hidden="1">{#N/A,#N/A,FALSE,"CCTV"}</definedName>
    <definedName name="사사삿" localSheetId="0" hidden="1">{#N/A,#N/A,FALSE,"견적갑지";#N/A,#N/A,FALSE,"총괄표";#N/A,#N/A,FALSE,"철골공사";#N/A,#N/A,FALSE,"토목공사";#N/A,#N/A,FALSE,"판넬전기공사"}</definedName>
    <definedName name="산출갑" localSheetId="0"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삽" localSheetId="0" hidden="1">{#N/A,#N/A,FALSE,"Sheet6"}</definedName>
    <definedName name="상주" localSheetId="0" hidden="1">{#N/A,#N/A,FALSE,"지침";#N/A,#N/A,FALSE,"환경분석";#N/A,#N/A,FALSE,"Sheet16"}</definedName>
    <definedName name="상주감리" localSheetId="0"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내역서" localSheetId="0" hidden="1">{#N/A,#N/A,FALSE,"Sheet1"}</definedName>
    <definedName name="샘풀카피" localSheetId="0" hidden="1">{#N/A,#N/A,FALSE,"CCTV"}</definedName>
    <definedName name="샘플카피2" localSheetId="0" hidden="1">{#N/A,#N/A,FALSE,"CCTV"}</definedName>
    <definedName name="샘플카피3" localSheetId="0" hidden="1">{#N/A,#N/A,FALSE,"CCTV"}</definedName>
    <definedName name="서아" localSheetId="0" hidden="1">{#N/A,#N/A,FALSE,"집계표"}</definedName>
    <definedName name="석" localSheetId="0" hidden="1">{#N/A,#N/A,FALSE,"지침";#N/A,#N/A,FALSE,"환경분석";#N/A,#N/A,FALSE,"Sheet16"}</definedName>
    <definedName name="석항" localSheetId="0" hidden="1">{#N/A,#N/A,FALSE,"명세표"}</definedName>
    <definedName name="설명서" localSheetId="0" hidden="1">{#N/A,#N/A,FALSE,"포장1";#N/A,#N/A,FALSE,"포장1"}</definedName>
    <definedName name="설비" localSheetId="0" hidden="1">{#N/A,#N/A,FALSE,"이태원철근"}</definedName>
    <definedName name="설비산출" localSheetId="0" hidden="1">{"'건축내역'!$A$1:$L$413"}</definedName>
    <definedName name="세전익익" localSheetId="0"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화갑지" localSheetId="0" hidden="1">{#N/A,#N/A,FALSE,"CCTV"}</definedName>
    <definedName name="손익변경" localSheetId="0"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ㅓㅎㄹ" localSheetId="0" hidden="1">{#N/A,#N/A,FALSE,"집계표"}</definedName>
    <definedName name="쇼ㅗㅎ로" localSheetId="0" hidden="1">{"'장비'!$A$3:$M$12"}</definedName>
    <definedName name="숏교" localSheetId="0" hidden="1">{#N/A,#N/A,FALSE,"Sheet6"}</definedName>
    <definedName name="숑" localSheetId="0" hidden="1">{#N/A,#N/A,FALSE,"도급대비시행율";#N/A,#N/A,FALSE,"결의서";#N/A,#N/A,FALSE,"내역서";#N/A,#N/A,FALSE,"도급예상"}</definedName>
    <definedName name="수량산출근거" localSheetId="0"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행" localSheetId="0" hidden="1">{#N/A,#N/A,FALSE,"이태원철근"}</definedName>
    <definedName name="시험실과식당" localSheetId="0"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재점" localSheetId="0" hidden="1">{#N/A,#N/A,FALSE,"이태원철근"}</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0" hidden="1">{#N/A,#N/A,FALSE,"집계표"}</definedName>
    <definedName name="ㅇ거" localSheetId="0" hidden="1">{#N/A,#N/A,FALSE,"집계표"}</definedName>
    <definedName name="ㅇㄳㄹ호" localSheetId="0" hidden="1">{#N/A,#N/A,FALSE,"집계표"}</definedName>
    <definedName name="ㅇㄴㄱ숖ㅊ" localSheetId="0" hidden="1">{#N/A,#N/A,FALSE,"집계표"}</definedName>
    <definedName name="ㅇㄴ굫ㅅ" localSheetId="0" hidden="1">{#N/A,#N/A,FALSE,"집계표"}</definedName>
    <definedName name="ㅇㄴㄴㄴㄴㄴㄴㄴㄴ" localSheetId="0" hidden="1">{#N/A,#N/A,FALSE,"집계표"}</definedName>
    <definedName name="ㅇㄴㄹ" localSheetId="0" hidden="1">{#N/A,#N/A,FALSE,"Sheet1"}</definedName>
    <definedName name="ㅇㄴㄹㄴㄹㅇㄹ" localSheetId="0" hidden="1">{#N/A,#N/A,FALSE,"CCTV"}</definedName>
    <definedName name="ㅇㄴㄹㅎ" localSheetId="0" hidden="1">{#N/A,#N/A,FALSE,"집계표"}</definedName>
    <definedName name="ㅇㄴㄹ해" localSheetId="0" hidden="1">{#N/A,#N/A,FALSE,"집계표"}</definedName>
    <definedName name="ㅇㄴㄹ혼" localSheetId="0" hidden="1">{#N/A,#N/A,FALSE,"집계표"}</definedName>
    <definedName name="ㅇㄴㄹ히ㅑㅓ" localSheetId="0" hidden="1">{#N/A,#N/A,FALSE,"집계표"}</definedName>
    <definedName name="ㅇㄴ라ㅔㅐ" localSheetId="0" hidden="1">{#N/A,#N/A,FALSE,"집계표"}</definedName>
    <definedName name="ㅇㄴ로" localSheetId="0" hidden="1">{#N/A,#N/A,FALSE,"집계표"}</definedName>
    <definedName name="ㅇㄴ로ㅗㅗㅗㅗㅗㅗㅗㅗ" localSheetId="0" hidden="1">{#N/A,#N/A,FALSE,"집계표"}</definedName>
    <definedName name="ㅇㄴ롷" localSheetId="0" hidden="1">{#N/A,#N/A,FALSE,"집계표"}</definedName>
    <definedName name="ㅇㄴ롷ㄴ" localSheetId="0" hidden="1">{#N/A,#N/A,FALSE,"집계표"}</definedName>
    <definedName name="ㅇㄴ롷ㅇㄴ롷ㄴ" localSheetId="0" hidden="1">{#N/A,#N/A,FALSE,"집계표"}</definedName>
    <definedName name="ㅇㄴ리ㅏ허ㅣ" localSheetId="0" hidden="1">{#N/A,#N/A,FALSE,"집계표"}</definedName>
    <definedName name="ㅇㄴㄿ" localSheetId="0" hidden="1">{#N/A,#N/A,FALSE,"CCTV"}</definedName>
    <definedName name="ㅇㄴㅀㄴㄿㅊ" localSheetId="0" hidden="1">{#N/A,#N/A,FALSE,"집계표"}</definedName>
    <definedName name="ㅇㄴㅀㄴㅇㄱ" localSheetId="0" hidden="1">{#N/A,#N/A,FALSE,"집계표"}</definedName>
    <definedName name="ㅇㄴㅀㅁㄱㄷㅎ" localSheetId="0" hidden="1">{#N/A,#N/A,FALSE,"집계표"}</definedName>
    <definedName name="ㅇㄴㅀ쇼ㅗㅗㅗㅗㅗ" localSheetId="0" hidden="1">{#N/A,#N/A,FALSE,"집계표"}</definedName>
    <definedName name="ㅇㄴㅀㅇㄴ" localSheetId="0" hidden="1">{#N/A,#N/A,FALSE,"집계표"}</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낳리ㅓ" localSheetId="0" hidden="1">{#N/A,#N/A,FALSE,"집계표"}</definedName>
    <definedName name="ㅇ낸에네ㅔ" localSheetId="0" hidden="1">{#N/A,#N/A,FALSE,"집계표"}</definedName>
    <definedName name="ㅇ놓ㄹㄹㄹㄹㄹ" localSheetId="0" hidden="1">{#N/A,#N/A,FALSE,"집계표"}</definedName>
    <definedName name="ㅇ놓로횻ㅅ" localSheetId="0" hidden="1">{#N/A,#N/A,FALSE,"집계표"}</definedName>
    <definedName name="ㅇ니ㅏㅎ러" localSheetId="0" hidden="1">{#N/A,#N/A,FALSE,"집계표"}</definedName>
    <definedName name="ㅇ니ㅏㅓㄹ힝니ㅏㅎㄹ" localSheetId="0" hidden="1">{#N/A,#N/A,FALSE,"집계표"}</definedName>
    <definedName name="ㅇ니ㅏㅓ로히ㅏ" localSheetId="0" hidden="1">{#N/A,#N/A,FALSE,"집계표"}</definedName>
    <definedName name="ㅇ니ㅓㅎ로" localSheetId="0" hidden="1">{#N/A,#N/A,FALSE,"집계표"}</definedName>
    <definedName name="ㅇㄶ" localSheetId="0" hidden="1">{#N/A,#N/A,FALSE,"표지"}</definedName>
    <definedName name="ㅇㄷㄱㅎㄴㅇ" localSheetId="0" hidden="1">{#N/A,#N/A,FALSE,"집계표"}</definedName>
    <definedName name="ㅇ더퍼" localSheetId="0" hidden="1">{#N/A,#N/A,FALSE,"집계표"}</definedName>
    <definedName name="ㅇㄹ" localSheetId="0" hidden="1">{#N/A,#N/A,FALSE,"CCTV"}</definedName>
    <definedName name="ㅇㄹㄴㄹ" localSheetId="0" hidden="1">{#N/A,#N/A,FALSE,"CCTV"}</definedName>
    <definedName name="ㅇㄹㄴ호" localSheetId="0" hidden="1">{#N/A,#N/A,FALSE,"집계표"}</definedName>
    <definedName name="ㅇㄹㄹㅀㅎㅎㅎㅎㅎㅎㅎㅎㅎㅎ" localSheetId="0" hidden="1">{#N/A,#N/A,FALSE,"집계표"}</definedName>
    <definedName name="ㅇㄹㅇㄹㅇ" localSheetId="0" hidden="1">{#N/A,#N/A,FALSE,"CCTV"}</definedName>
    <definedName name="ㅇㄹㅇㄹㅇㄹ" localSheetId="0" hidden="1">{#N/A,#N/A,FALSE,"CCTV"}</definedName>
    <definedName name="ㅇㄹㅎ" localSheetId="0" hidden="1">{#N/A,#N/A,FALSE,"집계표"}</definedName>
    <definedName name="ㅇㄹ허ㅗ" localSheetId="0" hidden="1">{#N/A,#N/A,FALSE,"집계표"}</definedName>
    <definedName name="ㅇㄹ호" localSheetId="0" hidden="1">{#N/A,#N/A,FALSE,"집계표"}</definedName>
    <definedName name="ㅇㄹ호ㄹ옿" localSheetId="0" hidden="1">{#N/A,#N/A,FALSE,"집계표"}</definedName>
    <definedName name="ㅇㄹ호옿ㅎㄹ오" localSheetId="0" hidden="1">{#N/A,#N/A,FALSE,"집계표"}</definedName>
    <definedName name="ㅇㄹ호허ㅗㅓㅓ" localSheetId="0" hidden="1">{#N/A,#N/A,FALSE,"집계표"}</definedName>
    <definedName name="ㅇㄹ호ㅗㅗㅗ" localSheetId="0" hidden="1">{#N/A,#N/A,FALSE,"집계표"}</definedName>
    <definedName name="ㅇㄹㅗㅎ" localSheetId="0" hidden="1">{#N/A,#N/A,FALSE,"집계표"}</definedName>
    <definedName name="ㅇ라ㅓㅎ킥" localSheetId="0"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ㅗㅎ" localSheetId="0" hidden="1">{#N/A,#N/A,FALSE,"집계표"}</definedName>
    <definedName name="ㅇ렇ㅇ" localSheetId="0" hidden="1">{#N/A,#N/A,FALSE,"집계표"}</definedName>
    <definedName name="ㅇ롷" localSheetId="0" hidden="1">{#N/A,#N/A,FALSE,"집계표"}</definedName>
    <definedName name="ㅇㅀㅁ" localSheetId="0" hidden="1">{#N/A,#N/A,FALSE,"집계표"}</definedName>
    <definedName name="ㅇㅀㅇㄱ" localSheetId="0" hidden="1">{#N/A,#N/A,FALSE,"집계표"}</definedName>
    <definedName name="ㅇㅇㄱ" localSheetId="0" hidden="1">{#N/A,#N/A,FALSE,"집계표"}</definedName>
    <definedName name="ㅇㅇㄹㅇㄹ" localSheetId="0" hidden="1">{#N/A,#N/A,FALSE,"집계표"}</definedName>
    <definedName name="ㅇㅇㄹㅇㄹㅇ" localSheetId="0" hidden="1">{#N/A,#N/A,FALSE,"CCTV"}</definedName>
    <definedName name="ㅇㅇㅇ" localSheetId="0" hidden="1">{#N/A,#N/A,FALSE,"주간공정";#N/A,#N/A,FALSE,"주간보고";#N/A,#N/A,FALSE,"주간공정표"}</definedName>
    <definedName name="ㅇㅇㅇㅇㅇ" localSheetId="0" hidden="1">{#N/A,#N/A,FALSE,"주간공정";#N/A,#N/A,FALSE,"주간보고";#N/A,#N/A,FALSE,"주간공정표"}</definedName>
    <definedName name="ㅇㅇㅇㅇㅇㅇ" localSheetId="0" hidden="1">{#N/A,#N/A,FALSE,"지침";#N/A,#N/A,FALSE,"환경분석";#N/A,#N/A,FALSE,"Sheet16"}</definedName>
    <definedName name="ㅇㅇㅎ" localSheetId="0" hidden="1">{#N/A,#N/A,FALSE,"집계표"}</definedName>
    <definedName name="ㅇㅎㄷ" localSheetId="0" hidden="1">{#N/A,#N/A,FALSE,"집계표"}</definedName>
    <definedName name="ㅇㅎ러ㅗㅇ" localSheetId="0" hidden="1">{#N/A,#N/A,FALSE,"집계표"}</definedName>
    <definedName name="ㅇㅎㄻㄴㅇㅁㅎㄴㅀㅁㄴㅇㅎㄴ" localSheetId="0" hidden="1">{#N/A,#N/A,FALSE,"Sheet6"}</definedName>
    <definedName name="아" localSheetId="0" hidden="1">{#N/A,#N/A,FALSE,"주간공정";#N/A,#N/A,FALSE,"주간보고";#N/A,#N/A,FALSE,"주간공정표"}</definedName>
    <definedName name="아니" localSheetId="0"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싸" localSheetId="0" hidden="1">{#N/A,#N/A,FALSE,"CCTV"}</definedName>
    <definedName name="아아아앙" localSheetId="0" hidden="1">{#N/A,#N/A,FALSE,"주간공정";#N/A,#N/A,FALSE,"주간보고";#N/A,#N/A,FALSE,"주간공정표"}</definedName>
    <definedName name="아아ㅏ앙" localSheetId="0"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내역2" localSheetId="0"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야간" localSheetId="0" hidden="1">{#N/A,#N/A,FALSE,"지침";#N/A,#N/A,FALSE,"환경분석";#N/A,#N/A,FALSE,"Sheet16"}</definedName>
    <definedName name="어어엉" localSheetId="0" hidden="1">{#N/A,#N/A,FALSE,"주간공정";#N/A,#N/A,FALSE,"주간보고";#N/A,#N/A,FALSE,"주간공정표"}</definedName>
    <definedName name="어쭈구리" localSheetId="0"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암실행" localSheetId="0" hidden="1">{#N/A,#N/A,FALSE,"전력간선"}</definedName>
    <definedName name="영업" localSheetId="0" hidden="1">{#N/A,#N/A,FALSE,"지침";#N/A,#N/A,FALSE,"환경분석";#N/A,#N/A,FALSE,"Sheet16"}</definedName>
    <definedName name="영업현금" localSheetId="0" hidden="1">{#N/A,#N/A,FALSE,"지침";#N/A,#N/A,FALSE,"환경분석";#N/A,#N/A,FALSE,"Sheet16"}</definedName>
    <definedName name="영종" localSheetId="0" hidden="1">{#N/A,#N/A,FALSE,"CCTV"}</definedName>
    <definedName name="예상계획" localSheetId="0" hidden="1">{#N/A,#N/A,FALSE,"집계표"}</definedName>
    <definedName name="예정가" localSheetId="0" hidden="1">{#N/A,#N/A,FALSE,"포장2"}</definedName>
    <definedName name="오됴" localSheetId="0" hidden="1">{#N/A,#N/A,FALSE,"집계표"}</definedName>
    <definedName name="오배수" localSheetId="0" hidden="1">{#N/A,#N/A,TRUE,"천상그린44PY"}</definedName>
    <definedName name="오배수입상" localSheetId="0" hidden="1">{#N/A,#N/A,TRUE,"천상그린44PY"}</definedName>
    <definedName name="오수토공" localSheetId="0"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대비" localSheetId="0" hidden="1">{#N/A,#N/A,FALSE,"이태원철근"}</definedName>
    <definedName name="옥탑층" localSheetId="0" hidden="1">{#N/A,#N/A,FALSE,"Sheet1"}</definedName>
    <definedName name="옹" localSheetId="0" hidden="1">{#N/A,#N/A,FALSE,"골재소요량";#N/A,#N/A,FALSE,"골재소요량"}</definedName>
    <definedName name="옹벽수량집계표" localSheetId="0" hidden="1">{#N/A,#N/A,FALSE,"2~8번"}</definedName>
    <definedName name="옹벽수량집계표총괄" localSheetId="0" hidden="1">{#N/A,#N/A,FALSE,"혼합골재"}</definedName>
    <definedName name="옿" localSheetId="0" hidden="1">{#N/A,#N/A,FALSE,"집계표"}</definedName>
    <definedName name="완도" localSheetId="0" hidden="1">{#N/A,#N/A,FALSE,"포장2"}</definedName>
    <definedName name="용용" localSheetId="0" hidden="1">{#N/A,#N/A,FALSE,"포장2"}</definedName>
    <definedName name="우리" localSheetId="0" hidden="1">{#N/A,#N/A,FALSE,"사업총괄";#N/A,#N/A,FALSE,"장비사업";#N/A,#N/A,FALSE,"철구사업";#N/A,#N/A,FALSE,"준설사업"}</definedName>
    <definedName name="우후" localSheetId="0" hidden="1">{"'별표'!$N$220"}</definedName>
    <definedName name="울트구룡대보2공구" localSheetId="0" hidden="1">{#N/A,#N/A,FALSE,"속도"}</definedName>
    <definedName name="울트라" localSheetId="0" hidden="1">{#N/A,#N/A,FALSE,"구조1"}</definedName>
    <definedName name="울트라구룡2공구" localSheetId="0" hidden="1">{#N/A,#N/A,FALSE,"이정표"}</definedName>
    <definedName name="원가" localSheetId="0" hidden="1">{#N/A,#N/A,FALSE,"운반시간"}</definedName>
    <definedName name="원가12" localSheetId="0"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0" hidden="1">{#N/A,#N/A,FALSE,"이태원철근"}</definedName>
    <definedName name="월별투입" localSheetId="0" hidden="1">{#N/A,#N/A,FALSE,"지침";#N/A,#N/A,FALSE,"환경분석";#N/A,#N/A,FALSE,"Sheet16"}</definedName>
    <definedName name="유가증권" localSheetId="0" hidden="1">{#N/A,#N/A,FALSE,"Aging Summary";#N/A,#N/A,FALSE,"Ratio Analysis";#N/A,#N/A,FALSE,"Test 120 Day Accts";#N/A,#N/A,FALSE,"Tickmarks"}</definedName>
    <definedName name="을" localSheetId="0" hidden="1">{#N/A,#N/A,FALSE,"도급대비시행율";#N/A,#N/A,FALSE,"결의서";#N/A,#N/A,FALSE,"내역서";#N/A,#N/A,FALSE,"도급예상"}</definedName>
    <definedName name="의" localSheetId="0"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슈" localSheetId="0"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0" hidden="1">{#N/A,#N/A,FALSE,"이태원철근"}</definedName>
    <definedName name="일정표0124" localSheetId="0" hidden="1">{#N/A,#N/A,FALSE,"이태원철근"}</definedName>
    <definedName name="임시" localSheetId="0" hidden="1">{#N/A,#N/A,FALSE,"현장 NCR 분석";#N/A,#N/A,FALSE,"현장품질감사";#N/A,#N/A,FALSE,"현장품질감사"}</definedName>
    <definedName name="임형" localSheetId="0" hidden="1">{#N/A,#N/A,FALSE,"포장2"}</definedName>
    <definedName name="입찰" localSheetId="0" hidden="1">{#N/A,#N/A,FALSE,"구조2"}</definedName>
    <definedName name="ㅈ" localSheetId="0"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ㄷㄱㄷㄱㄷ" localSheetId="0" hidden="1">{"'용역비'!$A$4:$C$8"}</definedName>
    <definedName name="ㅈㄷㄱㅈ" localSheetId="0" hidden="1">{#N/A,#N/A,FALSE,"Sheet6"}</definedName>
    <definedName name="ㅈㄷㄳㅈㄷ" localSheetId="0" hidden="1">{#N/A,#N/A,FALSE,"Sheet6"}</definedName>
    <definedName name="ㅈㄷㅅ교" localSheetId="0" hidden="1">{#N/A,#N/A,FALSE,"집계표"}</definedName>
    <definedName name="ㅈㄷㅅㅁㅇㄴㄹ" localSheetId="0" hidden="1">{#N/A,#N/A,FALSE,"집계표"}</definedName>
    <definedName name="ㅈㅂㄹㅇㅁㄴㅇㅍㅌㅋㅁㄴㅇㄻㅎㅁ" localSheetId="0"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자" localSheetId="0" hidden="1">{#N/A,#N/A,FALSE,"CCTV"}</definedName>
    <definedName name="자" localSheetId="0" hidden="1">{"'Sheet1'!$A$4:$M$21","'Sheet1'!$J$17:$K$19"}</definedName>
    <definedName name="자미" localSheetId="0" hidden="1">{#N/A,#N/A,FALSE,"명세표"}</definedName>
    <definedName name="자본금" localSheetId="0" hidden="1">{#N/A,#N/A,FALSE,"Aging Summary";#N/A,#N/A,FALSE,"Ratio Analysis";#N/A,#N/A,FALSE,"Test 120 Day Accts";#N/A,#N/A,FALSE,"Tickmarks"}</definedName>
    <definedName name="자야" localSheetId="0" hidden="1">{#N/A,#N/A,FALSE,"집계표"}</definedName>
    <definedName name="자양" localSheetId="0" hidden="1">{#N/A,#N/A,FALSE,"이태원철근"}</definedName>
    <definedName name="자양공사개요" localSheetId="0" hidden="1">{#N/A,#N/A,FALSE,"이태원철근"}</definedName>
    <definedName name="자재1" localSheetId="0" hidden="1">{#N/A,#N/A,FALSE,"포장2"}</definedName>
    <definedName name="자재2" localSheetId="0" hidden="1">{#N/A,#N/A,FALSE,"구조2"}</definedName>
    <definedName name="자ㅓㅏ" localSheetId="0" hidden="1">{#N/A,#N/A,FALSE,"집계표"}</definedName>
    <definedName name="장" localSheetId="0" hidden="1">{#N/A,#N/A,FALSE,"CCTV"}</definedName>
    <definedName name="장구" localSheetId="0"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층부공내역" localSheetId="0" hidden="1">{#N/A,#N/A,FALSE,"估價單  (3)"}</definedName>
    <definedName name="저층부금액" localSheetId="0" hidden="1">{#N/A,#N/A,FALSE,"估價單  (3)"}</definedName>
    <definedName name="저층부금액1" localSheetId="0" hidden="1">{#N/A,#N/A,FALSE,"估價單  (3)"}</definedName>
    <definedName name="전기" localSheetId="0" hidden="1">{"'Sheet1'!$A$1:$E$59"}</definedName>
    <definedName name="전기1" localSheetId="0"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내역" localSheetId="0" hidden="1">{#N/A,#N/A,FALSE,"CCTV"}</definedName>
    <definedName name="전기특기조건" localSheetId="0" hidden="1">{#N/A,#N/A,FALSE,"현장 NCR 분석";#N/A,#N/A,FALSE,"현장품질감사";#N/A,#N/A,FALSE,"현장품질감사"}</definedName>
    <definedName name="전등설비" localSheetId="0" hidden="1">{#N/A,#N/A,FALSE,"CCTV"}</definedName>
    <definedName name="전열" localSheetId="0" hidden="1">{#N/A,#N/A,FALSE,"CCTV"}</definedName>
    <definedName name="전자CF" localSheetId="0" hidden="1">{#N/A,#N/A,FALSE,"지침";#N/A,#N/A,FALSE,"환경분석";#N/A,#N/A,FALSE,"Sheet16"}</definedName>
    <definedName name="젇주ㅠㅜㅇㄴ" localSheetId="0" hidden="1">{#N/A,#N/A,FALSE,"집계표"}</definedName>
    <definedName name="정리" localSheetId="0" hidden="1">{#N/A,#N/A,FALSE,"CCTV"}</definedName>
    <definedName name="정보통신" localSheetId="0" hidden="1">{"'Firr(선)'!$AS$1:$AY$62","'Firr(사)'!$AS$1:$AY$62","'Firr(회)'!$AS$1:$AY$62","'Firr(선)'!$L$1:$V$62","'Firr(사)'!$L$1:$V$62","'Firr(회)'!$L$1:$V$62"}</definedName>
    <definedName name="정산표" localSheetId="0" hidden="1">{#N/A,#N/A,FALSE,"현장 NCR 분석";#N/A,#N/A,FALSE,"현장품질감사";#N/A,#N/A,FALSE,"현장품질감사"}</definedName>
    <definedName name="제2짱" localSheetId="0" hidden="1">{#N/A,#N/A,FALSE,"운반시간"}</definedName>
    <definedName name="제외공사" localSheetId="0"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사본" localSheetId="0"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차장" localSheetId="0" hidden="1">{#N/A,#N/A,FALSE,"명세표"}</definedName>
    <definedName name="조창현" localSheetId="0" hidden="1">{#N/A,#N/A,FALSE,"교리2"}</definedName>
    <definedName name="조후" localSheetId="0" hidden="1">{#N/A,#N/A,FALSE,"예상손익";#N/A,#N/A,FALSE,"관리분석";#N/A,#N/A,FALSE,"장비분석";#N/A,#N/A,FALSE,"준설분석";#N/A,#N/A,FALSE,"철구분석"}</definedName>
    <definedName name="종별물량실행" localSheetId="0"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죽전5차" localSheetId="0" hidden="1">{#N/A,#N/A,FALSE,"이태원철근"}</definedName>
    <definedName name="준공검사원" localSheetId="0" hidden="1">{#N/A,#N/A,FALSE,"전력간선"}</definedName>
    <definedName name="지" localSheetId="0" hidden="1">{#N/A,#N/A,FALSE,"배수2"}</definedName>
    <definedName name="지급" localSheetId="0" hidden="1">{#N/A,#N/A,FALSE,"견적갑지";#N/A,#N/A,FALSE,"총괄표";#N/A,#N/A,FALSE,"철골공사";#N/A,#N/A,FALSE,"토목공사";#N/A,#N/A,FALSE,"판넬전기공사"}</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직매54P" localSheetId="0"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ㅊ" localSheetId="0" hidden="1">{#N/A,#N/A,FALSE,"운반시간"}</definedName>
    <definedName name="ㅊㄹㅎ" localSheetId="0" hidden="1">{#N/A,#N/A,FALSE,"집계표"}</definedName>
    <definedName name="ㅊㄹ헝ㅇ" localSheetId="0" hidden="1">{#N/A,#N/A,FALSE,"집계표"}</definedName>
    <definedName name="ㅊㄹ호" localSheetId="0" hidden="1">{#N/A,#N/A,FALSE,"집계표"}</definedName>
    <definedName name="ㅊㅀㅎㅎㅎㅎㅎㅎㅎㅎ" localSheetId="0" hidden="1">{#N/A,#N/A,FALSE,"집계표"}</definedName>
    <definedName name="ㅊㅊㅊㅊ" localSheetId="0" hidden="1">{#N/A,#N/A,FALSE,"단가표지"}</definedName>
    <definedName name="ㅊㅌㅅ" localSheetId="0" hidden="1">{#N/A,#N/A,FALSE,"집계표"}</definedName>
    <definedName name="ㅊㅌ포촣" localSheetId="0" hidden="1">{#N/A,#N/A,FALSE,"집계표"}</definedName>
    <definedName name="ㅊㅌㅎㄹ쇼" localSheetId="0" hidden="1">{#N/A,#N/A,FALSE,"집계표"}</definedName>
    <definedName name="ㅊ튶" localSheetId="0" hidden="1">{#N/A,#N/A,FALSE,"집계표"}</definedName>
    <definedName name="ㅊㅍ허ㅓㅗ효" localSheetId="0" hidden="1">{#N/A,#N/A,FALSE,"집계표"}</definedName>
    <definedName name="ㅊ퍼ㅗㅗㅗㅗㅗ" localSheetId="0" hidden="1">{#N/A,#N/A,FALSE,"집계표"}</definedName>
    <definedName name="ㅊ포ㅓㅊㅊㅊㅊㅊㅊㅊㅊㅊㅊ" localSheetId="0" hidden="1">{#N/A,#N/A,FALSE,"집계표"}</definedName>
    <definedName name="ㅊ포ㅓㅓㅓㅓㅓㅓㅓㅓㅓㅓ" localSheetId="0" hidden="1">{#N/A,#N/A,FALSE,"집계표"}</definedName>
    <definedName name="ㅊ폴" localSheetId="0" hidden="1">{#N/A,#N/A,FALSE,"Sheet6"}</definedName>
    <definedName name="ㅊ푸ㅡ" localSheetId="0" hidden="1">{#N/A,#N/A,FALSE,"집계표"}</definedName>
    <definedName name="ㅊ퓨ㅗ" localSheetId="0" hidden="1">{#N/A,#N/A,FALSE,"집계표"}</definedName>
    <definedName name="ㅊㅎㄹㄹ" localSheetId="0" hidden="1">{#N/A,#N/A,FALSE,"집계표"}</definedName>
    <definedName name="ㅊ허ㅗㅗㅗㅗㅗ" localSheetId="0" hidden="1">{#N/A,#N/A,FALSE,"집계표"}</definedName>
    <definedName name="ㅊ호ㅓㅗ" localSheetId="0" hidden="1">{#N/A,#N/A,FALSE,"집계표"}</definedName>
    <definedName name="차" localSheetId="0"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철2" localSheetId="0" hidden="1">{#N/A,#N/A,FALSE,"혼합골재"}</definedName>
    <definedName name="철거단가" localSheetId="0" hidden="1">{#N/A,#N/A,FALSE,"조골재"}</definedName>
    <definedName name="철골협의" localSheetId="0" hidden="1">{#N/A,#N/A,FALSE,"현장 NCR 분석";#N/A,#N/A,FALSE,"현장품질감사";#N/A,#N/A,FALSE,"현장품질감사"}</definedName>
    <definedName name="철근량" localSheetId="0" hidden="1">{#N/A,#N/A,FALSE,"전력간선"}</definedName>
    <definedName name="철근수정본" localSheetId="0" hidden="1">{"'Sheet1'!$A$4:$M$21","'Sheet1'!$J$17:$K$19"}</definedName>
    <definedName name="철콘부대외" localSheetId="0" hidden="1">{#N/A,#N/A,FALSE,"Sheet1"}</definedName>
    <definedName name="체크아웃시스템" localSheetId="0" hidden="1">{#N/A,#N/A,FALSE,"견적갑지";#N/A,#N/A,FALSE,"총괄표";#N/A,#N/A,FALSE,"철골공사";#N/A,#N/A,FALSE,"토목공사";#N/A,#N/A,FALSE,"판넬전기공사"}</definedName>
    <definedName name="총" localSheetId="0" hidden="1">{#N/A,#N/A,FALSE,"부대1"}</definedName>
    <definedName name="총공" localSheetId="0" hidden="1">{#N/A,#N/A,FALSE,"운반시간"}</definedName>
    <definedName name="총공사비2" localSheetId="0"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산산서2" localSheetId="0" hidden="1">{#N/A,#N/A,FALSE,"견적갑지";#N/A,#N/A,FALSE,"총괄표";#N/A,#N/A,FALSE,"철골공사";#N/A,#N/A,FALSE,"토목공사";#N/A,#N/A,FALSE,"판넬전기공사"}</definedName>
    <definedName name="추정" localSheetId="0" hidden="1">{#N/A,#N/A,FALSE,"포장2"}</definedName>
    <definedName name="축수산장설비" localSheetId="0" hidden="1">{#N/A,#N/A,FALSE,"견적갑지";#N/A,#N/A,FALSE,"총괄표";#N/A,#N/A,FALSE,"철골공사";#N/A,#N/A,FALSE,"토목공사";#N/A,#N/A,FALSE,"판넬전기공사"}</definedName>
    <definedName name="출판" localSheetId="0"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0" hidden="1">{#N/A,#N/A,FALSE,"이태원철근"}</definedName>
    <definedName name="취하실적1." localSheetId="0" hidden="1">{#N/A,#N/A,FALSE,"이태원철근"}</definedName>
    <definedName name="츄" localSheetId="0"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ㅋ" localSheetId="0" hidden="1">{#N/A,#N/A,FALSE,"명세표"}</definedName>
    <definedName name="ㅋㅋㅋ" localSheetId="0" hidden="1">{#N/A,#N/A,FALSE,"전력간선"}</definedName>
    <definedName name="ㅋㅋㅋㅋ" localSheetId="0" hidden="1">{#N/A,#N/A,FALSE,"Aging Summary";#N/A,#N/A,FALSE,"Ratio Analysis";#N/A,#N/A,FALSE,"Test 120 Day Accts";#N/A,#N/A,FALSE,"Tickmarks"}</definedName>
    <definedName name="ㅋㅌ애ㅑㅓㅎㄹ" localSheetId="0" hidden="1">{#N/A,#N/A,FALSE,"집계표"}</definedName>
    <definedName name="ㅋ타ㅓㄹㅇ" localSheetId="0" hidden="1">{#N/A,#N/A,FALSE,"집계표"}</definedName>
    <definedName name="ㅋ텋리ㅏㄴㅁㄱ" localSheetId="0" hidden="1">{#N/A,#N/A,FALSE,"집계표"}</definedName>
    <definedName name="ㅋ하ㅓㅈㄴㄷㄱㅎ" localSheetId="0" hidden="1">{#N/A,#N/A,FALSE,"집계표"}</definedName>
    <definedName name="캐쉬" localSheetId="0" hidden="1">{#N/A,#N/A,FALSE,"지침";#N/A,#N/A,FALSE,"환경분석";#N/A,#N/A,FALSE,"Sheet16"}</definedName>
    <definedName name="캬ㅓ래ㅑㅣㅏ" localSheetId="0" hidden="1">{#N/A,#N/A,FALSE,"집계표"}</definedName>
    <definedName name="케이블간지" localSheetId="0" hidden="1">{#N/A,#N/A,TRUE,"토적및재료집계";#N/A,#N/A,TRUE,"토적및재료집계";#N/A,#N/A,TRUE,"단위량"}</definedName>
    <definedName name="켐온건축" localSheetId="0" hidden="1">{#N/A,#N/A,FALSE,"CCTV"}</definedName>
    <definedName name="키ㅏㄴ어리ㅑㅁㅈㄷ" localSheetId="0" hidden="1">{#N/A,#N/A,FALSE,"집계표"}</definedName>
    <definedName name="ㅌㄹ요" localSheetId="0" hidden="1">{#N/A,#N/A,FALSE,"집계표"}</definedName>
    <definedName name="ㅌㄹ호" localSheetId="0" hidden="1">{#N/A,#N/A,FALSE,"집계표"}</definedName>
    <definedName name="ㅌ롷" localSheetId="0" hidden="1">{#N/A,#N/A,FALSE,"집계표"}</definedName>
    <definedName name="ㅌㄾㅎ" localSheetId="0" hidden="1">{#N/A,#N/A,FALSE,"집계표"}</definedName>
    <definedName name="ㅌㅅㅊㅌ" localSheetId="0" hidden="1">{#N/A,#N/A,FALSE,"집계표"}</definedName>
    <definedName name="ㅌ쇼ㅏ" localSheetId="0" hidden="1">{#N/A,#N/A,FALSE,"집계표"}</definedName>
    <definedName name="ㅌㅇㄱㄱ" localSheetId="0" hidden="1">{#N/A,#N/A,FALSE,"집계표"}</definedName>
    <definedName name="ㅌㅇ려ㅛㄴㅇㅀ" localSheetId="0" hidden="1">{#N/A,#N/A,FALSE,"집계표"}</definedName>
    <definedName name="ㅌㅇ롷ㄴㄱㄷ" localSheetId="0" hidden="1">{#N/A,#N/A,FALSE,"집계표"}</definedName>
    <definedName name="ㅌㅇ료" localSheetId="0" hidden="1">{#N/A,#N/A,FALSE,"집계표"}</definedName>
    <definedName name="ㅌㅊㄹ오" localSheetId="0" hidden="1">{#N/A,#N/A,FALSE,"집계표"}</definedName>
    <definedName name="ㅌㅊㄹ호" localSheetId="0" hidden="1">{#N/A,#N/A,FALSE,"집계표"}</definedName>
    <definedName name="ㅌㅊ룟" localSheetId="0" hidden="1">{#N/A,#N/A,FALSE,"집계표"}</definedName>
    <definedName name="ㅌ처히ㅏㅓㄹㅇ하" localSheetId="0" hidden="1">{#N/A,#N/A,FALSE,"집계표"}</definedName>
    <definedName name="ㅌㅋㅀ" localSheetId="0" hidden="1">{#N/A,#N/A,FALSE,"집계표"}</definedName>
    <definedName name="ㅌㅋ퍼ㅣㅏㄴㅇ" localSheetId="0" hidden="1">{#N/A,#N/A,FALSE,"집계표"}</definedName>
    <definedName name="ㅌ카ㅓ낭렇" localSheetId="0" hidden="1">{#N/A,#N/A,FALSE,"집계표"}</definedName>
    <definedName name="ㅌㅌ" localSheetId="0" hidden="1">{#N/A,#N/A,FALSE,"표지"}</definedName>
    <definedName name="ㅌㅍㅊㅇㅌㅎ" localSheetId="0"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탈" localSheetId="0" hidden="1">{#N/A,#N/A,FALSE,"CCTV"}</definedName>
    <definedName name="태영지급" localSheetId="0" hidden="1">{#N/A,#N/A,FALSE,"부대1"}</definedName>
    <definedName name="텨러" localSheetId="0" hidden="1">{#N/A,#N/A,FALSE,"집계표"}</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2" localSheetId="0" hidden="1">{#N/A,#N/A,FALSE,"2~8번"}</definedName>
    <definedName name="토공전체" localSheetId="0" hidden="1">{#N/A,#N/A,FALSE,"운반시간"}</definedName>
    <definedName name="토목" localSheetId="0" hidden="1">{#N/A,#N/A,FALSE,"CCTV"}</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투3" localSheetId="0"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표" localSheetId="0" hidden="1">{#N/A,#N/A,FALSE,"부대1"}</definedName>
    <definedName name="툿" localSheetId="0"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ㅍ" localSheetId="0" hidden="1">{#N/A,#N/A,FALSE,"조골재"}</definedName>
    <definedName name="ㅍㄴㅇㄷ" localSheetId="0" hidden="1">{#N/A,#N/A,FALSE,"집계표"}</definedName>
    <definedName name="ㅍㅊㅇㅍㅊ" localSheetId="0" hidden="1">{#N/A,#N/A,FALSE,"집계표"}</definedName>
    <definedName name="ㅍ초ㅓㅓㅓㅓㅓㅓㅓ" localSheetId="0" hidden="1">{#N/A,#N/A,FALSE,"집계표"}</definedName>
    <definedName name="ㅍ츄ㅗ" localSheetId="0" hidden="1">{#N/A,#N/A,FALSE,"집계표"}</definedName>
    <definedName name="ㅍㅌㅋ이ㅏ" localSheetId="0" hidden="1">{#N/A,#N/A,FALSE,"집계표"}</definedName>
    <definedName name="ㅍㅍ" localSheetId="0" hidden="1">{#N/A,#N/A,TRUE,"토적및재료집계";#N/A,#N/A,TRUE,"토적및재료집계";#N/A,#N/A,TRUE,"단위량"}</definedName>
    <definedName name="ㅍㅍㅍㅍㅍㅍ" localSheetId="0" hidden="1">{#N/A,#N/A,FALSE,"CCTV"}</definedName>
    <definedName name="ㅍ햐ㅐㅣㅏ" localSheetId="0" hidden="1">{#N/A,#N/A,FALSE,"집계표"}</definedName>
    <definedName name="ㅍ화ㅓ" localSheetId="0" hidden="1">{#N/A,#N/A,FALSE,"집계표"}</definedName>
    <definedName name="파" localSheetId="0" hidden="1">{#N/A,#N/A,FALSE,"견적갑지";#N/A,#N/A,FALSE,"총괄표";#N/A,#N/A,FALSE,"철골공사";#N/A,#N/A,FALSE,"토목공사";#N/A,#N/A,FALSE,"판넬전기공사"}</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0"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ocf" localSheetId="0" hidden="1">{#N/A,#N/A,FALSE,"지침";#N/A,#N/A,FALSE,"환경분석";#N/A,#N/A,FALSE,"Sheet16"}</definedName>
    <definedName name="포지머ㅗㄱㄷㅌ킹1" localSheetId="0" hidden="1">{#N/A,#N/A,FALSE,"표지목차"}</definedName>
    <definedName name="폽장2" localSheetId="0"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0"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0" hidden="1">{#N/A,#N/A,FALSE,"집계표"}</definedName>
    <definedName name="퓸" localSheetId="0"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로티" localSheetId="0" hidden="1">{#N/A,#N/A,FALSE,"이태원철근"}</definedName>
    <definedName name="피로티1" localSheetId="0" hidden="1">{#N/A,#N/A,FALSE,"이태원철근"}</definedName>
    <definedName name="ㅎ" localSheetId="0" hidden="1">{#N/A,#N/A,FALSE,"이태원철근"}</definedName>
    <definedName name="ㅎㄴㅇㅀㄴ" localSheetId="0" hidden="1">{#N/A,#N/A,FALSE,"집계표"}</definedName>
    <definedName name="ㅎㄹㅇㄴㅇ" localSheetId="0" hidden="1">{#N/A,#N/A,FALSE,"집계표"}</definedName>
    <definedName name="ㅎㄹㅇ솔요" localSheetId="0" hidden="1">{#N/A,#N/A,FALSE,"집계표"}</definedName>
    <definedName name="ㅎㄹ어" localSheetId="0" hidden="1">{#N/A,#N/A,FALSE,"집계표"}</definedName>
    <definedName name="ㅎㄹ오" localSheetId="0"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러ㅗㅇ러" localSheetId="0" hidden="1">{#N/A,#N/A,FALSE,"집계표"}</definedName>
    <definedName name="ㅎ러ㅘㅍㅊ" localSheetId="0" hidden="1">{#N/A,#N/A,FALSE,"집계표"}</definedName>
    <definedName name="ㅎ려ㅑㅓㅏㄹ셔ㅛ" localSheetId="0" hidden="1">{#N/A,#N/A,FALSE,"집계표"}</definedName>
    <definedName name="ㅎ로" localSheetId="0" hidden="1">{#N/A,#N/A,FALSE,"집계표"}</definedName>
    <definedName name="ㅎ로낟안" localSheetId="0" hidden="1">{#N/A,#N/A,FALSE,"혼합골재"}</definedName>
    <definedName name="ㅎ로ㅓㅅㄱㄷ" localSheetId="0" hidden="1">{#N/A,#N/A,FALSE,"집계표"}</definedName>
    <definedName name="ㅎ로ㅓㅇ" localSheetId="0" hidden="1">{#N/A,#N/A,FALSE,"집계표"}</definedName>
    <definedName name="ㅎ로ㅓㅓㅓㅓㅓㅓㅓㅓㅓㅓ" localSheetId="0" hidden="1">{#N/A,#N/A,FALSE,"집계표"}</definedName>
    <definedName name="ㅎ롤ㅇㄴㄳㄱ" localSheetId="0" hidden="1">{#N/A,#N/A,FALSE,"집계표"}</definedName>
    <definedName name="ㅎ롯ㅅ" localSheetId="0" hidden="1">{#N/A,#N/A,FALSE,"집계표"}</definedName>
    <definedName name="ㅎㅁ" localSheetId="0" hidden="1">{#N/A,#N/A,FALSE,"집계표"}</definedName>
    <definedName name="ㅎㅇ" localSheetId="0" hidden="1">{#N/A,#N/A,FALSE,"Aging Summary";#N/A,#N/A,FALSE,"Ratio Analysis";#N/A,#N/A,FALSE,"Test 120 Day Accts";#N/A,#N/A,FALSE,"Tickmarks"}</definedName>
    <definedName name="ㅎ처ㅗㅅㄹ요" localSheetId="0" hidden="1">{#N/A,#N/A,FALSE,"집계표"}</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ㅎㅎㅎ" localSheetId="0" hidden="1">{#N/A,#N/A,FALSE,"교리2"}</definedName>
    <definedName name="ㅎㅕㅓ" localSheetId="0" hidden="1">{#N/A,#N/A,FALSE,"집계표"}</definedName>
    <definedName name="하" localSheetId="0" hidden="1">{#N/A,#N/A,FALSE,"지침";#N/A,#N/A,FALSE,"환경분석";#N/A,#N/A,FALSE,"Sheet16"}</definedName>
    <definedName name="하나" localSheetId="0" hidden="1">{#N/A,#N/A,FALSE,"Sheet1"}</definedName>
    <definedName name="하도" localSheetId="0" hidden="1">{#N/A,#N/A,FALSE,"이정표"}</definedName>
    <definedName name="하도급" localSheetId="0"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0" hidden="1">{#N/A,#N/A,FALSE,"골재소요량";#N/A,#N/A,FALSE,"골재소요량"}</definedName>
    <definedName name="하도발주용공내역서" localSheetId="0"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하하" localSheetId="0" hidden="1">{#N/A,#N/A,FALSE,"명세표"}</definedName>
    <definedName name="하한선" localSheetId="0" hidden="1">{#N/A,#N/A,FALSE,"배수2"}</definedName>
    <definedName name="한동" localSheetId="0" hidden="1">{#N/A,#N/A,FALSE,"단가표지"}</definedName>
    <definedName name="한동1" localSheetId="0" hidden="1">{#N/A,#N/A,FALSE,"단가표지"}</definedName>
    <definedName name="한전수" localSheetId="0" hidden="1">{#N/A,#N/A,FALSE,"명세표"}</definedName>
    <definedName name="햐" localSheetId="0"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허" localSheetId="0" hidden="1">{#N/A,#N/A,FALSE,"Sheet6"}</definedName>
    <definedName name="허아ㅏㅇ" localSheetId="0" hidden="1">{#N/A,#N/A,FALSE,"집계표"}</definedName>
    <definedName name="허저터" localSheetId="0" hidden="1">{#N/A,#N/A,FALSE,"집계표"}</definedName>
    <definedName name="허허헣ㅎ" localSheetId="0" hidden="1">{#N/A,#N/A,FALSE,"집계표"}</definedName>
    <definedName name="허헣" localSheetId="0" hidden="1">{#N/A,#N/A,FALSE,"집계표"}</definedName>
    <definedName name="허ㅗㅅ됴" localSheetId="0" hidden="1">{#N/A,#N/A,FALSE,"집계표"}</definedName>
    <definedName name="허ㅚㅎ" localSheetId="0" hidden="1">{#N/A,#N/A,FALSE,"집계표"}</definedName>
    <definedName name="현금등가물" localSheetId="0"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자재外" localSheetId="0" hidden="1">{"'Sheet1'!$A$4:$M$21","'Sheet1'!$J$17:$K$19"}</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러ㅓㅓㅓㅓㅓㅓㅓ" localSheetId="0" hidden="1">{#N/A,#N/A,FALSE,"집계표"}</definedName>
    <definedName name="호하ㅓ" localSheetId="0" hidden="1">{#N/A,#N/A,FALSE,"집계표"}</definedName>
    <definedName name="호호" localSheetId="0" hidden="1">{#N/A,#N/A,FALSE,"포장1";#N/A,#N/A,FALSE,"포장1"}</definedName>
    <definedName name="호호호" localSheetId="0" hidden="1">{#N/A,#N/A,FALSE,"명세표"}</definedName>
    <definedName name="호ㅓ" localSheetId="0" hidden="1">{#N/A,#N/A,FALSE,"집계표"}</definedName>
    <definedName name="호ㅓㅏ" localSheetId="0" hidden="1">{#N/A,#N/A,FALSE,"집계표"}</definedName>
    <definedName name="홇" localSheetId="0" hidden="1">{#N/A,#N/A,FALSE,"Sheet6"}</definedName>
    <definedName name="홋ㄱ" localSheetId="0" hidden="1">{#N/A,#N/A,FALSE,"Sheet6"}</definedName>
    <definedName name="홍범표" localSheetId="0" hidden="1">{#N/A,#N/A,FALSE,"이태원철근"}</definedName>
    <definedName name="회ㅓㅗ허" localSheetId="0"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히" localSheetId="0" hidden="1">{#N/A,#N/A,FALSE,"집계표"}</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ㄱㄷ" localSheetId="0" hidden="1">{#N/A,#N/A,FALSE,"집계표"}</definedName>
    <definedName name="ㅏㅅ" localSheetId="0" hidden="1">{#N/A,#N/A,FALSE,"견적갑지";#N/A,#N/A,FALSE,"총괄표";#N/A,#N/A,FALSE,"철골공사";#N/A,#N/A,FALSE,"토목공사";#N/A,#N/A,FALSE,"판넬전기공사"}</definedName>
    <definedName name="ㅏ이이ㅏ리" localSheetId="0" hidden="1">{#N/A,#N/A,FALSE,"주간공정";#N/A,#N/A,FALSE,"주간보고";#N/A,#N/A,FALSE,"주간공정표"}</definedName>
    <definedName name="ㅏㅏㅏ" localSheetId="0"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ㅏ" localSheetId="0" hidden="1">{#N/A,#N/A,FALSE,"물가변동 (2)";#N/A,#N/A,FALSE,"공사비";#N/A,#N/A,FALSE,"사급";#N/A,#N/A,FALSE,"도급집계";#N/A,#N/A,FALSE,"재료비";#N/A,#N/A,FALSE,"노무비";#N/A,#N/A,FALSE,"경비"}</definedName>
    <definedName name="ㅏㅓㅏㅓㅏㅓ" localSheetId="0" hidden="1">{#N/A,#N/A,FALSE,"집계표"}</definedName>
    <definedName name="ㅏㅗ" localSheetId="0" hidden="1">{#N/A,#N/A,FALSE,"집계표"}</definedName>
    <definedName name="ㅐ" localSheetId="0"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ㅕㅛㅐ" localSheetId="0" hidden="1">{#N/A,#N/A,FALSE,"집계표"}</definedName>
    <definedName name="ㅓ" localSheetId="0" hidden="1">{#N/A,#N/A,FALSE,"이태원철근"}</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ㅇ" localSheetId="0" hidden="1">{#N/A,#N/A,FALSE,"집계표"}</definedName>
    <definedName name="ㅓㅇㄹ" localSheetId="0" hidden="1">{#N/A,#N/A,FALSE,"집계표"}</definedName>
    <definedName name="ㅓ치ㅏ헐ㅇ" localSheetId="0" hidden="1">{#N/A,#N/A,FALSE,"집계표"}</definedName>
    <definedName name="ㅓㅎㄹㅇ" localSheetId="0" hidden="1">{#N/A,#N/A,FALSE,"집계표"}</definedName>
    <definedName name="ㅓ호" localSheetId="0"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ㅗ" localSheetId="0" hidden="1">{#N/A,#N/A,FALSE,"집계표"}</definedName>
    <definedName name="ㅓㅗㄹ허" localSheetId="0" hidden="1">{#N/A,#N/A,FALSE,"집계표"}</definedName>
    <definedName name="ㅓㅗㅎㄹㅇㅇ" localSheetId="0" hidden="1">{#N/A,#N/A,FALSE,"집계표"}</definedName>
    <definedName name="ㅓㅗㅎㅍ" localSheetId="0" hidden="1">{#N/A,#N/A,FALSE,"집계표"}</definedName>
    <definedName name="ㅓㅗ하ㅗㅎ" localSheetId="0" hidden="1">{#N/A,#N/A,FALSE,"집계표"}</definedName>
    <definedName name="ㅓㅘㅎ" localSheetId="0" hidden="1">{#N/A,#N/A,FALSE,"집계표"}</definedName>
    <definedName name="ㅓㅣㅏㅗ" localSheetId="0" hidden="1">{#N/A,#N/A,FALSE,"집계표"}</definedName>
    <definedName name="ㅔ" localSheetId="0" hidden="1">{#N/A,#N/A,FALSE,"이태원철근"}</definedName>
    <definedName name="ㅔㅐㄴ애ㅔㅐ" localSheetId="0" hidden="1">{#N/A,#N/A,FALSE,"집계표"}</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ㅛㅕㅏ" localSheetId="0" hidden="1">{#N/A,#N/A,FALSE,"Sheet6"}</definedName>
    <definedName name="ㅕㅑㅐ" localSheetId="0"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ㄴㅇ" localSheetId="0" hidden="1">{#N/A,#N/A,FALSE,"집계표"}</definedName>
    <definedName name="ㅗㄹㅇ오" localSheetId="0" hidden="1">{#N/A,#N/A,FALSE,"집계표"}</definedName>
    <definedName name="ㅗㄹㅇㅎ" localSheetId="0" hidden="1">{#N/A,#N/A,FALSE,"집계표"}</definedName>
    <definedName name="ㅗㄹㅎ라ㅗ" localSheetId="0"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ㅎㄹ" localSheetId="0" hidden="1">{#N/A,#N/A,FALSE,"집계표"}</definedName>
    <definedName name="ㅗㅎ렇ㄹㅊㅇㅇ" localSheetId="0" hidden="1">{#N/A,#N/A,FALSE,"집계표"}</definedName>
    <definedName name="ㅗㅎㅇㄹ" localSheetId="0" hidden="1">{#N/A,#N/A,FALSE,"집계표"}</definedName>
    <definedName name="ㅗㅎㅈ" localSheetId="0" hidden="1">{#N/A,#N/A,FALSE,"집계표"}</definedName>
    <definedName name="ㅗㅎㅊㅌㅎ" localSheetId="0" hidden="1">{#N/A,#N/A,FALSE,"집계표"}</definedName>
    <definedName name="ㅗ하ㅓ" localSheetId="0" hidden="1">{#N/A,#N/A,FALSE,"집계표"}</definedName>
    <definedName name="ㅗ허" localSheetId="0" hidden="1">{#N/A,#N/A,FALSE,"집계표"}</definedName>
    <definedName name="ㅗ혀ㅏㄹ" localSheetId="0" hidden="1">{#N/A,#N/A,FALSE,"집계표"}</definedName>
    <definedName name="ㅗ홓ㅎ로" localSheetId="0" hidden="1">{"'장비'!$A$3:$M$12"}</definedName>
    <definedName name="ㅗㅓㅀㅅ" localSheetId="0" hidden="1">{#N/A,#N/A,FALSE,"집계표"}</definedName>
    <definedName name="ㅗㅓㅕㅑㅕ" localSheetId="0" hidden="1">{#N/A,#N/A,FALSE,"Sheet6"}</definedName>
    <definedName name="ㅗㅓㅛㅎ" localSheetId="0" hidden="1">{#N/A,#N/A,FALSE,"Sheet6"}</definedName>
    <definedName name="ㅗㅗ" localSheetId="0"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ㅠ" localSheetId="0" hidden="1">{#N/A,#N/A,FALSE,"집계표"}</definedName>
    <definedName name="ㅛ" localSheetId="0" hidden="1">{#N/A,#N/A,FALSE,"이태원철근"}</definedName>
    <definedName name="ㅛㅅ겨ㅑㅛㅅ" localSheetId="0" hidden="1">{#N/A,#N/A,FALSE,"집계표"}</definedName>
    <definedName name="ㅛ셔쇼ㅕ" localSheetId="0" hidden="1">{#N/A,#N/A,FALSE,"Sheet6"}</definedName>
    <definedName name="ㅛㅓ쇼" localSheetId="0" hidden="1">{#N/A,#N/A,FALSE,"Sheet6"}</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ㅍㅎ" localSheetId="0" hidden="1">{#N/A,#N/A,FALSE,"집계표"}</definedName>
    <definedName name="ㅠ포ㅓㅓㅓㅓㅓㅓ" localSheetId="0" hidden="1">{#N/A,#N/A,FALSE,"집계표"}</definedName>
    <definedName name="ㅠㅎㅇㄴ" localSheetId="0" hidden="1">{#N/A,#N/A,FALSE,"지침";#N/A,#N/A,FALSE,"환경분석";#N/A,#N/A,FALSE,"Sheet16"}</definedName>
    <definedName name="ㅠㅜㅛ" localSheetId="0" hidden="1">{#N/A,#N/A,FALSE,"Sheet6"}</definedName>
    <definedName name="ㅡ" localSheetId="0" hidden="1">{#N/A,#N/A,FALSE,"이태원철근"}</definedName>
    <definedName name="ㅡ므" localSheetId="0" hidden="1">{#N/A,#N/A,FALSE,"집계표"}</definedName>
    <definedName name="ㅡㅡ" localSheetId="0" hidden="1">{#N/A,#N/A,FALSE,"명세표"}</definedName>
    <definedName name="ㅣㄴ아ㅓㄹ" localSheetId="0" hidden="1">{#N/A,#N/A,FALSE,"집계표"}</definedName>
    <definedName name="ㅣㅁㄴ" localSheetId="0" hidden="1">{#N/A,#N/A,FALSE,"집계표"}</definedName>
    <definedName name="ㅣㅁㄴ러ㅑㄱ" localSheetId="0" hidden="1">{#N/A,#N/A,FALSE,"집계표"}</definedName>
    <definedName name="ㅣㅏㄴ아ㅓ리ㅏ허" localSheetId="0" hidden="1">{#N/A,#N/A,FALSE,"집계표"}</definedName>
    <definedName name="ㅣㅏ넝리ㅏㅓㅎ" localSheetId="0" hidden="1">{#N/A,#N/A,FALSE,"집계표"}</definedName>
    <definedName name="ㅣㅏㅇ널" localSheetId="0"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ㅣ" localSheetId="0"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估價單" localSheetId="0" hidden="1">{#N/A,#N/A,FALSE,"估價單  (3)"}</definedName>
    <definedName name="取费" localSheetId="0" hidden="1">{"'现金流量表（全部投资）'!$B$4:$P$23"}</definedName>
    <definedName name="地基处理" localSheetId="0" hidden="1">{"'现金流量表（全部投资）'!$B$4:$P$23"}</definedName>
    <definedName name="士大夫" localSheetId="0" hidden="1">{#N/A,#N/A,TRUE,"Cover Memo";"Complete Sys. Estimate",#N/A,TRUE,"Change Summary";"Complete Sys. Estimate",#N/A,TRUE,"Estimate Summary";"Complete Sys. Estimate",#N/A,TRUE,"Dept. Summary";"Complete Sys. Estimate",#N/A,TRUE,"DOW Detail"}</definedName>
    <definedName name="実行" localSheetId="0" hidden="1">{"'Sheet1'!$L$16"}</definedName>
    <definedName name="岡田" localSheetId="0" hidden="1">{#N/A,#N/A,TRUE,"SUM";#N/A,#N/A,TRUE,"EE";#N/A,#N/A,TRUE,"AC";#N/A,#N/A,TRUE,"SN"}</definedName>
    <definedName name="影响力" localSheetId="0" hidden="1">{"'现金流量表（全部投资）'!$B$4:$P$23"}</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新封" localSheetId="0"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汇总" localSheetId="0" hidden="1">{#N/A,#N/A,FALSE,"估價單  (3)"}</definedName>
    <definedName name="汇总表" localSheetId="0" hidden="1">{#N/A,#N/A,FALSE,"估價單  (3)"}</definedName>
    <definedName name="脱硫表二" localSheetId="0" hidden="1">{"'现金流量表（全部投资）'!$B$4:$P$23"}</definedName>
    <definedName name="酒店精装修" localSheetId="0" hidden="1">{#N/A,#N/A,TRUE,"Cover Memo";"Complete Sys. Estimate",#N/A,TRUE,"Change Summary";"Complete Sys. Estimate",#N/A,TRUE,"Estimate Summary";"Complete Sys. Estimate",#N/A,TRUE,"Dept. Summary";"Complete Sys. Estimate",#N/A,TRUE,"DOW Detail"}</definedName>
    <definedName name="面积表" localSheetId="0" hidden="1">{#N/A,#N/A,TRUE,"Cover Memo";"Complete Sys. Estimate",#N/A,TRUE,"Change Summary";"Complete Sys. Estimate",#N/A,TRUE,"Estimate Summary";"Complete Sys. Estimate",#N/A,TRUE,"Dept. Summary";"Complete Sys. Estimate",#N/A,TRUE,"DOW Detail"}</definedName>
    <definedName name="_xlnm._FilterDatabase" localSheetId="0"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66">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s>
  <fills count="10">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s>
  <borders count="28">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9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77">
      <c r="A2" s="378" t="n"/>
      <c r="C2" s="379" t="n"/>
      <c r="D2" s="379" t="n"/>
      <c r="F2" s="380" t="n"/>
      <c r="G2" s="381"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82"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83"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83"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83" t="inlineStr">
        <is>
          <t>Cái</t>
        </is>
      </c>
      <c r="H7" s="136" t="n">
        <v>2</v>
      </c>
      <c r="I7" s="136">
        <f>IF('00_TONG_HOP_BAO_GIA'!G2&gt;0, ('00_TONG_HOP_BAO_GIA'!K2 + '00_TONG_HOP_BAO_GIA'!M2) * (1 + '00_TONG_HOP_BAO_GIA'!P2) / '00_TONG_HOP_BAO_GIA'!G2, 0)</f>
        <v/>
      </c>
      <c r="J7" s="136">
        <f>IF('00_TONG_HOP_BAO_GIA'!G2&gt;0, '00_TONG_HOP_BAO_GIA'!L2 * (1 + '00_TONG_HOP_BAO_GIA'!P2) / '00_TONG_HOP_BAO_GIA'!G2, 0)</f>
        <v/>
      </c>
      <c r="K7" s="137">
        <f>'00_TONG_HOP_BAO_GIA'!Q2</f>
        <v/>
      </c>
      <c r="L7" s="137">
        <f>('00_TONG_HOP_BAO_GIA'!K2 + '00_TONG_HOP_BAO_GIA'!M2) * (1 + '00_TONG_HOP_BAO_GIA'!P2)</f>
        <v/>
      </c>
      <c r="M7" s="137">
        <f>'00_TONG_HOP_BAO_GIA'!L2 * (1 + '00_TONG_HOP_BAO_GIA'!P2)</f>
        <v/>
      </c>
      <c r="N7" s="137">
        <f>'00_TONG_HOP_BAO_GIA'!R2</f>
        <v/>
      </c>
      <c r="O7" s="139">
        <f>IF(K7=0, "CẢNH BÁO: Đơn giá = 0. Tra cứu lại Sheet 06!", '00_TONG_HOP_BAO_GIA'!S2)</f>
        <v/>
      </c>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83" t="inlineStr">
        <is>
          <t>Cái</t>
        </is>
      </c>
      <c r="H8" s="136" t="n">
        <v>2</v>
      </c>
      <c r="I8" s="136">
        <f>IF('00_TONG_HOP_BAO_GIA'!G3&gt;0, ('00_TONG_HOP_BAO_GIA'!K3 + '00_TONG_HOP_BAO_GIA'!M3) * (1 + '00_TONG_HOP_BAO_GIA'!P3) / '00_TONG_HOP_BAO_GIA'!G3, 0)</f>
        <v/>
      </c>
      <c r="J8" s="136">
        <f>IF('00_TONG_HOP_BAO_GIA'!G3&gt;0, '00_TONG_HOP_BAO_GIA'!L3 * (1 + '00_TONG_HOP_BAO_GIA'!P3) / '00_TONG_HOP_BAO_GIA'!G3, 0)</f>
        <v/>
      </c>
      <c r="K8" s="137">
        <f>'00_TONG_HOP_BAO_GIA'!Q3</f>
        <v/>
      </c>
      <c r="L8" s="137">
        <f>('00_TONG_HOP_BAO_GIA'!K3 + '00_TONG_HOP_BAO_GIA'!M3) * (1 + '00_TONG_HOP_BAO_GIA'!P3)</f>
        <v/>
      </c>
      <c r="M8" s="137">
        <f>'00_TONG_HOP_BAO_GIA'!L3 * (1 + '00_TONG_HOP_BAO_GIA'!P3)</f>
        <v/>
      </c>
      <c r="N8" s="137">
        <f>'00_TONG_HOP_BAO_GIA'!R3</f>
        <v/>
      </c>
      <c r="O8" s="139">
        <f>IF(K8=0, "CẢNH BÁO: Đơn giá = 0. Tra cứu lại Sheet 06!", '00_TONG_HOP_BAO_GIA'!S3)</f>
        <v/>
      </c>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83" t="inlineStr">
        <is>
          <t>Cái</t>
        </is>
      </c>
      <c r="H9" s="136" t="n">
        <v>2</v>
      </c>
      <c r="I9" s="136">
        <f>IF('00_TONG_HOP_BAO_GIA'!G4&gt;0, ('00_TONG_HOP_BAO_GIA'!K4 + '00_TONG_HOP_BAO_GIA'!M4) * (1 + '00_TONG_HOP_BAO_GIA'!P4) / '00_TONG_HOP_BAO_GIA'!G4, 0)</f>
        <v/>
      </c>
      <c r="J9" s="136">
        <f>IF('00_TONG_HOP_BAO_GIA'!G4&gt;0, '00_TONG_HOP_BAO_GIA'!L4 * (1 + '00_TONG_HOP_BAO_GIA'!P4) / '00_TONG_HOP_BAO_GIA'!G4, 0)</f>
        <v/>
      </c>
      <c r="K9" s="137">
        <f>'00_TONG_HOP_BAO_GIA'!Q4</f>
        <v/>
      </c>
      <c r="L9" s="137">
        <f>('00_TONG_HOP_BAO_GIA'!K4 + '00_TONG_HOP_BAO_GIA'!M4) * (1 + '00_TONG_HOP_BAO_GIA'!P4)</f>
        <v/>
      </c>
      <c r="M9" s="137">
        <f>'00_TONG_HOP_BAO_GIA'!L4 * (1 + '00_TONG_HOP_BAO_GIA'!P4)</f>
        <v/>
      </c>
      <c r="N9" s="137">
        <f>'00_TONG_HOP_BAO_GIA'!R4</f>
        <v/>
      </c>
      <c r="O9" s="139">
        <f>IF(K9=0, "CẢNH BÁO: Đơn giá = 0. Tra cứu lại Sheet 06!", '00_TONG_HOP_BAO_GIA'!S4)</f>
        <v/>
      </c>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83" t="inlineStr">
        <is>
          <t>Cái</t>
        </is>
      </c>
      <c r="H10" s="136" t="n">
        <v>2</v>
      </c>
      <c r="I10" s="136">
        <f>IF('00_TONG_HOP_BAO_GIA'!G5&gt;0, ('00_TONG_HOP_BAO_GIA'!K5 + '00_TONG_HOP_BAO_GIA'!M5) * (1 + '00_TONG_HOP_BAO_GIA'!P5) / '00_TONG_HOP_BAO_GIA'!G5, 0)</f>
        <v/>
      </c>
      <c r="J10" s="136">
        <f>IF('00_TONG_HOP_BAO_GIA'!G5&gt;0, '00_TONG_HOP_BAO_GIA'!L5 * (1 + '00_TONG_HOP_BAO_GIA'!P5) / '00_TONG_HOP_BAO_GIA'!G5, 0)</f>
        <v/>
      </c>
      <c r="K10" s="137">
        <f>'00_TONG_HOP_BAO_GIA'!Q5</f>
        <v/>
      </c>
      <c r="L10" s="137">
        <f>('00_TONG_HOP_BAO_GIA'!K5 + '00_TONG_HOP_BAO_GIA'!M5) * (1 + '00_TONG_HOP_BAO_GIA'!P5)</f>
        <v/>
      </c>
      <c r="M10" s="137">
        <f>'00_TONG_HOP_BAO_GIA'!L5 * (1 + '00_TONG_HOP_BAO_GIA'!P5)</f>
        <v/>
      </c>
      <c r="N10" s="137">
        <f>'00_TONG_HOP_BAO_GIA'!R5</f>
        <v/>
      </c>
      <c r="O10" s="139">
        <f>IF(K10=0, "CẢNH BÁO: Đơn giá = 0. Tra cứu lại Sheet 06!", '00_TONG_HOP_BAO_GIA'!S5)</f>
        <v/>
      </c>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83" t="inlineStr">
        <is>
          <t>Cái</t>
        </is>
      </c>
      <c r="H11" s="136" t="n">
        <v>1</v>
      </c>
      <c r="I11" s="136">
        <f>IF('00_TONG_HOP_BAO_GIA'!G6&gt;0, ('00_TONG_HOP_BAO_GIA'!K6 + '00_TONG_HOP_BAO_GIA'!M6) * (1 + '00_TONG_HOP_BAO_GIA'!P6) / '00_TONG_HOP_BAO_GIA'!G6, 0)</f>
        <v/>
      </c>
      <c r="J11" s="136">
        <f>IF('00_TONG_HOP_BAO_GIA'!G6&gt;0, '00_TONG_HOP_BAO_GIA'!L6 * (1 + '00_TONG_HOP_BAO_GIA'!P6) / '00_TONG_HOP_BAO_GIA'!G6, 0)</f>
        <v/>
      </c>
      <c r="K11" s="137">
        <f>'00_TONG_HOP_BAO_GIA'!Q6</f>
        <v/>
      </c>
      <c r="L11" s="137">
        <f>('00_TONG_HOP_BAO_GIA'!K6 + '00_TONG_HOP_BAO_GIA'!M6) * (1 + '00_TONG_HOP_BAO_GIA'!P6)</f>
        <v/>
      </c>
      <c r="M11" s="137">
        <f>'00_TONG_HOP_BAO_GIA'!L6 * (1 + '00_TONG_HOP_BAO_GIA'!P6)</f>
        <v/>
      </c>
      <c r="N11" s="137">
        <f>'00_TONG_HOP_BAO_GIA'!R6</f>
        <v/>
      </c>
      <c r="O11" s="139">
        <f>IF(K11=0, "CẢNH BÁO: Đơn giá = 0. Tra cứu lại Sheet 06!", '00_TONG_HOP_BAO_GIA'!S6)</f>
        <v/>
      </c>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83" t="inlineStr">
        <is>
          <t>Cái</t>
        </is>
      </c>
      <c r="H12" s="136" t="n">
        <v>2</v>
      </c>
      <c r="I12" s="136">
        <f>IF('00_TONG_HOP_BAO_GIA'!G7&gt;0, ('00_TONG_HOP_BAO_GIA'!K7 + '00_TONG_HOP_BAO_GIA'!M7) * (1 + '00_TONG_HOP_BAO_GIA'!P7) / '00_TONG_HOP_BAO_GIA'!G7, 0)</f>
        <v/>
      </c>
      <c r="J12" s="136">
        <f>IF('00_TONG_HOP_BAO_GIA'!G7&gt;0, '00_TONG_HOP_BAO_GIA'!L7 * (1 + '00_TONG_HOP_BAO_GIA'!P7) / '00_TONG_HOP_BAO_GIA'!G7, 0)</f>
        <v/>
      </c>
      <c r="K12" s="137">
        <f>'00_TONG_HOP_BAO_GIA'!Q7</f>
        <v/>
      </c>
      <c r="L12" s="137">
        <f>('00_TONG_HOP_BAO_GIA'!K7 + '00_TONG_HOP_BAO_GIA'!M7) * (1 + '00_TONG_HOP_BAO_GIA'!P7)</f>
        <v/>
      </c>
      <c r="M12" s="137">
        <f>'00_TONG_HOP_BAO_GIA'!L7 * (1 + '00_TONG_HOP_BAO_GIA'!P7)</f>
        <v/>
      </c>
      <c r="N12" s="137">
        <f>'00_TONG_HOP_BAO_GIA'!R7</f>
        <v/>
      </c>
      <c r="O12" s="139">
        <f>IF(K12=0, "CẢNH BÁO: Đơn giá = 0. Tra cứu lại Sheet 06!", '00_TONG_HOP_BAO_GIA'!S7)</f>
        <v/>
      </c>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83" t="inlineStr">
        <is>
          <t>Cái</t>
        </is>
      </c>
      <c r="H13" s="136" t="n">
        <v>2</v>
      </c>
      <c r="I13" s="136">
        <f>IF('00_TONG_HOP_BAO_GIA'!G8&gt;0, ('00_TONG_HOP_BAO_GIA'!K8 + '00_TONG_HOP_BAO_GIA'!M8) * (1 + '00_TONG_HOP_BAO_GIA'!P8) / '00_TONG_HOP_BAO_GIA'!G8, 0)</f>
        <v/>
      </c>
      <c r="J13" s="136">
        <f>IF('00_TONG_HOP_BAO_GIA'!G8&gt;0, '00_TONG_HOP_BAO_GIA'!L8 * (1 + '00_TONG_HOP_BAO_GIA'!P8) / '00_TONG_HOP_BAO_GIA'!G8, 0)</f>
        <v/>
      </c>
      <c r="K13" s="137">
        <f>'00_TONG_HOP_BAO_GIA'!Q8</f>
        <v/>
      </c>
      <c r="L13" s="137">
        <f>('00_TONG_HOP_BAO_GIA'!K8 + '00_TONG_HOP_BAO_GIA'!M8) * (1 + '00_TONG_HOP_BAO_GIA'!P8)</f>
        <v/>
      </c>
      <c r="M13" s="137">
        <f>'00_TONG_HOP_BAO_GIA'!L8 * (1 + '00_TONG_HOP_BAO_GIA'!P8)</f>
        <v/>
      </c>
      <c r="N13" s="137">
        <f>'00_TONG_HOP_BAO_GIA'!R8</f>
        <v/>
      </c>
      <c r="O13" s="139">
        <f>IF(K13=0, "CẢNH BÁO: Đơn giá = 0. Tra cứu lại Sheet 06!", '00_TONG_HOP_BAO_GIA'!S8)</f>
        <v/>
      </c>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83" t="inlineStr">
        <is>
          <t>Cái</t>
        </is>
      </c>
      <c r="H14" s="136" t="n">
        <v>1</v>
      </c>
      <c r="I14" s="136">
        <f>IF('00_TONG_HOP_BAO_GIA'!G9&gt;0, ('00_TONG_HOP_BAO_GIA'!K9 + '00_TONG_HOP_BAO_GIA'!M9) * (1 + '00_TONG_HOP_BAO_GIA'!P9) / '00_TONG_HOP_BAO_GIA'!G9, 0)</f>
        <v/>
      </c>
      <c r="J14" s="136">
        <f>IF('00_TONG_HOP_BAO_GIA'!G9&gt;0, '00_TONG_HOP_BAO_GIA'!L9 * (1 + '00_TONG_HOP_BAO_GIA'!P9) / '00_TONG_HOP_BAO_GIA'!G9, 0)</f>
        <v/>
      </c>
      <c r="K14" s="137">
        <f>'00_TONG_HOP_BAO_GIA'!Q9</f>
        <v/>
      </c>
      <c r="L14" s="137">
        <f>('00_TONG_HOP_BAO_GIA'!K9 + '00_TONG_HOP_BAO_GIA'!M9) * (1 + '00_TONG_HOP_BAO_GIA'!P9)</f>
        <v/>
      </c>
      <c r="M14" s="137">
        <f>'00_TONG_HOP_BAO_GIA'!L9 * (1 + '00_TONG_HOP_BAO_GIA'!P9)</f>
        <v/>
      </c>
      <c r="N14" s="137">
        <f>'00_TONG_HOP_BAO_GIA'!R9</f>
        <v/>
      </c>
      <c r="O14" s="139">
        <f>IF(K14=0, "CẢNH BÁO: Đơn giá = 0. Tra cứu lại Sheet 06!", '00_TONG_HOP_BAO_GIA'!S9)</f>
        <v/>
      </c>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83" t="inlineStr">
        <is>
          <t>Cái</t>
        </is>
      </c>
      <c r="H15" s="136" t="n">
        <v>3</v>
      </c>
      <c r="I15" s="136">
        <f>IF('00_TONG_HOP_BAO_GIA'!G10&gt;0, ('00_TONG_HOP_BAO_GIA'!K10 + '00_TONG_HOP_BAO_GIA'!M10) * (1 + '00_TONG_HOP_BAO_GIA'!P10) / '00_TONG_HOP_BAO_GIA'!G10, 0)</f>
        <v/>
      </c>
      <c r="J15" s="136">
        <f>IF('00_TONG_HOP_BAO_GIA'!G10&gt;0, '00_TONG_HOP_BAO_GIA'!L10 * (1 + '00_TONG_HOP_BAO_GIA'!P10) / '00_TONG_HOP_BAO_GIA'!G10, 0)</f>
        <v/>
      </c>
      <c r="K15" s="137">
        <f>'00_TONG_HOP_BAO_GIA'!Q10</f>
        <v/>
      </c>
      <c r="L15" s="137">
        <f>('00_TONG_HOP_BAO_GIA'!K10 + '00_TONG_HOP_BAO_GIA'!M10) * (1 + '00_TONG_HOP_BAO_GIA'!P10)</f>
        <v/>
      </c>
      <c r="M15" s="137">
        <f>'00_TONG_HOP_BAO_GIA'!L10 * (1 + '00_TONG_HOP_BAO_GIA'!P10)</f>
        <v/>
      </c>
      <c r="N15" s="137">
        <f>'00_TONG_HOP_BAO_GIA'!R10</f>
        <v/>
      </c>
      <c r="O15" s="139">
        <f>IF(K15=0, "CẢNH BÁO: Đơn giá = 0. Tra cứu lại Sheet 06!", '00_TONG_HOP_BAO_GIA'!S10)</f>
        <v/>
      </c>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83" t="inlineStr">
        <is>
          <t>Cái</t>
        </is>
      </c>
      <c r="H16" s="136" t="n">
        <v>1</v>
      </c>
      <c r="I16" s="136">
        <f>IF('00_TONG_HOP_BAO_GIA'!G11&gt;0, ('00_TONG_HOP_BAO_GIA'!K11 + '00_TONG_HOP_BAO_GIA'!M11) * (1 + '00_TONG_HOP_BAO_GIA'!P11) / '00_TONG_HOP_BAO_GIA'!G11, 0)</f>
        <v/>
      </c>
      <c r="J16" s="136">
        <f>IF('00_TONG_HOP_BAO_GIA'!G11&gt;0, '00_TONG_HOP_BAO_GIA'!L11 * (1 + '00_TONG_HOP_BAO_GIA'!P11) / '00_TONG_HOP_BAO_GIA'!G11, 0)</f>
        <v/>
      </c>
      <c r="K16" s="137">
        <f>'00_TONG_HOP_BAO_GIA'!Q11</f>
        <v/>
      </c>
      <c r="L16" s="137">
        <f>('00_TONG_HOP_BAO_GIA'!K11 + '00_TONG_HOP_BAO_GIA'!M11) * (1 + '00_TONG_HOP_BAO_GIA'!P11)</f>
        <v/>
      </c>
      <c r="M16" s="137">
        <f>'00_TONG_HOP_BAO_GIA'!L11 * (1 + '00_TONG_HOP_BAO_GIA'!P11)</f>
        <v/>
      </c>
      <c r="N16" s="137">
        <f>'00_TONG_HOP_BAO_GIA'!R11</f>
        <v/>
      </c>
      <c r="O16" s="139">
        <f>IF(K16=0, "CẢNH BÁO: Đơn giá = 0. Tra cứu lại Sheet 06!", '00_TONG_HOP_BAO_GIA'!S11)</f>
        <v/>
      </c>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83" t="inlineStr">
        <is>
          <t>Cái</t>
        </is>
      </c>
      <c r="H17" s="136" t="n">
        <v>3</v>
      </c>
      <c r="I17" s="136">
        <f>IF('00_TONG_HOP_BAO_GIA'!G12&gt;0, ('00_TONG_HOP_BAO_GIA'!K12 + '00_TONG_HOP_BAO_GIA'!M12) * (1 + '00_TONG_HOP_BAO_GIA'!P12) / '00_TONG_HOP_BAO_GIA'!G12, 0)</f>
        <v/>
      </c>
      <c r="J17" s="136">
        <f>IF('00_TONG_HOP_BAO_GIA'!G12&gt;0, '00_TONG_HOP_BAO_GIA'!L12 * (1 + '00_TONG_HOP_BAO_GIA'!P12) / '00_TONG_HOP_BAO_GIA'!G12, 0)</f>
        <v/>
      </c>
      <c r="K17" s="137">
        <f>'00_TONG_HOP_BAO_GIA'!Q12</f>
        <v/>
      </c>
      <c r="L17" s="137">
        <f>('00_TONG_HOP_BAO_GIA'!K12 + '00_TONG_HOP_BAO_GIA'!M12) * (1 + '00_TONG_HOP_BAO_GIA'!P12)</f>
        <v/>
      </c>
      <c r="M17" s="137">
        <f>'00_TONG_HOP_BAO_GIA'!L12 * (1 + '00_TONG_HOP_BAO_GIA'!P12)</f>
        <v/>
      </c>
      <c r="N17" s="137">
        <f>'00_TONG_HOP_BAO_GIA'!R12</f>
        <v/>
      </c>
      <c r="O17" s="139">
        <f>IF(K17=0, "CẢNH BÁO: Đơn giá = 0. Tra cứu lại Sheet 06!", '00_TONG_HOP_BAO_GIA'!S12)</f>
        <v/>
      </c>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83" t="inlineStr">
        <is>
          <t>Cái</t>
        </is>
      </c>
      <c r="H18" s="136" t="n">
        <v>1</v>
      </c>
      <c r="I18" s="136">
        <f>IF('00_TONG_HOP_BAO_GIA'!G13&gt;0, ('00_TONG_HOP_BAO_GIA'!K13 + '00_TONG_HOP_BAO_GIA'!M13) * (1 + '00_TONG_HOP_BAO_GIA'!P13) / '00_TONG_HOP_BAO_GIA'!G13, 0)</f>
        <v/>
      </c>
      <c r="J18" s="136">
        <f>IF('00_TONG_HOP_BAO_GIA'!G13&gt;0, '00_TONG_HOP_BAO_GIA'!L13 * (1 + '00_TONG_HOP_BAO_GIA'!P13) / '00_TONG_HOP_BAO_GIA'!G13, 0)</f>
        <v/>
      </c>
      <c r="K18" s="137">
        <f>'00_TONG_HOP_BAO_GIA'!Q13</f>
        <v/>
      </c>
      <c r="L18" s="137">
        <f>('00_TONG_HOP_BAO_GIA'!K13 + '00_TONG_HOP_BAO_GIA'!M13) * (1 + '00_TONG_HOP_BAO_GIA'!P13)</f>
        <v/>
      </c>
      <c r="M18" s="137">
        <f>'00_TONG_HOP_BAO_GIA'!L13 * (1 + '00_TONG_HOP_BAO_GIA'!P13)</f>
        <v/>
      </c>
      <c r="N18" s="137">
        <f>'00_TONG_HOP_BAO_GIA'!R13</f>
        <v/>
      </c>
      <c r="O18" s="139">
        <f>IF(K18=0, "CẢNH BÁO: Đơn giá = 0. Tra cứu lại Sheet 06!", '00_TONG_HOP_BAO_GIA'!S13)</f>
        <v/>
      </c>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83" t="inlineStr">
        <is>
          <t>Cái</t>
        </is>
      </c>
      <c r="H19" s="136" t="n">
        <v>1</v>
      </c>
      <c r="I19" s="136">
        <f>IF('00_TONG_HOP_BAO_GIA'!G14&gt;0, ('00_TONG_HOP_BAO_GIA'!K14 + '00_TONG_HOP_BAO_GIA'!M14) * (1 + '00_TONG_HOP_BAO_GIA'!P14) / '00_TONG_HOP_BAO_GIA'!G14, 0)</f>
        <v/>
      </c>
      <c r="J19" s="136">
        <f>IF('00_TONG_HOP_BAO_GIA'!G14&gt;0, '00_TONG_HOP_BAO_GIA'!L14 * (1 + '00_TONG_HOP_BAO_GIA'!P14) / '00_TONG_HOP_BAO_GIA'!G14, 0)</f>
        <v/>
      </c>
      <c r="K19" s="137">
        <f>'00_TONG_HOP_BAO_GIA'!Q14</f>
        <v/>
      </c>
      <c r="L19" s="137">
        <f>('00_TONG_HOP_BAO_GIA'!K14 + '00_TONG_HOP_BAO_GIA'!M14) * (1 + '00_TONG_HOP_BAO_GIA'!P14)</f>
        <v/>
      </c>
      <c r="M19" s="137">
        <f>'00_TONG_HOP_BAO_GIA'!L14 * (1 + '00_TONG_HOP_BAO_GIA'!P14)</f>
        <v/>
      </c>
      <c r="N19" s="137">
        <f>'00_TONG_HOP_BAO_GIA'!R14</f>
        <v/>
      </c>
      <c r="O19" s="139">
        <f>IF(K19=0, "CẢNH BÁO: Đơn giá = 0. Tra cứu lại Sheet 06!", '00_TONG_HOP_BAO_GIA'!S14)</f>
        <v/>
      </c>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83" t="inlineStr">
        <is>
          <t>Cái</t>
        </is>
      </c>
      <c r="H20" s="136" t="n">
        <v>1</v>
      </c>
      <c r="I20" s="136">
        <f>IF('00_TONG_HOP_BAO_GIA'!G15&gt;0, ('00_TONG_HOP_BAO_GIA'!K15 + '00_TONG_HOP_BAO_GIA'!M15) * (1 + '00_TONG_HOP_BAO_GIA'!P15) / '00_TONG_HOP_BAO_GIA'!G15, 0)</f>
        <v/>
      </c>
      <c r="J20" s="136">
        <f>IF('00_TONG_HOP_BAO_GIA'!G15&gt;0, '00_TONG_HOP_BAO_GIA'!L15 * (1 + '00_TONG_HOP_BAO_GIA'!P15) / '00_TONG_HOP_BAO_GIA'!G15, 0)</f>
        <v/>
      </c>
      <c r="K20" s="137">
        <f>'00_TONG_HOP_BAO_GIA'!Q15</f>
        <v/>
      </c>
      <c r="L20" s="137">
        <f>('00_TONG_HOP_BAO_GIA'!K15 + '00_TONG_HOP_BAO_GIA'!M15) * (1 + '00_TONG_HOP_BAO_GIA'!P15)</f>
        <v/>
      </c>
      <c r="M20" s="137">
        <f>'00_TONG_HOP_BAO_GIA'!L15 * (1 + '00_TONG_HOP_BAO_GIA'!P15)</f>
        <v/>
      </c>
      <c r="N20" s="137">
        <f>'00_TONG_HOP_BAO_GIA'!R15</f>
        <v/>
      </c>
      <c r="O20" s="139">
        <f>IF(K20=0, "CẢNH BÁO: Đơn giá = 0. Tra cứu lại Sheet 06!", '00_TONG_HOP_BAO_GIA'!S15)</f>
        <v/>
      </c>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84" t="inlineStr">
        <is>
          <t>cái</t>
        </is>
      </c>
      <c r="H21" s="343" t="n">
        <v>15</v>
      </c>
      <c r="I21" s="343">
        <f>IF('00_TONG_HOP_BAO_GIA'!G16&gt;0, ('00_TONG_HOP_BAO_GIA'!K16 + '00_TONG_HOP_BAO_GIA'!M16) * (1 + '00_TONG_HOP_BAO_GIA'!P16) / '00_TONG_HOP_BAO_GIA'!G16, 0)</f>
        <v/>
      </c>
      <c r="J21" s="343">
        <f>IF('00_TONG_HOP_BAO_GIA'!G16&gt;0, '00_TONG_HOP_BAO_GIA'!L16 * (1 + '00_TONG_HOP_BAO_GIA'!P16) / '00_TONG_HOP_BAO_GIA'!G16, 0)</f>
        <v/>
      </c>
      <c r="K21" s="344">
        <f>'00_TONG_HOP_BAO_GIA'!Q16</f>
        <v/>
      </c>
      <c r="L21" s="344">
        <f>('00_TONG_HOP_BAO_GIA'!K16 + '00_TONG_HOP_BAO_GIA'!M16) * (1 + '00_TONG_HOP_BAO_GIA'!P16)</f>
        <v/>
      </c>
      <c r="M21" s="344">
        <f>'00_TONG_HOP_BAO_GIA'!L16 * (1 + '00_TONG_HOP_BAO_GIA'!P16)</f>
        <v/>
      </c>
      <c r="N21" s="344">
        <f>'00_TONG_HOP_BAO_GIA'!R16</f>
        <v/>
      </c>
      <c r="O21" s="341">
        <f>IF(K21=0, "CẢNH BÁO: Đơn giá = 0. Tra cứu lại Sheet 06!", '00_TONG_HOP_BAO_GIA'!S16)</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84" t="inlineStr">
        <is>
          <t>cái</t>
        </is>
      </c>
      <c r="H22" s="343" t="n">
        <v>40</v>
      </c>
      <c r="I22" s="343">
        <f>IF('00_TONG_HOP_BAO_GIA'!G17&gt;0, ('00_TONG_HOP_BAO_GIA'!K17 + '00_TONG_HOP_BAO_GIA'!M17) * (1 + '00_TONG_HOP_BAO_GIA'!P17) / '00_TONG_HOP_BAO_GIA'!G17, 0)</f>
        <v/>
      </c>
      <c r="J22" s="343">
        <f>IF('00_TONG_HOP_BAO_GIA'!G17&gt;0, '00_TONG_HOP_BAO_GIA'!L17 * (1 + '00_TONG_HOP_BAO_GIA'!P17) / '00_TONG_HOP_BAO_GIA'!G17, 0)</f>
        <v/>
      </c>
      <c r="K22" s="344">
        <f>'00_TONG_HOP_BAO_GIA'!Q17</f>
        <v/>
      </c>
      <c r="L22" s="344">
        <f>('00_TONG_HOP_BAO_GIA'!K17 + '00_TONG_HOP_BAO_GIA'!M17) * (1 + '00_TONG_HOP_BAO_GIA'!P17)</f>
        <v/>
      </c>
      <c r="M22" s="344">
        <f>'00_TONG_HOP_BAO_GIA'!L17 * (1 + '00_TONG_HOP_BAO_GIA'!P17)</f>
        <v/>
      </c>
      <c r="N22" s="344">
        <f>'00_TONG_HOP_BAO_GIA'!R17</f>
        <v/>
      </c>
      <c r="O22" s="341">
        <f>IF(K22=0, "CẢNH BÁO: Đơn giá = 0. Tra cứu lại Sheet 06!", '00_TONG_HOP_BAO_GIA'!S17)</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84" t="inlineStr">
        <is>
          <t>cái</t>
        </is>
      </c>
      <c r="H23" s="343" t="n">
        <v>40</v>
      </c>
      <c r="I23" s="343">
        <f>IF('00_TONG_HOP_BAO_GIA'!G18&gt;0, ('00_TONG_HOP_BAO_GIA'!K18 + '00_TONG_HOP_BAO_GIA'!M18) * (1 + '00_TONG_HOP_BAO_GIA'!P18) / '00_TONG_HOP_BAO_GIA'!G18, 0)</f>
        <v/>
      </c>
      <c r="J23" s="343">
        <f>IF('00_TONG_HOP_BAO_GIA'!G18&gt;0, '00_TONG_HOP_BAO_GIA'!L18 * (1 + '00_TONG_HOP_BAO_GIA'!P18) / '00_TONG_HOP_BAO_GIA'!G18, 0)</f>
        <v/>
      </c>
      <c r="K23" s="344">
        <f>'00_TONG_HOP_BAO_GIA'!Q18</f>
        <v/>
      </c>
      <c r="L23" s="344">
        <f>('00_TONG_HOP_BAO_GIA'!K18 + '00_TONG_HOP_BAO_GIA'!M18) * (1 + '00_TONG_HOP_BAO_GIA'!P18)</f>
        <v/>
      </c>
      <c r="M23" s="344">
        <f>'00_TONG_HOP_BAO_GIA'!L18 * (1 + '00_TONG_HOP_BAO_GIA'!P18)</f>
        <v/>
      </c>
      <c r="N23" s="344">
        <f>'00_TONG_HOP_BAO_GIA'!R18</f>
        <v/>
      </c>
      <c r="O23" s="341">
        <f>IF(K23=0, "CẢNH BÁO: Đơn giá = 0. Tra cứu lại Sheet 06!", '00_TONG_HOP_BAO_GIA'!S18)</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84" t="inlineStr">
        <is>
          <t>cái</t>
        </is>
      </c>
      <c r="H24" s="343" t="n">
        <v>16</v>
      </c>
      <c r="I24" s="343">
        <f>IF('00_TONG_HOP_BAO_GIA'!G19&gt;0, ('00_TONG_HOP_BAO_GIA'!K19 + '00_TONG_HOP_BAO_GIA'!M19) * (1 + '00_TONG_HOP_BAO_GIA'!P19) / '00_TONG_HOP_BAO_GIA'!G19, 0)</f>
        <v/>
      </c>
      <c r="J24" s="343">
        <f>IF('00_TONG_HOP_BAO_GIA'!G19&gt;0, '00_TONG_HOP_BAO_GIA'!L19 * (1 + '00_TONG_HOP_BAO_GIA'!P19) / '00_TONG_HOP_BAO_GIA'!G19, 0)</f>
        <v/>
      </c>
      <c r="K24" s="344">
        <f>'00_TONG_HOP_BAO_GIA'!Q19</f>
        <v/>
      </c>
      <c r="L24" s="344">
        <f>('00_TONG_HOP_BAO_GIA'!K19 + '00_TONG_HOP_BAO_GIA'!M19) * (1 + '00_TONG_HOP_BAO_GIA'!P19)</f>
        <v/>
      </c>
      <c r="M24" s="344">
        <f>'00_TONG_HOP_BAO_GIA'!L19 * (1 + '00_TONG_HOP_BAO_GIA'!P19)</f>
        <v/>
      </c>
      <c r="N24" s="344">
        <f>'00_TONG_HOP_BAO_GIA'!R19</f>
        <v/>
      </c>
      <c r="O24" s="341">
        <f>IF(K24=0, "CẢNH BÁO: Đơn giá = 0. Tra cứu lại Sheet 06!", '00_TONG_HOP_BAO_GIA'!S19)</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84" t="inlineStr">
        <is>
          <t>cái</t>
        </is>
      </c>
      <c r="H25" s="343" t="n">
        <v>16</v>
      </c>
      <c r="I25" s="343">
        <f>IF('00_TONG_HOP_BAO_GIA'!G20&gt;0, ('00_TONG_HOP_BAO_GIA'!K20 + '00_TONG_HOP_BAO_GIA'!M20) * (1 + '00_TONG_HOP_BAO_GIA'!P20) / '00_TONG_HOP_BAO_GIA'!G20, 0)</f>
        <v/>
      </c>
      <c r="J25" s="343">
        <f>IF('00_TONG_HOP_BAO_GIA'!G20&gt;0, '00_TONG_HOP_BAO_GIA'!L20 * (1 + '00_TONG_HOP_BAO_GIA'!P20) / '00_TONG_HOP_BAO_GIA'!G20, 0)</f>
        <v/>
      </c>
      <c r="K25" s="344">
        <f>'00_TONG_HOP_BAO_GIA'!Q20</f>
        <v/>
      </c>
      <c r="L25" s="344">
        <f>('00_TONG_HOP_BAO_GIA'!K20 + '00_TONG_HOP_BAO_GIA'!M20) * (1 + '00_TONG_HOP_BAO_GIA'!P20)</f>
        <v/>
      </c>
      <c r="M25" s="344">
        <f>'00_TONG_HOP_BAO_GIA'!L20 * (1 + '00_TONG_HOP_BAO_GIA'!P20)</f>
        <v/>
      </c>
      <c r="N25" s="344">
        <f>'00_TONG_HOP_BAO_GIA'!R20</f>
        <v/>
      </c>
      <c r="O25" s="341">
        <f>IF(K25=0, "CẢNH BÁO: Đơn giá = 0. Tra cứu lại Sheet 06!", '00_TONG_HOP_BAO_GIA'!S20)</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84" t="inlineStr">
        <is>
          <t>cái</t>
        </is>
      </c>
      <c r="H26" s="343" t="n">
        <v>32</v>
      </c>
      <c r="I26" s="343">
        <f>IF('00_TONG_HOP_BAO_GIA'!G21&gt;0, ('00_TONG_HOP_BAO_GIA'!K21 + '00_TONG_HOP_BAO_GIA'!M21) * (1 + '00_TONG_HOP_BAO_GIA'!P21) / '00_TONG_HOP_BAO_GIA'!G21, 0)</f>
        <v/>
      </c>
      <c r="J26" s="343">
        <f>IF('00_TONG_HOP_BAO_GIA'!G21&gt;0, '00_TONG_HOP_BAO_GIA'!L21 * (1 + '00_TONG_HOP_BAO_GIA'!P21) / '00_TONG_HOP_BAO_GIA'!G21, 0)</f>
        <v/>
      </c>
      <c r="K26" s="344">
        <f>'00_TONG_HOP_BAO_GIA'!Q21</f>
        <v/>
      </c>
      <c r="L26" s="344">
        <f>('00_TONG_HOP_BAO_GIA'!K21 + '00_TONG_HOP_BAO_GIA'!M21) * (1 + '00_TONG_HOP_BAO_GIA'!P21)</f>
        <v/>
      </c>
      <c r="M26" s="344">
        <f>'00_TONG_HOP_BAO_GIA'!L21 * (1 + '00_TONG_HOP_BAO_GIA'!P21)</f>
        <v/>
      </c>
      <c r="N26" s="344">
        <f>'00_TONG_HOP_BAO_GIA'!R21</f>
        <v/>
      </c>
      <c r="O26" s="341">
        <f>IF(K26=0, "CẢNH BÁO: Đơn giá = 0. Tra cứu lại Sheet 06!", '00_TONG_HOP_BAO_GIA'!S21)</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84" t="inlineStr">
        <is>
          <t>cái</t>
        </is>
      </c>
      <c r="H27" s="343" t="n">
        <v>24</v>
      </c>
      <c r="I27" s="343">
        <f>IF('00_TONG_HOP_BAO_GIA'!G22&gt;0, ('00_TONG_HOP_BAO_GIA'!K22 + '00_TONG_HOP_BAO_GIA'!M22) * (1 + '00_TONG_HOP_BAO_GIA'!P22) / '00_TONG_HOP_BAO_GIA'!G22, 0)</f>
        <v/>
      </c>
      <c r="J27" s="343">
        <f>IF('00_TONG_HOP_BAO_GIA'!G22&gt;0, '00_TONG_HOP_BAO_GIA'!L22 * (1 + '00_TONG_HOP_BAO_GIA'!P22) / '00_TONG_HOP_BAO_GIA'!G22, 0)</f>
        <v/>
      </c>
      <c r="K27" s="344">
        <f>'00_TONG_HOP_BAO_GIA'!Q22</f>
        <v/>
      </c>
      <c r="L27" s="344">
        <f>('00_TONG_HOP_BAO_GIA'!K22 + '00_TONG_HOP_BAO_GIA'!M22) * (1 + '00_TONG_HOP_BAO_GIA'!P22)</f>
        <v/>
      </c>
      <c r="M27" s="344">
        <f>'00_TONG_HOP_BAO_GIA'!L22 * (1 + '00_TONG_HOP_BAO_GIA'!P22)</f>
        <v/>
      </c>
      <c r="N27" s="344">
        <f>'00_TONG_HOP_BAO_GIA'!R22</f>
        <v/>
      </c>
      <c r="O27" s="341">
        <f>IF(K27=0, "CẢNH BÁO: Đơn giá = 0. Tra cứu lại Sheet 06!", '00_TONG_HOP_BAO_GIA'!S22)</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83" t="inlineStr">
        <is>
          <t>Bộ</t>
        </is>
      </c>
      <c r="H28" s="136" t="n">
        <v>16</v>
      </c>
      <c r="I28" s="136">
        <f>IF('00_TONG_HOP_BAO_GIA'!G23&gt;0, ('00_TONG_HOP_BAO_GIA'!K23 + '00_TONG_HOP_BAO_GIA'!M23) * (1 + '00_TONG_HOP_BAO_GIA'!P23) / '00_TONG_HOP_BAO_GIA'!G23, 0)</f>
        <v/>
      </c>
      <c r="J28" s="136">
        <f>IF('00_TONG_HOP_BAO_GIA'!G23&gt;0, '00_TONG_HOP_BAO_GIA'!L23 * (1 + '00_TONG_HOP_BAO_GIA'!P23) / '00_TONG_HOP_BAO_GIA'!G23, 0)</f>
        <v/>
      </c>
      <c r="K28" s="137">
        <f>'00_TONG_HOP_BAO_GIA'!Q23</f>
        <v/>
      </c>
      <c r="L28" s="137">
        <f>('00_TONG_HOP_BAO_GIA'!K23 + '00_TONG_HOP_BAO_GIA'!M23) * (1 + '00_TONG_HOP_BAO_GIA'!P23)</f>
        <v/>
      </c>
      <c r="M28" s="137">
        <f>'00_TONG_HOP_BAO_GIA'!L23 * (1 + '00_TONG_HOP_BAO_GIA'!P23)</f>
        <v/>
      </c>
      <c r="N28" s="137">
        <f>'00_TONG_HOP_BAO_GIA'!R23</f>
        <v/>
      </c>
      <c r="O28" s="139">
        <f>IF(K28=0, "CẢNH BÁO: Đơn giá = 0. Tra cứu lại Sheet 06!", '00_TONG_HOP_BAO_GIA'!S23)</f>
        <v/>
      </c>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83" t="inlineStr">
        <is>
          <t>Cái</t>
        </is>
      </c>
      <c r="H29" s="136" t="n">
        <v>6</v>
      </c>
      <c r="I29" s="136">
        <f>IF('00_TONG_HOP_BAO_GIA'!G24&gt;0, ('00_TONG_HOP_BAO_GIA'!K24 + '00_TONG_HOP_BAO_GIA'!M24) * (1 + '00_TONG_HOP_BAO_GIA'!P24) / '00_TONG_HOP_BAO_GIA'!G24, 0)</f>
        <v/>
      </c>
      <c r="J29" s="136">
        <f>IF('00_TONG_HOP_BAO_GIA'!G24&gt;0, '00_TONG_HOP_BAO_GIA'!L24 * (1 + '00_TONG_HOP_BAO_GIA'!P24) / '00_TONG_HOP_BAO_GIA'!G24, 0)</f>
        <v/>
      </c>
      <c r="K29" s="137">
        <f>'00_TONG_HOP_BAO_GIA'!Q24</f>
        <v/>
      </c>
      <c r="L29" s="137">
        <f>('00_TONG_HOP_BAO_GIA'!K24 + '00_TONG_HOP_BAO_GIA'!M24) * (1 + '00_TONG_HOP_BAO_GIA'!P24)</f>
        <v/>
      </c>
      <c r="M29" s="137">
        <f>'00_TONG_HOP_BAO_GIA'!L24 * (1 + '00_TONG_HOP_BAO_GIA'!P24)</f>
        <v/>
      </c>
      <c r="N29" s="137">
        <f>'00_TONG_HOP_BAO_GIA'!R24</f>
        <v/>
      </c>
      <c r="O29" s="139">
        <f>IF(K29=0, "CẢNH BÁO: Đơn giá = 0. Tra cứu lại Sheet 06!", '00_TONG_HOP_BAO_GIA'!S24)</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83" t="inlineStr">
        <is>
          <t>Cái</t>
        </is>
      </c>
      <c r="H30" s="136" t="n">
        <v>2</v>
      </c>
      <c r="I30" s="136">
        <f>IF('00_TONG_HOP_BAO_GIA'!G25&gt;0, ('00_TONG_HOP_BAO_GIA'!K25 + '00_TONG_HOP_BAO_GIA'!M25) * (1 + '00_TONG_HOP_BAO_GIA'!P25) / '00_TONG_HOP_BAO_GIA'!G25, 0)</f>
        <v/>
      </c>
      <c r="J30" s="136">
        <f>IF('00_TONG_HOP_BAO_GIA'!G25&gt;0, '00_TONG_HOP_BAO_GIA'!L25 * (1 + '00_TONG_HOP_BAO_GIA'!P25) / '00_TONG_HOP_BAO_GIA'!G25, 0)</f>
        <v/>
      </c>
      <c r="K30" s="137">
        <f>'00_TONG_HOP_BAO_GIA'!Q25</f>
        <v/>
      </c>
      <c r="L30" s="137">
        <f>('00_TONG_HOP_BAO_GIA'!K25 + '00_TONG_HOP_BAO_GIA'!M25) * (1 + '00_TONG_HOP_BAO_GIA'!P25)</f>
        <v/>
      </c>
      <c r="M30" s="137">
        <f>'00_TONG_HOP_BAO_GIA'!L25 * (1 + '00_TONG_HOP_BAO_GIA'!P25)</f>
        <v/>
      </c>
      <c r="N30" s="137">
        <f>'00_TONG_HOP_BAO_GIA'!R25</f>
        <v/>
      </c>
      <c r="O30" s="139">
        <f>IF(K30=0, "CẢNH BÁO: Đơn giá = 0. Tra cứu lại Sheet 06!", '00_TONG_HOP_BAO_GIA'!S25)</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83" t="inlineStr">
        <is>
          <t>Cái</t>
        </is>
      </c>
      <c r="H31" s="136" t="n">
        <v>1</v>
      </c>
      <c r="I31" s="136">
        <f>IF('00_TONG_HOP_BAO_GIA'!G26&gt;0, ('00_TONG_HOP_BAO_GIA'!K26 + '00_TONG_HOP_BAO_GIA'!M26) * (1 + '00_TONG_HOP_BAO_GIA'!P26) / '00_TONG_HOP_BAO_GIA'!G26, 0)</f>
        <v/>
      </c>
      <c r="J31" s="136">
        <f>IF('00_TONG_HOP_BAO_GIA'!G26&gt;0, '00_TONG_HOP_BAO_GIA'!L26 * (1 + '00_TONG_HOP_BAO_GIA'!P26) / '00_TONG_HOP_BAO_GIA'!G26, 0)</f>
        <v/>
      </c>
      <c r="K31" s="137">
        <f>'00_TONG_HOP_BAO_GIA'!Q26</f>
        <v/>
      </c>
      <c r="L31" s="137">
        <f>('00_TONG_HOP_BAO_GIA'!K26 + '00_TONG_HOP_BAO_GIA'!M26) * (1 + '00_TONG_HOP_BAO_GIA'!P26)</f>
        <v/>
      </c>
      <c r="M31" s="137">
        <f>'00_TONG_HOP_BAO_GIA'!L26 * (1 + '00_TONG_HOP_BAO_GIA'!P26)</f>
        <v/>
      </c>
      <c r="N31" s="137">
        <f>'00_TONG_HOP_BAO_GIA'!R26</f>
        <v/>
      </c>
      <c r="O31" s="139">
        <f>IF(K31=0, "CẢNH BÁO: Đơn giá = 0. Tra cứu lại Sheet 06!", '00_TONG_HOP_BAO_GIA'!S26)</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83" t="inlineStr">
        <is>
          <t>Cái</t>
        </is>
      </c>
      <c r="H32" s="136" t="n">
        <v>6</v>
      </c>
      <c r="I32" s="136">
        <f>IF('00_TONG_HOP_BAO_GIA'!G27&gt;0, ('00_TONG_HOP_BAO_GIA'!K27 + '00_TONG_HOP_BAO_GIA'!M27) * (1 + '00_TONG_HOP_BAO_GIA'!P27) / '00_TONG_HOP_BAO_GIA'!G27, 0)</f>
        <v/>
      </c>
      <c r="J32" s="136">
        <f>IF('00_TONG_HOP_BAO_GIA'!G27&gt;0, '00_TONG_HOP_BAO_GIA'!L27 * (1 + '00_TONG_HOP_BAO_GIA'!P27) / '00_TONG_HOP_BAO_GIA'!G27, 0)</f>
        <v/>
      </c>
      <c r="K32" s="137">
        <f>'00_TONG_HOP_BAO_GIA'!Q27</f>
        <v/>
      </c>
      <c r="L32" s="137">
        <f>('00_TONG_HOP_BAO_GIA'!K27 + '00_TONG_HOP_BAO_GIA'!M27) * (1 + '00_TONG_HOP_BAO_GIA'!P27)</f>
        <v/>
      </c>
      <c r="M32" s="137">
        <f>'00_TONG_HOP_BAO_GIA'!L27 * (1 + '00_TONG_HOP_BAO_GIA'!P27)</f>
        <v/>
      </c>
      <c r="N32" s="137">
        <f>'00_TONG_HOP_BAO_GIA'!R27</f>
        <v/>
      </c>
      <c r="O32" s="139">
        <f>IF(K32=0, "CẢNH BÁO: Đơn giá = 0. Tra cứu lại Sheet 06!", '00_TONG_HOP_BAO_GIA'!S27)</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83" t="inlineStr">
        <is>
          <t>Cái</t>
        </is>
      </c>
      <c r="H33" s="136" t="n">
        <v>2</v>
      </c>
      <c r="I33" s="136">
        <f>IF('00_TONG_HOP_BAO_GIA'!G28&gt;0, ('00_TONG_HOP_BAO_GIA'!K28 + '00_TONG_HOP_BAO_GIA'!M28) * (1 + '00_TONG_HOP_BAO_GIA'!P28) / '00_TONG_HOP_BAO_GIA'!G28, 0)</f>
        <v/>
      </c>
      <c r="J33" s="136">
        <f>IF('00_TONG_HOP_BAO_GIA'!G28&gt;0, '00_TONG_HOP_BAO_GIA'!L28 * (1 + '00_TONG_HOP_BAO_GIA'!P28) / '00_TONG_HOP_BAO_GIA'!G28, 0)</f>
        <v/>
      </c>
      <c r="K33" s="137">
        <f>'00_TONG_HOP_BAO_GIA'!Q28</f>
        <v/>
      </c>
      <c r="L33" s="137">
        <f>('00_TONG_HOP_BAO_GIA'!K28 + '00_TONG_HOP_BAO_GIA'!M28) * (1 + '00_TONG_HOP_BAO_GIA'!P28)</f>
        <v/>
      </c>
      <c r="M33" s="137">
        <f>'00_TONG_HOP_BAO_GIA'!L28 * (1 + '00_TONG_HOP_BAO_GIA'!P28)</f>
        <v/>
      </c>
      <c r="N33" s="137">
        <f>'00_TONG_HOP_BAO_GIA'!R28</f>
        <v/>
      </c>
      <c r="O33" s="139">
        <f>IF(K33=0, "CẢNH BÁO: Đơn giá = 0. Tra cứu lại Sheet 06!", '00_TONG_HOP_BAO_GIA'!S28)</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83" t="inlineStr">
        <is>
          <t>Cái</t>
        </is>
      </c>
      <c r="H34" s="136" t="n">
        <v>1</v>
      </c>
      <c r="I34" s="136">
        <f>IF('00_TONG_HOP_BAO_GIA'!G29&gt;0, ('00_TONG_HOP_BAO_GIA'!K29 + '00_TONG_HOP_BAO_GIA'!M29) * (1 + '00_TONG_HOP_BAO_GIA'!P29) / '00_TONG_HOP_BAO_GIA'!G29, 0)</f>
        <v/>
      </c>
      <c r="J34" s="136">
        <f>IF('00_TONG_HOP_BAO_GIA'!G29&gt;0, '00_TONG_HOP_BAO_GIA'!L29 * (1 + '00_TONG_HOP_BAO_GIA'!P29) / '00_TONG_HOP_BAO_GIA'!G29, 0)</f>
        <v/>
      </c>
      <c r="K34" s="137">
        <f>'00_TONG_HOP_BAO_GIA'!Q29</f>
        <v/>
      </c>
      <c r="L34" s="137">
        <f>('00_TONG_HOP_BAO_GIA'!K29 + '00_TONG_HOP_BAO_GIA'!M29) * (1 + '00_TONG_HOP_BAO_GIA'!P29)</f>
        <v/>
      </c>
      <c r="M34" s="137">
        <f>'00_TONG_HOP_BAO_GIA'!L29 * (1 + '00_TONG_HOP_BAO_GIA'!P29)</f>
        <v/>
      </c>
      <c r="N34" s="137">
        <f>'00_TONG_HOP_BAO_GIA'!R29</f>
        <v/>
      </c>
      <c r="O34" s="139">
        <f>IF(K34=0, "CẢNH BÁO: Đơn giá = 0. Tra cứu lại Sheet 06!", '00_TONG_HOP_BAO_GIA'!S29)</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83" t="inlineStr">
        <is>
          <t>Cái</t>
        </is>
      </c>
      <c r="H35" s="136" t="n">
        <v>3</v>
      </c>
      <c r="I35" s="136">
        <f>IF('00_TONG_HOP_BAO_GIA'!G30&gt;0, ('00_TONG_HOP_BAO_GIA'!K30 + '00_TONG_HOP_BAO_GIA'!M30) * (1 + '00_TONG_HOP_BAO_GIA'!P30) / '00_TONG_HOP_BAO_GIA'!G30, 0)</f>
        <v/>
      </c>
      <c r="J35" s="136">
        <f>IF('00_TONG_HOP_BAO_GIA'!G30&gt;0, '00_TONG_HOP_BAO_GIA'!L30 * (1 + '00_TONG_HOP_BAO_GIA'!P30) / '00_TONG_HOP_BAO_GIA'!G30, 0)</f>
        <v/>
      </c>
      <c r="K35" s="137">
        <f>'00_TONG_HOP_BAO_GIA'!Q30</f>
        <v/>
      </c>
      <c r="L35" s="137">
        <f>('00_TONG_HOP_BAO_GIA'!K30 + '00_TONG_HOP_BAO_GIA'!M30) * (1 + '00_TONG_HOP_BAO_GIA'!P30)</f>
        <v/>
      </c>
      <c r="M35" s="137">
        <f>'00_TONG_HOP_BAO_GIA'!L30 * (1 + '00_TONG_HOP_BAO_GIA'!P30)</f>
        <v/>
      </c>
      <c r="N35" s="137">
        <f>'00_TONG_HOP_BAO_GIA'!R30</f>
        <v/>
      </c>
      <c r="O35" s="139">
        <f>IF(K35=0, "CẢNH BÁO: Đơn giá = 0. Tra cứu lại Sheet 06!", '00_TONG_HOP_BAO_GIA'!S30)</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83" t="inlineStr">
        <is>
          <t>Cái</t>
        </is>
      </c>
      <c r="H36" s="136" t="n">
        <v>6</v>
      </c>
      <c r="I36" s="136">
        <f>IF('00_TONG_HOP_BAO_GIA'!G31&gt;0, ('00_TONG_HOP_BAO_GIA'!K31 + '00_TONG_HOP_BAO_GIA'!M31) * (1 + '00_TONG_HOP_BAO_GIA'!P31) / '00_TONG_HOP_BAO_GIA'!G31, 0)</f>
        <v/>
      </c>
      <c r="J36" s="136">
        <f>IF('00_TONG_HOP_BAO_GIA'!G31&gt;0, '00_TONG_HOP_BAO_GIA'!L31 * (1 + '00_TONG_HOP_BAO_GIA'!P31) / '00_TONG_HOP_BAO_GIA'!G31, 0)</f>
        <v/>
      </c>
      <c r="K36" s="137">
        <f>'00_TONG_HOP_BAO_GIA'!Q31</f>
        <v/>
      </c>
      <c r="L36" s="137">
        <f>('00_TONG_HOP_BAO_GIA'!K31 + '00_TONG_HOP_BAO_GIA'!M31) * (1 + '00_TONG_HOP_BAO_GIA'!P31)</f>
        <v/>
      </c>
      <c r="M36" s="137">
        <f>'00_TONG_HOP_BAO_GIA'!L31 * (1 + '00_TONG_HOP_BAO_GIA'!P31)</f>
        <v/>
      </c>
      <c r="N36" s="137">
        <f>'00_TONG_HOP_BAO_GIA'!R31</f>
        <v/>
      </c>
      <c r="O36" s="139">
        <f>IF(K36=0, "CẢNH BÁO: Đơn giá = 0. Tra cứu lại Sheet 06!", '00_TONG_HOP_BAO_GIA'!S31)</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83" t="inlineStr">
        <is>
          <t>Cái</t>
        </is>
      </c>
      <c r="H37" s="136" t="n">
        <v>9</v>
      </c>
      <c r="I37" s="136">
        <f>IF('00_TONG_HOP_BAO_GIA'!G32&gt;0, ('00_TONG_HOP_BAO_GIA'!K32 + '00_TONG_HOP_BAO_GIA'!M32) * (1 + '00_TONG_HOP_BAO_GIA'!P32) / '00_TONG_HOP_BAO_GIA'!G32, 0)</f>
        <v/>
      </c>
      <c r="J37" s="136">
        <f>IF('00_TONG_HOP_BAO_GIA'!G32&gt;0, '00_TONG_HOP_BAO_GIA'!L32 * (1 + '00_TONG_HOP_BAO_GIA'!P32) / '00_TONG_HOP_BAO_GIA'!G32, 0)</f>
        <v/>
      </c>
      <c r="K37" s="137">
        <f>'00_TONG_HOP_BAO_GIA'!Q32</f>
        <v/>
      </c>
      <c r="L37" s="137">
        <f>('00_TONG_HOP_BAO_GIA'!K32 + '00_TONG_HOP_BAO_GIA'!M32) * (1 + '00_TONG_HOP_BAO_GIA'!P32)</f>
        <v/>
      </c>
      <c r="M37" s="137">
        <f>'00_TONG_HOP_BAO_GIA'!L32 * (1 + '00_TONG_HOP_BAO_GIA'!P32)</f>
        <v/>
      </c>
      <c r="N37" s="137">
        <f>'00_TONG_HOP_BAO_GIA'!R32</f>
        <v/>
      </c>
      <c r="O37" s="139">
        <f>IF(K37=0, "CẢNH BÁO: Đơn giá = 0. Tra cứu lại Sheet 06!", '00_TONG_HOP_BAO_GIA'!S32)</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83" t="inlineStr">
        <is>
          <t>Cái</t>
        </is>
      </c>
      <c r="H38" s="136" t="n">
        <v>12</v>
      </c>
      <c r="I38" s="136">
        <f>IF('00_TONG_HOP_BAO_GIA'!G33&gt;0, ('00_TONG_HOP_BAO_GIA'!K33 + '00_TONG_HOP_BAO_GIA'!M33) * (1 + '00_TONG_HOP_BAO_GIA'!P33) / '00_TONG_HOP_BAO_GIA'!G33, 0)</f>
        <v/>
      </c>
      <c r="J38" s="136">
        <f>IF('00_TONG_HOP_BAO_GIA'!G33&gt;0, '00_TONG_HOP_BAO_GIA'!L33 * (1 + '00_TONG_HOP_BAO_GIA'!P33) / '00_TONG_HOP_BAO_GIA'!G33, 0)</f>
        <v/>
      </c>
      <c r="K38" s="137">
        <f>'00_TONG_HOP_BAO_GIA'!Q33</f>
        <v/>
      </c>
      <c r="L38" s="137">
        <f>('00_TONG_HOP_BAO_GIA'!K33 + '00_TONG_HOP_BAO_GIA'!M33) * (1 + '00_TONG_HOP_BAO_GIA'!P33)</f>
        <v/>
      </c>
      <c r="M38" s="137">
        <f>'00_TONG_HOP_BAO_GIA'!L33 * (1 + '00_TONG_HOP_BAO_GIA'!P33)</f>
        <v/>
      </c>
      <c r="N38" s="137">
        <f>'00_TONG_HOP_BAO_GIA'!R33</f>
        <v/>
      </c>
      <c r="O38" s="139">
        <f>IF(K38=0, "CẢNH BÁO: Đơn giá = 0. Tra cứu lại Sheet 06!", '00_TONG_HOP_BAO_GIA'!S33)</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83" t="inlineStr">
        <is>
          <t>Cái</t>
        </is>
      </c>
      <c r="H39" s="136" t="n">
        <v>1</v>
      </c>
      <c r="I39" s="136">
        <f>IF('00_TONG_HOP_BAO_GIA'!G34&gt;0, ('00_TONG_HOP_BAO_GIA'!K34 + '00_TONG_HOP_BAO_GIA'!M34) * (1 + '00_TONG_HOP_BAO_GIA'!P34) / '00_TONG_HOP_BAO_GIA'!G34, 0)</f>
        <v/>
      </c>
      <c r="J39" s="136">
        <f>IF('00_TONG_HOP_BAO_GIA'!G34&gt;0, '00_TONG_HOP_BAO_GIA'!L34 * (1 + '00_TONG_HOP_BAO_GIA'!P34) / '00_TONG_HOP_BAO_GIA'!G34, 0)</f>
        <v/>
      </c>
      <c r="K39" s="137">
        <f>'00_TONG_HOP_BAO_GIA'!Q34</f>
        <v/>
      </c>
      <c r="L39" s="137">
        <f>('00_TONG_HOP_BAO_GIA'!K34 + '00_TONG_HOP_BAO_GIA'!M34) * (1 + '00_TONG_HOP_BAO_GIA'!P34)</f>
        <v/>
      </c>
      <c r="M39" s="137">
        <f>'00_TONG_HOP_BAO_GIA'!L34 * (1 + '00_TONG_HOP_BAO_GIA'!P34)</f>
        <v/>
      </c>
      <c r="N39" s="137">
        <f>'00_TONG_HOP_BAO_GIA'!R34</f>
        <v/>
      </c>
      <c r="O39" s="139">
        <f>IF(K39=0, "CẢNH BÁO: Đơn giá = 0. Tra cứu lại Sheet 06!", '00_TONG_HOP_BAO_GIA'!S34)</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83" t="inlineStr">
        <is>
          <t>Cái</t>
        </is>
      </c>
      <c r="H40" s="136" t="n">
        <v>2</v>
      </c>
      <c r="I40" s="136">
        <f>IF('00_TONG_HOP_BAO_GIA'!G35&gt;0, ('00_TONG_HOP_BAO_GIA'!K35 + '00_TONG_HOP_BAO_GIA'!M35) * (1 + '00_TONG_HOP_BAO_GIA'!P35) / '00_TONG_HOP_BAO_GIA'!G35, 0)</f>
        <v/>
      </c>
      <c r="J40" s="136">
        <f>IF('00_TONG_HOP_BAO_GIA'!G35&gt;0, '00_TONG_HOP_BAO_GIA'!L35 * (1 + '00_TONG_HOP_BAO_GIA'!P35) / '00_TONG_HOP_BAO_GIA'!G35, 0)</f>
        <v/>
      </c>
      <c r="K40" s="137">
        <f>'00_TONG_HOP_BAO_GIA'!Q35</f>
        <v/>
      </c>
      <c r="L40" s="137">
        <f>('00_TONG_HOP_BAO_GIA'!K35 + '00_TONG_HOP_BAO_GIA'!M35) * (1 + '00_TONG_HOP_BAO_GIA'!P35)</f>
        <v/>
      </c>
      <c r="M40" s="137">
        <f>'00_TONG_HOP_BAO_GIA'!L35 * (1 + '00_TONG_HOP_BAO_GIA'!P35)</f>
        <v/>
      </c>
      <c r="N40" s="137">
        <f>'00_TONG_HOP_BAO_GIA'!R35</f>
        <v/>
      </c>
      <c r="O40" s="139">
        <f>IF(K40=0, "CẢNH BÁO: Đơn giá = 0. Tra cứu lại Sheet 06!", '00_TONG_HOP_BAO_GIA'!S35)</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83" t="inlineStr">
        <is>
          <t>Cái</t>
        </is>
      </c>
      <c r="H41" s="136" t="n">
        <v>1</v>
      </c>
      <c r="I41" s="136">
        <f>IF('00_TONG_HOP_BAO_GIA'!G36&gt;0, ('00_TONG_HOP_BAO_GIA'!K36 + '00_TONG_HOP_BAO_GIA'!M36) * (1 + '00_TONG_HOP_BAO_GIA'!P36) / '00_TONG_HOP_BAO_GIA'!G36, 0)</f>
        <v/>
      </c>
      <c r="J41" s="136">
        <f>IF('00_TONG_HOP_BAO_GIA'!G36&gt;0, '00_TONG_HOP_BAO_GIA'!L36 * (1 + '00_TONG_HOP_BAO_GIA'!P36) / '00_TONG_HOP_BAO_GIA'!G36, 0)</f>
        <v/>
      </c>
      <c r="K41" s="137">
        <f>'00_TONG_HOP_BAO_GIA'!Q36</f>
        <v/>
      </c>
      <c r="L41" s="137">
        <f>('00_TONG_HOP_BAO_GIA'!K36 + '00_TONG_HOP_BAO_GIA'!M36) * (1 + '00_TONG_HOP_BAO_GIA'!P36)</f>
        <v/>
      </c>
      <c r="M41" s="137">
        <f>'00_TONG_HOP_BAO_GIA'!L36 * (1 + '00_TONG_HOP_BAO_GIA'!P36)</f>
        <v/>
      </c>
      <c r="N41" s="137">
        <f>'00_TONG_HOP_BAO_GIA'!R36</f>
        <v/>
      </c>
      <c r="O41" s="139">
        <f>IF(K41=0, "CẢNH BÁO: Đơn giá = 0. Tra cứu lại Sheet 06!", '00_TONG_HOP_BAO_GIA'!S36)</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83" t="inlineStr">
        <is>
          <t>Cái</t>
        </is>
      </c>
      <c r="H42" s="136" t="n">
        <v>1</v>
      </c>
      <c r="I42" s="136">
        <f>IF('00_TONG_HOP_BAO_GIA'!G37&gt;0, ('00_TONG_HOP_BAO_GIA'!K37 + '00_TONG_HOP_BAO_GIA'!M37) * (1 + '00_TONG_HOP_BAO_GIA'!P37) / '00_TONG_HOP_BAO_GIA'!G37, 0)</f>
        <v/>
      </c>
      <c r="J42" s="136">
        <f>IF('00_TONG_HOP_BAO_GIA'!G37&gt;0, '00_TONG_HOP_BAO_GIA'!L37 * (1 + '00_TONG_HOP_BAO_GIA'!P37) / '00_TONG_HOP_BAO_GIA'!G37, 0)</f>
        <v/>
      </c>
      <c r="K42" s="137">
        <f>'00_TONG_HOP_BAO_GIA'!Q37</f>
        <v/>
      </c>
      <c r="L42" s="137">
        <f>('00_TONG_HOP_BAO_GIA'!K37 + '00_TONG_HOP_BAO_GIA'!M37) * (1 + '00_TONG_HOP_BAO_GIA'!P37)</f>
        <v/>
      </c>
      <c r="M42" s="137">
        <f>'00_TONG_HOP_BAO_GIA'!L37 * (1 + '00_TONG_HOP_BAO_GIA'!P37)</f>
        <v/>
      </c>
      <c r="N42" s="137">
        <f>'00_TONG_HOP_BAO_GIA'!R37</f>
        <v/>
      </c>
      <c r="O42" s="139">
        <f>IF(K42=0, "CẢNH BÁO: Đơn giá = 0. Tra cứu lại Sheet 06!", '00_TONG_HOP_BAO_GIA'!S37)</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83" t="inlineStr">
        <is>
          <t>Cái</t>
        </is>
      </c>
      <c r="H43" s="136" t="n">
        <v>5</v>
      </c>
      <c r="I43" s="136">
        <f>IF('00_TONG_HOP_BAO_GIA'!G38&gt;0, ('00_TONG_HOP_BAO_GIA'!K38 + '00_TONG_HOP_BAO_GIA'!M38) * (1 + '00_TONG_HOP_BAO_GIA'!P38) / '00_TONG_HOP_BAO_GIA'!G38, 0)</f>
        <v/>
      </c>
      <c r="J43" s="136">
        <f>IF('00_TONG_HOP_BAO_GIA'!G38&gt;0, '00_TONG_HOP_BAO_GIA'!L38 * (1 + '00_TONG_HOP_BAO_GIA'!P38) / '00_TONG_HOP_BAO_GIA'!G38, 0)</f>
        <v/>
      </c>
      <c r="K43" s="137">
        <f>'00_TONG_HOP_BAO_GIA'!Q38</f>
        <v/>
      </c>
      <c r="L43" s="137">
        <f>('00_TONG_HOP_BAO_GIA'!K38 + '00_TONG_HOP_BAO_GIA'!M38) * (1 + '00_TONG_HOP_BAO_GIA'!P38)</f>
        <v/>
      </c>
      <c r="M43" s="137">
        <f>'00_TONG_HOP_BAO_GIA'!L38 * (1 + '00_TONG_HOP_BAO_GIA'!P38)</f>
        <v/>
      </c>
      <c r="N43" s="137">
        <f>'00_TONG_HOP_BAO_GIA'!R38</f>
        <v/>
      </c>
      <c r="O43" s="139">
        <f>IF(K43=0, "CẢNH BÁO: Đơn giá = 0. Tra cứu lại Sheet 06!", '00_TONG_HOP_BAO_GIA'!S38)</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83" t="inlineStr">
        <is>
          <t>Cái</t>
        </is>
      </c>
      <c r="H44" s="136" t="n">
        <v>1</v>
      </c>
      <c r="I44" s="136">
        <f>IF('00_TONG_HOP_BAO_GIA'!G39&gt;0, ('00_TONG_HOP_BAO_GIA'!K39 + '00_TONG_HOP_BAO_GIA'!M39) * (1 + '00_TONG_HOP_BAO_GIA'!P39) / '00_TONG_HOP_BAO_GIA'!G39, 0)</f>
        <v/>
      </c>
      <c r="J44" s="136">
        <f>IF('00_TONG_HOP_BAO_GIA'!G39&gt;0, '00_TONG_HOP_BAO_GIA'!L39 * (1 + '00_TONG_HOP_BAO_GIA'!P39) / '00_TONG_HOP_BAO_GIA'!G39, 0)</f>
        <v/>
      </c>
      <c r="K44" s="137">
        <f>'00_TONG_HOP_BAO_GIA'!Q39</f>
        <v/>
      </c>
      <c r="L44" s="137">
        <f>('00_TONG_HOP_BAO_GIA'!K39 + '00_TONG_HOP_BAO_GIA'!M39) * (1 + '00_TONG_HOP_BAO_GIA'!P39)</f>
        <v/>
      </c>
      <c r="M44" s="137">
        <f>'00_TONG_HOP_BAO_GIA'!L39 * (1 + '00_TONG_HOP_BAO_GIA'!P39)</f>
        <v/>
      </c>
      <c r="N44" s="137">
        <f>'00_TONG_HOP_BAO_GIA'!R39</f>
        <v/>
      </c>
      <c r="O44" s="139">
        <f>IF(K44=0, "CẢNH BÁO: Đơn giá = 0. Tra cứu lại Sheet 06!", '00_TONG_HOP_BAO_GIA'!S39)</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83" t="inlineStr">
        <is>
          <t>Cái</t>
        </is>
      </c>
      <c r="H45" s="136" t="n">
        <v>112</v>
      </c>
      <c r="I45" s="136">
        <f>IF('00_TONG_HOP_BAO_GIA'!G40&gt;0, ('00_TONG_HOP_BAO_GIA'!K40 + '00_TONG_HOP_BAO_GIA'!M40) * (1 + '00_TONG_HOP_BAO_GIA'!P40) / '00_TONG_HOP_BAO_GIA'!G40, 0)</f>
        <v/>
      </c>
      <c r="J45" s="136">
        <f>IF('00_TONG_HOP_BAO_GIA'!G40&gt;0, '00_TONG_HOP_BAO_GIA'!L40 * (1 + '00_TONG_HOP_BAO_GIA'!P40) / '00_TONG_HOP_BAO_GIA'!G40, 0)</f>
        <v/>
      </c>
      <c r="K45" s="137">
        <f>'00_TONG_HOP_BAO_GIA'!Q40</f>
        <v/>
      </c>
      <c r="L45" s="137">
        <f>('00_TONG_HOP_BAO_GIA'!K40 + '00_TONG_HOP_BAO_GIA'!M40) * (1 + '00_TONG_HOP_BAO_GIA'!P40)</f>
        <v/>
      </c>
      <c r="M45" s="137">
        <f>'00_TONG_HOP_BAO_GIA'!L40 * (1 + '00_TONG_HOP_BAO_GIA'!P40)</f>
        <v/>
      </c>
      <c r="N45" s="137">
        <f>'00_TONG_HOP_BAO_GIA'!R40</f>
        <v/>
      </c>
      <c r="O45" s="139">
        <f>IF(K45=0, "CẢNH BÁO: Đơn giá = 0. Tra cứu lại Sheet 06!", '00_TONG_HOP_BAO_GIA'!S40)</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83" t="inlineStr">
        <is>
          <t>Cái</t>
        </is>
      </c>
      <c r="H46" s="136" t="n">
        <v>2</v>
      </c>
      <c r="I46" s="136">
        <f>IF('00_TONG_HOP_BAO_GIA'!G41&gt;0, ('00_TONG_HOP_BAO_GIA'!K41 + '00_TONG_HOP_BAO_GIA'!M41) * (1 + '00_TONG_HOP_BAO_GIA'!P41) / '00_TONG_HOP_BAO_GIA'!G41, 0)</f>
        <v/>
      </c>
      <c r="J46" s="136">
        <f>IF('00_TONG_HOP_BAO_GIA'!G41&gt;0, '00_TONG_HOP_BAO_GIA'!L41 * (1 + '00_TONG_HOP_BAO_GIA'!P41) / '00_TONG_HOP_BAO_GIA'!G41, 0)</f>
        <v/>
      </c>
      <c r="K46" s="137">
        <f>'00_TONG_HOP_BAO_GIA'!Q41</f>
        <v/>
      </c>
      <c r="L46" s="137">
        <f>('00_TONG_HOP_BAO_GIA'!K41 + '00_TONG_HOP_BAO_GIA'!M41) * (1 + '00_TONG_HOP_BAO_GIA'!P41)</f>
        <v/>
      </c>
      <c r="M46" s="137">
        <f>'00_TONG_HOP_BAO_GIA'!L41 * (1 + '00_TONG_HOP_BAO_GIA'!P41)</f>
        <v/>
      </c>
      <c r="N46" s="137">
        <f>'00_TONG_HOP_BAO_GIA'!R41</f>
        <v/>
      </c>
      <c r="O46" s="139">
        <f>IF(K46=0, "CẢNH BÁO: Đơn giá = 0. Tra cứu lại Sheet 06!", '00_TONG_HOP_BAO_GIA'!S41)</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83" t="inlineStr">
        <is>
          <t>Cái</t>
        </is>
      </c>
      <c r="H47" s="136" t="n">
        <v>52</v>
      </c>
      <c r="I47" s="136">
        <f>IF('00_TONG_HOP_BAO_GIA'!G42&gt;0, ('00_TONG_HOP_BAO_GIA'!K42 + '00_TONG_HOP_BAO_GIA'!M42) * (1 + '00_TONG_HOP_BAO_GIA'!P42) / '00_TONG_HOP_BAO_GIA'!G42, 0)</f>
        <v/>
      </c>
      <c r="J47" s="136">
        <f>IF('00_TONG_HOP_BAO_GIA'!G42&gt;0, '00_TONG_HOP_BAO_GIA'!L42 * (1 + '00_TONG_HOP_BAO_GIA'!P42) / '00_TONG_HOP_BAO_GIA'!G42, 0)</f>
        <v/>
      </c>
      <c r="K47" s="137">
        <f>'00_TONG_HOP_BAO_GIA'!Q42</f>
        <v/>
      </c>
      <c r="L47" s="137">
        <f>('00_TONG_HOP_BAO_GIA'!K42 + '00_TONG_HOP_BAO_GIA'!M42) * (1 + '00_TONG_HOP_BAO_GIA'!P42)</f>
        <v/>
      </c>
      <c r="M47" s="137">
        <f>'00_TONG_HOP_BAO_GIA'!L42 * (1 + '00_TONG_HOP_BAO_GIA'!P42)</f>
        <v/>
      </c>
      <c r="N47" s="137">
        <f>'00_TONG_HOP_BAO_GIA'!R42</f>
        <v/>
      </c>
      <c r="O47" s="139">
        <f>IF(K47=0, "CẢNH BÁO: Đơn giá = 0. Tra cứu lại Sheet 06!", '00_TONG_HOP_BAO_GIA'!S42)</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83" t="inlineStr">
        <is>
          <t>Cái</t>
        </is>
      </c>
      <c r="H48" s="136" t="n">
        <v>1</v>
      </c>
      <c r="I48" s="136">
        <f>IF('00_TONG_HOP_BAO_GIA'!G43&gt;0, ('00_TONG_HOP_BAO_GIA'!K43 + '00_TONG_HOP_BAO_GIA'!M43) * (1 + '00_TONG_HOP_BAO_GIA'!P43) / '00_TONG_HOP_BAO_GIA'!G43, 0)</f>
        <v/>
      </c>
      <c r="J48" s="136">
        <f>IF('00_TONG_HOP_BAO_GIA'!G43&gt;0, '00_TONG_HOP_BAO_GIA'!L43 * (1 + '00_TONG_HOP_BAO_GIA'!P43) / '00_TONG_HOP_BAO_GIA'!G43, 0)</f>
        <v/>
      </c>
      <c r="K48" s="137">
        <f>'00_TONG_HOP_BAO_GIA'!Q43</f>
        <v/>
      </c>
      <c r="L48" s="137">
        <f>('00_TONG_HOP_BAO_GIA'!K43 + '00_TONG_HOP_BAO_GIA'!M43) * (1 + '00_TONG_HOP_BAO_GIA'!P43)</f>
        <v/>
      </c>
      <c r="M48" s="137">
        <f>'00_TONG_HOP_BAO_GIA'!L43 * (1 + '00_TONG_HOP_BAO_GIA'!P43)</f>
        <v/>
      </c>
      <c r="N48" s="137">
        <f>'00_TONG_HOP_BAO_GIA'!R43</f>
        <v/>
      </c>
      <c r="O48" s="139">
        <f>IF(K48=0, "CẢNH BÁO: Đơn giá = 0. Tra cứu lại Sheet 06!", '00_TONG_HOP_BAO_GIA'!S43)</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83" t="inlineStr">
        <is>
          <t>Cái</t>
        </is>
      </c>
      <c r="H49" s="136" t="n">
        <v>4</v>
      </c>
      <c r="I49" s="136">
        <f>IF('00_TONG_HOP_BAO_GIA'!G44&gt;0, ('00_TONG_HOP_BAO_GIA'!K44 + '00_TONG_HOP_BAO_GIA'!M44) * (1 + '00_TONG_HOP_BAO_GIA'!P44) / '00_TONG_HOP_BAO_GIA'!G44, 0)</f>
        <v/>
      </c>
      <c r="J49" s="136">
        <f>IF('00_TONG_HOP_BAO_GIA'!G44&gt;0, '00_TONG_HOP_BAO_GIA'!L44 * (1 + '00_TONG_HOP_BAO_GIA'!P44) / '00_TONG_HOP_BAO_GIA'!G44, 0)</f>
        <v/>
      </c>
      <c r="K49" s="137">
        <f>'00_TONG_HOP_BAO_GIA'!Q44</f>
        <v/>
      </c>
      <c r="L49" s="137">
        <f>('00_TONG_HOP_BAO_GIA'!K44 + '00_TONG_HOP_BAO_GIA'!M44) * (1 + '00_TONG_HOP_BAO_GIA'!P44)</f>
        <v/>
      </c>
      <c r="M49" s="137">
        <f>'00_TONG_HOP_BAO_GIA'!L44 * (1 + '00_TONG_HOP_BAO_GIA'!P44)</f>
        <v/>
      </c>
      <c r="N49" s="137">
        <f>'00_TONG_HOP_BAO_GIA'!R44</f>
        <v/>
      </c>
      <c r="O49" s="139">
        <f>IF(K49=0, "CẢNH BÁO: Đơn giá = 0. Tra cứu lại Sheet 06!", '00_TONG_HOP_BAO_GIA'!S44)</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83" t="inlineStr">
        <is>
          <t>Cái</t>
        </is>
      </c>
      <c r="H50" s="136" t="n">
        <v>4</v>
      </c>
      <c r="I50" s="136">
        <f>IF('00_TONG_HOP_BAO_GIA'!G45&gt;0, ('00_TONG_HOP_BAO_GIA'!K45 + '00_TONG_HOP_BAO_GIA'!M45) * (1 + '00_TONG_HOP_BAO_GIA'!P45) / '00_TONG_HOP_BAO_GIA'!G45, 0)</f>
        <v/>
      </c>
      <c r="J50" s="136">
        <f>IF('00_TONG_HOP_BAO_GIA'!G45&gt;0, '00_TONG_HOP_BAO_GIA'!L45 * (1 + '00_TONG_HOP_BAO_GIA'!P45) / '00_TONG_HOP_BAO_GIA'!G45, 0)</f>
        <v/>
      </c>
      <c r="K50" s="137">
        <f>'00_TONG_HOP_BAO_GIA'!Q45</f>
        <v/>
      </c>
      <c r="L50" s="137">
        <f>('00_TONG_HOP_BAO_GIA'!K45 + '00_TONG_HOP_BAO_GIA'!M45) * (1 + '00_TONG_HOP_BAO_GIA'!P45)</f>
        <v/>
      </c>
      <c r="M50" s="137">
        <f>'00_TONG_HOP_BAO_GIA'!L45 * (1 + '00_TONG_HOP_BAO_GIA'!P45)</f>
        <v/>
      </c>
      <c r="N50" s="137">
        <f>'00_TONG_HOP_BAO_GIA'!R45</f>
        <v/>
      </c>
      <c r="O50" s="139">
        <f>IF(K50=0, "CẢNH BÁO: Đơn giá = 0. Tra cứu lại Sheet 06!", '00_TONG_HOP_BAO_GIA'!S45)</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83" t="inlineStr">
        <is>
          <t>Cái</t>
        </is>
      </c>
      <c r="H51" s="136" t="n">
        <v>1</v>
      </c>
      <c r="I51" s="136">
        <f>IF('00_TONG_HOP_BAO_GIA'!G46&gt;0, ('00_TONG_HOP_BAO_GIA'!K46 + '00_TONG_HOP_BAO_GIA'!M46) * (1 + '00_TONG_HOP_BAO_GIA'!P46) / '00_TONG_HOP_BAO_GIA'!G46, 0)</f>
        <v/>
      </c>
      <c r="J51" s="136">
        <f>IF('00_TONG_HOP_BAO_GIA'!G46&gt;0, '00_TONG_HOP_BAO_GIA'!L46 * (1 + '00_TONG_HOP_BAO_GIA'!P46) / '00_TONG_HOP_BAO_GIA'!G46, 0)</f>
        <v/>
      </c>
      <c r="K51" s="137">
        <f>'00_TONG_HOP_BAO_GIA'!Q46</f>
        <v/>
      </c>
      <c r="L51" s="137">
        <f>('00_TONG_HOP_BAO_GIA'!K46 + '00_TONG_HOP_BAO_GIA'!M46) * (1 + '00_TONG_HOP_BAO_GIA'!P46)</f>
        <v/>
      </c>
      <c r="M51" s="137">
        <f>'00_TONG_HOP_BAO_GIA'!L46 * (1 + '00_TONG_HOP_BAO_GIA'!P46)</f>
        <v/>
      </c>
      <c r="N51" s="137">
        <f>'00_TONG_HOP_BAO_GIA'!R46</f>
        <v/>
      </c>
      <c r="O51" s="139">
        <f>IF(K51=0, "CẢNH BÁO: Đơn giá = 0. Tra cứu lại Sheet 06!", '00_TONG_HOP_BAO_GIA'!S46)</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83" t="inlineStr">
        <is>
          <t>Cái</t>
        </is>
      </c>
      <c r="H52" s="136" t="n">
        <v>2</v>
      </c>
      <c r="I52" s="136">
        <f>IF('00_TONG_HOP_BAO_GIA'!G47&gt;0, ('00_TONG_HOP_BAO_GIA'!K47 + '00_TONG_HOP_BAO_GIA'!M47) * (1 + '00_TONG_HOP_BAO_GIA'!P47) / '00_TONG_HOP_BAO_GIA'!G47, 0)</f>
        <v/>
      </c>
      <c r="J52" s="136">
        <f>IF('00_TONG_HOP_BAO_GIA'!G47&gt;0, '00_TONG_HOP_BAO_GIA'!L47 * (1 + '00_TONG_HOP_BAO_GIA'!P47) / '00_TONG_HOP_BAO_GIA'!G47, 0)</f>
        <v/>
      </c>
      <c r="K52" s="137">
        <f>'00_TONG_HOP_BAO_GIA'!Q47</f>
        <v/>
      </c>
      <c r="L52" s="137">
        <f>('00_TONG_HOP_BAO_GIA'!K47 + '00_TONG_HOP_BAO_GIA'!M47) * (1 + '00_TONG_HOP_BAO_GIA'!P47)</f>
        <v/>
      </c>
      <c r="M52" s="137">
        <f>'00_TONG_HOP_BAO_GIA'!L47 * (1 + '00_TONG_HOP_BAO_GIA'!P47)</f>
        <v/>
      </c>
      <c r="N52" s="137">
        <f>'00_TONG_HOP_BAO_GIA'!R47</f>
        <v/>
      </c>
      <c r="O52" s="139">
        <f>IF(K52=0, "CẢNH BÁO: Đơn giá = 0. Tra cứu lại Sheet 06!", '00_TONG_HOP_BAO_GIA'!S47)</f>
        <v/>
      </c>
    </row>
    <row r="53" outlineLevel="1">
      <c r="A53" s="141" t="n"/>
      <c r="B53" s="139" t="inlineStr">
        <is>
          <t>Box miệng gió 600x300</t>
        </is>
      </c>
      <c r="C53" s="134" t="n"/>
      <c r="D53" s="134" t="inlineStr">
        <is>
          <t>NSCA, Evegreen, Swind</t>
        </is>
      </c>
      <c r="E53" s="317" t="inlineStr">
        <is>
          <t>Việt Nam (SX theo bản vẽ thiết kế)</t>
        </is>
      </c>
      <c r="F53" s="330" t="n"/>
      <c r="G53" s="383" t="inlineStr">
        <is>
          <t>Cái</t>
        </is>
      </c>
      <c r="H53" s="136" t="n">
        <v>112</v>
      </c>
      <c r="I53" s="136">
        <f>IF('00_TONG_HOP_BAO_GIA'!G48&gt;0, ('00_TONG_HOP_BAO_GIA'!K48 + '00_TONG_HOP_BAO_GIA'!M48) * (1 + '00_TONG_HOP_BAO_GIA'!P48) / '00_TONG_HOP_BAO_GIA'!G48, 0)</f>
        <v/>
      </c>
      <c r="J53" s="136">
        <f>IF('00_TONG_HOP_BAO_GIA'!G48&gt;0, '00_TONG_HOP_BAO_GIA'!L48 * (1 + '00_TONG_HOP_BAO_GIA'!P48) / '00_TONG_HOP_BAO_GIA'!G48, 0)</f>
        <v/>
      </c>
      <c r="K53" s="137">
        <f>'00_TONG_HOP_BAO_GIA'!Q48</f>
        <v/>
      </c>
      <c r="L53" s="137">
        <f>('00_TONG_HOP_BAO_GIA'!K48 + '00_TONG_HOP_BAO_GIA'!M48) * (1 + '00_TONG_HOP_BAO_GIA'!P48)</f>
        <v/>
      </c>
      <c r="M53" s="137">
        <f>'00_TONG_HOP_BAO_GIA'!L48 * (1 + '00_TONG_HOP_BAO_GIA'!P48)</f>
        <v/>
      </c>
      <c r="N53" s="137">
        <f>'00_TONG_HOP_BAO_GIA'!R48</f>
        <v/>
      </c>
      <c r="O53" s="139">
        <f>IF(K53=0, "CẢNH BÁO: Đơn giá = 0. Tra cứu lại Sheet 06!", '00_TONG_HOP_BAO_GIA'!S48)</f>
        <v/>
      </c>
    </row>
    <row r="54" outlineLevel="1">
      <c r="A54" s="141" t="n"/>
      <c r="B54" s="139" t="inlineStr">
        <is>
          <t>Box miệng gió 1200x600</t>
        </is>
      </c>
      <c r="C54" s="134" t="n"/>
      <c r="D54" s="134" t="inlineStr">
        <is>
          <t>NSCA, Evegreen, Swind</t>
        </is>
      </c>
      <c r="E54" s="317" t="inlineStr">
        <is>
          <t>Việt Nam (SX theo bản vẽ thiết kế)</t>
        </is>
      </c>
      <c r="F54" s="330" t="n"/>
      <c r="G54" s="383" t="inlineStr">
        <is>
          <t>Cái</t>
        </is>
      </c>
      <c r="H54" s="136" t="n">
        <v>2</v>
      </c>
      <c r="I54" s="136">
        <f>IF('00_TONG_HOP_BAO_GIA'!G49&gt;0, ('00_TONG_HOP_BAO_GIA'!K49 + '00_TONG_HOP_BAO_GIA'!M49) * (1 + '00_TONG_HOP_BAO_GIA'!P49) / '00_TONG_HOP_BAO_GIA'!G49, 0)</f>
        <v/>
      </c>
      <c r="J54" s="136">
        <f>IF('00_TONG_HOP_BAO_GIA'!G49&gt;0, '00_TONG_HOP_BAO_GIA'!L49 * (1 + '00_TONG_HOP_BAO_GIA'!P49) / '00_TONG_HOP_BAO_GIA'!G49, 0)</f>
        <v/>
      </c>
      <c r="K54" s="137">
        <f>'00_TONG_HOP_BAO_GIA'!Q49</f>
        <v/>
      </c>
      <c r="L54" s="137">
        <f>('00_TONG_HOP_BAO_GIA'!K49 + '00_TONG_HOP_BAO_GIA'!M49) * (1 + '00_TONG_HOP_BAO_GIA'!P49)</f>
        <v/>
      </c>
      <c r="M54" s="137">
        <f>'00_TONG_HOP_BAO_GIA'!L49 * (1 + '00_TONG_HOP_BAO_GIA'!P49)</f>
        <v/>
      </c>
      <c r="N54" s="137">
        <f>'00_TONG_HOP_BAO_GIA'!R49</f>
        <v/>
      </c>
      <c r="O54" s="139">
        <f>IF(K54=0, "CẢNH BÁO: Đơn giá = 0. Tra cứu lại Sheet 06!", '00_TONG_HOP_BAO_GIA'!S49)</f>
        <v/>
      </c>
    </row>
    <row r="55" outlineLevel="1">
      <c r="A55" s="141" t="n"/>
      <c r="B55" s="139" t="inlineStr">
        <is>
          <t>Box miệng gió 10006300</t>
        </is>
      </c>
      <c r="C55" s="134" t="n"/>
      <c r="D55" s="134" t="inlineStr">
        <is>
          <t>NSCA, Evegreen, Swind</t>
        </is>
      </c>
      <c r="E55" s="317" t="inlineStr">
        <is>
          <t>Việt Nam (SX theo bản vẽ thiết kế)</t>
        </is>
      </c>
      <c r="F55" s="330" t="n"/>
      <c r="G55" s="383" t="inlineStr">
        <is>
          <t>Cái</t>
        </is>
      </c>
      <c r="H55" s="136" t="n">
        <v>52</v>
      </c>
      <c r="I55" s="136">
        <f>IF('00_TONG_HOP_BAO_GIA'!G50&gt;0, ('00_TONG_HOP_BAO_GIA'!K50 + '00_TONG_HOP_BAO_GIA'!M50) * (1 + '00_TONG_HOP_BAO_GIA'!P50) / '00_TONG_HOP_BAO_GIA'!G50, 0)</f>
        <v/>
      </c>
      <c r="J55" s="136">
        <f>IF('00_TONG_HOP_BAO_GIA'!G50&gt;0, '00_TONG_HOP_BAO_GIA'!L50 * (1 + '00_TONG_HOP_BAO_GIA'!P50) / '00_TONG_HOP_BAO_GIA'!G50, 0)</f>
        <v/>
      </c>
      <c r="K55" s="137">
        <f>'00_TONG_HOP_BAO_GIA'!Q50</f>
        <v/>
      </c>
      <c r="L55" s="137">
        <f>('00_TONG_HOP_BAO_GIA'!K50 + '00_TONG_HOP_BAO_GIA'!M50) * (1 + '00_TONG_HOP_BAO_GIA'!P50)</f>
        <v/>
      </c>
      <c r="M55" s="137">
        <f>'00_TONG_HOP_BAO_GIA'!L50 * (1 + '00_TONG_HOP_BAO_GIA'!P50)</f>
        <v/>
      </c>
      <c r="N55" s="137">
        <f>'00_TONG_HOP_BAO_GIA'!R50</f>
        <v/>
      </c>
      <c r="O55" s="139">
        <f>IF(K55=0, "CẢNH BÁO: Đơn giá = 0. Tra cứu lại Sheet 06!", '00_TONG_HOP_BAO_GIA'!S50)</f>
        <v/>
      </c>
    </row>
    <row r="56" outlineLevel="1">
      <c r="A56" s="141">
        <f>SUBTOTAL(3,$G$7:G56)</f>
        <v/>
      </c>
      <c r="B56" s="139" t="inlineStr">
        <is>
          <t>Vật tư phụ, phụ kiện</t>
        </is>
      </c>
      <c r="C56" s="134" t="n"/>
      <c r="D56" s="134" t="n"/>
      <c r="E56" s="134" t="n"/>
      <c r="F56" s="329" t="inlineStr">
        <is>
          <t>VTP</t>
        </is>
      </c>
      <c r="G56" s="383" t="inlineStr">
        <is>
          <t>Lô</t>
        </is>
      </c>
      <c r="H56" s="136" t="n">
        <v>1</v>
      </c>
      <c r="I56" s="136">
        <f>IF('00_TONG_HOP_BAO_GIA'!G51&gt;0, ('00_TONG_HOP_BAO_GIA'!K51 + '00_TONG_HOP_BAO_GIA'!M51) * (1 + '00_TONG_HOP_BAO_GIA'!P51) / '00_TONG_HOP_BAO_GIA'!G51, 0)</f>
        <v/>
      </c>
      <c r="J56" s="136">
        <f>IF('00_TONG_HOP_BAO_GIA'!G51&gt;0, '00_TONG_HOP_BAO_GIA'!L51 * (1 + '00_TONG_HOP_BAO_GIA'!P51) / '00_TONG_HOP_BAO_GIA'!G51, 0)</f>
        <v/>
      </c>
      <c r="K56" s="137">
        <f>'00_TONG_HOP_BAO_GIA'!Q51</f>
        <v/>
      </c>
      <c r="L56" s="137">
        <f>('00_TONG_HOP_BAO_GIA'!K51 + '00_TONG_HOP_BAO_GIA'!M51) * (1 + '00_TONG_HOP_BAO_GIA'!P51)</f>
        <v/>
      </c>
      <c r="M56" s="137">
        <f>'00_TONG_HOP_BAO_GIA'!L51 * (1 + '00_TONG_HOP_BAO_GIA'!P51)</f>
        <v/>
      </c>
      <c r="N56" s="137">
        <f>'00_TONG_HOP_BAO_GIA'!R51</f>
        <v/>
      </c>
      <c r="O56" s="139">
        <f>IF(K56=0, "CẢNH BÁO: Đơn giá = 0. Tra cứu lại Sheet 06!", '00_TONG_HOP_BAO_GIA'!S51)</f>
        <v/>
      </c>
    </row>
    <row r="57" outlineLevel="1" ht="15.6" customHeight="1">
      <c r="A57" s="141" t="n"/>
      <c r="B57" s="140" t="inlineStr">
        <is>
          <t>Ống thông gió và phụ kiện, box miệng gió</t>
        </is>
      </c>
      <c r="C57" s="134" t="n"/>
      <c r="D57" s="134" t="n"/>
      <c r="E57" s="134" t="n"/>
      <c r="F57" s="329" t="inlineStr">
        <is>
          <t>M</t>
        </is>
      </c>
      <c r="G57" s="383"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83" t="inlineStr">
        <is>
          <t>m2</t>
        </is>
      </c>
      <c r="H58" s="136" t="n">
        <v>2633.4</v>
      </c>
      <c r="I58" s="136">
        <f>IF('00_TONG_HOP_BAO_GIA'!G52&gt;0, ('00_TONG_HOP_BAO_GIA'!K52 + '00_TONG_HOP_BAO_GIA'!M52) * (1 + '00_TONG_HOP_BAO_GIA'!P52) / '00_TONG_HOP_BAO_GIA'!G52, 0)</f>
        <v/>
      </c>
      <c r="J58" s="136">
        <f>IF('00_TONG_HOP_BAO_GIA'!G52&gt;0, '00_TONG_HOP_BAO_GIA'!L52 * (1 + '00_TONG_HOP_BAO_GIA'!P52) / '00_TONG_HOP_BAO_GIA'!G52, 0)</f>
        <v/>
      </c>
      <c r="K58" s="137">
        <f>'00_TONG_HOP_BAO_GIA'!Q52</f>
        <v/>
      </c>
      <c r="L58" s="137">
        <f>('00_TONG_HOP_BAO_GIA'!K52 + '00_TONG_HOP_BAO_GIA'!M52) * (1 + '00_TONG_HOP_BAO_GIA'!P52)</f>
        <v/>
      </c>
      <c r="M58" s="137">
        <f>'00_TONG_HOP_BAO_GIA'!L52 * (1 + '00_TONG_HOP_BAO_GIA'!P52)</f>
        <v/>
      </c>
      <c r="N58" s="137">
        <f>'00_TONG_HOP_BAO_GIA'!R52</f>
        <v/>
      </c>
      <c r="O58" s="139">
        <f>IF(K58=0, "CẢNH BÁO: Đơn giá = 0. Tra cứu lại Sheet 06!", '00_TONG_HOP_BAO_GIA'!S52)</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83" t="inlineStr">
        <is>
          <t>m2</t>
        </is>
      </c>
      <c r="H59" s="136" t="n">
        <v>1291.1</v>
      </c>
      <c r="I59" s="136">
        <f>IF('00_TONG_HOP_BAO_GIA'!G53&gt;0, ('00_TONG_HOP_BAO_GIA'!K53 + '00_TONG_HOP_BAO_GIA'!M53) * (1 + '00_TONG_HOP_BAO_GIA'!P53) / '00_TONG_HOP_BAO_GIA'!G53, 0)</f>
        <v/>
      </c>
      <c r="J59" s="136">
        <f>IF('00_TONG_HOP_BAO_GIA'!G53&gt;0, '00_TONG_HOP_BAO_GIA'!L53 * (1 + '00_TONG_HOP_BAO_GIA'!P53) / '00_TONG_HOP_BAO_GIA'!G53, 0)</f>
        <v/>
      </c>
      <c r="K59" s="137">
        <f>'00_TONG_HOP_BAO_GIA'!Q53</f>
        <v/>
      </c>
      <c r="L59" s="137">
        <f>('00_TONG_HOP_BAO_GIA'!K53 + '00_TONG_HOP_BAO_GIA'!M53) * (1 + '00_TONG_HOP_BAO_GIA'!P53)</f>
        <v/>
      </c>
      <c r="M59" s="137">
        <f>'00_TONG_HOP_BAO_GIA'!L53 * (1 + '00_TONG_HOP_BAO_GIA'!P53)</f>
        <v/>
      </c>
      <c r="N59" s="137">
        <f>'00_TONG_HOP_BAO_GIA'!R53</f>
        <v/>
      </c>
      <c r="O59" s="139">
        <f>IF(K59=0, "CẢNH BÁO: Đơn giá = 0. Tra cứu lại Sheet 06!", '00_TONG_HOP_BAO_GIA'!S53)</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83" t="inlineStr">
        <is>
          <t>m2</t>
        </is>
      </c>
      <c r="H60" s="136" t="n">
        <v>3070.55</v>
      </c>
      <c r="I60" s="136">
        <f>IF('00_TONG_HOP_BAO_GIA'!G54&gt;0, ('00_TONG_HOP_BAO_GIA'!K54 + '00_TONG_HOP_BAO_GIA'!M54) * (1 + '00_TONG_HOP_BAO_GIA'!P54) / '00_TONG_HOP_BAO_GIA'!G54, 0)</f>
        <v/>
      </c>
      <c r="J60" s="136">
        <f>IF('00_TONG_HOP_BAO_GIA'!G54&gt;0, '00_TONG_HOP_BAO_GIA'!L54 * (1 + '00_TONG_HOP_BAO_GIA'!P54) / '00_TONG_HOP_BAO_GIA'!G54, 0)</f>
        <v/>
      </c>
      <c r="K60" s="137">
        <f>'00_TONG_HOP_BAO_GIA'!Q54</f>
        <v/>
      </c>
      <c r="L60" s="137">
        <f>('00_TONG_HOP_BAO_GIA'!K54 + '00_TONG_HOP_BAO_GIA'!M54) * (1 + '00_TONG_HOP_BAO_GIA'!P54)</f>
        <v/>
      </c>
      <c r="M60" s="137">
        <f>'00_TONG_HOP_BAO_GIA'!L54 * (1 + '00_TONG_HOP_BAO_GIA'!P54)</f>
        <v/>
      </c>
      <c r="N60" s="137">
        <f>'00_TONG_HOP_BAO_GIA'!R54</f>
        <v/>
      </c>
      <c r="O60" s="139">
        <f>IF(K60=0, "CẢNH BÁO: Đơn giá = 0. Tra cứu lại Sheet 06!", '00_TONG_HOP_BAO_GIA'!S54)</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83" t="inlineStr">
        <is>
          <t>m2</t>
        </is>
      </c>
      <c r="H61" s="136" t="n">
        <v>138</v>
      </c>
      <c r="I61" s="136">
        <f>IF('00_TONG_HOP_BAO_GIA'!G55&gt;0, ('00_TONG_HOP_BAO_GIA'!K55 + '00_TONG_HOP_BAO_GIA'!M55) * (1 + '00_TONG_HOP_BAO_GIA'!P55) / '00_TONG_HOP_BAO_GIA'!G55, 0)</f>
        <v/>
      </c>
      <c r="J61" s="136">
        <f>IF('00_TONG_HOP_BAO_GIA'!G55&gt;0, '00_TONG_HOP_BAO_GIA'!L55 * (1 + '00_TONG_HOP_BAO_GIA'!P55) / '00_TONG_HOP_BAO_GIA'!G55, 0)</f>
        <v/>
      </c>
      <c r="K61" s="137">
        <f>'00_TONG_HOP_BAO_GIA'!Q55</f>
        <v/>
      </c>
      <c r="L61" s="137">
        <f>('00_TONG_HOP_BAO_GIA'!K55 + '00_TONG_HOP_BAO_GIA'!M55) * (1 + '00_TONG_HOP_BAO_GIA'!P55)</f>
        <v/>
      </c>
      <c r="M61" s="137">
        <f>'00_TONG_HOP_BAO_GIA'!L55 * (1 + '00_TONG_HOP_BAO_GIA'!P55)</f>
        <v/>
      </c>
      <c r="N61" s="137">
        <f>'00_TONG_HOP_BAO_GIA'!R55</f>
        <v/>
      </c>
      <c r="O61" s="139">
        <f>IF(K61=0, "CẢNH BÁO: Đơn giá = 0. Tra cứu lại Sheet 06!", '00_TONG_HOP_BAO_GIA'!S55)</f>
        <v/>
      </c>
    </row>
    <row r="62" outlineLevel="1">
      <c r="A62" s="141">
        <f>SUBTOTAL(3,$G$7:G62)</f>
        <v/>
      </c>
      <c r="B62" s="139" t="inlineStr">
        <is>
          <t>Lưới bảo vệ</t>
        </is>
      </c>
      <c r="C62" s="142" t="n"/>
      <c r="D62" s="134" t="n"/>
      <c r="E62" s="134" t="n"/>
      <c r="F62" s="329" t="n"/>
      <c r="G62" s="383" t="inlineStr">
        <is>
          <t>cái</t>
        </is>
      </c>
      <c r="H62" s="136" t="n">
        <v>3</v>
      </c>
      <c r="I62" s="136">
        <f>IF('00_TONG_HOP_BAO_GIA'!G56&gt;0, ('00_TONG_HOP_BAO_GIA'!K56 + '00_TONG_HOP_BAO_GIA'!M56) * (1 + '00_TONG_HOP_BAO_GIA'!P56) / '00_TONG_HOP_BAO_GIA'!G56, 0)</f>
        <v/>
      </c>
      <c r="J62" s="136">
        <f>IF('00_TONG_HOP_BAO_GIA'!G56&gt;0, '00_TONG_HOP_BAO_GIA'!L56 * (1 + '00_TONG_HOP_BAO_GIA'!P56) / '00_TONG_HOP_BAO_GIA'!G56, 0)</f>
        <v/>
      </c>
      <c r="K62" s="137">
        <f>'00_TONG_HOP_BAO_GIA'!Q56</f>
        <v/>
      </c>
      <c r="L62" s="137">
        <f>('00_TONG_HOP_BAO_GIA'!K56 + '00_TONG_HOP_BAO_GIA'!M56) * (1 + '00_TONG_HOP_BAO_GIA'!P56)</f>
        <v/>
      </c>
      <c r="M62" s="137">
        <f>'00_TONG_HOP_BAO_GIA'!L56 * (1 + '00_TONG_HOP_BAO_GIA'!P56)</f>
        <v/>
      </c>
      <c r="N62" s="137">
        <f>'00_TONG_HOP_BAO_GIA'!R56</f>
        <v/>
      </c>
      <c r="O62" s="139">
        <f>IF(K62=0, "CẢNH BÁO: Đơn giá = 0. Tra cứu lại Sheet 06!", '00_TONG_HOP_BAO_GIA'!S56)</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83" t="inlineStr">
        <is>
          <t>m2</t>
        </is>
      </c>
      <c r="H63" s="136" t="n">
        <v>3621.25</v>
      </c>
      <c r="I63" s="136">
        <f>IF('00_TONG_HOP_BAO_GIA'!G57&gt;0, ('00_TONG_HOP_BAO_GIA'!K57 + '00_TONG_HOP_BAO_GIA'!M57) * (1 + '00_TONG_HOP_BAO_GIA'!P57) / '00_TONG_HOP_BAO_GIA'!G57, 0)</f>
        <v/>
      </c>
      <c r="J63" s="136">
        <f>IF('00_TONG_HOP_BAO_GIA'!G57&gt;0, '00_TONG_HOP_BAO_GIA'!L57 * (1 + '00_TONG_HOP_BAO_GIA'!P57) / '00_TONG_HOP_BAO_GIA'!G57, 0)</f>
        <v/>
      </c>
      <c r="K63" s="137">
        <f>'00_TONG_HOP_BAO_GIA'!Q57</f>
        <v/>
      </c>
      <c r="L63" s="137">
        <f>('00_TONG_HOP_BAO_GIA'!K57 + '00_TONG_HOP_BAO_GIA'!M57) * (1 + '00_TONG_HOP_BAO_GIA'!P57)</f>
        <v/>
      </c>
      <c r="M63" s="137">
        <f>'00_TONG_HOP_BAO_GIA'!L57 * (1 + '00_TONG_HOP_BAO_GIA'!P57)</f>
        <v/>
      </c>
      <c r="N63" s="137">
        <f>'00_TONG_HOP_BAO_GIA'!R57</f>
        <v/>
      </c>
      <c r="O63" s="139">
        <f>IF(K63=0, "CẢNH BÁO: Đơn giá = 0. Tra cứu lại Sheet 06!", '00_TONG_HOP_BAO_GIA'!S57)</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83" t="inlineStr">
        <is>
          <t>m2</t>
        </is>
      </c>
      <c r="H64" s="136" t="n">
        <v>2821</v>
      </c>
      <c r="I64" s="136">
        <f>IF('00_TONG_HOP_BAO_GIA'!G58&gt;0, ('00_TONG_HOP_BAO_GIA'!K58 + '00_TONG_HOP_BAO_GIA'!M58) * (1 + '00_TONG_HOP_BAO_GIA'!P58) / '00_TONG_HOP_BAO_GIA'!G58, 0)</f>
        <v/>
      </c>
      <c r="J64" s="136">
        <f>IF('00_TONG_HOP_BAO_GIA'!G58&gt;0, '00_TONG_HOP_BAO_GIA'!L58 * (1 + '00_TONG_HOP_BAO_GIA'!P58) / '00_TONG_HOP_BAO_GIA'!G58, 0)</f>
        <v/>
      </c>
      <c r="K64" s="137">
        <f>'00_TONG_HOP_BAO_GIA'!Q58</f>
        <v/>
      </c>
      <c r="L64" s="137">
        <f>('00_TONG_HOP_BAO_GIA'!K58 + '00_TONG_HOP_BAO_GIA'!M58) * (1 + '00_TONG_HOP_BAO_GIA'!P58)</f>
        <v/>
      </c>
      <c r="M64" s="137">
        <f>'00_TONG_HOP_BAO_GIA'!L58 * (1 + '00_TONG_HOP_BAO_GIA'!P58)</f>
        <v/>
      </c>
      <c r="N64" s="137">
        <f>'00_TONG_HOP_BAO_GIA'!R58</f>
        <v/>
      </c>
      <c r="O64" s="139">
        <f>IF(K64=0, "CẢNH BÁO: Đơn giá = 0. Tra cứu lại Sheet 06!", '00_TONG_HOP_BAO_GIA'!S58)</f>
        <v/>
      </c>
    </row>
    <row r="65" outlineLevel="1">
      <c r="A65" s="141">
        <f>SUBTOTAL(3,$G$7:G65)</f>
        <v/>
      </c>
      <c r="B65" s="139" t="inlineStr">
        <is>
          <t>Vật tư phụ, phụ kiện</t>
        </is>
      </c>
      <c r="C65" s="134" t="n"/>
      <c r="D65" s="134" t="n"/>
      <c r="E65" s="134" t="n"/>
      <c r="F65" s="329" t="n"/>
      <c r="G65" s="383" t="inlineStr">
        <is>
          <t>Lô</t>
        </is>
      </c>
      <c r="H65" s="136" t="n">
        <v>1</v>
      </c>
      <c r="I65" s="136">
        <f>IF('00_TONG_HOP_BAO_GIA'!G59&gt;0, ('00_TONG_HOP_BAO_GIA'!K59 + '00_TONG_HOP_BAO_GIA'!M59) * (1 + '00_TONG_HOP_BAO_GIA'!P59) / '00_TONG_HOP_BAO_GIA'!G59, 0)</f>
        <v/>
      </c>
      <c r="J65" s="136">
        <f>IF('00_TONG_HOP_BAO_GIA'!G59&gt;0, '00_TONG_HOP_BAO_GIA'!L59 * (1 + '00_TONG_HOP_BAO_GIA'!P59) / '00_TONG_HOP_BAO_GIA'!G59, 0)</f>
        <v/>
      </c>
      <c r="K65" s="137">
        <f>'00_TONG_HOP_BAO_GIA'!Q59</f>
        <v/>
      </c>
      <c r="L65" s="137">
        <f>('00_TONG_HOP_BAO_GIA'!K59 + '00_TONG_HOP_BAO_GIA'!M59) * (1 + '00_TONG_HOP_BAO_GIA'!P59)</f>
        <v/>
      </c>
      <c r="M65" s="137">
        <f>'00_TONG_HOP_BAO_GIA'!L59 * (1 + '00_TONG_HOP_BAO_GIA'!P59)</f>
        <v/>
      </c>
      <c r="N65" s="137">
        <f>'00_TONG_HOP_BAO_GIA'!R59</f>
        <v/>
      </c>
      <c r="O65" s="139">
        <f>IF(K65=0, "CẢNH BÁO: Đơn giá = 0. Tra cứu lại Sheet 06!", '00_TONG_HOP_BAO_GIA'!S59)</f>
        <v/>
      </c>
    </row>
    <row r="66" outlineLevel="1">
      <c r="A66" s="132" t="inlineStr">
        <is>
          <t>A2</t>
        </is>
      </c>
      <c r="B66" s="140" t="inlineStr">
        <is>
          <t>HỆ THỐNG TẠO ÁP</t>
        </is>
      </c>
      <c r="C66" s="134" t="n"/>
      <c r="D66" s="134" t="n"/>
      <c r="E66" s="134" t="n"/>
      <c r="F66" s="329" t="inlineStr">
        <is>
          <t>M</t>
        </is>
      </c>
      <c r="G66" s="383"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83" t="inlineStr">
        <is>
          <t>Cái</t>
        </is>
      </c>
      <c r="H67" s="136" t="n">
        <v>1</v>
      </c>
      <c r="I67" s="136">
        <f>IF('00_TONG_HOP_BAO_GIA'!G60&gt;0, ('00_TONG_HOP_BAO_GIA'!K60 + '00_TONG_HOP_BAO_GIA'!M60) * (1 + '00_TONG_HOP_BAO_GIA'!P60) / '00_TONG_HOP_BAO_GIA'!G60, 0)</f>
        <v/>
      </c>
      <c r="J67" s="136">
        <f>IF('00_TONG_HOP_BAO_GIA'!G60&gt;0, '00_TONG_HOP_BAO_GIA'!L60 * (1 + '00_TONG_HOP_BAO_GIA'!P60) / '00_TONG_HOP_BAO_GIA'!G60, 0)</f>
        <v/>
      </c>
      <c r="K67" s="137">
        <f>'00_TONG_HOP_BAO_GIA'!Q60</f>
        <v/>
      </c>
      <c r="L67" s="137">
        <f>('00_TONG_HOP_BAO_GIA'!K60 + '00_TONG_HOP_BAO_GIA'!M60) * (1 + '00_TONG_HOP_BAO_GIA'!P60)</f>
        <v/>
      </c>
      <c r="M67" s="137">
        <f>'00_TONG_HOP_BAO_GIA'!L60 * (1 + '00_TONG_HOP_BAO_GIA'!P60)</f>
        <v/>
      </c>
      <c r="N67" s="137">
        <f>'00_TONG_HOP_BAO_GIA'!R60</f>
        <v/>
      </c>
      <c r="O67" s="139">
        <f>IF(K67=0, "CẢNH BÁO: Đơn giá = 0. Tra cứu lại Sheet 06!", '00_TONG_HOP_BAO_GIA'!S60)</f>
        <v/>
      </c>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83" t="inlineStr">
        <is>
          <t>Cái</t>
        </is>
      </c>
      <c r="H68" s="136" t="n">
        <v>1</v>
      </c>
      <c r="I68" s="136">
        <f>IF('00_TONG_HOP_BAO_GIA'!G61&gt;0, ('00_TONG_HOP_BAO_GIA'!K61 + '00_TONG_HOP_BAO_GIA'!M61) * (1 + '00_TONG_HOP_BAO_GIA'!P61) / '00_TONG_HOP_BAO_GIA'!G61, 0)</f>
        <v/>
      </c>
      <c r="J68" s="136">
        <f>IF('00_TONG_HOP_BAO_GIA'!G61&gt;0, '00_TONG_HOP_BAO_GIA'!L61 * (1 + '00_TONG_HOP_BAO_GIA'!P61) / '00_TONG_HOP_BAO_GIA'!G61, 0)</f>
        <v/>
      </c>
      <c r="K68" s="137">
        <f>'00_TONG_HOP_BAO_GIA'!Q61</f>
        <v/>
      </c>
      <c r="L68" s="137">
        <f>('00_TONG_HOP_BAO_GIA'!K61 + '00_TONG_HOP_BAO_GIA'!M61) * (1 + '00_TONG_HOP_BAO_GIA'!P61)</f>
        <v/>
      </c>
      <c r="M68" s="137">
        <f>'00_TONG_HOP_BAO_GIA'!L61 * (1 + '00_TONG_HOP_BAO_GIA'!P61)</f>
        <v/>
      </c>
      <c r="N68" s="137">
        <f>'00_TONG_HOP_BAO_GIA'!R61</f>
        <v/>
      </c>
      <c r="O68" s="139">
        <f>IF(K68=0, "CẢNH BÁO: Đơn giá = 0. Tra cứu lại Sheet 06!", '00_TONG_HOP_BAO_GIA'!S61)</f>
        <v/>
      </c>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83" t="inlineStr">
        <is>
          <t>Cái</t>
        </is>
      </c>
      <c r="H69" s="136" t="n">
        <v>1</v>
      </c>
      <c r="I69" s="136">
        <f>IF('00_TONG_HOP_BAO_GIA'!G62&gt;0, ('00_TONG_HOP_BAO_GIA'!K62 + '00_TONG_HOP_BAO_GIA'!M62) * (1 + '00_TONG_HOP_BAO_GIA'!P62) / '00_TONG_HOP_BAO_GIA'!G62, 0)</f>
        <v/>
      </c>
      <c r="J69" s="136">
        <f>IF('00_TONG_HOP_BAO_GIA'!G62&gt;0, '00_TONG_HOP_BAO_GIA'!L62 * (1 + '00_TONG_HOP_BAO_GIA'!P62) / '00_TONG_HOP_BAO_GIA'!G62, 0)</f>
        <v/>
      </c>
      <c r="K69" s="137">
        <f>'00_TONG_HOP_BAO_GIA'!Q62</f>
        <v/>
      </c>
      <c r="L69" s="137">
        <f>('00_TONG_HOP_BAO_GIA'!K62 + '00_TONG_HOP_BAO_GIA'!M62) * (1 + '00_TONG_HOP_BAO_GIA'!P62)</f>
        <v/>
      </c>
      <c r="M69" s="137">
        <f>'00_TONG_HOP_BAO_GIA'!L62 * (1 + '00_TONG_HOP_BAO_GIA'!P62)</f>
        <v/>
      </c>
      <c r="N69" s="137">
        <f>'00_TONG_HOP_BAO_GIA'!R62</f>
        <v/>
      </c>
      <c r="O69" s="139">
        <f>IF(K69=0, "CẢNH BÁO: Đơn giá = 0. Tra cứu lại Sheet 06!", '00_TONG_HOP_BAO_GIA'!S62)</f>
        <v/>
      </c>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83" t="inlineStr">
        <is>
          <t>Cái</t>
        </is>
      </c>
      <c r="H70" s="136" t="n">
        <v>1</v>
      </c>
      <c r="I70" s="136">
        <f>IF('00_TONG_HOP_BAO_GIA'!G63&gt;0, ('00_TONG_HOP_BAO_GIA'!K63 + '00_TONG_HOP_BAO_GIA'!M63) * (1 + '00_TONG_HOP_BAO_GIA'!P63) / '00_TONG_HOP_BAO_GIA'!G63, 0)</f>
        <v/>
      </c>
      <c r="J70" s="136">
        <f>IF('00_TONG_HOP_BAO_GIA'!G63&gt;0, '00_TONG_HOP_BAO_GIA'!L63 * (1 + '00_TONG_HOP_BAO_GIA'!P63) / '00_TONG_HOP_BAO_GIA'!G63, 0)</f>
        <v/>
      </c>
      <c r="K70" s="137">
        <f>'00_TONG_HOP_BAO_GIA'!Q63</f>
        <v/>
      </c>
      <c r="L70" s="137">
        <f>('00_TONG_HOP_BAO_GIA'!K63 + '00_TONG_HOP_BAO_GIA'!M63) * (1 + '00_TONG_HOP_BAO_GIA'!P63)</f>
        <v/>
      </c>
      <c r="M70" s="137">
        <f>'00_TONG_HOP_BAO_GIA'!L63 * (1 + '00_TONG_HOP_BAO_GIA'!P63)</f>
        <v/>
      </c>
      <c r="N70" s="137">
        <f>'00_TONG_HOP_BAO_GIA'!R63</f>
        <v/>
      </c>
      <c r="O70" s="139">
        <f>IF(K70=0, "CẢNH BÁO: Đơn giá = 0. Tra cứu lại Sheet 06!", '00_TONG_HOP_BAO_GIA'!S63)</f>
        <v/>
      </c>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83" t="inlineStr">
        <is>
          <t>Cái</t>
        </is>
      </c>
      <c r="H71" s="136" t="n">
        <v>1</v>
      </c>
      <c r="I71" s="136">
        <f>IF('00_TONG_HOP_BAO_GIA'!G64&gt;0, ('00_TONG_HOP_BAO_GIA'!K64 + '00_TONG_HOP_BAO_GIA'!M64) * (1 + '00_TONG_HOP_BAO_GIA'!P64) / '00_TONG_HOP_BAO_GIA'!G64, 0)</f>
        <v/>
      </c>
      <c r="J71" s="136">
        <f>IF('00_TONG_HOP_BAO_GIA'!G64&gt;0, '00_TONG_HOP_BAO_GIA'!L64 * (1 + '00_TONG_HOP_BAO_GIA'!P64) / '00_TONG_HOP_BAO_GIA'!G64, 0)</f>
        <v/>
      </c>
      <c r="K71" s="137">
        <f>'00_TONG_HOP_BAO_GIA'!Q64</f>
        <v/>
      </c>
      <c r="L71" s="137">
        <f>('00_TONG_HOP_BAO_GIA'!K64 + '00_TONG_HOP_BAO_GIA'!M64) * (1 + '00_TONG_HOP_BAO_GIA'!P64)</f>
        <v/>
      </c>
      <c r="M71" s="137">
        <f>'00_TONG_HOP_BAO_GIA'!L64 * (1 + '00_TONG_HOP_BAO_GIA'!P64)</f>
        <v/>
      </c>
      <c r="N71" s="137">
        <f>'00_TONG_HOP_BAO_GIA'!R64</f>
        <v/>
      </c>
      <c r="O71" s="139">
        <f>IF(K71=0, "CẢNH BÁO: Đơn giá = 0. Tra cứu lại Sheet 06!", '00_TONG_HOP_BAO_GIA'!S64)</f>
        <v/>
      </c>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83" t="inlineStr">
        <is>
          <t>Cái</t>
        </is>
      </c>
      <c r="H72" s="136" t="n">
        <v>1</v>
      </c>
      <c r="I72" s="136">
        <f>IF('00_TONG_HOP_BAO_GIA'!G65&gt;0, ('00_TONG_HOP_BAO_GIA'!K65 + '00_TONG_HOP_BAO_GIA'!M65) * (1 + '00_TONG_HOP_BAO_GIA'!P65) / '00_TONG_HOP_BAO_GIA'!G65, 0)</f>
        <v/>
      </c>
      <c r="J72" s="136">
        <f>IF('00_TONG_HOP_BAO_GIA'!G65&gt;0, '00_TONG_HOP_BAO_GIA'!L65 * (1 + '00_TONG_HOP_BAO_GIA'!P65) / '00_TONG_HOP_BAO_GIA'!G65, 0)</f>
        <v/>
      </c>
      <c r="K72" s="137">
        <f>'00_TONG_HOP_BAO_GIA'!Q65</f>
        <v/>
      </c>
      <c r="L72" s="137">
        <f>('00_TONG_HOP_BAO_GIA'!K65 + '00_TONG_HOP_BAO_GIA'!M65) * (1 + '00_TONG_HOP_BAO_GIA'!P65)</f>
        <v/>
      </c>
      <c r="M72" s="137">
        <f>'00_TONG_HOP_BAO_GIA'!L65 * (1 + '00_TONG_HOP_BAO_GIA'!P65)</f>
        <v/>
      </c>
      <c r="N72" s="137">
        <f>'00_TONG_HOP_BAO_GIA'!R65</f>
        <v/>
      </c>
      <c r="O72" s="139">
        <f>IF(K72=0, "CẢNH BÁO: Đơn giá = 0. Tra cứu lại Sheet 06!", '00_TONG_HOP_BAO_GIA'!S65)</f>
        <v/>
      </c>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83" t="inlineStr">
        <is>
          <t>Cái</t>
        </is>
      </c>
      <c r="H73" s="136" t="n">
        <v>1</v>
      </c>
      <c r="I73" s="136">
        <f>IF('00_TONG_HOP_BAO_GIA'!G66&gt;0, ('00_TONG_HOP_BAO_GIA'!K66 + '00_TONG_HOP_BAO_GIA'!M66) * (1 + '00_TONG_HOP_BAO_GIA'!P66) / '00_TONG_HOP_BAO_GIA'!G66, 0)</f>
        <v/>
      </c>
      <c r="J73" s="136">
        <f>IF('00_TONG_HOP_BAO_GIA'!G66&gt;0, '00_TONG_HOP_BAO_GIA'!L66 * (1 + '00_TONG_HOP_BAO_GIA'!P66) / '00_TONG_HOP_BAO_GIA'!G66, 0)</f>
        <v/>
      </c>
      <c r="K73" s="137">
        <f>'00_TONG_HOP_BAO_GIA'!Q66</f>
        <v/>
      </c>
      <c r="L73" s="137">
        <f>('00_TONG_HOP_BAO_GIA'!K66 + '00_TONG_HOP_BAO_GIA'!M66) * (1 + '00_TONG_HOP_BAO_GIA'!P66)</f>
        <v/>
      </c>
      <c r="M73" s="137">
        <f>'00_TONG_HOP_BAO_GIA'!L66 * (1 + '00_TONG_HOP_BAO_GIA'!P66)</f>
        <v/>
      </c>
      <c r="N73" s="137">
        <f>'00_TONG_HOP_BAO_GIA'!R66</f>
        <v/>
      </c>
      <c r="O73" s="139">
        <f>IF(K73=0, "CẢNH BÁO: Đơn giá = 0. Tra cứu lại Sheet 06!", '00_TONG_HOP_BAO_GIA'!S66)</f>
        <v/>
      </c>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83" t="inlineStr">
        <is>
          <t>Cái</t>
        </is>
      </c>
      <c r="H74" s="136" t="n">
        <v>1</v>
      </c>
      <c r="I74" s="136">
        <f>IF('00_TONG_HOP_BAO_GIA'!G67&gt;0, ('00_TONG_HOP_BAO_GIA'!K67 + '00_TONG_HOP_BAO_GIA'!M67) * (1 + '00_TONG_HOP_BAO_GIA'!P67) / '00_TONG_HOP_BAO_GIA'!G67, 0)</f>
        <v/>
      </c>
      <c r="J74" s="136">
        <f>IF('00_TONG_HOP_BAO_GIA'!G67&gt;0, '00_TONG_HOP_BAO_GIA'!L67 * (1 + '00_TONG_HOP_BAO_GIA'!P67) / '00_TONG_HOP_BAO_GIA'!G67, 0)</f>
        <v/>
      </c>
      <c r="K74" s="137">
        <f>'00_TONG_HOP_BAO_GIA'!Q67</f>
        <v/>
      </c>
      <c r="L74" s="137">
        <f>('00_TONG_HOP_BAO_GIA'!K67 + '00_TONG_HOP_BAO_GIA'!M67) * (1 + '00_TONG_HOP_BAO_GIA'!P67)</f>
        <v/>
      </c>
      <c r="M74" s="137">
        <f>'00_TONG_HOP_BAO_GIA'!L67 * (1 + '00_TONG_HOP_BAO_GIA'!P67)</f>
        <v/>
      </c>
      <c r="N74" s="137">
        <f>'00_TONG_HOP_BAO_GIA'!R67</f>
        <v/>
      </c>
      <c r="O74" s="139">
        <f>IF(K74=0, "CẢNH BÁO: Đơn giá = 0. Tra cứu lại Sheet 06!", '00_TONG_HOP_BAO_GIA'!S67)</f>
        <v/>
      </c>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83" t="inlineStr">
        <is>
          <t>Cái</t>
        </is>
      </c>
      <c r="H75" s="136" t="n">
        <v>1</v>
      </c>
      <c r="I75" s="136">
        <f>IF('00_TONG_HOP_BAO_GIA'!G68&gt;0, ('00_TONG_HOP_BAO_GIA'!K68 + '00_TONG_HOP_BAO_GIA'!M68) * (1 + '00_TONG_HOP_BAO_GIA'!P68) / '00_TONG_HOP_BAO_GIA'!G68, 0)</f>
        <v/>
      </c>
      <c r="J75" s="136">
        <f>IF('00_TONG_HOP_BAO_GIA'!G68&gt;0, '00_TONG_HOP_BAO_GIA'!L68 * (1 + '00_TONG_HOP_BAO_GIA'!P68) / '00_TONG_HOP_BAO_GIA'!G68, 0)</f>
        <v/>
      </c>
      <c r="K75" s="137">
        <f>'00_TONG_HOP_BAO_GIA'!Q68</f>
        <v/>
      </c>
      <c r="L75" s="137">
        <f>('00_TONG_HOP_BAO_GIA'!K68 + '00_TONG_HOP_BAO_GIA'!M68) * (1 + '00_TONG_HOP_BAO_GIA'!P68)</f>
        <v/>
      </c>
      <c r="M75" s="137">
        <f>'00_TONG_HOP_BAO_GIA'!L68 * (1 + '00_TONG_HOP_BAO_GIA'!P68)</f>
        <v/>
      </c>
      <c r="N75" s="137">
        <f>'00_TONG_HOP_BAO_GIA'!R68</f>
        <v/>
      </c>
      <c r="O75" s="139">
        <f>IF(K75=0, "CẢNH BÁO: Đơn giá = 0. Tra cứu lại Sheet 06!", '00_TONG_HOP_BAO_GIA'!S68)</f>
        <v/>
      </c>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83" t="inlineStr">
        <is>
          <t>Cái</t>
        </is>
      </c>
      <c r="H76" s="136" t="n">
        <v>1</v>
      </c>
      <c r="I76" s="136">
        <f>IF('00_TONG_HOP_BAO_GIA'!G69&gt;0, ('00_TONG_HOP_BAO_GIA'!K69 + '00_TONG_HOP_BAO_GIA'!M69) * (1 + '00_TONG_HOP_BAO_GIA'!P69) / '00_TONG_HOP_BAO_GIA'!G69, 0)</f>
        <v/>
      </c>
      <c r="J76" s="136">
        <f>IF('00_TONG_HOP_BAO_GIA'!G69&gt;0, '00_TONG_HOP_BAO_GIA'!L69 * (1 + '00_TONG_HOP_BAO_GIA'!P69) / '00_TONG_HOP_BAO_GIA'!G69, 0)</f>
        <v/>
      </c>
      <c r="K76" s="137">
        <f>'00_TONG_HOP_BAO_GIA'!Q69</f>
        <v/>
      </c>
      <c r="L76" s="137">
        <f>('00_TONG_HOP_BAO_GIA'!K69 + '00_TONG_HOP_BAO_GIA'!M69) * (1 + '00_TONG_HOP_BAO_GIA'!P69)</f>
        <v/>
      </c>
      <c r="M76" s="137">
        <f>'00_TONG_HOP_BAO_GIA'!L69 * (1 + '00_TONG_HOP_BAO_GIA'!P69)</f>
        <v/>
      </c>
      <c r="N76" s="137">
        <f>'00_TONG_HOP_BAO_GIA'!R69</f>
        <v/>
      </c>
      <c r="O76" s="139">
        <f>IF(K76=0, "CẢNH BÁO: Đơn giá = 0. Tra cứu lại Sheet 06!", '00_TONG_HOP_BAO_GIA'!S69)</f>
        <v/>
      </c>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83" t="inlineStr">
        <is>
          <t>Cái</t>
        </is>
      </c>
      <c r="H77" s="136" t="n">
        <v>1</v>
      </c>
      <c r="I77" s="136">
        <f>IF('00_TONG_HOP_BAO_GIA'!G70&gt;0, ('00_TONG_HOP_BAO_GIA'!K70 + '00_TONG_HOP_BAO_GIA'!M70) * (1 + '00_TONG_HOP_BAO_GIA'!P70) / '00_TONG_HOP_BAO_GIA'!G70, 0)</f>
        <v/>
      </c>
      <c r="J77" s="136">
        <f>IF('00_TONG_HOP_BAO_GIA'!G70&gt;0, '00_TONG_HOP_BAO_GIA'!L70 * (1 + '00_TONG_HOP_BAO_GIA'!P70) / '00_TONG_HOP_BAO_GIA'!G70, 0)</f>
        <v/>
      </c>
      <c r="K77" s="137">
        <f>'00_TONG_HOP_BAO_GIA'!Q70</f>
        <v/>
      </c>
      <c r="L77" s="137">
        <f>('00_TONG_HOP_BAO_GIA'!K70 + '00_TONG_HOP_BAO_GIA'!M70) * (1 + '00_TONG_HOP_BAO_GIA'!P70)</f>
        <v/>
      </c>
      <c r="M77" s="137">
        <f>'00_TONG_HOP_BAO_GIA'!L70 * (1 + '00_TONG_HOP_BAO_GIA'!P70)</f>
        <v/>
      </c>
      <c r="N77" s="137">
        <f>'00_TONG_HOP_BAO_GIA'!R70</f>
        <v/>
      </c>
      <c r="O77" s="139">
        <f>IF(K77=0, "CẢNH BÁO: Đơn giá = 0. Tra cứu lại Sheet 06!", '00_TONG_HOP_BAO_GIA'!S70)</f>
        <v/>
      </c>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83" t="inlineStr">
        <is>
          <t>Cái</t>
        </is>
      </c>
      <c r="H78" s="136" t="n">
        <v>1</v>
      </c>
      <c r="I78" s="136">
        <f>IF('00_TONG_HOP_BAO_GIA'!G71&gt;0, ('00_TONG_HOP_BAO_GIA'!K71 + '00_TONG_HOP_BAO_GIA'!M71) * (1 + '00_TONG_HOP_BAO_GIA'!P71) / '00_TONG_HOP_BAO_GIA'!G71, 0)</f>
        <v/>
      </c>
      <c r="J78" s="136">
        <f>IF('00_TONG_HOP_BAO_GIA'!G71&gt;0, '00_TONG_HOP_BAO_GIA'!L71 * (1 + '00_TONG_HOP_BAO_GIA'!P71) / '00_TONG_HOP_BAO_GIA'!G71, 0)</f>
        <v/>
      </c>
      <c r="K78" s="137">
        <f>'00_TONG_HOP_BAO_GIA'!Q71</f>
        <v/>
      </c>
      <c r="L78" s="137">
        <f>('00_TONG_HOP_BAO_GIA'!K71 + '00_TONG_HOP_BAO_GIA'!M71) * (1 + '00_TONG_HOP_BAO_GIA'!P71)</f>
        <v/>
      </c>
      <c r="M78" s="137">
        <f>'00_TONG_HOP_BAO_GIA'!L71 * (1 + '00_TONG_HOP_BAO_GIA'!P71)</f>
        <v/>
      </c>
      <c r="N78" s="137">
        <f>'00_TONG_HOP_BAO_GIA'!R71</f>
        <v/>
      </c>
      <c r="O78" s="139">
        <f>IF(K78=0, "CẢNH BÁO: Đơn giá = 0. Tra cứu lại Sheet 06!", '00_TONG_HOP_BAO_GIA'!S71)</f>
        <v/>
      </c>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83" t="inlineStr">
        <is>
          <t>Cái</t>
        </is>
      </c>
      <c r="H79" s="136" t="n">
        <v>1</v>
      </c>
      <c r="I79" s="136">
        <f>IF('00_TONG_HOP_BAO_GIA'!G72&gt;0, ('00_TONG_HOP_BAO_GIA'!K72 + '00_TONG_HOP_BAO_GIA'!M72) * (1 + '00_TONG_HOP_BAO_GIA'!P72) / '00_TONG_HOP_BAO_GIA'!G72, 0)</f>
        <v/>
      </c>
      <c r="J79" s="136">
        <f>IF('00_TONG_HOP_BAO_GIA'!G72&gt;0, '00_TONG_HOP_BAO_GIA'!L72 * (1 + '00_TONG_HOP_BAO_GIA'!P72) / '00_TONG_HOP_BAO_GIA'!G72, 0)</f>
        <v/>
      </c>
      <c r="K79" s="137">
        <f>'00_TONG_HOP_BAO_GIA'!Q72</f>
        <v/>
      </c>
      <c r="L79" s="137">
        <f>('00_TONG_HOP_BAO_GIA'!K72 + '00_TONG_HOP_BAO_GIA'!M72) * (1 + '00_TONG_HOP_BAO_GIA'!P72)</f>
        <v/>
      </c>
      <c r="M79" s="137">
        <f>'00_TONG_HOP_BAO_GIA'!L72 * (1 + '00_TONG_HOP_BAO_GIA'!P72)</f>
        <v/>
      </c>
      <c r="N79" s="137">
        <f>'00_TONG_HOP_BAO_GIA'!R72</f>
        <v/>
      </c>
      <c r="O79" s="139">
        <f>IF(K79=0, "CẢNH BÁO: Đơn giá = 0. Tra cứu lại Sheet 06!", '00_TONG_HOP_BAO_GIA'!S72)</f>
        <v/>
      </c>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83" t="inlineStr">
        <is>
          <t>Cái</t>
        </is>
      </c>
      <c r="H80" s="136" t="n">
        <v>1</v>
      </c>
      <c r="I80" s="136">
        <f>IF('00_TONG_HOP_BAO_GIA'!G73&gt;0, ('00_TONG_HOP_BAO_GIA'!K73 + '00_TONG_HOP_BAO_GIA'!M73) * (1 + '00_TONG_HOP_BAO_GIA'!P73) / '00_TONG_HOP_BAO_GIA'!G73, 0)</f>
        <v/>
      </c>
      <c r="J80" s="136">
        <f>IF('00_TONG_HOP_BAO_GIA'!G73&gt;0, '00_TONG_HOP_BAO_GIA'!L73 * (1 + '00_TONG_HOP_BAO_GIA'!P73) / '00_TONG_HOP_BAO_GIA'!G73, 0)</f>
        <v/>
      </c>
      <c r="K80" s="137">
        <f>'00_TONG_HOP_BAO_GIA'!Q73</f>
        <v/>
      </c>
      <c r="L80" s="137">
        <f>('00_TONG_HOP_BAO_GIA'!K73 + '00_TONG_HOP_BAO_GIA'!M73) * (1 + '00_TONG_HOP_BAO_GIA'!P73)</f>
        <v/>
      </c>
      <c r="M80" s="137">
        <f>'00_TONG_HOP_BAO_GIA'!L73 * (1 + '00_TONG_HOP_BAO_GIA'!P73)</f>
        <v/>
      </c>
      <c r="N80" s="137">
        <f>'00_TONG_HOP_BAO_GIA'!R73</f>
        <v/>
      </c>
      <c r="O80" s="139">
        <f>IF(K80=0, "CẢNH BÁO: Đơn giá = 0. Tra cứu lại Sheet 06!", '00_TONG_HOP_BAO_GIA'!S73)</f>
        <v/>
      </c>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83" t="inlineStr">
        <is>
          <t>Cái</t>
        </is>
      </c>
      <c r="H81" s="136" t="n">
        <v>1</v>
      </c>
      <c r="I81" s="136">
        <f>IF('00_TONG_HOP_BAO_GIA'!G74&gt;0, ('00_TONG_HOP_BAO_GIA'!K74 + '00_TONG_HOP_BAO_GIA'!M74) * (1 + '00_TONG_HOP_BAO_GIA'!P74) / '00_TONG_HOP_BAO_GIA'!G74, 0)</f>
        <v/>
      </c>
      <c r="J81" s="136">
        <f>IF('00_TONG_HOP_BAO_GIA'!G74&gt;0, '00_TONG_HOP_BAO_GIA'!L74 * (1 + '00_TONG_HOP_BAO_GIA'!P74) / '00_TONG_HOP_BAO_GIA'!G74, 0)</f>
        <v/>
      </c>
      <c r="K81" s="137">
        <f>'00_TONG_HOP_BAO_GIA'!Q74</f>
        <v/>
      </c>
      <c r="L81" s="137">
        <f>('00_TONG_HOP_BAO_GIA'!K74 + '00_TONG_HOP_BAO_GIA'!M74) * (1 + '00_TONG_HOP_BAO_GIA'!P74)</f>
        <v/>
      </c>
      <c r="M81" s="137">
        <f>'00_TONG_HOP_BAO_GIA'!L74 * (1 + '00_TONG_HOP_BAO_GIA'!P74)</f>
        <v/>
      </c>
      <c r="N81" s="137">
        <f>'00_TONG_HOP_BAO_GIA'!R74</f>
        <v/>
      </c>
      <c r="O81" s="139">
        <f>IF(K81=0, "CẢNH BÁO: Đơn giá = 0. Tra cứu lại Sheet 06!", '00_TONG_HOP_BAO_GIA'!S74)</f>
        <v/>
      </c>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83" t="inlineStr">
        <is>
          <t>Cái</t>
        </is>
      </c>
      <c r="H82" s="136" t="n">
        <v>1</v>
      </c>
      <c r="I82" s="136">
        <f>IF('00_TONG_HOP_BAO_GIA'!G75&gt;0, ('00_TONG_HOP_BAO_GIA'!K75 + '00_TONG_HOP_BAO_GIA'!M75) * (1 + '00_TONG_HOP_BAO_GIA'!P75) / '00_TONG_HOP_BAO_GIA'!G75, 0)</f>
        <v/>
      </c>
      <c r="J82" s="136">
        <f>IF('00_TONG_HOP_BAO_GIA'!G75&gt;0, '00_TONG_HOP_BAO_GIA'!L75 * (1 + '00_TONG_HOP_BAO_GIA'!P75) / '00_TONG_HOP_BAO_GIA'!G75, 0)</f>
        <v/>
      </c>
      <c r="K82" s="137">
        <f>'00_TONG_HOP_BAO_GIA'!Q75</f>
        <v/>
      </c>
      <c r="L82" s="137">
        <f>('00_TONG_HOP_BAO_GIA'!K75 + '00_TONG_HOP_BAO_GIA'!M75) * (1 + '00_TONG_HOP_BAO_GIA'!P75)</f>
        <v/>
      </c>
      <c r="M82" s="137">
        <f>'00_TONG_HOP_BAO_GIA'!L75 * (1 + '00_TONG_HOP_BAO_GIA'!P75)</f>
        <v/>
      </c>
      <c r="N82" s="137">
        <f>'00_TONG_HOP_BAO_GIA'!R75</f>
        <v/>
      </c>
      <c r="O82" s="139">
        <f>IF(K82=0, "CẢNH BÁO: Đơn giá = 0. Tra cứu lại Sheet 06!", '00_TONG_HOP_BAO_GIA'!S75)</f>
        <v/>
      </c>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83" t="inlineStr">
        <is>
          <t>Cái</t>
        </is>
      </c>
      <c r="H83" s="136" t="n">
        <v>1</v>
      </c>
      <c r="I83" s="136">
        <f>IF('00_TONG_HOP_BAO_GIA'!G76&gt;0, ('00_TONG_HOP_BAO_GIA'!K76 + '00_TONG_HOP_BAO_GIA'!M76) * (1 + '00_TONG_HOP_BAO_GIA'!P76) / '00_TONG_HOP_BAO_GIA'!G76, 0)</f>
        <v/>
      </c>
      <c r="J83" s="136">
        <f>IF('00_TONG_HOP_BAO_GIA'!G76&gt;0, '00_TONG_HOP_BAO_GIA'!L76 * (1 + '00_TONG_HOP_BAO_GIA'!P76) / '00_TONG_HOP_BAO_GIA'!G76, 0)</f>
        <v/>
      </c>
      <c r="K83" s="137">
        <f>'00_TONG_HOP_BAO_GIA'!Q76</f>
        <v/>
      </c>
      <c r="L83" s="137">
        <f>('00_TONG_HOP_BAO_GIA'!K76 + '00_TONG_HOP_BAO_GIA'!M76) * (1 + '00_TONG_HOP_BAO_GIA'!P76)</f>
        <v/>
      </c>
      <c r="M83" s="137">
        <f>'00_TONG_HOP_BAO_GIA'!L76 * (1 + '00_TONG_HOP_BAO_GIA'!P76)</f>
        <v/>
      </c>
      <c r="N83" s="137">
        <f>'00_TONG_HOP_BAO_GIA'!R76</f>
        <v/>
      </c>
      <c r="O83" s="139">
        <f>IF(K83=0, "CẢNH BÁO: Đơn giá = 0. Tra cứu lại Sheet 06!", '00_TONG_HOP_BAO_GIA'!S76)</f>
        <v/>
      </c>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83" t="inlineStr">
        <is>
          <t>Cái</t>
        </is>
      </c>
      <c r="H84" s="136" t="n">
        <v>1</v>
      </c>
      <c r="I84" s="136">
        <f>IF('00_TONG_HOP_BAO_GIA'!G77&gt;0, ('00_TONG_HOP_BAO_GIA'!K77 + '00_TONG_HOP_BAO_GIA'!M77) * (1 + '00_TONG_HOP_BAO_GIA'!P77) / '00_TONG_HOP_BAO_GIA'!G77, 0)</f>
        <v/>
      </c>
      <c r="J84" s="136">
        <f>IF('00_TONG_HOP_BAO_GIA'!G77&gt;0, '00_TONG_HOP_BAO_GIA'!L77 * (1 + '00_TONG_HOP_BAO_GIA'!P77) / '00_TONG_HOP_BAO_GIA'!G77, 0)</f>
        <v/>
      </c>
      <c r="K84" s="137">
        <f>'00_TONG_HOP_BAO_GIA'!Q77</f>
        <v/>
      </c>
      <c r="L84" s="137">
        <f>('00_TONG_HOP_BAO_GIA'!K77 + '00_TONG_HOP_BAO_GIA'!M77) * (1 + '00_TONG_HOP_BAO_GIA'!P77)</f>
        <v/>
      </c>
      <c r="M84" s="137">
        <f>'00_TONG_HOP_BAO_GIA'!L77 * (1 + '00_TONG_HOP_BAO_GIA'!P77)</f>
        <v/>
      </c>
      <c r="N84" s="137">
        <f>'00_TONG_HOP_BAO_GIA'!R77</f>
        <v/>
      </c>
      <c r="O84" s="139">
        <f>IF(K84=0, "CẢNH BÁO: Đơn giá = 0. Tra cứu lại Sheet 06!", '00_TONG_HOP_BAO_GIA'!S77)</f>
        <v/>
      </c>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83" t="inlineStr">
        <is>
          <t>Cái</t>
        </is>
      </c>
      <c r="H85" s="136" t="n">
        <v>1</v>
      </c>
      <c r="I85" s="136">
        <f>IF('00_TONG_HOP_BAO_GIA'!G78&gt;0, ('00_TONG_HOP_BAO_GIA'!K78 + '00_TONG_HOP_BAO_GIA'!M78) * (1 + '00_TONG_HOP_BAO_GIA'!P78) / '00_TONG_HOP_BAO_GIA'!G78, 0)</f>
        <v/>
      </c>
      <c r="J85" s="136">
        <f>IF('00_TONG_HOP_BAO_GIA'!G78&gt;0, '00_TONG_HOP_BAO_GIA'!L78 * (1 + '00_TONG_HOP_BAO_GIA'!P78) / '00_TONG_HOP_BAO_GIA'!G78, 0)</f>
        <v/>
      </c>
      <c r="K85" s="137">
        <f>'00_TONG_HOP_BAO_GIA'!Q78</f>
        <v/>
      </c>
      <c r="L85" s="137">
        <f>('00_TONG_HOP_BAO_GIA'!K78 + '00_TONG_HOP_BAO_GIA'!M78) * (1 + '00_TONG_HOP_BAO_GIA'!P78)</f>
        <v/>
      </c>
      <c r="M85" s="137">
        <f>'00_TONG_HOP_BAO_GIA'!L78 * (1 + '00_TONG_HOP_BAO_GIA'!P78)</f>
        <v/>
      </c>
      <c r="N85" s="137">
        <f>'00_TONG_HOP_BAO_GIA'!R78</f>
        <v/>
      </c>
      <c r="O85" s="139">
        <f>IF(K85=0, "CẢNH BÁO: Đơn giá = 0. Tra cứu lại Sheet 06!", '00_TONG_HOP_BAO_GIA'!S78)</f>
        <v/>
      </c>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83" t="inlineStr">
        <is>
          <t>Cái</t>
        </is>
      </c>
      <c r="H86" s="136" t="n">
        <v>1</v>
      </c>
      <c r="I86" s="136">
        <f>IF('00_TONG_HOP_BAO_GIA'!G79&gt;0, ('00_TONG_HOP_BAO_GIA'!K79 + '00_TONG_HOP_BAO_GIA'!M79) * (1 + '00_TONG_HOP_BAO_GIA'!P79) / '00_TONG_HOP_BAO_GIA'!G79, 0)</f>
        <v/>
      </c>
      <c r="J86" s="136">
        <f>IF('00_TONG_HOP_BAO_GIA'!G79&gt;0, '00_TONG_HOP_BAO_GIA'!L79 * (1 + '00_TONG_HOP_BAO_GIA'!P79) / '00_TONG_HOP_BAO_GIA'!G79, 0)</f>
        <v/>
      </c>
      <c r="K86" s="137">
        <f>'00_TONG_HOP_BAO_GIA'!Q79</f>
        <v/>
      </c>
      <c r="L86" s="137">
        <f>('00_TONG_HOP_BAO_GIA'!K79 + '00_TONG_HOP_BAO_GIA'!M79) * (1 + '00_TONG_HOP_BAO_GIA'!P79)</f>
        <v/>
      </c>
      <c r="M86" s="137">
        <f>'00_TONG_HOP_BAO_GIA'!L79 * (1 + '00_TONG_HOP_BAO_GIA'!P79)</f>
        <v/>
      </c>
      <c r="N86" s="137">
        <f>'00_TONG_HOP_BAO_GIA'!R79</f>
        <v/>
      </c>
      <c r="O86" s="139">
        <f>IF(K86=0, "CẢNH BÁO: Đơn giá = 0. Tra cứu lại Sheet 06!", '00_TONG_HOP_BAO_GIA'!S79)</f>
        <v/>
      </c>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83" t="inlineStr">
        <is>
          <t>Cái</t>
        </is>
      </c>
      <c r="H87" s="136" t="n">
        <v>2</v>
      </c>
      <c r="I87" s="136">
        <f>IF('00_TONG_HOP_BAO_GIA'!G80&gt;0, ('00_TONG_HOP_BAO_GIA'!K80 + '00_TONG_HOP_BAO_GIA'!M80) * (1 + '00_TONG_HOP_BAO_GIA'!P80) / '00_TONG_HOP_BAO_GIA'!G80, 0)</f>
        <v/>
      </c>
      <c r="J87" s="136">
        <f>IF('00_TONG_HOP_BAO_GIA'!G80&gt;0, '00_TONG_HOP_BAO_GIA'!L80 * (1 + '00_TONG_HOP_BAO_GIA'!P80) / '00_TONG_HOP_BAO_GIA'!G80, 0)</f>
        <v/>
      </c>
      <c r="K87" s="137">
        <f>'00_TONG_HOP_BAO_GIA'!Q80</f>
        <v/>
      </c>
      <c r="L87" s="137">
        <f>('00_TONG_HOP_BAO_GIA'!K80 + '00_TONG_HOP_BAO_GIA'!M80) * (1 + '00_TONG_HOP_BAO_GIA'!P80)</f>
        <v/>
      </c>
      <c r="M87" s="137">
        <f>'00_TONG_HOP_BAO_GIA'!L80 * (1 + '00_TONG_HOP_BAO_GIA'!P80)</f>
        <v/>
      </c>
      <c r="N87" s="137">
        <f>'00_TONG_HOP_BAO_GIA'!R80</f>
        <v/>
      </c>
      <c r="O87" s="139">
        <f>IF(K87=0, "CẢNH BÁO: Đơn giá = 0. Tra cứu lại Sheet 06!", '00_TONG_HOP_BAO_GIA'!S80)</f>
        <v/>
      </c>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83" t="inlineStr">
        <is>
          <t>Cái</t>
        </is>
      </c>
      <c r="H88" s="136" t="n">
        <v>1</v>
      </c>
      <c r="I88" s="136">
        <f>IF('00_TONG_HOP_BAO_GIA'!G81&gt;0, ('00_TONG_HOP_BAO_GIA'!K81 + '00_TONG_HOP_BAO_GIA'!M81) * (1 + '00_TONG_HOP_BAO_GIA'!P81) / '00_TONG_HOP_BAO_GIA'!G81, 0)</f>
        <v/>
      </c>
      <c r="J88" s="136">
        <f>IF('00_TONG_HOP_BAO_GIA'!G81&gt;0, '00_TONG_HOP_BAO_GIA'!L81 * (1 + '00_TONG_HOP_BAO_GIA'!P81) / '00_TONG_HOP_BAO_GIA'!G81, 0)</f>
        <v/>
      </c>
      <c r="K88" s="137">
        <f>'00_TONG_HOP_BAO_GIA'!Q81</f>
        <v/>
      </c>
      <c r="L88" s="137">
        <f>('00_TONG_HOP_BAO_GIA'!K81 + '00_TONG_HOP_BAO_GIA'!M81) * (1 + '00_TONG_HOP_BAO_GIA'!P81)</f>
        <v/>
      </c>
      <c r="M88" s="137">
        <f>'00_TONG_HOP_BAO_GIA'!L81 * (1 + '00_TONG_HOP_BAO_GIA'!P81)</f>
        <v/>
      </c>
      <c r="N88" s="137">
        <f>'00_TONG_HOP_BAO_GIA'!R81</f>
        <v/>
      </c>
      <c r="O88" s="139">
        <f>IF(K88=0, "CẢNH BÁO: Đơn giá = 0. Tra cứu lại Sheet 06!", '00_TONG_HOP_BAO_GIA'!S81)</f>
        <v/>
      </c>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83" t="inlineStr">
        <is>
          <t>Cái</t>
        </is>
      </c>
      <c r="H89" s="136" t="n">
        <v>3</v>
      </c>
      <c r="I89" s="136">
        <f>IF('00_TONG_HOP_BAO_GIA'!G82&gt;0, ('00_TONG_HOP_BAO_GIA'!K82 + '00_TONG_HOP_BAO_GIA'!M82) * (1 + '00_TONG_HOP_BAO_GIA'!P82) / '00_TONG_HOP_BAO_GIA'!G82, 0)</f>
        <v/>
      </c>
      <c r="J89" s="136">
        <f>IF('00_TONG_HOP_BAO_GIA'!G82&gt;0, '00_TONG_HOP_BAO_GIA'!L82 * (1 + '00_TONG_HOP_BAO_GIA'!P82) / '00_TONG_HOP_BAO_GIA'!G82, 0)</f>
        <v/>
      </c>
      <c r="K89" s="137">
        <f>'00_TONG_HOP_BAO_GIA'!Q82</f>
        <v/>
      </c>
      <c r="L89" s="137">
        <f>('00_TONG_HOP_BAO_GIA'!K82 + '00_TONG_HOP_BAO_GIA'!M82) * (1 + '00_TONG_HOP_BAO_GIA'!P82)</f>
        <v/>
      </c>
      <c r="M89" s="137">
        <f>'00_TONG_HOP_BAO_GIA'!L82 * (1 + '00_TONG_HOP_BAO_GIA'!P82)</f>
        <v/>
      </c>
      <c r="N89" s="137">
        <f>'00_TONG_HOP_BAO_GIA'!R82</f>
        <v/>
      </c>
      <c r="O89" s="139">
        <f>IF(K89=0, "CẢNH BÁO: Đơn giá = 0. Tra cứu lại Sheet 06!", '00_TONG_HOP_BAO_GIA'!S82)</f>
        <v/>
      </c>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83" t="inlineStr">
        <is>
          <t>Cái</t>
        </is>
      </c>
      <c r="H90" s="136" t="n">
        <v>2</v>
      </c>
      <c r="I90" s="136">
        <f>IF('00_TONG_HOP_BAO_GIA'!G83&gt;0, ('00_TONG_HOP_BAO_GIA'!K83 + '00_TONG_HOP_BAO_GIA'!M83) * (1 + '00_TONG_HOP_BAO_GIA'!P83) / '00_TONG_HOP_BAO_GIA'!G83, 0)</f>
        <v/>
      </c>
      <c r="J90" s="136">
        <f>IF('00_TONG_HOP_BAO_GIA'!G83&gt;0, '00_TONG_HOP_BAO_GIA'!L83 * (1 + '00_TONG_HOP_BAO_GIA'!P83) / '00_TONG_HOP_BAO_GIA'!G83, 0)</f>
        <v/>
      </c>
      <c r="K90" s="137">
        <f>'00_TONG_HOP_BAO_GIA'!Q83</f>
        <v/>
      </c>
      <c r="L90" s="137">
        <f>('00_TONG_HOP_BAO_GIA'!K83 + '00_TONG_HOP_BAO_GIA'!M83) * (1 + '00_TONG_HOP_BAO_GIA'!P83)</f>
        <v/>
      </c>
      <c r="M90" s="137">
        <f>'00_TONG_HOP_BAO_GIA'!L83 * (1 + '00_TONG_HOP_BAO_GIA'!P83)</f>
        <v/>
      </c>
      <c r="N90" s="137">
        <f>'00_TONG_HOP_BAO_GIA'!R83</f>
        <v/>
      </c>
      <c r="O90" s="139">
        <f>IF(K90=0, "CẢNH BÁO: Đơn giá = 0. Tra cứu lại Sheet 06!", '00_TONG_HOP_BAO_GIA'!S83)</f>
        <v/>
      </c>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83" t="inlineStr">
        <is>
          <t>Cái</t>
        </is>
      </c>
      <c r="H91" s="136" t="n">
        <v>1</v>
      </c>
      <c r="I91" s="136">
        <f>IF('00_TONG_HOP_BAO_GIA'!G84&gt;0, ('00_TONG_HOP_BAO_GIA'!K84 + '00_TONG_HOP_BAO_GIA'!M84) * (1 + '00_TONG_HOP_BAO_GIA'!P84) / '00_TONG_HOP_BAO_GIA'!G84, 0)</f>
        <v/>
      </c>
      <c r="J91" s="136">
        <f>IF('00_TONG_HOP_BAO_GIA'!G84&gt;0, '00_TONG_HOP_BAO_GIA'!L84 * (1 + '00_TONG_HOP_BAO_GIA'!P84) / '00_TONG_HOP_BAO_GIA'!G84, 0)</f>
        <v/>
      </c>
      <c r="K91" s="137">
        <f>'00_TONG_HOP_BAO_GIA'!Q84</f>
        <v/>
      </c>
      <c r="L91" s="137">
        <f>('00_TONG_HOP_BAO_GIA'!K84 + '00_TONG_HOP_BAO_GIA'!M84) * (1 + '00_TONG_HOP_BAO_GIA'!P84)</f>
        <v/>
      </c>
      <c r="M91" s="137">
        <f>'00_TONG_HOP_BAO_GIA'!L84 * (1 + '00_TONG_HOP_BAO_GIA'!P84)</f>
        <v/>
      </c>
      <c r="N91" s="137">
        <f>'00_TONG_HOP_BAO_GIA'!R84</f>
        <v/>
      </c>
      <c r="O91" s="139">
        <f>IF(K91=0, "CẢNH BÁO: Đơn giá = 0. Tra cứu lại Sheet 06!", '00_TONG_HOP_BAO_GIA'!S84)</f>
        <v/>
      </c>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83" t="inlineStr">
        <is>
          <t>Cái</t>
        </is>
      </c>
      <c r="H92" s="136" t="n">
        <v>3</v>
      </c>
      <c r="I92" s="136">
        <f>IF('00_TONG_HOP_BAO_GIA'!G85&gt;0, ('00_TONG_HOP_BAO_GIA'!K85 + '00_TONG_HOP_BAO_GIA'!M85) * (1 + '00_TONG_HOP_BAO_GIA'!P85) / '00_TONG_HOP_BAO_GIA'!G85, 0)</f>
        <v/>
      </c>
      <c r="J92" s="136">
        <f>IF('00_TONG_HOP_BAO_GIA'!G85&gt;0, '00_TONG_HOP_BAO_GIA'!L85 * (1 + '00_TONG_HOP_BAO_GIA'!P85) / '00_TONG_HOP_BAO_GIA'!G85, 0)</f>
        <v/>
      </c>
      <c r="K92" s="137">
        <f>'00_TONG_HOP_BAO_GIA'!Q85</f>
        <v/>
      </c>
      <c r="L92" s="137">
        <f>('00_TONG_HOP_BAO_GIA'!K85 + '00_TONG_HOP_BAO_GIA'!M85) * (1 + '00_TONG_HOP_BAO_GIA'!P85)</f>
        <v/>
      </c>
      <c r="M92" s="137">
        <f>'00_TONG_HOP_BAO_GIA'!L85 * (1 + '00_TONG_HOP_BAO_GIA'!P85)</f>
        <v/>
      </c>
      <c r="N92" s="137">
        <f>'00_TONG_HOP_BAO_GIA'!R85</f>
        <v/>
      </c>
      <c r="O92" s="139">
        <f>IF(K92=0, "CẢNH BÁO: Đơn giá = 0. Tra cứu lại Sheet 06!", '00_TONG_HOP_BAO_GIA'!S85)</f>
        <v/>
      </c>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83" t="inlineStr">
        <is>
          <t>Cái</t>
        </is>
      </c>
      <c r="H93" s="136" t="n">
        <v>2</v>
      </c>
      <c r="I93" s="136">
        <f>IF('00_TONG_HOP_BAO_GIA'!G86&gt;0, ('00_TONG_HOP_BAO_GIA'!K86 + '00_TONG_HOP_BAO_GIA'!M86) * (1 + '00_TONG_HOP_BAO_GIA'!P86) / '00_TONG_HOP_BAO_GIA'!G86, 0)</f>
        <v/>
      </c>
      <c r="J93" s="136">
        <f>IF('00_TONG_HOP_BAO_GIA'!G86&gt;0, '00_TONG_HOP_BAO_GIA'!L86 * (1 + '00_TONG_HOP_BAO_GIA'!P86) / '00_TONG_HOP_BAO_GIA'!G86, 0)</f>
        <v/>
      </c>
      <c r="K93" s="137">
        <f>'00_TONG_HOP_BAO_GIA'!Q86</f>
        <v/>
      </c>
      <c r="L93" s="137">
        <f>('00_TONG_HOP_BAO_GIA'!K86 + '00_TONG_HOP_BAO_GIA'!M86) * (1 + '00_TONG_HOP_BAO_GIA'!P86)</f>
        <v/>
      </c>
      <c r="M93" s="137">
        <f>'00_TONG_HOP_BAO_GIA'!L86 * (1 + '00_TONG_HOP_BAO_GIA'!P86)</f>
        <v/>
      </c>
      <c r="N93" s="137">
        <f>'00_TONG_HOP_BAO_GIA'!R86</f>
        <v/>
      </c>
      <c r="O93" s="139">
        <f>IF(K93=0, "CẢNH BÁO: Đơn giá = 0. Tra cứu lại Sheet 06!", '00_TONG_HOP_BAO_GIA'!S86)</f>
        <v/>
      </c>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83" t="inlineStr">
        <is>
          <t>Cái</t>
        </is>
      </c>
      <c r="H94" s="136" t="n">
        <v>1</v>
      </c>
      <c r="I94" s="136">
        <f>IF('00_TONG_HOP_BAO_GIA'!G87&gt;0, ('00_TONG_HOP_BAO_GIA'!K87 + '00_TONG_HOP_BAO_GIA'!M87) * (1 + '00_TONG_HOP_BAO_GIA'!P87) / '00_TONG_HOP_BAO_GIA'!G87, 0)</f>
        <v/>
      </c>
      <c r="J94" s="136">
        <f>IF('00_TONG_HOP_BAO_GIA'!G87&gt;0, '00_TONG_HOP_BAO_GIA'!L87 * (1 + '00_TONG_HOP_BAO_GIA'!P87) / '00_TONG_HOP_BAO_GIA'!G87, 0)</f>
        <v/>
      </c>
      <c r="K94" s="137">
        <f>'00_TONG_HOP_BAO_GIA'!Q87</f>
        <v/>
      </c>
      <c r="L94" s="137">
        <f>('00_TONG_HOP_BAO_GIA'!K87 + '00_TONG_HOP_BAO_GIA'!M87) * (1 + '00_TONG_HOP_BAO_GIA'!P87)</f>
        <v/>
      </c>
      <c r="M94" s="137">
        <f>'00_TONG_HOP_BAO_GIA'!L87 * (1 + '00_TONG_HOP_BAO_GIA'!P87)</f>
        <v/>
      </c>
      <c r="N94" s="137">
        <f>'00_TONG_HOP_BAO_GIA'!R87</f>
        <v/>
      </c>
      <c r="O94" s="139">
        <f>IF(K94=0, "CẢNH BÁO: Đơn giá = 0. Tra cứu lại Sheet 06!", '00_TONG_HOP_BAO_GIA'!S87)</f>
        <v/>
      </c>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83" t="inlineStr">
        <is>
          <t>Cái</t>
        </is>
      </c>
      <c r="H95" s="136" t="n">
        <v>1</v>
      </c>
      <c r="I95" s="136">
        <f>IF('00_TONG_HOP_BAO_GIA'!G88&gt;0, ('00_TONG_HOP_BAO_GIA'!K88 + '00_TONG_HOP_BAO_GIA'!M88) * (1 + '00_TONG_HOP_BAO_GIA'!P88) / '00_TONG_HOP_BAO_GIA'!G88, 0)</f>
        <v/>
      </c>
      <c r="J95" s="136">
        <f>IF('00_TONG_HOP_BAO_GIA'!G88&gt;0, '00_TONG_HOP_BAO_GIA'!L88 * (1 + '00_TONG_HOP_BAO_GIA'!P88) / '00_TONG_HOP_BAO_GIA'!G88, 0)</f>
        <v/>
      </c>
      <c r="K95" s="137">
        <f>'00_TONG_HOP_BAO_GIA'!Q88</f>
        <v/>
      </c>
      <c r="L95" s="137">
        <f>('00_TONG_HOP_BAO_GIA'!K88 + '00_TONG_HOP_BAO_GIA'!M88) * (1 + '00_TONG_HOP_BAO_GIA'!P88)</f>
        <v/>
      </c>
      <c r="M95" s="137">
        <f>'00_TONG_HOP_BAO_GIA'!L88 * (1 + '00_TONG_HOP_BAO_GIA'!P88)</f>
        <v/>
      </c>
      <c r="N95" s="137">
        <f>'00_TONG_HOP_BAO_GIA'!R88</f>
        <v/>
      </c>
      <c r="O95" s="139">
        <f>IF(K95=0, "CẢNH BÁO: Đơn giá = 0. Tra cứu lại Sheet 06!", '00_TONG_HOP_BAO_GIA'!S88)</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83" t="inlineStr">
        <is>
          <t>Cái</t>
        </is>
      </c>
      <c r="H96" s="136" t="n">
        <v>2</v>
      </c>
      <c r="I96" s="136">
        <f>IF('00_TONG_HOP_BAO_GIA'!G89&gt;0, ('00_TONG_HOP_BAO_GIA'!K89 + '00_TONG_HOP_BAO_GIA'!M89) * (1 + '00_TONG_HOP_BAO_GIA'!P89) / '00_TONG_HOP_BAO_GIA'!G89, 0)</f>
        <v/>
      </c>
      <c r="J96" s="136">
        <f>IF('00_TONG_HOP_BAO_GIA'!G89&gt;0, '00_TONG_HOP_BAO_GIA'!L89 * (1 + '00_TONG_HOP_BAO_GIA'!P89) / '00_TONG_HOP_BAO_GIA'!G89, 0)</f>
        <v/>
      </c>
      <c r="K96" s="137">
        <f>'00_TONG_HOP_BAO_GIA'!Q89</f>
        <v/>
      </c>
      <c r="L96" s="137">
        <f>('00_TONG_HOP_BAO_GIA'!K89 + '00_TONG_HOP_BAO_GIA'!M89) * (1 + '00_TONG_HOP_BAO_GIA'!P89)</f>
        <v/>
      </c>
      <c r="M96" s="137">
        <f>'00_TONG_HOP_BAO_GIA'!L89 * (1 + '00_TONG_HOP_BAO_GIA'!P89)</f>
        <v/>
      </c>
      <c r="N96" s="137">
        <f>'00_TONG_HOP_BAO_GIA'!R89</f>
        <v/>
      </c>
      <c r="O96" s="139">
        <f>IF(K96=0, "CẢNH BÁO: Đơn giá = 0. Tra cứu lại Sheet 06!", '00_TONG_HOP_BAO_GIA'!S89)</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83" t="inlineStr">
        <is>
          <t>Cái</t>
        </is>
      </c>
      <c r="H97" s="136" t="n">
        <v>2</v>
      </c>
      <c r="I97" s="136">
        <f>IF('00_TONG_HOP_BAO_GIA'!G90&gt;0, ('00_TONG_HOP_BAO_GIA'!K90 + '00_TONG_HOP_BAO_GIA'!M90) * (1 + '00_TONG_HOP_BAO_GIA'!P90) / '00_TONG_HOP_BAO_GIA'!G90, 0)</f>
        <v/>
      </c>
      <c r="J97" s="136">
        <f>IF('00_TONG_HOP_BAO_GIA'!G90&gt;0, '00_TONG_HOP_BAO_GIA'!L90 * (1 + '00_TONG_HOP_BAO_GIA'!P90) / '00_TONG_HOP_BAO_GIA'!G90, 0)</f>
        <v/>
      </c>
      <c r="K97" s="137">
        <f>'00_TONG_HOP_BAO_GIA'!Q90</f>
        <v/>
      </c>
      <c r="L97" s="137">
        <f>('00_TONG_HOP_BAO_GIA'!K90 + '00_TONG_HOP_BAO_GIA'!M90) * (1 + '00_TONG_HOP_BAO_GIA'!P90)</f>
        <v/>
      </c>
      <c r="M97" s="137">
        <f>'00_TONG_HOP_BAO_GIA'!L90 * (1 + '00_TONG_HOP_BAO_GIA'!P90)</f>
        <v/>
      </c>
      <c r="N97" s="137">
        <f>'00_TONG_HOP_BAO_GIA'!R90</f>
        <v/>
      </c>
      <c r="O97" s="139">
        <f>IF(K97=0, "CẢNH BÁO: Đơn giá = 0. Tra cứu lại Sheet 06!", '00_TONG_HOP_BAO_GIA'!S90)</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83" t="inlineStr">
        <is>
          <t>Cái</t>
        </is>
      </c>
      <c r="H98" s="136" t="n">
        <v>1</v>
      </c>
      <c r="I98" s="136">
        <f>IF('00_TONG_HOP_BAO_GIA'!G91&gt;0, ('00_TONG_HOP_BAO_GIA'!K91 + '00_TONG_HOP_BAO_GIA'!M91) * (1 + '00_TONG_HOP_BAO_GIA'!P91) / '00_TONG_HOP_BAO_GIA'!G91, 0)</f>
        <v/>
      </c>
      <c r="J98" s="136">
        <f>IF('00_TONG_HOP_BAO_GIA'!G91&gt;0, '00_TONG_HOP_BAO_GIA'!L91 * (1 + '00_TONG_HOP_BAO_GIA'!P91) / '00_TONG_HOP_BAO_GIA'!G91, 0)</f>
        <v/>
      </c>
      <c r="K98" s="137">
        <f>'00_TONG_HOP_BAO_GIA'!Q91</f>
        <v/>
      </c>
      <c r="L98" s="137">
        <f>('00_TONG_HOP_BAO_GIA'!K91 + '00_TONG_HOP_BAO_GIA'!M91) * (1 + '00_TONG_HOP_BAO_GIA'!P91)</f>
        <v/>
      </c>
      <c r="M98" s="137">
        <f>'00_TONG_HOP_BAO_GIA'!L91 * (1 + '00_TONG_HOP_BAO_GIA'!P91)</f>
        <v/>
      </c>
      <c r="N98" s="137">
        <f>'00_TONG_HOP_BAO_GIA'!R91</f>
        <v/>
      </c>
      <c r="O98" s="139">
        <f>IF(K98=0, "CẢNH BÁO: Đơn giá = 0. Tra cứu lại Sheet 06!", '00_TONG_HOP_BAO_GIA'!S91)</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83" t="inlineStr">
        <is>
          <t>Cái</t>
        </is>
      </c>
      <c r="H99" s="136" t="n">
        <v>2</v>
      </c>
      <c r="I99" s="136">
        <f>IF('00_TONG_HOP_BAO_GIA'!G92&gt;0, ('00_TONG_HOP_BAO_GIA'!K92 + '00_TONG_HOP_BAO_GIA'!M92) * (1 + '00_TONG_HOP_BAO_GIA'!P92) / '00_TONG_HOP_BAO_GIA'!G92, 0)</f>
        <v/>
      </c>
      <c r="J99" s="136">
        <f>IF('00_TONG_HOP_BAO_GIA'!G92&gt;0, '00_TONG_HOP_BAO_GIA'!L92 * (1 + '00_TONG_HOP_BAO_GIA'!P92) / '00_TONG_HOP_BAO_GIA'!G92, 0)</f>
        <v/>
      </c>
      <c r="K99" s="137">
        <f>'00_TONG_HOP_BAO_GIA'!Q92</f>
        <v/>
      </c>
      <c r="L99" s="137">
        <f>('00_TONG_HOP_BAO_GIA'!K92 + '00_TONG_HOP_BAO_GIA'!M92) * (1 + '00_TONG_HOP_BAO_GIA'!P92)</f>
        <v/>
      </c>
      <c r="M99" s="137">
        <f>'00_TONG_HOP_BAO_GIA'!L92 * (1 + '00_TONG_HOP_BAO_GIA'!P92)</f>
        <v/>
      </c>
      <c r="N99" s="137">
        <f>'00_TONG_HOP_BAO_GIA'!R92</f>
        <v/>
      </c>
      <c r="O99" s="139">
        <f>IF(K99=0, "CẢNH BÁO: Đơn giá = 0. Tra cứu lại Sheet 06!", '00_TONG_HOP_BAO_GIA'!S92)</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83" t="inlineStr">
        <is>
          <t>Cái</t>
        </is>
      </c>
      <c r="H100" s="136" t="n">
        <v>1</v>
      </c>
      <c r="I100" s="136">
        <f>IF('00_TONG_HOP_BAO_GIA'!G93&gt;0, ('00_TONG_HOP_BAO_GIA'!K93 + '00_TONG_HOP_BAO_GIA'!M93) * (1 + '00_TONG_HOP_BAO_GIA'!P93) / '00_TONG_HOP_BAO_GIA'!G93, 0)</f>
        <v/>
      </c>
      <c r="J100" s="136">
        <f>IF('00_TONG_HOP_BAO_GIA'!G93&gt;0, '00_TONG_HOP_BAO_GIA'!L93 * (1 + '00_TONG_HOP_BAO_GIA'!P93) / '00_TONG_HOP_BAO_GIA'!G93, 0)</f>
        <v/>
      </c>
      <c r="K100" s="137">
        <f>'00_TONG_HOP_BAO_GIA'!Q93</f>
        <v/>
      </c>
      <c r="L100" s="137">
        <f>('00_TONG_HOP_BAO_GIA'!K93 + '00_TONG_HOP_BAO_GIA'!M93) * (1 + '00_TONG_HOP_BAO_GIA'!P93)</f>
        <v/>
      </c>
      <c r="M100" s="137">
        <f>'00_TONG_HOP_BAO_GIA'!L93 * (1 + '00_TONG_HOP_BAO_GIA'!P93)</f>
        <v/>
      </c>
      <c r="N100" s="137">
        <f>'00_TONG_HOP_BAO_GIA'!R93</f>
        <v/>
      </c>
      <c r="O100" s="139">
        <f>IF(K100=0, "CẢNH BÁO: Đơn giá = 0. Tra cứu lại Sheet 06!", '00_TONG_HOP_BAO_GIA'!S93)</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83" t="inlineStr">
        <is>
          <t>Cái</t>
        </is>
      </c>
      <c r="H101" s="136" t="n">
        <v>1</v>
      </c>
      <c r="I101" s="136">
        <f>IF('00_TONG_HOP_BAO_GIA'!G94&gt;0, ('00_TONG_HOP_BAO_GIA'!K94 + '00_TONG_HOP_BAO_GIA'!M94) * (1 + '00_TONG_HOP_BAO_GIA'!P94) / '00_TONG_HOP_BAO_GIA'!G94, 0)</f>
        <v/>
      </c>
      <c r="J101" s="136">
        <f>IF('00_TONG_HOP_BAO_GIA'!G94&gt;0, '00_TONG_HOP_BAO_GIA'!L94 * (1 + '00_TONG_HOP_BAO_GIA'!P94) / '00_TONG_HOP_BAO_GIA'!G94, 0)</f>
        <v/>
      </c>
      <c r="K101" s="137">
        <f>'00_TONG_HOP_BAO_GIA'!Q94</f>
        <v/>
      </c>
      <c r="L101" s="137">
        <f>('00_TONG_HOP_BAO_GIA'!K94 + '00_TONG_HOP_BAO_GIA'!M94) * (1 + '00_TONG_HOP_BAO_GIA'!P94)</f>
        <v/>
      </c>
      <c r="M101" s="137">
        <f>'00_TONG_HOP_BAO_GIA'!L94 * (1 + '00_TONG_HOP_BAO_GIA'!P94)</f>
        <v/>
      </c>
      <c r="N101" s="137">
        <f>'00_TONG_HOP_BAO_GIA'!R94</f>
        <v/>
      </c>
      <c r="O101" s="139">
        <f>IF(K101=0, "CẢNH BÁO: Đơn giá = 0. Tra cứu lại Sheet 06!", '00_TONG_HOP_BAO_GIA'!S94)</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83" t="inlineStr">
        <is>
          <t>Cái</t>
        </is>
      </c>
      <c r="H102" s="136" t="n">
        <v>1</v>
      </c>
      <c r="I102" s="136">
        <f>IF('00_TONG_HOP_BAO_GIA'!G95&gt;0, ('00_TONG_HOP_BAO_GIA'!K95 + '00_TONG_HOP_BAO_GIA'!M95) * (1 + '00_TONG_HOP_BAO_GIA'!P95) / '00_TONG_HOP_BAO_GIA'!G95, 0)</f>
        <v/>
      </c>
      <c r="J102" s="136">
        <f>IF('00_TONG_HOP_BAO_GIA'!G95&gt;0, '00_TONG_HOP_BAO_GIA'!L95 * (1 + '00_TONG_HOP_BAO_GIA'!P95) / '00_TONG_HOP_BAO_GIA'!G95, 0)</f>
        <v/>
      </c>
      <c r="K102" s="137">
        <f>'00_TONG_HOP_BAO_GIA'!Q95</f>
        <v/>
      </c>
      <c r="L102" s="137">
        <f>('00_TONG_HOP_BAO_GIA'!K95 + '00_TONG_HOP_BAO_GIA'!M95) * (1 + '00_TONG_HOP_BAO_GIA'!P95)</f>
        <v/>
      </c>
      <c r="M102" s="137">
        <f>'00_TONG_HOP_BAO_GIA'!L95 * (1 + '00_TONG_HOP_BAO_GIA'!P95)</f>
        <v/>
      </c>
      <c r="N102" s="137">
        <f>'00_TONG_HOP_BAO_GIA'!R95</f>
        <v/>
      </c>
      <c r="O102" s="139">
        <f>IF(K102=0, "CẢNH BÁO: Đơn giá = 0. Tra cứu lại Sheet 06!", '00_TONG_HOP_BAO_GIA'!S95)</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83" t="inlineStr">
        <is>
          <t>Cái</t>
        </is>
      </c>
      <c r="H103" s="136" t="n">
        <v>1</v>
      </c>
      <c r="I103" s="136">
        <f>IF('00_TONG_HOP_BAO_GIA'!G96&gt;0, ('00_TONG_HOP_BAO_GIA'!K96 + '00_TONG_HOP_BAO_GIA'!M96) * (1 + '00_TONG_HOP_BAO_GIA'!P96) / '00_TONG_HOP_BAO_GIA'!G96, 0)</f>
        <v/>
      </c>
      <c r="J103" s="136">
        <f>IF('00_TONG_HOP_BAO_GIA'!G96&gt;0, '00_TONG_HOP_BAO_GIA'!L96 * (1 + '00_TONG_HOP_BAO_GIA'!P96) / '00_TONG_HOP_BAO_GIA'!G96, 0)</f>
        <v/>
      </c>
      <c r="K103" s="137">
        <f>'00_TONG_HOP_BAO_GIA'!Q96</f>
        <v/>
      </c>
      <c r="L103" s="137">
        <f>('00_TONG_HOP_BAO_GIA'!K96 + '00_TONG_HOP_BAO_GIA'!M96) * (1 + '00_TONG_HOP_BAO_GIA'!P96)</f>
        <v/>
      </c>
      <c r="M103" s="137">
        <f>'00_TONG_HOP_BAO_GIA'!L96 * (1 + '00_TONG_HOP_BAO_GIA'!P96)</f>
        <v/>
      </c>
      <c r="N103" s="137">
        <f>'00_TONG_HOP_BAO_GIA'!R96</f>
        <v/>
      </c>
      <c r="O103" s="139">
        <f>IF(K103=0, "CẢNH BÁO: Đơn giá = 0. Tra cứu lại Sheet 06!", '00_TONG_HOP_BAO_GIA'!S96)</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83" t="inlineStr">
        <is>
          <t>Cái</t>
        </is>
      </c>
      <c r="H104" s="136" t="n">
        <v>2</v>
      </c>
      <c r="I104" s="136">
        <f>IF('00_TONG_HOP_BAO_GIA'!G97&gt;0, ('00_TONG_HOP_BAO_GIA'!K97 + '00_TONG_HOP_BAO_GIA'!M97) * (1 + '00_TONG_HOP_BAO_GIA'!P97) / '00_TONG_HOP_BAO_GIA'!G97, 0)</f>
        <v/>
      </c>
      <c r="J104" s="136">
        <f>IF('00_TONG_HOP_BAO_GIA'!G97&gt;0, '00_TONG_HOP_BAO_GIA'!L97 * (1 + '00_TONG_HOP_BAO_GIA'!P97) / '00_TONG_HOP_BAO_GIA'!G97, 0)</f>
        <v/>
      </c>
      <c r="K104" s="137">
        <f>'00_TONG_HOP_BAO_GIA'!Q97</f>
        <v/>
      </c>
      <c r="L104" s="137">
        <f>('00_TONG_HOP_BAO_GIA'!K97 + '00_TONG_HOP_BAO_GIA'!M97) * (1 + '00_TONG_HOP_BAO_GIA'!P97)</f>
        <v/>
      </c>
      <c r="M104" s="137">
        <f>'00_TONG_HOP_BAO_GIA'!L97 * (1 + '00_TONG_HOP_BAO_GIA'!P97)</f>
        <v/>
      </c>
      <c r="N104" s="137">
        <f>'00_TONG_HOP_BAO_GIA'!R97</f>
        <v/>
      </c>
      <c r="O104" s="139">
        <f>IF(K104=0, "CẢNH BÁO: Đơn giá = 0. Tra cứu lại Sheet 06!", '00_TONG_HOP_BAO_GIA'!S97)</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83" t="inlineStr">
        <is>
          <t>Cái</t>
        </is>
      </c>
      <c r="H105" s="136" t="n">
        <v>2</v>
      </c>
      <c r="I105" s="136">
        <f>IF('00_TONG_HOP_BAO_GIA'!G98&gt;0, ('00_TONG_HOP_BAO_GIA'!K98 + '00_TONG_HOP_BAO_GIA'!M98) * (1 + '00_TONG_HOP_BAO_GIA'!P98) / '00_TONG_HOP_BAO_GIA'!G98, 0)</f>
        <v/>
      </c>
      <c r="J105" s="136">
        <f>IF('00_TONG_HOP_BAO_GIA'!G98&gt;0, '00_TONG_HOP_BAO_GIA'!L98 * (1 + '00_TONG_HOP_BAO_GIA'!P98) / '00_TONG_HOP_BAO_GIA'!G98, 0)</f>
        <v/>
      </c>
      <c r="K105" s="137">
        <f>'00_TONG_HOP_BAO_GIA'!Q98</f>
        <v/>
      </c>
      <c r="L105" s="137">
        <f>('00_TONG_HOP_BAO_GIA'!K98 + '00_TONG_HOP_BAO_GIA'!M98) * (1 + '00_TONG_HOP_BAO_GIA'!P98)</f>
        <v/>
      </c>
      <c r="M105" s="137">
        <f>'00_TONG_HOP_BAO_GIA'!L98 * (1 + '00_TONG_HOP_BAO_GIA'!P98)</f>
        <v/>
      </c>
      <c r="N105" s="137">
        <f>'00_TONG_HOP_BAO_GIA'!R98</f>
        <v/>
      </c>
      <c r="O105" s="139">
        <f>IF(K105=0, "CẢNH BÁO: Đơn giá = 0. Tra cứu lại Sheet 06!", '00_TONG_HOP_BAO_GIA'!S98)</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83" t="inlineStr">
        <is>
          <t>Cái</t>
        </is>
      </c>
      <c r="H106" s="136" t="n">
        <v>2</v>
      </c>
      <c r="I106" s="136">
        <f>IF('00_TONG_HOP_BAO_GIA'!G99&gt;0, ('00_TONG_HOP_BAO_GIA'!K99 + '00_TONG_HOP_BAO_GIA'!M99) * (1 + '00_TONG_HOP_BAO_GIA'!P99) / '00_TONG_HOP_BAO_GIA'!G99, 0)</f>
        <v/>
      </c>
      <c r="J106" s="136">
        <f>IF('00_TONG_HOP_BAO_GIA'!G99&gt;0, '00_TONG_HOP_BAO_GIA'!L99 * (1 + '00_TONG_HOP_BAO_GIA'!P99) / '00_TONG_HOP_BAO_GIA'!G99, 0)</f>
        <v/>
      </c>
      <c r="K106" s="137">
        <f>'00_TONG_HOP_BAO_GIA'!Q99</f>
        <v/>
      </c>
      <c r="L106" s="137">
        <f>('00_TONG_HOP_BAO_GIA'!K99 + '00_TONG_HOP_BAO_GIA'!M99) * (1 + '00_TONG_HOP_BAO_GIA'!P99)</f>
        <v/>
      </c>
      <c r="M106" s="137">
        <f>'00_TONG_HOP_BAO_GIA'!L99 * (1 + '00_TONG_HOP_BAO_GIA'!P99)</f>
        <v/>
      </c>
      <c r="N106" s="137">
        <f>'00_TONG_HOP_BAO_GIA'!R99</f>
        <v/>
      </c>
      <c r="O106" s="139">
        <f>IF(K106=0, "CẢNH BÁO: Đơn giá = 0. Tra cứu lại Sheet 06!", '00_TONG_HOP_BAO_GIA'!S99)</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83" t="inlineStr">
        <is>
          <t>Cái</t>
        </is>
      </c>
      <c r="H107" s="136" t="n">
        <v>2</v>
      </c>
      <c r="I107" s="136">
        <f>IF('00_TONG_HOP_BAO_GIA'!G100&gt;0, ('00_TONG_HOP_BAO_GIA'!K100 + '00_TONG_HOP_BAO_GIA'!M100) * (1 + '00_TONG_HOP_BAO_GIA'!P100) / '00_TONG_HOP_BAO_GIA'!G100, 0)</f>
        <v/>
      </c>
      <c r="J107" s="136">
        <f>IF('00_TONG_HOP_BAO_GIA'!G100&gt;0, '00_TONG_HOP_BAO_GIA'!L100 * (1 + '00_TONG_HOP_BAO_GIA'!P100) / '00_TONG_HOP_BAO_GIA'!G100, 0)</f>
        <v/>
      </c>
      <c r="K107" s="137">
        <f>'00_TONG_HOP_BAO_GIA'!Q100</f>
        <v/>
      </c>
      <c r="L107" s="137">
        <f>('00_TONG_HOP_BAO_GIA'!K100 + '00_TONG_HOP_BAO_GIA'!M100) * (1 + '00_TONG_HOP_BAO_GIA'!P100)</f>
        <v/>
      </c>
      <c r="M107" s="137">
        <f>'00_TONG_HOP_BAO_GIA'!L100 * (1 + '00_TONG_HOP_BAO_GIA'!P100)</f>
        <v/>
      </c>
      <c r="N107" s="137">
        <f>'00_TONG_HOP_BAO_GIA'!R100</f>
        <v/>
      </c>
      <c r="O107" s="139">
        <f>IF(K107=0, "CẢNH BÁO: Đơn giá = 0. Tra cứu lại Sheet 06!", '00_TONG_HOP_BAO_GIA'!S100)</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83" t="inlineStr">
        <is>
          <t>Cái</t>
        </is>
      </c>
      <c r="H108" s="136" t="n">
        <v>5</v>
      </c>
      <c r="I108" s="136">
        <f>IF('00_TONG_HOP_BAO_GIA'!G101&gt;0, ('00_TONG_HOP_BAO_GIA'!K101 + '00_TONG_HOP_BAO_GIA'!M101) * (1 + '00_TONG_HOP_BAO_GIA'!P101) / '00_TONG_HOP_BAO_GIA'!G101, 0)</f>
        <v/>
      </c>
      <c r="J108" s="136">
        <f>IF('00_TONG_HOP_BAO_GIA'!G101&gt;0, '00_TONG_HOP_BAO_GIA'!L101 * (1 + '00_TONG_HOP_BAO_GIA'!P101) / '00_TONG_HOP_BAO_GIA'!G101, 0)</f>
        <v/>
      </c>
      <c r="K108" s="137">
        <f>'00_TONG_HOP_BAO_GIA'!Q101</f>
        <v/>
      </c>
      <c r="L108" s="137">
        <f>('00_TONG_HOP_BAO_GIA'!K101 + '00_TONG_HOP_BAO_GIA'!M101) * (1 + '00_TONG_HOP_BAO_GIA'!P101)</f>
        <v/>
      </c>
      <c r="M108" s="137">
        <f>'00_TONG_HOP_BAO_GIA'!L101 * (1 + '00_TONG_HOP_BAO_GIA'!P101)</f>
        <v/>
      </c>
      <c r="N108" s="137">
        <f>'00_TONG_HOP_BAO_GIA'!R101</f>
        <v/>
      </c>
      <c r="O108" s="139">
        <f>IF(K108=0, "CẢNH BÁO: Đơn giá = 0. Tra cứu lại Sheet 06!", '00_TONG_HOP_BAO_GIA'!S101)</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83" t="inlineStr">
        <is>
          <t>Cái</t>
        </is>
      </c>
      <c r="H109" s="136" t="n">
        <v>5</v>
      </c>
      <c r="I109" s="136">
        <f>IF('00_TONG_HOP_BAO_GIA'!G102&gt;0, ('00_TONG_HOP_BAO_GIA'!K102 + '00_TONG_HOP_BAO_GIA'!M102) * (1 + '00_TONG_HOP_BAO_GIA'!P102) / '00_TONG_HOP_BAO_GIA'!G102, 0)</f>
        <v/>
      </c>
      <c r="J109" s="136">
        <f>IF('00_TONG_HOP_BAO_GIA'!G102&gt;0, '00_TONG_HOP_BAO_GIA'!L102 * (1 + '00_TONG_HOP_BAO_GIA'!P102) / '00_TONG_HOP_BAO_GIA'!G102, 0)</f>
        <v/>
      </c>
      <c r="K109" s="137">
        <f>'00_TONG_HOP_BAO_GIA'!Q102</f>
        <v/>
      </c>
      <c r="L109" s="137">
        <f>('00_TONG_HOP_BAO_GIA'!K102 + '00_TONG_HOP_BAO_GIA'!M102) * (1 + '00_TONG_HOP_BAO_GIA'!P102)</f>
        <v/>
      </c>
      <c r="M109" s="137">
        <f>'00_TONG_HOP_BAO_GIA'!L102 * (1 + '00_TONG_HOP_BAO_GIA'!P102)</f>
        <v/>
      </c>
      <c r="N109" s="137">
        <f>'00_TONG_HOP_BAO_GIA'!R102</f>
        <v/>
      </c>
      <c r="O109" s="139">
        <f>IF(K109=0, "CẢNH BÁO: Đơn giá = 0. Tra cứu lại Sheet 06!", '00_TONG_HOP_BAO_GIA'!S102)</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83" t="inlineStr">
        <is>
          <t>Cái</t>
        </is>
      </c>
      <c r="H110" s="136" t="n">
        <v>6</v>
      </c>
      <c r="I110" s="136">
        <f>IF('00_TONG_HOP_BAO_GIA'!G103&gt;0, ('00_TONG_HOP_BAO_GIA'!K103 + '00_TONG_HOP_BAO_GIA'!M103) * (1 + '00_TONG_HOP_BAO_GIA'!P103) / '00_TONG_HOP_BAO_GIA'!G103, 0)</f>
        <v/>
      </c>
      <c r="J110" s="136">
        <f>IF('00_TONG_HOP_BAO_GIA'!G103&gt;0, '00_TONG_HOP_BAO_GIA'!L103 * (1 + '00_TONG_HOP_BAO_GIA'!P103) / '00_TONG_HOP_BAO_GIA'!G103, 0)</f>
        <v/>
      </c>
      <c r="K110" s="137">
        <f>'00_TONG_HOP_BAO_GIA'!Q103</f>
        <v/>
      </c>
      <c r="L110" s="137">
        <f>('00_TONG_HOP_BAO_GIA'!K103 + '00_TONG_HOP_BAO_GIA'!M103) * (1 + '00_TONG_HOP_BAO_GIA'!P103)</f>
        <v/>
      </c>
      <c r="M110" s="137">
        <f>'00_TONG_HOP_BAO_GIA'!L103 * (1 + '00_TONG_HOP_BAO_GIA'!P103)</f>
        <v/>
      </c>
      <c r="N110" s="137">
        <f>'00_TONG_HOP_BAO_GIA'!R103</f>
        <v/>
      </c>
      <c r="O110" s="139">
        <f>IF(K110=0, "CẢNH BÁO: Đơn giá = 0. Tra cứu lại Sheet 06!", '00_TONG_HOP_BAO_GIA'!S103)</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83" t="inlineStr">
        <is>
          <t>Cái</t>
        </is>
      </c>
      <c r="H111" s="136" t="n">
        <v>1</v>
      </c>
      <c r="I111" s="136">
        <f>IF('00_TONG_HOP_BAO_GIA'!G104&gt;0, ('00_TONG_HOP_BAO_GIA'!K104 + '00_TONG_HOP_BAO_GIA'!M104) * (1 + '00_TONG_HOP_BAO_GIA'!P104) / '00_TONG_HOP_BAO_GIA'!G104, 0)</f>
        <v/>
      </c>
      <c r="J111" s="136">
        <f>IF('00_TONG_HOP_BAO_GIA'!G104&gt;0, '00_TONG_HOP_BAO_GIA'!L104 * (1 + '00_TONG_HOP_BAO_GIA'!P104) / '00_TONG_HOP_BAO_GIA'!G104, 0)</f>
        <v/>
      </c>
      <c r="K111" s="137">
        <f>'00_TONG_HOP_BAO_GIA'!Q104</f>
        <v/>
      </c>
      <c r="L111" s="137">
        <f>('00_TONG_HOP_BAO_GIA'!K104 + '00_TONG_HOP_BAO_GIA'!M104) * (1 + '00_TONG_HOP_BAO_GIA'!P104)</f>
        <v/>
      </c>
      <c r="M111" s="137">
        <f>'00_TONG_HOP_BAO_GIA'!L104 * (1 + '00_TONG_HOP_BAO_GIA'!P104)</f>
        <v/>
      </c>
      <c r="N111" s="137">
        <f>'00_TONG_HOP_BAO_GIA'!R104</f>
        <v/>
      </c>
      <c r="O111" s="139">
        <f>IF(K111=0, "CẢNH BÁO: Đơn giá = 0. Tra cứu lại Sheet 06!", '00_TONG_HOP_BAO_GIA'!S104)</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83" t="inlineStr">
        <is>
          <t>Cái</t>
        </is>
      </c>
      <c r="H112" s="136" t="n">
        <v>1</v>
      </c>
      <c r="I112" s="136">
        <f>IF('00_TONG_HOP_BAO_GIA'!G105&gt;0, ('00_TONG_HOP_BAO_GIA'!K105 + '00_TONG_HOP_BAO_GIA'!M105) * (1 + '00_TONG_HOP_BAO_GIA'!P105) / '00_TONG_HOP_BAO_GIA'!G105, 0)</f>
        <v/>
      </c>
      <c r="J112" s="136">
        <f>IF('00_TONG_HOP_BAO_GIA'!G105&gt;0, '00_TONG_HOP_BAO_GIA'!L105 * (1 + '00_TONG_HOP_BAO_GIA'!P105) / '00_TONG_HOP_BAO_GIA'!G105, 0)</f>
        <v/>
      </c>
      <c r="K112" s="137">
        <f>'00_TONG_HOP_BAO_GIA'!Q105</f>
        <v/>
      </c>
      <c r="L112" s="137">
        <f>('00_TONG_HOP_BAO_GIA'!K105 + '00_TONG_HOP_BAO_GIA'!M105) * (1 + '00_TONG_HOP_BAO_GIA'!P105)</f>
        <v/>
      </c>
      <c r="M112" s="137">
        <f>'00_TONG_HOP_BAO_GIA'!L105 * (1 + '00_TONG_HOP_BAO_GIA'!P105)</f>
        <v/>
      </c>
      <c r="N112" s="137">
        <f>'00_TONG_HOP_BAO_GIA'!R105</f>
        <v/>
      </c>
      <c r="O112" s="139">
        <f>IF(K112=0, "CẢNH BÁO: Đơn giá = 0. Tra cứu lại Sheet 06!", '00_TONG_HOP_BAO_GIA'!S105)</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83" t="inlineStr">
        <is>
          <t>Cái</t>
        </is>
      </c>
      <c r="H113" s="136" t="n">
        <v>3</v>
      </c>
      <c r="I113" s="136">
        <f>IF('00_TONG_HOP_BAO_GIA'!G106&gt;0, ('00_TONG_HOP_BAO_GIA'!K106 + '00_TONG_HOP_BAO_GIA'!M106) * (1 + '00_TONG_HOP_BAO_GIA'!P106) / '00_TONG_HOP_BAO_GIA'!G106, 0)</f>
        <v/>
      </c>
      <c r="J113" s="136">
        <f>IF('00_TONG_HOP_BAO_GIA'!G106&gt;0, '00_TONG_HOP_BAO_GIA'!L106 * (1 + '00_TONG_HOP_BAO_GIA'!P106) / '00_TONG_HOP_BAO_GIA'!G106, 0)</f>
        <v/>
      </c>
      <c r="K113" s="137">
        <f>'00_TONG_HOP_BAO_GIA'!Q106</f>
        <v/>
      </c>
      <c r="L113" s="137">
        <f>('00_TONG_HOP_BAO_GIA'!K106 + '00_TONG_HOP_BAO_GIA'!M106) * (1 + '00_TONG_HOP_BAO_GIA'!P106)</f>
        <v/>
      </c>
      <c r="M113" s="137">
        <f>'00_TONG_HOP_BAO_GIA'!L106 * (1 + '00_TONG_HOP_BAO_GIA'!P106)</f>
        <v/>
      </c>
      <c r="N113" s="137">
        <f>'00_TONG_HOP_BAO_GIA'!R106</f>
        <v/>
      </c>
      <c r="O113" s="139">
        <f>IF(K113=0, "CẢNH BÁO: Đơn giá = 0. Tra cứu lại Sheet 06!", '00_TONG_HOP_BAO_GIA'!S106)</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83" t="inlineStr">
        <is>
          <t>Cái</t>
        </is>
      </c>
      <c r="H114" s="136" t="n">
        <v>2</v>
      </c>
      <c r="I114" s="136">
        <f>IF('00_TONG_HOP_BAO_GIA'!G107&gt;0, ('00_TONG_HOP_BAO_GIA'!K107 + '00_TONG_HOP_BAO_GIA'!M107) * (1 + '00_TONG_HOP_BAO_GIA'!P107) / '00_TONG_HOP_BAO_GIA'!G107, 0)</f>
        <v/>
      </c>
      <c r="J114" s="136">
        <f>IF('00_TONG_HOP_BAO_GIA'!G107&gt;0, '00_TONG_HOP_BAO_GIA'!L107 * (1 + '00_TONG_HOP_BAO_GIA'!P107) / '00_TONG_HOP_BAO_GIA'!G107, 0)</f>
        <v/>
      </c>
      <c r="K114" s="137">
        <f>'00_TONG_HOP_BAO_GIA'!Q107</f>
        <v/>
      </c>
      <c r="L114" s="137">
        <f>('00_TONG_HOP_BAO_GIA'!K107 + '00_TONG_HOP_BAO_GIA'!M107) * (1 + '00_TONG_HOP_BAO_GIA'!P107)</f>
        <v/>
      </c>
      <c r="M114" s="137">
        <f>'00_TONG_HOP_BAO_GIA'!L107 * (1 + '00_TONG_HOP_BAO_GIA'!P107)</f>
        <v/>
      </c>
      <c r="N114" s="137">
        <f>'00_TONG_HOP_BAO_GIA'!R107</f>
        <v/>
      </c>
      <c r="O114" s="139">
        <f>IF(K114=0, "CẢNH BÁO: Đơn giá = 0. Tra cứu lại Sheet 06!", '00_TONG_HOP_BAO_GIA'!S107)</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83" t="inlineStr">
        <is>
          <t>Cái</t>
        </is>
      </c>
      <c r="H115" s="136" t="n">
        <v>2</v>
      </c>
      <c r="I115" s="136">
        <f>IF('00_TONG_HOP_BAO_GIA'!G108&gt;0, ('00_TONG_HOP_BAO_GIA'!K108 + '00_TONG_HOP_BAO_GIA'!M108) * (1 + '00_TONG_HOP_BAO_GIA'!P108) / '00_TONG_HOP_BAO_GIA'!G108, 0)</f>
        <v/>
      </c>
      <c r="J115" s="136">
        <f>IF('00_TONG_HOP_BAO_GIA'!G108&gt;0, '00_TONG_HOP_BAO_GIA'!L108 * (1 + '00_TONG_HOP_BAO_GIA'!P108) / '00_TONG_HOP_BAO_GIA'!G108, 0)</f>
        <v/>
      </c>
      <c r="K115" s="137">
        <f>'00_TONG_HOP_BAO_GIA'!Q108</f>
        <v/>
      </c>
      <c r="L115" s="137">
        <f>('00_TONG_HOP_BAO_GIA'!K108 + '00_TONG_HOP_BAO_GIA'!M108) * (1 + '00_TONG_HOP_BAO_GIA'!P108)</f>
        <v/>
      </c>
      <c r="M115" s="137">
        <f>'00_TONG_HOP_BAO_GIA'!L108 * (1 + '00_TONG_HOP_BAO_GIA'!P108)</f>
        <v/>
      </c>
      <c r="N115" s="137">
        <f>'00_TONG_HOP_BAO_GIA'!R108</f>
        <v/>
      </c>
      <c r="O115" s="139">
        <f>IF(K115=0, "CẢNH BÁO: Đơn giá = 0. Tra cứu lại Sheet 06!", '00_TONG_HOP_BAO_GIA'!S108)</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83" t="inlineStr">
        <is>
          <t>Cái</t>
        </is>
      </c>
      <c r="H116" s="136" t="n">
        <v>3</v>
      </c>
      <c r="I116" s="136">
        <f>IF('00_TONG_HOP_BAO_GIA'!G109&gt;0, ('00_TONG_HOP_BAO_GIA'!K109 + '00_TONG_HOP_BAO_GIA'!M109) * (1 + '00_TONG_HOP_BAO_GIA'!P109) / '00_TONG_HOP_BAO_GIA'!G109, 0)</f>
        <v/>
      </c>
      <c r="J116" s="136">
        <f>IF('00_TONG_HOP_BAO_GIA'!G109&gt;0, '00_TONG_HOP_BAO_GIA'!L109 * (1 + '00_TONG_HOP_BAO_GIA'!P109) / '00_TONG_HOP_BAO_GIA'!G109, 0)</f>
        <v/>
      </c>
      <c r="K116" s="137">
        <f>'00_TONG_HOP_BAO_GIA'!Q109</f>
        <v/>
      </c>
      <c r="L116" s="137">
        <f>('00_TONG_HOP_BAO_GIA'!K109 + '00_TONG_HOP_BAO_GIA'!M109) * (1 + '00_TONG_HOP_BAO_GIA'!P109)</f>
        <v/>
      </c>
      <c r="M116" s="137">
        <f>'00_TONG_HOP_BAO_GIA'!L109 * (1 + '00_TONG_HOP_BAO_GIA'!P109)</f>
        <v/>
      </c>
      <c r="N116" s="137">
        <f>'00_TONG_HOP_BAO_GIA'!R109</f>
        <v/>
      </c>
      <c r="O116" s="139">
        <f>IF(K116=0, "CẢNH BÁO: Đơn giá = 0. Tra cứu lại Sheet 06!", '00_TONG_HOP_BAO_GIA'!S109)</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83" t="inlineStr">
        <is>
          <t>Cái</t>
        </is>
      </c>
      <c r="H117" s="136" t="n">
        <v>1</v>
      </c>
      <c r="I117" s="136">
        <f>IF('00_TONG_HOP_BAO_GIA'!G110&gt;0, ('00_TONG_HOP_BAO_GIA'!K110 + '00_TONG_HOP_BAO_GIA'!M110) * (1 + '00_TONG_HOP_BAO_GIA'!P110) / '00_TONG_HOP_BAO_GIA'!G110, 0)</f>
        <v/>
      </c>
      <c r="J117" s="136">
        <f>IF('00_TONG_HOP_BAO_GIA'!G110&gt;0, '00_TONG_HOP_BAO_GIA'!L110 * (1 + '00_TONG_HOP_BAO_GIA'!P110) / '00_TONG_HOP_BAO_GIA'!G110, 0)</f>
        <v/>
      </c>
      <c r="K117" s="137">
        <f>'00_TONG_HOP_BAO_GIA'!Q110</f>
        <v/>
      </c>
      <c r="L117" s="137">
        <f>('00_TONG_HOP_BAO_GIA'!K110 + '00_TONG_HOP_BAO_GIA'!M110) * (1 + '00_TONG_HOP_BAO_GIA'!P110)</f>
        <v/>
      </c>
      <c r="M117" s="137">
        <f>'00_TONG_HOP_BAO_GIA'!L110 * (1 + '00_TONG_HOP_BAO_GIA'!P110)</f>
        <v/>
      </c>
      <c r="N117" s="137">
        <f>'00_TONG_HOP_BAO_GIA'!R110</f>
        <v/>
      </c>
      <c r="O117" s="139">
        <f>IF(K117=0, "CẢNH BÁO: Đơn giá = 0. Tra cứu lại Sheet 06!", '00_TONG_HOP_BAO_GIA'!S110)</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83" t="inlineStr">
        <is>
          <t>Cái</t>
        </is>
      </c>
      <c r="H118" s="136" t="n">
        <v>2</v>
      </c>
      <c r="I118" s="136">
        <f>IF('00_TONG_HOP_BAO_GIA'!G111&gt;0, ('00_TONG_HOP_BAO_GIA'!K111 + '00_TONG_HOP_BAO_GIA'!M111) * (1 + '00_TONG_HOP_BAO_GIA'!P111) / '00_TONG_HOP_BAO_GIA'!G111, 0)</f>
        <v/>
      </c>
      <c r="J118" s="136">
        <f>IF('00_TONG_HOP_BAO_GIA'!G111&gt;0, '00_TONG_HOP_BAO_GIA'!L111 * (1 + '00_TONG_HOP_BAO_GIA'!P111) / '00_TONG_HOP_BAO_GIA'!G111, 0)</f>
        <v/>
      </c>
      <c r="K118" s="137">
        <f>'00_TONG_HOP_BAO_GIA'!Q111</f>
        <v/>
      </c>
      <c r="L118" s="137">
        <f>('00_TONG_HOP_BAO_GIA'!K111 + '00_TONG_HOP_BAO_GIA'!M111) * (1 + '00_TONG_HOP_BAO_GIA'!P111)</f>
        <v/>
      </c>
      <c r="M118" s="137">
        <f>'00_TONG_HOP_BAO_GIA'!L111 * (1 + '00_TONG_HOP_BAO_GIA'!P111)</f>
        <v/>
      </c>
      <c r="N118" s="137">
        <f>'00_TONG_HOP_BAO_GIA'!R111</f>
        <v/>
      </c>
      <c r="O118" s="139">
        <f>IF(K118=0, "CẢNH BÁO: Đơn giá = 0. Tra cứu lại Sheet 06!", '00_TONG_HOP_BAO_GIA'!S111)</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83" t="inlineStr">
        <is>
          <t>Cái</t>
        </is>
      </c>
      <c r="H119" s="136" t="n">
        <v>2</v>
      </c>
      <c r="I119" s="136">
        <f>IF('00_TONG_HOP_BAO_GIA'!G112&gt;0, ('00_TONG_HOP_BAO_GIA'!K112 + '00_TONG_HOP_BAO_GIA'!M112) * (1 + '00_TONG_HOP_BAO_GIA'!P112) / '00_TONG_HOP_BAO_GIA'!G112, 0)</f>
        <v/>
      </c>
      <c r="J119" s="136">
        <f>IF('00_TONG_HOP_BAO_GIA'!G112&gt;0, '00_TONG_HOP_BAO_GIA'!L112 * (1 + '00_TONG_HOP_BAO_GIA'!P112) / '00_TONG_HOP_BAO_GIA'!G112, 0)</f>
        <v/>
      </c>
      <c r="K119" s="137">
        <f>'00_TONG_HOP_BAO_GIA'!Q112</f>
        <v/>
      </c>
      <c r="L119" s="137">
        <f>('00_TONG_HOP_BAO_GIA'!K112 + '00_TONG_HOP_BAO_GIA'!M112) * (1 + '00_TONG_HOP_BAO_GIA'!P112)</f>
        <v/>
      </c>
      <c r="M119" s="137">
        <f>'00_TONG_HOP_BAO_GIA'!L112 * (1 + '00_TONG_HOP_BAO_GIA'!P112)</f>
        <v/>
      </c>
      <c r="N119" s="137">
        <f>'00_TONG_HOP_BAO_GIA'!R112</f>
        <v/>
      </c>
      <c r="O119" s="139">
        <f>IF(K119=0, "CẢNH BÁO: Đơn giá = 0. Tra cứu lại Sheet 06!", '00_TONG_HOP_BAO_GIA'!S112)</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83" t="inlineStr">
        <is>
          <t>Cái</t>
        </is>
      </c>
      <c r="H120" s="136" t="n">
        <v>1</v>
      </c>
      <c r="I120" s="136">
        <f>IF('00_TONG_HOP_BAO_GIA'!G113&gt;0, ('00_TONG_HOP_BAO_GIA'!K113 + '00_TONG_HOP_BAO_GIA'!M113) * (1 + '00_TONG_HOP_BAO_GIA'!P113) / '00_TONG_HOP_BAO_GIA'!G113, 0)</f>
        <v/>
      </c>
      <c r="J120" s="136">
        <f>IF('00_TONG_HOP_BAO_GIA'!G113&gt;0, '00_TONG_HOP_BAO_GIA'!L113 * (1 + '00_TONG_HOP_BAO_GIA'!P113) / '00_TONG_HOP_BAO_GIA'!G113, 0)</f>
        <v/>
      </c>
      <c r="K120" s="137">
        <f>'00_TONG_HOP_BAO_GIA'!Q113</f>
        <v/>
      </c>
      <c r="L120" s="137">
        <f>('00_TONG_HOP_BAO_GIA'!K113 + '00_TONG_HOP_BAO_GIA'!M113) * (1 + '00_TONG_HOP_BAO_GIA'!P113)</f>
        <v/>
      </c>
      <c r="M120" s="137">
        <f>'00_TONG_HOP_BAO_GIA'!L113 * (1 + '00_TONG_HOP_BAO_GIA'!P113)</f>
        <v/>
      </c>
      <c r="N120" s="137">
        <f>'00_TONG_HOP_BAO_GIA'!R113</f>
        <v/>
      </c>
      <c r="O120" s="139">
        <f>IF(K120=0, "CẢNH BÁO: Đơn giá = 0. Tra cứu lại Sheet 06!", '00_TONG_HOP_BAO_GIA'!S113)</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83" t="inlineStr">
        <is>
          <t>Cái</t>
        </is>
      </c>
      <c r="H121" s="136" t="n">
        <v>9</v>
      </c>
      <c r="I121" s="136">
        <f>IF('00_TONG_HOP_BAO_GIA'!G114&gt;0, ('00_TONG_HOP_BAO_GIA'!K114 + '00_TONG_HOP_BAO_GIA'!M114) * (1 + '00_TONG_HOP_BAO_GIA'!P114) / '00_TONG_HOP_BAO_GIA'!G114, 0)</f>
        <v/>
      </c>
      <c r="J121" s="136">
        <f>IF('00_TONG_HOP_BAO_GIA'!G114&gt;0, '00_TONG_HOP_BAO_GIA'!L114 * (1 + '00_TONG_HOP_BAO_GIA'!P114) / '00_TONG_HOP_BAO_GIA'!G114, 0)</f>
        <v/>
      </c>
      <c r="K121" s="137">
        <f>'00_TONG_HOP_BAO_GIA'!Q114</f>
        <v/>
      </c>
      <c r="L121" s="137">
        <f>('00_TONG_HOP_BAO_GIA'!K114 + '00_TONG_HOP_BAO_GIA'!M114) * (1 + '00_TONG_HOP_BAO_GIA'!P114)</f>
        <v/>
      </c>
      <c r="M121" s="137">
        <f>'00_TONG_HOP_BAO_GIA'!L114 * (1 + '00_TONG_HOP_BAO_GIA'!P114)</f>
        <v/>
      </c>
      <c r="N121" s="137">
        <f>'00_TONG_HOP_BAO_GIA'!R114</f>
        <v/>
      </c>
      <c r="O121" s="139">
        <f>IF(K121=0, "CẢNH BÁO: Đơn giá = 0. Tra cứu lại Sheet 06!", '00_TONG_HOP_BAO_GIA'!S114)</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83" t="inlineStr">
        <is>
          <t>Cái</t>
        </is>
      </c>
      <c r="H122" s="136" t="n">
        <v>1</v>
      </c>
      <c r="I122" s="136">
        <f>IF('00_TONG_HOP_BAO_GIA'!G115&gt;0, ('00_TONG_HOP_BAO_GIA'!K115 + '00_TONG_HOP_BAO_GIA'!M115) * (1 + '00_TONG_HOP_BAO_GIA'!P115) / '00_TONG_HOP_BAO_GIA'!G115, 0)</f>
        <v/>
      </c>
      <c r="J122" s="136">
        <f>IF('00_TONG_HOP_BAO_GIA'!G115&gt;0, '00_TONG_HOP_BAO_GIA'!L115 * (1 + '00_TONG_HOP_BAO_GIA'!P115) / '00_TONG_HOP_BAO_GIA'!G115, 0)</f>
        <v/>
      </c>
      <c r="K122" s="137">
        <f>'00_TONG_HOP_BAO_GIA'!Q115</f>
        <v/>
      </c>
      <c r="L122" s="137">
        <f>('00_TONG_HOP_BAO_GIA'!K115 + '00_TONG_HOP_BAO_GIA'!M115) * (1 + '00_TONG_HOP_BAO_GIA'!P115)</f>
        <v/>
      </c>
      <c r="M122" s="137">
        <f>'00_TONG_HOP_BAO_GIA'!L115 * (1 + '00_TONG_HOP_BAO_GIA'!P115)</f>
        <v/>
      </c>
      <c r="N122" s="137">
        <f>'00_TONG_HOP_BAO_GIA'!R115</f>
        <v/>
      </c>
      <c r="O122" s="139">
        <f>IF(K122=0, "CẢNH BÁO: Đơn giá = 0. Tra cứu lại Sheet 06!", '00_TONG_HOP_BAO_GIA'!S115)</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83" t="inlineStr">
        <is>
          <t>Cái</t>
        </is>
      </c>
      <c r="H123" s="136" t="n">
        <v>13</v>
      </c>
      <c r="I123" s="136">
        <f>IF('00_TONG_HOP_BAO_GIA'!G116&gt;0, ('00_TONG_HOP_BAO_GIA'!K116 + '00_TONG_HOP_BAO_GIA'!M116) * (1 + '00_TONG_HOP_BAO_GIA'!P116) / '00_TONG_HOP_BAO_GIA'!G116, 0)</f>
        <v/>
      </c>
      <c r="J123" s="136">
        <f>IF('00_TONG_HOP_BAO_GIA'!G116&gt;0, '00_TONG_HOP_BAO_GIA'!L116 * (1 + '00_TONG_HOP_BAO_GIA'!P116) / '00_TONG_HOP_BAO_GIA'!G116, 0)</f>
        <v/>
      </c>
      <c r="K123" s="137">
        <f>'00_TONG_HOP_BAO_GIA'!Q116</f>
        <v/>
      </c>
      <c r="L123" s="137">
        <f>('00_TONG_HOP_BAO_GIA'!K116 + '00_TONG_HOP_BAO_GIA'!M116) * (1 + '00_TONG_HOP_BAO_GIA'!P116)</f>
        <v/>
      </c>
      <c r="M123" s="137">
        <f>'00_TONG_HOP_BAO_GIA'!L116 * (1 + '00_TONG_HOP_BAO_GIA'!P116)</f>
        <v/>
      </c>
      <c r="N123" s="137">
        <f>'00_TONG_HOP_BAO_GIA'!R116</f>
        <v/>
      </c>
      <c r="O123" s="139">
        <f>IF(K123=0, "CẢNH BÁO: Đơn giá = 0. Tra cứu lại Sheet 06!", '00_TONG_HOP_BAO_GIA'!S116)</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83" t="inlineStr">
        <is>
          <t>Cái</t>
        </is>
      </c>
      <c r="H124" s="136" t="n">
        <v>12</v>
      </c>
      <c r="I124" s="136">
        <f>IF('00_TONG_HOP_BAO_GIA'!G117&gt;0, ('00_TONG_HOP_BAO_GIA'!K117 + '00_TONG_HOP_BAO_GIA'!M117) * (1 + '00_TONG_HOP_BAO_GIA'!P117) / '00_TONG_HOP_BAO_GIA'!G117, 0)</f>
        <v/>
      </c>
      <c r="J124" s="136">
        <f>IF('00_TONG_HOP_BAO_GIA'!G117&gt;0, '00_TONG_HOP_BAO_GIA'!L117 * (1 + '00_TONG_HOP_BAO_GIA'!P117) / '00_TONG_HOP_BAO_GIA'!G117, 0)</f>
        <v/>
      </c>
      <c r="K124" s="137">
        <f>'00_TONG_HOP_BAO_GIA'!Q117</f>
        <v/>
      </c>
      <c r="L124" s="137">
        <f>('00_TONG_HOP_BAO_GIA'!K117 + '00_TONG_HOP_BAO_GIA'!M117) * (1 + '00_TONG_HOP_BAO_GIA'!P117)</f>
        <v/>
      </c>
      <c r="M124" s="137">
        <f>'00_TONG_HOP_BAO_GIA'!L117 * (1 + '00_TONG_HOP_BAO_GIA'!P117)</f>
        <v/>
      </c>
      <c r="N124" s="137">
        <f>'00_TONG_HOP_BAO_GIA'!R117</f>
        <v/>
      </c>
      <c r="O124" s="139">
        <f>IF(K124=0, "CẢNH BÁO: Đơn giá = 0. Tra cứu lại Sheet 06!", '00_TONG_HOP_BAO_GIA'!S117)</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83" t="inlineStr">
        <is>
          <t>Cái</t>
        </is>
      </c>
      <c r="H125" s="136" t="n">
        <v>1</v>
      </c>
      <c r="I125" s="136">
        <f>IF('00_TONG_HOP_BAO_GIA'!G118&gt;0, ('00_TONG_HOP_BAO_GIA'!K118 + '00_TONG_HOP_BAO_GIA'!M118) * (1 + '00_TONG_HOP_BAO_GIA'!P118) / '00_TONG_HOP_BAO_GIA'!G118, 0)</f>
        <v/>
      </c>
      <c r="J125" s="136">
        <f>IF('00_TONG_HOP_BAO_GIA'!G118&gt;0, '00_TONG_HOP_BAO_GIA'!L118 * (1 + '00_TONG_HOP_BAO_GIA'!P118) / '00_TONG_HOP_BAO_GIA'!G118, 0)</f>
        <v/>
      </c>
      <c r="K125" s="137">
        <f>'00_TONG_HOP_BAO_GIA'!Q118</f>
        <v/>
      </c>
      <c r="L125" s="137">
        <f>('00_TONG_HOP_BAO_GIA'!K118 + '00_TONG_HOP_BAO_GIA'!M118) * (1 + '00_TONG_HOP_BAO_GIA'!P118)</f>
        <v/>
      </c>
      <c r="M125" s="137">
        <f>'00_TONG_HOP_BAO_GIA'!L118 * (1 + '00_TONG_HOP_BAO_GIA'!P118)</f>
        <v/>
      </c>
      <c r="N125" s="137">
        <f>'00_TONG_HOP_BAO_GIA'!R118</f>
        <v/>
      </c>
      <c r="O125" s="139">
        <f>IF(K125=0, "CẢNH BÁO: Đơn giá = 0. Tra cứu lại Sheet 06!", '00_TONG_HOP_BAO_GIA'!S118)</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83" t="inlineStr">
        <is>
          <t>Cái</t>
        </is>
      </c>
      <c r="H126" s="136" t="n">
        <v>10</v>
      </c>
      <c r="I126" s="136">
        <f>IF('00_TONG_HOP_BAO_GIA'!G119&gt;0, ('00_TONG_HOP_BAO_GIA'!K119 + '00_TONG_HOP_BAO_GIA'!M119) * (1 + '00_TONG_HOP_BAO_GIA'!P119) / '00_TONG_HOP_BAO_GIA'!G119, 0)</f>
        <v/>
      </c>
      <c r="J126" s="136">
        <f>IF('00_TONG_HOP_BAO_GIA'!G119&gt;0, '00_TONG_HOP_BAO_GIA'!L119 * (1 + '00_TONG_HOP_BAO_GIA'!P119) / '00_TONG_HOP_BAO_GIA'!G119, 0)</f>
        <v/>
      </c>
      <c r="K126" s="137">
        <f>'00_TONG_HOP_BAO_GIA'!Q119</f>
        <v/>
      </c>
      <c r="L126" s="137">
        <f>('00_TONG_HOP_BAO_GIA'!K119 + '00_TONG_HOP_BAO_GIA'!M119) * (1 + '00_TONG_HOP_BAO_GIA'!P119)</f>
        <v/>
      </c>
      <c r="M126" s="137">
        <f>'00_TONG_HOP_BAO_GIA'!L119 * (1 + '00_TONG_HOP_BAO_GIA'!P119)</f>
        <v/>
      </c>
      <c r="N126" s="137">
        <f>'00_TONG_HOP_BAO_GIA'!R119</f>
        <v/>
      </c>
      <c r="O126" s="139">
        <f>IF(K126=0, "CẢNH BÁO: Đơn giá = 0. Tra cứu lại Sheet 06!", '00_TONG_HOP_BAO_GIA'!S119)</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83" t="inlineStr">
        <is>
          <t>Cái</t>
        </is>
      </c>
      <c r="H127" s="136" t="n">
        <v>6</v>
      </c>
      <c r="I127" s="136">
        <f>IF('00_TONG_HOP_BAO_GIA'!G120&gt;0, ('00_TONG_HOP_BAO_GIA'!K120 + '00_TONG_HOP_BAO_GIA'!M120) * (1 + '00_TONG_HOP_BAO_GIA'!P120) / '00_TONG_HOP_BAO_GIA'!G120, 0)</f>
        <v/>
      </c>
      <c r="J127" s="136">
        <f>IF('00_TONG_HOP_BAO_GIA'!G120&gt;0, '00_TONG_HOP_BAO_GIA'!L120 * (1 + '00_TONG_HOP_BAO_GIA'!P120) / '00_TONG_HOP_BAO_GIA'!G120, 0)</f>
        <v/>
      </c>
      <c r="K127" s="137">
        <f>'00_TONG_HOP_BAO_GIA'!Q120</f>
        <v/>
      </c>
      <c r="L127" s="137">
        <f>('00_TONG_HOP_BAO_GIA'!K120 + '00_TONG_HOP_BAO_GIA'!M120) * (1 + '00_TONG_HOP_BAO_GIA'!P120)</f>
        <v/>
      </c>
      <c r="M127" s="137">
        <f>'00_TONG_HOP_BAO_GIA'!L120 * (1 + '00_TONG_HOP_BAO_GIA'!P120)</f>
        <v/>
      </c>
      <c r="N127" s="137">
        <f>'00_TONG_HOP_BAO_GIA'!R120</f>
        <v/>
      </c>
      <c r="O127" s="139">
        <f>IF(K127=0, "CẢNH BÁO: Đơn giá = 0. Tra cứu lại Sheet 06!", '00_TONG_HOP_BAO_GIA'!S120)</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83" t="inlineStr">
        <is>
          <t>Cái</t>
        </is>
      </c>
      <c r="H128" s="136" t="n">
        <v>6</v>
      </c>
      <c r="I128" s="136">
        <f>IF('00_TONG_HOP_BAO_GIA'!G121&gt;0, ('00_TONG_HOP_BAO_GIA'!K121 + '00_TONG_HOP_BAO_GIA'!M121) * (1 + '00_TONG_HOP_BAO_GIA'!P121) / '00_TONG_HOP_BAO_GIA'!G121, 0)</f>
        <v/>
      </c>
      <c r="J128" s="136">
        <f>IF('00_TONG_HOP_BAO_GIA'!G121&gt;0, '00_TONG_HOP_BAO_GIA'!L121 * (1 + '00_TONG_HOP_BAO_GIA'!P121) / '00_TONG_HOP_BAO_GIA'!G121, 0)</f>
        <v/>
      </c>
      <c r="K128" s="137">
        <f>'00_TONG_HOP_BAO_GIA'!Q121</f>
        <v/>
      </c>
      <c r="L128" s="137">
        <f>('00_TONG_HOP_BAO_GIA'!K121 + '00_TONG_HOP_BAO_GIA'!M121) * (1 + '00_TONG_HOP_BAO_GIA'!P121)</f>
        <v/>
      </c>
      <c r="M128" s="137">
        <f>'00_TONG_HOP_BAO_GIA'!L121 * (1 + '00_TONG_HOP_BAO_GIA'!P121)</f>
        <v/>
      </c>
      <c r="N128" s="137">
        <f>'00_TONG_HOP_BAO_GIA'!R121</f>
        <v/>
      </c>
      <c r="O128" s="139">
        <f>IF(K128=0, "CẢNH BÁO: Đơn giá = 0. Tra cứu lại Sheet 06!", '00_TONG_HOP_BAO_GIA'!S121)</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83" t="inlineStr">
        <is>
          <t>Cái</t>
        </is>
      </c>
      <c r="H129" s="136" t="n">
        <v>8</v>
      </c>
      <c r="I129" s="136">
        <f>IF('00_TONG_HOP_BAO_GIA'!G122&gt;0, ('00_TONG_HOP_BAO_GIA'!K122 + '00_TONG_HOP_BAO_GIA'!M122) * (1 + '00_TONG_HOP_BAO_GIA'!P122) / '00_TONG_HOP_BAO_GIA'!G122, 0)</f>
        <v/>
      </c>
      <c r="J129" s="136">
        <f>IF('00_TONG_HOP_BAO_GIA'!G122&gt;0, '00_TONG_HOP_BAO_GIA'!L122 * (1 + '00_TONG_HOP_BAO_GIA'!P122) / '00_TONG_HOP_BAO_GIA'!G122, 0)</f>
        <v/>
      </c>
      <c r="K129" s="137">
        <f>'00_TONG_HOP_BAO_GIA'!Q122</f>
        <v/>
      </c>
      <c r="L129" s="137">
        <f>('00_TONG_HOP_BAO_GIA'!K122 + '00_TONG_HOP_BAO_GIA'!M122) * (1 + '00_TONG_HOP_BAO_GIA'!P122)</f>
        <v/>
      </c>
      <c r="M129" s="137">
        <f>'00_TONG_HOP_BAO_GIA'!L122 * (1 + '00_TONG_HOP_BAO_GIA'!P122)</f>
        <v/>
      </c>
      <c r="N129" s="137">
        <f>'00_TONG_HOP_BAO_GIA'!R122</f>
        <v/>
      </c>
      <c r="O129" s="139">
        <f>IF(K129=0, "CẢNH BÁO: Đơn giá = 0. Tra cứu lại Sheet 06!", '00_TONG_HOP_BAO_GIA'!S122)</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83" t="inlineStr">
        <is>
          <t>Cái</t>
        </is>
      </c>
      <c r="H130" s="136" t="n">
        <v>6</v>
      </c>
      <c r="I130" s="136">
        <f>IF('00_TONG_HOP_BAO_GIA'!G123&gt;0, ('00_TONG_HOP_BAO_GIA'!K123 + '00_TONG_HOP_BAO_GIA'!M123) * (1 + '00_TONG_HOP_BAO_GIA'!P123) / '00_TONG_HOP_BAO_GIA'!G123, 0)</f>
        <v/>
      </c>
      <c r="J130" s="136">
        <f>IF('00_TONG_HOP_BAO_GIA'!G123&gt;0, '00_TONG_HOP_BAO_GIA'!L123 * (1 + '00_TONG_HOP_BAO_GIA'!P123) / '00_TONG_HOP_BAO_GIA'!G123, 0)</f>
        <v/>
      </c>
      <c r="K130" s="137">
        <f>'00_TONG_HOP_BAO_GIA'!Q123</f>
        <v/>
      </c>
      <c r="L130" s="137">
        <f>('00_TONG_HOP_BAO_GIA'!K123 + '00_TONG_HOP_BAO_GIA'!M123) * (1 + '00_TONG_HOP_BAO_GIA'!P123)</f>
        <v/>
      </c>
      <c r="M130" s="137">
        <f>'00_TONG_HOP_BAO_GIA'!L123 * (1 + '00_TONG_HOP_BAO_GIA'!P123)</f>
        <v/>
      </c>
      <c r="N130" s="137">
        <f>'00_TONG_HOP_BAO_GIA'!R123</f>
        <v/>
      </c>
      <c r="O130" s="139">
        <f>IF(K130=0, "CẢNH BÁO: Đơn giá = 0. Tra cứu lại Sheet 06!", '00_TONG_HOP_BAO_GIA'!S123)</f>
        <v/>
      </c>
    </row>
    <row r="131" outlineLevel="1">
      <c r="A131" s="141">
        <f>SUBTOTAL(3,$G$7:G131)</f>
        <v/>
      </c>
      <c r="B131" s="139" t="inlineStr">
        <is>
          <t>Van xả áp</t>
        </is>
      </c>
      <c r="C131" s="134" t="n"/>
      <c r="D131" s="134" t="inlineStr">
        <is>
          <t>NSCA, Evegreen, Swind, tđ</t>
        </is>
      </c>
      <c r="E131" s="134" t="n"/>
      <c r="F131" s="329" t="n"/>
      <c r="G131" s="383" t="inlineStr">
        <is>
          <t>Cái</t>
        </is>
      </c>
      <c r="H131" s="136" t="n">
        <v>6</v>
      </c>
      <c r="I131" s="136">
        <f>IF('00_TONG_HOP_BAO_GIA'!G124&gt;0, ('00_TONG_HOP_BAO_GIA'!K124 + '00_TONG_HOP_BAO_GIA'!M124) * (1 + '00_TONG_HOP_BAO_GIA'!P124) / '00_TONG_HOP_BAO_GIA'!G124, 0)</f>
        <v/>
      </c>
      <c r="J131" s="136">
        <f>IF('00_TONG_HOP_BAO_GIA'!G124&gt;0, '00_TONG_HOP_BAO_GIA'!L124 * (1 + '00_TONG_HOP_BAO_GIA'!P124) / '00_TONG_HOP_BAO_GIA'!G124, 0)</f>
        <v/>
      </c>
      <c r="K131" s="137">
        <f>'00_TONG_HOP_BAO_GIA'!Q124</f>
        <v/>
      </c>
      <c r="L131" s="137">
        <f>('00_TONG_HOP_BAO_GIA'!K124 + '00_TONG_HOP_BAO_GIA'!M124) * (1 + '00_TONG_HOP_BAO_GIA'!P124)</f>
        <v/>
      </c>
      <c r="M131" s="137">
        <f>'00_TONG_HOP_BAO_GIA'!L124 * (1 + '00_TONG_HOP_BAO_GIA'!P124)</f>
        <v/>
      </c>
      <c r="N131" s="137">
        <f>'00_TONG_HOP_BAO_GIA'!R124</f>
        <v/>
      </c>
      <c r="O131" s="139">
        <f>IF(K131=0, "CẢNH BÁO: Đơn giá = 0. Tra cứu lại Sheet 06!", '00_TONG_HOP_BAO_GIA'!S124)</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83" t="inlineStr">
        <is>
          <t>Cái</t>
        </is>
      </c>
      <c r="H132" s="136" t="n">
        <v>1</v>
      </c>
      <c r="I132" s="136">
        <f>IF('00_TONG_HOP_BAO_GIA'!G125&gt;0, ('00_TONG_HOP_BAO_GIA'!K125 + '00_TONG_HOP_BAO_GIA'!M125) * (1 + '00_TONG_HOP_BAO_GIA'!P125) / '00_TONG_HOP_BAO_GIA'!G125, 0)</f>
        <v/>
      </c>
      <c r="J132" s="136">
        <f>IF('00_TONG_HOP_BAO_GIA'!G125&gt;0, '00_TONG_HOP_BAO_GIA'!L125 * (1 + '00_TONG_HOP_BAO_GIA'!P125) / '00_TONG_HOP_BAO_GIA'!G125, 0)</f>
        <v/>
      </c>
      <c r="K132" s="137">
        <f>'00_TONG_HOP_BAO_GIA'!Q125</f>
        <v/>
      </c>
      <c r="L132" s="137">
        <f>('00_TONG_HOP_BAO_GIA'!K125 + '00_TONG_HOP_BAO_GIA'!M125) * (1 + '00_TONG_HOP_BAO_GIA'!P125)</f>
        <v/>
      </c>
      <c r="M132" s="137">
        <f>'00_TONG_HOP_BAO_GIA'!L125 * (1 + '00_TONG_HOP_BAO_GIA'!P125)</f>
        <v/>
      </c>
      <c r="N132" s="137">
        <f>'00_TONG_HOP_BAO_GIA'!R125</f>
        <v/>
      </c>
      <c r="O132" s="139">
        <f>IF(K132=0, "CẢNH BÁO: Đơn giá = 0. Tra cứu lại Sheet 06!", '00_TONG_HOP_BAO_GIA'!S125)</f>
        <v/>
      </c>
    </row>
    <row r="133" outlineLevel="1">
      <c r="A133" s="141">
        <f>SUBTOTAL(3,$G$7:G133)</f>
        <v/>
      </c>
      <c r="B133" s="139" t="inlineStr">
        <is>
          <t>Miệng gió tạo áp PAG 900x400+OBD</t>
        </is>
      </c>
      <c r="C133" s="134" t="n"/>
      <c r="D133" s="134" t="inlineStr">
        <is>
          <t>NSCA, Evegreen, Swind, tđ</t>
        </is>
      </c>
      <c r="E133" s="134" t="n"/>
      <c r="F133" s="329" t="n"/>
      <c r="G133" s="383" t="inlineStr">
        <is>
          <t>Cái</t>
        </is>
      </c>
      <c r="H133" s="136" t="n">
        <v>2</v>
      </c>
      <c r="I133" s="136">
        <f>IF('00_TONG_HOP_BAO_GIA'!G126&gt;0, ('00_TONG_HOP_BAO_GIA'!K126 + '00_TONG_HOP_BAO_GIA'!M126) * (1 + '00_TONG_HOP_BAO_GIA'!P126) / '00_TONG_HOP_BAO_GIA'!G126, 0)</f>
        <v/>
      </c>
      <c r="J133" s="136">
        <f>IF('00_TONG_HOP_BAO_GIA'!G126&gt;0, '00_TONG_HOP_BAO_GIA'!L126 * (1 + '00_TONG_HOP_BAO_GIA'!P126) / '00_TONG_HOP_BAO_GIA'!G126, 0)</f>
        <v/>
      </c>
      <c r="K133" s="137">
        <f>'00_TONG_HOP_BAO_GIA'!Q126</f>
        <v/>
      </c>
      <c r="L133" s="137">
        <f>('00_TONG_HOP_BAO_GIA'!K126 + '00_TONG_HOP_BAO_GIA'!M126) * (1 + '00_TONG_HOP_BAO_GIA'!P126)</f>
        <v/>
      </c>
      <c r="M133" s="137">
        <f>'00_TONG_HOP_BAO_GIA'!L126 * (1 + '00_TONG_HOP_BAO_GIA'!P126)</f>
        <v/>
      </c>
      <c r="N133" s="137">
        <f>'00_TONG_HOP_BAO_GIA'!R126</f>
        <v/>
      </c>
      <c r="O133" s="139">
        <f>IF(K133=0, "CẢNH BÁO: Đơn giá = 0. Tra cứu lại Sheet 06!", '00_TONG_HOP_BAO_GIA'!S126)</f>
        <v/>
      </c>
    </row>
    <row r="134" outlineLevel="1">
      <c r="A134" s="141">
        <f>SUBTOTAL(3,$G$7:G134)</f>
        <v/>
      </c>
      <c r="B134" s="139" t="inlineStr">
        <is>
          <t>Miệng gió tạo áp PAG 300x300+OBD</t>
        </is>
      </c>
      <c r="C134" s="134" t="n"/>
      <c r="D134" s="134" t="inlineStr">
        <is>
          <t>NSCA, Evegreen, Swind, tđ</t>
        </is>
      </c>
      <c r="E134" s="134" t="n"/>
      <c r="F134" s="329" t="n"/>
      <c r="G134" s="383" t="inlineStr">
        <is>
          <t>Cái</t>
        </is>
      </c>
      <c r="H134" s="136" t="n">
        <v>1</v>
      </c>
      <c r="I134" s="136">
        <f>IF('00_TONG_HOP_BAO_GIA'!G127&gt;0, ('00_TONG_HOP_BAO_GIA'!K127 + '00_TONG_HOP_BAO_GIA'!M127) * (1 + '00_TONG_HOP_BAO_GIA'!P127) / '00_TONG_HOP_BAO_GIA'!G127, 0)</f>
        <v/>
      </c>
      <c r="J134" s="136">
        <f>IF('00_TONG_HOP_BAO_GIA'!G127&gt;0, '00_TONG_HOP_BAO_GIA'!L127 * (1 + '00_TONG_HOP_BAO_GIA'!P127) / '00_TONG_HOP_BAO_GIA'!G127, 0)</f>
        <v/>
      </c>
      <c r="K134" s="137">
        <f>'00_TONG_HOP_BAO_GIA'!Q127</f>
        <v/>
      </c>
      <c r="L134" s="137">
        <f>('00_TONG_HOP_BAO_GIA'!K127 + '00_TONG_HOP_BAO_GIA'!M127) * (1 + '00_TONG_HOP_BAO_GIA'!P127)</f>
        <v/>
      </c>
      <c r="M134" s="137">
        <f>'00_TONG_HOP_BAO_GIA'!L127 * (1 + '00_TONG_HOP_BAO_GIA'!P127)</f>
        <v/>
      </c>
      <c r="N134" s="137">
        <f>'00_TONG_HOP_BAO_GIA'!R127</f>
        <v/>
      </c>
      <c r="O134" s="139">
        <f>IF(K134=0, "CẢNH BÁO: Đơn giá = 0. Tra cứu lại Sheet 06!", '00_TONG_HOP_BAO_GIA'!S127)</f>
        <v/>
      </c>
    </row>
    <row r="135" outlineLevel="1">
      <c r="A135" s="141">
        <f>SUBTOTAL(3,$G$7:G135)</f>
        <v/>
      </c>
      <c r="B135" s="139" t="inlineStr">
        <is>
          <t>Miệng gió tạo áp PAG 1200x600+OBD</t>
        </is>
      </c>
      <c r="C135" s="134" t="n"/>
      <c r="D135" s="134" t="inlineStr">
        <is>
          <t>NSCA, Evegreen, Swind, tđ</t>
        </is>
      </c>
      <c r="E135" s="134" t="n"/>
      <c r="F135" s="329" t="n"/>
      <c r="G135" s="383" t="inlineStr">
        <is>
          <t>Cái</t>
        </is>
      </c>
      <c r="H135" s="136" t="n">
        <v>2</v>
      </c>
      <c r="I135" s="136">
        <f>IF('00_TONG_HOP_BAO_GIA'!G128&gt;0, ('00_TONG_HOP_BAO_GIA'!K128 + '00_TONG_HOP_BAO_GIA'!M128) * (1 + '00_TONG_HOP_BAO_GIA'!P128) / '00_TONG_HOP_BAO_GIA'!G128, 0)</f>
        <v/>
      </c>
      <c r="J135" s="136">
        <f>IF('00_TONG_HOP_BAO_GIA'!G128&gt;0, '00_TONG_HOP_BAO_GIA'!L128 * (1 + '00_TONG_HOP_BAO_GIA'!P128) / '00_TONG_HOP_BAO_GIA'!G128, 0)</f>
        <v/>
      </c>
      <c r="K135" s="137">
        <f>'00_TONG_HOP_BAO_GIA'!Q128</f>
        <v/>
      </c>
      <c r="L135" s="137">
        <f>('00_TONG_HOP_BAO_GIA'!K128 + '00_TONG_HOP_BAO_GIA'!M128) * (1 + '00_TONG_HOP_BAO_GIA'!P128)</f>
        <v/>
      </c>
      <c r="M135" s="137">
        <f>'00_TONG_HOP_BAO_GIA'!L128 * (1 + '00_TONG_HOP_BAO_GIA'!P128)</f>
        <v/>
      </c>
      <c r="N135" s="137">
        <f>'00_TONG_HOP_BAO_GIA'!R128</f>
        <v/>
      </c>
      <c r="O135" s="139">
        <f>IF(K135=0, "CẢNH BÁO: Đơn giá = 0. Tra cứu lại Sheet 06!", '00_TONG_HOP_BAO_GIA'!S128)</f>
        <v/>
      </c>
    </row>
    <row r="136" outlineLevel="1">
      <c r="A136" s="141">
        <f>SUBTOTAL(3,$G$7:G136)</f>
        <v/>
      </c>
      <c r="B136" s="139" t="inlineStr">
        <is>
          <t>Miệng gió tạo áp PAG 1400x800+OBD</t>
        </is>
      </c>
      <c r="C136" s="134" t="n"/>
      <c r="D136" s="134" t="inlineStr">
        <is>
          <t>NSCA, Evegreen, Swind, tđ</t>
        </is>
      </c>
      <c r="E136" s="134" t="n"/>
      <c r="F136" s="329" t="n"/>
      <c r="G136" s="383" t="inlineStr">
        <is>
          <t>Cái</t>
        </is>
      </c>
      <c r="H136" s="136" t="n">
        <v>10</v>
      </c>
      <c r="I136" s="136">
        <f>IF('00_TONG_HOP_BAO_GIA'!G129&gt;0, ('00_TONG_HOP_BAO_GIA'!K129 + '00_TONG_HOP_BAO_GIA'!M129) * (1 + '00_TONG_HOP_BAO_GIA'!P129) / '00_TONG_HOP_BAO_GIA'!G129, 0)</f>
        <v/>
      </c>
      <c r="J136" s="136">
        <f>IF('00_TONG_HOP_BAO_GIA'!G129&gt;0, '00_TONG_HOP_BAO_GIA'!L129 * (1 + '00_TONG_HOP_BAO_GIA'!P129) / '00_TONG_HOP_BAO_GIA'!G129, 0)</f>
        <v/>
      </c>
      <c r="K136" s="137">
        <f>'00_TONG_HOP_BAO_GIA'!Q129</f>
        <v/>
      </c>
      <c r="L136" s="137">
        <f>('00_TONG_HOP_BAO_GIA'!K129 + '00_TONG_HOP_BAO_GIA'!M129) * (1 + '00_TONG_HOP_BAO_GIA'!P129)</f>
        <v/>
      </c>
      <c r="M136" s="137">
        <f>'00_TONG_HOP_BAO_GIA'!L129 * (1 + '00_TONG_HOP_BAO_GIA'!P129)</f>
        <v/>
      </c>
      <c r="N136" s="137">
        <f>'00_TONG_HOP_BAO_GIA'!R129</f>
        <v/>
      </c>
      <c r="O136" s="139">
        <f>IF(K136=0, "CẢNH BÁO: Đơn giá = 0. Tra cứu lại Sheet 06!", '00_TONG_HOP_BAO_GIA'!S129)</f>
        <v/>
      </c>
    </row>
    <row r="137" outlineLevel="1">
      <c r="A137" s="141">
        <f>SUBTOTAL(3,$G$7:G137)</f>
        <v/>
      </c>
      <c r="B137" s="139" t="inlineStr">
        <is>
          <t>Miệng gió tạo áp PAG 1200x600+OBD</t>
        </is>
      </c>
      <c r="C137" s="134" t="n"/>
      <c r="D137" s="134" t="inlineStr">
        <is>
          <t>NSCA, Evegreen, Swind, tđ</t>
        </is>
      </c>
      <c r="E137" s="134" t="n"/>
      <c r="F137" s="329" t="n"/>
      <c r="G137" s="383" t="inlineStr">
        <is>
          <t>Cái</t>
        </is>
      </c>
      <c r="H137" s="136" t="n">
        <v>2</v>
      </c>
      <c r="I137" s="136">
        <f>IF('00_TONG_HOP_BAO_GIA'!G130&gt;0, ('00_TONG_HOP_BAO_GIA'!K130 + '00_TONG_HOP_BAO_GIA'!M130) * (1 + '00_TONG_HOP_BAO_GIA'!P130) / '00_TONG_HOP_BAO_GIA'!G130, 0)</f>
        <v/>
      </c>
      <c r="J137" s="136">
        <f>IF('00_TONG_HOP_BAO_GIA'!G130&gt;0, '00_TONG_HOP_BAO_GIA'!L130 * (1 + '00_TONG_HOP_BAO_GIA'!P130) / '00_TONG_HOP_BAO_GIA'!G130, 0)</f>
        <v/>
      </c>
      <c r="K137" s="137">
        <f>'00_TONG_HOP_BAO_GIA'!Q130</f>
        <v/>
      </c>
      <c r="L137" s="137">
        <f>('00_TONG_HOP_BAO_GIA'!K130 + '00_TONG_HOP_BAO_GIA'!M130) * (1 + '00_TONG_HOP_BAO_GIA'!P130)</f>
        <v/>
      </c>
      <c r="M137" s="137">
        <f>'00_TONG_HOP_BAO_GIA'!L130 * (1 + '00_TONG_HOP_BAO_GIA'!P130)</f>
        <v/>
      </c>
      <c r="N137" s="137">
        <f>'00_TONG_HOP_BAO_GIA'!R130</f>
        <v/>
      </c>
      <c r="O137" s="139">
        <f>IF(K137=0, "CẢNH BÁO: Đơn giá = 0. Tra cứu lại Sheet 06!", '00_TONG_HOP_BAO_GIA'!S130)</f>
        <v/>
      </c>
    </row>
    <row r="138" outlineLevel="1">
      <c r="A138" s="141">
        <f>SUBTOTAL(3,$G$7:G138)</f>
        <v/>
      </c>
      <c r="B138" s="139" t="inlineStr">
        <is>
          <t>Miệng gió tạo áp PAG 300x300+OBD</t>
        </is>
      </c>
      <c r="C138" s="134" t="n"/>
      <c r="D138" s="134" t="inlineStr">
        <is>
          <t>NSCA, Evegreen, Swind, tđ</t>
        </is>
      </c>
      <c r="E138" s="134" t="n"/>
      <c r="F138" s="329" t="n"/>
      <c r="G138" s="383" t="inlineStr">
        <is>
          <t>Cái</t>
        </is>
      </c>
      <c r="H138" s="136" t="n">
        <v>8</v>
      </c>
      <c r="I138" s="136">
        <f>IF('00_TONG_HOP_BAO_GIA'!G131&gt;0, ('00_TONG_HOP_BAO_GIA'!K131 + '00_TONG_HOP_BAO_GIA'!M131) * (1 + '00_TONG_HOP_BAO_GIA'!P131) / '00_TONG_HOP_BAO_GIA'!G131, 0)</f>
        <v/>
      </c>
      <c r="J138" s="136">
        <f>IF('00_TONG_HOP_BAO_GIA'!G131&gt;0, '00_TONG_HOP_BAO_GIA'!L131 * (1 + '00_TONG_HOP_BAO_GIA'!P131) / '00_TONG_HOP_BAO_GIA'!G131, 0)</f>
        <v/>
      </c>
      <c r="K138" s="137">
        <f>'00_TONG_HOP_BAO_GIA'!Q131</f>
        <v/>
      </c>
      <c r="L138" s="137">
        <f>('00_TONG_HOP_BAO_GIA'!K131 + '00_TONG_HOP_BAO_GIA'!M131) * (1 + '00_TONG_HOP_BAO_GIA'!P131)</f>
        <v/>
      </c>
      <c r="M138" s="137">
        <f>'00_TONG_HOP_BAO_GIA'!L131 * (1 + '00_TONG_HOP_BAO_GIA'!P131)</f>
        <v/>
      </c>
      <c r="N138" s="137">
        <f>'00_TONG_HOP_BAO_GIA'!R131</f>
        <v/>
      </c>
      <c r="O138" s="139">
        <f>IF(K138=0, "CẢNH BÁO: Đơn giá = 0. Tra cứu lại Sheet 06!", '00_TONG_HOP_BAO_GIA'!S131)</f>
        <v/>
      </c>
    </row>
    <row r="139" outlineLevel="1">
      <c r="A139" s="141">
        <f>SUBTOTAL(3,$G$7:G139)</f>
        <v/>
      </c>
      <c r="B139" s="139" t="inlineStr">
        <is>
          <t>Miệng gió tạo áp PAG 500x200+OBD</t>
        </is>
      </c>
      <c r="C139" s="134" t="n"/>
      <c r="D139" s="134" t="inlineStr">
        <is>
          <t>NSCA, Evegreen, Swind, tđ</t>
        </is>
      </c>
      <c r="E139" s="134" t="n"/>
      <c r="F139" s="329" t="n"/>
      <c r="G139" s="383" t="inlineStr">
        <is>
          <t>Cái</t>
        </is>
      </c>
      <c r="H139" s="136" t="n">
        <v>3</v>
      </c>
      <c r="I139" s="136">
        <f>IF('00_TONG_HOP_BAO_GIA'!G132&gt;0, ('00_TONG_HOP_BAO_GIA'!K132 + '00_TONG_HOP_BAO_GIA'!M132) * (1 + '00_TONG_HOP_BAO_GIA'!P132) / '00_TONG_HOP_BAO_GIA'!G132, 0)</f>
        <v/>
      </c>
      <c r="J139" s="136">
        <f>IF('00_TONG_HOP_BAO_GIA'!G132&gt;0, '00_TONG_HOP_BAO_GIA'!L132 * (1 + '00_TONG_HOP_BAO_GIA'!P132) / '00_TONG_HOP_BAO_GIA'!G132, 0)</f>
        <v/>
      </c>
      <c r="K139" s="137">
        <f>'00_TONG_HOP_BAO_GIA'!Q132</f>
        <v/>
      </c>
      <c r="L139" s="137">
        <f>('00_TONG_HOP_BAO_GIA'!K132 + '00_TONG_HOP_BAO_GIA'!M132) * (1 + '00_TONG_HOP_BAO_GIA'!P132)</f>
        <v/>
      </c>
      <c r="M139" s="137">
        <f>'00_TONG_HOP_BAO_GIA'!L132 * (1 + '00_TONG_HOP_BAO_GIA'!P132)</f>
        <v/>
      </c>
      <c r="N139" s="137">
        <f>'00_TONG_HOP_BAO_GIA'!R132</f>
        <v/>
      </c>
      <c r="O139" s="139">
        <f>IF(K139=0, "CẢNH BÁO: Đơn giá = 0. Tra cứu lại Sheet 06!", '00_TONG_HOP_BAO_GIA'!S132)</f>
        <v/>
      </c>
    </row>
    <row r="140" outlineLevel="1">
      <c r="A140" s="141">
        <f>SUBTOTAL(3,$G$7:G140)</f>
        <v/>
      </c>
      <c r="B140" s="139" t="inlineStr">
        <is>
          <t>Miệng gió tạo áp PAG1400x800+OBD</t>
        </is>
      </c>
      <c r="C140" s="134" t="n"/>
      <c r="D140" s="134" t="inlineStr">
        <is>
          <t>NSCA, Evegreen, Swind, tđ</t>
        </is>
      </c>
      <c r="E140" s="134" t="n"/>
      <c r="F140" s="329" t="n"/>
      <c r="G140" s="383" t="inlineStr">
        <is>
          <t>Cái</t>
        </is>
      </c>
      <c r="H140" s="136" t="n">
        <v>49</v>
      </c>
      <c r="I140" s="136">
        <f>IF('00_TONG_HOP_BAO_GIA'!G133&gt;0, ('00_TONG_HOP_BAO_GIA'!K133 + '00_TONG_HOP_BAO_GIA'!M133) * (1 + '00_TONG_HOP_BAO_GIA'!P133) / '00_TONG_HOP_BAO_GIA'!G133, 0)</f>
        <v/>
      </c>
      <c r="J140" s="136">
        <f>IF('00_TONG_HOP_BAO_GIA'!G133&gt;0, '00_TONG_HOP_BAO_GIA'!L133 * (1 + '00_TONG_HOP_BAO_GIA'!P133) / '00_TONG_HOP_BAO_GIA'!G133, 0)</f>
        <v/>
      </c>
      <c r="K140" s="137">
        <f>'00_TONG_HOP_BAO_GIA'!Q133</f>
        <v/>
      </c>
      <c r="L140" s="137">
        <f>('00_TONG_HOP_BAO_GIA'!K133 + '00_TONG_HOP_BAO_GIA'!M133) * (1 + '00_TONG_HOP_BAO_GIA'!P133)</f>
        <v/>
      </c>
      <c r="M140" s="137">
        <f>'00_TONG_HOP_BAO_GIA'!L133 * (1 + '00_TONG_HOP_BAO_GIA'!P133)</f>
        <v/>
      </c>
      <c r="N140" s="137">
        <f>'00_TONG_HOP_BAO_GIA'!R133</f>
        <v/>
      </c>
      <c r="O140" s="139">
        <f>IF(K140=0, "CẢNH BÁO: Đơn giá = 0. Tra cứu lại Sheet 06!", '00_TONG_HOP_BAO_GIA'!S133)</f>
        <v/>
      </c>
    </row>
    <row r="141" outlineLevel="1">
      <c r="A141" s="141">
        <f>SUBTOTAL(3,$G$7:G141)</f>
        <v/>
      </c>
      <c r="B141" s="139" t="inlineStr">
        <is>
          <t>Miệng gió tạo áp PAG 900x350+OBD</t>
        </is>
      </c>
      <c r="C141" s="134" t="n"/>
      <c r="D141" s="134" t="inlineStr">
        <is>
          <t>NSCA, Evegreen, Swind, tđ</t>
        </is>
      </c>
      <c r="E141" s="134" t="n"/>
      <c r="F141" s="329" t="n"/>
      <c r="G141" s="383" t="inlineStr">
        <is>
          <t>Cái</t>
        </is>
      </c>
      <c r="H141" s="136" t="n">
        <v>18</v>
      </c>
      <c r="I141" s="136">
        <f>IF('00_TONG_HOP_BAO_GIA'!G134&gt;0, ('00_TONG_HOP_BAO_GIA'!K134 + '00_TONG_HOP_BAO_GIA'!M134) * (1 + '00_TONG_HOP_BAO_GIA'!P134) / '00_TONG_HOP_BAO_GIA'!G134, 0)</f>
        <v/>
      </c>
      <c r="J141" s="136">
        <f>IF('00_TONG_HOP_BAO_GIA'!G134&gt;0, '00_TONG_HOP_BAO_GIA'!L134 * (1 + '00_TONG_HOP_BAO_GIA'!P134) / '00_TONG_HOP_BAO_GIA'!G134, 0)</f>
        <v/>
      </c>
      <c r="K141" s="137">
        <f>'00_TONG_HOP_BAO_GIA'!Q134</f>
        <v/>
      </c>
      <c r="L141" s="137">
        <f>('00_TONG_HOP_BAO_GIA'!K134 + '00_TONG_HOP_BAO_GIA'!M134) * (1 + '00_TONG_HOP_BAO_GIA'!P134)</f>
        <v/>
      </c>
      <c r="M141" s="137">
        <f>'00_TONG_HOP_BAO_GIA'!L134 * (1 + '00_TONG_HOP_BAO_GIA'!P134)</f>
        <v/>
      </c>
      <c r="N141" s="137">
        <f>'00_TONG_HOP_BAO_GIA'!R134</f>
        <v/>
      </c>
      <c r="O141" s="139">
        <f>IF(K141=0, "CẢNH BÁO: Đơn giá = 0. Tra cứu lại Sheet 06!", '00_TONG_HOP_BAO_GIA'!S134)</f>
        <v/>
      </c>
    </row>
    <row r="142" outlineLevel="1">
      <c r="A142" s="141">
        <f>SUBTOTAL(3,$G$7:G142)</f>
        <v/>
      </c>
      <c r="B142" s="139" t="inlineStr">
        <is>
          <t>Miệng gió tạo áp PAG 350x600+OBD</t>
        </is>
      </c>
      <c r="C142" s="134" t="n"/>
      <c r="D142" s="134" t="inlineStr">
        <is>
          <t>NSCA, Evegreen, Swind, tđ</t>
        </is>
      </c>
      <c r="E142" s="134" t="n"/>
      <c r="F142" s="329" t="n"/>
      <c r="G142" s="383" t="inlineStr">
        <is>
          <t>Cái</t>
        </is>
      </c>
      <c r="H142" s="136" t="n">
        <v>13</v>
      </c>
      <c r="I142" s="136">
        <f>IF('00_TONG_HOP_BAO_GIA'!G135&gt;0, ('00_TONG_HOP_BAO_GIA'!K135 + '00_TONG_HOP_BAO_GIA'!M135) * (1 + '00_TONG_HOP_BAO_GIA'!P135) / '00_TONG_HOP_BAO_GIA'!G135, 0)</f>
        <v/>
      </c>
      <c r="J142" s="136">
        <f>IF('00_TONG_HOP_BAO_GIA'!G135&gt;0, '00_TONG_HOP_BAO_GIA'!L135 * (1 + '00_TONG_HOP_BAO_GIA'!P135) / '00_TONG_HOP_BAO_GIA'!G135, 0)</f>
        <v/>
      </c>
      <c r="K142" s="137">
        <f>'00_TONG_HOP_BAO_GIA'!Q135</f>
        <v/>
      </c>
      <c r="L142" s="137">
        <f>('00_TONG_HOP_BAO_GIA'!K135 + '00_TONG_HOP_BAO_GIA'!M135) * (1 + '00_TONG_HOP_BAO_GIA'!P135)</f>
        <v/>
      </c>
      <c r="M142" s="137">
        <f>'00_TONG_HOP_BAO_GIA'!L135 * (1 + '00_TONG_HOP_BAO_GIA'!P135)</f>
        <v/>
      </c>
      <c r="N142" s="137">
        <f>'00_TONG_HOP_BAO_GIA'!R135</f>
        <v/>
      </c>
      <c r="O142" s="139">
        <f>IF(K142=0, "CẢNH BÁO: Đơn giá = 0. Tra cứu lại Sheet 06!", '00_TONG_HOP_BAO_GIA'!S135)</f>
        <v/>
      </c>
    </row>
    <row r="143" outlineLevel="1">
      <c r="A143" s="141">
        <f>SUBTOTAL(3,$G$7:G143)</f>
        <v/>
      </c>
      <c r="B143" s="139" t="inlineStr">
        <is>
          <t>Miệng gió tạo áp PAG 800x400 OBD</t>
        </is>
      </c>
      <c r="C143" s="134" t="n"/>
      <c r="D143" s="134" t="inlineStr">
        <is>
          <t>NSCA, Evegreen, Swind, tđ</t>
        </is>
      </c>
      <c r="E143" s="134" t="n"/>
      <c r="F143" s="329" t="n"/>
      <c r="G143" s="383" t="inlineStr">
        <is>
          <t>Cái</t>
        </is>
      </c>
      <c r="H143" s="136" t="n">
        <v>7</v>
      </c>
      <c r="I143" s="136">
        <f>IF('00_TONG_HOP_BAO_GIA'!G136&gt;0, ('00_TONG_HOP_BAO_GIA'!K136 + '00_TONG_HOP_BAO_GIA'!M136) * (1 + '00_TONG_HOP_BAO_GIA'!P136) / '00_TONG_HOP_BAO_GIA'!G136, 0)</f>
        <v/>
      </c>
      <c r="J143" s="136">
        <f>IF('00_TONG_HOP_BAO_GIA'!G136&gt;0, '00_TONG_HOP_BAO_GIA'!L136 * (1 + '00_TONG_HOP_BAO_GIA'!P136) / '00_TONG_HOP_BAO_GIA'!G136, 0)</f>
        <v/>
      </c>
      <c r="K143" s="137">
        <f>'00_TONG_HOP_BAO_GIA'!Q136</f>
        <v/>
      </c>
      <c r="L143" s="137">
        <f>('00_TONG_HOP_BAO_GIA'!K136 + '00_TONG_HOP_BAO_GIA'!M136) * (1 + '00_TONG_HOP_BAO_GIA'!P136)</f>
        <v/>
      </c>
      <c r="M143" s="137">
        <f>'00_TONG_HOP_BAO_GIA'!L136 * (1 + '00_TONG_HOP_BAO_GIA'!P136)</f>
        <v/>
      </c>
      <c r="N143" s="137">
        <f>'00_TONG_HOP_BAO_GIA'!R136</f>
        <v/>
      </c>
      <c r="O143" s="139">
        <f>IF(K143=0, "CẢNH BÁO: Đơn giá = 0. Tra cứu lại Sheet 06!", '00_TONG_HOP_BAO_GIA'!S136)</f>
        <v/>
      </c>
    </row>
    <row r="144" outlineLevel="1">
      <c r="A144" s="141">
        <f>SUBTOTAL(3,$G$7:G144)</f>
        <v/>
      </c>
      <c r="B144" s="139" t="inlineStr">
        <is>
          <t>Miệng gió tạo áp PAG 700x400 OBD</t>
        </is>
      </c>
      <c r="C144" s="134" t="n"/>
      <c r="D144" s="134" t="inlineStr">
        <is>
          <t>NSCA, Evegreen, Swind, tđ</t>
        </is>
      </c>
      <c r="E144" s="134" t="n"/>
      <c r="F144" s="329" t="n"/>
      <c r="G144" s="383" t="inlineStr">
        <is>
          <t>Cái</t>
        </is>
      </c>
      <c r="H144" s="136" t="n">
        <v>17</v>
      </c>
      <c r="I144" s="136">
        <f>IF('00_TONG_HOP_BAO_GIA'!G137&gt;0, ('00_TONG_HOP_BAO_GIA'!K137 + '00_TONG_HOP_BAO_GIA'!M137) * (1 + '00_TONG_HOP_BAO_GIA'!P137) / '00_TONG_HOP_BAO_GIA'!G137, 0)</f>
        <v/>
      </c>
      <c r="J144" s="136">
        <f>IF('00_TONG_HOP_BAO_GIA'!G137&gt;0, '00_TONG_HOP_BAO_GIA'!L137 * (1 + '00_TONG_HOP_BAO_GIA'!P137) / '00_TONG_HOP_BAO_GIA'!G137, 0)</f>
        <v/>
      </c>
      <c r="K144" s="137">
        <f>'00_TONG_HOP_BAO_GIA'!Q137</f>
        <v/>
      </c>
      <c r="L144" s="137">
        <f>('00_TONG_HOP_BAO_GIA'!K137 + '00_TONG_HOP_BAO_GIA'!M137) * (1 + '00_TONG_HOP_BAO_GIA'!P137)</f>
        <v/>
      </c>
      <c r="M144" s="137">
        <f>'00_TONG_HOP_BAO_GIA'!L137 * (1 + '00_TONG_HOP_BAO_GIA'!P137)</f>
        <v/>
      </c>
      <c r="N144" s="137">
        <f>'00_TONG_HOP_BAO_GIA'!R137</f>
        <v/>
      </c>
      <c r="O144" s="139">
        <f>IF(K144=0, "CẢNH BÁO: Đơn giá = 0. Tra cứu lại Sheet 06!", '00_TONG_HOP_BAO_GIA'!S137)</f>
        <v/>
      </c>
    </row>
    <row r="145" outlineLevel="1">
      <c r="A145" s="141">
        <f>SUBTOTAL(3,$G$7:G145)</f>
        <v/>
      </c>
      <c r="B145" s="139" t="inlineStr">
        <is>
          <t>Louver 1750x500+IS</t>
        </is>
      </c>
      <c r="C145" s="134" t="n"/>
      <c r="D145" s="134" t="inlineStr">
        <is>
          <t>NSCA, Evegreen, Swind, tđ</t>
        </is>
      </c>
      <c r="E145" s="134" t="n"/>
      <c r="F145" s="329" t="n"/>
      <c r="G145" s="383" t="inlineStr">
        <is>
          <t>Cái</t>
        </is>
      </c>
      <c r="H145" s="136" t="n">
        <v>3</v>
      </c>
      <c r="I145" s="136">
        <f>IF('00_TONG_HOP_BAO_GIA'!G138&gt;0, ('00_TONG_HOP_BAO_GIA'!K138 + '00_TONG_HOP_BAO_GIA'!M138) * (1 + '00_TONG_HOP_BAO_GIA'!P138) / '00_TONG_HOP_BAO_GIA'!G138, 0)</f>
        <v/>
      </c>
      <c r="J145" s="136">
        <f>IF('00_TONG_HOP_BAO_GIA'!G138&gt;0, '00_TONG_HOP_BAO_GIA'!L138 * (1 + '00_TONG_HOP_BAO_GIA'!P138) / '00_TONG_HOP_BAO_GIA'!G138, 0)</f>
        <v/>
      </c>
      <c r="K145" s="137">
        <f>'00_TONG_HOP_BAO_GIA'!Q138</f>
        <v/>
      </c>
      <c r="L145" s="137">
        <f>('00_TONG_HOP_BAO_GIA'!K138 + '00_TONG_HOP_BAO_GIA'!M138) * (1 + '00_TONG_HOP_BAO_GIA'!P138)</f>
        <v/>
      </c>
      <c r="M145" s="137">
        <f>'00_TONG_HOP_BAO_GIA'!L138 * (1 + '00_TONG_HOP_BAO_GIA'!P138)</f>
        <v/>
      </c>
      <c r="N145" s="137">
        <f>'00_TONG_HOP_BAO_GIA'!R138</f>
        <v/>
      </c>
      <c r="O145" s="139">
        <f>IF(K145=0, "CẢNH BÁO: Đơn giá = 0. Tra cứu lại Sheet 06!", '00_TONG_HOP_BAO_GIA'!S138)</f>
        <v/>
      </c>
    </row>
    <row r="146" outlineLevel="1">
      <c r="A146" s="141">
        <f>SUBTOTAL(3,$G$7:G146)</f>
        <v/>
      </c>
      <c r="B146" s="139" t="inlineStr">
        <is>
          <t>Louver 1500x1000+IS</t>
        </is>
      </c>
      <c r="C146" s="134" t="n"/>
      <c r="D146" s="134" t="inlineStr">
        <is>
          <t>NSCA, Evegreen, Swind, tđ</t>
        </is>
      </c>
      <c r="E146" s="134" t="n"/>
      <c r="F146" s="329" t="n"/>
      <c r="G146" s="383" t="inlineStr">
        <is>
          <t>Cái</t>
        </is>
      </c>
      <c r="H146" s="136" t="n">
        <v>2</v>
      </c>
      <c r="I146" s="136">
        <f>IF('00_TONG_HOP_BAO_GIA'!G139&gt;0, ('00_TONG_HOP_BAO_GIA'!K139 + '00_TONG_HOP_BAO_GIA'!M139) * (1 + '00_TONG_HOP_BAO_GIA'!P139) / '00_TONG_HOP_BAO_GIA'!G139, 0)</f>
        <v/>
      </c>
      <c r="J146" s="136">
        <f>IF('00_TONG_HOP_BAO_GIA'!G139&gt;0, '00_TONG_HOP_BAO_GIA'!L139 * (1 + '00_TONG_HOP_BAO_GIA'!P139) / '00_TONG_HOP_BAO_GIA'!G139, 0)</f>
        <v/>
      </c>
      <c r="K146" s="137">
        <f>'00_TONG_HOP_BAO_GIA'!Q139</f>
        <v/>
      </c>
      <c r="L146" s="137">
        <f>('00_TONG_HOP_BAO_GIA'!K139 + '00_TONG_HOP_BAO_GIA'!M139) * (1 + '00_TONG_HOP_BAO_GIA'!P139)</f>
        <v/>
      </c>
      <c r="M146" s="137">
        <f>'00_TONG_HOP_BAO_GIA'!L139 * (1 + '00_TONG_HOP_BAO_GIA'!P139)</f>
        <v/>
      </c>
      <c r="N146" s="137">
        <f>'00_TONG_HOP_BAO_GIA'!R139</f>
        <v/>
      </c>
      <c r="O146" s="139">
        <f>IF(K146=0, "CẢNH BÁO: Đơn giá = 0. Tra cứu lại Sheet 06!", '00_TONG_HOP_BAO_GIA'!S139)</f>
        <v/>
      </c>
    </row>
    <row r="147" outlineLevel="1">
      <c r="A147" s="141">
        <f>SUBTOTAL(3,$G$7:G147)</f>
        <v/>
      </c>
      <c r="B147" s="139" t="inlineStr">
        <is>
          <t>Louver 3500x1000+IS</t>
        </is>
      </c>
      <c r="C147" s="134" t="n"/>
      <c r="D147" s="134" t="inlineStr">
        <is>
          <t>NSCA, Evegreen, Swind, tđ</t>
        </is>
      </c>
      <c r="E147" s="134" t="n"/>
      <c r="F147" s="329" t="n"/>
      <c r="G147" s="383" t="inlineStr">
        <is>
          <t>Cái</t>
        </is>
      </c>
      <c r="H147" s="136" t="n">
        <v>1</v>
      </c>
      <c r="I147" s="136">
        <f>IF('00_TONG_HOP_BAO_GIA'!G140&gt;0, ('00_TONG_HOP_BAO_GIA'!K140 + '00_TONG_HOP_BAO_GIA'!M140) * (1 + '00_TONG_HOP_BAO_GIA'!P140) / '00_TONG_HOP_BAO_GIA'!G140, 0)</f>
        <v/>
      </c>
      <c r="J147" s="136">
        <f>IF('00_TONG_HOP_BAO_GIA'!G140&gt;0, '00_TONG_HOP_BAO_GIA'!L140 * (1 + '00_TONG_HOP_BAO_GIA'!P140) / '00_TONG_HOP_BAO_GIA'!G140, 0)</f>
        <v/>
      </c>
      <c r="K147" s="137">
        <f>'00_TONG_HOP_BAO_GIA'!Q140</f>
        <v/>
      </c>
      <c r="L147" s="137">
        <f>('00_TONG_HOP_BAO_GIA'!K140 + '00_TONG_HOP_BAO_GIA'!M140) * (1 + '00_TONG_HOP_BAO_GIA'!P140)</f>
        <v/>
      </c>
      <c r="M147" s="137">
        <f>'00_TONG_HOP_BAO_GIA'!L140 * (1 + '00_TONG_HOP_BAO_GIA'!P140)</f>
        <v/>
      </c>
      <c r="N147" s="137">
        <f>'00_TONG_HOP_BAO_GIA'!R140</f>
        <v/>
      </c>
      <c r="O147" s="139">
        <f>IF(K147=0, "CẢNH BÁO: Đơn giá = 0. Tra cứu lại Sheet 06!", '00_TONG_HOP_BAO_GIA'!S140)</f>
        <v/>
      </c>
    </row>
    <row r="148" outlineLevel="1">
      <c r="A148" s="141">
        <f>SUBTOTAL(3,$G$7:G148)</f>
        <v/>
      </c>
      <c r="B148" s="139" t="inlineStr">
        <is>
          <t>Vật tư phụ, phụ kiện</t>
        </is>
      </c>
      <c r="C148" s="134" t="n"/>
      <c r="D148" s="134" t="n"/>
      <c r="E148" s="134" t="n"/>
      <c r="F148" s="329" t="n"/>
      <c r="G148" s="383" t="inlineStr">
        <is>
          <t>Lô</t>
        </is>
      </c>
      <c r="H148" s="136" t="n">
        <v>1</v>
      </c>
      <c r="I148" s="136">
        <f>IF('00_TONG_HOP_BAO_GIA'!G141&gt;0, ('00_TONG_HOP_BAO_GIA'!K141 + '00_TONG_HOP_BAO_GIA'!M141) * (1 + '00_TONG_HOP_BAO_GIA'!P141) / '00_TONG_HOP_BAO_GIA'!G141, 0)</f>
        <v/>
      </c>
      <c r="J148" s="136">
        <f>IF('00_TONG_HOP_BAO_GIA'!G141&gt;0, '00_TONG_HOP_BAO_GIA'!L141 * (1 + '00_TONG_HOP_BAO_GIA'!P141) / '00_TONG_HOP_BAO_GIA'!G141, 0)</f>
        <v/>
      </c>
      <c r="K148" s="137">
        <f>'00_TONG_HOP_BAO_GIA'!Q141</f>
        <v/>
      </c>
      <c r="L148" s="137">
        <f>('00_TONG_HOP_BAO_GIA'!K141 + '00_TONG_HOP_BAO_GIA'!M141) * (1 + '00_TONG_HOP_BAO_GIA'!P141)</f>
        <v/>
      </c>
      <c r="M148" s="137">
        <f>'00_TONG_HOP_BAO_GIA'!L141 * (1 + '00_TONG_HOP_BAO_GIA'!P141)</f>
        <v/>
      </c>
      <c r="N148" s="137">
        <f>'00_TONG_HOP_BAO_GIA'!R141</f>
        <v/>
      </c>
      <c r="O148" s="139">
        <f>IF(K148=0, "CẢNH BÁO: Đơn giá = 0. Tra cứu lại Sheet 06!", '00_TONG_HOP_BAO_GIA'!S141)</f>
        <v/>
      </c>
    </row>
    <row r="149" outlineLevel="1">
      <c r="A149" s="141" t="n"/>
      <c r="B149" s="140" t="inlineStr">
        <is>
          <t>Hệ thống ống thông gió tạo áp, box miệng gió…</t>
        </is>
      </c>
      <c r="C149" s="134" t="n"/>
      <c r="D149" s="134" t="n"/>
      <c r="E149" s="134" t="n"/>
      <c r="F149" s="329" t="inlineStr">
        <is>
          <t>M</t>
        </is>
      </c>
      <c r="G149" s="383"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83" t="inlineStr">
        <is>
          <t>m2</t>
        </is>
      </c>
      <c r="H150" s="136" t="n">
        <v>1936.70125</v>
      </c>
      <c r="I150" s="136">
        <f>IF('00_TONG_HOP_BAO_GIA'!G142&gt;0, ('00_TONG_HOP_BAO_GIA'!K142 + '00_TONG_HOP_BAO_GIA'!M142) * (1 + '00_TONG_HOP_BAO_GIA'!P142) / '00_TONG_HOP_BAO_GIA'!G142, 0)</f>
        <v/>
      </c>
      <c r="J150" s="136">
        <f>IF('00_TONG_HOP_BAO_GIA'!G142&gt;0, '00_TONG_HOP_BAO_GIA'!L142 * (1 + '00_TONG_HOP_BAO_GIA'!P142) / '00_TONG_HOP_BAO_GIA'!G142, 0)</f>
        <v/>
      </c>
      <c r="K150" s="137">
        <f>'00_TONG_HOP_BAO_GIA'!Q142</f>
        <v/>
      </c>
      <c r="L150" s="137">
        <f>('00_TONG_HOP_BAO_GIA'!K142 + '00_TONG_HOP_BAO_GIA'!M142) * (1 + '00_TONG_HOP_BAO_GIA'!P142)</f>
        <v/>
      </c>
      <c r="M150" s="137">
        <f>'00_TONG_HOP_BAO_GIA'!L142 * (1 + '00_TONG_HOP_BAO_GIA'!P142)</f>
        <v/>
      </c>
      <c r="N150" s="137">
        <f>'00_TONG_HOP_BAO_GIA'!R142</f>
        <v/>
      </c>
      <c r="O150" s="139">
        <f>IF(K150=0, "CẢNH BÁO: Đơn giá = 0. Tra cứu lại Sheet 06!", '00_TONG_HOP_BAO_GIA'!S142)</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83" t="inlineStr">
        <is>
          <t>m2</t>
        </is>
      </c>
      <c r="H151" s="136" t="n">
        <v>1588.05</v>
      </c>
      <c r="I151" s="136">
        <f>IF('00_TONG_HOP_BAO_GIA'!G143&gt;0, ('00_TONG_HOP_BAO_GIA'!K143 + '00_TONG_HOP_BAO_GIA'!M143) * (1 + '00_TONG_HOP_BAO_GIA'!P143) / '00_TONG_HOP_BAO_GIA'!G143, 0)</f>
        <v/>
      </c>
      <c r="J151" s="136">
        <f>IF('00_TONG_HOP_BAO_GIA'!G143&gt;0, '00_TONG_HOP_BAO_GIA'!L143 * (1 + '00_TONG_HOP_BAO_GIA'!P143) / '00_TONG_HOP_BAO_GIA'!G143, 0)</f>
        <v/>
      </c>
      <c r="K151" s="137">
        <f>'00_TONG_HOP_BAO_GIA'!Q143</f>
        <v/>
      </c>
      <c r="L151" s="137">
        <f>('00_TONG_HOP_BAO_GIA'!K143 + '00_TONG_HOP_BAO_GIA'!M143) * (1 + '00_TONG_HOP_BAO_GIA'!P143)</f>
        <v/>
      </c>
      <c r="M151" s="137">
        <f>'00_TONG_HOP_BAO_GIA'!L143 * (1 + '00_TONG_HOP_BAO_GIA'!P143)</f>
        <v/>
      </c>
      <c r="N151" s="137">
        <f>'00_TONG_HOP_BAO_GIA'!R143</f>
        <v/>
      </c>
      <c r="O151" s="139">
        <f>IF(K151=0, "CẢNH BÁO: Đơn giá = 0. Tra cứu lại Sheet 06!", '00_TONG_HOP_BAO_GIA'!S143)</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83" t="inlineStr">
        <is>
          <t>m2</t>
        </is>
      </c>
      <c r="H152" s="136" t="n">
        <v>1681</v>
      </c>
      <c r="I152" s="136">
        <f>IF('00_TONG_HOP_BAO_GIA'!G144&gt;0, ('00_TONG_HOP_BAO_GIA'!K144 + '00_TONG_HOP_BAO_GIA'!M144) * (1 + '00_TONG_HOP_BAO_GIA'!P144) / '00_TONG_HOP_BAO_GIA'!G144, 0)</f>
        <v/>
      </c>
      <c r="J152" s="136">
        <f>IF('00_TONG_HOP_BAO_GIA'!G144&gt;0, '00_TONG_HOP_BAO_GIA'!L144 * (1 + '00_TONG_HOP_BAO_GIA'!P144) / '00_TONG_HOP_BAO_GIA'!G144, 0)</f>
        <v/>
      </c>
      <c r="K152" s="137">
        <f>'00_TONG_HOP_BAO_GIA'!Q144</f>
        <v/>
      </c>
      <c r="L152" s="137">
        <f>('00_TONG_HOP_BAO_GIA'!K144 + '00_TONG_HOP_BAO_GIA'!M144) * (1 + '00_TONG_HOP_BAO_GIA'!P144)</f>
        <v/>
      </c>
      <c r="M152" s="137">
        <f>'00_TONG_HOP_BAO_GIA'!L144 * (1 + '00_TONG_HOP_BAO_GIA'!P144)</f>
        <v/>
      </c>
      <c r="N152" s="137">
        <f>'00_TONG_HOP_BAO_GIA'!R144</f>
        <v/>
      </c>
      <c r="O152" s="139">
        <f>IF(K152=0, "CẢNH BÁO: Đơn giá = 0. Tra cứu lại Sheet 06!", '00_TONG_HOP_BAO_GIA'!S144)</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83" t="inlineStr">
        <is>
          <t>m2</t>
        </is>
      </c>
      <c r="H153" s="136" t="n">
        <v>380</v>
      </c>
      <c r="I153" s="136">
        <f>IF('00_TONG_HOP_BAO_GIA'!G145&gt;0, ('00_TONG_HOP_BAO_GIA'!K145 + '00_TONG_HOP_BAO_GIA'!M145) * (1 + '00_TONG_HOP_BAO_GIA'!P145) / '00_TONG_HOP_BAO_GIA'!G145, 0)</f>
        <v/>
      </c>
      <c r="J153" s="136">
        <f>IF('00_TONG_HOP_BAO_GIA'!G145&gt;0, '00_TONG_HOP_BAO_GIA'!L145 * (1 + '00_TONG_HOP_BAO_GIA'!P145) / '00_TONG_HOP_BAO_GIA'!G145, 0)</f>
        <v/>
      </c>
      <c r="K153" s="137">
        <f>'00_TONG_HOP_BAO_GIA'!Q145</f>
        <v/>
      </c>
      <c r="L153" s="137">
        <f>('00_TONG_HOP_BAO_GIA'!K145 + '00_TONG_HOP_BAO_GIA'!M145) * (1 + '00_TONG_HOP_BAO_GIA'!P145)</f>
        <v/>
      </c>
      <c r="M153" s="137">
        <f>'00_TONG_HOP_BAO_GIA'!L145 * (1 + '00_TONG_HOP_BAO_GIA'!P145)</f>
        <v/>
      </c>
      <c r="N153" s="137">
        <f>'00_TONG_HOP_BAO_GIA'!R145</f>
        <v/>
      </c>
      <c r="O153" s="139">
        <f>IF(K153=0, "CẢNH BÁO: Đơn giá = 0. Tra cứu lại Sheet 06!", '00_TONG_HOP_BAO_GIA'!S145)</f>
        <v/>
      </c>
    </row>
    <row r="154" outlineLevel="1">
      <c r="A154" s="141">
        <f>SUBTOTAL(3,$G$7:G154)</f>
        <v/>
      </c>
      <c r="B154" s="139" t="inlineStr">
        <is>
          <t>Lưới bảo vệ</t>
        </is>
      </c>
      <c r="C154" s="134" t="n"/>
      <c r="D154" s="134" t="n"/>
      <c r="E154" s="134" t="n"/>
      <c r="F154" s="329" t="n"/>
      <c r="G154" s="383" t="inlineStr">
        <is>
          <t>cái</t>
        </is>
      </c>
      <c r="H154" s="136" t="n">
        <v>10</v>
      </c>
      <c r="I154" s="136">
        <f>IF('00_TONG_HOP_BAO_GIA'!G146&gt;0, ('00_TONG_HOP_BAO_GIA'!K146 + '00_TONG_HOP_BAO_GIA'!M146) * (1 + '00_TONG_HOP_BAO_GIA'!P146) / '00_TONG_HOP_BAO_GIA'!G146, 0)</f>
        <v/>
      </c>
      <c r="J154" s="136">
        <f>IF('00_TONG_HOP_BAO_GIA'!G146&gt;0, '00_TONG_HOP_BAO_GIA'!L146 * (1 + '00_TONG_HOP_BAO_GIA'!P146) / '00_TONG_HOP_BAO_GIA'!G146, 0)</f>
        <v/>
      </c>
      <c r="K154" s="137">
        <f>'00_TONG_HOP_BAO_GIA'!Q146</f>
        <v/>
      </c>
      <c r="L154" s="137">
        <f>('00_TONG_HOP_BAO_GIA'!K146 + '00_TONG_HOP_BAO_GIA'!M146) * (1 + '00_TONG_HOP_BAO_GIA'!P146)</f>
        <v/>
      </c>
      <c r="M154" s="137">
        <f>'00_TONG_HOP_BAO_GIA'!L146 * (1 + '00_TONG_HOP_BAO_GIA'!P146)</f>
        <v/>
      </c>
      <c r="N154" s="137">
        <f>'00_TONG_HOP_BAO_GIA'!R146</f>
        <v/>
      </c>
      <c r="O154" s="139">
        <f>IF(K154=0, "CẢNH BÁO: Đơn giá = 0. Tra cứu lại Sheet 06!", '00_TONG_HOP_BAO_GIA'!S146)</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83" t="inlineStr">
        <is>
          <t>m2</t>
        </is>
      </c>
      <c r="H155" s="136" t="n">
        <v>1805.9</v>
      </c>
      <c r="I155" s="136">
        <f>IF('00_TONG_HOP_BAO_GIA'!G147&gt;0, ('00_TONG_HOP_BAO_GIA'!K147 + '00_TONG_HOP_BAO_GIA'!M147) * (1 + '00_TONG_HOP_BAO_GIA'!P147) / '00_TONG_HOP_BAO_GIA'!G147, 0)</f>
        <v/>
      </c>
      <c r="J155" s="136">
        <f>IF('00_TONG_HOP_BAO_GIA'!G147&gt;0, '00_TONG_HOP_BAO_GIA'!L147 * (1 + '00_TONG_HOP_BAO_GIA'!P147) / '00_TONG_HOP_BAO_GIA'!G147, 0)</f>
        <v/>
      </c>
      <c r="K155" s="137">
        <f>'00_TONG_HOP_BAO_GIA'!Q147</f>
        <v/>
      </c>
      <c r="L155" s="137">
        <f>('00_TONG_HOP_BAO_GIA'!K147 + '00_TONG_HOP_BAO_GIA'!M147) * (1 + '00_TONG_HOP_BAO_GIA'!P147)</f>
        <v/>
      </c>
      <c r="M155" s="137">
        <f>'00_TONG_HOP_BAO_GIA'!L147 * (1 + '00_TONG_HOP_BAO_GIA'!P147)</f>
        <v/>
      </c>
      <c r="N155" s="137">
        <f>'00_TONG_HOP_BAO_GIA'!R147</f>
        <v/>
      </c>
      <c r="O155" s="139">
        <f>IF(K155=0, "CẢNH BÁO: Đơn giá = 0. Tra cứu lại Sheet 06!", '00_TONG_HOP_BAO_GIA'!S147)</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83" t="inlineStr">
        <is>
          <t>m2</t>
        </is>
      </c>
      <c r="H156" s="136" t="n">
        <v>1347.3</v>
      </c>
      <c r="I156" s="136">
        <f>IF('00_TONG_HOP_BAO_GIA'!G148&gt;0, ('00_TONG_HOP_BAO_GIA'!K148 + '00_TONG_HOP_BAO_GIA'!M148) * (1 + '00_TONG_HOP_BAO_GIA'!P148) / '00_TONG_HOP_BAO_GIA'!G148, 0)</f>
        <v/>
      </c>
      <c r="J156" s="136">
        <f>IF('00_TONG_HOP_BAO_GIA'!G148&gt;0, '00_TONG_HOP_BAO_GIA'!L148 * (1 + '00_TONG_HOP_BAO_GIA'!P148) / '00_TONG_HOP_BAO_GIA'!G148, 0)</f>
        <v/>
      </c>
      <c r="K156" s="137">
        <f>'00_TONG_HOP_BAO_GIA'!Q148</f>
        <v/>
      </c>
      <c r="L156" s="137">
        <f>('00_TONG_HOP_BAO_GIA'!K148 + '00_TONG_HOP_BAO_GIA'!M148) * (1 + '00_TONG_HOP_BAO_GIA'!P148)</f>
        <v/>
      </c>
      <c r="M156" s="137">
        <f>'00_TONG_HOP_BAO_GIA'!L148 * (1 + '00_TONG_HOP_BAO_GIA'!P148)</f>
        <v/>
      </c>
      <c r="N156" s="137">
        <f>'00_TONG_HOP_BAO_GIA'!R148</f>
        <v/>
      </c>
      <c r="O156" s="139">
        <f>IF(K156=0, "CẢNH BÁO: Đơn giá = 0. Tra cứu lại Sheet 06!", '00_TONG_HOP_BAO_GIA'!S148)</f>
        <v/>
      </c>
    </row>
    <row r="157" outlineLevel="1">
      <c r="A157" s="141">
        <f>SUBTOTAL(3,$G$7:G157)</f>
        <v/>
      </c>
      <c r="B157" s="139" t="inlineStr">
        <is>
          <t>Vật tư phụ, phụ kiện</t>
        </is>
      </c>
      <c r="C157" s="134" t="n"/>
      <c r="D157" s="134" t="n"/>
      <c r="E157" s="134" t="n"/>
      <c r="F157" s="329" t="n"/>
      <c r="G157" s="383" t="inlineStr">
        <is>
          <t>Lô</t>
        </is>
      </c>
      <c r="H157" s="136" t="n">
        <v>1</v>
      </c>
      <c r="I157" s="136">
        <f>IF('00_TONG_HOP_BAO_GIA'!G149&gt;0, ('00_TONG_HOP_BAO_GIA'!K149 + '00_TONG_HOP_BAO_GIA'!M149) * (1 + '00_TONG_HOP_BAO_GIA'!P149) / '00_TONG_HOP_BAO_GIA'!G149, 0)</f>
        <v/>
      </c>
      <c r="J157" s="136">
        <f>IF('00_TONG_HOP_BAO_GIA'!G149&gt;0, '00_TONG_HOP_BAO_GIA'!L149 * (1 + '00_TONG_HOP_BAO_GIA'!P149) / '00_TONG_HOP_BAO_GIA'!G149, 0)</f>
        <v/>
      </c>
      <c r="K157" s="137">
        <f>'00_TONG_HOP_BAO_GIA'!Q149</f>
        <v/>
      </c>
      <c r="L157" s="137">
        <f>('00_TONG_HOP_BAO_GIA'!K149 + '00_TONG_HOP_BAO_GIA'!M149) * (1 + '00_TONG_HOP_BAO_GIA'!P149)</f>
        <v/>
      </c>
      <c r="M157" s="137">
        <f>'00_TONG_HOP_BAO_GIA'!L149 * (1 + '00_TONG_HOP_BAO_GIA'!P149)</f>
        <v/>
      </c>
      <c r="N157" s="137">
        <f>'00_TONG_HOP_BAO_GIA'!R149</f>
        <v/>
      </c>
      <c r="O157" s="139">
        <f>IF(K157=0, "CẢNH BÁO: Đơn giá = 0. Tra cứu lại Sheet 06!", '00_TONG_HOP_BAO_GIA'!S149)</f>
        <v/>
      </c>
    </row>
    <row r="158" outlineLevel="1" ht="19.8" customHeight="1">
      <c r="A158" s="132" t="inlineStr">
        <is>
          <t>A3</t>
        </is>
      </c>
      <c r="B158" s="140" t="inlineStr">
        <is>
          <t>HỆ THỐNG CẤP GIÓ TƯƠI, GIÓ BÙ</t>
        </is>
      </c>
      <c r="C158" s="134" t="n"/>
      <c r="D158" s="134" t="n"/>
      <c r="E158" s="134" t="n"/>
      <c r="F158" s="329" t="inlineStr">
        <is>
          <t>M</t>
        </is>
      </c>
      <c r="G158" s="383"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83" t="inlineStr">
        <is>
          <t>Bộ</t>
        </is>
      </c>
      <c r="H159" s="136" t="n">
        <v>1</v>
      </c>
      <c r="I159" s="136">
        <f>IF('00_TONG_HOP_BAO_GIA'!G150&gt;0, ('00_TONG_HOP_BAO_GIA'!K150 + '00_TONG_HOP_BAO_GIA'!M150) * (1 + '00_TONG_HOP_BAO_GIA'!P150) / '00_TONG_HOP_BAO_GIA'!G150, 0)</f>
        <v/>
      </c>
      <c r="J159" s="136">
        <f>IF('00_TONG_HOP_BAO_GIA'!G150&gt;0, '00_TONG_HOP_BAO_GIA'!L150 * (1 + '00_TONG_HOP_BAO_GIA'!P150) / '00_TONG_HOP_BAO_GIA'!G150, 0)</f>
        <v/>
      </c>
      <c r="K159" s="137">
        <f>'00_TONG_HOP_BAO_GIA'!Q150</f>
        <v/>
      </c>
      <c r="L159" s="137">
        <f>('00_TONG_HOP_BAO_GIA'!K150 + '00_TONG_HOP_BAO_GIA'!M150) * (1 + '00_TONG_HOP_BAO_GIA'!P150)</f>
        <v/>
      </c>
      <c r="M159" s="137">
        <f>'00_TONG_HOP_BAO_GIA'!L150 * (1 + '00_TONG_HOP_BAO_GIA'!P150)</f>
        <v/>
      </c>
      <c r="N159" s="137">
        <f>'00_TONG_HOP_BAO_GIA'!R150</f>
        <v/>
      </c>
      <c r="O159" s="139">
        <f>IF(K159=0, "CẢNH BÁO: Đơn giá = 0. Tra cứu lại Sheet 06!", '00_TONG_HOP_BAO_GIA'!S150)</f>
        <v/>
      </c>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83" t="inlineStr">
        <is>
          <t>Cái</t>
        </is>
      </c>
      <c r="H160" s="136" t="n">
        <v>1</v>
      </c>
      <c r="I160" s="136">
        <f>IF('00_TONG_HOP_BAO_GIA'!G151&gt;0, ('00_TONG_HOP_BAO_GIA'!K151 + '00_TONG_HOP_BAO_GIA'!M151) * (1 + '00_TONG_HOP_BAO_GIA'!P151) / '00_TONG_HOP_BAO_GIA'!G151, 0)</f>
        <v/>
      </c>
      <c r="J160" s="136">
        <f>IF('00_TONG_HOP_BAO_GIA'!G151&gt;0, '00_TONG_HOP_BAO_GIA'!L151 * (1 + '00_TONG_HOP_BAO_GIA'!P151) / '00_TONG_HOP_BAO_GIA'!G151, 0)</f>
        <v/>
      </c>
      <c r="K160" s="137">
        <f>'00_TONG_HOP_BAO_GIA'!Q151</f>
        <v/>
      </c>
      <c r="L160" s="137">
        <f>('00_TONG_HOP_BAO_GIA'!K151 + '00_TONG_HOP_BAO_GIA'!M151) * (1 + '00_TONG_HOP_BAO_GIA'!P151)</f>
        <v/>
      </c>
      <c r="M160" s="137">
        <f>'00_TONG_HOP_BAO_GIA'!L151 * (1 + '00_TONG_HOP_BAO_GIA'!P151)</f>
        <v/>
      </c>
      <c r="N160" s="137">
        <f>'00_TONG_HOP_BAO_GIA'!R151</f>
        <v/>
      </c>
      <c r="O160" s="139">
        <f>IF(K160=0, "CẢNH BÁO: Đơn giá = 0. Tra cứu lại Sheet 06!", '00_TONG_HOP_BAO_GIA'!S151)</f>
        <v/>
      </c>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83" t="inlineStr">
        <is>
          <t>Cái</t>
        </is>
      </c>
      <c r="H161" s="136" t="n">
        <v>1</v>
      </c>
      <c r="I161" s="136">
        <f>IF('00_TONG_HOP_BAO_GIA'!G152&gt;0, ('00_TONG_HOP_BAO_GIA'!K152 + '00_TONG_HOP_BAO_GIA'!M152) * (1 + '00_TONG_HOP_BAO_GIA'!P152) / '00_TONG_HOP_BAO_GIA'!G152, 0)</f>
        <v/>
      </c>
      <c r="J161" s="136">
        <f>IF('00_TONG_HOP_BAO_GIA'!G152&gt;0, '00_TONG_HOP_BAO_GIA'!L152 * (1 + '00_TONG_HOP_BAO_GIA'!P152) / '00_TONG_HOP_BAO_GIA'!G152, 0)</f>
        <v/>
      </c>
      <c r="K161" s="137">
        <f>'00_TONG_HOP_BAO_GIA'!Q152</f>
        <v/>
      </c>
      <c r="L161" s="137">
        <f>('00_TONG_HOP_BAO_GIA'!K152 + '00_TONG_HOP_BAO_GIA'!M152) * (1 + '00_TONG_HOP_BAO_GIA'!P152)</f>
        <v/>
      </c>
      <c r="M161" s="137">
        <f>'00_TONG_HOP_BAO_GIA'!L152 * (1 + '00_TONG_HOP_BAO_GIA'!P152)</f>
        <v/>
      </c>
      <c r="N161" s="137">
        <f>'00_TONG_HOP_BAO_GIA'!R152</f>
        <v/>
      </c>
      <c r="O161" s="139">
        <f>IF(K161=0, "CẢNH BÁO: Đơn giá = 0. Tra cứu lại Sheet 06!", '00_TONG_HOP_BAO_GIA'!S152)</f>
        <v/>
      </c>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83" t="inlineStr">
        <is>
          <t>Cái</t>
        </is>
      </c>
      <c r="H162" s="136" t="n">
        <v>1</v>
      </c>
      <c r="I162" s="136">
        <f>IF('00_TONG_HOP_BAO_GIA'!G153&gt;0, ('00_TONG_HOP_BAO_GIA'!K153 + '00_TONG_HOP_BAO_GIA'!M153) * (1 + '00_TONG_HOP_BAO_GIA'!P153) / '00_TONG_HOP_BAO_GIA'!G153, 0)</f>
        <v/>
      </c>
      <c r="J162" s="136">
        <f>IF('00_TONG_HOP_BAO_GIA'!G153&gt;0, '00_TONG_HOP_BAO_GIA'!L153 * (1 + '00_TONG_HOP_BAO_GIA'!P153) / '00_TONG_HOP_BAO_GIA'!G153, 0)</f>
        <v/>
      </c>
      <c r="K162" s="137">
        <f>'00_TONG_HOP_BAO_GIA'!Q153</f>
        <v/>
      </c>
      <c r="L162" s="137">
        <f>('00_TONG_HOP_BAO_GIA'!K153 + '00_TONG_HOP_BAO_GIA'!M153) * (1 + '00_TONG_HOP_BAO_GIA'!P153)</f>
        <v/>
      </c>
      <c r="M162" s="137">
        <f>'00_TONG_HOP_BAO_GIA'!L153 * (1 + '00_TONG_HOP_BAO_GIA'!P153)</f>
        <v/>
      </c>
      <c r="N162" s="137">
        <f>'00_TONG_HOP_BAO_GIA'!R153</f>
        <v/>
      </c>
      <c r="O162" s="139">
        <f>IF(K162=0, "CẢNH BÁO: Đơn giá = 0. Tra cứu lại Sheet 06!", '00_TONG_HOP_BAO_GIA'!S153)</f>
        <v/>
      </c>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83" t="inlineStr">
        <is>
          <t>Cái</t>
        </is>
      </c>
      <c r="H163" s="136" t="n">
        <v>1</v>
      </c>
      <c r="I163" s="136">
        <f>IF('00_TONG_HOP_BAO_GIA'!G154&gt;0, ('00_TONG_HOP_BAO_GIA'!K154 + '00_TONG_HOP_BAO_GIA'!M154) * (1 + '00_TONG_HOP_BAO_GIA'!P154) / '00_TONG_HOP_BAO_GIA'!G154, 0)</f>
        <v/>
      </c>
      <c r="J163" s="136">
        <f>IF('00_TONG_HOP_BAO_GIA'!G154&gt;0, '00_TONG_HOP_BAO_GIA'!L154 * (1 + '00_TONG_HOP_BAO_GIA'!P154) / '00_TONG_HOP_BAO_GIA'!G154, 0)</f>
        <v/>
      </c>
      <c r="K163" s="137">
        <f>'00_TONG_HOP_BAO_GIA'!Q154</f>
        <v/>
      </c>
      <c r="L163" s="137">
        <f>('00_TONG_HOP_BAO_GIA'!K154 + '00_TONG_HOP_BAO_GIA'!M154) * (1 + '00_TONG_HOP_BAO_GIA'!P154)</f>
        <v/>
      </c>
      <c r="M163" s="137">
        <f>'00_TONG_HOP_BAO_GIA'!L154 * (1 + '00_TONG_HOP_BAO_GIA'!P154)</f>
        <v/>
      </c>
      <c r="N163" s="137">
        <f>'00_TONG_HOP_BAO_GIA'!R154</f>
        <v/>
      </c>
      <c r="O163" s="139">
        <f>IF(K163=0, "CẢNH BÁO: Đơn giá = 0. Tra cứu lại Sheet 06!", '00_TONG_HOP_BAO_GIA'!S154)</f>
        <v/>
      </c>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83" t="inlineStr">
        <is>
          <t>Cái</t>
        </is>
      </c>
      <c r="H164" s="136" t="n">
        <v>1</v>
      </c>
      <c r="I164" s="136">
        <f>IF('00_TONG_HOP_BAO_GIA'!G155&gt;0, ('00_TONG_HOP_BAO_GIA'!K155 + '00_TONG_HOP_BAO_GIA'!M155) * (1 + '00_TONG_HOP_BAO_GIA'!P155) / '00_TONG_HOP_BAO_GIA'!G155, 0)</f>
        <v/>
      </c>
      <c r="J164" s="136">
        <f>IF('00_TONG_HOP_BAO_GIA'!G155&gt;0, '00_TONG_HOP_BAO_GIA'!L155 * (1 + '00_TONG_HOP_BAO_GIA'!P155) / '00_TONG_HOP_BAO_GIA'!G155, 0)</f>
        <v/>
      </c>
      <c r="K164" s="137">
        <f>'00_TONG_HOP_BAO_GIA'!Q155</f>
        <v/>
      </c>
      <c r="L164" s="137">
        <f>('00_TONG_HOP_BAO_GIA'!K155 + '00_TONG_HOP_BAO_GIA'!M155) * (1 + '00_TONG_HOP_BAO_GIA'!P155)</f>
        <v/>
      </c>
      <c r="M164" s="137">
        <f>'00_TONG_HOP_BAO_GIA'!L155 * (1 + '00_TONG_HOP_BAO_GIA'!P155)</f>
        <v/>
      </c>
      <c r="N164" s="137">
        <f>'00_TONG_HOP_BAO_GIA'!R155</f>
        <v/>
      </c>
      <c r="O164" s="139">
        <f>IF(K164=0, "CẢNH BÁO: Đơn giá = 0. Tra cứu lại Sheet 06!", '00_TONG_HOP_BAO_GIA'!S155)</f>
        <v/>
      </c>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83" t="inlineStr">
        <is>
          <t>Cái</t>
        </is>
      </c>
      <c r="H165" s="136" t="n">
        <v>2</v>
      </c>
      <c r="I165" s="136">
        <f>IF('00_TONG_HOP_BAO_GIA'!G156&gt;0, ('00_TONG_HOP_BAO_GIA'!K156 + '00_TONG_HOP_BAO_GIA'!M156) * (1 + '00_TONG_HOP_BAO_GIA'!P156) / '00_TONG_HOP_BAO_GIA'!G156, 0)</f>
        <v/>
      </c>
      <c r="J165" s="136">
        <f>IF('00_TONG_HOP_BAO_GIA'!G156&gt;0, '00_TONG_HOP_BAO_GIA'!L156 * (1 + '00_TONG_HOP_BAO_GIA'!P156) / '00_TONG_HOP_BAO_GIA'!G156, 0)</f>
        <v/>
      </c>
      <c r="K165" s="137">
        <f>'00_TONG_HOP_BAO_GIA'!Q156</f>
        <v/>
      </c>
      <c r="L165" s="137">
        <f>('00_TONG_HOP_BAO_GIA'!K156 + '00_TONG_HOP_BAO_GIA'!M156) * (1 + '00_TONG_HOP_BAO_GIA'!P156)</f>
        <v/>
      </c>
      <c r="M165" s="137">
        <f>'00_TONG_HOP_BAO_GIA'!L156 * (1 + '00_TONG_HOP_BAO_GIA'!P156)</f>
        <v/>
      </c>
      <c r="N165" s="137">
        <f>'00_TONG_HOP_BAO_GIA'!R156</f>
        <v/>
      </c>
      <c r="O165" s="139">
        <f>IF(K165=0, "CẢNH BÁO: Đơn giá = 0. Tra cứu lại Sheet 06!", '00_TONG_HOP_BAO_GIA'!S156)</f>
        <v/>
      </c>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83" t="inlineStr">
        <is>
          <t>Cái</t>
        </is>
      </c>
      <c r="H166" s="136" t="n">
        <v>2</v>
      </c>
      <c r="I166" s="136">
        <f>IF('00_TONG_HOP_BAO_GIA'!G157&gt;0, ('00_TONG_HOP_BAO_GIA'!K157 + '00_TONG_HOP_BAO_GIA'!M157) * (1 + '00_TONG_HOP_BAO_GIA'!P157) / '00_TONG_HOP_BAO_GIA'!G157, 0)</f>
        <v/>
      </c>
      <c r="J166" s="136">
        <f>IF('00_TONG_HOP_BAO_GIA'!G157&gt;0, '00_TONG_HOP_BAO_GIA'!L157 * (1 + '00_TONG_HOP_BAO_GIA'!P157) / '00_TONG_HOP_BAO_GIA'!G157, 0)</f>
        <v/>
      </c>
      <c r="K166" s="137">
        <f>'00_TONG_HOP_BAO_GIA'!Q157</f>
        <v/>
      </c>
      <c r="L166" s="137">
        <f>('00_TONG_HOP_BAO_GIA'!K157 + '00_TONG_HOP_BAO_GIA'!M157) * (1 + '00_TONG_HOP_BAO_GIA'!P157)</f>
        <v/>
      </c>
      <c r="M166" s="137">
        <f>'00_TONG_HOP_BAO_GIA'!L157 * (1 + '00_TONG_HOP_BAO_GIA'!P157)</f>
        <v/>
      </c>
      <c r="N166" s="137">
        <f>'00_TONG_HOP_BAO_GIA'!R157</f>
        <v/>
      </c>
      <c r="O166" s="139">
        <f>IF(K166=0, "CẢNH BÁO: Đơn giá = 0. Tra cứu lại Sheet 06!", '00_TONG_HOP_BAO_GIA'!S157)</f>
        <v/>
      </c>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83" t="inlineStr">
        <is>
          <t>Cái</t>
        </is>
      </c>
      <c r="H167" s="136" t="n">
        <v>2</v>
      </c>
      <c r="I167" s="136">
        <f>IF('00_TONG_HOP_BAO_GIA'!G158&gt;0, ('00_TONG_HOP_BAO_GIA'!K158 + '00_TONG_HOP_BAO_GIA'!M158) * (1 + '00_TONG_HOP_BAO_GIA'!P158) / '00_TONG_HOP_BAO_GIA'!G158, 0)</f>
        <v/>
      </c>
      <c r="J167" s="136">
        <f>IF('00_TONG_HOP_BAO_GIA'!G158&gt;0, '00_TONG_HOP_BAO_GIA'!L158 * (1 + '00_TONG_HOP_BAO_GIA'!P158) / '00_TONG_HOP_BAO_GIA'!G158, 0)</f>
        <v/>
      </c>
      <c r="K167" s="137">
        <f>'00_TONG_HOP_BAO_GIA'!Q158</f>
        <v/>
      </c>
      <c r="L167" s="137">
        <f>('00_TONG_HOP_BAO_GIA'!K158 + '00_TONG_HOP_BAO_GIA'!M158) * (1 + '00_TONG_HOP_BAO_GIA'!P158)</f>
        <v/>
      </c>
      <c r="M167" s="137">
        <f>'00_TONG_HOP_BAO_GIA'!L158 * (1 + '00_TONG_HOP_BAO_GIA'!P158)</f>
        <v/>
      </c>
      <c r="N167" s="137">
        <f>'00_TONG_HOP_BAO_GIA'!R158</f>
        <v/>
      </c>
      <c r="O167" s="139">
        <f>IF(K167=0, "CẢNH BÁO: Đơn giá = 0. Tra cứu lại Sheet 06!", '00_TONG_HOP_BAO_GIA'!S158)</f>
        <v/>
      </c>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83" t="inlineStr">
        <is>
          <t>Cái</t>
        </is>
      </c>
      <c r="H168" s="136" t="n">
        <v>2</v>
      </c>
      <c r="I168" s="136">
        <f>IF('00_TONG_HOP_BAO_GIA'!G159&gt;0, ('00_TONG_HOP_BAO_GIA'!K159 + '00_TONG_HOP_BAO_GIA'!M159) * (1 + '00_TONG_HOP_BAO_GIA'!P159) / '00_TONG_HOP_BAO_GIA'!G159, 0)</f>
        <v/>
      </c>
      <c r="J168" s="136">
        <f>IF('00_TONG_HOP_BAO_GIA'!G159&gt;0, '00_TONG_HOP_BAO_GIA'!L159 * (1 + '00_TONG_HOP_BAO_GIA'!P159) / '00_TONG_HOP_BAO_GIA'!G159, 0)</f>
        <v/>
      </c>
      <c r="K168" s="137">
        <f>'00_TONG_HOP_BAO_GIA'!Q159</f>
        <v/>
      </c>
      <c r="L168" s="137">
        <f>('00_TONG_HOP_BAO_GIA'!K159 + '00_TONG_HOP_BAO_GIA'!M159) * (1 + '00_TONG_HOP_BAO_GIA'!P159)</f>
        <v/>
      </c>
      <c r="M168" s="137">
        <f>'00_TONG_HOP_BAO_GIA'!L159 * (1 + '00_TONG_HOP_BAO_GIA'!P159)</f>
        <v/>
      </c>
      <c r="N168" s="137">
        <f>'00_TONG_HOP_BAO_GIA'!R159</f>
        <v/>
      </c>
      <c r="O168" s="139">
        <f>IF(K168=0, "CẢNH BÁO: Đơn giá = 0. Tra cứu lại Sheet 06!", '00_TONG_HOP_BAO_GIA'!S159)</f>
        <v/>
      </c>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83" t="inlineStr">
        <is>
          <t>Cái</t>
        </is>
      </c>
      <c r="H169" s="136" t="n">
        <v>1</v>
      </c>
      <c r="I169" s="136">
        <f>IF('00_TONG_HOP_BAO_GIA'!G160&gt;0, ('00_TONG_HOP_BAO_GIA'!K160 + '00_TONG_HOP_BAO_GIA'!M160) * (1 + '00_TONG_HOP_BAO_GIA'!P160) / '00_TONG_HOP_BAO_GIA'!G160, 0)</f>
        <v/>
      </c>
      <c r="J169" s="136">
        <f>IF('00_TONG_HOP_BAO_GIA'!G160&gt;0, '00_TONG_HOP_BAO_GIA'!L160 * (1 + '00_TONG_HOP_BAO_GIA'!P160) / '00_TONG_HOP_BAO_GIA'!G160, 0)</f>
        <v/>
      </c>
      <c r="K169" s="137">
        <f>'00_TONG_HOP_BAO_GIA'!Q160</f>
        <v/>
      </c>
      <c r="L169" s="137">
        <f>('00_TONG_HOP_BAO_GIA'!K160 + '00_TONG_HOP_BAO_GIA'!M160) * (1 + '00_TONG_HOP_BAO_GIA'!P160)</f>
        <v/>
      </c>
      <c r="M169" s="137">
        <f>'00_TONG_HOP_BAO_GIA'!L160 * (1 + '00_TONG_HOP_BAO_GIA'!P160)</f>
        <v/>
      </c>
      <c r="N169" s="137">
        <f>'00_TONG_HOP_BAO_GIA'!R160</f>
        <v/>
      </c>
      <c r="O169" s="139">
        <f>IF(K169=0, "CẢNH BÁO: Đơn giá = 0. Tra cứu lại Sheet 06!", '00_TONG_HOP_BAO_GIA'!S160)</f>
        <v/>
      </c>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83" t="inlineStr">
        <is>
          <t>Cái</t>
        </is>
      </c>
      <c r="H170" s="136" t="n">
        <v>1</v>
      </c>
      <c r="I170" s="136">
        <f>IF('00_TONG_HOP_BAO_GIA'!G161&gt;0, ('00_TONG_HOP_BAO_GIA'!K161 + '00_TONG_HOP_BAO_GIA'!M161) * (1 + '00_TONG_HOP_BAO_GIA'!P161) / '00_TONG_HOP_BAO_GIA'!G161, 0)</f>
        <v/>
      </c>
      <c r="J170" s="136">
        <f>IF('00_TONG_HOP_BAO_GIA'!G161&gt;0, '00_TONG_HOP_BAO_GIA'!L161 * (1 + '00_TONG_HOP_BAO_GIA'!P161) / '00_TONG_HOP_BAO_GIA'!G161, 0)</f>
        <v/>
      </c>
      <c r="K170" s="137">
        <f>'00_TONG_HOP_BAO_GIA'!Q161</f>
        <v/>
      </c>
      <c r="L170" s="137">
        <f>('00_TONG_HOP_BAO_GIA'!K161 + '00_TONG_HOP_BAO_GIA'!M161) * (1 + '00_TONG_HOP_BAO_GIA'!P161)</f>
        <v/>
      </c>
      <c r="M170" s="137">
        <f>'00_TONG_HOP_BAO_GIA'!L161 * (1 + '00_TONG_HOP_BAO_GIA'!P161)</f>
        <v/>
      </c>
      <c r="N170" s="137">
        <f>'00_TONG_HOP_BAO_GIA'!R161</f>
        <v/>
      </c>
      <c r="O170" s="139">
        <f>IF(K170=0, "CẢNH BÁO: Đơn giá = 0. Tra cứu lại Sheet 06!", '00_TONG_HOP_BAO_GIA'!S161)</f>
        <v/>
      </c>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83" t="inlineStr">
        <is>
          <t>Cái</t>
        </is>
      </c>
      <c r="H171" s="136" t="n">
        <v>5</v>
      </c>
      <c r="I171" s="136">
        <f>IF('00_TONG_HOP_BAO_GIA'!G162&gt;0, ('00_TONG_HOP_BAO_GIA'!K162 + '00_TONG_HOP_BAO_GIA'!M162) * (1 + '00_TONG_HOP_BAO_GIA'!P162) / '00_TONG_HOP_BAO_GIA'!G162, 0)</f>
        <v/>
      </c>
      <c r="J171" s="136">
        <f>IF('00_TONG_HOP_BAO_GIA'!G162&gt;0, '00_TONG_HOP_BAO_GIA'!L162 * (1 + '00_TONG_HOP_BAO_GIA'!P162) / '00_TONG_HOP_BAO_GIA'!G162, 0)</f>
        <v/>
      </c>
      <c r="K171" s="137">
        <f>'00_TONG_HOP_BAO_GIA'!Q162</f>
        <v/>
      </c>
      <c r="L171" s="137">
        <f>('00_TONG_HOP_BAO_GIA'!K162 + '00_TONG_HOP_BAO_GIA'!M162) * (1 + '00_TONG_HOP_BAO_GIA'!P162)</f>
        <v/>
      </c>
      <c r="M171" s="137">
        <f>'00_TONG_HOP_BAO_GIA'!L162 * (1 + '00_TONG_HOP_BAO_GIA'!P162)</f>
        <v/>
      </c>
      <c r="N171" s="137">
        <f>'00_TONG_HOP_BAO_GIA'!R162</f>
        <v/>
      </c>
      <c r="O171" s="139">
        <f>IF(K171=0, "CẢNH BÁO: Đơn giá = 0. Tra cứu lại Sheet 06!", '00_TONG_HOP_BAO_GIA'!S162)</f>
        <v/>
      </c>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83" t="inlineStr">
        <is>
          <t>Cái</t>
        </is>
      </c>
      <c r="H172" s="136" t="n">
        <v>1</v>
      </c>
      <c r="I172" s="136">
        <f>IF('00_TONG_HOP_BAO_GIA'!G163&gt;0, ('00_TONG_HOP_BAO_GIA'!K163 + '00_TONG_HOP_BAO_GIA'!M163) * (1 + '00_TONG_HOP_BAO_GIA'!P163) / '00_TONG_HOP_BAO_GIA'!G163, 0)</f>
        <v/>
      </c>
      <c r="J172" s="136">
        <f>IF('00_TONG_HOP_BAO_GIA'!G163&gt;0, '00_TONG_HOP_BAO_GIA'!L163 * (1 + '00_TONG_HOP_BAO_GIA'!P163) / '00_TONG_HOP_BAO_GIA'!G163, 0)</f>
        <v/>
      </c>
      <c r="K172" s="137">
        <f>'00_TONG_HOP_BAO_GIA'!Q163</f>
        <v/>
      </c>
      <c r="L172" s="137">
        <f>('00_TONG_HOP_BAO_GIA'!K163 + '00_TONG_HOP_BAO_GIA'!M163) * (1 + '00_TONG_HOP_BAO_GIA'!P163)</f>
        <v/>
      </c>
      <c r="M172" s="137">
        <f>'00_TONG_HOP_BAO_GIA'!L163 * (1 + '00_TONG_HOP_BAO_GIA'!P163)</f>
        <v/>
      </c>
      <c r="N172" s="137">
        <f>'00_TONG_HOP_BAO_GIA'!R163</f>
        <v/>
      </c>
      <c r="O172" s="139">
        <f>IF(K172=0, "CẢNH BÁO: Đơn giá = 0. Tra cứu lại Sheet 06!", '00_TONG_HOP_BAO_GIA'!S163)</f>
        <v/>
      </c>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83" t="inlineStr">
        <is>
          <t>Cái</t>
        </is>
      </c>
      <c r="H173" s="136" t="n">
        <v>1</v>
      </c>
      <c r="I173" s="136">
        <f>IF('00_TONG_HOP_BAO_GIA'!G164&gt;0, ('00_TONG_HOP_BAO_GIA'!K164 + '00_TONG_HOP_BAO_GIA'!M164) * (1 + '00_TONG_HOP_BAO_GIA'!P164) / '00_TONG_HOP_BAO_GIA'!G164, 0)</f>
        <v/>
      </c>
      <c r="J173" s="136">
        <f>IF('00_TONG_HOP_BAO_GIA'!G164&gt;0, '00_TONG_HOP_BAO_GIA'!L164 * (1 + '00_TONG_HOP_BAO_GIA'!P164) / '00_TONG_HOP_BAO_GIA'!G164, 0)</f>
        <v/>
      </c>
      <c r="K173" s="137">
        <f>'00_TONG_HOP_BAO_GIA'!Q164</f>
        <v/>
      </c>
      <c r="L173" s="137">
        <f>('00_TONG_HOP_BAO_GIA'!K164 + '00_TONG_HOP_BAO_GIA'!M164) * (1 + '00_TONG_HOP_BAO_GIA'!P164)</f>
        <v/>
      </c>
      <c r="M173" s="137">
        <f>'00_TONG_HOP_BAO_GIA'!L164 * (1 + '00_TONG_HOP_BAO_GIA'!P164)</f>
        <v/>
      </c>
      <c r="N173" s="137">
        <f>'00_TONG_HOP_BAO_GIA'!R164</f>
        <v/>
      </c>
      <c r="O173" s="139">
        <f>IF(K173=0, "CẢNH BÁO: Đơn giá = 0. Tra cứu lại Sheet 06!", '00_TONG_HOP_BAO_GIA'!S164)</f>
        <v/>
      </c>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83" t="inlineStr">
        <is>
          <t>Cái</t>
        </is>
      </c>
      <c r="H174" s="136" t="n">
        <v>1</v>
      </c>
      <c r="I174" s="136">
        <f>IF('00_TONG_HOP_BAO_GIA'!G165&gt;0, ('00_TONG_HOP_BAO_GIA'!K165 + '00_TONG_HOP_BAO_GIA'!M165) * (1 + '00_TONG_HOP_BAO_GIA'!P165) / '00_TONG_HOP_BAO_GIA'!G165, 0)</f>
        <v/>
      </c>
      <c r="J174" s="136">
        <f>IF('00_TONG_HOP_BAO_GIA'!G165&gt;0, '00_TONG_HOP_BAO_GIA'!L165 * (1 + '00_TONG_HOP_BAO_GIA'!P165) / '00_TONG_HOP_BAO_GIA'!G165, 0)</f>
        <v/>
      </c>
      <c r="K174" s="137">
        <f>'00_TONG_HOP_BAO_GIA'!Q165</f>
        <v/>
      </c>
      <c r="L174" s="137">
        <f>('00_TONG_HOP_BAO_GIA'!K165 + '00_TONG_HOP_BAO_GIA'!M165) * (1 + '00_TONG_HOP_BAO_GIA'!P165)</f>
        <v/>
      </c>
      <c r="M174" s="137">
        <f>'00_TONG_HOP_BAO_GIA'!L165 * (1 + '00_TONG_HOP_BAO_GIA'!P165)</f>
        <v/>
      </c>
      <c r="N174" s="137">
        <f>'00_TONG_HOP_BAO_GIA'!R165</f>
        <v/>
      </c>
      <c r="O174" s="139">
        <f>IF(K174=0, "CẢNH BÁO: Đơn giá = 0. Tra cứu lại Sheet 06!", '00_TONG_HOP_BAO_GIA'!S165)</f>
        <v/>
      </c>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83" t="inlineStr">
        <is>
          <t>bộ</t>
        </is>
      </c>
      <c r="H175" s="136" t="n">
        <v>1</v>
      </c>
      <c r="I175" s="136">
        <f>IF('00_TONG_HOP_BAO_GIA'!G166&gt;0, ('00_TONG_HOP_BAO_GIA'!K166 + '00_TONG_HOP_BAO_GIA'!M166) * (1 + '00_TONG_HOP_BAO_GIA'!P166) / '00_TONG_HOP_BAO_GIA'!G166, 0)</f>
        <v/>
      </c>
      <c r="J175" s="136">
        <f>IF('00_TONG_HOP_BAO_GIA'!G166&gt;0, '00_TONG_HOP_BAO_GIA'!L166 * (1 + '00_TONG_HOP_BAO_GIA'!P166) / '00_TONG_HOP_BAO_GIA'!G166, 0)</f>
        <v/>
      </c>
      <c r="K175" s="137">
        <f>'00_TONG_HOP_BAO_GIA'!Q166</f>
        <v/>
      </c>
      <c r="L175" s="137">
        <f>('00_TONG_HOP_BAO_GIA'!K166 + '00_TONG_HOP_BAO_GIA'!M166) * (1 + '00_TONG_HOP_BAO_GIA'!P166)</f>
        <v/>
      </c>
      <c r="M175" s="137">
        <f>'00_TONG_HOP_BAO_GIA'!L166 * (1 + '00_TONG_HOP_BAO_GIA'!P166)</f>
        <v/>
      </c>
      <c r="N175" s="137">
        <f>'00_TONG_HOP_BAO_GIA'!R166</f>
        <v/>
      </c>
      <c r="O175" s="139">
        <f>IF(K175=0, "CẢNH BÁO: Đơn giá = 0. Tra cứu lại Sheet 06!", '00_TONG_HOP_BAO_GIA'!S166)</f>
        <v/>
      </c>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83" t="inlineStr">
        <is>
          <t>bộ</t>
        </is>
      </c>
      <c r="H176" s="136" t="n">
        <v>2</v>
      </c>
      <c r="I176" s="136">
        <f>IF('00_TONG_HOP_BAO_GIA'!G167&gt;0, ('00_TONG_HOP_BAO_GIA'!K167 + '00_TONG_HOP_BAO_GIA'!M167) * (1 + '00_TONG_HOP_BAO_GIA'!P167) / '00_TONG_HOP_BAO_GIA'!G167, 0)</f>
        <v/>
      </c>
      <c r="J176" s="136">
        <f>IF('00_TONG_HOP_BAO_GIA'!G167&gt;0, '00_TONG_HOP_BAO_GIA'!L167 * (1 + '00_TONG_HOP_BAO_GIA'!P167) / '00_TONG_HOP_BAO_GIA'!G167, 0)</f>
        <v/>
      </c>
      <c r="K176" s="137">
        <f>'00_TONG_HOP_BAO_GIA'!Q167</f>
        <v/>
      </c>
      <c r="L176" s="137">
        <f>('00_TONG_HOP_BAO_GIA'!K167 + '00_TONG_HOP_BAO_GIA'!M167) * (1 + '00_TONG_HOP_BAO_GIA'!P167)</f>
        <v/>
      </c>
      <c r="M176" s="137">
        <f>'00_TONG_HOP_BAO_GIA'!L167 * (1 + '00_TONG_HOP_BAO_GIA'!P167)</f>
        <v/>
      </c>
      <c r="N176" s="137">
        <f>'00_TONG_HOP_BAO_GIA'!R167</f>
        <v/>
      </c>
      <c r="O176" s="139">
        <f>IF(K176=0, "CẢNH BÁO: Đơn giá = 0. Tra cứu lại Sheet 06!", '00_TONG_HOP_BAO_GIA'!S167)</f>
        <v/>
      </c>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83" t="inlineStr">
        <is>
          <t>Cái</t>
        </is>
      </c>
      <c r="H177" s="136" t="n">
        <v>2</v>
      </c>
      <c r="I177" s="136">
        <f>IF('00_TONG_HOP_BAO_GIA'!G168&gt;0, ('00_TONG_HOP_BAO_GIA'!K168 + '00_TONG_HOP_BAO_GIA'!M168) * (1 + '00_TONG_HOP_BAO_GIA'!P168) / '00_TONG_HOP_BAO_GIA'!G168, 0)</f>
        <v/>
      </c>
      <c r="J177" s="136">
        <f>IF('00_TONG_HOP_BAO_GIA'!G168&gt;0, '00_TONG_HOP_BAO_GIA'!L168 * (1 + '00_TONG_HOP_BAO_GIA'!P168) / '00_TONG_HOP_BAO_GIA'!G168, 0)</f>
        <v/>
      </c>
      <c r="K177" s="137">
        <f>'00_TONG_HOP_BAO_GIA'!Q168</f>
        <v/>
      </c>
      <c r="L177" s="137">
        <f>('00_TONG_HOP_BAO_GIA'!K168 + '00_TONG_HOP_BAO_GIA'!M168) * (1 + '00_TONG_HOP_BAO_GIA'!P168)</f>
        <v/>
      </c>
      <c r="M177" s="137">
        <f>'00_TONG_HOP_BAO_GIA'!L168 * (1 + '00_TONG_HOP_BAO_GIA'!P168)</f>
        <v/>
      </c>
      <c r="N177" s="137">
        <f>'00_TONG_HOP_BAO_GIA'!R168</f>
        <v/>
      </c>
      <c r="O177" s="139">
        <f>IF(K177=0, "CẢNH BÁO: Đơn giá = 0. Tra cứu lại Sheet 06!", '00_TONG_HOP_BAO_GIA'!S168)</f>
        <v/>
      </c>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83" t="inlineStr">
        <is>
          <t>Cái</t>
        </is>
      </c>
      <c r="H178" s="136" t="n">
        <v>2</v>
      </c>
      <c r="I178" s="136">
        <f>IF('00_TONG_HOP_BAO_GIA'!G169&gt;0, ('00_TONG_HOP_BAO_GIA'!K169 + '00_TONG_HOP_BAO_GIA'!M169) * (1 + '00_TONG_HOP_BAO_GIA'!P169) / '00_TONG_HOP_BAO_GIA'!G169, 0)</f>
        <v/>
      </c>
      <c r="J178" s="136">
        <f>IF('00_TONG_HOP_BAO_GIA'!G169&gt;0, '00_TONG_HOP_BAO_GIA'!L169 * (1 + '00_TONG_HOP_BAO_GIA'!P169) / '00_TONG_HOP_BAO_GIA'!G169, 0)</f>
        <v/>
      </c>
      <c r="K178" s="137">
        <f>'00_TONG_HOP_BAO_GIA'!Q169</f>
        <v/>
      </c>
      <c r="L178" s="137">
        <f>('00_TONG_HOP_BAO_GIA'!K169 + '00_TONG_HOP_BAO_GIA'!M169) * (1 + '00_TONG_HOP_BAO_GIA'!P169)</f>
        <v/>
      </c>
      <c r="M178" s="137">
        <f>'00_TONG_HOP_BAO_GIA'!L169 * (1 + '00_TONG_HOP_BAO_GIA'!P169)</f>
        <v/>
      </c>
      <c r="N178" s="137">
        <f>'00_TONG_HOP_BAO_GIA'!R169</f>
        <v/>
      </c>
      <c r="O178" s="139">
        <f>IF(K178=0, "CẢNH BÁO: Đơn giá = 0. Tra cứu lại Sheet 06!", '00_TONG_HOP_BAO_GIA'!S169)</f>
        <v/>
      </c>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83" t="inlineStr">
        <is>
          <t>Cái</t>
        </is>
      </c>
      <c r="H179" s="136" t="n">
        <v>1</v>
      </c>
      <c r="I179" s="136">
        <f>IF('00_TONG_HOP_BAO_GIA'!G170&gt;0, ('00_TONG_HOP_BAO_GIA'!K170 + '00_TONG_HOP_BAO_GIA'!M170) * (1 + '00_TONG_HOP_BAO_GIA'!P170) / '00_TONG_HOP_BAO_GIA'!G170, 0)</f>
        <v/>
      </c>
      <c r="J179" s="136">
        <f>IF('00_TONG_HOP_BAO_GIA'!G170&gt;0, '00_TONG_HOP_BAO_GIA'!L170 * (1 + '00_TONG_HOP_BAO_GIA'!P170) / '00_TONG_HOP_BAO_GIA'!G170, 0)</f>
        <v/>
      </c>
      <c r="K179" s="137">
        <f>'00_TONG_HOP_BAO_GIA'!Q170</f>
        <v/>
      </c>
      <c r="L179" s="137">
        <f>('00_TONG_HOP_BAO_GIA'!K170 + '00_TONG_HOP_BAO_GIA'!M170) * (1 + '00_TONG_HOP_BAO_GIA'!P170)</f>
        <v/>
      </c>
      <c r="M179" s="137">
        <f>'00_TONG_HOP_BAO_GIA'!L170 * (1 + '00_TONG_HOP_BAO_GIA'!P170)</f>
        <v/>
      </c>
      <c r="N179" s="137">
        <f>'00_TONG_HOP_BAO_GIA'!R170</f>
        <v/>
      </c>
      <c r="O179" s="139">
        <f>IF(K179=0, "CẢNH BÁO: Đơn giá = 0. Tra cứu lại Sheet 06!", '00_TONG_HOP_BAO_GIA'!S170)</f>
        <v/>
      </c>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83" t="inlineStr">
        <is>
          <t>Cái</t>
        </is>
      </c>
      <c r="H180" s="136" t="n">
        <v>1</v>
      </c>
      <c r="I180" s="136">
        <f>IF('00_TONG_HOP_BAO_GIA'!G171&gt;0, ('00_TONG_HOP_BAO_GIA'!K171 + '00_TONG_HOP_BAO_GIA'!M171) * (1 + '00_TONG_HOP_BAO_GIA'!P171) / '00_TONG_HOP_BAO_GIA'!G171, 0)</f>
        <v/>
      </c>
      <c r="J180" s="136">
        <f>IF('00_TONG_HOP_BAO_GIA'!G171&gt;0, '00_TONG_HOP_BAO_GIA'!L171 * (1 + '00_TONG_HOP_BAO_GIA'!P171) / '00_TONG_HOP_BAO_GIA'!G171, 0)</f>
        <v/>
      </c>
      <c r="K180" s="137">
        <f>'00_TONG_HOP_BAO_GIA'!Q171</f>
        <v/>
      </c>
      <c r="L180" s="137">
        <f>('00_TONG_HOP_BAO_GIA'!K171 + '00_TONG_HOP_BAO_GIA'!M171) * (1 + '00_TONG_HOP_BAO_GIA'!P171)</f>
        <v/>
      </c>
      <c r="M180" s="137">
        <f>'00_TONG_HOP_BAO_GIA'!L171 * (1 + '00_TONG_HOP_BAO_GIA'!P171)</f>
        <v/>
      </c>
      <c r="N180" s="137">
        <f>'00_TONG_HOP_BAO_GIA'!R171</f>
        <v/>
      </c>
      <c r="O180" s="139">
        <f>IF(K180=0, "CẢNH BÁO: Đơn giá = 0. Tra cứu lại Sheet 06!", '00_TONG_HOP_BAO_GIA'!S171)</f>
        <v/>
      </c>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83" t="inlineStr">
        <is>
          <t>Cái</t>
        </is>
      </c>
      <c r="H181" s="136" t="n">
        <v>1</v>
      </c>
      <c r="I181" s="136">
        <f>IF('00_TONG_HOP_BAO_GIA'!G172&gt;0, ('00_TONG_HOP_BAO_GIA'!K172 + '00_TONG_HOP_BAO_GIA'!M172) * (1 + '00_TONG_HOP_BAO_GIA'!P172) / '00_TONG_HOP_BAO_GIA'!G172, 0)</f>
        <v/>
      </c>
      <c r="J181" s="136">
        <f>IF('00_TONG_HOP_BAO_GIA'!G172&gt;0, '00_TONG_HOP_BAO_GIA'!L172 * (1 + '00_TONG_HOP_BAO_GIA'!P172) / '00_TONG_HOP_BAO_GIA'!G172, 0)</f>
        <v/>
      </c>
      <c r="K181" s="137">
        <f>'00_TONG_HOP_BAO_GIA'!Q172</f>
        <v/>
      </c>
      <c r="L181" s="137">
        <f>('00_TONG_HOP_BAO_GIA'!K172 + '00_TONG_HOP_BAO_GIA'!M172) * (1 + '00_TONG_HOP_BAO_GIA'!P172)</f>
        <v/>
      </c>
      <c r="M181" s="137">
        <f>'00_TONG_HOP_BAO_GIA'!L172 * (1 + '00_TONG_HOP_BAO_GIA'!P172)</f>
        <v/>
      </c>
      <c r="N181" s="137">
        <f>'00_TONG_HOP_BAO_GIA'!R172</f>
        <v/>
      </c>
      <c r="O181" s="139">
        <f>IF(K181=0, "CẢNH BÁO: Đơn giá = 0. Tra cứu lại Sheet 06!", '00_TONG_HOP_BAO_GIA'!S172)</f>
        <v/>
      </c>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83" t="inlineStr">
        <is>
          <t>Cái</t>
        </is>
      </c>
      <c r="H182" s="136" t="n">
        <v>1</v>
      </c>
      <c r="I182" s="136">
        <f>IF('00_TONG_HOP_BAO_GIA'!G173&gt;0, ('00_TONG_HOP_BAO_GIA'!K173 + '00_TONG_HOP_BAO_GIA'!M173) * (1 + '00_TONG_HOP_BAO_GIA'!P173) / '00_TONG_HOP_BAO_GIA'!G173, 0)</f>
        <v/>
      </c>
      <c r="J182" s="136">
        <f>IF('00_TONG_HOP_BAO_GIA'!G173&gt;0, '00_TONG_HOP_BAO_GIA'!L173 * (1 + '00_TONG_HOP_BAO_GIA'!P173) / '00_TONG_HOP_BAO_GIA'!G173, 0)</f>
        <v/>
      </c>
      <c r="K182" s="137">
        <f>'00_TONG_HOP_BAO_GIA'!Q173</f>
        <v/>
      </c>
      <c r="L182" s="137">
        <f>('00_TONG_HOP_BAO_GIA'!K173 + '00_TONG_HOP_BAO_GIA'!M173) * (1 + '00_TONG_HOP_BAO_GIA'!P173)</f>
        <v/>
      </c>
      <c r="M182" s="137">
        <f>'00_TONG_HOP_BAO_GIA'!L173 * (1 + '00_TONG_HOP_BAO_GIA'!P173)</f>
        <v/>
      </c>
      <c r="N182" s="137">
        <f>'00_TONG_HOP_BAO_GIA'!R173</f>
        <v/>
      </c>
      <c r="O182" s="139">
        <f>IF(K182=0, "CẢNH BÁO: Đơn giá = 0. Tra cứu lại Sheet 06!", '00_TONG_HOP_BAO_GIA'!S173)</f>
        <v/>
      </c>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83" t="inlineStr">
        <is>
          <t>Cái</t>
        </is>
      </c>
      <c r="H183" s="136" t="n">
        <v>1</v>
      </c>
      <c r="I183" s="136">
        <f>IF('00_TONG_HOP_BAO_GIA'!G174&gt;0, ('00_TONG_HOP_BAO_GIA'!K174 + '00_TONG_HOP_BAO_GIA'!M174) * (1 + '00_TONG_HOP_BAO_GIA'!P174) / '00_TONG_HOP_BAO_GIA'!G174, 0)</f>
        <v/>
      </c>
      <c r="J183" s="136">
        <f>IF('00_TONG_HOP_BAO_GIA'!G174&gt;0, '00_TONG_HOP_BAO_GIA'!L174 * (1 + '00_TONG_HOP_BAO_GIA'!P174) / '00_TONG_HOP_BAO_GIA'!G174, 0)</f>
        <v/>
      </c>
      <c r="K183" s="137">
        <f>'00_TONG_HOP_BAO_GIA'!Q174</f>
        <v/>
      </c>
      <c r="L183" s="137">
        <f>('00_TONG_HOP_BAO_GIA'!K174 + '00_TONG_HOP_BAO_GIA'!M174) * (1 + '00_TONG_HOP_BAO_GIA'!P174)</f>
        <v/>
      </c>
      <c r="M183" s="137">
        <f>'00_TONG_HOP_BAO_GIA'!L174 * (1 + '00_TONG_HOP_BAO_GIA'!P174)</f>
        <v/>
      </c>
      <c r="N183" s="137">
        <f>'00_TONG_HOP_BAO_GIA'!R174</f>
        <v/>
      </c>
      <c r="O183" s="139">
        <f>IF(K183=0, "CẢNH BÁO: Đơn giá = 0. Tra cứu lại Sheet 06!", '00_TONG_HOP_BAO_GIA'!S174)</f>
        <v/>
      </c>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83" t="inlineStr">
        <is>
          <t>Cái</t>
        </is>
      </c>
      <c r="H184" s="136" t="n">
        <v>1</v>
      </c>
      <c r="I184" s="136">
        <f>IF('00_TONG_HOP_BAO_GIA'!G175&gt;0, ('00_TONG_HOP_BAO_GIA'!K175 + '00_TONG_HOP_BAO_GIA'!M175) * (1 + '00_TONG_HOP_BAO_GIA'!P175) / '00_TONG_HOP_BAO_GIA'!G175, 0)</f>
        <v/>
      </c>
      <c r="J184" s="136">
        <f>IF('00_TONG_HOP_BAO_GIA'!G175&gt;0, '00_TONG_HOP_BAO_GIA'!L175 * (1 + '00_TONG_HOP_BAO_GIA'!P175) / '00_TONG_HOP_BAO_GIA'!G175, 0)</f>
        <v/>
      </c>
      <c r="K184" s="137">
        <f>'00_TONG_HOP_BAO_GIA'!Q175</f>
        <v/>
      </c>
      <c r="L184" s="137">
        <f>('00_TONG_HOP_BAO_GIA'!K175 + '00_TONG_HOP_BAO_GIA'!M175) * (1 + '00_TONG_HOP_BAO_GIA'!P175)</f>
        <v/>
      </c>
      <c r="M184" s="137">
        <f>'00_TONG_HOP_BAO_GIA'!L175 * (1 + '00_TONG_HOP_BAO_GIA'!P175)</f>
        <v/>
      </c>
      <c r="N184" s="137">
        <f>'00_TONG_HOP_BAO_GIA'!R175</f>
        <v/>
      </c>
      <c r="O184" s="139">
        <f>IF(K184=0, "CẢNH BÁO: Đơn giá = 0. Tra cứu lại Sheet 06!", '00_TONG_HOP_BAO_GIA'!S175)</f>
        <v/>
      </c>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83" t="inlineStr">
        <is>
          <t>Cái</t>
        </is>
      </c>
      <c r="H185" s="136" t="n">
        <v>1</v>
      </c>
      <c r="I185" s="136">
        <f>IF('00_TONG_HOP_BAO_GIA'!G176&gt;0, ('00_TONG_HOP_BAO_GIA'!K176 + '00_TONG_HOP_BAO_GIA'!M176) * (1 + '00_TONG_HOP_BAO_GIA'!P176) / '00_TONG_HOP_BAO_GIA'!G176, 0)</f>
        <v/>
      </c>
      <c r="J185" s="136">
        <f>IF('00_TONG_HOP_BAO_GIA'!G176&gt;0, '00_TONG_HOP_BAO_GIA'!L176 * (1 + '00_TONG_HOP_BAO_GIA'!P176) / '00_TONG_HOP_BAO_GIA'!G176, 0)</f>
        <v/>
      </c>
      <c r="K185" s="137">
        <f>'00_TONG_HOP_BAO_GIA'!Q176</f>
        <v/>
      </c>
      <c r="L185" s="137">
        <f>('00_TONG_HOP_BAO_GIA'!K176 + '00_TONG_HOP_BAO_GIA'!M176) * (1 + '00_TONG_HOP_BAO_GIA'!P176)</f>
        <v/>
      </c>
      <c r="M185" s="137">
        <f>'00_TONG_HOP_BAO_GIA'!L176 * (1 + '00_TONG_HOP_BAO_GIA'!P176)</f>
        <v/>
      </c>
      <c r="N185" s="137">
        <f>'00_TONG_HOP_BAO_GIA'!R176</f>
        <v/>
      </c>
      <c r="O185" s="139">
        <f>IF(K185=0, "CẢNH BÁO: Đơn giá = 0. Tra cứu lại Sheet 06!", '00_TONG_HOP_BAO_GIA'!S176)</f>
        <v/>
      </c>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83" t="inlineStr">
        <is>
          <t>Cái</t>
        </is>
      </c>
      <c r="H186" s="136" t="n">
        <v>1</v>
      </c>
      <c r="I186" s="136">
        <f>IF('00_TONG_HOP_BAO_GIA'!G177&gt;0, ('00_TONG_HOP_BAO_GIA'!K177 + '00_TONG_HOP_BAO_GIA'!M177) * (1 + '00_TONG_HOP_BAO_GIA'!P177) / '00_TONG_HOP_BAO_GIA'!G177, 0)</f>
        <v/>
      </c>
      <c r="J186" s="136">
        <f>IF('00_TONG_HOP_BAO_GIA'!G177&gt;0, '00_TONG_HOP_BAO_GIA'!L177 * (1 + '00_TONG_HOP_BAO_GIA'!P177) / '00_TONG_HOP_BAO_GIA'!G177, 0)</f>
        <v/>
      </c>
      <c r="K186" s="137">
        <f>'00_TONG_HOP_BAO_GIA'!Q177</f>
        <v/>
      </c>
      <c r="L186" s="137">
        <f>('00_TONG_HOP_BAO_GIA'!K177 + '00_TONG_HOP_BAO_GIA'!M177) * (1 + '00_TONG_HOP_BAO_GIA'!P177)</f>
        <v/>
      </c>
      <c r="M186" s="137">
        <f>'00_TONG_HOP_BAO_GIA'!L177 * (1 + '00_TONG_HOP_BAO_GIA'!P177)</f>
        <v/>
      </c>
      <c r="N186" s="137">
        <f>'00_TONG_HOP_BAO_GIA'!R177</f>
        <v/>
      </c>
      <c r="O186" s="139">
        <f>IF(K186=0, "CẢNH BÁO: Đơn giá = 0. Tra cứu lại Sheet 06!", '00_TONG_HOP_BAO_GIA'!S177)</f>
        <v/>
      </c>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83" t="inlineStr">
        <is>
          <t>Cái</t>
        </is>
      </c>
      <c r="H187" s="136" t="n">
        <v>1</v>
      </c>
      <c r="I187" s="136">
        <f>IF('00_TONG_HOP_BAO_GIA'!G178&gt;0, ('00_TONG_HOP_BAO_GIA'!K178 + '00_TONG_HOP_BAO_GIA'!M178) * (1 + '00_TONG_HOP_BAO_GIA'!P178) / '00_TONG_HOP_BAO_GIA'!G178, 0)</f>
        <v/>
      </c>
      <c r="J187" s="136">
        <f>IF('00_TONG_HOP_BAO_GIA'!G178&gt;0, '00_TONG_HOP_BAO_GIA'!L178 * (1 + '00_TONG_HOP_BAO_GIA'!P178) / '00_TONG_HOP_BAO_GIA'!G178, 0)</f>
        <v/>
      </c>
      <c r="K187" s="137">
        <f>'00_TONG_HOP_BAO_GIA'!Q178</f>
        <v/>
      </c>
      <c r="L187" s="137">
        <f>('00_TONG_HOP_BAO_GIA'!K178 + '00_TONG_HOP_BAO_GIA'!M178) * (1 + '00_TONG_HOP_BAO_GIA'!P178)</f>
        <v/>
      </c>
      <c r="M187" s="137">
        <f>'00_TONG_HOP_BAO_GIA'!L178 * (1 + '00_TONG_HOP_BAO_GIA'!P178)</f>
        <v/>
      </c>
      <c r="N187" s="137">
        <f>'00_TONG_HOP_BAO_GIA'!R178</f>
        <v/>
      </c>
      <c r="O187" s="139">
        <f>IF(K187=0, "CẢNH BÁO: Đơn giá = 0. Tra cứu lại Sheet 06!", '00_TONG_HOP_BAO_GIA'!S178)</f>
        <v/>
      </c>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83" t="inlineStr">
        <is>
          <t>Cái</t>
        </is>
      </c>
      <c r="H188" s="136" t="n">
        <v>1</v>
      </c>
      <c r="I188" s="136">
        <f>IF('00_TONG_HOP_BAO_GIA'!G179&gt;0, ('00_TONG_HOP_BAO_GIA'!K179 + '00_TONG_HOP_BAO_GIA'!M179) * (1 + '00_TONG_HOP_BAO_GIA'!P179) / '00_TONG_HOP_BAO_GIA'!G179, 0)</f>
        <v/>
      </c>
      <c r="J188" s="136">
        <f>IF('00_TONG_HOP_BAO_GIA'!G179&gt;0, '00_TONG_HOP_BAO_GIA'!L179 * (1 + '00_TONG_HOP_BAO_GIA'!P179) / '00_TONG_HOP_BAO_GIA'!G179, 0)</f>
        <v/>
      </c>
      <c r="K188" s="137">
        <f>'00_TONG_HOP_BAO_GIA'!Q179</f>
        <v/>
      </c>
      <c r="L188" s="137">
        <f>('00_TONG_HOP_BAO_GIA'!K179 + '00_TONG_HOP_BAO_GIA'!M179) * (1 + '00_TONG_HOP_BAO_GIA'!P179)</f>
        <v/>
      </c>
      <c r="M188" s="137">
        <f>'00_TONG_HOP_BAO_GIA'!L179 * (1 + '00_TONG_HOP_BAO_GIA'!P179)</f>
        <v/>
      </c>
      <c r="N188" s="137">
        <f>'00_TONG_HOP_BAO_GIA'!R179</f>
        <v/>
      </c>
      <c r="O188" s="139">
        <f>IF(K188=0, "CẢNH BÁO: Đơn giá = 0. Tra cứu lại Sheet 06!", '00_TONG_HOP_BAO_GIA'!S179)</f>
        <v/>
      </c>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83" t="inlineStr">
        <is>
          <t>Cái</t>
        </is>
      </c>
      <c r="H189" s="136" t="n">
        <v>1</v>
      </c>
      <c r="I189" s="136">
        <f>IF('00_TONG_HOP_BAO_GIA'!G180&gt;0, ('00_TONG_HOP_BAO_GIA'!K180 + '00_TONG_HOP_BAO_GIA'!M180) * (1 + '00_TONG_HOP_BAO_GIA'!P180) / '00_TONG_HOP_BAO_GIA'!G180, 0)</f>
        <v/>
      </c>
      <c r="J189" s="136">
        <f>IF('00_TONG_HOP_BAO_GIA'!G180&gt;0, '00_TONG_HOP_BAO_GIA'!L180 * (1 + '00_TONG_HOP_BAO_GIA'!P180) / '00_TONG_HOP_BAO_GIA'!G180, 0)</f>
        <v/>
      </c>
      <c r="K189" s="137">
        <f>'00_TONG_HOP_BAO_GIA'!Q180</f>
        <v/>
      </c>
      <c r="L189" s="137">
        <f>('00_TONG_HOP_BAO_GIA'!K180 + '00_TONG_HOP_BAO_GIA'!M180) * (1 + '00_TONG_HOP_BAO_GIA'!P180)</f>
        <v/>
      </c>
      <c r="M189" s="137">
        <f>'00_TONG_HOP_BAO_GIA'!L180 * (1 + '00_TONG_HOP_BAO_GIA'!P180)</f>
        <v/>
      </c>
      <c r="N189" s="137">
        <f>'00_TONG_HOP_BAO_GIA'!R180</f>
        <v/>
      </c>
      <c r="O189" s="139">
        <f>IF(K189=0, "CẢNH BÁO: Đơn giá = 0. Tra cứu lại Sheet 06!", '00_TONG_HOP_BAO_GIA'!S180)</f>
        <v/>
      </c>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83" t="inlineStr">
        <is>
          <t>Cái</t>
        </is>
      </c>
      <c r="H190" s="136" t="n">
        <v>1</v>
      </c>
      <c r="I190" s="136">
        <f>IF('00_TONG_HOP_BAO_GIA'!G181&gt;0, ('00_TONG_HOP_BAO_GIA'!K181 + '00_TONG_HOP_BAO_GIA'!M181) * (1 + '00_TONG_HOP_BAO_GIA'!P181) / '00_TONG_HOP_BAO_GIA'!G181, 0)</f>
        <v/>
      </c>
      <c r="J190" s="136">
        <f>IF('00_TONG_HOP_BAO_GIA'!G181&gt;0, '00_TONG_HOP_BAO_GIA'!L181 * (1 + '00_TONG_HOP_BAO_GIA'!P181) / '00_TONG_HOP_BAO_GIA'!G181, 0)</f>
        <v/>
      </c>
      <c r="K190" s="137">
        <f>'00_TONG_HOP_BAO_GIA'!Q181</f>
        <v/>
      </c>
      <c r="L190" s="137">
        <f>('00_TONG_HOP_BAO_GIA'!K181 + '00_TONG_HOP_BAO_GIA'!M181) * (1 + '00_TONG_HOP_BAO_GIA'!P181)</f>
        <v/>
      </c>
      <c r="M190" s="137">
        <f>'00_TONG_HOP_BAO_GIA'!L181 * (1 + '00_TONG_HOP_BAO_GIA'!P181)</f>
        <v/>
      </c>
      <c r="N190" s="137">
        <f>'00_TONG_HOP_BAO_GIA'!R181</f>
        <v/>
      </c>
      <c r="O190" s="139">
        <f>IF(K190=0, "CẢNH BÁO: Đơn giá = 0. Tra cứu lại Sheet 06!", '00_TONG_HOP_BAO_GIA'!S181)</f>
        <v/>
      </c>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83" t="inlineStr">
        <is>
          <t>Cái</t>
        </is>
      </c>
      <c r="H191" s="136" t="n">
        <v>1</v>
      </c>
      <c r="I191" s="136">
        <f>IF('00_TONG_HOP_BAO_GIA'!G182&gt;0, ('00_TONG_HOP_BAO_GIA'!K182 + '00_TONG_HOP_BAO_GIA'!M182) * (1 + '00_TONG_HOP_BAO_GIA'!P182) / '00_TONG_HOP_BAO_GIA'!G182, 0)</f>
        <v/>
      </c>
      <c r="J191" s="136">
        <f>IF('00_TONG_HOP_BAO_GIA'!G182&gt;0, '00_TONG_HOP_BAO_GIA'!L182 * (1 + '00_TONG_HOP_BAO_GIA'!P182) / '00_TONG_HOP_BAO_GIA'!G182, 0)</f>
        <v/>
      </c>
      <c r="K191" s="137">
        <f>'00_TONG_HOP_BAO_GIA'!Q182</f>
        <v/>
      </c>
      <c r="L191" s="137">
        <f>('00_TONG_HOP_BAO_GIA'!K182 + '00_TONG_HOP_BAO_GIA'!M182) * (1 + '00_TONG_HOP_BAO_GIA'!P182)</f>
        <v/>
      </c>
      <c r="M191" s="137">
        <f>'00_TONG_HOP_BAO_GIA'!L182 * (1 + '00_TONG_HOP_BAO_GIA'!P182)</f>
        <v/>
      </c>
      <c r="N191" s="137">
        <f>'00_TONG_HOP_BAO_GIA'!R182</f>
        <v/>
      </c>
      <c r="O191" s="139">
        <f>IF(K191=0, "CẢNH BÁO: Đơn giá = 0. Tra cứu lại Sheet 06!", '00_TONG_HOP_BAO_GIA'!S182)</f>
        <v/>
      </c>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83" t="inlineStr">
        <is>
          <t>Cái</t>
        </is>
      </c>
      <c r="H192" s="136" t="n">
        <v>1</v>
      </c>
      <c r="I192" s="136">
        <f>IF('00_TONG_HOP_BAO_GIA'!G183&gt;0, ('00_TONG_HOP_BAO_GIA'!K183 + '00_TONG_HOP_BAO_GIA'!M183) * (1 + '00_TONG_HOP_BAO_GIA'!P183) / '00_TONG_HOP_BAO_GIA'!G183, 0)</f>
        <v/>
      </c>
      <c r="J192" s="136">
        <f>IF('00_TONG_HOP_BAO_GIA'!G183&gt;0, '00_TONG_HOP_BAO_GIA'!L183 * (1 + '00_TONG_HOP_BAO_GIA'!P183) / '00_TONG_HOP_BAO_GIA'!G183, 0)</f>
        <v/>
      </c>
      <c r="K192" s="137">
        <f>'00_TONG_HOP_BAO_GIA'!Q183</f>
        <v/>
      </c>
      <c r="L192" s="137">
        <f>('00_TONG_HOP_BAO_GIA'!K183 + '00_TONG_HOP_BAO_GIA'!M183) * (1 + '00_TONG_HOP_BAO_GIA'!P183)</f>
        <v/>
      </c>
      <c r="M192" s="137">
        <f>'00_TONG_HOP_BAO_GIA'!L183 * (1 + '00_TONG_HOP_BAO_GIA'!P183)</f>
        <v/>
      </c>
      <c r="N192" s="137">
        <f>'00_TONG_HOP_BAO_GIA'!R183</f>
        <v/>
      </c>
      <c r="O192" s="139">
        <f>IF(K192=0, "CẢNH BÁO: Đơn giá = 0. Tra cứu lại Sheet 06!", '00_TONG_HOP_BAO_GIA'!S183)</f>
        <v/>
      </c>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83" t="inlineStr">
        <is>
          <t>Cái</t>
        </is>
      </c>
      <c r="H193" s="136" t="n">
        <v>1</v>
      </c>
      <c r="I193" s="136">
        <f>IF('00_TONG_HOP_BAO_GIA'!G184&gt;0, ('00_TONG_HOP_BAO_GIA'!K184 + '00_TONG_HOP_BAO_GIA'!M184) * (1 + '00_TONG_HOP_BAO_GIA'!P184) / '00_TONG_HOP_BAO_GIA'!G184, 0)</f>
        <v/>
      </c>
      <c r="J193" s="136">
        <f>IF('00_TONG_HOP_BAO_GIA'!G184&gt;0, '00_TONG_HOP_BAO_GIA'!L184 * (1 + '00_TONG_HOP_BAO_GIA'!P184) / '00_TONG_HOP_BAO_GIA'!G184, 0)</f>
        <v/>
      </c>
      <c r="K193" s="137">
        <f>'00_TONG_HOP_BAO_GIA'!Q184</f>
        <v/>
      </c>
      <c r="L193" s="137">
        <f>('00_TONG_HOP_BAO_GIA'!K184 + '00_TONG_HOP_BAO_GIA'!M184) * (1 + '00_TONG_HOP_BAO_GIA'!P184)</f>
        <v/>
      </c>
      <c r="M193" s="137">
        <f>'00_TONG_HOP_BAO_GIA'!L184 * (1 + '00_TONG_HOP_BAO_GIA'!P184)</f>
        <v/>
      </c>
      <c r="N193" s="137">
        <f>'00_TONG_HOP_BAO_GIA'!R184</f>
        <v/>
      </c>
      <c r="O193" s="139">
        <f>IF(K193=0, "CẢNH BÁO: Đơn giá = 0. Tra cứu lại Sheet 06!", '00_TONG_HOP_BAO_GIA'!S184)</f>
        <v/>
      </c>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83" t="inlineStr">
        <is>
          <t>Cái</t>
        </is>
      </c>
      <c r="H194" s="136" t="n">
        <v>1</v>
      </c>
      <c r="I194" s="136">
        <f>IF('00_TONG_HOP_BAO_GIA'!G185&gt;0, ('00_TONG_HOP_BAO_GIA'!K185 + '00_TONG_HOP_BAO_GIA'!M185) * (1 + '00_TONG_HOP_BAO_GIA'!P185) / '00_TONG_HOP_BAO_GIA'!G185, 0)</f>
        <v/>
      </c>
      <c r="J194" s="136">
        <f>IF('00_TONG_HOP_BAO_GIA'!G185&gt;0, '00_TONG_HOP_BAO_GIA'!L185 * (1 + '00_TONG_HOP_BAO_GIA'!P185) / '00_TONG_HOP_BAO_GIA'!G185, 0)</f>
        <v/>
      </c>
      <c r="K194" s="137">
        <f>'00_TONG_HOP_BAO_GIA'!Q185</f>
        <v/>
      </c>
      <c r="L194" s="137">
        <f>('00_TONG_HOP_BAO_GIA'!K185 + '00_TONG_HOP_BAO_GIA'!M185) * (1 + '00_TONG_HOP_BAO_GIA'!P185)</f>
        <v/>
      </c>
      <c r="M194" s="137">
        <f>'00_TONG_HOP_BAO_GIA'!L185 * (1 + '00_TONG_HOP_BAO_GIA'!P185)</f>
        <v/>
      </c>
      <c r="N194" s="137">
        <f>'00_TONG_HOP_BAO_GIA'!R185</f>
        <v/>
      </c>
      <c r="O194" s="139">
        <f>IF(K194=0, "CẢNH BÁO: Đơn giá = 0. Tra cứu lại Sheet 06!", '00_TONG_HOP_BAO_GIA'!S185)</f>
        <v/>
      </c>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83" t="inlineStr">
        <is>
          <t>Cái</t>
        </is>
      </c>
      <c r="H195" s="136" t="n">
        <v>1</v>
      </c>
      <c r="I195" s="136">
        <f>IF('00_TONG_HOP_BAO_GIA'!G186&gt;0, ('00_TONG_HOP_BAO_GIA'!K186 + '00_TONG_HOP_BAO_GIA'!M186) * (1 + '00_TONG_HOP_BAO_GIA'!P186) / '00_TONG_HOP_BAO_GIA'!G186, 0)</f>
        <v/>
      </c>
      <c r="J195" s="136">
        <f>IF('00_TONG_HOP_BAO_GIA'!G186&gt;0, '00_TONG_HOP_BAO_GIA'!L186 * (1 + '00_TONG_HOP_BAO_GIA'!P186) / '00_TONG_HOP_BAO_GIA'!G186, 0)</f>
        <v/>
      </c>
      <c r="K195" s="137">
        <f>'00_TONG_HOP_BAO_GIA'!Q186</f>
        <v/>
      </c>
      <c r="L195" s="137">
        <f>('00_TONG_HOP_BAO_GIA'!K186 + '00_TONG_HOP_BAO_GIA'!M186) * (1 + '00_TONG_HOP_BAO_GIA'!P186)</f>
        <v/>
      </c>
      <c r="M195" s="137">
        <f>'00_TONG_HOP_BAO_GIA'!L186 * (1 + '00_TONG_HOP_BAO_GIA'!P186)</f>
        <v/>
      </c>
      <c r="N195" s="137">
        <f>'00_TONG_HOP_BAO_GIA'!R186</f>
        <v/>
      </c>
      <c r="O195" s="139">
        <f>IF(K195=0, "CẢNH BÁO: Đơn giá = 0. Tra cứu lại Sheet 06!", '00_TONG_HOP_BAO_GIA'!S186)</f>
        <v/>
      </c>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83" t="inlineStr">
        <is>
          <t>Cái</t>
        </is>
      </c>
      <c r="H196" s="136" t="n">
        <v>1</v>
      </c>
      <c r="I196" s="136">
        <f>IF('00_TONG_HOP_BAO_GIA'!G187&gt;0, ('00_TONG_HOP_BAO_GIA'!K187 + '00_TONG_HOP_BAO_GIA'!M187) * (1 + '00_TONG_HOP_BAO_GIA'!P187) / '00_TONG_HOP_BAO_GIA'!G187, 0)</f>
        <v/>
      </c>
      <c r="J196" s="136">
        <f>IF('00_TONG_HOP_BAO_GIA'!G187&gt;0, '00_TONG_HOP_BAO_GIA'!L187 * (1 + '00_TONG_HOP_BAO_GIA'!P187) / '00_TONG_HOP_BAO_GIA'!G187, 0)</f>
        <v/>
      </c>
      <c r="K196" s="137">
        <f>'00_TONG_HOP_BAO_GIA'!Q187</f>
        <v/>
      </c>
      <c r="L196" s="137">
        <f>('00_TONG_HOP_BAO_GIA'!K187 + '00_TONG_HOP_BAO_GIA'!M187) * (1 + '00_TONG_HOP_BAO_GIA'!P187)</f>
        <v/>
      </c>
      <c r="M196" s="137">
        <f>'00_TONG_HOP_BAO_GIA'!L187 * (1 + '00_TONG_HOP_BAO_GIA'!P187)</f>
        <v/>
      </c>
      <c r="N196" s="137">
        <f>'00_TONG_HOP_BAO_GIA'!R187</f>
        <v/>
      </c>
      <c r="O196" s="139">
        <f>IF(K196=0, "CẢNH BÁO: Đơn giá = 0. Tra cứu lại Sheet 06!", '00_TONG_HOP_BAO_GIA'!S187)</f>
        <v/>
      </c>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83" t="inlineStr">
        <is>
          <t>Cái</t>
        </is>
      </c>
      <c r="H197" s="136" t="n">
        <v>1</v>
      </c>
      <c r="I197" s="136">
        <f>IF('00_TONG_HOP_BAO_GIA'!G188&gt;0, ('00_TONG_HOP_BAO_GIA'!K188 + '00_TONG_HOP_BAO_GIA'!M188) * (1 + '00_TONG_HOP_BAO_GIA'!P188) / '00_TONG_HOP_BAO_GIA'!G188, 0)</f>
        <v/>
      </c>
      <c r="J197" s="136">
        <f>IF('00_TONG_HOP_BAO_GIA'!G188&gt;0, '00_TONG_HOP_BAO_GIA'!L188 * (1 + '00_TONG_HOP_BAO_GIA'!P188) / '00_TONG_HOP_BAO_GIA'!G188, 0)</f>
        <v/>
      </c>
      <c r="K197" s="137">
        <f>'00_TONG_HOP_BAO_GIA'!Q188</f>
        <v/>
      </c>
      <c r="L197" s="137">
        <f>('00_TONG_HOP_BAO_GIA'!K188 + '00_TONG_HOP_BAO_GIA'!M188) * (1 + '00_TONG_HOP_BAO_GIA'!P188)</f>
        <v/>
      </c>
      <c r="M197" s="137">
        <f>'00_TONG_HOP_BAO_GIA'!L188 * (1 + '00_TONG_HOP_BAO_GIA'!P188)</f>
        <v/>
      </c>
      <c r="N197" s="137">
        <f>'00_TONG_HOP_BAO_GIA'!R188</f>
        <v/>
      </c>
      <c r="O197" s="139">
        <f>IF(K197=0, "CẢNH BÁO: Đơn giá = 0. Tra cứu lại Sheet 06!", '00_TONG_HOP_BAO_GIA'!S188)</f>
        <v/>
      </c>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83" t="inlineStr">
        <is>
          <t>Cái</t>
        </is>
      </c>
      <c r="H198" s="136" t="n">
        <v>1</v>
      </c>
      <c r="I198" s="136">
        <f>IF('00_TONG_HOP_BAO_GIA'!G189&gt;0, ('00_TONG_HOP_BAO_GIA'!K189 + '00_TONG_HOP_BAO_GIA'!M189) * (1 + '00_TONG_HOP_BAO_GIA'!P189) / '00_TONG_HOP_BAO_GIA'!G189, 0)</f>
        <v/>
      </c>
      <c r="J198" s="136">
        <f>IF('00_TONG_HOP_BAO_GIA'!G189&gt;0, '00_TONG_HOP_BAO_GIA'!L189 * (1 + '00_TONG_HOP_BAO_GIA'!P189) / '00_TONG_HOP_BAO_GIA'!G189, 0)</f>
        <v/>
      </c>
      <c r="K198" s="137">
        <f>'00_TONG_HOP_BAO_GIA'!Q189</f>
        <v/>
      </c>
      <c r="L198" s="137">
        <f>('00_TONG_HOP_BAO_GIA'!K189 + '00_TONG_HOP_BAO_GIA'!M189) * (1 + '00_TONG_HOP_BAO_GIA'!P189)</f>
        <v/>
      </c>
      <c r="M198" s="137">
        <f>'00_TONG_HOP_BAO_GIA'!L189 * (1 + '00_TONG_HOP_BAO_GIA'!P189)</f>
        <v/>
      </c>
      <c r="N198" s="137">
        <f>'00_TONG_HOP_BAO_GIA'!R189</f>
        <v/>
      </c>
      <c r="O198" s="139">
        <f>IF(K198=0, "CẢNH BÁO: Đơn giá = 0. Tra cứu lại Sheet 06!", '00_TONG_HOP_BAO_GIA'!S189)</f>
        <v/>
      </c>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83" t="inlineStr">
        <is>
          <t>Cái</t>
        </is>
      </c>
      <c r="H199" s="136" t="n">
        <v>1</v>
      </c>
      <c r="I199" s="136">
        <f>IF('00_TONG_HOP_BAO_GIA'!G190&gt;0, ('00_TONG_HOP_BAO_GIA'!K190 + '00_TONG_HOP_BAO_GIA'!M190) * (1 + '00_TONG_HOP_BAO_GIA'!P190) / '00_TONG_HOP_BAO_GIA'!G190, 0)</f>
        <v/>
      </c>
      <c r="J199" s="136">
        <f>IF('00_TONG_HOP_BAO_GIA'!G190&gt;0, '00_TONG_HOP_BAO_GIA'!L190 * (1 + '00_TONG_HOP_BAO_GIA'!P190) / '00_TONG_HOP_BAO_GIA'!G190, 0)</f>
        <v/>
      </c>
      <c r="K199" s="137">
        <f>'00_TONG_HOP_BAO_GIA'!Q190</f>
        <v/>
      </c>
      <c r="L199" s="137">
        <f>('00_TONG_HOP_BAO_GIA'!K190 + '00_TONG_HOP_BAO_GIA'!M190) * (1 + '00_TONG_HOP_BAO_GIA'!P190)</f>
        <v/>
      </c>
      <c r="M199" s="137">
        <f>'00_TONG_HOP_BAO_GIA'!L190 * (1 + '00_TONG_HOP_BAO_GIA'!P190)</f>
        <v/>
      </c>
      <c r="N199" s="137">
        <f>'00_TONG_HOP_BAO_GIA'!R190</f>
        <v/>
      </c>
      <c r="O199" s="139">
        <f>IF(K199=0, "CẢNH BÁO: Đơn giá = 0. Tra cứu lại Sheet 06!", '00_TONG_HOP_BAO_GIA'!S190)</f>
        <v/>
      </c>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83" t="inlineStr">
        <is>
          <t>Cái</t>
        </is>
      </c>
      <c r="H200" s="136" t="n">
        <v>1</v>
      </c>
      <c r="I200" s="136">
        <f>IF('00_TONG_HOP_BAO_GIA'!G191&gt;0, ('00_TONG_HOP_BAO_GIA'!K191 + '00_TONG_HOP_BAO_GIA'!M191) * (1 + '00_TONG_HOP_BAO_GIA'!P191) / '00_TONG_HOP_BAO_GIA'!G191, 0)</f>
        <v/>
      </c>
      <c r="J200" s="136">
        <f>IF('00_TONG_HOP_BAO_GIA'!G191&gt;0, '00_TONG_HOP_BAO_GIA'!L191 * (1 + '00_TONG_HOP_BAO_GIA'!P191) / '00_TONG_HOP_BAO_GIA'!G191, 0)</f>
        <v/>
      </c>
      <c r="K200" s="137">
        <f>'00_TONG_HOP_BAO_GIA'!Q191</f>
        <v/>
      </c>
      <c r="L200" s="137">
        <f>('00_TONG_HOP_BAO_GIA'!K191 + '00_TONG_HOP_BAO_GIA'!M191) * (1 + '00_TONG_HOP_BAO_GIA'!P191)</f>
        <v/>
      </c>
      <c r="M200" s="137">
        <f>'00_TONG_HOP_BAO_GIA'!L191 * (1 + '00_TONG_HOP_BAO_GIA'!P191)</f>
        <v/>
      </c>
      <c r="N200" s="137">
        <f>'00_TONG_HOP_BAO_GIA'!R191</f>
        <v/>
      </c>
      <c r="O200" s="139">
        <f>IF(K200=0, "CẢNH BÁO: Đơn giá = 0. Tra cứu lại Sheet 06!", '00_TONG_HOP_BAO_GIA'!S191)</f>
        <v/>
      </c>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83" t="inlineStr">
        <is>
          <t>Cái</t>
        </is>
      </c>
      <c r="H201" s="136" t="n">
        <v>1</v>
      </c>
      <c r="I201" s="136">
        <f>IF('00_TONG_HOP_BAO_GIA'!G192&gt;0, ('00_TONG_HOP_BAO_GIA'!K192 + '00_TONG_HOP_BAO_GIA'!M192) * (1 + '00_TONG_HOP_BAO_GIA'!P192) / '00_TONG_HOP_BAO_GIA'!G192, 0)</f>
        <v/>
      </c>
      <c r="J201" s="136">
        <f>IF('00_TONG_HOP_BAO_GIA'!G192&gt;0, '00_TONG_HOP_BAO_GIA'!L192 * (1 + '00_TONG_HOP_BAO_GIA'!P192) / '00_TONG_HOP_BAO_GIA'!G192, 0)</f>
        <v/>
      </c>
      <c r="K201" s="137">
        <f>'00_TONG_HOP_BAO_GIA'!Q192</f>
        <v/>
      </c>
      <c r="L201" s="137">
        <f>('00_TONG_HOP_BAO_GIA'!K192 + '00_TONG_HOP_BAO_GIA'!M192) * (1 + '00_TONG_HOP_BAO_GIA'!P192)</f>
        <v/>
      </c>
      <c r="M201" s="137">
        <f>'00_TONG_HOP_BAO_GIA'!L192 * (1 + '00_TONG_HOP_BAO_GIA'!P192)</f>
        <v/>
      </c>
      <c r="N201" s="137">
        <f>'00_TONG_HOP_BAO_GIA'!R192</f>
        <v/>
      </c>
      <c r="O201" s="139">
        <f>IF(K201=0, "CẢNH BÁO: Đơn giá = 0. Tra cứu lại Sheet 06!", '00_TONG_HOP_BAO_GIA'!S192)</f>
        <v/>
      </c>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83" t="inlineStr">
        <is>
          <t>Cái</t>
        </is>
      </c>
      <c r="H202" s="136" t="n">
        <v>1</v>
      </c>
      <c r="I202" s="136">
        <f>IF('00_TONG_HOP_BAO_GIA'!G193&gt;0, ('00_TONG_HOP_BAO_GIA'!K193 + '00_TONG_HOP_BAO_GIA'!M193) * (1 + '00_TONG_HOP_BAO_GIA'!P193) / '00_TONG_HOP_BAO_GIA'!G193, 0)</f>
        <v/>
      </c>
      <c r="J202" s="136">
        <f>IF('00_TONG_HOP_BAO_GIA'!G193&gt;0, '00_TONG_HOP_BAO_GIA'!L193 * (1 + '00_TONG_HOP_BAO_GIA'!P193) / '00_TONG_HOP_BAO_GIA'!G193, 0)</f>
        <v/>
      </c>
      <c r="K202" s="137">
        <f>'00_TONG_HOP_BAO_GIA'!Q193</f>
        <v/>
      </c>
      <c r="L202" s="137">
        <f>('00_TONG_HOP_BAO_GIA'!K193 + '00_TONG_HOP_BAO_GIA'!M193) * (1 + '00_TONG_HOP_BAO_GIA'!P193)</f>
        <v/>
      </c>
      <c r="M202" s="137">
        <f>'00_TONG_HOP_BAO_GIA'!L193 * (1 + '00_TONG_HOP_BAO_GIA'!P193)</f>
        <v/>
      </c>
      <c r="N202" s="137">
        <f>'00_TONG_HOP_BAO_GIA'!R193</f>
        <v/>
      </c>
      <c r="O202" s="139">
        <f>IF(K202=0, "CẢNH BÁO: Đơn giá = 0. Tra cứu lại Sheet 06!", '00_TONG_HOP_BAO_GIA'!S193)</f>
        <v/>
      </c>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83" t="inlineStr">
        <is>
          <t>Cái</t>
        </is>
      </c>
      <c r="H203" s="136" t="n">
        <v>1</v>
      </c>
      <c r="I203" s="136">
        <f>IF('00_TONG_HOP_BAO_GIA'!G194&gt;0, ('00_TONG_HOP_BAO_GIA'!K194 + '00_TONG_HOP_BAO_GIA'!M194) * (1 + '00_TONG_HOP_BAO_GIA'!P194) / '00_TONG_HOP_BAO_GIA'!G194, 0)</f>
        <v/>
      </c>
      <c r="J203" s="136">
        <f>IF('00_TONG_HOP_BAO_GIA'!G194&gt;0, '00_TONG_HOP_BAO_GIA'!L194 * (1 + '00_TONG_HOP_BAO_GIA'!P194) / '00_TONG_HOP_BAO_GIA'!G194, 0)</f>
        <v/>
      </c>
      <c r="K203" s="137">
        <f>'00_TONG_HOP_BAO_GIA'!Q194</f>
        <v/>
      </c>
      <c r="L203" s="137">
        <f>('00_TONG_HOP_BAO_GIA'!K194 + '00_TONG_HOP_BAO_GIA'!M194) * (1 + '00_TONG_HOP_BAO_GIA'!P194)</f>
        <v/>
      </c>
      <c r="M203" s="137">
        <f>'00_TONG_HOP_BAO_GIA'!L194 * (1 + '00_TONG_HOP_BAO_GIA'!P194)</f>
        <v/>
      </c>
      <c r="N203" s="137">
        <f>'00_TONG_HOP_BAO_GIA'!R194</f>
        <v/>
      </c>
      <c r="O203" s="139">
        <f>IF(K203=0, "CẢNH BÁO: Đơn giá = 0. Tra cứu lại Sheet 06!", '00_TONG_HOP_BAO_GIA'!S194)</f>
        <v/>
      </c>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83" t="inlineStr">
        <is>
          <t>Cái</t>
        </is>
      </c>
      <c r="H204" s="136" t="n">
        <v>1</v>
      </c>
      <c r="I204" s="136">
        <f>IF('00_TONG_HOP_BAO_GIA'!G195&gt;0, ('00_TONG_HOP_BAO_GIA'!K195 + '00_TONG_HOP_BAO_GIA'!M195) * (1 + '00_TONG_HOP_BAO_GIA'!P195) / '00_TONG_HOP_BAO_GIA'!G195, 0)</f>
        <v/>
      </c>
      <c r="J204" s="136">
        <f>IF('00_TONG_HOP_BAO_GIA'!G195&gt;0, '00_TONG_HOP_BAO_GIA'!L195 * (1 + '00_TONG_HOP_BAO_GIA'!P195) / '00_TONG_HOP_BAO_GIA'!G195, 0)</f>
        <v/>
      </c>
      <c r="K204" s="137">
        <f>'00_TONG_HOP_BAO_GIA'!Q195</f>
        <v/>
      </c>
      <c r="L204" s="137">
        <f>('00_TONG_HOP_BAO_GIA'!K195 + '00_TONG_HOP_BAO_GIA'!M195) * (1 + '00_TONG_HOP_BAO_GIA'!P195)</f>
        <v/>
      </c>
      <c r="M204" s="137">
        <f>'00_TONG_HOP_BAO_GIA'!L195 * (1 + '00_TONG_HOP_BAO_GIA'!P195)</f>
        <v/>
      </c>
      <c r="N204" s="137">
        <f>'00_TONG_HOP_BAO_GIA'!R195</f>
        <v/>
      </c>
      <c r="O204" s="139">
        <f>IF(K204=0, "CẢNH BÁO: Đơn giá = 0. Tra cứu lại Sheet 06!", '00_TONG_HOP_BAO_GIA'!S195)</f>
        <v/>
      </c>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83" t="inlineStr">
        <is>
          <t>Cái</t>
        </is>
      </c>
      <c r="H205" s="136" t="n">
        <v>1</v>
      </c>
      <c r="I205" s="136">
        <f>IF('00_TONG_HOP_BAO_GIA'!G196&gt;0, ('00_TONG_HOP_BAO_GIA'!K196 + '00_TONG_HOP_BAO_GIA'!M196) * (1 + '00_TONG_HOP_BAO_GIA'!P196) / '00_TONG_HOP_BAO_GIA'!G196, 0)</f>
        <v/>
      </c>
      <c r="J205" s="136">
        <f>IF('00_TONG_HOP_BAO_GIA'!G196&gt;0, '00_TONG_HOP_BAO_GIA'!L196 * (1 + '00_TONG_HOP_BAO_GIA'!P196) / '00_TONG_HOP_BAO_GIA'!G196, 0)</f>
        <v/>
      </c>
      <c r="K205" s="137">
        <f>'00_TONG_HOP_BAO_GIA'!Q196</f>
        <v/>
      </c>
      <c r="L205" s="137">
        <f>('00_TONG_HOP_BAO_GIA'!K196 + '00_TONG_HOP_BAO_GIA'!M196) * (1 + '00_TONG_HOP_BAO_GIA'!P196)</f>
        <v/>
      </c>
      <c r="M205" s="137">
        <f>'00_TONG_HOP_BAO_GIA'!L196 * (1 + '00_TONG_HOP_BAO_GIA'!P196)</f>
        <v/>
      </c>
      <c r="N205" s="137">
        <f>'00_TONG_HOP_BAO_GIA'!R196</f>
        <v/>
      </c>
      <c r="O205" s="139">
        <f>IF(K205=0, "CẢNH BÁO: Đơn giá = 0. Tra cứu lại Sheet 06!", '00_TONG_HOP_BAO_GIA'!S196)</f>
        <v/>
      </c>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83" t="inlineStr">
        <is>
          <t>Cái</t>
        </is>
      </c>
      <c r="H206" s="136" t="n">
        <v>1</v>
      </c>
      <c r="I206" s="136">
        <f>IF('00_TONG_HOP_BAO_GIA'!G197&gt;0, ('00_TONG_HOP_BAO_GIA'!K197 + '00_TONG_HOP_BAO_GIA'!M197) * (1 + '00_TONG_HOP_BAO_GIA'!P197) / '00_TONG_HOP_BAO_GIA'!G197, 0)</f>
        <v/>
      </c>
      <c r="J206" s="136">
        <f>IF('00_TONG_HOP_BAO_GIA'!G197&gt;0, '00_TONG_HOP_BAO_GIA'!L197 * (1 + '00_TONG_HOP_BAO_GIA'!P197) / '00_TONG_HOP_BAO_GIA'!G197, 0)</f>
        <v/>
      </c>
      <c r="K206" s="137">
        <f>'00_TONG_HOP_BAO_GIA'!Q197</f>
        <v/>
      </c>
      <c r="L206" s="137">
        <f>('00_TONG_HOP_BAO_GIA'!K197 + '00_TONG_HOP_BAO_GIA'!M197) * (1 + '00_TONG_HOP_BAO_GIA'!P197)</f>
        <v/>
      </c>
      <c r="M206" s="137">
        <f>'00_TONG_HOP_BAO_GIA'!L197 * (1 + '00_TONG_HOP_BAO_GIA'!P197)</f>
        <v/>
      </c>
      <c r="N206" s="137">
        <f>'00_TONG_HOP_BAO_GIA'!R197</f>
        <v/>
      </c>
      <c r="O206" s="139">
        <f>IF(K206=0, "CẢNH BÁO: Đơn giá = 0. Tra cứu lại Sheet 06!", '00_TONG_HOP_BAO_GIA'!S197)</f>
        <v/>
      </c>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83" t="inlineStr">
        <is>
          <t>Cái</t>
        </is>
      </c>
      <c r="H207" s="136" t="n">
        <v>1</v>
      </c>
      <c r="I207" s="136">
        <f>IF('00_TONG_HOP_BAO_GIA'!G198&gt;0, ('00_TONG_HOP_BAO_GIA'!K198 + '00_TONG_HOP_BAO_GIA'!M198) * (1 + '00_TONG_HOP_BAO_GIA'!P198) / '00_TONG_HOP_BAO_GIA'!G198, 0)</f>
        <v/>
      </c>
      <c r="J207" s="136">
        <f>IF('00_TONG_HOP_BAO_GIA'!G198&gt;0, '00_TONG_HOP_BAO_GIA'!L198 * (1 + '00_TONG_HOP_BAO_GIA'!P198) / '00_TONG_HOP_BAO_GIA'!G198, 0)</f>
        <v/>
      </c>
      <c r="K207" s="137">
        <f>'00_TONG_HOP_BAO_GIA'!Q198</f>
        <v/>
      </c>
      <c r="L207" s="137">
        <f>('00_TONG_HOP_BAO_GIA'!K198 + '00_TONG_HOP_BAO_GIA'!M198) * (1 + '00_TONG_HOP_BAO_GIA'!P198)</f>
        <v/>
      </c>
      <c r="M207" s="137">
        <f>'00_TONG_HOP_BAO_GIA'!L198 * (1 + '00_TONG_HOP_BAO_GIA'!P198)</f>
        <v/>
      </c>
      <c r="N207" s="137">
        <f>'00_TONG_HOP_BAO_GIA'!R198</f>
        <v/>
      </c>
      <c r="O207" s="139">
        <f>IF(K207=0, "CẢNH BÁO: Đơn giá = 0. Tra cứu lại Sheet 06!", '00_TONG_HOP_BAO_GIA'!S198)</f>
        <v/>
      </c>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83" t="inlineStr">
        <is>
          <t>Cái</t>
        </is>
      </c>
      <c r="H208" s="136" t="n">
        <v>1</v>
      </c>
      <c r="I208" s="136">
        <f>IF('00_TONG_HOP_BAO_GIA'!G199&gt;0, ('00_TONG_HOP_BAO_GIA'!K199 + '00_TONG_HOP_BAO_GIA'!M199) * (1 + '00_TONG_HOP_BAO_GIA'!P199) / '00_TONG_HOP_BAO_GIA'!G199, 0)</f>
        <v/>
      </c>
      <c r="J208" s="136">
        <f>IF('00_TONG_HOP_BAO_GIA'!G199&gt;0, '00_TONG_HOP_BAO_GIA'!L199 * (1 + '00_TONG_HOP_BAO_GIA'!P199) / '00_TONG_HOP_BAO_GIA'!G199, 0)</f>
        <v/>
      </c>
      <c r="K208" s="137">
        <f>'00_TONG_HOP_BAO_GIA'!Q199</f>
        <v/>
      </c>
      <c r="L208" s="137">
        <f>('00_TONG_HOP_BAO_GIA'!K199 + '00_TONG_HOP_BAO_GIA'!M199) * (1 + '00_TONG_HOP_BAO_GIA'!P199)</f>
        <v/>
      </c>
      <c r="M208" s="137">
        <f>'00_TONG_HOP_BAO_GIA'!L199 * (1 + '00_TONG_HOP_BAO_GIA'!P199)</f>
        <v/>
      </c>
      <c r="N208" s="137">
        <f>'00_TONG_HOP_BAO_GIA'!R199</f>
        <v/>
      </c>
      <c r="O208" s="139">
        <f>IF(K208=0, "CẢNH BÁO: Đơn giá = 0. Tra cứu lại Sheet 06!", '00_TONG_HOP_BAO_GIA'!S199)</f>
        <v/>
      </c>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83" t="inlineStr">
        <is>
          <t>Cái</t>
        </is>
      </c>
      <c r="H209" s="136" t="n">
        <v>1</v>
      </c>
      <c r="I209" s="136">
        <f>IF('00_TONG_HOP_BAO_GIA'!G200&gt;0, ('00_TONG_HOP_BAO_GIA'!K200 + '00_TONG_HOP_BAO_GIA'!M200) * (1 + '00_TONG_HOP_BAO_GIA'!P200) / '00_TONG_HOP_BAO_GIA'!G200, 0)</f>
        <v/>
      </c>
      <c r="J209" s="136">
        <f>IF('00_TONG_HOP_BAO_GIA'!G200&gt;0, '00_TONG_HOP_BAO_GIA'!L200 * (1 + '00_TONG_HOP_BAO_GIA'!P200) / '00_TONG_HOP_BAO_GIA'!G200, 0)</f>
        <v/>
      </c>
      <c r="K209" s="137">
        <f>'00_TONG_HOP_BAO_GIA'!Q200</f>
        <v/>
      </c>
      <c r="L209" s="137">
        <f>('00_TONG_HOP_BAO_GIA'!K200 + '00_TONG_HOP_BAO_GIA'!M200) * (1 + '00_TONG_HOP_BAO_GIA'!P200)</f>
        <v/>
      </c>
      <c r="M209" s="137">
        <f>'00_TONG_HOP_BAO_GIA'!L200 * (1 + '00_TONG_HOP_BAO_GIA'!P200)</f>
        <v/>
      </c>
      <c r="N209" s="137">
        <f>'00_TONG_HOP_BAO_GIA'!R200</f>
        <v/>
      </c>
      <c r="O209" s="139">
        <f>IF(K209=0, "CẢNH BÁO: Đơn giá = 0. Tra cứu lại Sheet 06!", '00_TONG_HOP_BAO_GIA'!S200)</f>
        <v/>
      </c>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83" t="inlineStr">
        <is>
          <t>Cái</t>
        </is>
      </c>
      <c r="H210" s="136" t="n">
        <v>1</v>
      </c>
      <c r="I210" s="136">
        <f>IF('00_TONG_HOP_BAO_GIA'!G201&gt;0, ('00_TONG_HOP_BAO_GIA'!K201 + '00_TONG_HOP_BAO_GIA'!M201) * (1 + '00_TONG_HOP_BAO_GIA'!P201) / '00_TONG_HOP_BAO_GIA'!G201, 0)</f>
        <v/>
      </c>
      <c r="J210" s="136">
        <f>IF('00_TONG_HOP_BAO_GIA'!G201&gt;0, '00_TONG_HOP_BAO_GIA'!L201 * (1 + '00_TONG_HOP_BAO_GIA'!P201) / '00_TONG_HOP_BAO_GIA'!G201, 0)</f>
        <v/>
      </c>
      <c r="K210" s="137">
        <f>'00_TONG_HOP_BAO_GIA'!Q201</f>
        <v/>
      </c>
      <c r="L210" s="137">
        <f>('00_TONG_HOP_BAO_GIA'!K201 + '00_TONG_HOP_BAO_GIA'!M201) * (1 + '00_TONG_HOP_BAO_GIA'!P201)</f>
        <v/>
      </c>
      <c r="M210" s="137">
        <f>'00_TONG_HOP_BAO_GIA'!L201 * (1 + '00_TONG_HOP_BAO_GIA'!P201)</f>
        <v/>
      </c>
      <c r="N210" s="137">
        <f>'00_TONG_HOP_BAO_GIA'!R201</f>
        <v/>
      </c>
      <c r="O210" s="139">
        <f>IF(K210=0, "CẢNH BÁO: Đơn giá = 0. Tra cứu lại Sheet 06!", '00_TONG_HOP_BAO_GIA'!S201)</f>
        <v/>
      </c>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83" t="inlineStr">
        <is>
          <t>Cái</t>
        </is>
      </c>
      <c r="H211" s="136" t="n">
        <v>1</v>
      </c>
      <c r="I211" s="136">
        <f>IF('00_TONG_HOP_BAO_GIA'!G202&gt;0, ('00_TONG_HOP_BAO_GIA'!K202 + '00_TONG_HOP_BAO_GIA'!M202) * (1 + '00_TONG_HOP_BAO_GIA'!P202) / '00_TONG_HOP_BAO_GIA'!G202, 0)</f>
        <v/>
      </c>
      <c r="J211" s="136">
        <f>IF('00_TONG_HOP_BAO_GIA'!G202&gt;0, '00_TONG_HOP_BAO_GIA'!L202 * (1 + '00_TONG_HOP_BAO_GIA'!P202) / '00_TONG_HOP_BAO_GIA'!G202, 0)</f>
        <v/>
      </c>
      <c r="K211" s="137">
        <f>'00_TONG_HOP_BAO_GIA'!Q202</f>
        <v/>
      </c>
      <c r="L211" s="137">
        <f>('00_TONG_HOP_BAO_GIA'!K202 + '00_TONG_HOP_BAO_GIA'!M202) * (1 + '00_TONG_HOP_BAO_GIA'!P202)</f>
        <v/>
      </c>
      <c r="M211" s="137">
        <f>'00_TONG_HOP_BAO_GIA'!L202 * (1 + '00_TONG_HOP_BAO_GIA'!P202)</f>
        <v/>
      </c>
      <c r="N211" s="137">
        <f>'00_TONG_HOP_BAO_GIA'!R202</f>
        <v/>
      </c>
      <c r="O211" s="139">
        <f>IF(K211=0, "CẢNH BÁO: Đơn giá = 0. Tra cứu lại Sheet 06!", '00_TONG_HOP_BAO_GIA'!S202)</f>
        <v/>
      </c>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83" t="inlineStr">
        <is>
          <t>Cái</t>
        </is>
      </c>
      <c r="H212" s="136" t="n">
        <v>1</v>
      </c>
      <c r="I212" s="136">
        <f>IF('00_TONG_HOP_BAO_GIA'!G203&gt;0, ('00_TONG_HOP_BAO_GIA'!K203 + '00_TONG_HOP_BAO_GIA'!M203) * (1 + '00_TONG_HOP_BAO_GIA'!P203) / '00_TONG_HOP_BAO_GIA'!G203, 0)</f>
        <v/>
      </c>
      <c r="J212" s="136">
        <f>IF('00_TONG_HOP_BAO_GIA'!G203&gt;0, '00_TONG_HOP_BAO_GIA'!L203 * (1 + '00_TONG_HOP_BAO_GIA'!P203) / '00_TONG_HOP_BAO_GIA'!G203, 0)</f>
        <v/>
      </c>
      <c r="K212" s="137">
        <f>'00_TONG_HOP_BAO_GIA'!Q203</f>
        <v/>
      </c>
      <c r="L212" s="137">
        <f>('00_TONG_HOP_BAO_GIA'!K203 + '00_TONG_HOP_BAO_GIA'!M203) * (1 + '00_TONG_HOP_BAO_GIA'!P203)</f>
        <v/>
      </c>
      <c r="M212" s="137">
        <f>'00_TONG_HOP_BAO_GIA'!L203 * (1 + '00_TONG_HOP_BAO_GIA'!P203)</f>
        <v/>
      </c>
      <c r="N212" s="137">
        <f>'00_TONG_HOP_BAO_GIA'!R203</f>
        <v/>
      </c>
      <c r="O212" s="139">
        <f>IF(K212=0, "CẢNH BÁO: Đơn giá = 0. Tra cứu lại Sheet 06!", '00_TONG_HOP_BAO_GIA'!S203)</f>
        <v/>
      </c>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83" t="inlineStr">
        <is>
          <t>Cái</t>
        </is>
      </c>
      <c r="H213" s="136" t="n">
        <v>1</v>
      </c>
      <c r="I213" s="136">
        <f>IF('00_TONG_HOP_BAO_GIA'!G204&gt;0, ('00_TONG_HOP_BAO_GIA'!K204 + '00_TONG_HOP_BAO_GIA'!M204) * (1 + '00_TONG_HOP_BAO_GIA'!P204) / '00_TONG_HOP_BAO_GIA'!G204, 0)</f>
        <v/>
      </c>
      <c r="J213" s="136">
        <f>IF('00_TONG_HOP_BAO_GIA'!G204&gt;0, '00_TONG_HOP_BAO_GIA'!L204 * (1 + '00_TONG_HOP_BAO_GIA'!P204) / '00_TONG_HOP_BAO_GIA'!G204, 0)</f>
        <v/>
      </c>
      <c r="K213" s="137">
        <f>'00_TONG_HOP_BAO_GIA'!Q204</f>
        <v/>
      </c>
      <c r="L213" s="137">
        <f>('00_TONG_HOP_BAO_GIA'!K204 + '00_TONG_HOP_BAO_GIA'!M204) * (1 + '00_TONG_HOP_BAO_GIA'!P204)</f>
        <v/>
      </c>
      <c r="M213" s="137">
        <f>'00_TONG_HOP_BAO_GIA'!L204 * (1 + '00_TONG_HOP_BAO_GIA'!P204)</f>
        <v/>
      </c>
      <c r="N213" s="137">
        <f>'00_TONG_HOP_BAO_GIA'!R204</f>
        <v/>
      </c>
      <c r="O213" s="139">
        <f>IF(K213=0, "CẢNH BÁO: Đơn giá = 0. Tra cứu lại Sheet 06!", '00_TONG_HOP_BAO_GIA'!S204)</f>
        <v/>
      </c>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83" t="inlineStr">
        <is>
          <t>Cái</t>
        </is>
      </c>
      <c r="H214" s="136" t="n">
        <v>1</v>
      </c>
      <c r="I214" s="136">
        <f>IF('00_TONG_HOP_BAO_GIA'!G205&gt;0, ('00_TONG_HOP_BAO_GIA'!K205 + '00_TONG_HOP_BAO_GIA'!M205) * (1 + '00_TONG_HOP_BAO_GIA'!P205) / '00_TONG_HOP_BAO_GIA'!G205, 0)</f>
        <v/>
      </c>
      <c r="J214" s="136">
        <f>IF('00_TONG_HOP_BAO_GIA'!G205&gt;0, '00_TONG_HOP_BAO_GIA'!L205 * (1 + '00_TONG_HOP_BAO_GIA'!P205) / '00_TONG_HOP_BAO_GIA'!G205, 0)</f>
        <v/>
      </c>
      <c r="K214" s="137">
        <f>'00_TONG_HOP_BAO_GIA'!Q205</f>
        <v/>
      </c>
      <c r="L214" s="137">
        <f>('00_TONG_HOP_BAO_GIA'!K205 + '00_TONG_HOP_BAO_GIA'!M205) * (1 + '00_TONG_HOP_BAO_GIA'!P205)</f>
        <v/>
      </c>
      <c r="M214" s="137">
        <f>'00_TONG_HOP_BAO_GIA'!L205 * (1 + '00_TONG_HOP_BAO_GIA'!P205)</f>
        <v/>
      </c>
      <c r="N214" s="137">
        <f>'00_TONG_HOP_BAO_GIA'!R205</f>
        <v/>
      </c>
      <c r="O214" s="139">
        <f>IF(K214=0, "CẢNH BÁO: Đơn giá = 0. Tra cứu lại Sheet 06!", '00_TONG_HOP_BAO_GIA'!S205)</f>
        <v/>
      </c>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83" t="inlineStr">
        <is>
          <t>Cái</t>
        </is>
      </c>
      <c r="H215" s="136" t="n">
        <v>1</v>
      </c>
      <c r="I215" s="136">
        <f>IF('00_TONG_HOP_BAO_GIA'!G206&gt;0, ('00_TONG_HOP_BAO_GIA'!K206 + '00_TONG_HOP_BAO_GIA'!M206) * (1 + '00_TONG_HOP_BAO_GIA'!P206) / '00_TONG_HOP_BAO_GIA'!G206, 0)</f>
        <v/>
      </c>
      <c r="J215" s="136">
        <f>IF('00_TONG_HOP_BAO_GIA'!G206&gt;0, '00_TONG_HOP_BAO_GIA'!L206 * (1 + '00_TONG_HOP_BAO_GIA'!P206) / '00_TONG_HOP_BAO_GIA'!G206, 0)</f>
        <v/>
      </c>
      <c r="K215" s="137">
        <f>'00_TONG_HOP_BAO_GIA'!Q206</f>
        <v/>
      </c>
      <c r="L215" s="137">
        <f>('00_TONG_HOP_BAO_GIA'!K206 + '00_TONG_HOP_BAO_GIA'!M206) * (1 + '00_TONG_HOP_BAO_GIA'!P206)</f>
        <v/>
      </c>
      <c r="M215" s="137">
        <f>'00_TONG_HOP_BAO_GIA'!L206 * (1 + '00_TONG_HOP_BAO_GIA'!P206)</f>
        <v/>
      </c>
      <c r="N215" s="137">
        <f>'00_TONG_HOP_BAO_GIA'!R206</f>
        <v/>
      </c>
      <c r="O215" s="139">
        <f>IF(K215=0, "CẢNH BÁO: Đơn giá = 0. Tra cứu lại Sheet 06!", '00_TONG_HOP_BAO_GIA'!S206)</f>
        <v/>
      </c>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83" t="inlineStr">
        <is>
          <t>Cái</t>
        </is>
      </c>
      <c r="H216" s="136" t="n">
        <v>1</v>
      </c>
      <c r="I216" s="136">
        <f>IF('00_TONG_HOP_BAO_GIA'!G207&gt;0, ('00_TONG_HOP_BAO_GIA'!K207 + '00_TONG_HOP_BAO_GIA'!M207) * (1 + '00_TONG_HOP_BAO_GIA'!P207) / '00_TONG_HOP_BAO_GIA'!G207, 0)</f>
        <v/>
      </c>
      <c r="J216" s="136">
        <f>IF('00_TONG_HOP_BAO_GIA'!G207&gt;0, '00_TONG_HOP_BAO_GIA'!L207 * (1 + '00_TONG_HOP_BAO_GIA'!P207) / '00_TONG_HOP_BAO_GIA'!G207, 0)</f>
        <v/>
      </c>
      <c r="K216" s="137">
        <f>'00_TONG_HOP_BAO_GIA'!Q207</f>
        <v/>
      </c>
      <c r="L216" s="137">
        <f>('00_TONG_HOP_BAO_GIA'!K207 + '00_TONG_HOP_BAO_GIA'!M207) * (1 + '00_TONG_HOP_BAO_GIA'!P207)</f>
        <v/>
      </c>
      <c r="M216" s="137">
        <f>'00_TONG_HOP_BAO_GIA'!L207 * (1 + '00_TONG_HOP_BAO_GIA'!P207)</f>
        <v/>
      </c>
      <c r="N216" s="137">
        <f>'00_TONG_HOP_BAO_GIA'!R207</f>
        <v/>
      </c>
      <c r="O216" s="139">
        <f>IF(K216=0, "CẢNH BÁO: Đơn giá = 0. Tra cứu lại Sheet 06!", '00_TONG_HOP_BAO_GIA'!S207)</f>
        <v/>
      </c>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83" t="inlineStr">
        <is>
          <t>Bộ</t>
        </is>
      </c>
      <c r="H217" s="136" t="n">
        <v>8</v>
      </c>
      <c r="I217" s="136">
        <f>IF('00_TONG_HOP_BAO_GIA'!G208&gt;0, ('00_TONG_HOP_BAO_GIA'!K208 + '00_TONG_HOP_BAO_GIA'!M208) * (1 + '00_TONG_HOP_BAO_GIA'!P208) / '00_TONG_HOP_BAO_GIA'!G208, 0)</f>
        <v/>
      </c>
      <c r="J217" s="136">
        <f>IF('00_TONG_HOP_BAO_GIA'!G208&gt;0, '00_TONG_HOP_BAO_GIA'!L208 * (1 + '00_TONG_HOP_BAO_GIA'!P208) / '00_TONG_HOP_BAO_GIA'!G208, 0)</f>
        <v/>
      </c>
      <c r="K217" s="137">
        <f>'00_TONG_HOP_BAO_GIA'!Q208</f>
        <v/>
      </c>
      <c r="L217" s="137">
        <f>('00_TONG_HOP_BAO_GIA'!K208 + '00_TONG_HOP_BAO_GIA'!M208) * (1 + '00_TONG_HOP_BAO_GIA'!P208)</f>
        <v/>
      </c>
      <c r="M217" s="137">
        <f>'00_TONG_HOP_BAO_GIA'!L208 * (1 + '00_TONG_HOP_BAO_GIA'!P208)</f>
        <v/>
      </c>
      <c r="N217" s="137">
        <f>'00_TONG_HOP_BAO_GIA'!R208</f>
        <v/>
      </c>
      <c r="O217" s="139">
        <f>IF(K217=0, "CẢNH BÁO: Đơn giá = 0. Tra cứu lại Sheet 06!", '00_TONG_HOP_BAO_GIA'!S208)</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83" t="inlineStr">
        <is>
          <t>Cái</t>
        </is>
      </c>
      <c r="H218" s="136" t="n">
        <v>4</v>
      </c>
      <c r="I218" s="136">
        <f>IF('00_TONG_HOP_BAO_GIA'!G209&gt;0, ('00_TONG_HOP_BAO_GIA'!K209 + '00_TONG_HOP_BAO_GIA'!M209) * (1 + '00_TONG_HOP_BAO_GIA'!P209) / '00_TONG_HOP_BAO_GIA'!G209, 0)</f>
        <v/>
      </c>
      <c r="J218" s="136">
        <f>IF('00_TONG_HOP_BAO_GIA'!G209&gt;0, '00_TONG_HOP_BAO_GIA'!L209 * (1 + '00_TONG_HOP_BAO_GIA'!P209) / '00_TONG_HOP_BAO_GIA'!G209, 0)</f>
        <v/>
      </c>
      <c r="K218" s="137">
        <f>'00_TONG_HOP_BAO_GIA'!Q209</f>
        <v/>
      </c>
      <c r="L218" s="137">
        <f>('00_TONG_HOP_BAO_GIA'!K209 + '00_TONG_HOP_BAO_GIA'!M209) * (1 + '00_TONG_HOP_BAO_GIA'!P209)</f>
        <v/>
      </c>
      <c r="M218" s="137">
        <f>'00_TONG_HOP_BAO_GIA'!L209 * (1 + '00_TONG_HOP_BAO_GIA'!P209)</f>
        <v/>
      </c>
      <c r="N218" s="137">
        <f>'00_TONG_HOP_BAO_GIA'!R209</f>
        <v/>
      </c>
      <c r="O218" s="139">
        <f>IF(K218=0, "CẢNH BÁO: Đơn giá = 0. Tra cứu lại Sheet 06!", '00_TONG_HOP_BAO_GIA'!S209)</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83" t="inlineStr">
        <is>
          <t>Cái</t>
        </is>
      </c>
      <c r="H219" s="136" t="n">
        <v>4</v>
      </c>
      <c r="I219" s="136">
        <f>IF('00_TONG_HOP_BAO_GIA'!G210&gt;0, ('00_TONG_HOP_BAO_GIA'!K210 + '00_TONG_HOP_BAO_GIA'!M210) * (1 + '00_TONG_HOP_BAO_GIA'!P210) / '00_TONG_HOP_BAO_GIA'!G210, 0)</f>
        <v/>
      </c>
      <c r="J219" s="136">
        <f>IF('00_TONG_HOP_BAO_GIA'!G210&gt;0, '00_TONG_HOP_BAO_GIA'!L210 * (1 + '00_TONG_HOP_BAO_GIA'!P210) / '00_TONG_HOP_BAO_GIA'!G210, 0)</f>
        <v/>
      </c>
      <c r="K219" s="137">
        <f>'00_TONG_HOP_BAO_GIA'!Q210</f>
        <v/>
      </c>
      <c r="L219" s="137">
        <f>('00_TONG_HOP_BAO_GIA'!K210 + '00_TONG_HOP_BAO_GIA'!M210) * (1 + '00_TONG_HOP_BAO_GIA'!P210)</f>
        <v/>
      </c>
      <c r="M219" s="137">
        <f>'00_TONG_HOP_BAO_GIA'!L210 * (1 + '00_TONG_HOP_BAO_GIA'!P210)</f>
        <v/>
      </c>
      <c r="N219" s="137">
        <f>'00_TONG_HOP_BAO_GIA'!R210</f>
        <v/>
      </c>
      <c r="O219" s="139">
        <f>IF(K219=0, "CẢNH BÁO: Đơn giá = 0. Tra cứu lại Sheet 06!", '00_TONG_HOP_BAO_GIA'!S210)</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83" t="inlineStr">
        <is>
          <t>Cái</t>
        </is>
      </c>
      <c r="H220" s="136" t="n">
        <v>1</v>
      </c>
      <c r="I220" s="136">
        <f>IF('00_TONG_HOP_BAO_GIA'!G211&gt;0, ('00_TONG_HOP_BAO_GIA'!K211 + '00_TONG_HOP_BAO_GIA'!M211) * (1 + '00_TONG_HOP_BAO_GIA'!P211) / '00_TONG_HOP_BAO_GIA'!G211, 0)</f>
        <v/>
      </c>
      <c r="J220" s="136">
        <f>IF('00_TONG_HOP_BAO_GIA'!G211&gt;0, '00_TONG_HOP_BAO_GIA'!L211 * (1 + '00_TONG_HOP_BAO_GIA'!P211) / '00_TONG_HOP_BAO_GIA'!G211, 0)</f>
        <v/>
      </c>
      <c r="K220" s="137">
        <f>'00_TONG_HOP_BAO_GIA'!Q211</f>
        <v/>
      </c>
      <c r="L220" s="137">
        <f>('00_TONG_HOP_BAO_GIA'!K211 + '00_TONG_HOP_BAO_GIA'!M211) * (1 + '00_TONG_HOP_BAO_GIA'!P211)</f>
        <v/>
      </c>
      <c r="M220" s="137">
        <f>'00_TONG_HOP_BAO_GIA'!L211 * (1 + '00_TONG_HOP_BAO_GIA'!P211)</f>
        <v/>
      </c>
      <c r="N220" s="137">
        <f>'00_TONG_HOP_BAO_GIA'!R211</f>
        <v/>
      </c>
      <c r="O220" s="139">
        <f>IF(K220=0, "CẢNH BÁO: Đơn giá = 0. Tra cứu lại Sheet 06!", '00_TONG_HOP_BAO_GIA'!S211)</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83" t="inlineStr">
        <is>
          <t>Cái</t>
        </is>
      </c>
      <c r="H221" s="136" t="n">
        <v>6</v>
      </c>
      <c r="I221" s="136">
        <f>IF('00_TONG_HOP_BAO_GIA'!G212&gt;0, ('00_TONG_HOP_BAO_GIA'!K212 + '00_TONG_HOP_BAO_GIA'!M212) * (1 + '00_TONG_HOP_BAO_GIA'!P212) / '00_TONG_HOP_BAO_GIA'!G212, 0)</f>
        <v/>
      </c>
      <c r="J221" s="136">
        <f>IF('00_TONG_HOP_BAO_GIA'!G212&gt;0, '00_TONG_HOP_BAO_GIA'!L212 * (1 + '00_TONG_HOP_BAO_GIA'!P212) / '00_TONG_HOP_BAO_GIA'!G212, 0)</f>
        <v/>
      </c>
      <c r="K221" s="137">
        <f>'00_TONG_HOP_BAO_GIA'!Q212</f>
        <v/>
      </c>
      <c r="L221" s="137">
        <f>('00_TONG_HOP_BAO_GIA'!K212 + '00_TONG_HOP_BAO_GIA'!M212) * (1 + '00_TONG_HOP_BAO_GIA'!P212)</f>
        <v/>
      </c>
      <c r="M221" s="137">
        <f>'00_TONG_HOP_BAO_GIA'!L212 * (1 + '00_TONG_HOP_BAO_GIA'!P212)</f>
        <v/>
      </c>
      <c r="N221" s="137">
        <f>'00_TONG_HOP_BAO_GIA'!R212</f>
        <v/>
      </c>
      <c r="O221" s="139">
        <f>IF(K221=0, "CẢNH BÁO: Đơn giá = 0. Tra cứu lại Sheet 06!", '00_TONG_HOP_BAO_GIA'!S212)</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83" t="inlineStr">
        <is>
          <t>Cái</t>
        </is>
      </c>
      <c r="H222" s="136" t="n">
        <v>4</v>
      </c>
      <c r="I222" s="136">
        <f>IF('00_TONG_HOP_BAO_GIA'!G213&gt;0, ('00_TONG_HOP_BAO_GIA'!K213 + '00_TONG_HOP_BAO_GIA'!M213) * (1 + '00_TONG_HOP_BAO_GIA'!P213) / '00_TONG_HOP_BAO_GIA'!G213, 0)</f>
        <v/>
      </c>
      <c r="J222" s="136">
        <f>IF('00_TONG_HOP_BAO_GIA'!G213&gt;0, '00_TONG_HOP_BAO_GIA'!L213 * (1 + '00_TONG_HOP_BAO_GIA'!P213) / '00_TONG_HOP_BAO_GIA'!G213, 0)</f>
        <v/>
      </c>
      <c r="K222" s="137">
        <f>'00_TONG_HOP_BAO_GIA'!Q213</f>
        <v/>
      </c>
      <c r="L222" s="137">
        <f>('00_TONG_HOP_BAO_GIA'!K213 + '00_TONG_HOP_BAO_GIA'!M213) * (1 + '00_TONG_HOP_BAO_GIA'!P213)</f>
        <v/>
      </c>
      <c r="M222" s="137">
        <f>'00_TONG_HOP_BAO_GIA'!L213 * (1 + '00_TONG_HOP_BAO_GIA'!P213)</f>
        <v/>
      </c>
      <c r="N222" s="137">
        <f>'00_TONG_HOP_BAO_GIA'!R213</f>
        <v/>
      </c>
      <c r="O222" s="139">
        <f>IF(K222=0, "CẢNH BÁO: Đơn giá = 0. Tra cứu lại Sheet 06!", '00_TONG_HOP_BAO_GIA'!S213)</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83" t="inlineStr">
        <is>
          <t>Cái</t>
        </is>
      </c>
      <c r="H223" s="136" t="n">
        <v>4</v>
      </c>
      <c r="I223" s="136">
        <f>IF('00_TONG_HOP_BAO_GIA'!G214&gt;0, ('00_TONG_HOP_BAO_GIA'!K214 + '00_TONG_HOP_BAO_GIA'!M214) * (1 + '00_TONG_HOP_BAO_GIA'!P214) / '00_TONG_HOP_BAO_GIA'!G214, 0)</f>
        <v/>
      </c>
      <c r="J223" s="136">
        <f>IF('00_TONG_HOP_BAO_GIA'!G214&gt;0, '00_TONG_HOP_BAO_GIA'!L214 * (1 + '00_TONG_HOP_BAO_GIA'!P214) / '00_TONG_HOP_BAO_GIA'!G214, 0)</f>
        <v/>
      </c>
      <c r="K223" s="137">
        <f>'00_TONG_HOP_BAO_GIA'!Q214</f>
        <v/>
      </c>
      <c r="L223" s="137">
        <f>('00_TONG_HOP_BAO_GIA'!K214 + '00_TONG_HOP_BAO_GIA'!M214) * (1 + '00_TONG_HOP_BAO_GIA'!P214)</f>
        <v/>
      </c>
      <c r="M223" s="137">
        <f>'00_TONG_HOP_BAO_GIA'!L214 * (1 + '00_TONG_HOP_BAO_GIA'!P214)</f>
        <v/>
      </c>
      <c r="N223" s="137">
        <f>'00_TONG_HOP_BAO_GIA'!R214</f>
        <v/>
      </c>
      <c r="O223" s="139">
        <f>IF(K223=0, "CẢNH BÁO: Đơn giá = 0. Tra cứu lại Sheet 06!", '00_TONG_HOP_BAO_GIA'!S214)</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83" t="inlineStr">
        <is>
          <t>Cái</t>
        </is>
      </c>
      <c r="H224" s="136" t="n">
        <v>3</v>
      </c>
      <c r="I224" s="136">
        <f>IF('00_TONG_HOP_BAO_GIA'!G215&gt;0, ('00_TONG_HOP_BAO_GIA'!K215 + '00_TONG_HOP_BAO_GIA'!M215) * (1 + '00_TONG_HOP_BAO_GIA'!P215) / '00_TONG_HOP_BAO_GIA'!G215, 0)</f>
        <v/>
      </c>
      <c r="J224" s="136">
        <f>IF('00_TONG_HOP_BAO_GIA'!G215&gt;0, '00_TONG_HOP_BAO_GIA'!L215 * (1 + '00_TONG_HOP_BAO_GIA'!P215) / '00_TONG_HOP_BAO_GIA'!G215, 0)</f>
        <v/>
      </c>
      <c r="K224" s="137">
        <f>'00_TONG_HOP_BAO_GIA'!Q215</f>
        <v/>
      </c>
      <c r="L224" s="137">
        <f>('00_TONG_HOP_BAO_GIA'!K215 + '00_TONG_HOP_BAO_GIA'!M215) * (1 + '00_TONG_HOP_BAO_GIA'!P215)</f>
        <v/>
      </c>
      <c r="M224" s="137">
        <f>'00_TONG_HOP_BAO_GIA'!L215 * (1 + '00_TONG_HOP_BAO_GIA'!P215)</f>
        <v/>
      </c>
      <c r="N224" s="137">
        <f>'00_TONG_HOP_BAO_GIA'!R215</f>
        <v/>
      </c>
      <c r="O224" s="139">
        <f>IF(K224=0, "CẢNH BÁO: Đơn giá = 0. Tra cứu lại Sheet 06!", '00_TONG_HOP_BAO_GIA'!S215)</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83" t="inlineStr">
        <is>
          <t>Cái</t>
        </is>
      </c>
      <c r="H225" s="136" t="n">
        <v>7</v>
      </c>
      <c r="I225" s="136">
        <f>IF('00_TONG_HOP_BAO_GIA'!G216&gt;0, ('00_TONG_HOP_BAO_GIA'!K216 + '00_TONG_HOP_BAO_GIA'!M216) * (1 + '00_TONG_HOP_BAO_GIA'!P216) / '00_TONG_HOP_BAO_GIA'!G216, 0)</f>
        <v/>
      </c>
      <c r="J225" s="136">
        <f>IF('00_TONG_HOP_BAO_GIA'!G216&gt;0, '00_TONG_HOP_BAO_GIA'!L216 * (1 + '00_TONG_HOP_BAO_GIA'!P216) / '00_TONG_HOP_BAO_GIA'!G216, 0)</f>
        <v/>
      </c>
      <c r="K225" s="137">
        <f>'00_TONG_HOP_BAO_GIA'!Q216</f>
        <v/>
      </c>
      <c r="L225" s="137">
        <f>('00_TONG_HOP_BAO_GIA'!K216 + '00_TONG_HOP_BAO_GIA'!M216) * (1 + '00_TONG_HOP_BAO_GIA'!P216)</f>
        <v/>
      </c>
      <c r="M225" s="137">
        <f>'00_TONG_HOP_BAO_GIA'!L216 * (1 + '00_TONG_HOP_BAO_GIA'!P216)</f>
        <v/>
      </c>
      <c r="N225" s="137">
        <f>'00_TONG_HOP_BAO_GIA'!R216</f>
        <v/>
      </c>
      <c r="O225" s="139">
        <f>IF(K225=0, "CẢNH BÁO: Đơn giá = 0. Tra cứu lại Sheet 06!", '00_TONG_HOP_BAO_GIA'!S216)</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83" t="inlineStr">
        <is>
          <t>Cái</t>
        </is>
      </c>
      <c r="H226" s="136" t="n">
        <v>2</v>
      </c>
      <c r="I226" s="136">
        <f>IF('00_TONG_HOP_BAO_GIA'!G217&gt;0, ('00_TONG_HOP_BAO_GIA'!K217 + '00_TONG_HOP_BAO_GIA'!M217) * (1 + '00_TONG_HOP_BAO_GIA'!P217) / '00_TONG_HOP_BAO_GIA'!G217, 0)</f>
        <v/>
      </c>
      <c r="J226" s="136">
        <f>IF('00_TONG_HOP_BAO_GIA'!G217&gt;0, '00_TONG_HOP_BAO_GIA'!L217 * (1 + '00_TONG_HOP_BAO_GIA'!P217) / '00_TONG_HOP_BAO_GIA'!G217, 0)</f>
        <v/>
      </c>
      <c r="K226" s="137">
        <f>'00_TONG_HOP_BAO_GIA'!Q217</f>
        <v/>
      </c>
      <c r="L226" s="137">
        <f>('00_TONG_HOP_BAO_GIA'!K217 + '00_TONG_HOP_BAO_GIA'!M217) * (1 + '00_TONG_HOP_BAO_GIA'!P217)</f>
        <v/>
      </c>
      <c r="M226" s="137">
        <f>'00_TONG_HOP_BAO_GIA'!L217 * (1 + '00_TONG_HOP_BAO_GIA'!P217)</f>
        <v/>
      </c>
      <c r="N226" s="137">
        <f>'00_TONG_HOP_BAO_GIA'!R217</f>
        <v/>
      </c>
      <c r="O226" s="139">
        <f>IF(K226=0, "CẢNH BÁO: Đơn giá = 0. Tra cứu lại Sheet 06!", '00_TONG_HOP_BAO_GIA'!S217)</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83" t="inlineStr">
        <is>
          <t>Cái</t>
        </is>
      </c>
      <c r="H227" s="136" t="n">
        <v>2</v>
      </c>
      <c r="I227" s="136">
        <f>IF('00_TONG_HOP_BAO_GIA'!G218&gt;0, ('00_TONG_HOP_BAO_GIA'!K218 + '00_TONG_HOP_BAO_GIA'!M218) * (1 + '00_TONG_HOP_BAO_GIA'!P218) / '00_TONG_HOP_BAO_GIA'!G218, 0)</f>
        <v/>
      </c>
      <c r="J227" s="136">
        <f>IF('00_TONG_HOP_BAO_GIA'!G218&gt;0, '00_TONG_HOP_BAO_GIA'!L218 * (1 + '00_TONG_HOP_BAO_GIA'!P218) / '00_TONG_HOP_BAO_GIA'!G218, 0)</f>
        <v/>
      </c>
      <c r="K227" s="137">
        <f>'00_TONG_HOP_BAO_GIA'!Q218</f>
        <v/>
      </c>
      <c r="L227" s="137">
        <f>('00_TONG_HOP_BAO_GIA'!K218 + '00_TONG_HOP_BAO_GIA'!M218) * (1 + '00_TONG_HOP_BAO_GIA'!P218)</f>
        <v/>
      </c>
      <c r="M227" s="137">
        <f>'00_TONG_HOP_BAO_GIA'!L218 * (1 + '00_TONG_HOP_BAO_GIA'!P218)</f>
        <v/>
      </c>
      <c r="N227" s="137">
        <f>'00_TONG_HOP_BAO_GIA'!R218</f>
        <v/>
      </c>
      <c r="O227" s="139">
        <f>IF(K227=0, "CẢNH BÁO: Đơn giá = 0. Tra cứu lại Sheet 06!", '00_TONG_HOP_BAO_GIA'!S218)</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83" t="inlineStr">
        <is>
          <t>Cái</t>
        </is>
      </c>
      <c r="H228" s="136" t="n">
        <v>1</v>
      </c>
      <c r="I228" s="136">
        <f>IF('00_TONG_HOP_BAO_GIA'!G219&gt;0, ('00_TONG_HOP_BAO_GIA'!K219 + '00_TONG_HOP_BAO_GIA'!M219) * (1 + '00_TONG_HOP_BAO_GIA'!P219) / '00_TONG_HOP_BAO_GIA'!G219, 0)</f>
        <v/>
      </c>
      <c r="J228" s="136">
        <f>IF('00_TONG_HOP_BAO_GIA'!G219&gt;0, '00_TONG_HOP_BAO_GIA'!L219 * (1 + '00_TONG_HOP_BAO_GIA'!P219) / '00_TONG_HOP_BAO_GIA'!G219, 0)</f>
        <v/>
      </c>
      <c r="K228" s="137">
        <f>'00_TONG_HOP_BAO_GIA'!Q219</f>
        <v/>
      </c>
      <c r="L228" s="137">
        <f>('00_TONG_HOP_BAO_GIA'!K219 + '00_TONG_HOP_BAO_GIA'!M219) * (1 + '00_TONG_HOP_BAO_GIA'!P219)</f>
        <v/>
      </c>
      <c r="M228" s="137">
        <f>'00_TONG_HOP_BAO_GIA'!L219 * (1 + '00_TONG_HOP_BAO_GIA'!P219)</f>
        <v/>
      </c>
      <c r="N228" s="137">
        <f>'00_TONG_HOP_BAO_GIA'!R219</f>
        <v/>
      </c>
      <c r="O228" s="139">
        <f>IF(K228=0, "CẢNH BÁO: Đơn giá = 0. Tra cứu lại Sheet 06!", '00_TONG_HOP_BAO_GIA'!S219)</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83" t="inlineStr">
        <is>
          <t>Cái</t>
        </is>
      </c>
      <c r="H229" s="136" t="n">
        <v>4</v>
      </c>
      <c r="I229" s="136">
        <f>IF('00_TONG_HOP_BAO_GIA'!G220&gt;0, ('00_TONG_HOP_BAO_GIA'!K220 + '00_TONG_HOP_BAO_GIA'!M220) * (1 + '00_TONG_HOP_BAO_GIA'!P220) / '00_TONG_HOP_BAO_GIA'!G220, 0)</f>
        <v/>
      </c>
      <c r="J229" s="136">
        <f>IF('00_TONG_HOP_BAO_GIA'!G220&gt;0, '00_TONG_HOP_BAO_GIA'!L220 * (1 + '00_TONG_HOP_BAO_GIA'!P220) / '00_TONG_HOP_BAO_GIA'!G220, 0)</f>
        <v/>
      </c>
      <c r="K229" s="137">
        <f>'00_TONG_HOP_BAO_GIA'!Q220</f>
        <v/>
      </c>
      <c r="L229" s="137">
        <f>('00_TONG_HOP_BAO_GIA'!K220 + '00_TONG_HOP_BAO_GIA'!M220) * (1 + '00_TONG_HOP_BAO_GIA'!P220)</f>
        <v/>
      </c>
      <c r="M229" s="137">
        <f>'00_TONG_HOP_BAO_GIA'!L220 * (1 + '00_TONG_HOP_BAO_GIA'!P220)</f>
        <v/>
      </c>
      <c r="N229" s="137">
        <f>'00_TONG_HOP_BAO_GIA'!R220</f>
        <v/>
      </c>
      <c r="O229" s="139">
        <f>IF(K229=0, "CẢNH BÁO: Đơn giá = 0. Tra cứu lại Sheet 06!", '00_TONG_HOP_BAO_GIA'!S220)</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83" t="inlineStr">
        <is>
          <t>Cái</t>
        </is>
      </c>
      <c r="H230" s="136" t="n">
        <v>2</v>
      </c>
      <c r="I230" s="136">
        <f>IF('00_TONG_HOP_BAO_GIA'!G221&gt;0, ('00_TONG_HOP_BAO_GIA'!K221 + '00_TONG_HOP_BAO_GIA'!M221) * (1 + '00_TONG_HOP_BAO_GIA'!P221) / '00_TONG_HOP_BAO_GIA'!G221, 0)</f>
        <v/>
      </c>
      <c r="J230" s="136">
        <f>IF('00_TONG_HOP_BAO_GIA'!G221&gt;0, '00_TONG_HOP_BAO_GIA'!L221 * (1 + '00_TONG_HOP_BAO_GIA'!P221) / '00_TONG_HOP_BAO_GIA'!G221, 0)</f>
        <v/>
      </c>
      <c r="K230" s="137">
        <f>'00_TONG_HOP_BAO_GIA'!Q221</f>
        <v/>
      </c>
      <c r="L230" s="137">
        <f>('00_TONG_HOP_BAO_GIA'!K221 + '00_TONG_HOP_BAO_GIA'!M221) * (1 + '00_TONG_HOP_BAO_GIA'!P221)</f>
        <v/>
      </c>
      <c r="M230" s="137">
        <f>'00_TONG_HOP_BAO_GIA'!L221 * (1 + '00_TONG_HOP_BAO_GIA'!P221)</f>
        <v/>
      </c>
      <c r="N230" s="137">
        <f>'00_TONG_HOP_BAO_GIA'!R221</f>
        <v/>
      </c>
      <c r="O230" s="139">
        <f>IF(K230=0, "CẢNH BÁO: Đơn giá = 0. Tra cứu lại Sheet 06!", '00_TONG_HOP_BAO_GIA'!S221)</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83" t="inlineStr">
        <is>
          <t>Cái</t>
        </is>
      </c>
      <c r="H231" s="136" t="n">
        <v>1</v>
      </c>
      <c r="I231" s="136">
        <f>IF('00_TONG_HOP_BAO_GIA'!G222&gt;0, ('00_TONG_HOP_BAO_GIA'!K222 + '00_TONG_HOP_BAO_GIA'!M222) * (1 + '00_TONG_HOP_BAO_GIA'!P222) / '00_TONG_HOP_BAO_GIA'!G222, 0)</f>
        <v/>
      </c>
      <c r="J231" s="136">
        <f>IF('00_TONG_HOP_BAO_GIA'!G222&gt;0, '00_TONG_HOP_BAO_GIA'!L222 * (1 + '00_TONG_HOP_BAO_GIA'!P222) / '00_TONG_HOP_BAO_GIA'!G222, 0)</f>
        <v/>
      </c>
      <c r="K231" s="137">
        <f>'00_TONG_HOP_BAO_GIA'!Q222</f>
        <v/>
      </c>
      <c r="L231" s="137">
        <f>('00_TONG_HOP_BAO_GIA'!K222 + '00_TONG_HOP_BAO_GIA'!M222) * (1 + '00_TONG_HOP_BAO_GIA'!P222)</f>
        <v/>
      </c>
      <c r="M231" s="137">
        <f>'00_TONG_HOP_BAO_GIA'!L222 * (1 + '00_TONG_HOP_BAO_GIA'!P222)</f>
        <v/>
      </c>
      <c r="N231" s="137">
        <f>'00_TONG_HOP_BAO_GIA'!R222</f>
        <v/>
      </c>
      <c r="O231" s="139">
        <f>IF(K231=0, "CẢNH BÁO: Đơn giá = 0. Tra cứu lại Sheet 06!", '00_TONG_HOP_BAO_GIA'!S222)</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83" t="inlineStr">
        <is>
          <t>Cái</t>
        </is>
      </c>
      <c r="H232" s="136" t="n">
        <v>1</v>
      </c>
      <c r="I232" s="136">
        <f>IF('00_TONG_HOP_BAO_GIA'!G223&gt;0, ('00_TONG_HOP_BAO_GIA'!K223 + '00_TONG_HOP_BAO_GIA'!M223) * (1 + '00_TONG_HOP_BAO_GIA'!P223) / '00_TONG_HOP_BAO_GIA'!G223, 0)</f>
        <v/>
      </c>
      <c r="J232" s="136">
        <f>IF('00_TONG_HOP_BAO_GIA'!G223&gt;0, '00_TONG_HOP_BAO_GIA'!L223 * (1 + '00_TONG_HOP_BAO_GIA'!P223) / '00_TONG_HOP_BAO_GIA'!G223, 0)</f>
        <v/>
      </c>
      <c r="K232" s="137">
        <f>'00_TONG_HOP_BAO_GIA'!Q223</f>
        <v/>
      </c>
      <c r="L232" s="137">
        <f>('00_TONG_HOP_BAO_GIA'!K223 + '00_TONG_HOP_BAO_GIA'!M223) * (1 + '00_TONG_HOP_BAO_GIA'!P223)</f>
        <v/>
      </c>
      <c r="M232" s="137">
        <f>'00_TONG_HOP_BAO_GIA'!L223 * (1 + '00_TONG_HOP_BAO_GIA'!P223)</f>
        <v/>
      </c>
      <c r="N232" s="137">
        <f>'00_TONG_HOP_BAO_GIA'!R223</f>
        <v/>
      </c>
      <c r="O232" s="139">
        <f>IF(K232=0, "CẢNH BÁO: Đơn giá = 0. Tra cứu lại Sheet 06!", '00_TONG_HOP_BAO_GIA'!S223)</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83" t="inlineStr">
        <is>
          <t>Cái</t>
        </is>
      </c>
      <c r="H233" s="136" t="n">
        <v>11</v>
      </c>
      <c r="I233" s="136">
        <f>IF('00_TONG_HOP_BAO_GIA'!G224&gt;0, ('00_TONG_HOP_BAO_GIA'!K224 + '00_TONG_HOP_BAO_GIA'!M224) * (1 + '00_TONG_HOP_BAO_GIA'!P224) / '00_TONG_HOP_BAO_GIA'!G224, 0)</f>
        <v/>
      </c>
      <c r="J233" s="136">
        <f>IF('00_TONG_HOP_BAO_GIA'!G224&gt;0, '00_TONG_HOP_BAO_GIA'!L224 * (1 + '00_TONG_HOP_BAO_GIA'!P224) / '00_TONG_HOP_BAO_GIA'!G224, 0)</f>
        <v/>
      </c>
      <c r="K233" s="137">
        <f>'00_TONG_HOP_BAO_GIA'!Q224</f>
        <v/>
      </c>
      <c r="L233" s="137">
        <f>('00_TONG_HOP_BAO_GIA'!K224 + '00_TONG_HOP_BAO_GIA'!M224) * (1 + '00_TONG_HOP_BAO_GIA'!P224)</f>
        <v/>
      </c>
      <c r="M233" s="137">
        <f>'00_TONG_HOP_BAO_GIA'!L224 * (1 + '00_TONG_HOP_BAO_GIA'!P224)</f>
        <v/>
      </c>
      <c r="N233" s="137">
        <f>'00_TONG_HOP_BAO_GIA'!R224</f>
        <v/>
      </c>
      <c r="O233" s="139">
        <f>IF(K233=0, "CẢNH BÁO: Đơn giá = 0. Tra cứu lại Sheet 06!", '00_TONG_HOP_BAO_GIA'!S224)</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83" t="inlineStr">
        <is>
          <t>Cái</t>
        </is>
      </c>
      <c r="H234" s="136" t="n">
        <v>9</v>
      </c>
      <c r="I234" s="136">
        <f>IF('00_TONG_HOP_BAO_GIA'!G225&gt;0, ('00_TONG_HOP_BAO_GIA'!K225 + '00_TONG_HOP_BAO_GIA'!M225) * (1 + '00_TONG_HOP_BAO_GIA'!P225) / '00_TONG_HOP_BAO_GIA'!G225, 0)</f>
        <v/>
      </c>
      <c r="J234" s="136">
        <f>IF('00_TONG_HOP_BAO_GIA'!G225&gt;0, '00_TONG_HOP_BAO_GIA'!L225 * (1 + '00_TONG_HOP_BAO_GIA'!P225) / '00_TONG_HOP_BAO_GIA'!G225, 0)</f>
        <v/>
      </c>
      <c r="K234" s="137">
        <f>'00_TONG_HOP_BAO_GIA'!Q225</f>
        <v/>
      </c>
      <c r="L234" s="137">
        <f>('00_TONG_HOP_BAO_GIA'!K225 + '00_TONG_HOP_BAO_GIA'!M225) * (1 + '00_TONG_HOP_BAO_GIA'!P225)</f>
        <v/>
      </c>
      <c r="M234" s="137">
        <f>'00_TONG_HOP_BAO_GIA'!L225 * (1 + '00_TONG_HOP_BAO_GIA'!P225)</f>
        <v/>
      </c>
      <c r="N234" s="137">
        <f>'00_TONG_HOP_BAO_GIA'!R225</f>
        <v/>
      </c>
      <c r="O234" s="139">
        <f>IF(K234=0, "CẢNH BÁO: Đơn giá = 0. Tra cứu lại Sheet 06!", '00_TONG_HOP_BAO_GIA'!S225)</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83" t="inlineStr">
        <is>
          <t>Cái</t>
        </is>
      </c>
      <c r="H235" s="136" t="n">
        <v>3</v>
      </c>
      <c r="I235" s="136">
        <f>IF('00_TONG_HOP_BAO_GIA'!G226&gt;0, ('00_TONG_HOP_BAO_GIA'!K226 + '00_TONG_HOP_BAO_GIA'!M226) * (1 + '00_TONG_HOP_BAO_GIA'!P226) / '00_TONG_HOP_BAO_GIA'!G226, 0)</f>
        <v/>
      </c>
      <c r="J235" s="136">
        <f>IF('00_TONG_HOP_BAO_GIA'!G226&gt;0, '00_TONG_HOP_BAO_GIA'!L226 * (1 + '00_TONG_HOP_BAO_GIA'!P226) / '00_TONG_HOP_BAO_GIA'!G226, 0)</f>
        <v/>
      </c>
      <c r="K235" s="137">
        <f>'00_TONG_HOP_BAO_GIA'!Q226</f>
        <v/>
      </c>
      <c r="L235" s="137">
        <f>('00_TONG_HOP_BAO_GIA'!K226 + '00_TONG_HOP_BAO_GIA'!M226) * (1 + '00_TONG_HOP_BAO_GIA'!P226)</f>
        <v/>
      </c>
      <c r="M235" s="137">
        <f>'00_TONG_HOP_BAO_GIA'!L226 * (1 + '00_TONG_HOP_BAO_GIA'!P226)</f>
        <v/>
      </c>
      <c r="N235" s="137">
        <f>'00_TONG_HOP_BAO_GIA'!R226</f>
        <v/>
      </c>
      <c r="O235" s="139">
        <f>IF(K235=0, "CẢNH BÁO: Đơn giá = 0. Tra cứu lại Sheet 06!", '00_TONG_HOP_BAO_GIA'!S226)</f>
        <v/>
      </c>
    </row>
    <row r="236" outlineLevel="1">
      <c r="A236" s="141">
        <f>SUBTOTAL(3,$G$7:G236)</f>
        <v/>
      </c>
      <c r="B236" s="139" t="inlineStr">
        <is>
          <t>Van ngăn cháy FD800x250</t>
        </is>
      </c>
      <c r="C236" s="134" t="n"/>
      <c r="D236" s="134" t="inlineStr">
        <is>
          <t>NSCA, Evegreen, Swind, tđ</t>
        </is>
      </c>
      <c r="E236" s="134" t="n"/>
      <c r="F236" s="329" t="n"/>
      <c r="G236" s="383" t="inlineStr">
        <is>
          <t>Cái</t>
        </is>
      </c>
      <c r="H236" s="136" t="n">
        <v>1</v>
      </c>
      <c r="I236" s="136">
        <f>IF('00_TONG_HOP_BAO_GIA'!G227&gt;0, ('00_TONG_HOP_BAO_GIA'!K227 + '00_TONG_HOP_BAO_GIA'!M227) * (1 + '00_TONG_HOP_BAO_GIA'!P227) / '00_TONG_HOP_BAO_GIA'!G227, 0)</f>
        <v/>
      </c>
      <c r="J236" s="136">
        <f>IF('00_TONG_HOP_BAO_GIA'!G227&gt;0, '00_TONG_HOP_BAO_GIA'!L227 * (1 + '00_TONG_HOP_BAO_GIA'!P227) / '00_TONG_HOP_BAO_GIA'!G227, 0)</f>
        <v/>
      </c>
      <c r="K236" s="137">
        <f>'00_TONG_HOP_BAO_GIA'!Q227</f>
        <v/>
      </c>
      <c r="L236" s="137">
        <f>('00_TONG_HOP_BAO_GIA'!K227 + '00_TONG_HOP_BAO_GIA'!M227) * (1 + '00_TONG_HOP_BAO_GIA'!P227)</f>
        <v/>
      </c>
      <c r="M236" s="137">
        <f>'00_TONG_HOP_BAO_GIA'!L227 * (1 + '00_TONG_HOP_BAO_GIA'!P227)</f>
        <v/>
      </c>
      <c r="N236" s="137">
        <f>'00_TONG_HOP_BAO_GIA'!R227</f>
        <v/>
      </c>
      <c r="O236" s="139">
        <f>IF(K236=0, "CẢNH BÁO: Đơn giá = 0. Tra cứu lại Sheet 06!", '00_TONG_HOP_BAO_GIA'!S227)</f>
        <v/>
      </c>
    </row>
    <row r="237" outlineLevel="1">
      <c r="A237" s="141">
        <f>SUBTOTAL(3,$G$7:G237)</f>
        <v/>
      </c>
      <c r="B237" s="139" t="inlineStr">
        <is>
          <t>Van ngăn cháy FD300x200</t>
        </is>
      </c>
      <c r="C237" s="134" t="n"/>
      <c r="D237" s="134" t="inlineStr">
        <is>
          <t>NSCA, Evegreen, Swind, tđ</t>
        </is>
      </c>
      <c r="E237" s="134" t="n"/>
      <c r="F237" s="329" t="n"/>
      <c r="G237" s="383" t="inlineStr">
        <is>
          <t>Cái</t>
        </is>
      </c>
      <c r="H237" s="136" t="n">
        <v>6</v>
      </c>
      <c r="I237" s="136">
        <f>IF('00_TONG_HOP_BAO_GIA'!G228&gt;0, ('00_TONG_HOP_BAO_GIA'!K228 + '00_TONG_HOP_BAO_GIA'!M228) * (1 + '00_TONG_HOP_BAO_GIA'!P228) / '00_TONG_HOP_BAO_GIA'!G228, 0)</f>
        <v/>
      </c>
      <c r="J237" s="136">
        <f>IF('00_TONG_HOP_BAO_GIA'!G228&gt;0, '00_TONG_HOP_BAO_GIA'!L228 * (1 + '00_TONG_HOP_BAO_GIA'!P228) / '00_TONG_HOP_BAO_GIA'!G228, 0)</f>
        <v/>
      </c>
      <c r="K237" s="137">
        <f>'00_TONG_HOP_BAO_GIA'!Q228</f>
        <v/>
      </c>
      <c r="L237" s="137">
        <f>('00_TONG_HOP_BAO_GIA'!K228 + '00_TONG_HOP_BAO_GIA'!M228) * (1 + '00_TONG_HOP_BAO_GIA'!P228)</f>
        <v/>
      </c>
      <c r="M237" s="137">
        <f>'00_TONG_HOP_BAO_GIA'!L228 * (1 + '00_TONG_HOP_BAO_GIA'!P228)</f>
        <v/>
      </c>
      <c r="N237" s="137">
        <f>'00_TONG_HOP_BAO_GIA'!R228</f>
        <v/>
      </c>
      <c r="O237" s="139">
        <f>IF(K237=0, "CẢNH BÁO: Đơn giá = 0. Tra cứu lại Sheet 06!", '00_TONG_HOP_BAO_GIA'!S228)</f>
        <v/>
      </c>
    </row>
    <row r="238" outlineLevel="1">
      <c r="A238" s="141">
        <f>SUBTOTAL(3,$G$7:G238)</f>
        <v/>
      </c>
      <c r="B238" s="139" t="inlineStr">
        <is>
          <t>Van ngăn cháy FD200x200</t>
        </is>
      </c>
      <c r="C238" s="134" t="n"/>
      <c r="D238" s="134" t="inlineStr">
        <is>
          <t>NSCA, Evegreen, Swind, tđ</t>
        </is>
      </c>
      <c r="E238" s="134" t="n"/>
      <c r="F238" s="329" t="n"/>
      <c r="G238" s="383" t="inlineStr">
        <is>
          <t>Cái</t>
        </is>
      </c>
      <c r="H238" s="136" t="n">
        <v>6</v>
      </c>
      <c r="I238" s="136">
        <f>IF('00_TONG_HOP_BAO_GIA'!G229&gt;0, ('00_TONG_HOP_BAO_GIA'!K229 + '00_TONG_HOP_BAO_GIA'!M229) * (1 + '00_TONG_HOP_BAO_GIA'!P229) / '00_TONG_HOP_BAO_GIA'!G229, 0)</f>
        <v/>
      </c>
      <c r="J238" s="136">
        <f>IF('00_TONG_HOP_BAO_GIA'!G229&gt;0, '00_TONG_HOP_BAO_GIA'!L229 * (1 + '00_TONG_HOP_BAO_GIA'!P229) / '00_TONG_HOP_BAO_GIA'!G229, 0)</f>
        <v/>
      </c>
      <c r="K238" s="137">
        <f>'00_TONG_HOP_BAO_GIA'!Q229</f>
        <v/>
      </c>
      <c r="L238" s="137">
        <f>('00_TONG_HOP_BAO_GIA'!K229 + '00_TONG_HOP_BAO_GIA'!M229) * (1 + '00_TONG_HOP_BAO_GIA'!P229)</f>
        <v/>
      </c>
      <c r="M238" s="137">
        <f>'00_TONG_HOP_BAO_GIA'!L229 * (1 + '00_TONG_HOP_BAO_GIA'!P229)</f>
        <v/>
      </c>
      <c r="N238" s="137">
        <f>'00_TONG_HOP_BAO_GIA'!R229</f>
        <v/>
      </c>
      <c r="O238" s="139">
        <f>IF(K238=0, "CẢNH BÁO: Đơn giá = 0. Tra cứu lại Sheet 06!", '00_TONG_HOP_BAO_GIA'!S229)</f>
        <v/>
      </c>
    </row>
    <row r="239" outlineLevel="1">
      <c r="A239" s="141">
        <f>SUBTOTAL(3,$G$7:G239)</f>
        <v/>
      </c>
      <c r="B239" s="139" t="inlineStr">
        <is>
          <t>Van ngăn cháy FD350x200</t>
        </is>
      </c>
      <c r="C239" s="134" t="n"/>
      <c r="D239" s="134" t="inlineStr">
        <is>
          <t>NSCA, Evegreen, Swind, tđ</t>
        </is>
      </c>
      <c r="E239" s="134" t="n"/>
      <c r="F239" s="329" t="n"/>
      <c r="G239" s="383" t="inlineStr">
        <is>
          <t>Cái</t>
        </is>
      </c>
      <c r="H239" s="136" t="n">
        <v>6</v>
      </c>
      <c r="I239" s="136">
        <f>IF('00_TONG_HOP_BAO_GIA'!G230&gt;0, ('00_TONG_HOP_BAO_GIA'!K230 + '00_TONG_HOP_BAO_GIA'!M230) * (1 + '00_TONG_HOP_BAO_GIA'!P230) / '00_TONG_HOP_BAO_GIA'!G230, 0)</f>
        <v/>
      </c>
      <c r="J239" s="136">
        <f>IF('00_TONG_HOP_BAO_GIA'!G230&gt;0, '00_TONG_HOP_BAO_GIA'!L230 * (1 + '00_TONG_HOP_BAO_GIA'!P230) / '00_TONG_HOP_BAO_GIA'!G230, 0)</f>
        <v/>
      </c>
      <c r="K239" s="137">
        <f>'00_TONG_HOP_BAO_GIA'!Q230</f>
        <v/>
      </c>
      <c r="L239" s="137">
        <f>('00_TONG_HOP_BAO_GIA'!K230 + '00_TONG_HOP_BAO_GIA'!M230) * (1 + '00_TONG_HOP_BAO_GIA'!P230)</f>
        <v/>
      </c>
      <c r="M239" s="137">
        <f>'00_TONG_HOP_BAO_GIA'!L230 * (1 + '00_TONG_HOP_BAO_GIA'!P230)</f>
        <v/>
      </c>
      <c r="N239" s="137">
        <f>'00_TONG_HOP_BAO_GIA'!R230</f>
        <v/>
      </c>
      <c r="O239" s="139">
        <f>IF(K239=0, "CẢNH BÁO: Đơn giá = 0. Tra cứu lại Sheet 06!", '00_TONG_HOP_BAO_GIA'!S230)</f>
        <v/>
      </c>
    </row>
    <row r="240" outlineLevel="1">
      <c r="A240" s="141">
        <f>SUBTOTAL(3,$G$7:G240)</f>
        <v/>
      </c>
      <c r="B240" s="139" t="inlineStr">
        <is>
          <t>Van ngăn cháy FD450x200</t>
        </is>
      </c>
      <c r="C240" s="134" t="n"/>
      <c r="D240" s="134" t="inlineStr">
        <is>
          <t>NSCA, Evegreen, Swind, tđ</t>
        </is>
      </c>
      <c r="E240" s="134" t="n"/>
      <c r="F240" s="329" t="n"/>
      <c r="G240" s="383" t="inlineStr">
        <is>
          <t>Cái</t>
        </is>
      </c>
      <c r="H240" s="136" t="n">
        <v>14</v>
      </c>
      <c r="I240" s="136">
        <f>IF('00_TONG_HOP_BAO_GIA'!G231&gt;0, ('00_TONG_HOP_BAO_GIA'!K231 + '00_TONG_HOP_BAO_GIA'!M231) * (1 + '00_TONG_HOP_BAO_GIA'!P231) / '00_TONG_HOP_BAO_GIA'!G231, 0)</f>
        <v/>
      </c>
      <c r="J240" s="136">
        <f>IF('00_TONG_HOP_BAO_GIA'!G231&gt;0, '00_TONG_HOP_BAO_GIA'!L231 * (1 + '00_TONG_HOP_BAO_GIA'!P231) / '00_TONG_HOP_BAO_GIA'!G231, 0)</f>
        <v/>
      </c>
      <c r="K240" s="137">
        <f>'00_TONG_HOP_BAO_GIA'!Q231</f>
        <v/>
      </c>
      <c r="L240" s="137">
        <f>('00_TONG_HOP_BAO_GIA'!K231 + '00_TONG_HOP_BAO_GIA'!M231) * (1 + '00_TONG_HOP_BAO_GIA'!P231)</f>
        <v/>
      </c>
      <c r="M240" s="137">
        <f>'00_TONG_HOP_BAO_GIA'!L231 * (1 + '00_TONG_HOP_BAO_GIA'!P231)</f>
        <v/>
      </c>
      <c r="N240" s="137">
        <f>'00_TONG_HOP_BAO_GIA'!R231</f>
        <v/>
      </c>
      <c r="O240" s="139">
        <f>IF(K240=0, "CẢNH BÁO: Đơn giá = 0. Tra cứu lại Sheet 06!", '00_TONG_HOP_BAO_GIA'!S231)</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83" t="inlineStr">
        <is>
          <t>Cái</t>
        </is>
      </c>
      <c r="H241" s="136" t="n">
        <v>78</v>
      </c>
      <c r="I241" s="136">
        <f>IF('00_TONG_HOP_BAO_GIA'!G232&gt;0, ('00_TONG_HOP_BAO_GIA'!K232 + '00_TONG_HOP_BAO_GIA'!M232) * (1 + '00_TONG_HOP_BAO_GIA'!P232) / '00_TONG_HOP_BAO_GIA'!G232, 0)</f>
        <v/>
      </c>
      <c r="J241" s="136">
        <f>IF('00_TONG_HOP_BAO_GIA'!G232&gt;0, '00_TONG_HOP_BAO_GIA'!L232 * (1 + '00_TONG_HOP_BAO_GIA'!P232) / '00_TONG_HOP_BAO_GIA'!G232, 0)</f>
        <v/>
      </c>
      <c r="K241" s="137">
        <f>'00_TONG_HOP_BAO_GIA'!Q232</f>
        <v/>
      </c>
      <c r="L241" s="137">
        <f>('00_TONG_HOP_BAO_GIA'!K232 + '00_TONG_HOP_BAO_GIA'!M232) * (1 + '00_TONG_HOP_BAO_GIA'!P232)</f>
        <v/>
      </c>
      <c r="M241" s="137">
        <f>'00_TONG_HOP_BAO_GIA'!L232 * (1 + '00_TONG_HOP_BAO_GIA'!P232)</f>
        <v/>
      </c>
      <c r="N241" s="137">
        <f>'00_TONG_HOP_BAO_GIA'!R232</f>
        <v/>
      </c>
      <c r="O241" s="139">
        <f>IF(K241=0, "CẢNH BÁO: Đơn giá = 0. Tra cứu lại Sheet 06!", '00_TONG_HOP_BAO_GIA'!S232)</f>
        <v/>
      </c>
    </row>
    <row r="242" outlineLevel="1">
      <c r="A242" s="141">
        <f>SUBTOTAL(3,$G$7:G242)</f>
        <v/>
      </c>
      <c r="B242" s="139" t="inlineStr">
        <is>
          <t>Van chỉnh gió lưu lượng không đổi</t>
        </is>
      </c>
      <c r="C242" s="134" t="n"/>
      <c r="D242" s="134" t="inlineStr">
        <is>
          <t>NSCA, Evegreen, Swind, tđ</t>
        </is>
      </c>
      <c r="E242" s="134" t="n"/>
      <c r="F242" s="329" t="n"/>
      <c r="G242" s="383" t="inlineStr">
        <is>
          <t>Cái</t>
        </is>
      </c>
      <c r="H242" s="136" t="n">
        <v>78</v>
      </c>
      <c r="I242" s="136">
        <f>IF('00_TONG_HOP_BAO_GIA'!G233&gt;0, ('00_TONG_HOP_BAO_GIA'!K233 + '00_TONG_HOP_BAO_GIA'!M233) * (1 + '00_TONG_HOP_BAO_GIA'!P233) / '00_TONG_HOP_BAO_GIA'!G233, 0)</f>
        <v/>
      </c>
      <c r="J242" s="136">
        <f>IF('00_TONG_HOP_BAO_GIA'!G233&gt;0, '00_TONG_HOP_BAO_GIA'!L233 * (1 + '00_TONG_HOP_BAO_GIA'!P233) / '00_TONG_HOP_BAO_GIA'!G233, 0)</f>
        <v/>
      </c>
      <c r="K242" s="137">
        <f>'00_TONG_HOP_BAO_GIA'!Q233</f>
        <v/>
      </c>
      <c r="L242" s="137">
        <f>('00_TONG_HOP_BAO_GIA'!K233 + '00_TONG_HOP_BAO_GIA'!M233) * (1 + '00_TONG_HOP_BAO_GIA'!P233)</f>
        <v/>
      </c>
      <c r="M242" s="137">
        <f>'00_TONG_HOP_BAO_GIA'!L233 * (1 + '00_TONG_HOP_BAO_GIA'!P233)</f>
        <v/>
      </c>
      <c r="N242" s="137">
        <f>'00_TONG_HOP_BAO_GIA'!R233</f>
        <v/>
      </c>
      <c r="O242" s="139">
        <f>IF(K242=0, "CẢNH BÁO: Đơn giá = 0. Tra cứu lại Sheet 06!", '00_TONG_HOP_BAO_GIA'!S233)</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83" t="inlineStr">
        <is>
          <t>Cái</t>
        </is>
      </c>
      <c r="H243" s="136" t="n">
        <v>26</v>
      </c>
      <c r="I243" s="136">
        <f>IF('00_TONG_HOP_BAO_GIA'!G234&gt;0, ('00_TONG_HOP_BAO_GIA'!K234 + '00_TONG_HOP_BAO_GIA'!M234) * (1 + '00_TONG_HOP_BAO_GIA'!P234) / '00_TONG_HOP_BAO_GIA'!G234, 0)</f>
        <v/>
      </c>
      <c r="J243" s="136">
        <f>IF('00_TONG_HOP_BAO_GIA'!G234&gt;0, '00_TONG_HOP_BAO_GIA'!L234 * (1 + '00_TONG_HOP_BAO_GIA'!P234) / '00_TONG_HOP_BAO_GIA'!G234, 0)</f>
        <v/>
      </c>
      <c r="K243" s="137">
        <f>'00_TONG_HOP_BAO_GIA'!Q234</f>
        <v/>
      </c>
      <c r="L243" s="137">
        <f>('00_TONG_HOP_BAO_GIA'!K234 + '00_TONG_HOP_BAO_GIA'!M234) * (1 + '00_TONG_HOP_BAO_GIA'!P234)</f>
        <v/>
      </c>
      <c r="M243" s="137">
        <f>'00_TONG_HOP_BAO_GIA'!L234 * (1 + '00_TONG_HOP_BAO_GIA'!P234)</f>
        <v/>
      </c>
      <c r="N243" s="137">
        <f>'00_TONG_HOP_BAO_GIA'!R234</f>
        <v/>
      </c>
      <c r="O243" s="139">
        <f>IF(K243=0, "CẢNH BÁO: Đơn giá = 0. Tra cứu lại Sheet 06!", '00_TONG_HOP_BAO_GIA'!S234)</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83" t="inlineStr">
        <is>
          <t>Cái</t>
        </is>
      </c>
      <c r="H244" s="136" t="n">
        <v>413</v>
      </c>
      <c r="I244" s="136">
        <f>IF('00_TONG_HOP_BAO_GIA'!G235&gt;0, ('00_TONG_HOP_BAO_GIA'!K235 + '00_TONG_HOP_BAO_GIA'!M235) * (1 + '00_TONG_HOP_BAO_GIA'!P235) / '00_TONG_HOP_BAO_GIA'!G235, 0)</f>
        <v/>
      </c>
      <c r="J244" s="136">
        <f>IF('00_TONG_HOP_BAO_GIA'!G235&gt;0, '00_TONG_HOP_BAO_GIA'!L235 * (1 + '00_TONG_HOP_BAO_GIA'!P235) / '00_TONG_HOP_BAO_GIA'!G235, 0)</f>
        <v/>
      </c>
      <c r="K244" s="137">
        <f>'00_TONG_HOP_BAO_GIA'!Q235</f>
        <v/>
      </c>
      <c r="L244" s="137">
        <f>('00_TONG_HOP_BAO_GIA'!K235 + '00_TONG_HOP_BAO_GIA'!M235) * (1 + '00_TONG_HOP_BAO_GIA'!P235)</f>
        <v/>
      </c>
      <c r="M244" s="137">
        <f>'00_TONG_HOP_BAO_GIA'!L235 * (1 + '00_TONG_HOP_BAO_GIA'!P235)</f>
        <v/>
      </c>
      <c r="N244" s="137">
        <f>'00_TONG_HOP_BAO_GIA'!R235</f>
        <v/>
      </c>
      <c r="O244" s="139">
        <f>IF(K244=0, "CẢNH BÁO: Đơn giá = 0. Tra cứu lại Sheet 06!", '00_TONG_HOP_BAO_GIA'!S235)</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83" t="inlineStr">
        <is>
          <t>Cái</t>
        </is>
      </c>
      <c r="H245" s="136" t="n">
        <v>35</v>
      </c>
      <c r="I245" s="136">
        <f>IF('00_TONG_HOP_BAO_GIA'!G236&gt;0, ('00_TONG_HOP_BAO_GIA'!K236 + '00_TONG_HOP_BAO_GIA'!M236) * (1 + '00_TONG_HOP_BAO_GIA'!P236) / '00_TONG_HOP_BAO_GIA'!G236, 0)</f>
        <v/>
      </c>
      <c r="J245" s="136">
        <f>IF('00_TONG_HOP_BAO_GIA'!G236&gt;0, '00_TONG_HOP_BAO_GIA'!L236 * (1 + '00_TONG_HOP_BAO_GIA'!P236) / '00_TONG_HOP_BAO_GIA'!G236, 0)</f>
        <v/>
      </c>
      <c r="K245" s="137">
        <f>'00_TONG_HOP_BAO_GIA'!Q236</f>
        <v/>
      </c>
      <c r="L245" s="137">
        <f>('00_TONG_HOP_BAO_GIA'!K236 + '00_TONG_HOP_BAO_GIA'!M236) * (1 + '00_TONG_HOP_BAO_GIA'!P236)</f>
        <v/>
      </c>
      <c r="M245" s="137">
        <f>'00_TONG_HOP_BAO_GIA'!L236 * (1 + '00_TONG_HOP_BAO_GIA'!P236)</f>
        <v/>
      </c>
      <c r="N245" s="137">
        <f>'00_TONG_HOP_BAO_GIA'!R236</f>
        <v/>
      </c>
      <c r="O245" s="139">
        <f>IF(K245=0, "CẢNH BÁO: Đơn giá = 0. Tra cứu lại Sheet 06!", '00_TONG_HOP_BAO_GIA'!S236)</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83" t="inlineStr">
        <is>
          <t>Cái</t>
        </is>
      </c>
      <c r="H246" s="136" t="n">
        <v>70</v>
      </c>
      <c r="I246" s="136">
        <f>IF('00_TONG_HOP_BAO_GIA'!G237&gt;0, ('00_TONG_HOP_BAO_GIA'!K237 + '00_TONG_HOP_BAO_GIA'!M237) * (1 + '00_TONG_HOP_BAO_GIA'!P237) / '00_TONG_HOP_BAO_GIA'!G237, 0)</f>
        <v/>
      </c>
      <c r="J246" s="136">
        <f>IF('00_TONG_HOP_BAO_GIA'!G237&gt;0, '00_TONG_HOP_BAO_GIA'!L237 * (1 + '00_TONG_HOP_BAO_GIA'!P237) / '00_TONG_HOP_BAO_GIA'!G237, 0)</f>
        <v/>
      </c>
      <c r="K246" s="137">
        <f>'00_TONG_HOP_BAO_GIA'!Q237</f>
        <v/>
      </c>
      <c r="L246" s="137">
        <f>('00_TONG_HOP_BAO_GIA'!K237 + '00_TONG_HOP_BAO_GIA'!M237) * (1 + '00_TONG_HOP_BAO_GIA'!P237)</f>
        <v/>
      </c>
      <c r="M246" s="137">
        <f>'00_TONG_HOP_BAO_GIA'!L237 * (1 + '00_TONG_HOP_BAO_GIA'!P237)</f>
        <v/>
      </c>
      <c r="N246" s="137">
        <f>'00_TONG_HOP_BAO_GIA'!R237</f>
        <v/>
      </c>
      <c r="O246" s="139">
        <f>IF(K246=0, "CẢNH BÁO: Đơn giá = 0. Tra cứu lại Sheet 06!", '00_TONG_HOP_BAO_GIA'!S237)</f>
        <v/>
      </c>
    </row>
    <row r="247" outlineLevel="1">
      <c r="A247" s="141">
        <f>SUBTOTAL(3,$G$7:G247)</f>
        <v/>
      </c>
      <c r="B247" s="139" t="inlineStr">
        <is>
          <t>Miệng gió OAG 1000x600+OBD</t>
        </is>
      </c>
      <c r="C247" s="134" t="n"/>
      <c r="D247" s="134" t="inlineStr">
        <is>
          <t>NSCA, Evegreen, Swind, tđ</t>
        </is>
      </c>
      <c r="E247" s="134" t="n"/>
      <c r="F247" s="329" t="n"/>
      <c r="G247" s="383" t="inlineStr">
        <is>
          <t>Cái</t>
        </is>
      </c>
      <c r="H247" s="136" t="n">
        <v>1</v>
      </c>
      <c r="I247" s="136">
        <f>IF('00_TONG_HOP_BAO_GIA'!G238&gt;0, ('00_TONG_HOP_BAO_GIA'!K238 + '00_TONG_HOP_BAO_GIA'!M238) * (1 + '00_TONG_HOP_BAO_GIA'!P238) / '00_TONG_HOP_BAO_GIA'!G238, 0)</f>
        <v/>
      </c>
      <c r="J247" s="136">
        <f>IF('00_TONG_HOP_BAO_GIA'!G238&gt;0, '00_TONG_HOP_BAO_GIA'!L238 * (1 + '00_TONG_HOP_BAO_GIA'!P238) / '00_TONG_HOP_BAO_GIA'!G238, 0)</f>
        <v/>
      </c>
      <c r="K247" s="137">
        <f>'00_TONG_HOP_BAO_GIA'!Q238</f>
        <v/>
      </c>
      <c r="L247" s="137">
        <f>('00_TONG_HOP_BAO_GIA'!K238 + '00_TONG_HOP_BAO_GIA'!M238) * (1 + '00_TONG_HOP_BAO_GIA'!P238)</f>
        <v/>
      </c>
      <c r="M247" s="137">
        <f>'00_TONG_HOP_BAO_GIA'!L238 * (1 + '00_TONG_HOP_BAO_GIA'!P238)</f>
        <v/>
      </c>
      <c r="N247" s="137">
        <f>'00_TONG_HOP_BAO_GIA'!R238</f>
        <v/>
      </c>
      <c r="O247" s="139">
        <f>IF(K247=0, "CẢNH BÁO: Đơn giá = 0. Tra cứu lại Sheet 06!", '00_TONG_HOP_BAO_GIA'!S238)</f>
        <v/>
      </c>
    </row>
    <row r="248" outlineLevel="1">
      <c r="A248" s="141">
        <f>SUBTOTAL(3,$G$7:G248)</f>
        <v/>
      </c>
      <c r="B248" s="139" t="inlineStr">
        <is>
          <t>Miệng gió OAG 1200x600+OBD</t>
        </is>
      </c>
      <c r="C248" s="134" t="n"/>
      <c r="D248" s="134" t="inlineStr">
        <is>
          <t>NSCA, Evegreen, Swind, tđ</t>
        </is>
      </c>
      <c r="E248" s="134" t="n"/>
      <c r="F248" s="329" t="n"/>
      <c r="G248" s="383" t="inlineStr">
        <is>
          <t>Cái</t>
        </is>
      </c>
      <c r="H248" s="136" t="n">
        <v>2</v>
      </c>
      <c r="I248" s="136">
        <f>IF('00_TONG_HOP_BAO_GIA'!G239&gt;0, ('00_TONG_HOP_BAO_GIA'!K239 + '00_TONG_HOP_BAO_GIA'!M239) * (1 + '00_TONG_HOP_BAO_GIA'!P239) / '00_TONG_HOP_BAO_GIA'!G239, 0)</f>
        <v/>
      </c>
      <c r="J248" s="136">
        <f>IF('00_TONG_HOP_BAO_GIA'!G239&gt;0, '00_TONG_HOP_BAO_GIA'!L239 * (1 + '00_TONG_HOP_BAO_GIA'!P239) / '00_TONG_HOP_BAO_GIA'!G239, 0)</f>
        <v/>
      </c>
      <c r="K248" s="137">
        <f>'00_TONG_HOP_BAO_GIA'!Q239</f>
        <v/>
      </c>
      <c r="L248" s="137">
        <f>('00_TONG_HOP_BAO_GIA'!K239 + '00_TONG_HOP_BAO_GIA'!M239) * (1 + '00_TONG_HOP_BAO_GIA'!P239)</f>
        <v/>
      </c>
      <c r="M248" s="137">
        <f>'00_TONG_HOP_BAO_GIA'!L239 * (1 + '00_TONG_HOP_BAO_GIA'!P239)</f>
        <v/>
      </c>
      <c r="N248" s="137">
        <f>'00_TONG_HOP_BAO_GIA'!R239</f>
        <v/>
      </c>
      <c r="O248" s="139">
        <f>IF(K248=0, "CẢNH BÁO: Đơn giá = 0. Tra cứu lại Sheet 06!", '00_TONG_HOP_BAO_GIA'!S239)</f>
        <v/>
      </c>
    </row>
    <row r="249" outlineLevel="1">
      <c r="A249" s="141">
        <f>SUBTOTAL(3,$G$7:G249)</f>
        <v/>
      </c>
      <c r="B249" s="139" t="inlineStr">
        <is>
          <t>Miệng gió OAG 600x600+OBD</t>
        </is>
      </c>
      <c r="C249" s="134" t="n"/>
      <c r="D249" s="134" t="inlineStr">
        <is>
          <t>NSCA, Evegreen, Swind, tđ</t>
        </is>
      </c>
      <c r="E249" s="134" t="n"/>
      <c r="F249" s="329" t="n"/>
      <c r="G249" s="383" t="inlineStr">
        <is>
          <t>Cái</t>
        </is>
      </c>
      <c r="H249" s="136" t="n">
        <v>48</v>
      </c>
      <c r="I249" s="136">
        <f>IF('00_TONG_HOP_BAO_GIA'!G240&gt;0, ('00_TONG_HOP_BAO_GIA'!K240 + '00_TONG_HOP_BAO_GIA'!M240) * (1 + '00_TONG_HOP_BAO_GIA'!P240) / '00_TONG_HOP_BAO_GIA'!G240, 0)</f>
        <v/>
      </c>
      <c r="J249" s="136">
        <f>IF('00_TONG_HOP_BAO_GIA'!G240&gt;0, '00_TONG_HOP_BAO_GIA'!L240 * (1 + '00_TONG_HOP_BAO_GIA'!P240) / '00_TONG_HOP_BAO_GIA'!G240, 0)</f>
        <v/>
      </c>
      <c r="K249" s="137">
        <f>'00_TONG_HOP_BAO_GIA'!Q240</f>
        <v/>
      </c>
      <c r="L249" s="137">
        <f>('00_TONG_HOP_BAO_GIA'!K240 + '00_TONG_HOP_BAO_GIA'!M240) * (1 + '00_TONG_HOP_BAO_GIA'!P240)</f>
        <v/>
      </c>
      <c r="M249" s="137">
        <f>'00_TONG_HOP_BAO_GIA'!L240 * (1 + '00_TONG_HOP_BAO_GIA'!P240)</f>
        <v/>
      </c>
      <c r="N249" s="137">
        <f>'00_TONG_HOP_BAO_GIA'!R240</f>
        <v/>
      </c>
      <c r="O249" s="139">
        <f>IF(K249=0, "CẢNH BÁO: Đơn giá = 0. Tra cứu lại Sheet 06!", '00_TONG_HOP_BAO_GIA'!S240)</f>
        <v/>
      </c>
    </row>
    <row r="250" outlineLevel="1">
      <c r="A250" s="141">
        <f>SUBTOTAL(3,$G$7:G250)</f>
        <v/>
      </c>
      <c r="B250" s="139" t="inlineStr">
        <is>
          <t>Miệng gió OAG 900x600+OBD</t>
        </is>
      </c>
      <c r="C250" s="134" t="n"/>
      <c r="D250" s="134" t="inlineStr">
        <is>
          <t>NSCA, Evegreen, Swind, tđ</t>
        </is>
      </c>
      <c r="E250" s="134" t="n"/>
      <c r="F250" s="329" t="n"/>
      <c r="G250" s="383" t="inlineStr">
        <is>
          <t>Cái</t>
        </is>
      </c>
      <c r="H250" s="136" t="n">
        <v>2</v>
      </c>
      <c r="I250" s="136">
        <f>IF('00_TONG_HOP_BAO_GIA'!G241&gt;0, ('00_TONG_HOP_BAO_GIA'!K241 + '00_TONG_HOP_BAO_GIA'!M241) * (1 + '00_TONG_HOP_BAO_GIA'!P241) / '00_TONG_HOP_BAO_GIA'!G241, 0)</f>
        <v/>
      </c>
      <c r="J250" s="136">
        <f>IF('00_TONG_HOP_BAO_GIA'!G241&gt;0, '00_TONG_HOP_BAO_GIA'!L241 * (1 + '00_TONG_HOP_BAO_GIA'!P241) / '00_TONG_HOP_BAO_GIA'!G241, 0)</f>
        <v/>
      </c>
      <c r="K250" s="137">
        <f>'00_TONG_HOP_BAO_GIA'!Q241</f>
        <v/>
      </c>
      <c r="L250" s="137">
        <f>('00_TONG_HOP_BAO_GIA'!K241 + '00_TONG_HOP_BAO_GIA'!M241) * (1 + '00_TONG_HOP_BAO_GIA'!P241)</f>
        <v/>
      </c>
      <c r="M250" s="137">
        <f>'00_TONG_HOP_BAO_GIA'!L241 * (1 + '00_TONG_HOP_BAO_GIA'!P241)</f>
        <v/>
      </c>
      <c r="N250" s="137">
        <f>'00_TONG_HOP_BAO_GIA'!R241</f>
        <v/>
      </c>
      <c r="O250" s="139">
        <f>IF(K250=0, "CẢNH BÁO: Đơn giá = 0. Tra cứu lại Sheet 06!", '00_TONG_HOP_BAO_GIA'!S241)</f>
        <v/>
      </c>
    </row>
    <row r="251" outlineLevel="1">
      <c r="A251" s="141">
        <f>SUBTOTAL(3,$G$7:G251)</f>
        <v/>
      </c>
      <c r="B251" s="139" t="inlineStr">
        <is>
          <t>Miệng gió MAG 850x850+OBD</t>
        </is>
      </c>
      <c r="C251" s="134" t="n"/>
      <c r="D251" s="134" t="inlineStr">
        <is>
          <t>NSCA, Evegreen, Swind, tđ</t>
        </is>
      </c>
      <c r="E251" s="134" t="n"/>
      <c r="F251" s="329" t="n"/>
      <c r="G251" s="383" t="inlineStr">
        <is>
          <t>Cái</t>
        </is>
      </c>
      <c r="H251" s="136" t="n">
        <v>1</v>
      </c>
      <c r="I251" s="136">
        <f>IF('00_TONG_HOP_BAO_GIA'!G242&gt;0, ('00_TONG_HOP_BAO_GIA'!K242 + '00_TONG_HOP_BAO_GIA'!M242) * (1 + '00_TONG_HOP_BAO_GIA'!P242) / '00_TONG_HOP_BAO_GIA'!G242, 0)</f>
        <v/>
      </c>
      <c r="J251" s="136">
        <f>IF('00_TONG_HOP_BAO_GIA'!G242&gt;0, '00_TONG_HOP_BAO_GIA'!L242 * (1 + '00_TONG_HOP_BAO_GIA'!P242) / '00_TONG_HOP_BAO_GIA'!G242, 0)</f>
        <v/>
      </c>
      <c r="K251" s="137">
        <f>'00_TONG_HOP_BAO_GIA'!Q242</f>
        <v/>
      </c>
      <c r="L251" s="137">
        <f>('00_TONG_HOP_BAO_GIA'!K242 + '00_TONG_HOP_BAO_GIA'!M242) * (1 + '00_TONG_HOP_BAO_GIA'!P242)</f>
        <v/>
      </c>
      <c r="M251" s="137">
        <f>'00_TONG_HOP_BAO_GIA'!L242 * (1 + '00_TONG_HOP_BAO_GIA'!P242)</f>
        <v/>
      </c>
      <c r="N251" s="137">
        <f>'00_TONG_HOP_BAO_GIA'!R242</f>
        <v/>
      </c>
      <c r="O251" s="139">
        <f>IF(K251=0, "CẢNH BÁO: Đơn giá = 0. Tra cứu lại Sheet 06!", '00_TONG_HOP_BAO_GIA'!S242)</f>
        <v/>
      </c>
    </row>
    <row r="252" outlineLevel="1">
      <c r="A252" s="141">
        <f>SUBTOTAL(3,$G$7:G252)</f>
        <v/>
      </c>
      <c r="B252" s="139" t="inlineStr">
        <is>
          <t>Miệng gió MAG 1050x800+OBD</t>
        </is>
      </c>
      <c r="C252" s="134" t="n"/>
      <c r="D252" s="134" t="inlineStr">
        <is>
          <t>NSCA, Evegreen, Swind, tđ</t>
        </is>
      </c>
      <c r="E252" s="134" t="n"/>
      <c r="F252" s="329" t="n"/>
      <c r="G252" s="383" t="inlineStr">
        <is>
          <t>Cái</t>
        </is>
      </c>
      <c r="H252" s="136" t="n">
        <v>2</v>
      </c>
      <c r="I252" s="136">
        <f>IF('00_TONG_HOP_BAO_GIA'!G243&gt;0, ('00_TONG_HOP_BAO_GIA'!K243 + '00_TONG_HOP_BAO_GIA'!M243) * (1 + '00_TONG_HOP_BAO_GIA'!P243) / '00_TONG_HOP_BAO_GIA'!G243, 0)</f>
        <v/>
      </c>
      <c r="J252" s="136">
        <f>IF('00_TONG_HOP_BAO_GIA'!G243&gt;0, '00_TONG_HOP_BAO_GIA'!L243 * (1 + '00_TONG_HOP_BAO_GIA'!P243) / '00_TONG_HOP_BAO_GIA'!G243, 0)</f>
        <v/>
      </c>
      <c r="K252" s="137">
        <f>'00_TONG_HOP_BAO_GIA'!Q243</f>
        <v/>
      </c>
      <c r="L252" s="137">
        <f>('00_TONG_HOP_BAO_GIA'!K243 + '00_TONG_HOP_BAO_GIA'!M243) * (1 + '00_TONG_HOP_BAO_GIA'!P243)</f>
        <v/>
      </c>
      <c r="M252" s="137">
        <f>'00_TONG_HOP_BAO_GIA'!L243 * (1 + '00_TONG_HOP_BAO_GIA'!P243)</f>
        <v/>
      </c>
      <c r="N252" s="137">
        <f>'00_TONG_HOP_BAO_GIA'!R243</f>
        <v/>
      </c>
      <c r="O252" s="139">
        <f>IF(K252=0, "CẢNH BÁO: Đơn giá = 0. Tra cứu lại Sheet 06!", '00_TONG_HOP_BAO_GIA'!S243)</f>
        <v/>
      </c>
    </row>
    <row r="253" outlineLevel="1">
      <c r="A253" s="141">
        <f>SUBTOTAL(3,$G$7:G253)</f>
        <v/>
      </c>
      <c r="B253" s="139" t="inlineStr">
        <is>
          <t>Miệng gió MAG 850x850+OBD</t>
        </is>
      </c>
      <c r="C253" s="134" t="n"/>
      <c r="D253" s="134" t="inlineStr">
        <is>
          <t>NSCA, Evegreen, Swind, tđ</t>
        </is>
      </c>
      <c r="E253" s="134" t="n"/>
      <c r="F253" s="329" t="n"/>
      <c r="G253" s="383" t="inlineStr">
        <is>
          <t>Cái</t>
        </is>
      </c>
      <c r="H253" s="136" t="n">
        <v>1</v>
      </c>
      <c r="I253" s="136">
        <f>IF('00_TONG_HOP_BAO_GIA'!G244&gt;0, ('00_TONG_HOP_BAO_GIA'!K244 + '00_TONG_HOP_BAO_GIA'!M244) * (1 + '00_TONG_HOP_BAO_GIA'!P244) / '00_TONG_HOP_BAO_GIA'!G244, 0)</f>
        <v/>
      </c>
      <c r="J253" s="136">
        <f>IF('00_TONG_HOP_BAO_GIA'!G244&gt;0, '00_TONG_HOP_BAO_GIA'!L244 * (1 + '00_TONG_HOP_BAO_GIA'!P244) / '00_TONG_HOP_BAO_GIA'!G244, 0)</f>
        <v/>
      </c>
      <c r="K253" s="137">
        <f>'00_TONG_HOP_BAO_GIA'!Q244</f>
        <v/>
      </c>
      <c r="L253" s="137">
        <f>('00_TONG_HOP_BAO_GIA'!K244 + '00_TONG_HOP_BAO_GIA'!M244) * (1 + '00_TONG_HOP_BAO_GIA'!P244)</f>
        <v/>
      </c>
      <c r="M253" s="137">
        <f>'00_TONG_HOP_BAO_GIA'!L244 * (1 + '00_TONG_HOP_BAO_GIA'!P244)</f>
        <v/>
      </c>
      <c r="N253" s="137">
        <f>'00_TONG_HOP_BAO_GIA'!R244</f>
        <v/>
      </c>
      <c r="O253" s="139">
        <f>IF(K253=0, "CẢNH BÁO: Đơn giá = 0. Tra cứu lại Sheet 06!", '00_TONG_HOP_BAO_GIA'!S244)</f>
        <v/>
      </c>
    </row>
    <row r="254" outlineLevel="1">
      <c r="A254" s="141">
        <f>SUBTOTAL(3,$G$7:G254)</f>
        <v/>
      </c>
      <c r="B254" s="139" t="inlineStr">
        <is>
          <t>Miệng gió MAG 850x850+OBD</t>
        </is>
      </c>
      <c r="C254" s="134" t="n"/>
      <c r="D254" s="134" t="inlineStr">
        <is>
          <t>NSCA, Evegreen, Swind, tđ</t>
        </is>
      </c>
      <c r="E254" s="134" t="n"/>
      <c r="F254" s="329" t="n"/>
      <c r="G254" s="383" t="inlineStr">
        <is>
          <t>Cái</t>
        </is>
      </c>
      <c r="H254" s="136" t="n">
        <v>2</v>
      </c>
      <c r="I254" s="136">
        <f>IF('00_TONG_HOP_BAO_GIA'!G245&gt;0, ('00_TONG_HOP_BAO_GIA'!K245 + '00_TONG_HOP_BAO_GIA'!M245) * (1 + '00_TONG_HOP_BAO_GIA'!P245) / '00_TONG_HOP_BAO_GIA'!G245, 0)</f>
        <v/>
      </c>
      <c r="J254" s="136">
        <f>IF('00_TONG_HOP_BAO_GIA'!G245&gt;0, '00_TONG_HOP_BAO_GIA'!L245 * (1 + '00_TONG_HOP_BAO_GIA'!P245) / '00_TONG_HOP_BAO_GIA'!G245, 0)</f>
        <v/>
      </c>
      <c r="K254" s="137">
        <f>'00_TONG_HOP_BAO_GIA'!Q245</f>
        <v/>
      </c>
      <c r="L254" s="137">
        <f>('00_TONG_HOP_BAO_GIA'!K245 + '00_TONG_HOP_BAO_GIA'!M245) * (1 + '00_TONG_HOP_BAO_GIA'!P245)</f>
        <v/>
      </c>
      <c r="M254" s="137">
        <f>'00_TONG_HOP_BAO_GIA'!L245 * (1 + '00_TONG_HOP_BAO_GIA'!P245)</f>
        <v/>
      </c>
      <c r="N254" s="137">
        <f>'00_TONG_HOP_BAO_GIA'!R245</f>
        <v/>
      </c>
      <c r="O254" s="139">
        <f>IF(K254=0, "CẢNH BÁO: Đơn giá = 0. Tra cứu lại Sheet 06!", '00_TONG_HOP_BAO_GIA'!S245)</f>
        <v/>
      </c>
    </row>
    <row r="255" outlineLevel="1">
      <c r="A255" s="141">
        <f>SUBTOTAL(3,$G$7:G255)</f>
        <v/>
      </c>
      <c r="B255" s="139" t="inlineStr">
        <is>
          <t>Miệng gió MAG 250x250+OBD</t>
        </is>
      </c>
      <c r="C255" s="134" t="n"/>
      <c r="D255" s="134" t="inlineStr">
        <is>
          <t>NSCA, Evegreen, Swind, tđ</t>
        </is>
      </c>
      <c r="E255" s="134" t="n"/>
      <c r="F255" s="329" t="n"/>
      <c r="G255" s="383" t="inlineStr">
        <is>
          <t>Cái</t>
        </is>
      </c>
      <c r="H255" s="136" t="n">
        <v>35</v>
      </c>
      <c r="I255" s="136">
        <f>IF('00_TONG_HOP_BAO_GIA'!G246&gt;0, ('00_TONG_HOP_BAO_GIA'!K246 + '00_TONG_HOP_BAO_GIA'!M246) * (1 + '00_TONG_HOP_BAO_GIA'!P246) / '00_TONG_HOP_BAO_GIA'!G246, 0)</f>
        <v/>
      </c>
      <c r="J255" s="136">
        <f>IF('00_TONG_HOP_BAO_GIA'!G246&gt;0, '00_TONG_HOP_BAO_GIA'!L246 * (1 + '00_TONG_HOP_BAO_GIA'!P246) / '00_TONG_HOP_BAO_GIA'!G246, 0)</f>
        <v/>
      </c>
      <c r="K255" s="137">
        <f>'00_TONG_HOP_BAO_GIA'!Q246</f>
        <v/>
      </c>
      <c r="L255" s="137">
        <f>('00_TONG_HOP_BAO_GIA'!K246 + '00_TONG_HOP_BAO_GIA'!M246) * (1 + '00_TONG_HOP_BAO_GIA'!P246)</f>
        <v/>
      </c>
      <c r="M255" s="137">
        <f>'00_TONG_HOP_BAO_GIA'!L246 * (1 + '00_TONG_HOP_BAO_GIA'!P246)</f>
        <v/>
      </c>
      <c r="N255" s="137">
        <f>'00_TONG_HOP_BAO_GIA'!R246</f>
        <v/>
      </c>
      <c r="O255" s="139">
        <f>IF(K255=0, "CẢNH BÁO: Đơn giá = 0. Tra cứu lại Sheet 06!", '00_TONG_HOP_BAO_GIA'!S246)</f>
        <v/>
      </c>
    </row>
    <row r="256" outlineLevel="1">
      <c r="A256" s="141">
        <f>SUBTOTAL(3,$G$7:G256)</f>
        <v/>
      </c>
      <c r="B256" s="139" t="inlineStr">
        <is>
          <t>Cửa sổ cấp bù gió khi có cháy 1.5m2</t>
        </is>
      </c>
      <c r="C256" s="134" t="n"/>
      <c r="D256" s="134" t="inlineStr">
        <is>
          <t>NSCA, Evegreen, Swind, tđ</t>
        </is>
      </c>
      <c r="E256" s="134" t="n"/>
      <c r="F256" s="329" t="n"/>
      <c r="G256" s="383" t="inlineStr">
        <is>
          <t>Cái</t>
        </is>
      </c>
      <c r="H256" s="136" t="n">
        <v>3</v>
      </c>
      <c r="I256" s="136">
        <f>IF('00_TONG_HOP_BAO_GIA'!G247&gt;0, ('00_TONG_HOP_BAO_GIA'!K247 + '00_TONG_HOP_BAO_GIA'!M247) * (1 + '00_TONG_HOP_BAO_GIA'!P247) / '00_TONG_HOP_BAO_GIA'!G247, 0)</f>
        <v/>
      </c>
      <c r="J256" s="136">
        <f>IF('00_TONG_HOP_BAO_GIA'!G247&gt;0, '00_TONG_HOP_BAO_GIA'!L247 * (1 + '00_TONG_HOP_BAO_GIA'!P247) / '00_TONG_HOP_BAO_GIA'!G247, 0)</f>
        <v/>
      </c>
      <c r="K256" s="137">
        <f>'00_TONG_HOP_BAO_GIA'!Q247</f>
        <v/>
      </c>
      <c r="L256" s="137">
        <f>('00_TONG_HOP_BAO_GIA'!K247 + '00_TONG_HOP_BAO_GIA'!M247) * (1 + '00_TONG_HOP_BAO_GIA'!P247)</f>
        <v/>
      </c>
      <c r="M256" s="137">
        <f>'00_TONG_HOP_BAO_GIA'!L247 * (1 + '00_TONG_HOP_BAO_GIA'!P247)</f>
        <v/>
      </c>
      <c r="N256" s="137">
        <f>'00_TONG_HOP_BAO_GIA'!R247</f>
        <v/>
      </c>
      <c r="O256" s="139">
        <f>IF(K256=0, "CẢNH BÁO: Đơn giá = 0. Tra cứu lại Sheet 06!", '00_TONG_HOP_BAO_GIA'!S247)</f>
        <v/>
      </c>
    </row>
    <row r="257" outlineLevel="1">
      <c r="A257" s="141">
        <f>SUBTOTAL(3,$G$7:G257)</f>
        <v/>
      </c>
      <c r="B257" s="139" t="inlineStr">
        <is>
          <t>Cửa sổ cấp bù gió khi có cháy 0.8m2</t>
        </is>
      </c>
      <c r="C257" s="134" t="n"/>
      <c r="D257" s="134" t="inlineStr">
        <is>
          <t>NSCA, Evegreen, Swind, tđ</t>
        </is>
      </c>
      <c r="E257" s="134" t="n"/>
      <c r="F257" s="329" t="n"/>
      <c r="G257" s="383" t="inlineStr">
        <is>
          <t>Cái</t>
        </is>
      </c>
      <c r="H257" s="136" t="n">
        <v>4</v>
      </c>
      <c r="I257" s="136">
        <f>IF('00_TONG_HOP_BAO_GIA'!G248&gt;0, ('00_TONG_HOP_BAO_GIA'!K248 + '00_TONG_HOP_BAO_GIA'!M248) * (1 + '00_TONG_HOP_BAO_GIA'!P248) / '00_TONG_HOP_BAO_GIA'!G248, 0)</f>
        <v/>
      </c>
      <c r="J257" s="136">
        <f>IF('00_TONG_HOP_BAO_GIA'!G248&gt;0, '00_TONG_HOP_BAO_GIA'!L248 * (1 + '00_TONG_HOP_BAO_GIA'!P248) / '00_TONG_HOP_BAO_GIA'!G248, 0)</f>
        <v/>
      </c>
      <c r="K257" s="137">
        <f>'00_TONG_HOP_BAO_GIA'!Q248</f>
        <v/>
      </c>
      <c r="L257" s="137">
        <f>('00_TONG_HOP_BAO_GIA'!K248 + '00_TONG_HOP_BAO_GIA'!M248) * (1 + '00_TONG_HOP_BAO_GIA'!P248)</f>
        <v/>
      </c>
      <c r="M257" s="137">
        <f>'00_TONG_HOP_BAO_GIA'!L248 * (1 + '00_TONG_HOP_BAO_GIA'!P248)</f>
        <v/>
      </c>
      <c r="N257" s="137">
        <f>'00_TONG_HOP_BAO_GIA'!R248</f>
        <v/>
      </c>
      <c r="O257" s="139">
        <f>IF(K257=0, "CẢNH BÁO: Đơn giá = 0. Tra cứu lại Sheet 06!", '00_TONG_HOP_BAO_GIA'!S248)</f>
        <v/>
      </c>
    </row>
    <row r="258" outlineLevel="1">
      <c r="A258" s="141">
        <f>SUBTOTAL(3,$G$7:G258)</f>
        <v/>
      </c>
      <c r="B258" s="139" t="inlineStr">
        <is>
          <t>Cửa sổ cấp bù gió khi có cháy 0.75m2</t>
        </is>
      </c>
      <c r="C258" s="134" t="n"/>
      <c r="D258" s="134" t="inlineStr">
        <is>
          <t>NSCA, Evegreen, Swind, tđ</t>
        </is>
      </c>
      <c r="E258" s="134" t="n"/>
      <c r="F258" s="329" t="n"/>
      <c r="G258" s="383" t="inlineStr">
        <is>
          <t>Cái</t>
        </is>
      </c>
      <c r="H258" s="136" t="n">
        <v>1</v>
      </c>
      <c r="I258" s="136">
        <f>IF('00_TONG_HOP_BAO_GIA'!G249&gt;0, ('00_TONG_HOP_BAO_GIA'!K249 + '00_TONG_HOP_BAO_GIA'!M249) * (1 + '00_TONG_HOP_BAO_GIA'!P249) / '00_TONG_HOP_BAO_GIA'!G249, 0)</f>
        <v/>
      </c>
      <c r="J258" s="136">
        <f>IF('00_TONG_HOP_BAO_GIA'!G249&gt;0, '00_TONG_HOP_BAO_GIA'!L249 * (1 + '00_TONG_HOP_BAO_GIA'!P249) / '00_TONG_HOP_BAO_GIA'!G249, 0)</f>
        <v/>
      </c>
      <c r="K258" s="137">
        <f>'00_TONG_HOP_BAO_GIA'!Q249</f>
        <v/>
      </c>
      <c r="L258" s="137">
        <f>('00_TONG_HOP_BAO_GIA'!K249 + '00_TONG_HOP_BAO_GIA'!M249) * (1 + '00_TONG_HOP_BAO_GIA'!P249)</f>
        <v/>
      </c>
      <c r="M258" s="137">
        <f>'00_TONG_HOP_BAO_GIA'!L249 * (1 + '00_TONG_HOP_BAO_GIA'!P249)</f>
        <v/>
      </c>
      <c r="N258" s="137">
        <f>'00_TONG_HOP_BAO_GIA'!R249</f>
        <v/>
      </c>
      <c r="O258" s="139">
        <f>IF(K258=0, "CẢNH BÁO: Đơn giá = 0. Tra cứu lại Sheet 06!", '00_TONG_HOP_BAO_GIA'!S249)</f>
        <v/>
      </c>
    </row>
    <row r="259" outlineLevel="1">
      <c r="A259" s="141">
        <f>SUBTOTAL(3,$G$7:G259)</f>
        <v/>
      </c>
      <c r="B259" s="139" t="inlineStr">
        <is>
          <t>Louver FAL 300x300 + IS + Filter</t>
        </is>
      </c>
      <c r="C259" s="134" t="n"/>
      <c r="D259" s="134" t="inlineStr">
        <is>
          <t>NSCA, Evegreen, Swind, tđ</t>
        </is>
      </c>
      <c r="E259" s="134" t="n"/>
      <c r="F259" s="329" t="n"/>
      <c r="G259" s="383" t="inlineStr">
        <is>
          <t>cái</t>
        </is>
      </c>
      <c r="H259" s="136" t="n">
        <v>6</v>
      </c>
      <c r="I259" s="136">
        <f>IF('00_TONG_HOP_BAO_GIA'!G250&gt;0, ('00_TONG_HOP_BAO_GIA'!K250 + '00_TONG_HOP_BAO_GIA'!M250) * (1 + '00_TONG_HOP_BAO_GIA'!P250) / '00_TONG_HOP_BAO_GIA'!G250, 0)</f>
        <v/>
      </c>
      <c r="J259" s="136">
        <f>IF('00_TONG_HOP_BAO_GIA'!G250&gt;0, '00_TONG_HOP_BAO_GIA'!L250 * (1 + '00_TONG_HOP_BAO_GIA'!P250) / '00_TONG_HOP_BAO_GIA'!G250, 0)</f>
        <v/>
      </c>
      <c r="K259" s="137">
        <f>'00_TONG_HOP_BAO_GIA'!Q250</f>
        <v/>
      </c>
      <c r="L259" s="137">
        <f>('00_TONG_HOP_BAO_GIA'!K250 + '00_TONG_HOP_BAO_GIA'!M250) * (1 + '00_TONG_HOP_BAO_GIA'!P250)</f>
        <v/>
      </c>
      <c r="M259" s="137">
        <f>'00_TONG_HOP_BAO_GIA'!L250 * (1 + '00_TONG_HOP_BAO_GIA'!P250)</f>
        <v/>
      </c>
      <c r="N259" s="137">
        <f>'00_TONG_HOP_BAO_GIA'!R250</f>
        <v/>
      </c>
      <c r="O259" s="139">
        <f>IF(K259=0, "CẢNH BÁO: Đơn giá = 0. Tra cứu lại Sheet 06!", '00_TONG_HOP_BAO_GIA'!S250)</f>
        <v/>
      </c>
    </row>
    <row r="260" outlineLevel="1">
      <c r="A260" s="141">
        <f>SUBTOTAL(3,$G$7:G260)</f>
        <v/>
      </c>
      <c r="B260" s="139" t="inlineStr">
        <is>
          <t>Louver FAL 400x300 + IS + Filter</t>
        </is>
      </c>
      <c r="C260" s="134" t="n"/>
      <c r="D260" s="134" t="inlineStr">
        <is>
          <t>NSCA, Evegreen, Swind, tđ</t>
        </is>
      </c>
      <c r="E260" s="134" t="n"/>
      <c r="F260" s="329" t="n"/>
      <c r="G260" s="383" t="inlineStr">
        <is>
          <t>cái</t>
        </is>
      </c>
      <c r="H260" s="136" t="n">
        <v>15</v>
      </c>
      <c r="I260" s="136">
        <f>IF('00_TONG_HOP_BAO_GIA'!G251&gt;0, ('00_TONG_HOP_BAO_GIA'!K251 + '00_TONG_HOP_BAO_GIA'!M251) * (1 + '00_TONG_HOP_BAO_GIA'!P251) / '00_TONG_HOP_BAO_GIA'!G251, 0)</f>
        <v/>
      </c>
      <c r="J260" s="136">
        <f>IF('00_TONG_HOP_BAO_GIA'!G251&gt;0, '00_TONG_HOP_BAO_GIA'!L251 * (1 + '00_TONG_HOP_BAO_GIA'!P251) / '00_TONG_HOP_BAO_GIA'!G251, 0)</f>
        <v/>
      </c>
      <c r="K260" s="137">
        <f>'00_TONG_HOP_BAO_GIA'!Q251</f>
        <v/>
      </c>
      <c r="L260" s="137">
        <f>('00_TONG_HOP_BAO_GIA'!K251 + '00_TONG_HOP_BAO_GIA'!M251) * (1 + '00_TONG_HOP_BAO_GIA'!P251)</f>
        <v/>
      </c>
      <c r="M260" s="137">
        <f>'00_TONG_HOP_BAO_GIA'!L251 * (1 + '00_TONG_HOP_BAO_GIA'!P251)</f>
        <v/>
      </c>
      <c r="N260" s="137">
        <f>'00_TONG_HOP_BAO_GIA'!R251</f>
        <v/>
      </c>
      <c r="O260" s="139">
        <f>IF(K260=0, "CẢNH BÁO: Đơn giá = 0. Tra cứu lại Sheet 06!", '00_TONG_HOP_BAO_GIA'!S251)</f>
        <v/>
      </c>
    </row>
    <row r="261" outlineLevel="1">
      <c r="A261" s="141">
        <f>SUBTOTAL(3,$G$7:G261)</f>
        <v/>
      </c>
      <c r="B261" s="139" t="inlineStr">
        <is>
          <t>Louver FAL 500x300 + IS + Filter</t>
        </is>
      </c>
      <c r="C261" s="134" t="n"/>
      <c r="D261" s="134" t="inlineStr">
        <is>
          <t>NSCA, Evegreen, Swind, tđ</t>
        </is>
      </c>
      <c r="E261" s="134" t="n"/>
      <c r="F261" s="329" t="n"/>
      <c r="G261" s="383" t="inlineStr">
        <is>
          <t>cái</t>
        </is>
      </c>
      <c r="H261" s="136" t="n">
        <v>6</v>
      </c>
      <c r="I261" s="136">
        <f>IF('00_TONG_HOP_BAO_GIA'!G252&gt;0, ('00_TONG_HOP_BAO_GIA'!K252 + '00_TONG_HOP_BAO_GIA'!M252) * (1 + '00_TONG_HOP_BAO_GIA'!P252) / '00_TONG_HOP_BAO_GIA'!G252, 0)</f>
        <v/>
      </c>
      <c r="J261" s="136">
        <f>IF('00_TONG_HOP_BAO_GIA'!G252&gt;0, '00_TONG_HOP_BAO_GIA'!L252 * (1 + '00_TONG_HOP_BAO_GIA'!P252) / '00_TONG_HOP_BAO_GIA'!G252, 0)</f>
        <v/>
      </c>
      <c r="K261" s="137">
        <f>'00_TONG_HOP_BAO_GIA'!Q252</f>
        <v/>
      </c>
      <c r="L261" s="137">
        <f>('00_TONG_HOP_BAO_GIA'!K252 + '00_TONG_HOP_BAO_GIA'!M252) * (1 + '00_TONG_HOP_BAO_GIA'!P252)</f>
        <v/>
      </c>
      <c r="M261" s="137">
        <f>'00_TONG_HOP_BAO_GIA'!L252 * (1 + '00_TONG_HOP_BAO_GIA'!P252)</f>
        <v/>
      </c>
      <c r="N261" s="137">
        <f>'00_TONG_HOP_BAO_GIA'!R252</f>
        <v/>
      </c>
      <c r="O261" s="139">
        <f>IF(K261=0, "CẢNH BÁO: Đơn giá = 0. Tra cứu lại Sheet 06!", '00_TONG_HOP_BAO_GIA'!S252)</f>
        <v/>
      </c>
    </row>
    <row r="262" outlineLevel="1">
      <c r="A262" s="141">
        <f>SUBTOTAL(3,$G$7:G262)</f>
        <v/>
      </c>
      <c r="B262" s="139" t="inlineStr">
        <is>
          <t>Louver FAL 600x400 + IS + Filter</t>
        </is>
      </c>
      <c r="C262" s="134" t="n"/>
      <c r="D262" s="134" t="inlineStr">
        <is>
          <t>NSCA, Evegreen, Swind, tđ</t>
        </is>
      </c>
      <c r="E262" s="134" t="n"/>
      <c r="F262" s="329" t="n"/>
      <c r="G262" s="383" t="inlineStr">
        <is>
          <t>cái</t>
        </is>
      </c>
      <c r="H262" s="136" t="n">
        <v>8</v>
      </c>
      <c r="I262" s="136">
        <f>IF('00_TONG_HOP_BAO_GIA'!G253&gt;0, ('00_TONG_HOP_BAO_GIA'!K253 + '00_TONG_HOP_BAO_GIA'!M253) * (1 + '00_TONG_HOP_BAO_GIA'!P253) / '00_TONG_HOP_BAO_GIA'!G253, 0)</f>
        <v/>
      </c>
      <c r="J262" s="136">
        <f>IF('00_TONG_HOP_BAO_GIA'!G253&gt;0, '00_TONG_HOP_BAO_GIA'!L253 * (1 + '00_TONG_HOP_BAO_GIA'!P253) / '00_TONG_HOP_BAO_GIA'!G253, 0)</f>
        <v/>
      </c>
      <c r="K262" s="137">
        <f>'00_TONG_HOP_BAO_GIA'!Q253</f>
        <v/>
      </c>
      <c r="L262" s="137">
        <f>('00_TONG_HOP_BAO_GIA'!K253 + '00_TONG_HOP_BAO_GIA'!M253) * (1 + '00_TONG_HOP_BAO_GIA'!P253)</f>
        <v/>
      </c>
      <c r="M262" s="137">
        <f>'00_TONG_HOP_BAO_GIA'!L253 * (1 + '00_TONG_HOP_BAO_GIA'!P253)</f>
        <v/>
      </c>
      <c r="N262" s="137">
        <f>'00_TONG_HOP_BAO_GIA'!R253</f>
        <v/>
      </c>
      <c r="O262" s="139">
        <f>IF(K262=0, "CẢNH BÁO: Đơn giá = 0. Tra cứu lại Sheet 06!", '00_TONG_HOP_BAO_GIA'!S253)</f>
        <v/>
      </c>
    </row>
    <row r="263" outlineLevel="1">
      <c r="A263" s="141">
        <f>SUBTOTAL(3,$G$7:G263)</f>
        <v/>
      </c>
      <c r="B263" s="139" t="inlineStr">
        <is>
          <t>Louver FAL 600x600 + IS + Filter</t>
        </is>
      </c>
      <c r="C263" s="134" t="n"/>
      <c r="D263" s="134" t="inlineStr">
        <is>
          <t>NSCA, Evegreen, Swind, tđ</t>
        </is>
      </c>
      <c r="E263" s="134" t="n"/>
      <c r="F263" s="329" t="n"/>
      <c r="G263" s="383" t="inlineStr">
        <is>
          <t>cái</t>
        </is>
      </c>
      <c r="H263" s="136" t="n">
        <v>2</v>
      </c>
      <c r="I263" s="136">
        <f>IF('00_TONG_HOP_BAO_GIA'!G254&gt;0, ('00_TONG_HOP_BAO_GIA'!K254 + '00_TONG_HOP_BAO_GIA'!M254) * (1 + '00_TONG_HOP_BAO_GIA'!P254) / '00_TONG_HOP_BAO_GIA'!G254, 0)</f>
        <v/>
      </c>
      <c r="J263" s="136">
        <f>IF('00_TONG_HOP_BAO_GIA'!G254&gt;0, '00_TONG_HOP_BAO_GIA'!L254 * (1 + '00_TONG_HOP_BAO_GIA'!P254) / '00_TONG_HOP_BAO_GIA'!G254, 0)</f>
        <v/>
      </c>
      <c r="K263" s="137">
        <f>'00_TONG_HOP_BAO_GIA'!Q254</f>
        <v/>
      </c>
      <c r="L263" s="137">
        <f>('00_TONG_HOP_BAO_GIA'!K254 + '00_TONG_HOP_BAO_GIA'!M254) * (1 + '00_TONG_HOP_BAO_GIA'!P254)</f>
        <v/>
      </c>
      <c r="M263" s="137">
        <f>'00_TONG_HOP_BAO_GIA'!L254 * (1 + '00_TONG_HOP_BAO_GIA'!P254)</f>
        <v/>
      </c>
      <c r="N263" s="137">
        <f>'00_TONG_HOP_BAO_GIA'!R254</f>
        <v/>
      </c>
      <c r="O263" s="139">
        <f>IF(K263=0, "CẢNH BÁO: Đơn giá = 0. Tra cứu lại Sheet 06!", '00_TONG_HOP_BAO_GIA'!S254)</f>
        <v/>
      </c>
    </row>
    <row r="264" outlineLevel="1">
      <c r="A264" s="141">
        <f>SUBTOTAL(3,$G$7:G264)</f>
        <v/>
      </c>
      <c r="B264" s="139" t="inlineStr">
        <is>
          <t>Louver FAL 900x600 + IS + Filter</t>
        </is>
      </c>
      <c r="C264" s="134" t="n"/>
      <c r="D264" s="134" t="inlineStr">
        <is>
          <t>NSCA, Evegreen, Swind, tđ</t>
        </is>
      </c>
      <c r="E264" s="134" t="n"/>
      <c r="F264" s="329" t="n"/>
      <c r="G264" s="383" t="inlineStr">
        <is>
          <t>cái</t>
        </is>
      </c>
      <c r="H264" s="136" t="n">
        <v>1</v>
      </c>
      <c r="I264" s="136">
        <f>IF('00_TONG_HOP_BAO_GIA'!G255&gt;0, ('00_TONG_HOP_BAO_GIA'!K255 + '00_TONG_HOP_BAO_GIA'!M255) * (1 + '00_TONG_HOP_BAO_GIA'!P255) / '00_TONG_HOP_BAO_GIA'!G255, 0)</f>
        <v/>
      </c>
      <c r="J264" s="136">
        <f>IF('00_TONG_HOP_BAO_GIA'!G255&gt;0, '00_TONG_HOP_BAO_GIA'!L255 * (1 + '00_TONG_HOP_BAO_GIA'!P255) / '00_TONG_HOP_BAO_GIA'!G255, 0)</f>
        <v/>
      </c>
      <c r="K264" s="137">
        <f>'00_TONG_HOP_BAO_GIA'!Q255</f>
        <v/>
      </c>
      <c r="L264" s="137">
        <f>('00_TONG_HOP_BAO_GIA'!K255 + '00_TONG_HOP_BAO_GIA'!M255) * (1 + '00_TONG_HOP_BAO_GIA'!P255)</f>
        <v/>
      </c>
      <c r="M264" s="137">
        <f>'00_TONG_HOP_BAO_GIA'!L255 * (1 + '00_TONG_HOP_BAO_GIA'!P255)</f>
        <v/>
      </c>
      <c r="N264" s="137">
        <f>'00_TONG_HOP_BAO_GIA'!R255</f>
        <v/>
      </c>
      <c r="O264" s="139">
        <f>IF(K264=0, "CẢNH BÁO: Đơn giá = 0. Tra cứu lại Sheet 06!", '00_TONG_HOP_BAO_GIA'!S255)</f>
        <v/>
      </c>
    </row>
    <row r="265" outlineLevel="1">
      <c r="A265" s="141">
        <f>SUBTOTAL(3,$G$7:G265)</f>
        <v/>
      </c>
      <c r="B265" s="139" t="inlineStr">
        <is>
          <t>Louver 2500x500+IS</t>
        </is>
      </c>
      <c r="C265" s="134" t="n"/>
      <c r="D265" s="134" t="inlineStr">
        <is>
          <t>NSCA, Evegreen, Swind, tđ</t>
        </is>
      </c>
      <c r="E265" s="134" t="n"/>
      <c r="F265" s="329" t="n"/>
      <c r="G265" s="383" t="inlineStr">
        <is>
          <t>cái</t>
        </is>
      </c>
      <c r="H265" s="136" t="n">
        <v>2</v>
      </c>
      <c r="I265" s="136">
        <f>IF('00_TONG_HOP_BAO_GIA'!G256&gt;0, ('00_TONG_HOP_BAO_GIA'!K256 + '00_TONG_HOP_BAO_GIA'!M256) * (1 + '00_TONG_HOP_BAO_GIA'!P256) / '00_TONG_HOP_BAO_GIA'!G256, 0)</f>
        <v/>
      </c>
      <c r="J265" s="136">
        <f>IF('00_TONG_HOP_BAO_GIA'!G256&gt;0, '00_TONG_HOP_BAO_GIA'!L256 * (1 + '00_TONG_HOP_BAO_GIA'!P256) / '00_TONG_HOP_BAO_GIA'!G256, 0)</f>
        <v/>
      </c>
      <c r="K265" s="137">
        <f>'00_TONG_HOP_BAO_GIA'!Q256</f>
        <v/>
      </c>
      <c r="L265" s="137">
        <f>('00_TONG_HOP_BAO_GIA'!K256 + '00_TONG_HOP_BAO_GIA'!M256) * (1 + '00_TONG_HOP_BAO_GIA'!P256)</f>
        <v/>
      </c>
      <c r="M265" s="137">
        <f>'00_TONG_HOP_BAO_GIA'!L256 * (1 + '00_TONG_HOP_BAO_GIA'!P256)</f>
        <v/>
      </c>
      <c r="N265" s="137">
        <f>'00_TONG_HOP_BAO_GIA'!R256</f>
        <v/>
      </c>
      <c r="O265" s="139">
        <f>IF(K265=0, "CẢNH BÁO: Đơn giá = 0. Tra cứu lại Sheet 06!", '00_TONG_HOP_BAO_GIA'!S256)</f>
        <v/>
      </c>
    </row>
    <row r="266" outlineLevel="1">
      <c r="A266" s="141">
        <f>SUBTOTAL(3,$G$7:G266)</f>
        <v/>
      </c>
      <c r="B266" s="139" t="inlineStr">
        <is>
          <t>Louver 1750x500+IS</t>
        </is>
      </c>
      <c r="C266" s="134" t="n"/>
      <c r="D266" s="134" t="inlineStr">
        <is>
          <t>NSCA, Evegreen, Swind, tđ</t>
        </is>
      </c>
      <c r="E266" s="134" t="n"/>
      <c r="F266" s="329" t="n"/>
      <c r="G266" s="383" t="inlineStr">
        <is>
          <t>cái</t>
        </is>
      </c>
      <c r="H266" s="136" t="n">
        <v>2</v>
      </c>
      <c r="I266" s="136">
        <f>IF('00_TONG_HOP_BAO_GIA'!G257&gt;0, ('00_TONG_HOP_BAO_GIA'!K257 + '00_TONG_HOP_BAO_GIA'!M257) * (1 + '00_TONG_HOP_BAO_GIA'!P257) / '00_TONG_HOP_BAO_GIA'!G257, 0)</f>
        <v/>
      </c>
      <c r="J266" s="136">
        <f>IF('00_TONG_HOP_BAO_GIA'!G257&gt;0, '00_TONG_HOP_BAO_GIA'!L257 * (1 + '00_TONG_HOP_BAO_GIA'!P257) / '00_TONG_HOP_BAO_GIA'!G257, 0)</f>
        <v/>
      </c>
      <c r="K266" s="137">
        <f>'00_TONG_HOP_BAO_GIA'!Q257</f>
        <v/>
      </c>
      <c r="L266" s="137">
        <f>('00_TONG_HOP_BAO_GIA'!K257 + '00_TONG_HOP_BAO_GIA'!M257) * (1 + '00_TONG_HOP_BAO_GIA'!P257)</f>
        <v/>
      </c>
      <c r="M266" s="137">
        <f>'00_TONG_HOP_BAO_GIA'!L257 * (1 + '00_TONG_HOP_BAO_GIA'!P257)</f>
        <v/>
      </c>
      <c r="N266" s="137">
        <f>'00_TONG_HOP_BAO_GIA'!R257</f>
        <v/>
      </c>
      <c r="O266" s="139">
        <f>IF(K266=0, "CẢNH BÁO: Đơn giá = 0. Tra cứu lại Sheet 06!", '00_TONG_HOP_BAO_GIA'!S257)</f>
        <v/>
      </c>
    </row>
    <row r="267" outlineLevel="1">
      <c r="A267" s="141">
        <f>SUBTOTAL(3,$G$7:G267)</f>
        <v/>
      </c>
      <c r="B267" s="139" t="inlineStr">
        <is>
          <t>Louver 2500x500+IS</t>
        </is>
      </c>
      <c r="C267" s="134" t="n"/>
      <c r="D267" s="134" t="inlineStr">
        <is>
          <t>NSCA, Evegreen, Swind, tđ</t>
        </is>
      </c>
      <c r="E267" s="134" t="n"/>
      <c r="F267" s="329" t="n"/>
      <c r="G267" s="383" t="inlineStr">
        <is>
          <t>cái</t>
        </is>
      </c>
      <c r="H267" s="136" t="n">
        <v>5</v>
      </c>
      <c r="I267" s="136">
        <f>IF('00_TONG_HOP_BAO_GIA'!G258&gt;0, ('00_TONG_HOP_BAO_GIA'!K258 + '00_TONG_HOP_BAO_GIA'!M258) * (1 + '00_TONG_HOP_BAO_GIA'!P258) / '00_TONG_HOP_BAO_GIA'!G258, 0)</f>
        <v/>
      </c>
      <c r="J267" s="136">
        <f>IF('00_TONG_HOP_BAO_GIA'!G258&gt;0, '00_TONG_HOP_BAO_GIA'!L258 * (1 + '00_TONG_HOP_BAO_GIA'!P258) / '00_TONG_HOP_BAO_GIA'!G258, 0)</f>
        <v/>
      </c>
      <c r="K267" s="137">
        <f>'00_TONG_HOP_BAO_GIA'!Q258</f>
        <v/>
      </c>
      <c r="L267" s="137">
        <f>('00_TONG_HOP_BAO_GIA'!K258 + '00_TONG_HOP_BAO_GIA'!M258) * (1 + '00_TONG_HOP_BAO_GIA'!P258)</f>
        <v/>
      </c>
      <c r="M267" s="137">
        <f>'00_TONG_HOP_BAO_GIA'!L258 * (1 + '00_TONG_HOP_BAO_GIA'!P258)</f>
        <v/>
      </c>
      <c r="N267" s="137">
        <f>'00_TONG_HOP_BAO_GIA'!R258</f>
        <v/>
      </c>
      <c r="O267" s="139">
        <f>IF(K267=0, "CẢNH BÁO: Đơn giá = 0. Tra cứu lại Sheet 06!", '00_TONG_HOP_BAO_GIA'!S258)</f>
        <v/>
      </c>
    </row>
    <row r="268" outlineLevel="1">
      <c r="A268" s="141">
        <f>SUBTOTAL(3,$G$7:G268)</f>
        <v/>
      </c>
      <c r="B268" s="139" t="inlineStr">
        <is>
          <t>Louver 3000x500+IS</t>
        </is>
      </c>
      <c r="C268" s="134" t="n"/>
      <c r="D268" s="134" t="inlineStr">
        <is>
          <t>NSCA, Evegreen, Swind, tđ</t>
        </is>
      </c>
      <c r="E268" s="134" t="n"/>
      <c r="F268" s="329" t="n"/>
      <c r="G268" s="383" t="inlineStr">
        <is>
          <t>cái</t>
        </is>
      </c>
      <c r="H268" s="136" t="n">
        <v>1</v>
      </c>
      <c r="I268" s="136">
        <f>IF('00_TONG_HOP_BAO_GIA'!G259&gt;0, ('00_TONG_HOP_BAO_GIA'!K259 + '00_TONG_HOP_BAO_GIA'!M259) * (1 + '00_TONG_HOP_BAO_GIA'!P259) / '00_TONG_HOP_BAO_GIA'!G259, 0)</f>
        <v/>
      </c>
      <c r="J268" s="136">
        <f>IF('00_TONG_HOP_BAO_GIA'!G259&gt;0, '00_TONG_HOP_BAO_GIA'!L259 * (1 + '00_TONG_HOP_BAO_GIA'!P259) / '00_TONG_HOP_BAO_GIA'!G259, 0)</f>
        <v/>
      </c>
      <c r="K268" s="137">
        <f>'00_TONG_HOP_BAO_GIA'!Q259</f>
        <v/>
      </c>
      <c r="L268" s="137">
        <f>('00_TONG_HOP_BAO_GIA'!K259 + '00_TONG_HOP_BAO_GIA'!M259) * (1 + '00_TONG_HOP_BAO_GIA'!P259)</f>
        <v/>
      </c>
      <c r="M268" s="137">
        <f>'00_TONG_HOP_BAO_GIA'!L259 * (1 + '00_TONG_HOP_BAO_GIA'!P259)</f>
        <v/>
      </c>
      <c r="N268" s="137">
        <f>'00_TONG_HOP_BAO_GIA'!R259</f>
        <v/>
      </c>
      <c r="O268" s="139">
        <f>IF(K268=0, "CẢNH BÁO: Đơn giá = 0. Tra cứu lại Sheet 06!", '00_TONG_HOP_BAO_GIA'!S259)</f>
        <v/>
      </c>
    </row>
    <row r="269" outlineLevel="1" ht="26.4" customHeight="1">
      <c r="A269" s="141" t="n"/>
      <c r="B269" s="140" t="inlineStr">
        <is>
          <t>Hệ thống ống thông cấp gió tươi, gió bù, box miệng gió</t>
        </is>
      </c>
      <c r="C269" s="134" t="n"/>
      <c r="D269" s="134" t="n"/>
      <c r="E269" s="134" t="n"/>
      <c r="F269" s="329" t="inlineStr">
        <is>
          <t>M</t>
        </is>
      </c>
      <c r="G269" s="383"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83" t="inlineStr">
        <is>
          <t>m2</t>
        </is>
      </c>
      <c r="H270" s="136" t="n">
        <v>2259.95</v>
      </c>
      <c r="I270" s="136">
        <f>IF('00_TONG_HOP_BAO_GIA'!G260&gt;0, ('00_TONG_HOP_BAO_GIA'!K260 + '00_TONG_HOP_BAO_GIA'!M260) * (1 + '00_TONG_HOP_BAO_GIA'!P260) / '00_TONG_HOP_BAO_GIA'!G260, 0)</f>
        <v/>
      </c>
      <c r="J270" s="136">
        <f>IF('00_TONG_HOP_BAO_GIA'!G260&gt;0, '00_TONG_HOP_BAO_GIA'!L260 * (1 + '00_TONG_HOP_BAO_GIA'!P260) / '00_TONG_HOP_BAO_GIA'!G260, 0)</f>
        <v/>
      </c>
      <c r="K270" s="137">
        <f>'00_TONG_HOP_BAO_GIA'!Q260</f>
        <v/>
      </c>
      <c r="L270" s="137">
        <f>('00_TONG_HOP_BAO_GIA'!K260 + '00_TONG_HOP_BAO_GIA'!M260) * (1 + '00_TONG_HOP_BAO_GIA'!P260)</f>
        <v/>
      </c>
      <c r="M270" s="137">
        <f>'00_TONG_HOP_BAO_GIA'!L260 * (1 + '00_TONG_HOP_BAO_GIA'!P260)</f>
        <v/>
      </c>
      <c r="N270" s="137">
        <f>'00_TONG_HOP_BAO_GIA'!R260</f>
        <v/>
      </c>
      <c r="O270" s="139">
        <f>IF(K270=0, "CẢNH BÁO: Đơn giá = 0. Tra cứu lại Sheet 06!", '00_TONG_HOP_BAO_GIA'!S260)</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83" t="inlineStr">
        <is>
          <t>m2</t>
        </is>
      </c>
      <c r="H271" s="136" t="n">
        <v>677.3</v>
      </c>
      <c r="I271" s="136">
        <f>IF('00_TONG_HOP_BAO_GIA'!G261&gt;0, ('00_TONG_HOP_BAO_GIA'!K261 + '00_TONG_HOP_BAO_GIA'!M261) * (1 + '00_TONG_HOP_BAO_GIA'!P261) / '00_TONG_HOP_BAO_GIA'!G261, 0)</f>
        <v/>
      </c>
      <c r="J271" s="136">
        <f>IF('00_TONG_HOP_BAO_GIA'!G261&gt;0, '00_TONG_HOP_BAO_GIA'!L261 * (1 + '00_TONG_HOP_BAO_GIA'!P261) / '00_TONG_HOP_BAO_GIA'!G261, 0)</f>
        <v/>
      </c>
      <c r="K271" s="137">
        <f>'00_TONG_HOP_BAO_GIA'!Q261</f>
        <v/>
      </c>
      <c r="L271" s="137">
        <f>('00_TONG_HOP_BAO_GIA'!K261 + '00_TONG_HOP_BAO_GIA'!M261) * (1 + '00_TONG_HOP_BAO_GIA'!P261)</f>
        <v/>
      </c>
      <c r="M271" s="137">
        <f>'00_TONG_HOP_BAO_GIA'!L261 * (1 + '00_TONG_HOP_BAO_GIA'!P261)</f>
        <v/>
      </c>
      <c r="N271" s="137">
        <f>'00_TONG_HOP_BAO_GIA'!R261</f>
        <v/>
      </c>
      <c r="O271" s="139">
        <f>IF(K271=0, "CẢNH BÁO: Đơn giá = 0. Tra cứu lại Sheet 06!", '00_TONG_HOP_BAO_GIA'!S261)</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83" t="inlineStr">
        <is>
          <t>m2</t>
        </is>
      </c>
      <c r="H272" s="136" t="n">
        <v>320.75</v>
      </c>
      <c r="I272" s="136">
        <f>IF('00_TONG_HOP_BAO_GIA'!G262&gt;0, ('00_TONG_HOP_BAO_GIA'!K262 + '00_TONG_HOP_BAO_GIA'!M262) * (1 + '00_TONG_HOP_BAO_GIA'!P262) / '00_TONG_HOP_BAO_GIA'!G262, 0)</f>
        <v/>
      </c>
      <c r="J272" s="136">
        <f>IF('00_TONG_HOP_BAO_GIA'!G262&gt;0, '00_TONG_HOP_BAO_GIA'!L262 * (1 + '00_TONG_HOP_BAO_GIA'!P262) / '00_TONG_HOP_BAO_GIA'!G262, 0)</f>
        <v/>
      </c>
      <c r="K272" s="137">
        <f>'00_TONG_HOP_BAO_GIA'!Q262</f>
        <v/>
      </c>
      <c r="L272" s="137">
        <f>('00_TONG_HOP_BAO_GIA'!K262 + '00_TONG_HOP_BAO_GIA'!M262) * (1 + '00_TONG_HOP_BAO_GIA'!P262)</f>
        <v/>
      </c>
      <c r="M272" s="137">
        <f>'00_TONG_HOP_BAO_GIA'!L262 * (1 + '00_TONG_HOP_BAO_GIA'!P262)</f>
        <v/>
      </c>
      <c r="N272" s="137">
        <f>'00_TONG_HOP_BAO_GIA'!R262</f>
        <v/>
      </c>
      <c r="O272" s="139">
        <f>IF(K272=0, "CẢNH BÁO: Đơn giá = 0. Tra cứu lại Sheet 06!", '00_TONG_HOP_BAO_GIA'!S262)</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83" t="inlineStr">
        <is>
          <t>m2</t>
        </is>
      </c>
      <c r="H273" s="136" t="n">
        <v>3375</v>
      </c>
      <c r="I273" s="136">
        <f>IF('00_TONG_HOP_BAO_GIA'!G263&gt;0, ('00_TONG_HOP_BAO_GIA'!K263 + '00_TONG_HOP_BAO_GIA'!M263) * (1 + '00_TONG_HOP_BAO_GIA'!P263) / '00_TONG_HOP_BAO_GIA'!G263, 0)</f>
        <v/>
      </c>
      <c r="J273" s="136">
        <f>IF('00_TONG_HOP_BAO_GIA'!G263&gt;0, '00_TONG_HOP_BAO_GIA'!L263 * (1 + '00_TONG_HOP_BAO_GIA'!P263) / '00_TONG_HOP_BAO_GIA'!G263, 0)</f>
        <v/>
      </c>
      <c r="K273" s="137">
        <f>'00_TONG_HOP_BAO_GIA'!Q263</f>
        <v/>
      </c>
      <c r="L273" s="137">
        <f>('00_TONG_HOP_BAO_GIA'!K263 + '00_TONG_HOP_BAO_GIA'!M263) * (1 + '00_TONG_HOP_BAO_GIA'!P263)</f>
        <v/>
      </c>
      <c r="M273" s="137">
        <f>'00_TONG_HOP_BAO_GIA'!L263 * (1 + '00_TONG_HOP_BAO_GIA'!P263)</f>
        <v/>
      </c>
      <c r="N273" s="137">
        <f>'00_TONG_HOP_BAO_GIA'!R263</f>
        <v/>
      </c>
      <c r="O273" s="139">
        <f>IF(K273=0, "CẢNH BÁO: Đơn giá = 0. Tra cứu lại Sheet 06!", '00_TONG_HOP_BAO_GIA'!S263)</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83" t="inlineStr">
        <is>
          <t>m2</t>
        </is>
      </c>
      <c r="H274" s="136" t="n">
        <v>136</v>
      </c>
      <c r="I274" s="136">
        <f>IF('00_TONG_HOP_BAO_GIA'!G264&gt;0, ('00_TONG_HOP_BAO_GIA'!K264 + '00_TONG_HOP_BAO_GIA'!M264) * (1 + '00_TONG_HOP_BAO_GIA'!P264) / '00_TONG_HOP_BAO_GIA'!G264, 0)</f>
        <v/>
      </c>
      <c r="J274" s="136">
        <f>IF('00_TONG_HOP_BAO_GIA'!G264&gt;0, '00_TONG_HOP_BAO_GIA'!L264 * (1 + '00_TONG_HOP_BAO_GIA'!P264) / '00_TONG_HOP_BAO_GIA'!G264, 0)</f>
        <v/>
      </c>
      <c r="K274" s="137">
        <f>'00_TONG_HOP_BAO_GIA'!Q264</f>
        <v/>
      </c>
      <c r="L274" s="137">
        <f>('00_TONG_HOP_BAO_GIA'!K264 + '00_TONG_HOP_BAO_GIA'!M264) * (1 + '00_TONG_HOP_BAO_GIA'!P264)</f>
        <v/>
      </c>
      <c r="M274" s="137">
        <f>'00_TONG_HOP_BAO_GIA'!L264 * (1 + '00_TONG_HOP_BAO_GIA'!P264)</f>
        <v/>
      </c>
      <c r="N274" s="137">
        <f>'00_TONG_HOP_BAO_GIA'!R264</f>
        <v/>
      </c>
      <c r="O274" s="139">
        <f>IF(K274=0, "CẢNH BÁO: Đơn giá = 0. Tra cứu lại Sheet 06!", '00_TONG_HOP_BAO_GIA'!S264)</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83" t="inlineStr">
        <is>
          <t>m2</t>
        </is>
      </c>
      <c r="H275" s="136" t="n">
        <v>364.55</v>
      </c>
      <c r="I275" s="136">
        <f>IF('00_TONG_HOP_BAO_GIA'!G265&gt;0, ('00_TONG_HOP_BAO_GIA'!K265 + '00_TONG_HOP_BAO_GIA'!M265) * (1 + '00_TONG_HOP_BAO_GIA'!P265) / '00_TONG_HOP_BAO_GIA'!G265, 0)</f>
        <v/>
      </c>
      <c r="J275" s="136">
        <f>IF('00_TONG_HOP_BAO_GIA'!G265&gt;0, '00_TONG_HOP_BAO_GIA'!L265 * (1 + '00_TONG_HOP_BAO_GIA'!P265) / '00_TONG_HOP_BAO_GIA'!G265, 0)</f>
        <v/>
      </c>
      <c r="K275" s="137">
        <f>'00_TONG_HOP_BAO_GIA'!Q265</f>
        <v/>
      </c>
      <c r="L275" s="137">
        <f>('00_TONG_HOP_BAO_GIA'!K265 + '00_TONG_HOP_BAO_GIA'!M265) * (1 + '00_TONG_HOP_BAO_GIA'!P265)</f>
        <v/>
      </c>
      <c r="M275" s="137">
        <f>'00_TONG_HOP_BAO_GIA'!L265 * (1 + '00_TONG_HOP_BAO_GIA'!P265)</f>
        <v/>
      </c>
      <c r="N275" s="137">
        <f>'00_TONG_HOP_BAO_GIA'!R265</f>
        <v/>
      </c>
      <c r="O275" s="139">
        <f>IF(K275=0, "CẢNH BÁO: Đơn giá = 0. Tra cứu lại Sheet 06!", '00_TONG_HOP_BAO_GIA'!S265)</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83" t="inlineStr">
        <is>
          <t>m2</t>
        </is>
      </c>
      <c r="H276" s="136" t="n">
        <v>3334</v>
      </c>
      <c r="I276" s="136">
        <f>IF('00_TONG_HOP_BAO_GIA'!G266&gt;0, ('00_TONG_HOP_BAO_GIA'!K266 + '00_TONG_HOP_BAO_GIA'!M266) * (1 + '00_TONG_HOP_BAO_GIA'!P266) / '00_TONG_HOP_BAO_GIA'!G266, 0)</f>
        <v/>
      </c>
      <c r="J276" s="136">
        <f>IF('00_TONG_HOP_BAO_GIA'!G266&gt;0, '00_TONG_HOP_BAO_GIA'!L266 * (1 + '00_TONG_HOP_BAO_GIA'!P266) / '00_TONG_HOP_BAO_GIA'!G266, 0)</f>
        <v/>
      </c>
      <c r="K276" s="137">
        <f>'00_TONG_HOP_BAO_GIA'!Q266</f>
        <v/>
      </c>
      <c r="L276" s="137">
        <f>('00_TONG_HOP_BAO_GIA'!K266 + '00_TONG_HOP_BAO_GIA'!M266) * (1 + '00_TONG_HOP_BAO_GIA'!P266)</f>
        <v/>
      </c>
      <c r="M276" s="137">
        <f>'00_TONG_HOP_BAO_GIA'!L266 * (1 + '00_TONG_HOP_BAO_GIA'!P266)</f>
        <v/>
      </c>
      <c r="N276" s="137">
        <f>'00_TONG_HOP_BAO_GIA'!R266</f>
        <v/>
      </c>
      <c r="O276" s="139">
        <f>IF(K276=0, "CẢNH BÁO: Đơn giá = 0. Tra cứu lại Sheet 06!", '00_TONG_HOP_BAO_GIA'!S266)</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83" t="inlineStr">
        <is>
          <t>m2</t>
        </is>
      </c>
      <c r="H277" s="136" t="n">
        <v>109.365</v>
      </c>
      <c r="I277" s="136">
        <f>IF('00_TONG_HOP_BAO_GIA'!G267&gt;0, ('00_TONG_HOP_BAO_GIA'!K267 + '00_TONG_HOP_BAO_GIA'!M267) * (1 + '00_TONG_HOP_BAO_GIA'!P267) / '00_TONG_HOP_BAO_GIA'!G267, 0)</f>
        <v/>
      </c>
      <c r="J277" s="136">
        <f>IF('00_TONG_HOP_BAO_GIA'!G267&gt;0, '00_TONG_HOP_BAO_GIA'!L267 * (1 + '00_TONG_HOP_BAO_GIA'!P267) / '00_TONG_HOP_BAO_GIA'!G267, 0)</f>
        <v/>
      </c>
      <c r="K277" s="137">
        <f>'00_TONG_HOP_BAO_GIA'!Q267</f>
        <v/>
      </c>
      <c r="L277" s="137">
        <f>('00_TONG_HOP_BAO_GIA'!K267 + '00_TONG_HOP_BAO_GIA'!M267) * (1 + '00_TONG_HOP_BAO_GIA'!P267)</f>
        <v/>
      </c>
      <c r="M277" s="137">
        <f>'00_TONG_HOP_BAO_GIA'!L267 * (1 + '00_TONG_HOP_BAO_GIA'!P267)</f>
        <v/>
      </c>
      <c r="N277" s="137">
        <f>'00_TONG_HOP_BAO_GIA'!R267</f>
        <v/>
      </c>
      <c r="O277" s="139">
        <f>IF(K277=0, "CẢNH BÁO: Đơn giá = 0. Tra cứu lại Sheet 06!", '00_TONG_HOP_BAO_GIA'!S267)</f>
        <v/>
      </c>
    </row>
    <row r="278" outlineLevel="1">
      <c r="A278" s="141">
        <f>SUBTOTAL(3,$G$7:G278)</f>
        <v/>
      </c>
      <c r="B278" s="139" t="inlineStr">
        <is>
          <t>Vật tư phụ, phụ kiện</t>
        </is>
      </c>
      <c r="C278" s="134" t="n"/>
      <c r="D278" s="134" t="n"/>
      <c r="E278" s="134" t="n"/>
      <c r="F278" s="329" t="n"/>
      <c r="G278" s="383" t="inlineStr">
        <is>
          <t>Lô</t>
        </is>
      </c>
      <c r="H278" s="136" t="n">
        <v>1</v>
      </c>
      <c r="I278" s="136">
        <f>IF('00_TONG_HOP_BAO_GIA'!G268&gt;0, ('00_TONG_HOP_BAO_GIA'!K268 + '00_TONG_HOP_BAO_GIA'!M268) * (1 + '00_TONG_HOP_BAO_GIA'!P268) / '00_TONG_HOP_BAO_GIA'!G268, 0)</f>
        <v/>
      </c>
      <c r="J278" s="136">
        <f>IF('00_TONG_HOP_BAO_GIA'!G268&gt;0, '00_TONG_HOP_BAO_GIA'!L268 * (1 + '00_TONG_HOP_BAO_GIA'!P268) / '00_TONG_HOP_BAO_GIA'!G268, 0)</f>
        <v/>
      </c>
      <c r="K278" s="137">
        <f>'00_TONG_HOP_BAO_GIA'!Q268</f>
        <v/>
      </c>
      <c r="L278" s="137">
        <f>('00_TONG_HOP_BAO_GIA'!K268 + '00_TONG_HOP_BAO_GIA'!M268) * (1 + '00_TONG_HOP_BAO_GIA'!P268)</f>
        <v/>
      </c>
      <c r="M278" s="137">
        <f>'00_TONG_HOP_BAO_GIA'!L268 * (1 + '00_TONG_HOP_BAO_GIA'!P268)</f>
        <v/>
      </c>
      <c r="N278" s="137">
        <f>'00_TONG_HOP_BAO_GIA'!R268</f>
        <v/>
      </c>
      <c r="O278" s="139">
        <f>IF(K278=0, "CẢNH BÁO: Đơn giá = 0. Tra cứu lại Sheet 06!", '00_TONG_HOP_BAO_GIA'!S268)</f>
        <v/>
      </c>
    </row>
    <row r="279" outlineLevel="1">
      <c r="A279" s="132" t="inlineStr">
        <is>
          <t>A4</t>
        </is>
      </c>
      <c r="B279" s="140" t="inlineStr">
        <is>
          <t>Hệ thống hút gió thải, hút gió bếp</t>
        </is>
      </c>
      <c r="C279" s="134" t="n"/>
      <c r="D279" s="134" t="n"/>
      <c r="E279" s="134" t="n"/>
      <c r="F279" s="329" t="inlineStr">
        <is>
          <t>M</t>
        </is>
      </c>
      <c r="G279" s="385"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83" t="inlineStr">
        <is>
          <t>Cái</t>
        </is>
      </c>
      <c r="H280" s="136" t="n">
        <v>1</v>
      </c>
      <c r="I280" s="136">
        <f>IF('00_TONG_HOP_BAO_GIA'!G269&gt;0, ('00_TONG_HOP_BAO_GIA'!K269 + '00_TONG_HOP_BAO_GIA'!M269) * (1 + '00_TONG_HOP_BAO_GIA'!P269) / '00_TONG_HOP_BAO_GIA'!G269, 0)</f>
        <v/>
      </c>
      <c r="J280" s="136">
        <f>IF('00_TONG_HOP_BAO_GIA'!G269&gt;0, '00_TONG_HOP_BAO_GIA'!L269 * (1 + '00_TONG_HOP_BAO_GIA'!P269) / '00_TONG_HOP_BAO_GIA'!G269, 0)</f>
        <v/>
      </c>
      <c r="K280" s="137">
        <f>'00_TONG_HOP_BAO_GIA'!Q269</f>
        <v/>
      </c>
      <c r="L280" s="137">
        <f>('00_TONG_HOP_BAO_GIA'!K269 + '00_TONG_HOP_BAO_GIA'!M269) * (1 + '00_TONG_HOP_BAO_GIA'!P269)</f>
        <v/>
      </c>
      <c r="M280" s="137">
        <f>'00_TONG_HOP_BAO_GIA'!L269 * (1 + '00_TONG_HOP_BAO_GIA'!P269)</f>
        <v/>
      </c>
      <c r="N280" s="137">
        <f>'00_TONG_HOP_BAO_GIA'!R269</f>
        <v/>
      </c>
      <c r="O280" s="139">
        <f>IF(K280=0, "CẢNH BÁO: Đơn giá = 0. Tra cứu lại Sheet 06!", '00_TONG_HOP_BAO_GIA'!S269)</f>
        <v/>
      </c>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83" t="inlineStr">
        <is>
          <t>Cái</t>
        </is>
      </c>
      <c r="H281" s="136" t="n">
        <v>1</v>
      </c>
      <c r="I281" s="136">
        <f>IF('00_TONG_HOP_BAO_GIA'!G270&gt;0, ('00_TONG_HOP_BAO_GIA'!K270 + '00_TONG_HOP_BAO_GIA'!M270) * (1 + '00_TONG_HOP_BAO_GIA'!P270) / '00_TONG_HOP_BAO_GIA'!G270, 0)</f>
        <v/>
      </c>
      <c r="J281" s="136">
        <f>IF('00_TONG_HOP_BAO_GIA'!G270&gt;0, '00_TONG_HOP_BAO_GIA'!L270 * (1 + '00_TONG_HOP_BAO_GIA'!P270) / '00_TONG_HOP_BAO_GIA'!G270, 0)</f>
        <v/>
      </c>
      <c r="K281" s="137">
        <f>'00_TONG_HOP_BAO_GIA'!Q270</f>
        <v/>
      </c>
      <c r="L281" s="137">
        <f>('00_TONG_HOP_BAO_GIA'!K270 + '00_TONG_HOP_BAO_GIA'!M270) * (1 + '00_TONG_HOP_BAO_GIA'!P270)</f>
        <v/>
      </c>
      <c r="M281" s="137">
        <f>'00_TONG_HOP_BAO_GIA'!L270 * (1 + '00_TONG_HOP_BAO_GIA'!P270)</f>
        <v/>
      </c>
      <c r="N281" s="137">
        <f>'00_TONG_HOP_BAO_GIA'!R270</f>
        <v/>
      </c>
      <c r="O281" s="139">
        <f>IF(K281=0, "CẢNH BÁO: Đơn giá = 0. Tra cứu lại Sheet 06!", '00_TONG_HOP_BAO_GIA'!S270)</f>
        <v/>
      </c>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83" t="inlineStr">
        <is>
          <t>Bộ</t>
        </is>
      </c>
      <c r="H282" s="136" t="n">
        <v>3</v>
      </c>
      <c r="I282" s="136">
        <f>IF('00_TONG_HOP_BAO_GIA'!G271&gt;0, ('00_TONG_HOP_BAO_GIA'!K271 + '00_TONG_HOP_BAO_GIA'!M271) * (1 + '00_TONG_HOP_BAO_GIA'!P271) / '00_TONG_HOP_BAO_GIA'!G271, 0)</f>
        <v/>
      </c>
      <c r="J282" s="136">
        <f>IF('00_TONG_HOP_BAO_GIA'!G271&gt;0, '00_TONG_HOP_BAO_GIA'!L271 * (1 + '00_TONG_HOP_BAO_GIA'!P271) / '00_TONG_HOP_BAO_GIA'!G271, 0)</f>
        <v/>
      </c>
      <c r="K282" s="137">
        <f>'00_TONG_HOP_BAO_GIA'!Q271</f>
        <v/>
      </c>
      <c r="L282" s="137">
        <f>('00_TONG_HOP_BAO_GIA'!K271 + '00_TONG_HOP_BAO_GIA'!M271) * (1 + '00_TONG_HOP_BAO_GIA'!P271)</f>
        <v/>
      </c>
      <c r="M282" s="137">
        <f>'00_TONG_HOP_BAO_GIA'!L271 * (1 + '00_TONG_HOP_BAO_GIA'!P271)</f>
        <v/>
      </c>
      <c r="N282" s="137">
        <f>'00_TONG_HOP_BAO_GIA'!R271</f>
        <v/>
      </c>
      <c r="O282" s="139">
        <f>IF(K282=0, "CẢNH BÁO: Đơn giá = 0. Tra cứu lại Sheet 06!", '00_TONG_HOP_BAO_GIA'!S271)</f>
        <v/>
      </c>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83" t="inlineStr">
        <is>
          <t>Bộ</t>
        </is>
      </c>
      <c r="H283" s="136" t="n">
        <v>1</v>
      </c>
      <c r="I283" s="136">
        <f>IF('00_TONG_HOP_BAO_GIA'!G272&gt;0, ('00_TONG_HOP_BAO_GIA'!K272 + '00_TONG_HOP_BAO_GIA'!M272) * (1 + '00_TONG_HOP_BAO_GIA'!P272) / '00_TONG_HOP_BAO_GIA'!G272, 0)</f>
        <v/>
      </c>
      <c r="J283" s="136">
        <f>IF('00_TONG_HOP_BAO_GIA'!G272&gt;0, '00_TONG_HOP_BAO_GIA'!L272 * (1 + '00_TONG_HOP_BAO_GIA'!P272) / '00_TONG_HOP_BAO_GIA'!G272, 0)</f>
        <v/>
      </c>
      <c r="K283" s="137">
        <f>'00_TONG_HOP_BAO_GIA'!Q272</f>
        <v/>
      </c>
      <c r="L283" s="137">
        <f>('00_TONG_HOP_BAO_GIA'!K272 + '00_TONG_HOP_BAO_GIA'!M272) * (1 + '00_TONG_HOP_BAO_GIA'!P272)</f>
        <v/>
      </c>
      <c r="M283" s="137">
        <f>'00_TONG_HOP_BAO_GIA'!L272 * (1 + '00_TONG_HOP_BAO_GIA'!P272)</f>
        <v/>
      </c>
      <c r="N283" s="137">
        <f>'00_TONG_HOP_BAO_GIA'!R272</f>
        <v/>
      </c>
      <c r="O283" s="139">
        <f>IF(K283=0, "CẢNH BÁO: Đơn giá = 0. Tra cứu lại Sheet 06!", '00_TONG_HOP_BAO_GIA'!S272)</f>
        <v/>
      </c>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83" t="inlineStr">
        <is>
          <t>Bộ</t>
        </is>
      </c>
      <c r="H284" s="136" t="n">
        <v>1</v>
      </c>
      <c r="I284" s="136">
        <f>IF('00_TONG_HOP_BAO_GIA'!G273&gt;0, ('00_TONG_HOP_BAO_GIA'!K273 + '00_TONG_HOP_BAO_GIA'!M273) * (1 + '00_TONG_HOP_BAO_GIA'!P273) / '00_TONG_HOP_BAO_GIA'!G273, 0)</f>
        <v/>
      </c>
      <c r="J284" s="136">
        <f>IF('00_TONG_HOP_BAO_GIA'!G273&gt;0, '00_TONG_HOP_BAO_GIA'!L273 * (1 + '00_TONG_HOP_BAO_GIA'!P273) / '00_TONG_HOP_BAO_GIA'!G273, 0)</f>
        <v/>
      </c>
      <c r="K284" s="137">
        <f>'00_TONG_HOP_BAO_GIA'!Q273</f>
        <v/>
      </c>
      <c r="L284" s="137">
        <f>('00_TONG_HOP_BAO_GIA'!K273 + '00_TONG_HOP_BAO_GIA'!M273) * (1 + '00_TONG_HOP_BAO_GIA'!P273)</f>
        <v/>
      </c>
      <c r="M284" s="137">
        <f>'00_TONG_HOP_BAO_GIA'!L273 * (1 + '00_TONG_HOP_BAO_GIA'!P273)</f>
        <v/>
      </c>
      <c r="N284" s="137">
        <f>'00_TONG_HOP_BAO_GIA'!R273</f>
        <v/>
      </c>
      <c r="O284" s="139">
        <f>IF(K284=0, "CẢNH BÁO: Đơn giá = 0. Tra cứu lại Sheet 06!", '00_TONG_HOP_BAO_GIA'!S273)</f>
        <v/>
      </c>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83" t="inlineStr">
        <is>
          <t>Bộ</t>
        </is>
      </c>
      <c r="H285" s="136" t="n">
        <v>1</v>
      </c>
      <c r="I285" s="136">
        <f>IF('00_TONG_HOP_BAO_GIA'!G274&gt;0, ('00_TONG_HOP_BAO_GIA'!K274 + '00_TONG_HOP_BAO_GIA'!M274) * (1 + '00_TONG_HOP_BAO_GIA'!P274) / '00_TONG_HOP_BAO_GIA'!G274, 0)</f>
        <v/>
      </c>
      <c r="J285" s="136">
        <f>IF('00_TONG_HOP_BAO_GIA'!G274&gt;0, '00_TONG_HOP_BAO_GIA'!L274 * (1 + '00_TONG_HOP_BAO_GIA'!P274) / '00_TONG_HOP_BAO_GIA'!G274, 0)</f>
        <v/>
      </c>
      <c r="K285" s="137">
        <f>'00_TONG_HOP_BAO_GIA'!Q274</f>
        <v/>
      </c>
      <c r="L285" s="137">
        <f>('00_TONG_HOP_BAO_GIA'!K274 + '00_TONG_HOP_BAO_GIA'!M274) * (1 + '00_TONG_HOP_BAO_GIA'!P274)</f>
        <v/>
      </c>
      <c r="M285" s="137">
        <f>'00_TONG_HOP_BAO_GIA'!L274 * (1 + '00_TONG_HOP_BAO_GIA'!P274)</f>
        <v/>
      </c>
      <c r="N285" s="137">
        <f>'00_TONG_HOP_BAO_GIA'!R274</f>
        <v/>
      </c>
      <c r="O285" s="139">
        <f>IF(K285=0, "CẢNH BÁO: Đơn giá = 0. Tra cứu lại Sheet 06!", '00_TONG_HOP_BAO_GIA'!S274)</f>
        <v/>
      </c>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83" t="inlineStr">
        <is>
          <t>Bộ</t>
        </is>
      </c>
      <c r="H286" s="136" t="n">
        <v>1</v>
      </c>
      <c r="I286" s="136">
        <f>IF('00_TONG_HOP_BAO_GIA'!G275&gt;0, ('00_TONG_HOP_BAO_GIA'!K275 + '00_TONG_HOP_BAO_GIA'!M275) * (1 + '00_TONG_HOP_BAO_GIA'!P275) / '00_TONG_HOP_BAO_GIA'!G275, 0)</f>
        <v/>
      </c>
      <c r="J286" s="136">
        <f>IF('00_TONG_HOP_BAO_GIA'!G275&gt;0, '00_TONG_HOP_BAO_GIA'!L275 * (1 + '00_TONG_HOP_BAO_GIA'!P275) / '00_TONG_HOP_BAO_GIA'!G275, 0)</f>
        <v/>
      </c>
      <c r="K286" s="137">
        <f>'00_TONG_HOP_BAO_GIA'!Q275</f>
        <v/>
      </c>
      <c r="L286" s="137">
        <f>('00_TONG_HOP_BAO_GIA'!K275 + '00_TONG_HOP_BAO_GIA'!M275) * (1 + '00_TONG_HOP_BAO_GIA'!P275)</f>
        <v/>
      </c>
      <c r="M286" s="137">
        <f>'00_TONG_HOP_BAO_GIA'!L275 * (1 + '00_TONG_HOP_BAO_GIA'!P275)</f>
        <v/>
      </c>
      <c r="N286" s="137">
        <f>'00_TONG_HOP_BAO_GIA'!R275</f>
        <v/>
      </c>
      <c r="O286" s="139">
        <f>IF(K286=0, "CẢNH BÁO: Đơn giá = 0. Tra cứu lại Sheet 06!", '00_TONG_HOP_BAO_GIA'!S275)</f>
        <v/>
      </c>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83" t="inlineStr">
        <is>
          <t>Bộ</t>
        </is>
      </c>
      <c r="H287" s="136" t="n">
        <v>1</v>
      </c>
      <c r="I287" s="136">
        <f>IF('00_TONG_HOP_BAO_GIA'!G276&gt;0, ('00_TONG_HOP_BAO_GIA'!K276 + '00_TONG_HOP_BAO_GIA'!M276) * (1 + '00_TONG_HOP_BAO_GIA'!P276) / '00_TONG_HOP_BAO_GIA'!G276, 0)</f>
        <v/>
      </c>
      <c r="J287" s="136">
        <f>IF('00_TONG_HOP_BAO_GIA'!G276&gt;0, '00_TONG_HOP_BAO_GIA'!L276 * (1 + '00_TONG_HOP_BAO_GIA'!P276) / '00_TONG_HOP_BAO_GIA'!G276, 0)</f>
        <v/>
      </c>
      <c r="K287" s="137">
        <f>'00_TONG_HOP_BAO_GIA'!Q276</f>
        <v/>
      </c>
      <c r="L287" s="137">
        <f>('00_TONG_HOP_BAO_GIA'!K276 + '00_TONG_HOP_BAO_GIA'!M276) * (1 + '00_TONG_HOP_BAO_GIA'!P276)</f>
        <v/>
      </c>
      <c r="M287" s="137">
        <f>'00_TONG_HOP_BAO_GIA'!L276 * (1 + '00_TONG_HOP_BAO_GIA'!P276)</f>
        <v/>
      </c>
      <c r="N287" s="137">
        <f>'00_TONG_HOP_BAO_GIA'!R276</f>
        <v/>
      </c>
      <c r="O287" s="139">
        <f>IF(K287=0, "CẢNH BÁO: Đơn giá = 0. Tra cứu lại Sheet 06!", '00_TONG_HOP_BAO_GIA'!S276)</f>
        <v/>
      </c>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83" t="inlineStr">
        <is>
          <t>Bộ</t>
        </is>
      </c>
      <c r="H288" s="136" t="n">
        <v>1</v>
      </c>
      <c r="I288" s="136">
        <f>IF('00_TONG_HOP_BAO_GIA'!G277&gt;0, ('00_TONG_HOP_BAO_GIA'!K277 + '00_TONG_HOP_BAO_GIA'!M277) * (1 + '00_TONG_HOP_BAO_GIA'!P277) / '00_TONG_HOP_BAO_GIA'!G277, 0)</f>
        <v/>
      </c>
      <c r="J288" s="136">
        <f>IF('00_TONG_HOP_BAO_GIA'!G277&gt;0, '00_TONG_HOP_BAO_GIA'!L277 * (1 + '00_TONG_HOP_BAO_GIA'!P277) / '00_TONG_HOP_BAO_GIA'!G277, 0)</f>
        <v/>
      </c>
      <c r="K288" s="137">
        <f>'00_TONG_HOP_BAO_GIA'!Q277</f>
        <v/>
      </c>
      <c r="L288" s="137">
        <f>('00_TONG_HOP_BAO_GIA'!K277 + '00_TONG_HOP_BAO_GIA'!M277) * (1 + '00_TONG_HOP_BAO_GIA'!P277)</f>
        <v/>
      </c>
      <c r="M288" s="137">
        <f>'00_TONG_HOP_BAO_GIA'!L277 * (1 + '00_TONG_HOP_BAO_GIA'!P277)</f>
        <v/>
      </c>
      <c r="N288" s="137">
        <f>'00_TONG_HOP_BAO_GIA'!R277</f>
        <v/>
      </c>
      <c r="O288" s="139">
        <f>IF(K288=0, "CẢNH BÁO: Đơn giá = 0. Tra cứu lại Sheet 06!", '00_TONG_HOP_BAO_GIA'!S277)</f>
        <v/>
      </c>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83" t="inlineStr">
        <is>
          <t>Bộ</t>
        </is>
      </c>
      <c r="H289" s="136" t="n">
        <v>1</v>
      </c>
      <c r="I289" s="136">
        <f>IF('00_TONG_HOP_BAO_GIA'!G278&gt;0, ('00_TONG_HOP_BAO_GIA'!K278 + '00_TONG_HOP_BAO_GIA'!M278) * (1 + '00_TONG_HOP_BAO_GIA'!P278) / '00_TONG_HOP_BAO_GIA'!G278, 0)</f>
        <v/>
      </c>
      <c r="J289" s="136">
        <f>IF('00_TONG_HOP_BAO_GIA'!G278&gt;0, '00_TONG_HOP_BAO_GIA'!L278 * (1 + '00_TONG_HOP_BAO_GIA'!P278) / '00_TONG_HOP_BAO_GIA'!G278, 0)</f>
        <v/>
      </c>
      <c r="K289" s="137">
        <f>'00_TONG_HOP_BAO_GIA'!Q278</f>
        <v/>
      </c>
      <c r="L289" s="137">
        <f>('00_TONG_HOP_BAO_GIA'!K278 + '00_TONG_HOP_BAO_GIA'!M278) * (1 + '00_TONG_HOP_BAO_GIA'!P278)</f>
        <v/>
      </c>
      <c r="M289" s="137">
        <f>'00_TONG_HOP_BAO_GIA'!L278 * (1 + '00_TONG_HOP_BAO_GIA'!P278)</f>
        <v/>
      </c>
      <c r="N289" s="137">
        <f>'00_TONG_HOP_BAO_GIA'!R278</f>
        <v/>
      </c>
      <c r="O289" s="139">
        <f>IF(K289=0, "CẢNH BÁO: Đơn giá = 0. Tra cứu lại Sheet 06!", '00_TONG_HOP_BAO_GIA'!S278)</f>
        <v/>
      </c>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83" t="inlineStr">
        <is>
          <t>Bộ</t>
        </is>
      </c>
      <c r="H290" s="136" t="n">
        <v>1</v>
      </c>
      <c r="I290" s="136">
        <f>IF('00_TONG_HOP_BAO_GIA'!G279&gt;0, ('00_TONG_HOP_BAO_GIA'!K279 + '00_TONG_HOP_BAO_GIA'!M279) * (1 + '00_TONG_HOP_BAO_GIA'!P279) / '00_TONG_HOP_BAO_GIA'!G279, 0)</f>
        <v/>
      </c>
      <c r="J290" s="136">
        <f>IF('00_TONG_HOP_BAO_GIA'!G279&gt;0, '00_TONG_HOP_BAO_GIA'!L279 * (1 + '00_TONG_HOP_BAO_GIA'!P279) / '00_TONG_HOP_BAO_GIA'!G279, 0)</f>
        <v/>
      </c>
      <c r="K290" s="137">
        <f>'00_TONG_HOP_BAO_GIA'!Q279</f>
        <v/>
      </c>
      <c r="L290" s="137">
        <f>('00_TONG_HOP_BAO_GIA'!K279 + '00_TONG_HOP_BAO_GIA'!M279) * (1 + '00_TONG_HOP_BAO_GIA'!P279)</f>
        <v/>
      </c>
      <c r="M290" s="137">
        <f>'00_TONG_HOP_BAO_GIA'!L279 * (1 + '00_TONG_HOP_BAO_GIA'!P279)</f>
        <v/>
      </c>
      <c r="N290" s="137">
        <f>'00_TONG_HOP_BAO_GIA'!R279</f>
        <v/>
      </c>
      <c r="O290" s="139">
        <f>IF(K290=0, "CẢNH BÁO: Đơn giá = 0. Tra cứu lại Sheet 06!", '00_TONG_HOP_BAO_GIA'!S279)</f>
        <v/>
      </c>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83" t="inlineStr">
        <is>
          <t>Bộ</t>
        </is>
      </c>
      <c r="H291" s="136" t="n">
        <v>1</v>
      </c>
      <c r="I291" s="136">
        <f>IF('00_TONG_HOP_BAO_GIA'!G280&gt;0, ('00_TONG_HOP_BAO_GIA'!K280 + '00_TONG_HOP_BAO_GIA'!M280) * (1 + '00_TONG_HOP_BAO_GIA'!P280) / '00_TONG_HOP_BAO_GIA'!G280, 0)</f>
        <v/>
      </c>
      <c r="J291" s="136">
        <f>IF('00_TONG_HOP_BAO_GIA'!G280&gt;0, '00_TONG_HOP_BAO_GIA'!L280 * (1 + '00_TONG_HOP_BAO_GIA'!P280) / '00_TONG_HOP_BAO_GIA'!G280, 0)</f>
        <v/>
      </c>
      <c r="K291" s="137">
        <f>'00_TONG_HOP_BAO_GIA'!Q280</f>
        <v/>
      </c>
      <c r="L291" s="137">
        <f>('00_TONG_HOP_BAO_GIA'!K280 + '00_TONG_HOP_BAO_GIA'!M280) * (1 + '00_TONG_HOP_BAO_GIA'!P280)</f>
        <v/>
      </c>
      <c r="M291" s="137">
        <f>'00_TONG_HOP_BAO_GIA'!L280 * (1 + '00_TONG_HOP_BAO_GIA'!P280)</f>
        <v/>
      </c>
      <c r="N291" s="137">
        <f>'00_TONG_HOP_BAO_GIA'!R280</f>
        <v/>
      </c>
      <c r="O291" s="139">
        <f>IF(K291=0, "CẢNH BÁO: Đơn giá = 0. Tra cứu lại Sheet 06!", '00_TONG_HOP_BAO_GIA'!S280)</f>
        <v/>
      </c>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83" t="inlineStr">
        <is>
          <t>Bộ</t>
        </is>
      </c>
      <c r="H292" s="136" t="n">
        <v>1</v>
      </c>
      <c r="I292" s="136">
        <f>IF('00_TONG_HOP_BAO_GIA'!G281&gt;0, ('00_TONG_HOP_BAO_GIA'!K281 + '00_TONG_HOP_BAO_GIA'!M281) * (1 + '00_TONG_HOP_BAO_GIA'!P281) / '00_TONG_HOP_BAO_GIA'!G281, 0)</f>
        <v/>
      </c>
      <c r="J292" s="136">
        <f>IF('00_TONG_HOP_BAO_GIA'!G281&gt;0, '00_TONG_HOP_BAO_GIA'!L281 * (1 + '00_TONG_HOP_BAO_GIA'!P281) / '00_TONG_HOP_BAO_GIA'!G281, 0)</f>
        <v/>
      </c>
      <c r="K292" s="137">
        <f>'00_TONG_HOP_BAO_GIA'!Q281</f>
        <v/>
      </c>
      <c r="L292" s="137">
        <f>('00_TONG_HOP_BAO_GIA'!K281 + '00_TONG_HOP_BAO_GIA'!M281) * (1 + '00_TONG_HOP_BAO_GIA'!P281)</f>
        <v/>
      </c>
      <c r="M292" s="137">
        <f>'00_TONG_HOP_BAO_GIA'!L281 * (1 + '00_TONG_HOP_BAO_GIA'!P281)</f>
        <v/>
      </c>
      <c r="N292" s="137">
        <f>'00_TONG_HOP_BAO_GIA'!R281</f>
        <v/>
      </c>
      <c r="O292" s="139">
        <f>IF(K292=0, "CẢNH BÁO: Đơn giá = 0. Tra cứu lại Sheet 06!", '00_TONG_HOP_BAO_GIA'!S281)</f>
        <v/>
      </c>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83" t="inlineStr">
        <is>
          <t>Bộ</t>
        </is>
      </c>
      <c r="H293" s="136" t="n">
        <v>1</v>
      </c>
      <c r="I293" s="136">
        <f>IF('00_TONG_HOP_BAO_GIA'!G282&gt;0, ('00_TONG_HOP_BAO_GIA'!K282 + '00_TONG_HOP_BAO_GIA'!M282) * (1 + '00_TONG_HOP_BAO_GIA'!P282) / '00_TONG_HOP_BAO_GIA'!G282, 0)</f>
        <v/>
      </c>
      <c r="J293" s="136">
        <f>IF('00_TONG_HOP_BAO_GIA'!G282&gt;0, '00_TONG_HOP_BAO_GIA'!L282 * (1 + '00_TONG_HOP_BAO_GIA'!P282) / '00_TONG_HOP_BAO_GIA'!G282, 0)</f>
        <v/>
      </c>
      <c r="K293" s="137">
        <f>'00_TONG_HOP_BAO_GIA'!Q282</f>
        <v/>
      </c>
      <c r="L293" s="137">
        <f>('00_TONG_HOP_BAO_GIA'!K282 + '00_TONG_HOP_BAO_GIA'!M282) * (1 + '00_TONG_HOP_BAO_GIA'!P282)</f>
        <v/>
      </c>
      <c r="M293" s="137">
        <f>'00_TONG_HOP_BAO_GIA'!L282 * (1 + '00_TONG_HOP_BAO_GIA'!P282)</f>
        <v/>
      </c>
      <c r="N293" s="137">
        <f>'00_TONG_HOP_BAO_GIA'!R282</f>
        <v/>
      </c>
      <c r="O293" s="139">
        <f>IF(K293=0, "CẢNH BÁO: Đơn giá = 0. Tra cứu lại Sheet 06!", '00_TONG_HOP_BAO_GIA'!S282)</f>
        <v/>
      </c>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83" t="inlineStr">
        <is>
          <t>Bộ</t>
        </is>
      </c>
      <c r="H294" s="136" t="n">
        <v>1</v>
      </c>
      <c r="I294" s="136">
        <f>IF('00_TONG_HOP_BAO_GIA'!G283&gt;0, ('00_TONG_HOP_BAO_GIA'!K283 + '00_TONG_HOP_BAO_GIA'!M283) * (1 + '00_TONG_HOP_BAO_GIA'!P283) / '00_TONG_HOP_BAO_GIA'!G283, 0)</f>
        <v/>
      </c>
      <c r="J294" s="136">
        <f>IF('00_TONG_HOP_BAO_GIA'!G283&gt;0, '00_TONG_HOP_BAO_GIA'!L283 * (1 + '00_TONG_HOP_BAO_GIA'!P283) / '00_TONG_HOP_BAO_GIA'!G283, 0)</f>
        <v/>
      </c>
      <c r="K294" s="137">
        <f>'00_TONG_HOP_BAO_GIA'!Q283</f>
        <v/>
      </c>
      <c r="L294" s="137">
        <f>('00_TONG_HOP_BAO_GIA'!K283 + '00_TONG_HOP_BAO_GIA'!M283) * (1 + '00_TONG_HOP_BAO_GIA'!P283)</f>
        <v/>
      </c>
      <c r="M294" s="137">
        <f>'00_TONG_HOP_BAO_GIA'!L283 * (1 + '00_TONG_HOP_BAO_GIA'!P283)</f>
        <v/>
      </c>
      <c r="N294" s="137">
        <f>'00_TONG_HOP_BAO_GIA'!R283</f>
        <v/>
      </c>
      <c r="O294" s="139">
        <f>IF(K294=0, "CẢNH BÁO: Đơn giá = 0. Tra cứu lại Sheet 06!", '00_TONG_HOP_BAO_GIA'!S283)</f>
        <v/>
      </c>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83" t="inlineStr">
        <is>
          <t>Bộ</t>
        </is>
      </c>
      <c r="H295" s="136" t="n">
        <v>1</v>
      </c>
      <c r="I295" s="136">
        <f>IF('00_TONG_HOP_BAO_GIA'!G284&gt;0, ('00_TONG_HOP_BAO_GIA'!K284 + '00_TONG_HOP_BAO_GIA'!M284) * (1 + '00_TONG_HOP_BAO_GIA'!P284) / '00_TONG_HOP_BAO_GIA'!G284, 0)</f>
        <v/>
      </c>
      <c r="J295" s="136">
        <f>IF('00_TONG_HOP_BAO_GIA'!G284&gt;0, '00_TONG_HOP_BAO_GIA'!L284 * (1 + '00_TONG_HOP_BAO_GIA'!P284) / '00_TONG_HOP_BAO_GIA'!G284, 0)</f>
        <v/>
      </c>
      <c r="K295" s="137">
        <f>'00_TONG_HOP_BAO_GIA'!Q284</f>
        <v/>
      </c>
      <c r="L295" s="137">
        <f>('00_TONG_HOP_BAO_GIA'!K284 + '00_TONG_HOP_BAO_GIA'!M284) * (1 + '00_TONG_HOP_BAO_GIA'!P284)</f>
        <v/>
      </c>
      <c r="M295" s="137">
        <f>'00_TONG_HOP_BAO_GIA'!L284 * (1 + '00_TONG_HOP_BAO_GIA'!P284)</f>
        <v/>
      </c>
      <c r="N295" s="137">
        <f>'00_TONG_HOP_BAO_GIA'!R284</f>
        <v/>
      </c>
      <c r="O295" s="139">
        <f>IF(K295=0, "CẢNH BÁO: Đơn giá = 0. Tra cứu lại Sheet 06!", '00_TONG_HOP_BAO_GIA'!S284)</f>
        <v/>
      </c>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83" t="inlineStr">
        <is>
          <t>Bộ</t>
        </is>
      </c>
      <c r="H296" s="136" t="n">
        <v>1</v>
      </c>
      <c r="I296" s="136">
        <f>IF('00_TONG_HOP_BAO_GIA'!G285&gt;0, ('00_TONG_HOP_BAO_GIA'!K285 + '00_TONG_HOP_BAO_GIA'!M285) * (1 + '00_TONG_HOP_BAO_GIA'!P285) / '00_TONG_HOP_BAO_GIA'!G285, 0)</f>
        <v/>
      </c>
      <c r="J296" s="136">
        <f>IF('00_TONG_HOP_BAO_GIA'!G285&gt;0, '00_TONG_HOP_BAO_GIA'!L285 * (1 + '00_TONG_HOP_BAO_GIA'!P285) / '00_TONG_HOP_BAO_GIA'!G285, 0)</f>
        <v/>
      </c>
      <c r="K296" s="137">
        <f>'00_TONG_HOP_BAO_GIA'!Q285</f>
        <v/>
      </c>
      <c r="L296" s="137">
        <f>('00_TONG_HOP_BAO_GIA'!K285 + '00_TONG_HOP_BAO_GIA'!M285) * (1 + '00_TONG_HOP_BAO_GIA'!P285)</f>
        <v/>
      </c>
      <c r="M296" s="137">
        <f>'00_TONG_HOP_BAO_GIA'!L285 * (1 + '00_TONG_HOP_BAO_GIA'!P285)</f>
        <v/>
      </c>
      <c r="N296" s="137">
        <f>'00_TONG_HOP_BAO_GIA'!R285</f>
        <v/>
      </c>
      <c r="O296" s="139">
        <f>IF(K296=0, "CẢNH BÁO: Đơn giá = 0. Tra cứu lại Sheet 06!", '00_TONG_HOP_BAO_GIA'!S285)</f>
        <v/>
      </c>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83" t="inlineStr">
        <is>
          <t>Cái</t>
        </is>
      </c>
      <c r="H297" s="136" t="n">
        <v>2</v>
      </c>
      <c r="I297" s="136">
        <f>IF('00_TONG_HOP_BAO_GIA'!G286&gt;0, ('00_TONG_HOP_BAO_GIA'!K286 + '00_TONG_HOP_BAO_GIA'!M286) * (1 + '00_TONG_HOP_BAO_GIA'!P286) / '00_TONG_HOP_BAO_GIA'!G286, 0)</f>
        <v/>
      </c>
      <c r="J297" s="136">
        <f>IF('00_TONG_HOP_BAO_GIA'!G286&gt;0, '00_TONG_HOP_BAO_GIA'!L286 * (1 + '00_TONG_HOP_BAO_GIA'!P286) / '00_TONG_HOP_BAO_GIA'!G286, 0)</f>
        <v/>
      </c>
      <c r="K297" s="137">
        <f>'00_TONG_HOP_BAO_GIA'!Q286</f>
        <v/>
      </c>
      <c r="L297" s="137">
        <f>('00_TONG_HOP_BAO_GIA'!K286 + '00_TONG_HOP_BAO_GIA'!M286) * (1 + '00_TONG_HOP_BAO_GIA'!P286)</f>
        <v/>
      </c>
      <c r="M297" s="137">
        <f>'00_TONG_HOP_BAO_GIA'!L286 * (1 + '00_TONG_HOP_BAO_GIA'!P286)</f>
        <v/>
      </c>
      <c r="N297" s="137">
        <f>'00_TONG_HOP_BAO_GIA'!R286</f>
        <v/>
      </c>
      <c r="O297" s="139">
        <f>IF(K297=0, "CẢNH BÁO: Đơn giá = 0. Tra cứu lại Sheet 06!", '00_TONG_HOP_BAO_GIA'!S286)</f>
        <v/>
      </c>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83" t="inlineStr">
        <is>
          <t>Cái</t>
        </is>
      </c>
      <c r="H298" s="136" t="n">
        <v>2</v>
      </c>
      <c r="I298" s="136">
        <f>IF('00_TONG_HOP_BAO_GIA'!G287&gt;0, ('00_TONG_HOP_BAO_GIA'!K287 + '00_TONG_HOP_BAO_GIA'!M287) * (1 + '00_TONG_HOP_BAO_GIA'!P287) / '00_TONG_HOP_BAO_GIA'!G287, 0)</f>
        <v/>
      </c>
      <c r="J298" s="136">
        <f>IF('00_TONG_HOP_BAO_GIA'!G287&gt;0, '00_TONG_HOP_BAO_GIA'!L287 * (1 + '00_TONG_HOP_BAO_GIA'!P287) / '00_TONG_HOP_BAO_GIA'!G287, 0)</f>
        <v/>
      </c>
      <c r="K298" s="137">
        <f>'00_TONG_HOP_BAO_GIA'!Q287</f>
        <v/>
      </c>
      <c r="L298" s="137">
        <f>('00_TONG_HOP_BAO_GIA'!K287 + '00_TONG_HOP_BAO_GIA'!M287) * (1 + '00_TONG_HOP_BAO_GIA'!P287)</f>
        <v/>
      </c>
      <c r="M298" s="137">
        <f>'00_TONG_HOP_BAO_GIA'!L287 * (1 + '00_TONG_HOP_BAO_GIA'!P287)</f>
        <v/>
      </c>
      <c r="N298" s="137">
        <f>'00_TONG_HOP_BAO_GIA'!R287</f>
        <v/>
      </c>
      <c r="O298" s="139">
        <f>IF(K298=0, "CẢNH BÁO: Đơn giá = 0. Tra cứu lại Sheet 06!", '00_TONG_HOP_BAO_GIA'!S287)</f>
        <v/>
      </c>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83" t="inlineStr">
        <is>
          <t>Cái</t>
        </is>
      </c>
      <c r="H299" s="136" t="n">
        <v>2</v>
      </c>
      <c r="I299" s="136">
        <f>IF('00_TONG_HOP_BAO_GIA'!G288&gt;0, ('00_TONG_HOP_BAO_GIA'!K288 + '00_TONG_HOP_BAO_GIA'!M288) * (1 + '00_TONG_HOP_BAO_GIA'!P288) / '00_TONG_HOP_BAO_GIA'!G288, 0)</f>
        <v/>
      </c>
      <c r="J299" s="136">
        <f>IF('00_TONG_HOP_BAO_GIA'!G288&gt;0, '00_TONG_HOP_BAO_GIA'!L288 * (1 + '00_TONG_HOP_BAO_GIA'!P288) / '00_TONG_HOP_BAO_GIA'!G288, 0)</f>
        <v/>
      </c>
      <c r="K299" s="137">
        <f>'00_TONG_HOP_BAO_GIA'!Q288</f>
        <v/>
      </c>
      <c r="L299" s="137">
        <f>('00_TONG_HOP_BAO_GIA'!K288 + '00_TONG_HOP_BAO_GIA'!M288) * (1 + '00_TONG_HOP_BAO_GIA'!P288)</f>
        <v/>
      </c>
      <c r="M299" s="137">
        <f>'00_TONG_HOP_BAO_GIA'!L288 * (1 + '00_TONG_HOP_BAO_GIA'!P288)</f>
        <v/>
      </c>
      <c r="N299" s="137">
        <f>'00_TONG_HOP_BAO_GIA'!R288</f>
        <v/>
      </c>
      <c r="O299" s="139">
        <f>IF(K299=0, "CẢNH BÁO: Đơn giá = 0. Tra cứu lại Sheet 06!", '00_TONG_HOP_BAO_GIA'!S288)</f>
        <v/>
      </c>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83" t="inlineStr">
        <is>
          <t>Cái</t>
        </is>
      </c>
      <c r="H300" s="136" t="n">
        <v>2</v>
      </c>
      <c r="I300" s="136">
        <f>IF('00_TONG_HOP_BAO_GIA'!G289&gt;0, ('00_TONG_HOP_BAO_GIA'!K289 + '00_TONG_HOP_BAO_GIA'!M289) * (1 + '00_TONG_HOP_BAO_GIA'!P289) / '00_TONG_HOP_BAO_GIA'!G289, 0)</f>
        <v/>
      </c>
      <c r="J300" s="136">
        <f>IF('00_TONG_HOP_BAO_GIA'!G289&gt;0, '00_TONG_HOP_BAO_GIA'!L289 * (1 + '00_TONG_HOP_BAO_GIA'!P289) / '00_TONG_HOP_BAO_GIA'!G289, 0)</f>
        <v/>
      </c>
      <c r="K300" s="137">
        <f>'00_TONG_HOP_BAO_GIA'!Q289</f>
        <v/>
      </c>
      <c r="L300" s="137">
        <f>('00_TONG_HOP_BAO_GIA'!K289 + '00_TONG_HOP_BAO_GIA'!M289) * (1 + '00_TONG_HOP_BAO_GIA'!P289)</f>
        <v/>
      </c>
      <c r="M300" s="137">
        <f>'00_TONG_HOP_BAO_GIA'!L289 * (1 + '00_TONG_HOP_BAO_GIA'!P289)</f>
        <v/>
      </c>
      <c r="N300" s="137">
        <f>'00_TONG_HOP_BAO_GIA'!R289</f>
        <v/>
      </c>
      <c r="O300" s="139">
        <f>IF(K300=0, "CẢNH BÁO: Đơn giá = 0. Tra cứu lại Sheet 06!", '00_TONG_HOP_BAO_GIA'!S289)</f>
        <v/>
      </c>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83" t="inlineStr">
        <is>
          <t>Cái</t>
        </is>
      </c>
      <c r="H301" s="136" t="n">
        <v>2</v>
      </c>
      <c r="I301" s="136">
        <f>IF('00_TONG_HOP_BAO_GIA'!G290&gt;0, ('00_TONG_HOP_BAO_GIA'!K290 + '00_TONG_HOP_BAO_GIA'!M290) * (1 + '00_TONG_HOP_BAO_GIA'!P290) / '00_TONG_HOP_BAO_GIA'!G290, 0)</f>
        <v/>
      </c>
      <c r="J301" s="136">
        <f>IF('00_TONG_HOP_BAO_GIA'!G290&gt;0, '00_TONG_HOP_BAO_GIA'!L290 * (1 + '00_TONG_HOP_BAO_GIA'!P290) / '00_TONG_HOP_BAO_GIA'!G290, 0)</f>
        <v/>
      </c>
      <c r="K301" s="137">
        <f>'00_TONG_HOP_BAO_GIA'!Q290</f>
        <v/>
      </c>
      <c r="L301" s="137">
        <f>('00_TONG_HOP_BAO_GIA'!K290 + '00_TONG_HOP_BAO_GIA'!M290) * (1 + '00_TONG_HOP_BAO_GIA'!P290)</f>
        <v/>
      </c>
      <c r="M301" s="137">
        <f>'00_TONG_HOP_BAO_GIA'!L290 * (1 + '00_TONG_HOP_BAO_GIA'!P290)</f>
        <v/>
      </c>
      <c r="N301" s="137">
        <f>'00_TONG_HOP_BAO_GIA'!R290</f>
        <v/>
      </c>
      <c r="O301" s="139">
        <f>IF(K301=0, "CẢNH BÁO: Đơn giá = 0. Tra cứu lại Sheet 06!", '00_TONG_HOP_BAO_GIA'!S290)</f>
        <v/>
      </c>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83" t="inlineStr">
        <is>
          <t>Cái</t>
        </is>
      </c>
      <c r="H302" s="136" t="n">
        <v>2</v>
      </c>
      <c r="I302" s="136">
        <f>IF('00_TONG_HOP_BAO_GIA'!G291&gt;0, ('00_TONG_HOP_BAO_GIA'!K291 + '00_TONG_HOP_BAO_GIA'!M291) * (1 + '00_TONG_HOP_BAO_GIA'!P291) / '00_TONG_HOP_BAO_GIA'!G291, 0)</f>
        <v/>
      </c>
      <c r="J302" s="136">
        <f>IF('00_TONG_HOP_BAO_GIA'!G291&gt;0, '00_TONG_HOP_BAO_GIA'!L291 * (1 + '00_TONG_HOP_BAO_GIA'!P291) / '00_TONG_HOP_BAO_GIA'!G291, 0)</f>
        <v/>
      </c>
      <c r="K302" s="137">
        <f>'00_TONG_HOP_BAO_GIA'!Q291</f>
        <v/>
      </c>
      <c r="L302" s="137">
        <f>('00_TONG_HOP_BAO_GIA'!K291 + '00_TONG_HOP_BAO_GIA'!M291) * (1 + '00_TONG_HOP_BAO_GIA'!P291)</f>
        <v/>
      </c>
      <c r="M302" s="137">
        <f>'00_TONG_HOP_BAO_GIA'!L291 * (1 + '00_TONG_HOP_BAO_GIA'!P291)</f>
        <v/>
      </c>
      <c r="N302" s="137">
        <f>'00_TONG_HOP_BAO_GIA'!R291</f>
        <v/>
      </c>
      <c r="O302" s="139">
        <f>IF(K302=0, "CẢNH BÁO: Đơn giá = 0. Tra cứu lại Sheet 06!", '00_TONG_HOP_BAO_GIA'!S291)</f>
        <v/>
      </c>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83" t="inlineStr">
        <is>
          <t>Cái</t>
        </is>
      </c>
      <c r="H303" s="136" t="n">
        <v>2</v>
      </c>
      <c r="I303" s="136">
        <f>IF('00_TONG_HOP_BAO_GIA'!G292&gt;0, ('00_TONG_HOP_BAO_GIA'!K292 + '00_TONG_HOP_BAO_GIA'!M292) * (1 + '00_TONG_HOP_BAO_GIA'!P292) / '00_TONG_HOP_BAO_GIA'!G292, 0)</f>
        <v/>
      </c>
      <c r="J303" s="136">
        <f>IF('00_TONG_HOP_BAO_GIA'!G292&gt;0, '00_TONG_HOP_BAO_GIA'!L292 * (1 + '00_TONG_HOP_BAO_GIA'!P292) / '00_TONG_HOP_BAO_GIA'!G292, 0)</f>
        <v/>
      </c>
      <c r="K303" s="137">
        <f>'00_TONG_HOP_BAO_GIA'!Q292</f>
        <v/>
      </c>
      <c r="L303" s="137">
        <f>('00_TONG_HOP_BAO_GIA'!K292 + '00_TONG_HOP_BAO_GIA'!M292) * (1 + '00_TONG_HOP_BAO_GIA'!P292)</f>
        <v/>
      </c>
      <c r="M303" s="137">
        <f>'00_TONG_HOP_BAO_GIA'!L292 * (1 + '00_TONG_HOP_BAO_GIA'!P292)</f>
        <v/>
      </c>
      <c r="N303" s="137">
        <f>'00_TONG_HOP_BAO_GIA'!R292</f>
        <v/>
      </c>
      <c r="O303" s="139">
        <f>IF(K303=0, "CẢNH BÁO: Đơn giá = 0. Tra cứu lại Sheet 06!", '00_TONG_HOP_BAO_GIA'!S292)</f>
        <v/>
      </c>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83" t="inlineStr">
        <is>
          <t>Cái</t>
        </is>
      </c>
      <c r="H304" s="136" t="n">
        <v>2</v>
      </c>
      <c r="I304" s="136">
        <f>IF('00_TONG_HOP_BAO_GIA'!G293&gt;0, ('00_TONG_HOP_BAO_GIA'!K293 + '00_TONG_HOP_BAO_GIA'!M293) * (1 + '00_TONG_HOP_BAO_GIA'!P293) / '00_TONG_HOP_BAO_GIA'!G293, 0)</f>
        <v/>
      </c>
      <c r="J304" s="136">
        <f>IF('00_TONG_HOP_BAO_GIA'!G293&gt;0, '00_TONG_HOP_BAO_GIA'!L293 * (1 + '00_TONG_HOP_BAO_GIA'!P293) / '00_TONG_HOP_BAO_GIA'!G293, 0)</f>
        <v/>
      </c>
      <c r="K304" s="137">
        <f>'00_TONG_HOP_BAO_GIA'!Q293</f>
        <v/>
      </c>
      <c r="L304" s="137">
        <f>('00_TONG_HOP_BAO_GIA'!K293 + '00_TONG_HOP_BAO_GIA'!M293) * (1 + '00_TONG_HOP_BAO_GIA'!P293)</f>
        <v/>
      </c>
      <c r="M304" s="137">
        <f>'00_TONG_HOP_BAO_GIA'!L293 * (1 + '00_TONG_HOP_BAO_GIA'!P293)</f>
        <v/>
      </c>
      <c r="N304" s="137">
        <f>'00_TONG_HOP_BAO_GIA'!R293</f>
        <v/>
      </c>
      <c r="O304" s="139">
        <f>IF(K304=0, "CẢNH BÁO: Đơn giá = 0. Tra cứu lại Sheet 06!", '00_TONG_HOP_BAO_GIA'!S293)</f>
        <v/>
      </c>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83" t="inlineStr">
        <is>
          <t>Cái</t>
        </is>
      </c>
      <c r="H305" s="136" t="n">
        <v>2</v>
      </c>
      <c r="I305" s="136">
        <f>IF('00_TONG_HOP_BAO_GIA'!G294&gt;0, ('00_TONG_HOP_BAO_GIA'!K294 + '00_TONG_HOP_BAO_GIA'!M294) * (1 + '00_TONG_HOP_BAO_GIA'!P294) / '00_TONG_HOP_BAO_GIA'!G294, 0)</f>
        <v/>
      </c>
      <c r="J305" s="136">
        <f>IF('00_TONG_HOP_BAO_GIA'!G294&gt;0, '00_TONG_HOP_BAO_GIA'!L294 * (1 + '00_TONG_HOP_BAO_GIA'!P294) / '00_TONG_HOP_BAO_GIA'!G294, 0)</f>
        <v/>
      </c>
      <c r="K305" s="137">
        <f>'00_TONG_HOP_BAO_GIA'!Q294</f>
        <v/>
      </c>
      <c r="L305" s="137">
        <f>('00_TONG_HOP_BAO_GIA'!K294 + '00_TONG_HOP_BAO_GIA'!M294) * (1 + '00_TONG_HOP_BAO_GIA'!P294)</f>
        <v/>
      </c>
      <c r="M305" s="137">
        <f>'00_TONG_HOP_BAO_GIA'!L294 * (1 + '00_TONG_HOP_BAO_GIA'!P294)</f>
        <v/>
      </c>
      <c r="N305" s="137">
        <f>'00_TONG_HOP_BAO_GIA'!R294</f>
        <v/>
      </c>
      <c r="O305" s="139">
        <f>IF(K305=0, "CẢNH BÁO: Đơn giá = 0. Tra cứu lại Sheet 06!", '00_TONG_HOP_BAO_GIA'!S294)</f>
        <v/>
      </c>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83" t="inlineStr">
        <is>
          <t>Cái</t>
        </is>
      </c>
      <c r="H306" s="136" t="n">
        <v>2</v>
      </c>
      <c r="I306" s="136">
        <f>IF('00_TONG_HOP_BAO_GIA'!G295&gt;0, ('00_TONG_HOP_BAO_GIA'!K295 + '00_TONG_HOP_BAO_GIA'!M295) * (1 + '00_TONG_HOP_BAO_GIA'!P295) / '00_TONG_HOP_BAO_GIA'!G295, 0)</f>
        <v/>
      </c>
      <c r="J306" s="136">
        <f>IF('00_TONG_HOP_BAO_GIA'!G295&gt;0, '00_TONG_HOP_BAO_GIA'!L295 * (1 + '00_TONG_HOP_BAO_GIA'!P295) / '00_TONG_HOP_BAO_GIA'!G295, 0)</f>
        <v/>
      </c>
      <c r="K306" s="137">
        <f>'00_TONG_HOP_BAO_GIA'!Q295</f>
        <v/>
      </c>
      <c r="L306" s="137">
        <f>('00_TONG_HOP_BAO_GIA'!K295 + '00_TONG_HOP_BAO_GIA'!M295) * (1 + '00_TONG_HOP_BAO_GIA'!P295)</f>
        <v/>
      </c>
      <c r="M306" s="137">
        <f>'00_TONG_HOP_BAO_GIA'!L295 * (1 + '00_TONG_HOP_BAO_GIA'!P295)</f>
        <v/>
      </c>
      <c r="N306" s="137">
        <f>'00_TONG_HOP_BAO_GIA'!R295</f>
        <v/>
      </c>
      <c r="O306" s="139">
        <f>IF(K306=0, "CẢNH BÁO: Đơn giá = 0. Tra cứu lại Sheet 06!", '00_TONG_HOP_BAO_GIA'!S295)</f>
        <v/>
      </c>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83" t="inlineStr">
        <is>
          <t>Cái</t>
        </is>
      </c>
      <c r="H307" s="136" t="n">
        <v>2</v>
      </c>
      <c r="I307" s="136">
        <f>IF('00_TONG_HOP_BAO_GIA'!G296&gt;0, ('00_TONG_HOP_BAO_GIA'!K296 + '00_TONG_HOP_BAO_GIA'!M296) * (1 + '00_TONG_HOP_BAO_GIA'!P296) / '00_TONG_HOP_BAO_GIA'!G296, 0)</f>
        <v/>
      </c>
      <c r="J307" s="136">
        <f>IF('00_TONG_HOP_BAO_GIA'!G296&gt;0, '00_TONG_HOP_BAO_GIA'!L296 * (1 + '00_TONG_HOP_BAO_GIA'!P296) / '00_TONG_HOP_BAO_GIA'!G296, 0)</f>
        <v/>
      </c>
      <c r="K307" s="137">
        <f>'00_TONG_HOP_BAO_GIA'!Q296</f>
        <v/>
      </c>
      <c r="L307" s="137">
        <f>('00_TONG_HOP_BAO_GIA'!K296 + '00_TONG_HOP_BAO_GIA'!M296) * (1 + '00_TONG_HOP_BAO_GIA'!P296)</f>
        <v/>
      </c>
      <c r="M307" s="137">
        <f>'00_TONG_HOP_BAO_GIA'!L296 * (1 + '00_TONG_HOP_BAO_GIA'!P296)</f>
        <v/>
      </c>
      <c r="N307" s="137">
        <f>'00_TONG_HOP_BAO_GIA'!R296</f>
        <v/>
      </c>
      <c r="O307" s="139">
        <f>IF(K307=0, "CẢNH BÁO: Đơn giá = 0. Tra cứu lại Sheet 06!", '00_TONG_HOP_BAO_GIA'!S296)</f>
        <v/>
      </c>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83" t="inlineStr">
        <is>
          <t>Cái</t>
        </is>
      </c>
      <c r="H308" s="136" t="n">
        <v>2</v>
      </c>
      <c r="I308" s="136">
        <f>IF('00_TONG_HOP_BAO_GIA'!G297&gt;0, ('00_TONG_HOP_BAO_GIA'!K297 + '00_TONG_HOP_BAO_GIA'!M297) * (1 + '00_TONG_HOP_BAO_GIA'!P297) / '00_TONG_HOP_BAO_GIA'!G297, 0)</f>
        <v/>
      </c>
      <c r="J308" s="136">
        <f>IF('00_TONG_HOP_BAO_GIA'!G297&gt;0, '00_TONG_HOP_BAO_GIA'!L297 * (1 + '00_TONG_HOP_BAO_GIA'!P297) / '00_TONG_HOP_BAO_GIA'!G297, 0)</f>
        <v/>
      </c>
      <c r="K308" s="137">
        <f>'00_TONG_HOP_BAO_GIA'!Q297</f>
        <v/>
      </c>
      <c r="L308" s="137">
        <f>('00_TONG_HOP_BAO_GIA'!K297 + '00_TONG_HOP_BAO_GIA'!M297) * (1 + '00_TONG_HOP_BAO_GIA'!P297)</f>
        <v/>
      </c>
      <c r="M308" s="137">
        <f>'00_TONG_HOP_BAO_GIA'!L297 * (1 + '00_TONG_HOP_BAO_GIA'!P297)</f>
        <v/>
      </c>
      <c r="N308" s="137">
        <f>'00_TONG_HOP_BAO_GIA'!R297</f>
        <v/>
      </c>
      <c r="O308" s="139">
        <f>IF(K308=0, "CẢNH BÁO: Đơn giá = 0. Tra cứu lại Sheet 06!", '00_TONG_HOP_BAO_GIA'!S297)</f>
        <v/>
      </c>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83" t="inlineStr">
        <is>
          <t>Cái</t>
        </is>
      </c>
      <c r="H309" s="136" t="n">
        <v>16</v>
      </c>
      <c r="I309" s="136">
        <f>IF('00_TONG_HOP_BAO_GIA'!G298&gt;0, ('00_TONG_HOP_BAO_GIA'!K298 + '00_TONG_HOP_BAO_GIA'!M298) * (1 + '00_TONG_HOP_BAO_GIA'!P298) / '00_TONG_HOP_BAO_GIA'!G298, 0)</f>
        <v/>
      </c>
      <c r="J309" s="136">
        <f>IF('00_TONG_HOP_BAO_GIA'!G298&gt;0, '00_TONG_HOP_BAO_GIA'!L298 * (1 + '00_TONG_HOP_BAO_GIA'!P298) / '00_TONG_HOP_BAO_GIA'!G298, 0)</f>
        <v/>
      </c>
      <c r="K309" s="137">
        <f>'00_TONG_HOP_BAO_GIA'!Q298</f>
        <v/>
      </c>
      <c r="L309" s="137">
        <f>('00_TONG_HOP_BAO_GIA'!K298 + '00_TONG_HOP_BAO_GIA'!M298) * (1 + '00_TONG_HOP_BAO_GIA'!P298)</f>
        <v/>
      </c>
      <c r="M309" s="137">
        <f>'00_TONG_HOP_BAO_GIA'!L298 * (1 + '00_TONG_HOP_BAO_GIA'!P298)</f>
        <v/>
      </c>
      <c r="N309" s="137">
        <f>'00_TONG_HOP_BAO_GIA'!R298</f>
        <v/>
      </c>
      <c r="O309" s="139">
        <f>IF(K309=0, "CẢNH BÁO: Đơn giá = 0. Tra cứu lại Sheet 06!", '00_TONG_HOP_BAO_GIA'!S298)</f>
        <v/>
      </c>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83" t="inlineStr">
        <is>
          <t>Cái</t>
        </is>
      </c>
      <c r="H310" s="136" t="n">
        <v>1</v>
      </c>
      <c r="I310" s="136">
        <f>IF('00_TONG_HOP_BAO_GIA'!G299&gt;0, ('00_TONG_HOP_BAO_GIA'!K299 + '00_TONG_HOP_BAO_GIA'!M299) * (1 + '00_TONG_HOP_BAO_GIA'!P299) / '00_TONG_HOP_BAO_GIA'!G299, 0)</f>
        <v/>
      </c>
      <c r="J310" s="136">
        <f>IF('00_TONG_HOP_BAO_GIA'!G299&gt;0, '00_TONG_HOP_BAO_GIA'!L299 * (1 + '00_TONG_HOP_BAO_GIA'!P299) / '00_TONG_HOP_BAO_GIA'!G299, 0)</f>
        <v/>
      </c>
      <c r="K310" s="137">
        <f>'00_TONG_HOP_BAO_GIA'!Q299</f>
        <v/>
      </c>
      <c r="L310" s="137">
        <f>('00_TONG_HOP_BAO_GIA'!K299 + '00_TONG_HOP_BAO_GIA'!M299) * (1 + '00_TONG_HOP_BAO_GIA'!P299)</f>
        <v/>
      </c>
      <c r="M310" s="137">
        <f>'00_TONG_HOP_BAO_GIA'!L299 * (1 + '00_TONG_HOP_BAO_GIA'!P299)</f>
        <v/>
      </c>
      <c r="N310" s="137">
        <f>'00_TONG_HOP_BAO_GIA'!R299</f>
        <v/>
      </c>
      <c r="O310" s="139">
        <f>IF(K310=0, "CẢNH BÁO: Đơn giá = 0. Tra cứu lại Sheet 06!", '00_TONG_HOP_BAO_GIA'!S299)</f>
        <v/>
      </c>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83" t="inlineStr">
        <is>
          <t>Cái</t>
        </is>
      </c>
      <c r="H311" s="136" t="n">
        <v>28</v>
      </c>
      <c r="I311" s="136">
        <f>IF('00_TONG_HOP_BAO_GIA'!G300&gt;0, ('00_TONG_HOP_BAO_GIA'!K300 + '00_TONG_HOP_BAO_GIA'!M300) * (1 + '00_TONG_HOP_BAO_GIA'!P300) / '00_TONG_HOP_BAO_GIA'!G300, 0)</f>
        <v/>
      </c>
      <c r="J311" s="136">
        <f>IF('00_TONG_HOP_BAO_GIA'!G300&gt;0, '00_TONG_HOP_BAO_GIA'!L300 * (1 + '00_TONG_HOP_BAO_GIA'!P300) / '00_TONG_HOP_BAO_GIA'!G300, 0)</f>
        <v/>
      </c>
      <c r="K311" s="137">
        <f>'00_TONG_HOP_BAO_GIA'!Q300</f>
        <v/>
      </c>
      <c r="L311" s="137">
        <f>('00_TONG_HOP_BAO_GIA'!K300 + '00_TONG_HOP_BAO_GIA'!M300) * (1 + '00_TONG_HOP_BAO_GIA'!P300)</f>
        <v/>
      </c>
      <c r="M311" s="137">
        <f>'00_TONG_HOP_BAO_GIA'!L300 * (1 + '00_TONG_HOP_BAO_GIA'!P300)</f>
        <v/>
      </c>
      <c r="N311" s="137">
        <f>'00_TONG_HOP_BAO_GIA'!R300</f>
        <v/>
      </c>
      <c r="O311" s="139">
        <f>IF(K311=0, "CẢNH BÁO: Đơn giá = 0. Tra cứu lại Sheet 06!", '00_TONG_HOP_BAO_GIA'!S300)</f>
        <v/>
      </c>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83" t="inlineStr">
        <is>
          <t>Cái</t>
        </is>
      </c>
      <c r="H312" s="136" t="n">
        <v>1</v>
      </c>
      <c r="I312" s="136">
        <f>IF('00_TONG_HOP_BAO_GIA'!G301&gt;0, ('00_TONG_HOP_BAO_GIA'!K301 + '00_TONG_HOP_BAO_GIA'!M301) * (1 + '00_TONG_HOP_BAO_GIA'!P301) / '00_TONG_HOP_BAO_GIA'!G301, 0)</f>
        <v/>
      </c>
      <c r="J312" s="136">
        <f>IF('00_TONG_HOP_BAO_GIA'!G301&gt;0, '00_TONG_HOP_BAO_GIA'!L301 * (1 + '00_TONG_HOP_BAO_GIA'!P301) / '00_TONG_HOP_BAO_GIA'!G301, 0)</f>
        <v/>
      </c>
      <c r="K312" s="137">
        <f>'00_TONG_HOP_BAO_GIA'!Q301</f>
        <v/>
      </c>
      <c r="L312" s="137">
        <f>('00_TONG_HOP_BAO_GIA'!K301 + '00_TONG_HOP_BAO_GIA'!M301) * (1 + '00_TONG_HOP_BAO_GIA'!P301)</f>
        <v/>
      </c>
      <c r="M312" s="137">
        <f>'00_TONG_HOP_BAO_GIA'!L301 * (1 + '00_TONG_HOP_BAO_GIA'!P301)</f>
        <v/>
      </c>
      <c r="N312" s="137">
        <f>'00_TONG_HOP_BAO_GIA'!R301</f>
        <v/>
      </c>
      <c r="O312" s="139">
        <f>IF(K312=0, "CẢNH BÁO: Đơn giá = 0. Tra cứu lại Sheet 06!", '00_TONG_HOP_BAO_GIA'!S301)</f>
        <v/>
      </c>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83" t="inlineStr">
        <is>
          <t>Cái</t>
        </is>
      </c>
      <c r="H313" s="136" t="n">
        <v>1</v>
      </c>
      <c r="I313" s="136">
        <f>IF('00_TONG_HOP_BAO_GIA'!G302&gt;0, ('00_TONG_HOP_BAO_GIA'!K302 + '00_TONG_HOP_BAO_GIA'!M302) * (1 + '00_TONG_HOP_BAO_GIA'!P302) / '00_TONG_HOP_BAO_GIA'!G302, 0)</f>
        <v/>
      </c>
      <c r="J313" s="136">
        <f>IF('00_TONG_HOP_BAO_GIA'!G302&gt;0, '00_TONG_HOP_BAO_GIA'!L302 * (1 + '00_TONG_HOP_BAO_GIA'!P302) / '00_TONG_HOP_BAO_GIA'!G302, 0)</f>
        <v/>
      </c>
      <c r="K313" s="137">
        <f>'00_TONG_HOP_BAO_GIA'!Q302</f>
        <v/>
      </c>
      <c r="L313" s="137">
        <f>('00_TONG_HOP_BAO_GIA'!K302 + '00_TONG_HOP_BAO_GIA'!M302) * (1 + '00_TONG_HOP_BAO_GIA'!P302)</f>
        <v/>
      </c>
      <c r="M313" s="137">
        <f>'00_TONG_HOP_BAO_GIA'!L302 * (1 + '00_TONG_HOP_BAO_GIA'!P302)</f>
        <v/>
      </c>
      <c r="N313" s="137">
        <f>'00_TONG_HOP_BAO_GIA'!R302</f>
        <v/>
      </c>
      <c r="O313" s="139">
        <f>IF(K313=0, "CẢNH BÁO: Đơn giá = 0. Tra cứu lại Sheet 06!", '00_TONG_HOP_BAO_GIA'!S302)</f>
        <v/>
      </c>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83" t="inlineStr">
        <is>
          <t>Cái</t>
        </is>
      </c>
      <c r="H314" s="136" t="n">
        <v>1</v>
      </c>
      <c r="I314" s="136">
        <f>IF('00_TONG_HOP_BAO_GIA'!G303&gt;0, ('00_TONG_HOP_BAO_GIA'!K303 + '00_TONG_HOP_BAO_GIA'!M303) * (1 + '00_TONG_HOP_BAO_GIA'!P303) / '00_TONG_HOP_BAO_GIA'!G303, 0)</f>
        <v/>
      </c>
      <c r="J314" s="136">
        <f>IF('00_TONG_HOP_BAO_GIA'!G303&gt;0, '00_TONG_HOP_BAO_GIA'!L303 * (1 + '00_TONG_HOP_BAO_GIA'!P303) / '00_TONG_HOP_BAO_GIA'!G303, 0)</f>
        <v/>
      </c>
      <c r="K314" s="137">
        <f>'00_TONG_HOP_BAO_GIA'!Q303</f>
        <v/>
      </c>
      <c r="L314" s="137">
        <f>('00_TONG_HOP_BAO_GIA'!K303 + '00_TONG_HOP_BAO_GIA'!M303) * (1 + '00_TONG_HOP_BAO_GIA'!P303)</f>
        <v/>
      </c>
      <c r="M314" s="137">
        <f>'00_TONG_HOP_BAO_GIA'!L303 * (1 + '00_TONG_HOP_BAO_GIA'!P303)</f>
        <v/>
      </c>
      <c r="N314" s="137">
        <f>'00_TONG_HOP_BAO_GIA'!R303</f>
        <v/>
      </c>
      <c r="O314" s="139">
        <f>IF(K314=0, "CẢNH BÁO: Đơn giá = 0. Tra cứu lại Sheet 06!", '00_TONG_HOP_BAO_GIA'!S303)</f>
        <v/>
      </c>
    </row>
    <row r="315" outlineLevel="1">
      <c r="A315" s="141">
        <f>SUBTOTAL(3,$G$7:G315)</f>
        <v/>
      </c>
      <c r="B315" s="139" t="inlineStr">
        <is>
          <t>Van FD 150x150 (EI60)</t>
        </is>
      </c>
      <c r="C315" s="134" t="n"/>
      <c r="D315" s="134" t="inlineStr">
        <is>
          <t>NSCA, Evegreen, Swind, tđ</t>
        </is>
      </c>
      <c r="E315" s="134" t="n"/>
      <c r="F315" s="329" t="n"/>
      <c r="G315" s="383" t="inlineStr">
        <is>
          <t>Cái</t>
        </is>
      </c>
      <c r="H315" s="136" t="n">
        <v>62</v>
      </c>
      <c r="I315" s="136">
        <f>IF('00_TONG_HOP_BAO_GIA'!G304&gt;0, ('00_TONG_HOP_BAO_GIA'!K304 + '00_TONG_HOP_BAO_GIA'!M304) * (1 + '00_TONG_HOP_BAO_GIA'!P304) / '00_TONG_HOP_BAO_GIA'!G304, 0)</f>
        <v/>
      </c>
      <c r="J315" s="136">
        <f>IF('00_TONG_HOP_BAO_GIA'!G304&gt;0, '00_TONG_HOP_BAO_GIA'!L304 * (1 + '00_TONG_HOP_BAO_GIA'!P304) / '00_TONG_HOP_BAO_GIA'!G304, 0)</f>
        <v/>
      </c>
      <c r="K315" s="137">
        <f>'00_TONG_HOP_BAO_GIA'!Q304</f>
        <v/>
      </c>
      <c r="L315" s="137">
        <f>('00_TONG_HOP_BAO_GIA'!K304 + '00_TONG_HOP_BAO_GIA'!M304) * (1 + '00_TONG_HOP_BAO_GIA'!P304)</f>
        <v/>
      </c>
      <c r="M315" s="137">
        <f>'00_TONG_HOP_BAO_GIA'!L304 * (1 + '00_TONG_HOP_BAO_GIA'!P304)</f>
        <v/>
      </c>
      <c r="N315" s="137">
        <f>'00_TONG_HOP_BAO_GIA'!R304</f>
        <v/>
      </c>
      <c r="O315" s="139">
        <f>IF(K315=0, "CẢNH BÁO: Đơn giá = 0. Tra cứu lại Sheet 06!", '00_TONG_HOP_BAO_GIA'!S304)</f>
        <v/>
      </c>
    </row>
    <row r="316" outlineLevel="1">
      <c r="A316" s="141">
        <f>SUBTOTAL(3,$G$7:G316)</f>
        <v/>
      </c>
      <c r="B316" s="139" t="inlineStr">
        <is>
          <t>Van FD 400x150</t>
        </is>
      </c>
      <c r="C316" s="134" t="n"/>
      <c r="D316" s="134" t="inlineStr">
        <is>
          <t>NSCA, Evegreen, Swind, tđ</t>
        </is>
      </c>
      <c r="E316" s="134" t="n"/>
      <c r="F316" s="329" t="n"/>
      <c r="G316" s="383" t="inlineStr">
        <is>
          <t>Cái</t>
        </is>
      </c>
      <c r="H316" s="136" t="n">
        <v>2</v>
      </c>
      <c r="I316" s="136">
        <f>IF('00_TONG_HOP_BAO_GIA'!G305&gt;0, ('00_TONG_HOP_BAO_GIA'!K305 + '00_TONG_HOP_BAO_GIA'!M305) * (1 + '00_TONG_HOP_BAO_GIA'!P305) / '00_TONG_HOP_BAO_GIA'!G305, 0)</f>
        <v/>
      </c>
      <c r="J316" s="136">
        <f>IF('00_TONG_HOP_BAO_GIA'!G305&gt;0, '00_TONG_HOP_BAO_GIA'!L305 * (1 + '00_TONG_HOP_BAO_GIA'!P305) / '00_TONG_HOP_BAO_GIA'!G305, 0)</f>
        <v/>
      </c>
      <c r="K316" s="137">
        <f>'00_TONG_HOP_BAO_GIA'!Q305</f>
        <v/>
      </c>
      <c r="L316" s="137">
        <f>('00_TONG_HOP_BAO_GIA'!K305 + '00_TONG_HOP_BAO_GIA'!M305) * (1 + '00_TONG_HOP_BAO_GIA'!P305)</f>
        <v/>
      </c>
      <c r="M316" s="137">
        <f>'00_TONG_HOP_BAO_GIA'!L305 * (1 + '00_TONG_HOP_BAO_GIA'!P305)</f>
        <v/>
      </c>
      <c r="N316" s="137">
        <f>'00_TONG_HOP_BAO_GIA'!R305</f>
        <v/>
      </c>
      <c r="O316" s="139">
        <f>IF(K316=0, "CẢNH BÁO: Đơn giá = 0. Tra cứu lại Sheet 06!", '00_TONG_HOP_BAO_GIA'!S305)</f>
        <v/>
      </c>
    </row>
    <row r="317" outlineLevel="1">
      <c r="A317" s="141">
        <f>SUBTOTAL(3,$G$7:G317)</f>
        <v/>
      </c>
      <c r="B317" s="139" t="inlineStr">
        <is>
          <t>Van FD 400x200</t>
        </is>
      </c>
      <c r="C317" s="134" t="n"/>
      <c r="D317" s="134" t="inlineStr">
        <is>
          <t>NSCA, Evegreen, Swind, tđ</t>
        </is>
      </c>
      <c r="E317" s="134" t="n"/>
      <c r="F317" s="329" t="n"/>
      <c r="G317" s="383" t="inlineStr">
        <is>
          <t>Cái</t>
        </is>
      </c>
      <c r="H317" s="136" t="n">
        <v>2</v>
      </c>
      <c r="I317" s="136">
        <f>IF('00_TONG_HOP_BAO_GIA'!G306&gt;0, ('00_TONG_HOP_BAO_GIA'!K306 + '00_TONG_HOP_BAO_GIA'!M306) * (1 + '00_TONG_HOP_BAO_GIA'!P306) / '00_TONG_HOP_BAO_GIA'!G306, 0)</f>
        <v/>
      </c>
      <c r="J317" s="136">
        <f>IF('00_TONG_HOP_BAO_GIA'!G306&gt;0, '00_TONG_HOP_BAO_GIA'!L306 * (1 + '00_TONG_HOP_BAO_GIA'!P306) / '00_TONG_HOP_BAO_GIA'!G306, 0)</f>
        <v/>
      </c>
      <c r="K317" s="137">
        <f>'00_TONG_HOP_BAO_GIA'!Q306</f>
        <v/>
      </c>
      <c r="L317" s="137">
        <f>('00_TONG_HOP_BAO_GIA'!K306 + '00_TONG_HOP_BAO_GIA'!M306) * (1 + '00_TONG_HOP_BAO_GIA'!P306)</f>
        <v/>
      </c>
      <c r="M317" s="137">
        <f>'00_TONG_HOP_BAO_GIA'!L306 * (1 + '00_TONG_HOP_BAO_GIA'!P306)</f>
        <v/>
      </c>
      <c r="N317" s="137">
        <f>'00_TONG_HOP_BAO_GIA'!R306</f>
        <v/>
      </c>
      <c r="O317" s="139">
        <f>IF(K317=0, "CẢNH BÁO: Đơn giá = 0. Tra cứu lại Sheet 06!", '00_TONG_HOP_BAO_GIA'!S306)</f>
        <v/>
      </c>
    </row>
    <row r="318" outlineLevel="1">
      <c r="A318" s="141">
        <f>SUBTOTAL(3,$G$7:G318)</f>
        <v/>
      </c>
      <c r="B318" s="139" t="inlineStr">
        <is>
          <t>Van FD 300x150</t>
        </is>
      </c>
      <c r="C318" s="134" t="n"/>
      <c r="D318" s="134" t="inlineStr">
        <is>
          <t>NSCA, Evegreen, Swind, tđ</t>
        </is>
      </c>
      <c r="E318" s="134" t="n"/>
      <c r="F318" s="329" t="n"/>
      <c r="G318" s="383" t="inlineStr">
        <is>
          <t>Cái</t>
        </is>
      </c>
      <c r="H318" s="136" t="n">
        <v>4</v>
      </c>
      <c r="I318" s="136">
        <f>IF('00_TONG_HOP_BAO_GIA'!G307&gt;0, ('00_TONG_HOP_BAO_GIA'!K307 + '00_TONG_HOP_BAO_GIA'!M307) * (1 + '00_TONG_HOP_BAO_GIA'!P307) / '00_TONG_HOP_BAO_GIA'!G307, 0)</f>
        <v/>
      </c>
      <c r="J318" s="136">
        <f>IF('00_TONG_HOP_BAO_GIA'!G307&gt;0, '00_TONG_HOP_BAO_GIA'!L307 * (1 + '00_TONG_HOP_BAO_GIA'!P307) / '00_TONG_HOP_BAO_GIA'!G307, 0)</f>
        <v/>
      </c>
      <c r="K318" s="137">
        <f>'00_TONG_HOP_BAO_GIA'!Q307</f>
        <v/>
      </c>
      <c r="L318" s="137">
        <f>('00_TONG_HOP_BAO_GIA'!K307 + '00_TONG_HOP_BAO_GIA'!M307) * (1 + '00_TONG_HOP_BAO_GIA'!P307)</f>
        <v/>
      </c>
      <c r="M318" s="137">
        <f>'00_TONG_HOP_BAO_GIA'!L307 * (1 + '00_TONG_HOP_BAO_GIA'!P307)</f>
        <v/>
      </c>
      <c r="N318" s="137">
        <f>'00_TONG_HOP_BAO_GIA'!R307</f>
        <v/>
      </c>
      <c r="O318" s="139">
        <f>IF(K318=0, "CẢNH BÁO: Đơn giá = 0. Tra cứu lại Sheet 06!", '00_TONG_HOP_BAO_GIA'!S307)</f>
        <v/>
      </c>
    </row>
    <row r="319" outlineLevel="1">
      <c r="A319" s="141">
        <f>SUBTOTAL(3,$G$7:G319)</f>
        <v/>
      </c>
      <c r="B319" s="139" t="inlineStr">
        <is>
          <t>Van FD 300x200</t>
        </is>
      </c>
      <c r="C319" s="134" t="n"/>
      <c r="D319" s="134" t="inlineStr">
        <is>
          <t>NSCA, Evegreen, Swind, tđ</t>
        </is>
      </c>
      <c r="E319" s="134" t="n"/>
      <c r="F319" s="329" t="n"/>
      <c r="G319" s="383" t="inlineStr">
        <is>
          <t>Cái</t>
        </is>
      </c>
      <c r="H319" s="136" t="n">
        <v>2</v>
      </c>
      <c r="I319" s="136">
        <f>IF('00_TONG_HOP_BAO_GIA'!G308&gt;0, ('00_TONG_HOP_BAO_GIA'!K308 + '00_TONG_HOP_BAO_GIA'!M308) * (1 + '00_TONG_HOP_BAO_GIA'!P308) / '00_TONG_HOP_BAO_GIA'!G308, 0)</f>
        <v/>
      </c>
      <c r="J319" s="136">
        <f>IF('00_TONG_HOP_BAO_GIA'!G308&gt;0, '00_TONG_HOP_BAO_GIA'!L308 * (1 + '00_TONG_HOP_BAO_GIA'!P308) / '00_TONG_HOP_BAO_GIA'!G308, 0)</f>
        <v/>
      </c>
      <c r="K319" s="137">
        <f>'00_TONG_HOP_BAO_GIA'!Q308</f>
        <v/>
      </c>
      <c r="L319" s="137">
        <f>('00_TONG_HOP_BAO_GIA'!K308 + '00_TONG_HOP_BAO_GIA'!M308) * (1 + '00_TONG_HOP_BAO_GIA'!P308)</f>
        <v/>
      </c>
      <c r="M319" s="137">
        <f>'00_TONG_HOP_BAO_GIA'!L308 * (1 + '00_TONG_HOP_BAO_GIA'!P308)</f>
        <v/>
      </c>
      <c r="N319" s="137">
        <f>'00_TONG_HOP_BAO_GIA'!R308</f>
        <v/>
      </c>
      <c r="O319" s="139">
        <f>IF(K319=0, "CẢNH BÁO: Đơn giá = 0. Tra cứu lại Sheet 06!", '00_TONG_HOP_BAO_GIA'!S308)</f>
        <v/>
      </c>
    </row>
    <row r="320" outlineLevel="1">
      <c r="A320" s="141">
        <f>SUBTOTAL(3,$G$7:G320)</f>
        <v/>
      </c>
      <c r="B320" s="139" t="inlineStr">
        <is>
          <t>Van FD 400x150</t>
        </is>
      </c>
      <c r="C320" s="134" t="n"/>
      <c r="D320" s="134" t="inlineStr">
        <is>
          <t>NSCA, Evegreen, Swind, tđ</t>
        </is>
      </c>
      <c r="E320" s="134" t="n"/>
      <c r="F320" s="329" t="n"/>
      <c r="G320" s="383" t="inlineStr">
        <is>
          <t>Cái</t>
        </is>
      </c>
      <c r="H320" s="136" t="n">
        <v>1</v>
      </c>
      <c r="I320" s="136">
        <f>IF('00_TONG_HOP_BAO_GIA'!G309&gt;0, ('00_TONG_HOP_BAO_GIA'!K309 + '00_TONG_HOP_BAO_GIA'!M309) * (1 + '00_TONG_HOP_BAO_GIA'!P309) / '00_TONG_HOP_BAO_GIA'!G309, 0)</f>
        <v/>
      </c>
      <c r="J320" s="136">
        <f>IF('00_TONG_HOP_BAO_GIA'!G309&gt;0, '00_TONG_HOP_BAO_GIA'!L309 * (1 + '00_TONG_HOP_BAO_GIA'!P309) / '00_TONG_HOP_BAO_GIA'!G309, 0)</f>
        <v/>
      </c>
      <c r="K320" s="137">
        <f>'00_TONG_HOP_BAO_GIA'!Q309</f>
        <v/>
      </c>
      <c r="L320" s="137">
        <f>('00_TONG_HOP_BAO_GIA'!K309 + '00_TONG_HOP_BAO_GIA'!M309) * (1 + '00_TONG_HOP_BAO_GIA'!P309)</f>
        <v/>
      </c>
      <c r="M320" s="137">
        <f>'00_TONG_HOP_BAO_GIA'!L309 * (1 + '00_TONG_HOP_BAO_GIA'!P309)</f>
        <v/>
      </c>
      <c r="N320" s="137">
        <f>'00_TONG_HOP_BAO_GIA'!R309</f>
        <v/>
      </c>
      <c r="O320" s="139">
        <f>IF(K320=0, "CẢNH BÁO: Đơn giá = 0. Tra cứu lại Sheet 06!", '00_TONG_HOP_BAO_GIA'!S309)</f>
        <v/>
      </c>
    </row>
    <row r="321" outlineLevel="1">
      <c r="A321" s="141">
        <f>SUBTOTAL(3,$G$7:G321)</f>
        <v/>
      </c>
      <c r="B321" s="139" t="inlineStr">
        <is>
          <t>Van FD 800x250</t>
        </is>
      </c>
      <c r="C321" s="134" t="n"/>
      <c r="D321" s="134" t="inlineStr">
        <is>
          <t>NSCA, Evegreen, Swind, tđ</t>
        </is>
      </c>
      <c r="E321" s="134" t="n"/>
      <c r="F321" s="329" t="n"/>
      <c r="G321" s="383" t="inlineStr">
        <is>
          <t>Cái</t>
        </is>
      </c>
      <c r="H321" s="136" t="n">
        <v>1</v>
      </c>
      <c r="I321" s="136">
        <f>IF('00_TONG_HOP_BAO_GIA'!G310&gt;0, ('00_TONG_HOP_BAO_GIA'!K310 + '00_TONG_HOP_BAO_GIA'!M310) * (1 + '00_TONG_HOP_BAO_GIA'!P310) / '00_TONG_HOP_BAO_GIA'!G310, 0)</f>
        <v/>
      </c>
      <c r="J321" s="136">
        <f>IF('00_TONG_HOP_BAO_GIA'!G310&gt;0, '00_TONG_HOP_BAO_GIA'!L310 * (1 + '00_TONG_HOP_BAO_GIA'!P310) / '00_TONG_HOP_BAO_GIA'!G310, 0)</f>
        <v/>
      </c>
      <c r="K321" s="137">
        <f>'00_TONG_HOP_BAO_GIA'!Q310</f>
        <v/>
      </c>
      <c r="L321" s="137">
        <f>('00_TONG_HOP_BAO_GIA'!K310 + '00_TONG_HOP_BAO_GIA'!M310) * (1 + '00_TONG_HOP_BAO_GIA'!P310)</f>
        <v/>
      </c>
      <c r="M321" s="137">
        <f>'00_TONG_HOP_BAO_GIA'!L310 * (1 + '00_TONG_HOP_BAO_GIA'!P310)</f>
        <v/>
      </c>
      <c r="N321" s="137">
        <f>'00_TONG_HOP_BAO_GIA'!R310</f>
        <v/>
      </c>
      <c r="O321" s="139">
        <f>IF(K321=0, "CẢNH BÁO: Đơn giá = 0. Tra cứu lại Sheet 06!", '00_TONG_HOP_BAO_GIA'!S310)</f>
        <v/>
      </c>
    </row>
    <row r="322" outlineLevel="1">
      <c r="A322" s="141">
        <f>SUBTOTAL(3,$G$7:G322)</f>
        <v/>
      </c>
      <c r="B322" s="139" t="inlineStr">
        <is>
          <t>Van FD 1200x350</t>
        </is>
      </c>
      <c r="C322" s="134" t="n"/>
      <c r="D322" s="134" t="inlineStr">
        <is>
          <t>NSCA, Evegreen, Swind, tđ</t>
        </is>
      </c>
      <c r="E322" s="134" t="n"/>
      <c r="F322" s="329" t="n"/>
      <c r="G322" s="383" t="inlineStr">
        <is>
          <t>Cái</t>
        </is>
      </c>
      <c r="H322" s="136" t="n">
        <v>1</v>
      </c>
      <c r="I322" s="136">
        <f>IF('00_TONG_HOP_BAO_GIA'!G311&gt;0, ('00_TONG_HOP_BAO_GIA'!K311 + '00_TONG_HOP_BAO_GIA'!M311) * (1 + '00_TONG_HOP_BAO_GIA'!P311) / '00_TONG_HOP_BAO_GIA'!G311, 0)</f>
        <v/>
      </c>
      <c r="J322" s="136">
        <f>IF('00_TONG_HOP_BAO_GIA'!G311&gt;0, '00_TONG_HOP_BAO_GIA'!L311 * (1 + '00_TONG_HOP_BAO_GIA'!P311) / '00_TONG_HOP_BAO_GIA'!G311, 0)</f>
        <v/>
      </c>
      <c r="K322" s="137">
        <f>'00_TONG_HOP_BAO_GIA'!Q311</f>
        <v/>
      </c>
      <c r="L322" s="137">
        <f>('00_TONG_HOP_BAO_GIA'!K311 + '00_TONG_HOP_BAO_GIA'!M311) * (1 + '00_TONG_HOP_BAO_GIA'!P311)</f>
        <v/>
      </c>
      <c r="M322" s="137">
        <f>'00_TONG_HOP_BAO_GIA'!L311 * (1 + '00_TONG_HOP_BAO_GIA'!P311)</f>
        <v/>
      </c>
      <c r="N322" s="137">
        <f>'00_TONG_HOP_BAO_GIA'!R311</f>
        <v/>
      </c>
      <c r="O322" s="139">
        <f>IF(K322=0, "CẢNH BÁO: Đơn giá = 0. Tra cứu lại Sheet 06!", '00_TONG_HOP_BAO_GIA'!S311)</f>
        <v/>
      </c>
    </row>
    <row r="323" outlineLevel="1">
      <c r="A323" s="141">
        <f>SUBTOTAL(3,$G$7:G323)</f>
        <v/>
      </c>
      <c r="B323" s="139" t="inlineStr">
        <is>
          <t>Van FD 1000x300</t>
        </is>
      </c>
      <c r="C323" s="134" t="n"/>
      <c r="D323" s="134" t="inlineStr">
        <is>
          <t>NSCA, Evegreen, Swind, tđ</t>
        </is>
      </c>
      <c r="E323" s="134" t="n"/>
      <c r="F323" s="329" t="n"/>
      <c r="G323" s="383" t="inlineStr">
        <is>
          <t>Cái</t>
        </is>
      </c>
      <c r="H323" s="136" t="n">
        <v>1</v>
      </c>
      <c r="I323" s="136">
        <f>IF('00_TONG_HOP_BAO_GIA'!G312&gt;0, ('00_TONG_HOP_BAO_GIA'!K312 + '00_TONG_HOP_BAO_GIA'!M312) * (1 + '00_TONG_HOP_BAO_GIA'!P312) / '00_TONG_HOP_BAO_GIA'!G312, 0)</f>
        <v/>
      </c>
      <c r="J323" s="136">
        <f>IF('00_TONG_HOP_BAO_GIA'!G312&gt;0, '00_TONG_HOP_BAO_GIA'!L312 * (1 + '00_TONG_HOP_BAO_GIA'!P312) / '00_TONG_HOP_BAO_GIA'!G312, 0)</f>
        <v/>
      </c>
      <c r="K323" s="137">
        <f>'00_TONG_HOP_BAO_GIA'!Q312</f>
        <v/>
      </c>
      <c r="L323" s="137">
        <f>('00_TONG_HOP_BAO_GIA'!K312 + '00_TONG_HOP_BAO_GIA'!M312) * (1 + '00_TONG_HOP_BAO_GIA'!P312)</f>
        <v/>
      </c>
      <c r="M323" s="137">
        <f>'00_TONG_HOP_BAO_GIA'!L312 * (1 + '00_TONG_HOP_BAO_GIA'!P312)</f>
        <v/>
      </c>
      <c r="N323" s="137">
        <f>'00_TONG_HOP_BAO_GIA'!R312</f>
        <v/>
      </c>
      <c r="O323" s="139">
        <f>IF(K323=0, "CẢNH BÁO: Đơn giá = 0. Tra cứu lại Sheet 06!", '00_TONG_HOP_BAO_GIA'!S312)</f>
        <v/>
      </c>
    </row>
    <row r="324" outlineLevel="1">
      <c r="A324" s="141">
        <f>SUBTOTAL(3,$G$7:G324)</f>
        <v/>
      </c>
      <c r="B324" s="139" t="inlineStr">
        <is>
          <t>Van FD 600x300</t>
        </is>
      </c>
      <c r="C324" s="134" t="n"/>
      <c r="D324" s="134" t="inlineStr">
        <is>
          <t>NSCA, Evegreen, Swind, tđ</t>
        </is>
      </c>
      <c r="E324" s="134" t="n"/>
      <c r="F324" s="329" t="n"/>
      <c r="G324" s="383" t="inlineStr">
        <is>
          <t>Cái</t>
        </is>
      </c>
      <c r="H324" s="136" t="n">
        <v>1</v>
      </c>
      <c r="I324" s="136">
        <f>IF('00_TONG_HOP_BAO_GIA'!G313&gt;0, ('00_TONG_HOP_BAO_GIA'!K313 + '00_TONG_HOP_BAO_GIA'!M313) * (1 + '00_TONG_HOP_BAO_GIA'!P313) / '00_TONG_HOP_BAO_GIA'!G313, 0)</f>
        <v/>
      </c>
      <c r="J324" s="136">
        <f>IF('00_TONG_HOP_BAO_GIA'!G313&gt;0, '00_TONG_HOP_BAO_GIA'!L313 * (1 + '00_TONG_HOP_BAO_GIA'!P313) / '00_TONG_HOP_BAO_GIA'!G313, 0)</f>
        <v/>
      </c>
      <c r="K324" s="137">
        <f>'00_TONG_HOP_BAO_GIA'!Q313</f>
        <v/>
      </c>
      <c r="L324" s="137">
        <f>('00_TONG_HOP_BAO_GIA'!K313 + '00_TONG_HOP_BAO_GIA'!M313) * (1 + '00_TONG_HOP_BAO_GIA'!P313)</f>
        <v/>
      </c>
      <c r="M324" s="137">
        <f>'00_TONG_HOP_BAO_GIA'!L313 * (1 + '00_TONG_HOP_BAO_GIA'!P313)</f>
        <v/>
      </c>
      <c r="N324" s="137">
        <f>'00_TONG_HOP_BAO_GIA'!R313</f>
        <v/>
      </c>
      <c r="O324" s="139">
        <f>IF(K324=0, "CẢNH BÁO: Đơn giá = 0. Tra cứu lại Sheet 06!", '00_TONG_HOP_BAO_GIA'!S313)</f>
        <v/>
      </c>
    </row>
    <row r="325" outlineLevel="1">
      <c r="A325" s="141">
        <f>SUBTOTAL(3,$G$7:G325)</f>
        <v/>
      </c>
      <c r="B325" s="139" t="inlineStr">
        <is>
          <t>Van FD 400x200</t>
        </is>
      </c>
      <c r="C325" s="134" t="n"/>
      <c r="D325" s="134" t="inlineStr">
        <is>
          <t>NSCA, Evegreen, Swind, tđ</t>
        </is>
      </c>
      <c r="E325" s="134" t="n"/>
      <c r="F325" s="329" t="n"/>
      <c r="G325" s="383" t="inlineStr">
        <is>
          <t>cái</t>
        </is>
      </c>
      <c r="H325" s="136" t="n">
        <v>9</v>
      </c>
      <c r="I325" s="136">
        <f>IF('00_TONG_HOP_BAO_GIA'!G314&gt;0, ('00_TONG_HOP_BAO_GIA'!K314 + '00_TONG_HOP_BAO_GIA'!M314) * (1 + '00_TONG_HOP_BAO_GIA'!P314) / '00_TONG_HOP_BAO_GIA'!G314, 0)</f>
        <v/>
      </c>
      <c r="J325" s="136">
        <f>IF('00_TONG_HOP_BAO_GIA'!G314&gt;0, '00_TONG_HOP_BAO_GIA'!L314 * (1 + '00_TONG_HOP_BAO_GIA'!P314) / '00_TONG_HOP_BAO_GIA'!G314, 0)</f>
        <v/>
      </c>
      <c r="K325" s="137">
        <f>'00_TONG_HOP_BAO_GIA'!Q314</f>
        <v/>
      </c>
      <c r="L325" s="137">
        <f>('00_TONG_HOP_BAO_GIA'!K314 + '00_TONG_HOP_BAO_GIA'!M314) * (1 + '00_TONG_HOP_BAO_GIA'!P314)</f>
        <v/>
      </c>
      <c r="M325" s="137">
        <f>'00_TONG_HOP_BAO_GIA'!L314 * (1 + '00_TONG_HOP_BAO_GIA'!P314)</f>
        <v/>
      </c>
      <c r="N325" s="137">
        <f>'00_TONG_HOP_BAO_GIA'!R314</f>
        <v/>
      </c>
      <c r="O325" s="139">
        <f>IF(K325=0, "CẢNH BÁO: Đơn giá = 0. Tra cứu lại Sheet 06!", '00_TONG_HOP_BAO_GIA'!S314)</f>
        <v/>
      </c>
    </row>
    <row r="326" outlineLevel="1">
      <c r="A326" s="141">
        <f>SUBTOTAL(3,$G$7:G326)</f>
        <v/>
      </c>
      <c r="B326" s="139" t="inlineStr">
        <is>
          <t>Van FD 300x200</t>
        </is>
      </c>
      <c r="C326" s="134" t="n"/>
      <c r="D326" s="134" t="inlineStr">
        <is>
          <t>NSCA, Evegreen, Swind, tđ</t>
        </is>
      </c>
      <c r="E326" s="134" t="n"/>
      <c r="F326" s="329" t="n"/>
      <c r="G326" s="383" t="inlineStr">
        <is>
          <t>cái</t>
        </is>
      </c>
      <c r="H326" s="136" t="n">
        <v>7</v>
      </c>
      <c r="I326" s="136">
        <f>IF('00_TONG_HOP_BAO_GIA'!G315&gt;0, ('00_TONG_HOP_BAO_GIA'!K315 + '00_TONG_HOP_BAO_GIA'!M315) * (1 + '00_TONG_HOP_BAO_GIA'!P315) / '00_TONG_HOP_BAO_GIA'!G315, 0)</f>
        <v/>
      </c>
      <c r="J326" s="136">
        <f>IF('00_TONG_HOP_BAO_GIA'!G315&gt;0, '00_TONG_HOP_BAO_GIA'!L315 * (1 + '00_TONG_HOP_BAO_GIA'!P315) / '00_TONG_HOP_BAO_GIA'!G315, 0)</f>
        <v/>
      </c>
      <c r="K326" s="137">
        <f>'00_TONG_HOP_BAO_GIA'!Q315</f>
        <v/>
      </c>
      <c r="L326" s="137">
        <f>('00_TONG_HOP_BAO_GIA'!K315 + '00_TONG_HOP_BAO_GIA'!M315) * (1 + '00_TONG_HOP_BAO_GIA'!P315)</f>
        <v/>
      </c>
      <c r="M326" s="137">
        <f>'00_TONG_HOP_BAO_GIA'!L315 * (1 + '00_TONG_HOP_BAO_GIA'!P315)</f>
        <v/>
      </c>
      <c r="N326" s="137">
        <f>'00_TONG_HOP_BAO_GIA'!R315</f>
        <v/>
      </c>
      <c r="O326" s="139">
        <f>IF(K326=0, "CẢNH BÁO: Đơn giá = 0. Tra cứu lại Sheet 06!", '00_TONG_HOP_BAO_GIA'!S315)</f>
        <v/>
      </c>
    </row>
    <row r="327" outlineLevel="1">
      <c r="A327" s="141">
        <f>SUBTOTAL(3,$G$7:G327)</f>
        <v/>
      </c>
      <c r="B327" s="139" t="inlineStr">
        <is>
          <t>Van FD 350x200</t>
        </is>
      </c>
      <c r="C327" s="134" t="n"/>
      <c r="D327" s="134" t="inlineStr">
        <is>
          <t>NSCA, Evegreen, Swind, tđ</t>
        </is>
      </c>
      <c r="E327" s="134" t="n"/>
      <c r="F327" s="329" t="n"/>
      <c r="G327" s="383" t="inlineStr">
        <is>
          <t>cái</t>
        </is>
      </c>
      <c r="H327" s="136" t="n">
        <v>7</v>
      </c>
      <c r="I327" s="136">
        <f>IF('00_TONG_HOP_BAO_GIA'!G316&gt;0, ('00_TONG_HOP_BAO_GIA'!K316 + '00_TONG_HOP_BAO_GIA'!M316) * (1 + '00_TONG_HOP_BAO_GIA'!P316) / '00_TONG_HOP_BAO_GIA'!G316, 0)</f>
        <v/>
      </c>
      <c r="J327" s="136">
        <f>IF('00_TONG_HOP_BAO_GIA'!G316&gt;0, '00_TONG_HOP_BAO_GIA'!L316 * (1 + '00_TONG_HOP_BAO_GIA'!P316) / '00_TONG_HOP_BAO_GIA'!G316, 0)</f>
        <v/>
      </c>
      <c r="K327" s="137">
        <f>'00_TONG_HOP_BAO_GIA'!Q316</f>
        <v/>
      </c>
      <c r="L327" s="137">
        <f>('00_TONG_HOP_BAO_GIA'!K316 + '00_TONG_HOP_BAO_GIA'!M316) * (1 + '00_TONG_HOP_BAO_GIA'!P316)</f>
        <v/>
      </c>
      <c r="M327" s="137">
        <f>'00_TONG_HOP_BAO_GIA'!L316 * (1 + '00_TONG_HOP_BAO_GIA'!P316)</f>
        <v/>
      </c>
      <c r="N327" s="137">
        <f>'00_TONG_HOP_BAO_GIA'!R316</f>
        <v/>
      </c>
      <c r="O327" s="139">
        <f>IF(K327=0, "CẢNH BÁO: Đơn giá = 0. Tra cứu lại Sheet 06!", '00_TONG_HOP_BAO_GIA'!S316)</f>
        <v/>
      </c>
    </row>
    <row r="328" outlineLevel="1">
      <c r="A328" s="141">
        <f>SUBTOTAL(3,$G$7:G328)</f>
        <v/>
      </c>
      <c r="B328" s="139" t="inlineStr">
        <is>
          <t>Van FD 500x200</t>
        </is>
      </c>
      <c r="C328" s="134" t="n"/>
      <c r="D328" s="134" t="inlineStr">
        <is>
          <t>NSCA, Evegreen, Swind, tđ</t>
        </is>
      </c>
      <c r="E328" s="134" t="n"/>
      <c r="F328" s="329" t="n"/>
      <c r="G328" s="383" t="inlineStr">
        <is>
          <t>cái</t>
        </is>
      </c>
      <c r="H328" s="136" t="n">
        <v>5</v>
      </c>
      <c r="I328" s="136">
        <f>IF('00_TONG_HOP_BAO_GIA'!G317&gt;0, ('00_TONG_HOP_BAO_GIA'!K317 + '00_TONG_HOP_BAO_GIA'!M317) * (1 + '00_TONG_HOP_BAO_GIA'!P317) / '00_TONG_HOP_BAO_GIA'!G317, 0)</f>
        <v/>
      </c>
      <c r="J328" s="136">
        <f>IF('00_TONG_HOP_BAO_GIA'!G317&gt;0, '00_TONG_HOP_BAO_GIA'!L317 * (1 + '00_TONG_HOP_BAO_GIA'!P317) / '00_TONG_HOP_BAO_GIA'!G317, 0)</f>
        <v/>
      </c>
      <c r="K328" s="137">
        <f>'00_TONG_HOP_BAO_GIA'!Q317</f>
        <v/>
      </c>
      <c r="L328" s="137">
        <f>('00_TONG_HOP_BAO_GIA'!K317 + '00_TONG_HOP_BAO_GIA'!M317) * (1 + '00_TONG_HOP_BAO_GIA'!P317)</f>
        <v/>
      </c>
      <c r="M328" s="137">
        <f>'00_TONG_HOP_BAO_GIA'!L317 * (1 + '00_TONG_HOP_BAO_GIA'!P317)</f>
        <v/>
      </c>
      <c r="N328" s="137">
        <f>'00_TONG_HOP_BAO_GIA'!R317</f>
        <v/>
      </c>
      <c r="O328" s="139">
        <f>IF(K328=0, "CẢNH BÁO: Đơn giá = 0. Tra cứu lại Sheet 06!", '00_TONG_HOP_BAO_GIA'!S317)</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83" t="inlineStr">
        <is>
          <t>Cái</t>
        </is>
      </c>
      <c r="H329" s="136" t="n">
        <v>2</v>
      </c>
      <c r="I329" s="136">
        <f>IF('00_TONG_HOP_BAO_GIA'!G318&gt;0, ('00_TONG_HOP_BAO_GIA'!K318 + '00_TONG_HOP_BAO_GIA'!M318) * (1 + '00_TONG_HOP_BAO_GIA'!P318) / '00_TONG_HOP_BAO_GIA'!G318, 0)</f>
        <v/>
      </c>
      <c r="J329" s="136">
        <f>IF('00_TONG_HOP_BAO_GIA'!G318&gt;0, '00_TONG_HOP_BAO_GIA'!L318 * (1 + '00_TONG_HOP_BAO_GIA'!P318) / '00_TONG_HOP_BAO_GIA'!G318, 0)</f>
        <v/>
      </c>
      <c r="K329" s="137">
        <f>'00_TONG_HOP_BAO_GIA'!Q318</f>
        <v/>
      </c>
      <c r="L329" s="137">
        <f>('00_TONG_HOP_BAO_GIA'!K318 + '00_TONG_HOP_BAO_GIA'!M318) * (1 + '00_TONG_HOP_BAO_GIA'!P318)</f>
        <v/>
      </c>
      <c r="M329" s="137">
        <f>'00_TONG_HOP_BAO_GIA'!L318 * (1 + '00_TONG_HOP_BAO_GIA'!P318)</f>
        <v/>
      </c>
      <c r="N329" s="137">
        <f>'00_TONG_HOP_BAO_GIA'!R318</f>
        <v/>
      </c>
      <c r="O329" s="139">
        <f>IF(K329=0, "CẢNH BÁO: Đơn giá = 0. Tra cứu lại Sheet 06!", '00_TONG_HOP_BAO_GIA'!S318)</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83" t="inlineStr">
        <is>
          <t>Cái</t>
        </is>
      </c>
      <c r="H330" s="136" t="n">
        <v>2</v>
      </c>
      <c r="I330" s="136">
        <f>IF('00_TONG_HOP_BAO_GIA'!G319&gt;0, ('00_TONG_HOP_BAO_GIA'!K319 + '00_TONG_HOP_BAO_GIA'!M319) * (1 + '00_TONG_HOP_BAO_GIA'!P319) / '00_TONG_HOP_BAO_GIA'!G319, 0)</f>
        <v/>
      </c>
      <c r="J330" s="136">
        <f>IF('00_TONG_HOP_BAO_GIA'!G319&gt;0, '00_TONG_HOP_BAO_GIA'!L319 * (1 + '00_TONG_HOP_BAO_GIA'!P319) / '00_TONG_HOP_BAO_GIA'!G319, 0)</f>
        <v/>
      </c>
      <c r="K330" s="137">
        <f>'00_TONG_HOP_BAO_GIA'!Q319</f>
        <v/>
      </c>
      <c r="L330" s="137">
        <f>('00_TONG_HOP_BAO_GIA'!K319 + '00_TONG_HOP_BAO_GIA'!M319) * (1 + '00_TONG_HOP_BAO_GIA'!P319)</f>
        <v/>
      </c>
      <c r="M330" s="137">
        <f>'00_TONG_HOP_BAO_GIA'!L319 * (1 + '00_TONG_HOP_BAO_GIA'!P319)</f>
        <v/>
      </c>
      <c r="N330" s="137">
        <f>'00_TONG_HOP_BAO_GIA'!R319</f>
        <v/>
      </c>
      <c r="O330" s="139">
        <f>IF(K330=0, "CẢNH BÁO: Đơn giá = 0. Tra cứu lại Sheet 06!", '00_TONG_HOP_BAO_GIA'!S319)</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83" t="inlineStr">
        <is>
          <t>Cái</t>
        </is>
      </c>
      <c r="H331" s="136" t="n">
        <v>1</v>
      </c>
      <c r="I331" s="136">
        <f>IF('00_TONG_HOP_BAO_GIA'!G320&gt;0, ('00_TONG_HOP_BAO_GIA'!K320 + '00_TONG_HOP_BAO_GIA'!M320) * (1 + '00_TONG_HOP_BAO_GIA'!P320) / '00_TONG_HOP_BAO_GIA'!G320, 0)</f>
        <v/>
      </c>
      <c r="J331" s="136">
        <f>IF('00_TONG_HOP_BAO_GIA'!G320&gt;0, '00_TONG_HOP_BAO_GIA'!L320 * (1 + '00_TONG_HOP_BAO_GIA'!P320) / '00_TONG_HOP_BAO_GIA'!G320, 0)</f>
        <v/>
      </c>
      <c r="K331" s="137">
        <f>'00_TONG_HOP_BAO_GIA'!Q320</f>
        <v/>
      </c>
      <c r="L331" s="137">
        <f>('00_TONG_HOP_BAO_GIA'!K320 + '00_TONG_HOP_BAO_GIA'!M320) * (1 + '00_TONG_HOP_BAO_GIA'!P320)</f>
        <v/>
      </c>
      <c r="M331" s="137">
        <f>'00_TONG_HOP_BAO_GIA'!L320 * (1 + '00_TONG_HOP_BAO_GIA'!P320)</f>
        <v/>
      </c>
      <c r="N331" s="137">
        <f>'00_TONG_HOP_BAO_GIA'!R320</f>
        <v/>
      </c>
      <c r="O331" s="139">
        <f>IF(K331=0, "CẢNH BÁO: Đơn giá = 0. Tra cứu lại Sheet 06!", '00_TONG_HOP_BAO_GIA'!S320)</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83" t="inlineStr">
        <is>
          <t>Cái</t>
        </is>
      </c>
      <c r="H332" s="136" t="n">
        <v>1</v>
      </c>
      <c r="I332" s="136">
        <f>IF('00_TONG_HOP_BAO_GIA'!G321&gt;0, ('00_TONG_HOP_BAO_GIA'!K321 + '00_TONG_HOP_BAO_GIA'!M321) * (1 + '00_TONG_HOP_BAO_GIA'!P321) / '00_TONG_HOP_BAO_GIA'!G321, 0)</f>
        <v/>
      </c>
      <c r="J332" s="136">
        <f>IF('00_TONG_HOP_BAO_GIA'!G321&gt;0, '00_TONG_HOP_BAO_GIA'!L321 * (1 + '00_TONG_HOP_BAO_GIA'!P321) / '00_TONG_HOP_BAO_GIA'!G321, 0)</f>
        <v/>
      </c>
      <c r="K332" s="137">
        <f>'00_TONG_HOP_BAO_GIA'!Q321</f>
        <v/>
      </c>
      <c r="L332" s="137">
        <f>('00_TONG_HOP_BAO_GIA'!K321 + '00_TONG_HOP_BAO_GIA'!M321) * (1 + '00_TONG_HOP_BAO_GIA'!P321)</f>
        <v/>
      </c>
      <c r="M332" s="137">
        <f>'00_TONG_HOP_BAO_GIA'!L321 * (1 + '00_TONG_HOP_BAO_GIA'!P321)</f>
        <v/>
      </c>
      <c r="N332" s="137">
        <f>'00_TONG_HOP_BAO_GIA'!R321</f>
        <v/>
      </c>
      <c r="O332" s="139">
        <f>IF(K332=0, "CẢNH BÁO: Đơn giá = 0. Tra cứu lại Sheet 06!", '00_TONG_HOP_BAO_GIA'!S321)</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83" t="inlineStr">
        <is>
          <t>Cái</t>
        </is>
      </c>
      <c r="H333" s="136" t="n">
        <v>1</v>
      </c>
      <c r="I333" s="136">
        <f>IF('00_TONG_HOP_BAO_GIA'!G322&gt;0, ('00_TONG_HOP_BAO_GIA'!K322 + '00_TONG_HOP_BAO_GIA'!M322) * (1 + '00_TONG_HOP_BAO_GIA'!P322) / '00_TONG_HOP_BAO_GIA'!G322, 0)</f>
        <v/>
      </c>
      <c r="J333" s="136">
        <f>IF('00_TONG_HOP_BAO_GIA'!G322&gt;0, '00_TONG_HOP_BAO_GIA'!L322 * (1 + '00_TONG_HOP_BAO_GIA'!P322) / '00_TONG_HOP_BAO_GIA'!G322, 0)</f>
        <v/>
      </c>
      <c r="K333" s="137">
        <f>'00_TONG_HOP_BAO_GIA'!Q322</f>
        <v/>
      </c>
      <c r="L333" s="137">
        <f>('00_TONG_HOP_BAO_GIA'!K322 + '00_TONG_HOP_BAO_GIA'!M322) * (1 + '00_TONG_HOP_BAO_GIA'!P322)</f>
        <v/>
      </c>
      <c r="M333" s="137">
        <f>'00_TONG_HOP_BAO_GIA'!L322 * (1 + '00_TONG_HOP_BAO_GIA'!P322)</f>
        <v/>
      </c>
      <c r="N333" s="137">
        <f>'00_TONG_HOP_BAO_GIA'!R322</f>
        <v/>
      </c>
      <c r="O333" s="139">
        <f>IF(K333=0, "CẢNH BÁO: Đơn giá = 0. Tra cứu lại Sheet 06!", '00_TONG_HOP_BAO_GIA'!S322)</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83" t="inlineStr">
        <is>
          <t>Cái</t>
        </is>
      </c>
      <c r="H334" s="136" t="n">
        <v>61</v>
      </c>
      <c r="I334" s="136">
        <f>IF('00_TONG_HOP_BAO_GIA'!G323&gt;0, ('00_TONG_HOP_BAO_GIA'!K323 + '00_TONG_HOP_BAO_GIA'!M323) * (1 + '00_TONG_HOP_BAO_GIA'!P323) / '00_TONG_HOP_BAO_GIA'!G323, 0)</f>
        <v/>
      </c>
      <c r="J334" s="136">
        <f>IF('00_TONG_HOP_BAO_GIA'!G323&gt;0, '00_TONG_HOP_BAO_GIA'!L323 * (1 + '00_TONG_HOP_BAO_GIA'!P323) / '00_TONG_HOP_BAO_GIA'!G323, 0)</f>
        <v/>
      </c>
      <c r="K334" s="137">
        <f>'00_TONG_HOP_BAO_GIA'!Q323</f>
        <v/>
      </c>
      <c r="L334" s="137">
        <f>('00_TONG_HOP_BAO_GIA'!K323 + '00_TONG_HOP_BAO_GIA'!M323) * (1 + '00_TONG_HOP_BAO_GIA'!P323)</f>
        <v/>
      </c>
      <c r="M334" s="137">
        <f>'00_TONG_HOP_BAO_GIA'!L323 * (1 + '00_TONG_HOP_BAO_GIA'!P323)</f>
        <v/>
      </c>
      <c r="N334" s="137">
        <f>'00_TONG_HOP_BAO_GIA'!R323</f>
        <v/>
      </c>
      <c r="O334" s="139">
        <f>IF(K334=0, "CẢNH BÁO: Đơn giá = 0. Tra cứu lại Sheet 06!", '00_TONG_HOP_BAO_GIA'!S323)</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83" t="inlineStr">
        <is>
          <t>Cái</t>
        </is>
      </c>
      <c r="H335" s="136" t="n">
        <v>78</v>
      </c>
      <c r="I335" s="136">
        <f>IF('00_TONG_HOP_BAO_GIA'!G324&gt;0, ('00_TONG_HOP_BAO_GIA'!K324 + '00_TONG_HOP_BAO_GIA'!M324) * (1 + '00_TONG_HOP_BAO_GIA'!P324) / '00_TONG_HOP_BAO_GIA'!G324, 0)</f>
        <v/>
      </c>
      <c r="J335" s="136">
        <f>IF('00_TONG_HOP_BAO_GIA'!G324&gt;0, '00_TONG_HOP_BAO_GIA'!L324 * (1 + '00_TONG_HOP_BAO_GIA'!P324) / '00_TONG_HOP_BAO_GIA'!G324, 0)</f>
        <v/>
      </c>
      <c r="K335" s="137">
        <f>'00_TONG_HOP_BAO_GIA'!Q324</f>
        <v/>
      </c>
      <c r="L335" s="137">
        <f>('00_TONG_HOP_BAO_GIA'!K324 + '00_TONG_HOP_BAO_GIA'!M324) * (1 + '00_TONG_HOP_BAO_GIA'!P324)</f>
        <v/>
      </c>
      <c r="M335" s="137">
        <f>'00_TONG_HOP_BAO_GIA'!L324 * (1 + '00_TONG_HOP_BAO_GIA'!P324)</f>
        <v/>
      </c>
      <c r="N335" s="137">
        <f>'00_TONG_HOP_BAO_GIA'!R324</f>
        <v/>
      </c>
      <c r="O335" s="139">
        <f>IF(K335=0, "CẢNH BÁO: Đơn giá = 0. Tra cứu lại Sheet 06!", '00_TONG_HOP_BAO_GIA'!S324)</f>
        <v/>
      </c>
    </row>
    <row r="336" outlineLevel="1">
      <c r="A336" s="141">
        <f>SUBTOTAL(3,$G$7:G336)</f>
        <v/>
      </c>
      <c r="B336" s="139" t="inlineStr">
        <is>
          <t>Van động cơ MD 300x150</t>
        </is>
      </c>
      <c r="C336" s="134" t="n"/>
      <c r="D336" s="134" t="inlineStr">
        <is>
          <t>NSCA, Evegreen, Swind, tđ</t>
        </is>
      </c>
      <c r="E336" s="134" t="n"/>
      <c r="F336" s="329" t="n"/>
      <c r="G336" s="383" t="inlineStr">
        <is>
          <t>Cái</t>
        </is>
      </c>
      <c r="H336" s="136" t="n">
        <v>78</v>
      </c>
      <c r="I336" s="136">
        <f>IF('00_TONG_HOP_BAO_GIA'!G325&gt;0, ('00_TONG_HOP_BAO_GIA'!K325 + '00_TONG_HOP_BAO_GIA'!M325) * (1 + '00_TONG_HOP_BAO_GIA'!P325) / '00_TONG_HOP_BAO_GIA'!G325, 0)</f>
        <v/>
      </c>
      <c r="J336" s="136">
        <f>IF('00_TONG_HOP_BAO_GIA'!G325&gt;0, '00_TONG_HOP_BAO_GIA'!L325 * (1 + '00_TONG_HOP_BAO_GIA'!P325) / '00_TONG_HOP_BAO_GIA'!G325, 0)</f>
        <v/>
      </c>
      <c r="K336" s="137">
        <f>'00_TONG_HOP_BAO_GIA'!Q325</f>
        <v/>
      </c>
      <c r="L336" s="137">
        <f>('00_TONG_HOP_BAO_GIA'!K325 + '00_TONG_HOP_BAO_GIA'!M325) * (1 + '00_TONG_HOP_BAO_GIA'!P325)</f>
        <v/>
      </c>
      <c r="M336" s="137">
        <f>'00_TONG_HOP_BAO_GIA'!L325 * (1 + '00_TONG_HOP_BAO_GIA'!P325)</f>
        <v/>
      </c>
      <c r="N336" s="137">
        <f>'00_TONG_HOP_BAO_GIA'!R325</f>
        <v/>
      </c>
      <c r="O336" s="139">
        <f>IF(K336=0, "CẢNH BÁO: Đơn giá = 0. Tra cứu lại Sheet 06!", '00_TONG_HOP_BAO_GIA'!S325)</f>
        <v/>
      </c>
    </row>
    <row r="337" outlineLevel="1">
      <c r="A337" s="141">
        <f>SUBTOTAL(3,$G$7:G337)</f>
        <v/>
      </c>
      <c r="B337" s="139" t="inlineStr">
        <is>
          <t>Van chỉnh gió lưu lượng không đổi</t>
        </is>
      </c>
      <c r="C337" s="134" t="n"/>
      <c r="D337" s="134" t="inlineStr">
        <is>
          <t>NSCA, Evegreen, Swind, tđ</t>
        </is>
      </c>
      <c r="E337" s="134" t="n"/>
      <c r="F337" s="329" t="n"/>
      <c r="G337" s="383" t="inlineStr">
        <is>
          <t>Cái</t>
        </is>
      </c>
      <c r="H337" s="136" t="n">
        <v>78</v>
      </c>
      <c r="I337" s="136">
        <f>IF('00_TONG_HOP_BAO_GIA'!G326&gt;0, ('00_TONG_HOP_BAO_GIA'!K326 + '00_TONG_HOP_BAO_GIA'!M326) * (1 + '00_TONG_HOP_BAO_GIA'!P326) / '00_TONG_HOP_BAO_GIA'!G326, 0)</f>
        <v/>
      </c>
      <c r="J337" s="136">
        <f>IF('00_TONG_HOP_BAO_GIA'!G326&gt;0, '00_TONG_HOP_BAO_GIA'!L326 * (1 + '00_TONG_HOP_BAO_GIA'!P326) / '00_TONG_HOP_BAO_GIA'!G326, 0)</f>
        <v/>
      </c>
      <c r="K337" s="137">
        <f>'00_TONG_HOP_BAO_GIA'!Q326</f>
        <v/>
      </c>
      <c r="L337" s="137">
        <f>('00_TONG_HOP_BAO_GIA'!K326 + '00_TONG_HOP_BAO_GIA'!M326) * (1 + '00_TONG_HOP_BAO_GIA'!P326)</f>
        <v/>
      </c>
      <c r="M337" s="137">
        <f>'00_TONG_HOP_BAO_GIA'!L326 * (1 + '00_TONG_HOP_BAO_GIA'!P326)</f>
        <v/>
      </c>
      <c r="N337" s="137">
        <f>'00_TONG_HOP_BAO_GIA'!R326</f>
        <v/>
      </c>
      <c r="O337" s="139">
        <f>IF(K337=0, "CẢNH BÁO: Đơn giá = 0. Tra cứu lại Sheet 06!", '00_TONG_HOP_BAO_GIA'!S326)</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83" t="inlineStr">
        <is>
          <t>Cái</t>
        </is>
      </c>
      <c r="H338" s="136" t="n">
        <v>38</v>
      </c>
      <c r="I338" s="136">
        <f>IF('00_TONG_HOP_BAO_GIA'!G327&gt;0, ('00_TONG_HOP_BAO_GIA'!K327 + '00_TONG_HOP_BAO_GIA'!M327) * (1 + '00_TONG_HOP_BAO_GIA'!P327) / '00_TONG_HOP_BAO_GIA'!G327, 0)</f>
        <v/>
      </c>
      <c r="J338" s="136">
        <f>IF('00_TONG_HOP_BAO_GIA'!G327&gt;0, '00_TONG_HOP_BAO_GIA'!L327 * (1 + '00_TONG_HOP_BAO_GIA'!P327) / '00_TONG_HOP_BAO_GIA'!G327, 0)</f>
        <v/>
      </c>
      <c r="K338" s="137">
        <f>'00_TONG_HOP_BAO_GIA'!Q327</f>
        <v/>
      </c>
      <c r="L338" s="137">
        <f>('00_TONG_HOP_BAO_GIA'!K327 + '00_TONG_HOP_BAO_GIA'!M327) * (1 + '00_TONG_HOP_BAO_GIA'!P327)</f>
        <v/>
      </c>
      <c r="M338" s="137">
        <f>'00_TONG_HOP_BAO_GIA'!L327 * (1 + '00_TONG_HOP_BAO_GIA'!P327)</f>
        <v/>
      </c>
      <c r="N338" s="137">
        <f>'00_TONG_HOP_BAO_GIA'!R327</f>
        <v/>
      </c>
      <c r="O338" s="139">
        <f>IF(K338=0, "CẢNH BÁO: Đơn giá = 0. Tra cứu lại Sheet 06!", '00_TONG_HOP_BAO_GIA'!S327)</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83" t="inlineStr">
        <is>
          <t>Cái</t>
        </is>
      </c>
      <c r="H339" s="136" t="n">
        <v>20</v>
      </c>
      <c r="I339" s="136">
        <f>IF('00_TONG_HOP_BAO_GIA'!G328&gt;0, ('00_TONG_HOP_BAO_GIA'!K328 + '00_TONG_HOP_BAO_GIA'!M328) * (1 + '00_TONG_HOP_BAO_GIA'!P328) / '00_TONG_HOP_BAO_GIA'!G328, 0)</f>
        <v/>
      </c>
      <c r="J339" s="136">
        <f>IF('00_TONG_HOP_BAO_GIA'!G328&gt;0, '00_TONG_HOP_BAO_GIA'!L328 * (1 + '00_TONG_HOP_BAO_GIA'!P328) / '00_TONG_HOP_BAO_GIA'!G328, 0)</f>
        <v/>
      </c>
      <c r="K339" s="137">
        <f>'00_TONG_HOP_BAO_GIA'!Q328</f>
        <v/>
      </c>
      <c r="L339" s="137">
        <f>('00_TONG_HOP_BAO_GIA'!K328 + '00_TONG_HOP_BAO_GIA'!M328) * (1 + '00_TONG_HOP_BAO_GIA'!P328)</f>
        <v/>
      </c>
      <c r="M339" s="137">
        <f>'00_TONG_HOP_BAO_GIA'!L328 * (1 + '00_TONG_HOP_BAO_GIA'!P328)</f>
        <v/>
      </c>
      <c r="N339" s="137">
        <f>'00_TONG_HOP_BAO_GIA'!R328</f>
        <v/>
      </c>
      <c r="O339" s="139">
        <f>IF(K339=0, "CẢNH BÁO: Đơn giá = 0. Tra cứu lại Sheet 06!", '00_TONG_HOP_BAO_GIA'!S328)</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83" t="inlineStr">
        <is>
          <t>Cái</t>
        </is>
      </c>
      <c r="H340" s="136" t="n">
        <v>6</v>
      </c>
      <c r="I340" s="136">
        <f>IF('00_TONG_HOP_BAO_GIA'!G329&gt;0, ('00_TONG_HOP_BAO_GIA'!K329 + '00_TONG_HOP_BAO_GIA'!M329) * (1 + '00_TONG_HOP_BAO_GIA'!P329) / '00_TONG_HOP_BAO_GIA'!G329, 0)</f>
        <v/>
      </c>
      <c r="J340" s="136">
        <f>IF('00_TONG_HOP_BAO_GIA'!G329&gt;0, '00_TONG_HOP_BAO_GIA'!L329 * (1 + '00_TONG_HOP_BAO_GIA'!P329) / '00_TONG_HOP_BAO_GIA'!G329, 0)</f>
        <v/>
      </c>
      <c r="K340" s="137">
        <f>'00_TONG_HOP_BAO_GIA'!Q329</f>
        <v/>
      </c>
      <c r="L340" s="137">
        <f>('00_TONG_HOP_BAO_GIA'!K329 + '00_TONG_HOP_BAO_GIA'!M329) * (1 + '00_TONG_HOP_BAO_GIA'!P329)</f>
        <v/>
      </c>
      <c r="M340" s="137">
        <f>'00_TONG_HOP_BAO_GIA'!L329 * (1 + '00_TONG_HOP_BAO_GIA'!P329)</f>
        <v/>
      </c>
      <c r="N340" s="137">
        <f>'00_TONG_HOP_BAO_GIA'!R329</f>
        <v/>
      </c>
      <c r="O340" s="139">
        <f>IF(K340=0, "CẢNH BÁO: Đơn giá = 0. Tra cứu lại Sheet 06!", '00_TONG_HOP_BAO_GIA'!S329)</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83" t="inlineStr">
        <is>
          <t>Cái</t>
        </is>
      </c>
      <c r="H341" s="136" t="n">
        <v>1</v>
      </c>
      <c r="I341" s="136">
        <f>IF('00_TONG_HOP_BAO_GIA'!G330&gt;0, ('00_TONG_HOP_BAO_GIA'!K330 + '00_TONG_HOP_BAO_GIA'!M330) * (1 + '00_TONG_HOP_BAO_GIA'!P330) / '00_TONG_HOP_BAO_GIA'!G330, 0)</f>
        <v/>
      </c>
      <c r="J341" s="136">
        <f>IF('00_TONG_HOP_BAO_GIA'!G330&gt;0, '00_TONG_HOP_BAO_GIA'!L330 * (1 + '00_TONG_HOP_BAO_GIA'!P330) / '00_TONG_HOP_BAO_GIA'!G330, 0)</f>
        <v/>
      </c>
      <c r="K341" s="137">
        <f>'00_TONG_HOP_BAO_GIA'!Q330</f>
        <v/>
      </c>
      <c r="L341" s="137">
        <f>('00_TONG_HOP_BAO_GIA'!K330 + '00_TONG_HOP_BAO_GIA'!M330) * (1 + '00_TONG_HOP_BAO_GIA'!P330)</f>
        <v/>
      </c>
      <c r="M341" s="137">
        <f>'00_TONG_HOP_BAO_GIA'!L330 * (1 + '00_TONG_HOP_BAO_GIA'!P330)</f>
        <v/>
      </c>
      <c r="N341" s="137">
        <f>'00_TONG_HOP_BAO_GIA'!R330</f>
        <v/>
      </c>
      <c r="O341" s="139">
        <f>IF(K341=0, "CẢNH BÁO: Đơn giá = 0. Tra cứu lại Sheet 06!", '00_TONG_HOP_BAO_GIA'!S330)</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83" t="inlineStr">
        <is>
          <t>Cái</t>
        </is>
      </c>
      <c r="H342" s="136" t="n">
        <v>1</v>
      </c>
      <c r="I342" s="136">
        <f>IF('00_TONG_HOP_BAO_GIA'!G331&gt;0, ('00_TONG_HOP_BAO_GIA'!K331 + '00_TONG_HOP_BAO_GIA'!M331) * (1 + '00_TONG_HOP_BAO_GIA'!P331) / '00_TONG_HOP_BAO_GIA'!G331, 0)</f>
        <v/>
      </c>
      <c r="J342" s="136">
        <f>IF('00_TONG_HOP_BAO_GIA'!G331&gt;0, '00_TONG_HOP_BAO_GIA'!L331 * (1 + '00_TONG_HOP_BAO_GIA'!P331) / '00_TONG_HOP_BAO_GIA'!G331, 0)</f>
        <v/>
      </c>
      <c r="K342" s="137">
        <f>'00_TONG_HOP_BAO_GIA'!Q331</f>
        <v/>
      </c>
      <c r="L342" s="137">
        <f>('00_TONG_HOP_BAO_GIA'!K331 + '00_TONG_HOP_BAO_GIA'!M331) * (1 + '00_TONG_HOP_BAO_GIA'!P331)</f>
        <v/>
      </c>
      <c r="M342" s="137">
        <f>'00_TONG_HOP_BAO_GIA'!L331 * (1 + '00_TONG_HOP_BAO_GIA'!P331)</f>
        <v/>
      </c>
      <c r="N342" s="137">
        <f>'00_TONG_HOP_BAO_GIA'!R331</f>
        <v/>
      </c>
      <c r="O342" s="139">
        <f>IF(K342=0, "CẢNH BÁO: Đơn giá = 0. Tra cứu lại Sheet 06!", '00_TONG_HOP_BAO_GIA'!S331)</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83" t="inlineStr">
        <is>
          <t>Cái</t>
        </is>
      </c>
      <c r="H343" s="136" t="n">
        <v>10</v>
      </c>
      <c r="I343" s="136">
        <f>IF('00_TONG_HOP_BAO_GIA'!G332&gt;0, ('00_TONG_HOP_BAO_GIA'!K332 + '00_TONG_HOP_BAO_GIA'!M332) * (1 + '00_TONG_HOP_BAO_GIA'!P332) / '00_TONG_HOP_BAO_GIA'!G332, 0)</f>
        <v/>
      </c>
      <c r="J343" s="136">
        <f>IF('00_TONG_HOP_BAO_GIA'!G332&gt;0, '00_TONG_HOP_BAO_GIA'!L332 * (1 + '00_TONG_HOP_BAO_GIA'!P332) / '00_TONG_HOP_BAO_GIA'!G332, 0)</f>
        <v/>
      </c>
      <c r="K343" s="137">
        <f>'00_TONG_HOP_BAO_GIA'!Q332</f>
        <v/>
      </c>
      <c r="L343" s="137">
        <f>('00_TONG_HOP_BAO_GIA'!K332 + '00_TONG_HOP_BAO_GIA'!M332) * (1 + '00_TONG_HOP_BAO_GIA'!P332)</f>
        <v/>
      </c>
      <c r="M343" s="137">
        <f>'00_TONG_HOP_BAO_GIA'!L332 * (1 + '00_TONG_HOP_BAO_GIA'!P332)</f>
        <v/>
      </c>
      <c r="N343" s="137">
        <f>'00_TONG_HOP_BAO_GIA'!R332</f>
        <v/>
      </c>
      <c r="O343" s="139">
        <f>IF(K343=0, "CẢNH BÁO: Đơn giá = 0. Tra cứu lại Sheet 06!", '00_TONG_HOP_BAO_GIA'!S332)</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83" t="inlineStr">
        <is>
          <t>Cái</t>
        </is>
      </c>
      <c r="H344" s="136" t="n">
        <v>12</v>
      </c>
      <c r="I344" s="136">
        <f>IF('00_TONG_HOP_BAO_GIA'!G333&gt;0, ('00_TONG_HOP_BAO_GIA'!K333 + '00_TONG_HOP_BAO_GIA'!M333) * (1 + '00_TONG_HOP_BAO_GIA'!P333) / '00_TONG_HOP_BAO_GIA'!G333, 0)</f>
        <v/>
      </c>
      <c r="J344" s="136">
        <f>IF('00_TONG_HOP_BAO_GIA'!G333&gt;0, '00_TONG_HOP_BAO_GIA'!L333 * (1 + '00_TONG_HOP_BAO_GIA'!P333) / '00_TONG_HOP_BAO_GIA'!G333, 0)</f>
        <v/>
      </c>
      <c r="K344" s="137">
        <f>'00_TONG_HOP_BAO_GIA'!Q333</f>
        <v/>
      </c>
      <c r="L344" s="137">
        <f>('00_TONG_HOP_BAO_GIA'!K333 + '00_TONG_HOP_BAO_GIA'!M333) * (1 + '00_TONG_HOP_BAO_GIA'!P333)</f>
        <v/>
      </c>
      <c r="M344" s="137">
        <f>'00_TONG_HOP_BAO_GIA'!L333 * (1 + '00_TONG_HOP_BAO_GIA'!P333)</f>
        <v/>
      </c>
      <c r="N344" s="137">
        <f>'00_TONG_HOP_BAO_GIA'!R333</f>
        <v/>
      </c>
      <c r="O344" s="139">
        <f>IF(K344=0, "CẢNH BÁO: Đơn giá = 0. Tra cứu lại Sheet 06!", '00_TONG_HOP_BAO_GIA'!S333)</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83" t="inlineStr">
        <is>
          <t>Cái</t>
        </is>
      </c>
      <c r="H345" s="136" t="n">
        <v>62</v>
      </c>
      <c r="I345" s="136">
        <f>IF('00_TONG_HOP_BAO_GIA'!G334&gt;0, ('00_TONG_HOP_BAO_GIA'!K334 + '00_TONG_HOP_BAO_GIA'!M334) * (1 + '00_TONG_HOP_BAO_GIA'!P334) / '00_TONG_HOP_BAO_GIA'!G334, 0)</f>
        <v/>
      </c>
      <c r="J345" s="136">
        <f>IF('00_TONG_HOP_BAO_GIA'!G334&gt;0, '00_TONG_HOP_BAO_GIA'!L334 * (1 + '00_TONG_HOP_BAO_GIA'!P334) / '00_TONG_HOP_BAO_GIA'!G334, 0)</f>
        <v/>
      </c>
      <c r="K345" s="137">
        <f>'00_TONG_HOP_BAO_GIA'!Q334</f>
        <v/>
      </c>
      <c r="L345" s="137">
        <f>('00_TONG_HOP_BAO_GIA'!K334 + '00_TONG_HOP_BAO_GIA'!M334) * (1 + '00_TONG_HOP_BAO_GIA'!P334)</f>
        <v/>
      </c>
      <c r="M345" s="137">
        <f>'00_TONG_HOP_BAO_GIA'!L334 * (1 + '00_TONG_HOP_BAO_GIA'!P334)</f>
        <v/>
      </c>
      <c r="N345" s="137">
        <f>'00_TONG_HOP_BAO_GIA'!R334</f>
        <v/>
      </c>
      <c r="O345" s="139">
        <f>IF(K345=0, "CẢNH BÁO: Đơn giá = 0. Tra cứu lại Sheet 06!", '00_TONG_HOP_BAO_GIA'!S334)</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83" t="inlineStr">
        <is>
          <t>Cái</t>
        </is>
      </c>
      <c r="H346" s="136" t="n">
        <v>2</v>
      </c>
      <c r="I346" s="136">
        <f>IF('00_TONG_HOP_BAO_GIA'!G335&gt;0, ('00_TONG_HOP_BAO_GIA'!K335 + '00_TONG_HOP_BAO_GIA'!M335) * (1 + '00_TONG_HOP_BAO_GIA'!P335) / '00_TONG_HOP_BAO_GIA'!G335, 0)</f>
        <v/>
      </c>
      <c r="J346" s="136">
        <f>IF('00_TONG_HOP_BAO_GIA'!G335&gt;0, '00_TONG_HOP_BAO_GIA'!L335 * (1 + '00_TONG_HOP_BAO_GIA'!P335) / '00_TONG_HOP_BAO_GIA'!G335, 0)</f>
        <v/>
      </c>
      <c r="K346" s="137">
        <f>'00_TONG_HOP_BAO_GIA'!Q335</f>
        <v/>
      </c>
      <c r="L346" s="137">
        <f>('00_TONG_HOP_BAO_GIA'!K335 + '00_TONG_HOP_BAO_GIA'!M335) * (1 + '00_TONG_HOP_BAO_GIA'!P335)</f>
        <v/>
      </c>
      <c r="M346" s="137">
        <f>'00_TONG_HOP_BAO_GIA'!L335 * (1 + '00_TONG_HOP_BAO_GIA'!P335)</f>
        <v/>
      </c>
      <c r="N346" s="137">
        <f>'00_TONG_HOP_BAO_GIA'!R335</f>
        <v/>
      </c>
      <c r="O346" s="139">
        <f>IF(K346=0, "CẢNH BÁO: Đơn giá = 0. Tra cứu lại Sheet 06!", '00_TONG_HOP_BAO_GIA'!S335)</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83" t="inlineStr">
        <is>
          <t>Cái</t>
        </is>
      </c>
      <c r="H347" s="136" t="n">
        <v>5</v>
      </c>
      <c r="I347" s="136">
        <f>IF('00_TONG_HOP_BAO_GIA'!G336&gt;0, ('00_TONG_HOP_BAO_GIA'!K336 + '00_TONG_HOP_BAO_GIA'!M336) * (1 + '00_TONG_HOP_BAO_GIA'!P336) / '00_TONG_HOP_BAO_GIA'!G336, 0)</f>
        <v/>
      </c>
      <c r="J347" s="136">
        <f>IF('00_TONG_HOP_BAO_GIA'!G336&gt;0, '00_TONG_HOP_BAO_GIA'!L336 * (1 + '00_TONG_HOP_BAO_GIA'!P336) / '00_TONG_HOP_BAO_GIA'!G336, 0)</f>
        <v/>
      </c>
      <c r="K347" s="137">
        <f>'00_TONG_HOP_BAO_GIA'!Q336</f>
        <v/>
      </c>
      <c r="L347" s="137">
        <f>('00_TONG_HOP_BAO_GIA'!K336 + '00_TONG_HOP_BAO_GIA'!M336) * (1 + '00_TONG_HOP_BAO_GIA'!P336)</f>
        <v/>
      </c>
      <c r="M347" s="137">
        <f>'00_TONG_HOP_BAO_GIA'!L336 * (1 + '00_TONG_HOP_BAO_GIA'!P336)</f>
        <v/>
      </c>
      <c r="N347" s="137">
        <f>'00_TONG_HOP_BAO_GIA'!R336</f>
        <v/>
      </c>
      <c r="O347" s="139">
        <f>IF(K347=0, "CẢNH BÁO: Đơn giá = 0. Tra cứu lại Sheet 06!", '00_TONG_HOP_BAO_GIA'!S336)</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83" t="inlineStr">
        <is>
          <t>Cái</t>
        </is>
      </c>
      <c r="H348" s="136" t="n">
        <v>3</v>
      </c>
      <c r="I348" s="136">
        <f>IF('00_TONG_HOP_BAO_GIA'!G337&gt;0, ('00_TONG_HOP_BAO_GIA'!K337 + '00_TONG_HOP_BAO_GIA'!M337) * (1 + '00_TONG_HOP_BAO_GIA'!P337) / '00_TONG_HOP_BAO_GIA'!G337, 0)</f>
        <v/>
      </c>
      <c r="J348" s="136">
        <f>IF('00_TONG_HOP_BAO_GIA'!G337&gt;0, '00_TONG_HOP_BAO_GIA'!L337 * (1 + '00_TONG_HOP_BAO_GIA'!P337) / '00_TONG_HOP_BAO_GIA'!G337, 0)</f>
        <v/>
      </c>
      <c r="K348" s="137">
        <f>'00_TONG_HOP_BAO_GIA'!Q337</f>
        <v/>
      </c>
      <c r="L348" s="137">
        <f>('00_TONG_HOP_BAO_GIA'!K337 + '00_TONG_HOP_BAO_GIA'!M337) * (1 + '00_TONG_HOP_BAO_GIA'!P337)</f>
        <v/>
      </c>
      <c r="M348" s="137">
        <f>'00_TONG_HOP_BAO_GIA'!L337 * (1 + '00_TONG_HOP_BAO_GIA'!P337)</f>
        <v/>
      </c>
      <c r="N348" s="137">
        <f>'00_TONG_HOP_BAO_GIA'!R337</f>
        <v/>
      </c>
      <c r="O348" s="139">
        <f>IF(K348=0, "CẢNH BÁO: Đơn giá = 0. Tra cứu lại Sheet 06!", '00_TONG_HOP_BAO_GIA'!S337)</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83" t="inlineStr">
        <is>
          <t>Cái</t>
        </is>
      </c>
      <c r="H349" s="136" t="n">
        <v>1</v>
      </c>
      <c r="I349" s="136">
        <f>IF('00_TONG_HOP_BAO_GIA'!G338&gt;0, ('00_TONG_HOP_BAO_GIA'!K338 + '00_TONG_HOP_BAO_GIA'!M338) * (1 + '00_TONG_HOP_BAO_GIA'!P338) / '00_TONG_HOP_BAO_GIA'!G338, 0)</f>
        <v/>
      </c>
      <c r="J349" s="136">
        <f>IF('00_TONG_HOP_BAO_GIA'!G338&gt;0, '00_TONG_HOP_BAO_GIA'!L338 * (1 + '00_TONG_HOP_BAO_GIA'!P338) / '00_TONG_HOP_BAO_GIA'!G338, 0)</f>
        <v/>
      </c>
      <c r="K349" s="137">
        <f>'00_TONG_HOP_BAO_GIA'!Q338</f>
        <v/>
      </c>
      <c r="L349" s="137">
        <f>('00_TONG_HOP_BAO_GIA'!K338 + '00_TONG_HOP_BAO_GIA'!M338) * (1 + '00_TONG_HOP_BAO_GIA'!P338)</f>
        <v/>
      </c>
      <c r="M349" s="137">
        <f>'00_TONG_HOP_BAO_GIA'!L338 * (1 + '00_TONG_HOP_BAO_GIA'!P338)</f>
        <v/>
      </c>
      <c r="N349" s="137">
        <f>'00_TONG_HOP_BAO_GIA'!R338</f>
        <v/>
      </c>
      <c r="O349" s="139">
        <f>IF(K349=0, "CẢNH BÁO: Đơn giá = 0. Tra cứu lại Sheet 06!", '00_TONG_HOP_BAO_GIA'!S338)</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83" t="inlineStr">
        <is>
          <t>Cái</t>
        </is>
      </c>
      <c r="H350" s="136" t="n">
        <v>3</v>
      </c>
      <c r="I350" s="136">
        <f>IF('00_TONG_HOP_BAO_GIA'!G339&gt;0, ('00_TONG_HOP_BAO_GIA'!K339 + '00_TONG_HOP_BAO_GIA'!M339) * (1 + '00_TONG_HOP_BAO_GIA'!P339) / '00_TONG_HOP_BAO_GIA'!G339, 0)</f>
        <v/>
      </c>
      <c r="J350" s="136">
        <f>IF('00_TONG_HOP_BAO_GIA'!G339&gt;0, '00_TONG_HOP_BAO_GIA'!L339 * (1 + '00_TONG_HOP_BAO_GIA'!P339) / '00_TONG_HOP_BAO_GIA'!G339, 0)</f>
        <v/>
      </c>
      <c r="K350" s="137">
        <f>'00_TONG_HOP_BAO_GIA'!Q339</f>
        <v/>
      </c>
      <c r="L350" s="137">
        <f>('00_TONG_HOP_BAO_GIA'!K339 + '00_TONG_HOP_BAO_GIA'!M339) * (1 + '00_TONG_HOP_BAO_GIA'!P339)</f>
        <v/>
      </c>
      <c r="M350" s="137">
        <f>'00_TONG_HOP_BAO_GIA'!L339 * (1 + '00_TONG_HOP_BAO_GIA'!P339)</f>
        <v/>
      </c>
      <c r="N350" s="137">
        <f>'00_TONG_HOP_BAO_GIA'!R339</f>
        <v/>
      </c>
      <c r="O350" s="139">
        <f>IF(K350=0, "CẢNH BÁO: Đơn giá = 0. Tra cứu lại Sheet 06!", '00_TONG_HOP_BAO_GIA'!S339)</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83" t="inlineStr">
        <is>
          <t>Cái</t>
        </is>
      </c>
      <c r="H351" s="136" t="n">
        <v>44</v>
      </c>
      <c r="I351" s="136">
        <f>IF('00_TONG_HOP_BAO_GIA'!G340&gt;0, ('00_TONG_HOP_BAO_GIA'!K340 + '00_TONG_HOP_BAO_GIA'!M340) * (1 + '00_TONG_HOP_BAO_GIA'!P340) / '00_TONG_HOP_BAO_GIA'!G340, 0)</f>
        <v/>
      </c>
      <c r="J351" s="136">
        <f>IF('00_TONG_HOP_BAO_GIA'!G340&gt;0, '00_TONG_HOP_BAO_GIA'!L340 * (1 + '00_TONG_HOP_BAO_GIA'!P340) / '00_TONG_HOP_BAO_GIA'!G340, 0)</f>
        <v/>
      </c>
      <c r="K351" s="137">
        <f>'00_TONG_HOP_BAO_GIA'!Q340</f>
        <v/>
      </c>
      <c r="L351" s="137">
        <f>('00_TONG_HOP_BAO_GIA'!K340 + '00_TONG_HOP_BAO_GIA'!M340) * (1 + '00_TONG_HOP_BAO_GIA'!P340)</f>
        <v/>
      </c>
      <c r="M351" s="137">
        <f>'00_TONG_HOP_BAO_GIA'!L340 * (1 + '00_TONG_HOP_BAO_GIA'!P340)</f>
        <v/>
      </c>
      <c r="N351" s="137">
        <f>'00_TONG_HOP_BAO_GIA'!R340</f>
        <v/>
      </c>
      <c r="O351" s="139">
        <f>IF(K351=0, "CẢNH BÁO: Đơn giá = 0. Tra cứu lại Sheet 06!", '00_TONG_HOP_BAO_GIA'!S340)</f>
        <v/>
      </c>
    </row>
    <row r="352" outlineLevel="1">
      <c r="A352" s="141">
        <f>SUBTOTAL(3,$G$7:G352)</f>
        <v/>
      </c>
      <c r="B352" s="139" t="inlineStr">
        <is>
          <t>Louver 300x150 + IS</t>
        </is>
      </c>
      <c r="C352" s="134" t="n"/>
      <c r="D352" s="134" t="inlineStr">
        <is>
          <t>NSCA, Evegreen, Swind, tđ</t>
        </is>
      </c>
      <c r="E352" s="134" t="n"/>
      <c r="F352" s="329" t="n"/>
      <c r="G352" s="383" t="inlineStr">
        <is>
          <t>cáI</t>
        </is>
      </c>
      <c r="H352" s="136" t="n">
        <v>4</v>
      </c>
      <c r="I352" s="136">
        <f>IF('00_TONG_HOP_BAO_GIA'!G341&gt;0, ('00_TONG_HOP_BAO_GIA'!K341 + '00_TONG_HOP_BAO_GIA'!M341) * (1 + '00_TONG_HOP_BAO_GIA'!P341) / '00_TONG_HOP_BAO_GIA'!G341, 0)</f>
        <v/>
      </c>
      <c r="J352" s="136">
        <f>IF('00_TONG_HOP_BAO_GIA'!G341&gt;0, '00_TONG_HOP_BAO_GIA'!L341 * (1 + '00_TONG_HOP_BAO_GIA'!P341) / '00_TONG_HOP_BAO_GIA'!G341, 0)</f>
        <v/>
      </c>
      <c r="K352" s="137">
        <f>'00_TONG_HOP_BAO_GIA'!Q341</f>
        <v/>
      </c>
      <c r="L352" s="137">
        <f>('00_TONG_HOP_BAO_GIA'!K341 + '00_TONG_HOP_BAO_GIA'!M341) * (1 + '00_TONG_HOP_BAO_GIA'!P341)</f>
        <v/>
      </c>
      <c r="M352" s="137">
        <f>'00_TONG_HOP_BAO_GIA'!L341 * (1 + '00_TONG_HOP_BAO_GIA'!P341)</f>
        <v/>
      </c>
      <c r="N352" s="137">
        <f>'00_TONG_HOP_BAO_GIA'!R341</f>
        <v/>
      </c>
      <c r="O352" s="139">
        <f>IF(K352=0, "CẢNH BÁO: Đơn giá = 0. Tra cứu lại Sheet 06!", '00_TONG_HOP_BAO_GIA'!S341)</f>
        <v/>
      </c>
    </row>
    <row r="353" outlineLevel="1">
      <c r="A353" s="141">
        <f>SUBTOTAL(3,$G$7:G353)</f>
        <v/>
      </c>
      <c r="B353" s="139" t="inlineStr">
        <is>
          <t>Louver 400x150 + IS</t>
        </is>
      </c>
      <c r="C353" s="134" t="n"/>
      <c r="D353" s="134" t="inlineStr">
        <is>
          <t>NSCA, Evegreen, Swind, tđ</t>
        </is>
      </c>
      <c r="E353" s="134" t="n"/>
      <c r="F353" s="329" t="n"/>
      <c r="G353" s="383" t="inlineStr">
        <is>
          <t>cáI</t>
        </is>
      </c>
      <c r="H353" s="136" t="n">
        <v>2</v>
      </c>
      <c r="I353" s="136">
        <f>IF('00_TONG_HOP_BAO_GIA'!G342&gt;0, ('00_TONG_HOP_BAO_GIA'!K342 + '00_TONG_HOP_BAO_GIA'!M342) * (1 + '00_TONG_HOP_BAO_GIA'!P342) / '00_TONG_HOP_BAO_GIA'!G342, 0)</f>
        <v/>
      </c>
      <c r="J353" s="136">
        <f>IF('00_TONG_HOP_BAO_GIA'!G342&gt;0, '00_TONG_HOP_BAO_GIA'!L342 * (1 + '00_TONG_HOP_BAO_GIA'!P342) / '00_TONG_HOP_BAO_GIA'!G342, 0)</f>
        <v/>
      </c>
      <c r="K353" s="137">
        <f>'00_TONG_HOP_BAO_GIA'!Q342</f>
        <v/>
      </c>
      <c r="L353" s="137">
        <f>('00_TONG_HOP_BAO_GIA'!K342 + '00_TONG_HOP_BAO_GIA'!M342) * (1 + '00_TONG_HOP_BAO_GIA'!P342)</f>
        <v/>
      </c>
      <c r="M353" s="137">
        <f>'00_TONG_HOP_BAO_GIA'!L342 * (1 + '00_TONG_HOP_BAO_GIA'!P342)</f>
        <v/>
      </c>
      <c r="N353" s="137">
        <f>'00_TONG_HOP_BAO_GIA'!R342</f>
        <v/>
      </c>
      <c r="O353" s="139">
        <f>IF(K353=0, "CẢNH BÁO: Đơn giá = 0. Tra cứu lại Sheet 06!", '00_TONG_HOP_BAO_GIA'!S342)</f>
        <v/>
      </c>
    </row>
    <row r="354" outlineLevel="1">
      <c r="A354" s="141">
        <f>SUBTOTAL(3,$G$7:G354)</f>
        <v/>
      </c>
      <c r="B354" s="139" t="inlineStr">
        <is>
          <t>Louver 800x250 + IS</t>
        </is>
      </c>
      <c r="C354" s="134" t="n"/>
      <c r="D354" s="134" t="inlineStr">
        <is>
          <t>NSCA, Evegreen, Swind, tđ</t>
        </is>
      </c>
      <c r="E354" s="134" t="n"/>
      <c r="F354" s="329" t="n"/>
      <c r="G354" s="383" t="inlineStr">
        <is>
          <t>cáI</t>
        </is>
      </c>
      <c r="H354" s="136" t="n">
        <v>1</v>
      </c>
      <c r="I354" s="136">
        <f>IF('00_TONG_HOP_BAO_GIA'!G343&gt;0, ('00_TONG_HOP_BAO_GIA'!K343 + '00_TONG_HOP_BAO_GIA'!M343) * (1 + '00_TONG_HOP_BAO_GIA'!P343) / '00_TONG_HOP_BAO_GIA'!G343, 0)</f>
        <v/>
      </c>
      <c r="J354" s="136">
        <f>IF('00_TONG_HOP_BAO_GIA'!G343&gt;0, '00_TONG_HOP_BAO_GIA'!L343 * (1 + '00_TONG_HOP_BAO_GIA'!P343) / '00_TONG_HOP_BAO_GIA'!G343, 0)</f>
        <v/>
      </c>
      <c r="K354" s="137">
        <f>'00_TONG_HOP_BAO_GIA'!Q343</f>
        <v/>
      </c>
      <c r="L354" s="137">
        <f>('00_TONG_HOP_BAO_GIA'!K343 + '00_TONG_HOP_BAO_GIA'!M343) * (1 + '00_TONG_HOP_BAO_GIA'!P343)</f>
        <v/>
      </c>
      <c r="M354" s="137">
        <f>'00_TONG_HOP_BAO_GIA'!L343 * (1 + '00_TONG_HOP_BAO_GIA'!P343)</f>
        <v/>
      </c>
      <c r="N354" s="137">
        <f>'00_TONG_HOP_BAO_GIA'!R343</f>
        <v/>
      </c>
      <c r="O354" s="139">
        <f>IF(K354=0, "CẢNH BÁO: Đơn giá = 0. Tra cứu lại Sheet 06!", '00_TONG_HOP_BAO_GIA'!S343)</f>
        <v/>
      </c>
    </row>
    <row r="355" outlineLevel="1">
      <c r="A355" s="141">
        <f>SUBTOTAL(3,$G$7:G355)</f>
        <v/>
      </c>
      <c r="B355" s="139" t="inlineStr">
        <is>
          <t>Louver 1200x350 + IS</t>
        </is>
      </c>
      <c r="C355" s="134" t="n"/>
      <c r="D355" s="134" t="inlineStr">
        <is>
          <t>NSCA, Evegreen, Swind, tđ</t>
        </is>
      </c>
      <c r="E355" s="134" t="n"/>
      <c r="F355" s="329" t="n"/>
      <c r="G355" s="383" t="inlineStr">
        <is>
          <t>cáI</t>
        </is>
      </c>
      <c r="H355" s="136" t="n">
        <v>1</v>
      </c>
      <c r="I355" s="136">
        <f>IF('00_TONG_HOP_BAO_GIA'!G344&gt;0, ('00_TONG_HOP_BAO_GIA'!K344 + '00_TONG_HOP_BAO_GIA'!M344) * (1 + '00_TONG_HOP_BAO_GIA'!P344) / '00_TONG_HOP_BAO_GIA'!G344, 0)</f>
        <v/>
      </c>
      <c r="J355" s="136">
        <f>IF('00_TONG_HOP_BAO_GIA'!G344&gt;0, '00_TONG_HOP_BAO_GIA'!L344 * (1 + '00_TONG_HOP_BAO_GIA'!P344) / '00_TONG_HOP_BAO_GIA'!G344, 0)</f>
        <v/>
      </c>
      <c r="K355" s="137">
        <f>'00_TONG_HOP_BAO_GIA'!Q344</f>
        <v/>
      </c>
      <c r="L355" s="137">
        <f>('00_TONG_HOP_BAO_GIA'!K344 + '00_TONG_HOP_BAO_GIA'!M344) * (1 + '00_TONG_HOP_BAO_GIA'!P344)</f>
        <v/>
      </c>
      <c r="M355" s="137">
        <f>'00_TONG_HOP_BAO_GIA'!L344 * (1 + '00_TONG_HOP_BAO_GIA'!P344)</f>
        <v/>
      </c>
      <c r="N355" s="137">
        <f>'00_TONG_HOP_BAO_GIA'!R344</f>
        <v/>
      </c>
      <c r="O355" s="139">
        <f>IF(K355=0, "CẢNH BÁO: Đơn giá = 0. Tra cứu lại Sheet 06!", '00_TONG_HOP_BAO_GIA'!S344)</f>
        <v/>
      </c>
    </row>
    <row r="356" outlineLevel="1">
      <c r="A356" s="141">
        <f>SUBTOTAL(3,$G$7:G356)</f>
        <v/>
      </c>
      <c r="B356" s="139" t="inlineStr">
        <is>
          <t>Louver 1000x300 + IS</t>
        </is>
      </c>
      <c r="C356" s="134" t="n"/>
      <c r="D356" s="134" t="inlineStr">
        <is>
          <t>NSCA, Evegreen, Swind, tđ</t>
        </is>
      </c>
      <c r="E356" s="134" t="n"/>
      <c r="F356" s="329" t="n"/>
      <c r="G356" s="383" t="inlineStr">
        <is>
          <t>cáI</t>
        </is>
      </c>
      <c r="H356" s="136" t="n">
        <v>1</v>
      </c>
      <c r="I356" s="136">
        <f>IF('00_TONG_HOP_BAO_GIA'!G345&gt;0, ('00_TONG_HOP_BAO_GIA'!K345 + '00_TONG_HOP_BAO_GIA'!M345) * (1 + '00_TONG_HOP_BAO_GIA'!P345) / '00_TONG_HOP_BAO_GIA'!G345, 0)</f>
        <v/>
      </c>
      <c r="J356" s="136">
        <f>IF('00_TONG_HOP_BAO_GIA'!G345&gt;0, '00_TONG_HOP_BAO_GIA'!L345 * (1 + '00_TONG_HOP_BAO_GIA'!P345) / '00_TONG_HOP_BAO_GIA'!G345, 0)</f>
        <v/>
      </c>
      <c r="K356" s="137">
        <f>'00_TONG_HOP_BAO_GIA'!Q345</f>
        <v/>
      </c>
      <c r="L356" s="137">
        <f>('00_TONG_HOP_BAO_GIA'!K345 + '00_TONG_HOP_BAO_GIA'!M345) * (1 + '00_TONG_HOP_BAO_GIA'!P345)</f>
        <v/>
      </c>
      <c r="M356" s="137">
        <f>'00_TONG_HOP_BAO_GIA'!L345 * (1 + '00_TONG_HOP_BAO_GIA'!P345)</f>
        <v/>
      </c>
      <c r="N356" s="137">
        <f>'00_TONG_HOP_BAO_GIA'!R345</f>
        <v/>
      </c>
      <c r="O356" s="139">
        <f>IF(K356=0, "CẢNH BÁO: Đơn giá = 0. Tra cứu lại Sheet 06!", '00_TONG_HOP_BAO_GIA'!S345)</f>
        <v/>
      </c>
    </row>
    <row r="357" outlineLevel="1">
      <c r="A357" s="141">
        <f>SUBTOTAL(3,$G$7:G357)</f>
        <v/>
      </c>
      <c r="B357" s="139" t="inlineStr">
        <is>
          <t>Louver 800x300 + IS</t>
        </is>
      </c>
      <c r="C357" s="134" t="n"/>
      <c r="D357" s="134" t="inlineStr">
        <is>
          <t>NSCA, Evegreen, Swind, tđ</t>
        </is>
      </c>
      <c r="E357" s="134" t="n"/>
      <c r="F357" s="329" t="n"/>
      <c r="G357" s="383" t="inlineStr">
        <is>
          <t>cáI</t>
        </is>
      </c>
      <c r="H357" s="136" t="n">
        <v>1</v>
      </c>
      <c r="I357" s="136">
        <f>IF('00_TONG_HOP_BAO_GIA'!G346&gt;0, ('00_TONG_HOP_BAO_GIA'!K346 + '00_TONG_HOP_BAO_GIA'!M346) * (1 + '00_TONG_HOP_BAO_GIA'!P346) / '00_TONG_HOP_BAO_GIA'!G346, 0)</f>
        <v/>
      </c>
      <c r="J357" s="136">
        <f>IF('00_TONG_HOP_BAO_GIA'!G346&gt;0, '00_TONG_HOP_BAO_GIA'!L346 * (1 + '00_TONG_HOP_BAO_GIA'!P346) / '00_TONG_HOP_BAO_GIA'!G346, 0)</f>
        <v/>
      </c>
      <c r="K357" s="137">
        <f>'00_TONG_HOP_BAO_GIA'!Q346</f>
        <v/>
      </c>
      <c r="L357" s="137">
        <f>('00_TONG_HOP_BAO_GIA'!K346 + '00_TONG_HOP_BAO_GIA'!M346) * (1 + '00_TONG_HOP_BAO_GIA'!P346)</f>
        <v/>
      </c>
      <c r="M357" s="137">
        <f>'00_TONG_HOP_BAO_GIA'!L346 * (1 + '00_TONG_HOP_BAO_GIA'!P346)</f>
        <v/>
      </c>
      <c r="N357" s="137">
        <f>'00_TONG_HOP_BAO_GIA'!R346</f>
        <v/>
      </c>
      <c r="O357" s="139">
        <f>IF(K357=0, "CẢNH BÁO: Đơn giá = 0. Tra cứu lại Sheet 06!", '00_TONG_HOP_BAO_GIA'!S346)</f>
        <v/>
      </c>
    </row>
    <row r="358" outlineLevel="1">
      <c r="A358" s="141">
        <f>SUBTOTAL(3,$G$7:G358)</f>
        <v/>
      </c>
      <c r="B358" s="139" t="inlineStr">
        <is>
          <t>Louver 400x200 + IS</t>
        </is>
      </c>
      <c r="C358" s="134" t="n"/>
      <c r="D358" s="134" t="inlineStr">
        <is>
          <t>NSCA, Evegreen, Swind, tđ</t>
        </is>
      </c>
      <c r="E358" s="134" t="n"/>
      <c r="F358" s="329" t="n"/>
      <c r="G358" s="383" t="inlineStr">
        <is>
          <t>cáI</t>
        </is>
      </c>
      <c r="H358" s="136" t="n">
        <v>1</v>
      </c>
      <c r="I358" s="136">
        <f>IF('00_TONG_HOP_BAO_GIA'!G347&gt;0, ('00_TONG_HOP_BAO_GIA'!K347 + '00_TONG_HOP_BAO_GIA'!M347) * (1 + '00_TONG_HOP_BAO_GIA'!P347) / '00_TONG_HOP_BAO_GIA'!G347, 0)</f>
        <v/>
      </c>
      <c r="J358" s="136">
        <f>IF('00_TONG_HOP_BAO_GIA'!G347&gt;0, '00_TONG_HOP_BAO_GIA'!L347 * (1 + '00_TONG_HOP_BAO_GIA'!P347) / '00_TONG_HOP_BAO_GIA'!G347, 0)</f>
        <v/>
      </c>
      <c r="K358" s="137">
        <f>'00_TONG_HOP_BAO_GIA'!Q347</f>
        <v/>
      </c>
      <c r="L358" s="137">
        <f>('00_TONG_HOP_BAO_GIA'!K347 + '00_TONG_HOP_BAO_GIA'!M347) * (1 + '00_TONG_HOP_BAO_GIA'!P347)</f>
        <v/>
      </c>
      <c r="M358" s="137">
        <f>'00_TONG_HOP_BAO_GIA'!L347 * (1 + '00_TONG_HOP_BAO_GIA'!P347)</f>
        <v/>
      </c>
      <c r="N358" s="137">
        <f>'00_TONG_HOP_BAO_GIA'!R347</f>
        <v/>
      </c>
      <c r="O358" s="139">
        <f>IF(K358=0, "CẢNH BÁO: Đơn giá = 0. Tra cứu lại Sheet 06!", '00_TONG_HOP_BAO_GIA'!S347)</f>
        <v/>
      </c>
    </row>
    <row r="359" outlineLevel="1">
      <c r="A359" s="141">
        <f>SUBTOTAL(3,$G$7:G359)</f>
        <v/>
      </c>
      <c r="B359" s="139" t="inlineStr">
        <is>
          <t>Louver 300x200 + IS</t>
        </is>
      </c>
      <c r="C359" s="134" t="n"/>
      <c r="D359" s="134" t="inlineStr">
        <is>
          <t>NSCA, Evegreen, Swind, tđ</t>
        </is>
      </c>
      <c r="E359" s="134" t="n"/>
      <c r="F359" s="329" t="n"/>
      <c r="G359" s="383" t="inlineStr">
        <is>
          <t>cáI</t>
        </is>
      </c>
      <c r="H359" s="136" t="n">
        <v>2</v>
      </c>
      <c r="I359" s="136">
        <f>IF('00_TONG_HOP_BAO_GIA'!G348&gt;0, ('00_TONG_HOP_BAO_GIA'!K348 + '00_TONG_HOP_BAO_GIA'!M348) * (1 + '00_TONG_HOP_BAO_GIA'!P348) / '00_TONG_HOP_BAO_GIA'!G348, 0)</f>
        <v/>
      </c>
      <c r="J359" s="136">
        <f>IF('00_TONG_HOP_BAO_GIA'!G348&gt;0, '00_TONG_HOP_BAO_GIA'!L348 * (1 + '00_TONG_HOP_BAO_GIA'!P348) / '00_TONG_HOP_BAO_GIA'!G348, 0)</f>
        <v/>
      </c>
      <c r="K359" s="137">
        <f>'00_TONG_HOP_BAO_GIA'!Q348</f>
        <v/>
      </c>
      <c r="L359" s="137">
        <f>('00_TONG_HOP_BAO_GIA'!K348 + '00_TONG_HOP_BAO_GIA'!M348) * (1 + '00_TONG_HOP_BAO_GIA'!P348)</f>
        <v/>
      </c>
      <c r="M359" s="137">
        <f>'00_TONG_HOP_BAO_GIA'!L348 * (1 + '00_TONG_HOP_BAO_GIA'!P348)</f>
        <v/>
      </c>
      <c r="N359" s="137">
        <f>'00_TONG_HOP_BAO_GIA'!R348</f>
        <v/>
      </c>
      <c r="O359" s="139">
        <f>IF(K359=0, "CẢNH BÁO: Đơn giá = 0. Tra cứu lại Sheet 06!", '00_TONG_HOP_BAO_GIA'!S348)</f>
        <v/>
      </c>
    </row>
    <row r="360" outlineLevel="1">
      <c r="A360" s="141">
        <f>SUBTOTAL(3,$G$7:G360)</f>
        <v/>
      </c>
      <c r="B360" s="139" t="inlineStr">
        <is>
          <t>Louver 1200x650 + IS</t>
        </is>
      </c>
      <c r="C360" s="134" t="n"/>
      <c r="D360" s="134" t="inlineStr">
        <is>
          <t>NSCA, Evegreen, Swind, tđ</t>
        </is>
      </c>
      <c r="E360" s="134" t="n"/>
      <c r="F360" s="329" t="n"/>
      <c r="G360" s="383" t="inlineStr">
        <is>
          <t>cáI</t>
        </is>
      </c>
      <c r="H360" s="136" t="n">
        <v>2</v>
      </c>
      <c r="I360" s="136">
        <f>IF('00_TONG_HOP_BAO_GIA'!G349&gt;0, ('00_TONG_HOP_BAO_GIA'!K349 + '00_TONG_HOP_BAO_GIA'!M349) * (1 + '00_TONG_HOP_BAO_GIA'!P349) / '00_TONG_HOP_BAO_GIA'!G349, 0)</f>
        <v/>
      </c>
      <c r="J360" s="136">
        <f>IF('00_TONG_HOP_BAO_GIA'!G349&gt;0, '00_TONG_HOP_BAO_GIA'!L349 * (1 + '00_TONG_HOP_BAO_GIA'!P349) / '00_TONG_HOP_BAO_GIA'!G349, 0)</f>
        <v/>
      </c>
      <c r="K360" s="137">
        <f>'00_TONG_HOP_BAO_GIA'!Q349</f>
        <v/>
      </c>
      <c r="L360" s="137">
        <f>('00_TONG_HOP_BAO_GIA'!K349 + '00_TONG_HOP_BAO_GIA'!M349) * (1 + '00_TONG_HOP_BAO_GIA'!P349)</f>
        <v/>
      </c>
      <c r="M360" s="137">
        <f>'00_TONG_HOP_BAO_GIA'!L349 * (1 + '00_TONG_HOP_BAO_GIA'!P349)</f>
        <v/>
      </c>
      <c r="N360" s="137">
        <f>'00_TONG_HOP_BAO_GIA'!R349</f>
        <v/>
      </c>
      <c r="O360" s="139">
        <f>IF(K360=0, "CẢNH BÁO: Đơn giá = 0. Tra cứu lại Sheet 06!", '00_TONG_HOP_BAO_GIA'!S349)</f>
        <v/>
      </c>
    </row>
    <row r="361" outlineLevel="1">
      <c r="A361" s="132" t="n"/>
      <c r="B361" s="140" t="inlineStr">
        <is>
          <t>Hệ thống ống thông gió hút gió thải</t>
        </is>
      </c>
      <c r="C361" s="134" t="n"/>
      <c r="D361" s="134" t="n"/>
      <c r="E361" s="134" t="n"/>
      <c r="F361" s="329" t="inlineStr">
        <is>
          <t>M</t>
        </is>
      </c>
      <c r="G361" s="383"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83" t="inlineStr">
        <is>
          <t>m2</t>
        </is>
      </c>
      <c r="H362" s="136" t="n">
        <v>3490.998</v>
      </c>
      <c r="I362" s="136">
        <f>IF('00_TONG_HOP_BAO_GIA'!G350&gt;0, ('00_TONG_HOP_BAO_GIA'!K350 + '00_TONG_HOP_BAO_GIA'!M350) * (1 + '00_TONG_HOP_BAO_GIA'!P350) / '00_TONG_HOP_BAO_GIA'!G350, 0)</f>
        <v/>
      </c>
      <c r="J362" s="136">
        <f>IF('00_TONG_HOP_BAO_GIA'!G350&gt;0, '00_TONG_HOP_BAO_GIA'!L350 * (1 + '00_TONG_HOP_BAO_GIA'!P350) / '00_TONG_HOP_BAO_GIA'!G350, 0)</f>
        <v/>
      </c>
      <c r="K362" s="137">
        <f>'00_TONG_HOP_BAO_GIA'!Q350</f>
        <v/>
      </c>
      <c r="L362" s="137">
        <f>('00_TONG_HOP_BAO_GIA'!K350 + '00_TONG_HOP_BAO_GIA'!M350) * (1 + '00_TONG_HOP_BAO_GIA'!P350)</f>
        <v/>
      </c>
      <c r="M362" s="137">
        <f>'00_TONG_HOP_BAO_GIA'!L350 * (1 + '00_TONG_HOP_BAO_GIA'!P350)</f>
        <v/>
      </c>
      <c r="N362" s="137">
        <f>'00_TONG_HOP_BAO_GIA'!R350</f>
        <v/>
      </c>
      <c r="O362" s="139">
        <f>IF(K362=0, "CẢNH BÁO: Đơn giá = 0. Tra cứu lại Sheet 06!", '00_TONG_HOP_BAO_GIA'!S350)</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83" t="inlineStr">
        <is>
          <t>m2</t>
        </is>
      </c>
      <c r="H363" s="136" t="n">
        <v>724.48</v>
      </c>
      <c r="I363" s="136">
        <f>IF('00_TONG_HOP_BAO_GIA'!G351&gt;0, ('00_TONG_HOP_BAO_GIA'!K351 + '00_TONG_HOP_BAO_GIA'!M351) * (1 + '00_TONG_HOP_BAO_GIA'!P351) / '00_TONG_HOP_BAO_GIA'!G351, 0)</f>
        <v/>
      </c>
      <c r="J363" s="136">
        <f>IF('00_TONG_HOP_BAO_GIA'!G351&gt;0, '00_TONG_HOP_BAO_GIA'!L351 * (1 + '00_TONG_HOP_BAO_GIA'!P351) / '00_TONG_HOP_BAO_GIA'!G351, 0)</f>
        <v/>
      </c>
      <c r="K363" s="137">
        <f>'00_TONG_HOP_BAO_GIA'!Q351</f>
        <v/>
      </c>
      <c r="L363" s="137">
        <f>('00_TONG_HOP_BAO_GIA'!K351 + '00_TONG_HOP_BAO_GIA'!M351) * (1 + '00_TONG_HOP_BAO_GIA'!P351)</f>
        <v/>
      </c>
      <c r="M363" s="137">
        <f>'00_TONG_HOP_BAO_GIA'!L351 * (1 + '00_TONG_HOP_BAO_GIA'!P351)</f>
        <v/>
      </c>
      <c r="N363" s="137">
        <f>'00_TONG_HOP_BAO_GIA'!R351</f>
        <v/>
      </c>
      <c r="O363" s="139">
        <f>IF(K363=0, "CẢNH BÁO: Đơn giá = 0. Tra cứu lại Sheet 06!", '00_TONG_HOP_BAO_GIA'!S351)</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83" t="inlineStr">
        <is>
          <t>m2</t>
        </is>
      </c>
      <c r="H364" s="136" t="n">
        <v>134</v>
      </c>
      <c r="I364" s="136">
        <f>IF('00_TONG_HOP_BAO_GIA'!G352&gt;0, ('00_TONG_HOP_BAO_GIA'!K352 + '00_TONG_HOP_BAO_GIA'!M352) * (1 + '00_TONG_HOP_BAO_GIA'!P352) / '00_TONG_HOP_BAO_GIA'!G352, 0)</f>
        <v/>
      </c>
      <c r="J364" s="136">
        <f>IF('00_TONG_HOP_BAO_GIA'!G352&gt;0, '00_TONG_HOP_BAO_GIA'!L352 * (1 + '00_TONG_HOP_BAO_GIA'!P352) / '00_TONG_HOP_BAO_GIA'!G352, 0)</f>
        <v/>
      </c>
      <c r="K364" s="137">
        <f>'00_TONG_HOP_BAO_GIA'!Q352</f>
        <v/>
      </c>
      <c r="L364" s="137">
        <f>('00_TONG_HOP_BAO_GIA'!K352 + '00_TONG_HOP_BAO_GIA'!M352) * (1 + '00_TONG_HOP_BAO_GIA'!P352)</f>
        <v/>
      </c>
      <c r="M364" s="137">
        <f>'00_TONG_HOP_BAO_GIA'!L352 * (1 + '00_TONG_HOP_BAO_GIA'!P352)</f>
        <v/>
      </c>
      <c r="N364" s="137">
        <f>'00_TONG_HOP_BAO_GIA'!R352</f>
        <v/>
      </c>
      <c r="O364" s="139">
        <f>IF(K364=0, "CẢNH BÁO: Đơn giá = 0. Tra cứu lại Sheet 06!", '00_TONG_HOP_BAO_GIA'!S352)</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83" t="inlineStr">
        <is>
          <t>m</t>
        </is>
      </c>
      <c r="H365" s="136" t="n">
        <v>42.5</v>
      </c>
      <c r="I365" s="136">
        <f>IF('00_TONG_HOP_BAO_GIA'!G353&gt;0, ('00_TONG_HOP_BAO_GIA'!K353 + '00_TONG_HOP_BAO_GIA'!M353) * (1 + '00_TONG_HOP_BAO_GIA'!P353) / '00_TONG_HOP_BAO_GIA'!G353, 0)</f>
        <v/>
      </c>
      <c r="J365" s="136">
        <f>IF('00_TONG_HOP_BAO_GIA'!G353&gt;0, '00_TONG_HOP_BAO_GIA'!L353 * (1 + '00_TONG_HOP_BAO_GIA'!P353) / '00_TONG_HOP_BAO_GIA'!G353, 0)</f>
        <v/>
      </c>
      <c r="K365" s="137">
        <f>'00_TONG_HOP_BAO_GIA'!Q353</f>
        <v/>
      </c>
      <c r="L365" s="137">
        <f>('00_TONG_HOP_BAO_GIA'!K353 + '00_TONG_HOP_BAO_GIA'!M353) * (1 + '00_TONG_HOP_BAO_GIA'!P353)</f>
        <v/>
      </c>
      <c r="M365" s="137">
        <f>'00_TONG_HOP_BAO_GIA'!L353 * (1 + '00_TONG_HOP_BAO_GIA'!P353)</f>
        <v/>
      </c>
      <c r="N365" s="137">
        <f>'00_TONG_HOP_BAO_GIA'!R353</f>
        <v/>
      </c>
      <c r="O365" s="139">
        <f>IF(K365=0, "CẢNH BÁO: Đơn giá = 0. Tra cứu lại Sheet 06!", '00_TONG_HOP_BAO_GIA'!S353)</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83" t="inlineStr">
        <is>
          <t>m</t>
        </is>
      </c>
      <c r="H366" s="136" t="n">
        <v>150</v>
      </c>
      <c r="I366" s="136">
        <f>IF('00_TONG_HOP_BAO_GIA'!G354&gt;0, ('00_TONG_HOP_BAO_GIA'!K354 + '00_TONG_HOP_BAO_GIA'!M354) * (1 + '00_TONG_HOP_BAO_GIA'!P354) / '00_TONG_HOP_BAO_GIA'!G354, 0)</f>
        <v/>
      </c>
      <c r="J366" s="136">
        <f>IF('00_TONG_HOP_BAO_GIA'!G354&gt;0, '00_TONG_HOP_BAO_GIA'!L354 * (1 + '00_TONG_HOP_BAO_GIA'!P354) / '00_TONG_HOP_BAO_GIA'!G354, 0)</f>
        <v/>
      </c>
      <c r="K366" s="137">
        <f>'00_TONG_HOP_BAO_GIA'!Q354</f>
        <v/>
      </c>
      <c r="L366" s="137">
        <f>('00_TONG_HOP_BAO_GIA'!K354 + '00_TONG_HOP_BAO_GIA'!M354) * (1 + '00_TONG_HOP_BAO_GIA'!P354)</f>
        <v/>
      </c>
      <c r="M366" s="137">
        <f>'00_TONG_HOP_BAO_GIA'!L354 * (1 + '00_TONG_HOP_BAO_GIA'!P354)</f>
        <v/>
      </c>
      <c r="N366" s="137">
        <f>'00_TONG_HOP_BAO_GIA'!R354</f>
        <v/>
      </c>
      <c r="O366" s="139">
        <f>IF(K366=0, "CẢNH BÁO: Đơn giá = 0. Tra cứu lại Sheet 06!", '00_TONG_HOP_BAO_GIA'!S354)</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83"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83" t="inlineStr">
        <is>
          <t>Lô</t>
        </is>
      </c>
      <c r="H368" s="136" t="n">
        <v>1</v>
      </c>
      <c r="I368" s="136">
        <f>IF('00_TONG_HOP_BAO_GIA'!G355&gt;0, ('00_TONG_HOP_BAO_GIA'!K355 + '00_TONG_HOP_BAO_GIA'!M355) * (1 + '00_TONG_HOP_BAO_GIA'!P355) / '00_TONG_HOP_BAO_GIA'!G355, 0)</f>
        <v/>
      </c>
      <c r="J368" s="136">
        <f>IF('00_TONG_HOP_BAO_GIA'!G355&gt;0, '00_TONG_HOP_BAO_GIA'!L355 * (1 + '00_TONG_HOP_BAO_GIA'!P355) / '00_TONG_HOP_BAO_GIA'!G355, 0)</f>
        <v/>
      </c>
      <c r="K368" s="137">
        <f>'00_TONG_HOP_BAO_GIA'!Q355</f>
        <v/>
      </c>
      <c r="L368" s="137">
        <f>('00_TONG_HOP_BAO_GIA'!K355 + '00_TONG_HOP_BAO_GIA'!M355) * (1 + '00_TONG_HOP_BAO_GIA'!P355)</f>
        <v/>
      </c>
      <c r="M368" s="137">
        <f>'00_TONG_HOP_BAO_GIA'!L355 * (1 + '00_TONG_HOP_BAO_GIA'!P355)</f>
        <v/>
      </c>
      <c r="N368" s="137">
        <f>'00_TONG_HOP_BAO_GIA'!R355</f>
        <v/>
      </c>
      <c r="O368" s="139">
        <f>IF(K368=0, "CẢNH BÁO: Đơn giá = 0. Tra cứu lại Sheet 06!", '00_TONG_HOP_BAO_GIA'!S355)</f>
        <v/>
      </c>
    </row>
    <row r="369" outlineLevel="1">
      <c r="A369" s="141" t="n"/>
      <c r="B369" s="140" t="inlineStr">
        <is>
          <t>Hệ thống ống thông gió hút bếp</t>
        </is>
      </c>
      <c r="C369" s="134" t="n"/>
      <c r="D369" s="134" t="n"/>
      <c r="E369" s="134" t="n"/>
      <c r="F369" s="329" t="inlineStr">
        <is>
          <t>M</t>
        </is>
      </c>
      <c r="G369" s="383"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83" t="inlineStr">
        <is>
          <t>m2</t>
        </is>
      </c>
      <c r="H370" s="136" t="n">
        <v>1630.01</v>
      </c>
      <c r="I370" s="136">
        <f>IF('00_TONG_HOP_BAO_GIA'!G356&gt;0, ('00_TONG_HOP_BAO_GIA'!K356 + '00_TONG_HOP_BAO_GIA'!M356) * (1 + '00_TONG_HOP_BAO_GIA'!P356) / '00_TONG_HOP_BAO_GIA'!G356, 0)</f>
        <v/>
      </c>
      <c r="J370" s="136">
        <f>IF('00_TONG_HOP_BAO_GIA'!G356&gt;0, '00_TONG_HOP_BAO_GIA'!L356 * (1 + '00_TONG_HOP_BAO_GIA'!P356) / '00_TONG_HOP_BAO_GIA'!G356, 0)</f>
        <v/>
      </c>
      <c r="K370" s="137">
        <f>'00_TONG_HOP_BAO_GIA'!Q356</f>
        <v/>
      </c>
      <c r="L370" s="137">
        <f>('00_TONG_HOP_BAO_GIA'!K356 + '00_TONG_HOP_BAO_GIA'!M356) * (1 + '00_TONG_HOP_BAO_GIA'!P356)</f>
        <v/>
      </c>
      <c r="M370" s="137">
        <f>'00_TONG_HOP_BAO_GIA'!L356 * (1 + '00_TONG_HOP_BAO_GIA'!P356)</f>
        <v/>
      </c>
      <c r="N370" s="137">
        <f>'00_TONG_HOP_BAO_GIA'!R356</f>
        <v/>
      </c>
      <c r="O370" s="139">
        <f>IF(K370=0, "CẢNH BÁO: Đơn giá = 0. Tra cứu lại Sheet 06!", '00_TONG_HOP_BAO_GIA'!S356)</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83" t="inlineStr">
        <is>
          <t>m2</t>
        </is>
      </c>
      <c r="H371" s="136" t="n">
        <v>153.35</v>
      </c>
      <c r="I371" s="136">
        <f>IF('00_TONG_HOP_BAO_GIA'!G357&gt;0, ('00_TONG_HOP_BAO_GIA'!K357 + '00_TONG_HOP_BAO_GIA'!M357) * (1 + '00_TONG_HOP_BAO_GIA'!P357) / '00_TONG_HOP_BAO_GIA'!G357, 0)</f>
        <v/>
      </c>
      <c r="J371" s="136">
        <f>IF('00_TONG_HOP_BAO_GIA'!G357&gt;0, '00_TONG_HOP_BAO_GIA'!L357 * (1 + '00_TONG_HOP_BAO_GIA'!P357) / '00_TONG_HOP_BAO_GIA'!G357, 0)</f>
        <v/>
      </c>
      <c r="K371" s="137">
        <f>'00_TONG_HOP_BAO_GIA'!Q357</f>
        <v/>
      </c>
      <c r="L371" s="137">
        <f>('00_TONG_HOP_BAO_GIA'!K357 + '00_TONG_HOP_BAO_GIA'!M357) * (1 + '00_TONG_HOP_BAO_GIA'!P357)</f>
        <v/>
      </c>
      <c r="M371" s="137">
        <f>'00_TONG_HOP_BAO_GIA'!L357 * (1 + '00_TONG_HOP_BAO_GIA'!P357)</f>
        <v/>
      </c>
      <c r="N371" s="137">
        <f>'00_TONG_HOP_BAO_GIA'!R357</f>
        <v/>
      </c>
      <c r="O371" s="139">
        <f>IF(K371=0, "CẢNH BÁO: Đơn giá = 0. Tra cứu lại Sheet 06!", '00_TONG_HOP_BAO_GIA'!S357)</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83" t="inlineStr">
        <is>
          <t>m2</t>
        </is>
      </c>
      <c r="H372" s="136" t="n">
        <v>200</v>
      </c>
      <c r="I372" s="136">
        <f>IF('00_TONG_HOP_BAO_GIA'!G358&gt;0, ('00_TONG_HOP_BAO_GIA'!K358 + '00_TONG_HOP_BAO_GIA'!M358) * (1 + '00_TONG_HOP_BAO_GIA'!P358) / '00_TONG_HOP_BAO_GIA'!G358, 0)</f>
        <v/>
      </c>
      <c r="J372" s="136">
        <f>IF('00_TONG_HOP_BAO_GIA'!G358&gt;0, '00_TONG_HOP_BAO_GIA'!L358 * (1 + '00_TONG_HOP_BAO_GIA'!P358) / '00_TONG_HOP_BAO_GIA'!G358, 0)</f>
        <v/>
      </c>
      <c r="K372" s="137">
        <f>'00_TONG_HOP_BAO_GIA'!Q358</f>
        <v/>
      </c>
      <c r="L372" s="137">
        <f>('00_TONG_HOP_BAO_GIA'!K358 + '00_TONG_HOP_BAO_GIA'!M358) * (1 + '00_TONG_HOP_BAO_GIA'!P358)</f>
        <v/>
      </c>
      <c r="M372" s="137">
        <f>'00_TONG_HOP_BAO_GIA'!L358 * (1 + '00_TONG_HOP_BAO_GIA'!P358)</f>
        <v/>
      </c>
      <c r="N372" s="137">
        <f>'00_TONG_HOP_BAO_GIA'!R358</f>
        <v/>
      </c>
      <c r="O372" s="139">
        <f>IF(K372=0, "CẢNH BÁO: Đơn giá = 0. Tra cứu lại Sheet 06!", '00_TONG_HOP_BAO_GIA'!S358)</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83" t="inlineStr">
        <is>
          <t>m2</t>
        </is>
      </c>
      <c r="H373" s="136" t="n">
        <v>133</v>
      </c>
      <c r="I373" s="136">
        <f>IF('00_TONG_HOP_BAO_GIA'!G359&gt;0, ('00_TONG_HOP_BAO_GIA'!K359 + '00_TONG_HOP_BAO_GIA'!M359) * (1 + '00_TONG_HOP_BAO_GIA'!P359) / '00_TONG_HOP_BAO_GIA'!G359, 0)</f>
        <v/>
      </c>
      <c r="J373" s="136">
        <f>IF('00_TONG_HOP_BAO_GIA'!G359&gt;0, '00_TONG_HOP_BAO_GIA'!L359 * (1 + '00_TONG_HOP_BAO_GIA'!P359) / '00_TONG_HOP_BAO_GIA'!G359, 0)</f>
        <v/>
      </c>
      <c r="K373" s="137">
        <f>'00_TONG_HOP_BAO_GIA'!Q359</f>
        <v/>
      </c>
      <c r="L373" s="137">
        <f>('00_TONG_HOP_BAO_GIA'!K359 + '00_TONG_HOP_BAO_GIA'!M359) * (1 + '00_TONG_HOP_BAO_GIA'!P359)</f>
        <v/>
      </c>
      <c r="M373" s="137">
        <f>'00_TONG_HOP_BAO_GIA'!L359 * (1 + '00_TONG_HOP_BAO_GIA'!P359)</f>
        <v/>
      </c>
      <c r="N373" s="137">
        <f>'00_TONG_HOP_BAO_GIA'!R359</f>
        <v/>
      </c>
      <c r="O373" s="139">
        <f>IF(K373=0, "CẢNH BÁO: Đơn giá = 0. Tra cứu lại Sheet 06!", '00_TONG_HOP_BAO_GIA'!S359)</f>
        <v/>
      </c>
    </row>
    <row r="374" outlineLevel="1">
      <c r="A374" s="141">
        <f>SUBTOTAL(3,$G$7:G374)</f>
        <v/>
      </c>
      <c r="B374" s="139" t="inlineStr">
        <is>
          <t>Vật tư phụ, phụ kiện</t>
        </is>
      </c>
      <c r="C374" s="134" t="n"/>
      <c r="D374" s="134" t="n"/>
      <c r="E374" s="134" t="n"/>
      <c r="F374" s="329" t="n"/>
      <c r="G374" s="383" t="inlineStr">
        <is>
          <t>Lô</t>
        </is>
      </c>
      <c r="H374" s="136" t="n">
        <v>1</v>
      </c>
      <c r="I374" s="136">
        <f>IF('00_TONG_HOP_BAO_GIA'!G360&gt;0, ('00_TONG_HOP_BAO_GIA'!K360 + '00_TONG_HOP_BAO_GIA'!M360) * (1 + '00_TONG_HOP_BAO_GIA'!P360) / '00_TONG_HOP_BAO_GIA'!G360, 0)</f>
        <v/>
      </c>
      <c r="J374" s="136">
        <f>IF('00_TONG_HOP_BAO_GIA'!G360&gt;0, '00_TONG_HOP_BAO_GIA'!L360 * (1 + '00_TONG_HOP_BAO_GIA'!P360) / '00_TONG_HOP_BAO_GIA'!G360, 0)</f>
        <v/>
      </c>
      <c r="K374" s="137">
        <f>'00_TONG_HOP_BAO_GIA'!Q360</f>
        <v/>
      </c>
      <c r="L374" s="137">
        <f>('00_TONG_HOP_BAO_GIA'!K360 + '00_TONG_HOP_BAO_GIA'!M360) * (1 + '00_TONG_HOP_BAO_GIA'!P360)</f>
        <v/>
      </c>
      <c r="M374" s="137">
        <f>'00_TONG_HOP_BAO_GIA'!L360 * (1 + '00_TONG_HOP_BAO_GIA'!P360)</f>
        <v/>
      </c>
      <c r="N374" s="137">
        <f>'00_TONG_HOP_BAO_GIA'!R360</f>
        <v/>
      </c>
      <c r="O374" s="139">
        <f>IF(K374=0, "CẢNH BÁO: Đơn giá = 0. Tra cứu lại Sheet 06!", '00_TONG_HOP_BAO_GIA'!S360)</f>
        <v/>
      </c>
    </row>
    <row r="375" outlineLevel="1">
      <c r="A375" s="132" t="inlineStr">
        <is>
          <t>A5</t>
        </is>
      </c>
      <c r="B375" s="140" t="inlineStr">
        <is>
          <t>Phần chung</t>
        </is>
      </c>
      <c r="C375" s="134" t="n"/>
      <c r="D375" s="134" t="n"/>
      <c r="E375" s="134" t="n"/>
      <c r="F375" s="329" t="inlineStr">
        <is>
          <t>M</t>
        </is>
      </c>
      <c r="G375" s="383"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83" t="inlineStr">
        <is>
          <t>Cái</t>
        </is>
      </c>
      <c r="H376" s="136" t="n">
        <v>27</v>
      </c>
      <c r="I376" s="136">
        <f>IF('00_TONG_HOP_BAO_GIA'!G361&gt;0, ('00_TONG_HOP_BAO_GIA'!K361 + '00_TONG_HOP_BAO_GIA'!M361) * (1 + '00_TONG_HOP_BAO_GIA'!P361) / '00_TONG_HOP_BAO_GIA'!G361, 0)</f>
        <v/>
      </c>
      <c r="J376" s="136">
        <f>IF('00_TONG_HOP_BAO_GIA'!G361&gt;0, '00_TONG_HOP_BAO_GIA'!L361 * (1 + '00_TONG_HOP_BAO_GIA'!P361) / '00_TONG_HOP_BAO_GIA'!G361, 0)</f>
        <v/>
      </c>
      <c r="K376" s="137">
        <f>'00_TONG_HOP_BAO_GIA'!Q361</f>
        <v/>
      </c>
      <c r="L376" s="137">
        <f>('00_TONG_HOP_BAO_GIA'!K361 + '00_TONG_HOP_BAO_GIA'!M361) * (1 + '00_TONG_HOP_BAO_GIA'!P361)</f>
        <v/>
      </c>
      <c r="M376" s="137">
        <f>'00_TONG_HOP_BAO_GIA'!L361 * (1 + '00_TONG_HOP_BAO_GIA'!P361)</f>
        <v/>
      </c>
      <c r="N376" s="137">
        <f>'00_TONG_HOP_BAO_GIA'!R361</f>
        <v/>
      </c>
      <c r="O376" s="139">
        <f>IF(K376=0, "CẢNH BÁO: Đơn giá = 0. Tra cứu lại Sheet 06!", '00_TONG_HOP_BAO_GIA'!S361)</f>
        <v/>
      </c>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83" t="inlineStr">
        <is>
          <t>Cái</t>
        </is>
      </c>
      <c r="H377" s="136" t="n">
        <v>65</v>
      </c>
      <c r="I377" s="136">
        <f>IF('00_TONG_HOP_BAO_GIA'!G362&gt;0, ('00_TONG_HOP_BAO_GIA'!K362 + '00_TONG_HOP_BAO_GIA'!M362) * (1 + '00_TONG_HOP_BAO_GIA'!P362) / '00_TONG_HOP_BAO_GIA'!G362, 0)</f>
        <v/>
      </c>
      <c r="J377" s="136">
        <f>IF('00_TONG_HOP_BAO_GIA'!G362&gt;0, '00_TONG_HOP_BAO_GIA'!L362 * (1 + '00_TONG_HOP_BAO_GIA'!P362) / '00_TONG_HOP_BAO_GIA'!G362, 0)</f>
        <v/>
      </c>
      <c r="K377" s="137">
        <f>'00_TONG_HOP_BAO_GIA'!Q362</f>
        <v/>
      </c>
      <c r="L377" s="137">
        <f>('00_TONG_HOP_BAO_GIA'!K362 + '00_TONG_HOP_BAO_GIA'!M362) * (1 + '00_TONG_HOP_BAO_GIA'!P362)</f>
        <v/>
      </c>
      <c r="M377" s="137">
        <f>'00_TONG_HOP_BAO_GIA'!L362 * (1 + '00_TONG_HOP_BAO_GIA'!P362)</f>
        <v/>
      </c>
      <c r="N377" s="137">
        <f>'00_TONG_HOP_BAO_GIA'!R362</f>
        <v/>
      </c>
      <c r="O377" s="139">
        <f>IF(K377=0, "CẢNH BÁO: Đơn giá = 0. Tra cứu lại Sheet 06!", '00_TONG_HOP_BAO_GIA'!S362)</f>
        <v/>
      </c>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83" t="inlineStr">
        <is>
          <t>Cái</t>
        </is>
      </c>
      <c r="H378" s="136" t="n">
        <v>48</v>
      </c>
      <c r="I378" s="136">
        <f>IF('00_TONG_HOP_BAO_GIA'!G363&gt;0, ('00_TONG_HOP_BAO_GIA'!K363 + '00_TONG_HOP_BAO_GIA'!M363) * (1 + '00_TONG_HOP_BAO_GIA'!P363) / '00_TONG_HOP_BAO_GIA'!G363, 0)</f>
        <v/>
      </c>
      <c r="J378" s="136">
        <f>IF('00_TONG_HOP_BAO_GIA'!G363&gt;0, '00_TONG_HOP_BAO_GIA'!L363 * (1 + '00_TONG_HOP_BAO_GIA'!P363) / '00_TONG_HOP_BAO_GIA'!G363, 0)</f>
        <v/>
      </c>
      <c r="K378" s="137">
        <f>'00_TONG_HOP_BAO_GIA'!Q363</f>
        <v/>
      </c>
      <c r="L378" s="137">
        <f>('00_TONG_HOP_BAO_GIA'!K363 + '00_TONG_HOP_BAO_GIA'!M363) * (1 + '00_TONG_HOP_BAO_GIA'!P363)</f>
        <v/>
      </c>
      <c r="M378" s="137">
        <f>'00_TONG_HOP_BAO_GIA'!L363 * (1 + '00_TONG_HOP_BAO_GIA'!P363)</f>
        <v/>
      </c>
      <c r="N378" s="137">
        <f>'00_TONG_HOP_BAO_GIA'!R363</f>
        <v/>
      </c>
      <c r="O378" s="139">
        <f>IF(K378=0, "CẢNH BÁO: Đơn giá = 0. Tra cứu lại Sheet 06!", '00_TONG_HOP_BAO_GIA'!S363)</f>
        <v/>
      </c>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83" t="inlineStr">
        <is>
          <t>Cái</t>
        </is>
      </c>
      <c r="H379" s="136" t="n">
        <v>2</v>
      </c>
      <c r="I379" s="136">
        <f>IF('00_TONG_HOP_BAO_GIA'!G364&gt;0, ('00_TONG_HOP_BAO_GIA'!K364 + '00_TONG_HOP_BAO_GIA'!M364) * (1 + '00_TONG_HOP_BAO_GIA'!P364) / '00_TONG_HOP_BAO_GIA'!G364, 0)</f>
        <v/>
      </c>
      <c r="J379" s="136">
        <f>IF('00_TONG_HOP_BAO_GIA'!G364&gt;0, '00_TONG_HOP_BAO_GIA'!L364 * (1 + '00_TONG_HOP_BAO_GIA'!P364) / '00_TONG_HOP_BAO_GIA'!G364, 0)</f>
        <v/>
      </c>
      <c r="K379" s="137">
        <f>'00_TONG_HOP_BAO_GIA'!Q364</f>
        <v/>
      </c>
      <c r="L379" s="137">
        <f>('00_TONG_HOP_BAO_GIA'!K364 + '00_TONG_HOP_BAO_GIA'!M364) * (1 + '00_TONG_HOP_BAO_GIA'!P364)</f>
        <v/>
      </c>
      <c r="M379" s="137">
        <f>'00_TONG_HOP_BAO_GIA'!L364 * (1 + '00_TONG_HOP_BAO_GIA'!P364)</f>
        <v/>
      </c>
      <c r="N379" s="137">
        <f>'00_TONG_HOP_BAO_GIA'!R364</f>
        <v/>
      </c>
      <c r="O379" s="139">
        <f>IF(K379=0, "CẢNH BÁO: Đơn giá = 0. Tra cứu lại Sheet 06!", '00_TONG_HOP_BAO_GIA'!S364)</f>
        <v/>
      </c>
    </row>
    <row r="380" hidden="1" outlineLevel="1">
      <c r="A380" s="141">
        <f>SUBTOTAL(3,$G$7:G380)</f>
        <v/>
      </c>
      <c r="B380" s="139" t="inlineStr">
        <is>
          <t>Vật tư phụ, phụ kiện</t>
        </is>
      </c>
      <c r="C380" s="134" t="n"/>
      <c r="D380" s="134" t="n"/>
      <c r="E380" s="134" t="n"/>
      <c r="F380" s="329" t="inlineStr">
        <is>
          <t>Điện</t>
        </is>
      </c>
      <c r="G380" s="383" t="inlineStr">
        <is>
          <t>Lô</t>
        </is>
      </c>
      <c r="H380" s="136" t="n">
        <v>1</v>
      </c>
      <c r="I380" s="136">
        <f>IF('00_TONG_HOP_BAO_GIA'!G365&gt;0, ('00_TONG_HOP_BAO_GIA'!K365 + '00_TONG_HOP_BAO_GIA'!M365) * (1 + '00_TONG_HOP_BAO_GIA'!P365) / '00_TONG_HOP_BAO_GIA'!G365, 0)</f>
        <v/>
      </c>
      <c r="J380" s="136">
        <f>IF('00_TONG_HOP_BAO_GIA'!G365&gt;0, '00_TONG_HOP_BAO_GIA'!L365 * (1 + '00_TONG_HOP_BAO_GIA'!P365) / '00_TONG_HOP_BAO_GIA'!G365, 0)</f>
        <v/>
      </c>
      <c r="K380" s="137">
        <f>'00_TONG_HOP_BAO_GIA'!Q365</f>
        <v/>
      </c>
      <c r="L380" s="137">
        <f>('00_TONG_HOP_BAO_GIA'!K365 + '00_TONG_HOP_BAO_GIA'!M365) * (1 + '00_TONG_HOP_BAO_GIA'!P365)</f>
        <v/>
      </c>
      <c r="M380" s="137">
        <f>'00_TONG_HOP_BAO_GIA'!L365 * (1 + '00_TONG_HOP_BAO_GIA'!P365)</f>
        <v/>
      </c>
      <c r="N380" s="137">
        <f>'00_TONG_HOP_BAO_GIA'!R365</f>
        <v/>
      </c>
      <c r="O380" s="139">
        <f>IF(K380=0, "CẢNH BÁO: Đơn giá = 0. Tra cứu lại Sheet 06!", '00_TONG_HOP_BAO_GIA'!S365)</f>
        <v/>
      </c>
    </row>
    <row r="381">
      <c r="A381" s="132" t="inlineStr">
        <is>
          <t>B</t>
        </is>
      </c>
      <c r="B381" s="140" t="inlineStr">
        <is>
          <t>HỆ THỐNG MÁY LẠNH</t>
        </is>
      </c>
      <c r="C381" s="134" t="n"/>
      <c r="D381" s="134" t="n"/>
      <c r="E381" s="134" t="n"/>
      <c r="F381" s="329" t="inlineStr">
        <is>
          <t>M</t>
        </is>
      </c>
      <c r="G381" s="383"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83"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83"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85"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85"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83" t="inlineStr">
        <is>
          <t>Bộ</t>
        </is>
      </c>
      <c r="H386" s="136" t="n">
        <v>1</v>
      </c>
      <c r="I386" s="136">
        <f>IF('00_TONG_HOP_BAO_GIA'!G366&gt;0, ('00_TONG_HOP_BAO_GIA'!K366 + '00_TONG_HOP_BAO_GIA'!M366) * (1 + '00_TONG_HOP_BAO_GIA'!P366) / '00_TONG_HOP_BAO_GIA'!G366, 0)</f>
        <v/>
      </c>
      <c r="J386" s="136">
        <f>IF('00_TONG_HOP_BAO_GIA'!G366&gt;0, '00_TONG_HOP_BAO_GIA'!L366 * (1 + '00_TONG_HOP_BAO_GIA'!P366) / '00_TONG_HOP_BAO_GIA'!G366, 0)</f>
        <v/>
      </c>
      <c r="K386" s="137">
        <f>'00_TONG_HOP_BAO_GIA'!Q366</f>
        <v/>
      </c>
      <c r="L386" s="137">
        <f>('00_TONG_HOP_BAO_GIA'!K366 + '00_TONG_HOP_BAO_GIA'!M366) * (1 + '00_TONG_HOP_BAO_GIA'!P366)</f>
        <v/>
      </c>
      <c r="M386" s="137">
        <f>'00_TONG_HOP_BAO_GIA'!L366 * (1 + '00_TONG_HOP_BAO_GIA'!P366)</f>
        <v/>
      </c>
      <c r="N386" s="137">
        <f>'00_TONG_HOP_BAO_GIA'!R366</f>
        <v/>
      </c>
      <c r="O386" s="142">
        <f>IF(K386=0, "CẢNH BÁO: Đơn giá = 0. Tra cứu lại Sheet 06!", '00_TONG_HOP_BAO_GIA'!S366)</f>
        <v/>
      </c>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83" t="inlineStr">
        <is>
          <t>Bộ</t>
        </is>
      </c>
      <c r="H387" s="136" t="n">
        <v>1</v>
      </c>
      <c r="I387" s="136">
        <f>IF('00_TONG_HOP_BAO_GIA'!G367&gt;0, ('00_TONG_HOP_BAO_GIA'!K367 + '00_TONG_HOP_BAO_GIA'!M367) * (1 + '00_TONG_HOP_BAO_GIA'!P367) / '00_TONG_HOP_BAO_GIA'!G367, 0)</f>
        <v/>
      </c>
      <c r="J387" s="136">
        <f>IF('00_TONG_HOP_BAO_GIA'!G367&gt;0, '00_TONG_HOP_BAO_GIA'!L367 * (1 + '00_TONG_HOP_BAO_GIA'!P367) / '00_TONG_HOP_BAO_GIA'!G367, 0)</f>
        <v/>
      </c>
      <c r="K387" s="137">
        <f>'00_TONG_HOP_BAO_GIA'!Q367</f>
        <v/>
      </c>
      <c r="L387" s="137">
        <f>('00_TONG_HOP_BAO_GIA'!K367 + '00_TONG_HOP_BAO_GIA'!M367) * (1 + '00_TONG_HOP_BAO_GIA'!P367)</f>
        <v/>
      </c>
      <c r="M387" s="137">
        <f>'00_TONG_HOP_BAO_GIA'!L367 * (1 + '00_TONG_HOP_BAO_GIA'!P367)</f>
        <v/>
      </c>
      <c r="N387" s="137">
        <f>'00_TONG_HOP_BAO_GIA'!R367</f>
        <v/>
      </c>
      <c r="O387" s="142">
        <f>IF(K387=0, "CẢNH BÁO: Đơn giá = 0. Tra cứu lại Sheet 06!", '00_TONG_HOP_BAO_GIA'!S367)</f>
        <v/>
      </c>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83" t="inlineStr">
        <is>
          <t>Bộ</t>
        </is>
      </c>
      <c r="H388" s="136" t="n">
        <v>1</v>
      </c>
      <c r="I388" s="136">
        <f>IF('00_TONG_HOP_BAO_GIA'!G368&gt;0, ('00_TONG_HOP_BAO_GIA'!K368 + '00_TONG_HOP_BAO_GIA'!M368) * (1 + '00_TONG_HOP_BAO_GIA'!P368) / '00_TONG_HOP_BAO_GIA'!G368, 0)</f>
        <v/>
      </c>
      <c r="J388" s="136">
        <f>IF('00_TONG_HOP_BAO_GIA'!G368&gt;0, '00_TONG_HOP_BAO_GIA'!L368 * (1 + '00_TONG_HOP_BAO_GIA'!P368) / '00_TONG_HOP_BAO_GIA'!G368, 0)</f>
        <v/>
      </c>
      <c r="K388" s="137">
        <f>'00_TONG_HOP_BAO_GIA'!Q368</f>
        <v/>
      </c>
      <c r="L388" s="137">
        <f>('00_TONG_HOP_BAO_GIA'!K368 + '00_TONG_HOP_BAO_GIA'!M368) * (1 + '00_TONG_HOP_BAO_GIA'!P368)</f>
        <v/>
      </c>
      <c r="M388" s="137">
        <f>'00_TONG_HOP_BAO_GIA'!L368 * (1 + '00_TONG_HOP_BAO_GIA'!P368)</f>
        <v/>
      </c>
      <c r="N388" s="137">
        <f>'00_TONG_HOP_BAO_GIA'!R368</f>
        <v/>
      </c>
      <c r="O388" s="142">
        <f>IF(K388=0, "CẢNH BÁO: Đơn giá = 0. Tra cứu lại Sheet 06!", '00_TONG_HOP_BAO_GIA'!S368)</f>
        <v/>
      </c>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83" t="inlineStr">
        <is>
          <t>Bộ</t>
        </is>
      </c>
      <c r="H389" s="136" t="n">
        <v>1</v>
      </c>
      <c r="I389" s="136">
        <f>IF('00_TONG_HOP_BAO_GIA'!G369&gt;0, ('00_TONG_HOP_BAO_GIA'!K369 + '00_TONG_HOP_BAO_GIA'!M369) * (1 + '00_TONG_HOP_BAO_GIA'!P369) / '00_TONG_HOP_BAO_GIA'!G369, 0)</f>
        <v/>
      </c>
      <c r="J389" s="136">
        <f>IF('00_TONG_HOP_BAO_GIA'!G369&gt;0, '00_TONG_HOP_BAO_GIA'!L369 * (1 + '00_TONG_HOP_BAO_GIA'!P369) / '00_TONG_HOP_BAO_GIA'!G369, 0)</f>
        <v/>
      </c>
      <c r="K389" s="137">
        <f>'00_TONG_HOP_BAO_GIA'!Q369</f>
        <v/>
      </c>
      <c r="L389" s="137">
        <f>('00_TONG_HOP_BAO_GIA'!K369 + '00_TONG_HOP_BAO_GIA'!M369) * (1 + '00_TONG_HOP_BAO_GIA'!P369)</f>
        <v/>
      </c>
      <c r="M389" s="137">
        <f>'00_TONG_HOP_BAO_GIA'!L369 * (1 + '00_TONG_HOP_BAO_GIA'!P369)</f>
        <v/>
      </c>
      <c r="N389" s="137">
        <f>'00_TONG_HOP_BAO_GIA'!R369</f>
        <v/>
      </c>
      <c r="O389" s="142">
        <f>IF(K389=0, "CẢNH BÁO: Đơn giá = 0. Tra cứu lại Sheet 06!", '00_TONG_HOP_BAO_GIA'!S369)</f>
        <v/>
      </c>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83" t="inlineStr">
        <is>
          <t>Bộ</t>
        </is>
      </c>
      <c r="H390" s="136" t="n">
        <v>1</v>
      </c>
      <c r="I390" s="136">
        <f>IF('00_TONG_HOP_BAO_GIA'!G370&gt;0, ('00_TONG_HOP_BAO_GIA'!K370 + '00_TONG_HOP_BAO_GIA'!M370) * (1 + '00_TONG_HOP_BAO_GIA'!P370) / '00_TONG_HOP_BAO_GIA'!G370, 0)</f>
        <v/>
      </c>
      <c r="J390" s="136">
        <f>IF('00_TONG_HOP_BAO_GIA'!G370&gt;0, '00_TONG_HOP_BAO_GIA'!L370 * (1 + '00_TONG_HOP_BAO_GIA'!P370) / '00_TONG_HOP_BAO_GIA'!G370, 0)</f>
        <v/>
      </c>
      <c r="K390" s="137">
        <f>'00_TONG_HOP_BAO_GIA'!Q370</f>
        <v/>
      </c>
      <c r="L390" s="137">
        <f>('00_TONG_HOP_BAO_GIA'!K370 + '00_TONG_HOP_BAO_GIA'!M370) * (1 + '00_TONG_HOP_BAO_GIA'!P370)</f>
        <v/>
      </c>
      <c r="M390" s="137">
        <f>'00_TONG_HOP_BAO_GIA'!L370 * (1 + '00_TONG_HOP_BAO_GIA'!P370)</f>
        <v/>
      </c>
      <c r="N390" s="137">
        <f>'00_TONG_HOP_BAO_GIA'!R370</f>
        <v/>
      </c>
      <c r="O390" s="142">
        <f>IF(K390=0, "CẢNH BÁO: Đơn giá = 0. Tra cứu lại Sheet 06!", '00_TONG_HOP_BAO_GIA'!S370)</f>
        <v/>
      </c>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83" t="inlineStr">
        <is>
          <t>Bộ</t>
        </is>
      </c>
      <c r="H391" s="136" t="n">
        <v>1</v>
      </c>
      <c r="I391" s="136">
        <f>IF('00_TONG_HOP_BAO_GIA'!G371&gt;0, ('00_TONG_HOP_BAO_GIA'!K371 + '00_TONG_HOP_BAO_GIA'!M371) * (1 + '00_TONG_HOP_BAO_GIA'!P371) / '00_TONG_HOP_BAO_GIA'!G371, 0)</f>
        <v/>
      </c>
      <c r="J391" s="136">
        <f>IF('00_TONG_HOP_BAO_GIA'!G371&gt;0, '00_TONG_HOP_BAO_GIA'!L371 * (1 + '00_TONG_HOP_BAO_GIA'!P371) / '00_TONG_HOP_BAO_GIA'!G371, 0)</f>
        <v/>
      </c>
      <c r="K391" s="137">
        <f>'00_TONG_HOP_BAO_GIA'!Q371</f>
        <v/>
      </c>
      <c r="L391" s="137">
        <f>('00_TONG_HOP_BAO_GIA'!K371 + '00_TONG_HOP_BAO_GIA'!M371) * (1 + '00_TONG_HOP_BAO_GIA'!P371)</f>
        <v/>
      </c>
      <c r="M391" s="137">
        <f>'00_TONG_HOP_BAO_GIA'!L371 * (1 + '00_TONG_HOP_BAO_GIA'!P371)</f>
        <v/>
      </c>
      <c r="N391" s="137">
        <f>'00_TONG_HOP_BAO_GIA'!R371</f>
        <v/>
      </c>
      <c r="O391" s="142">
        <f>IF(K391=0, "CẢNH BÁO: Đơn giá = 0. Tra cứu lại Sheet 06!", '00_TONG_HOP_BAO_GIA'!S371)</f>
        <v/>
      </c>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83" t="inlineStr">
        <is>
          <t>Bộ</t>
        </is>
      </c>
      <c r="H392" s="136" t="n">
        <v>1</v>
      </c>
      <c r="I392" s="136">
        <f>IF('00_TONG_HOP_BAO_GIA'!G372&gt;0, ('00_TONG_HOP_BAO_GIA'!K372 + '00_TONG_HOP_BAO_GIA'!M372) * (1 + '00_TONG_HOP_BAO_GIA'!P372) / '00_TONG_HOP_BAO_GIA'!G372, 0)</f>
        <v/>
      </c>
      <c r="J392" s="136">
        <f>IF('00_TONG_HOP_BAO_GIA'!G372&gt;0, '00_TONG_HOP_BAO_GIA'!L372 * (1 + '00_TONG_HOP_BAO_GIA'!P372) / '00_TONG_HOP_BAO_GIA'!G372, 0)</f>
        <v/>
      </c>
      <c r="K392" s="137">
        <f>'00_TONG_HOP_BAO_GIA'!Q372</f>
        <v/>
      </c>
      <c r="L392" s="137">
        <f>('00_TONG_HOP_BAO_GIA'!K372 + '00_TONG_HOP_BAO_GIA'!M372) * (1 + '00_TONG_HOP_BAO_GIA'!P372)</f>
        <v/>
      </c>
      <c r="M392" s="137">
        <f>'00_TONG_HOP_BAO_GIA'!L372 * (1 + '00_TONG_HOP_BAO_GIA'!P372)</f>
        <v/>
      </c>
      <c r="N392" s="137">
        <f>'00_TONG_HOP_BAO_GIA'!R372</f>
        <v/>
      </c>
      <c r="O392" s="142">
        <f>IF(K392=0, "CẢNH BÁO: Đơn giá = 0. Tra cứu lại Sheet 06!", '00_TONG_HOP_BAO_GIA'!S372)</f>
        <v/>
      </c>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83" t="inlineStr">
        <is>
          <t>Bộ</t>
        </is>
      </c>
      <c r="H393" s="136" t="n">
        <v>1</v>
      </c>
      <c r="I393" s="136">
        <f>IF('00_TONG_HOP_BAO_GIA'!G373&gt;0, ('00_TONG_HOP_BAO_GIA'!K373 + '00_TONG_HOP_BAO_GIA'!M373) * (1 + '00_TONG_HOP_BAO_GIA'!P373) / '00_TONG_HOP_BAO_GIA'!G373, 0)</f>
        <v/>
      </c>
      <c r="J393" s="136">
        <f>IF('00_TONG_HOP_BAO_GIA'!G373&gt;0, '00_TONG_HOP_BAO_GIA'!L373 * (1 + '00_TONG_HOP_BAO_GIA'!P373) / '00_TONG_HOP_BAO_GIA'!G373, 0)</f>
        <v/>
      </c>
      <c r="K393" s="137">
        <f>'00_TONG_HOP_BAO_GIA'!Q373</f>
        <v/>
      </c>
      <c r="L393" s="137">
        <f>('00_TONG_HOP_BAO_GIA'!K373 + '00_TONG_HOP_BAO_GIA'!M373) * (1 + '00_TONG_HOP_BAO_GIA'!P373)</f>
        <v/>
      </c>
      <c r="M393" s="137">
        <f>'00_TONG_HOP_BAO_GIA'!L373 * (1 + '00_TONG_HOP_BAO_GIA'!P373)</f>
        <v/>
      </c>
      <c r="N393" s="137">
        <f>'00_TONG_HOP_BAO_GIA'!R373</f>
        <v/>
      </c>
      <c r="O393" s="142">
        <f>IF(K393=0, "CẢNH BÁO: Đơn giá = 0. Tra cứu lại Sheet 06!", '00_TONG_HOP_BAO_GIA'!S373)</f>
        <v/>
      </c>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83" t="inlineStr">
        <is>
          <t>Bộ</t>
        </is>
      </c>
      <c r="H394" s="136" t="n">
        <v>1</v>
      </c>
      <c r="I394" s="136">
        <f>IF('00_TONG_HOP_BAO_GIA'!G374&gt;0, ('00_TONG_HOP_BAO_GIA'!K374 + '00_TONG_HOP_BAO_GIA'!M374) * (1 + '00_TONG_HOP_BAO_GIA'!P374) / '00_TONG_HOP_BAO_GIA'!G374, 0)</f>
        <v/>
      </c>
      <c r="J394" s="136">
        <f>IF('00_TONG_HOP_BAO_GIA'!G374&gt;0, '00_TONG_HOP_BAO_GIA'!L374 * (1 + '00_TONG_HOP_BAO_GIA'!P374) / '00_TONG_HOP_BAO_GIA'!G374, 0)</f>
        <v/>
      </c>
      <c r="K394" s="137">
        <f>'00_TONG_HOP_BAO_GIA'!Q374</f>
        <v/>
      </c>
      <c r="L394" s="137">
        <f>('00_TONG_HOP_BAO_GIA'!K374 + '00_TONG_HOP_BAO_GIA'!M374) * (1 + '00_TONG_HOP_BAO_GIA'!P374)</f>
        <v/>
      </c>
      <c r="M394" s="137">
        <f>'00_TONG_HOP_BAO_GIA'!L374 * (1 + '00_TONG_HOP_BAO_GIA'!P374)</f>
        <v/>
      </c>
      <c r="N394" s="137">
        <f>'00_TONG_HOP_BAO_GIA'!R374</f>
        <v/>
      </c>
      <c r="O394" s="142">
        <f>IF(K394=0, "CẢNH BÁO: Đơn giá = 0. Tra cứu lại Sheet 06!", '00_TONG_HOP_BAO_GIA'!S374)</f>
        <v/>
      </c>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83" t="inlineStr">
        <is>
          <t>Bộ</t>
        </is>
      </c>
      <c r="H395" s="136" t="n">
        <v>1</v>
      </c>
      <c r="I395" s="136">
        <f>IF('00_TONG_HOP_BAO_GIA'!G375&gt;0, ('00_TONG_HOP_BAO_GIA'!K375 + '00_TONG_HOP_BAO_GIA'!M375) * (1 + '00_TONG_HOP_BAO_GIA'!P375) / '00_TONG_HOP_BAO_GIA'!G375, 0)</f>
        <v/>
      </c>
      <c r="J395" s="136">
        <f>IF('00_TONG_HOP_BAO_GIA'!G375&gt;0, '00_TONG_HOP_BAO_GIA'!L375 * (1 + '00_TONG_HOP_BAO_GIA'!P375) / '00_TONG_HOP_BAO_GIA'!G375, 0)</f>
        <v/>
      </c>
      <c r="K395" s="137">
        <f>'00_TONG_HOP_BAO_GIA'!Q375</f>
        <v/>
      </c>
      <c r="L395" s="137">
        <f>('00_TONG_HOP_BAO_GIA'!K375 + '00_TONG_HOP_BAO_GIA'!M375) * (1 + '00_TONG_HOP_BAO_GIA'!P375)</f>
        <v/>
      </c>
      <c r="M395" s="137">
        <f>'00_TONG_HOP_BAO_GIA'!L375 * (1 + '00_TONG_HOP_BAO_GIA'!P375)</f>
        <v/>
      </c>
      <c r="N395" s="137">
        <f>'00_TONG_HOP_BAO_GIA'!R375</f>
        <v/>
      </c>
      <c r="O395" s="142">
        <f>IF(K395=0, "CẢNH BÁO: Đơn giá = 0. Tra cứu lại Sheet 06!", '00_TONG_HOP_BAO_GIA'!S375)</f>
        <v/>
      </c>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83" t="inlineStr">
        <is>
          <t>Bộ</t>
        </is>
      </c>
      <c r="H396" s="136" t="n">
        <v>1</v>
      </c>
      <c r="I396" s="136">
        <f>IF('00_TONG_HOP_BAO_GIA'!G376&gt;0, ('00_TONG_HOP_BAO_GIA'!K376 + '00_TONG_HOP_BAO_GIA'!M376) * (1 + '00_TONG_HOP_BAO_GIA'!P376) / '00_TONG_HOP_BAO_GIA'!G376, 0)</f>
        <v/>
      </c>
      <c r="J396" s="136">
        <f>IF('00_TONG_HOP_BAO_GIA'!G376&gt;0, '00_TONG_HOP_BAO_GIA'!L376 * (1 + '00_TONG_HOP_BAO_GIA'!P376) / '00_TONG_HOP_BAO_GIA'!G376, 0)</f>
        <v/>
      </c>
      <c r="K396" s="137">
        <f>'00_TONG_HOP_BAO_GIA'!Q376</f>
        <v/>
      </c>
      <c r="L396" s="137">
        <f>('00_TONG_HOP_BAO_GIA'!K376 + '00_TONG_HOP_BAO_GIA'!M376) * (1 + '00_TONG_HOP_BAO_GIA'!P376)</f>
        <v/>
      </c>
      <c r="M396" s="137">
        <f>'00_TONG_HOP_BAO_GIA'!L376 * (1 + '00_TONG_HOP_BAO_GIA'!P376)</f>
        <v/>
      </c>
      <c r="N396" s="137">
        <f>'00_TONG_HOP_BAO_GIA'!R376</f>
        <v/>
      </c>
      <c r="O396" s="142">
        <f>IF(K396=0, "CẢNH BÁO: Đơn giá = 0. Tra cứu lại Sheet 06!", '00_TONG_HOP_BAO_GIA'!S376)</f>
        <v/>
      </c>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83" t="inlineStr">
        <is>
          <t>Bộ</t>
        </is>
      </c>
      <c r="H397" s="136" t="n">
        <v>1</v>
      </c>
      <c r="I397" s="136">
        <f>IF('00_TONG_HOP_BAO_GIA'!G377&gt;0, ('00_TONG_HOP_BAO_GIA'!K377 + '00_TONG_HOP_BAO_GIA'!M377) * (1 + '00_TONG_HOP_BAO_GIA'!P377) / '00_TONG_HOP_BAO_GIA'!G377, 0)</f>
        <v/>
      </c>
      <c r="J397" s="136">
        <f>IF('00_TONG_HOP_BAO_GIA'!G377&gt;0, '00_TONG_HOP_BAO_GIA'!L377 * (1 + '00_TONG_HOP_BAO_GIA'!P377) / '00_TONG_HOP_BAO_GIA'!G377, 0)</f>
        <v/>
      </c>
      <c r="K397" s="137">
        <f>'00_TONG_HOP_BAO_GIA'!Q377</f>
        <v/>
      </c>
      <c r="L397" s="137">
        <f>('00_TONG_HOP_BAO_GIA'!K377 + '00_TONG_HOP_BAO_GIA'!M377) * (1 + '00_TONG_HOP_BAO_GIA'!P377)</f>
        <v/>
      </c>
      <c r="M397" s="137">
        <f>'00_TONG_HOP_BAO_GIA'!L377 * (1 + '00_TONG_HOP_BAO_GIA'!P377)</f>
        <v/>
      </c>
      <c r="N397" s="137">
        <f>'00_TONG_HOP_BAO_GIA'!R377</f>
        <v/>
      </c>
      <c r="O397" s="142">
        <f>IF(K397=0, "CẢNH BÁO: Đơn giá = 0. Tra cứu lại Sheet 06!", '00_TONG_HOP_BAO_GIA'!S377)</f>
        <v/>
      </c>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83" t="inlineStr">
        <is>
          <t>Bộ</t>
        </is>
      </c>
      <c r="H398" s="136" t="n">
        <v>1</v>
      </c>
      <c r="I398" s="136">
        <f>IF('00_TONG_HOP_BAO_GIA'!G378&gt;0, ('00_TONG_HOP_BAO_GIA'!K378 + '00_TONG_HOP_BAO_GIA'!M378) * (1 + '00_TONG_HOP_BAO_GIA'!P378) / '00_TONG_HOP_BAO_GIA'!G378, 0)</f>
        <v/>
      </c>
      <c r="J398" s="136">
        <f>IF('00_TONG_HOP_BAO_GIA'!G378&gt;0, '00_TONG_HOP_BAO_GIA'!L378 * (1 + '00_TONG_HOP_BAO_GIA'!P378) / '00_TONG_HOP_BAO_GIA'!G378, 0)</f>
        <v/>
      </c>
      <c r="K398" s="137">
        <f>'00_TONG_HOP_BAO_GIA'!Q378</f>
        <v/>
      </c>
      <c r="L398" s="137">
        <f>('00_TONG_HOP_BAO_GIA'!K378 + '00_TONG_HOP_BAO_GIA'!M378) * (1 + '00_TONG_HOP_BAO_GIA'!P378)</f>
        <v/>
      </c>
      <c r="M398" s="137">
        <f>'00_TONG_HOP_BAO_GIA'!L378 * (1 + '00_TONG_HOP_BAO_GIA'!P378)</f>
        <v/>
      </c>
      <c r="N398" s="137">
        <f>'00_TONG_HOP_BAO_GIA'!R378</f>
        <v/>
      </c>
      <c r="O398" s="142">
        <f>IF(K398=0, "CẢNH BÁO: Đơn giá = 0. Tra cứu lại Sheet 06!", '00_TONG_HOP_BAO_GIA'!S378)</f>
        <v/>
      </c>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83" t="inlineStr">
        <is>
          <t>Bộ</t>
        </is>
      </c>
      <c r="H399" s="136" t="n">
        <v>1</v>
      </c>
      <c r="I399" s="136">
        <f>IF('00_TONG_HOP_BAO_GIA'!G379&gt;0, ('00_TONG_HOP_BAO_GIA'!K379 + '00_TONG_HOP_BAO_GIA'!M379) * (1 + '00_TONG_HOP_BAO_GIA'!P379) / '00_TONG_HOP_BAO_GIA'!G379, 0)</f>
        <v/>
      </c>
      <c r="J399" s="136">
        <f>IF('00_TONG_HOP_BAO_GIA'!G379&gt;0, '00_TONG_HOP_BAO_GIA'!L379 * (1 + '00_TONG_HOP_BAO_GIA'!P379) / '00_TONG_HOP_BAO_GIA'!G379, 0)</f>
        <v/>
      </c>
      <c r="K399" s="137">
        <f>'00_TONG_HOP_BAO_GIA'!Q379</f>
        <v/>
      </c>
      <c r="L399" s="137">
        <f>('00_TONG_HOP_BAO_GIA'!K379 + '00_TONG_HOP_BAO_GIA'!M379) * (1 + '00_TONG_HOP_BAO_GIA'!P379)</f>
        <v/>
      </c>
      <c r="M399" s="137">
        <f>'00_TONG_HOP_BAO_GIA'!L379 * (1 + '00_TONG_HOP_BAO_GIA'!P379)</f>
        <v/>
      </c>
      <c r="N399" s="137">
        <f>'00_TONG_HOP_BAO_GIA'!R379</f>
        <v/>
      </c>
      <c r="O399" s="142">
        <f>IF(K399=0, "CẢNH BÁO: Đơn giá = 0. Tra cứu lại Sheet 06!", '00_TONG_HOP_BAO_GIA'!S379)</f>
        <v/>
      </c>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83" t="inlineStr">
        <is>
          <t>Bộ</t>
        </is>
      </c>
      <c r="H400" s="136" t="n">
        <v>1</v>
      </c>
      <c r="I400" s="136">
        <f>IF('00_TONG_HOP_BAO_GIA'!G380&gt;0, ('00_TONG_HOP_BAO_GIA'!K380 + '00_TONG_HOP_BAO_GIA'!M380) * (1 + '00_TONG_HOP_BAO_GIA'!P380) / '00_TONG_HOP_BAO_GIA'!G380, 0)</f>
        <v/>
      </c>
      <c r="J400" s="136">
        <f>IF('00_TONG_HOP_BAO_GIA'!G380&gt;0, '00_TONG_HOP_BAO_GIA'!L380 * (1 + '00_TONG_HOP_BAO_GIA'!P380) / '00_TONG_HOP_BAO_GIA'!G380, 0)</f>
        <v/>
      </c>
      <c r="K400" s="137">
        <f>'00_TONG_HOP_BAO_GIA'!Q380</f>
        <v/>
      </c>
      <c r="L400" s="137">
        <f>('00_TONG_HOP_BAO_GIA'!K380 + '00_TONG_HOP_BAO_GIA'!M380) * (1 + '00_TONG_HOP_BAO_GIA'!P380)</f>
        <v/>
      </c>
      <c r="M400" s="137">
        <f>'00_TONG_HOP_BAO_GIA'!L380 * (1 + '00_TONG_HOP_BAO_GIA'!P380)</f>
        <v/>
      </c>
      <c r="N400" s="137">
        <f>'00_TONG_HOP_BAO_GIA'!R380</f>
        <v/>
      </c>
      <c r="O400" s="142">
        <f>IF(K400=0, "CẢNH BÁO: Đơn giá = 0. Tra cứu lại Sheet 06!", '00_TONG_HOP_BAO_GIA'!S380)</f>
        <v/>
      </c>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83" t="inlineStr">
        <is>
          <t>Bộ</t>
        </is>
      </c>
      <c r="H401" s="136" t="n">
        <v>1</v>
      </c>
      <c r="I401" s="136">
        <f>IF('00_TONG_HOP_BAO_GIA'!G381&gt;0, ('00_TONG_HOP_BAO_GIA'!K381 + '00_TONG_HOP_BAO_GIA'!M381) * (1 + '00_TONG_HOP_BAO_GIA'!P381) / '00_TONG_HOP_BAO_GIA'!G381, 0)</f>
        <v/>
      </c>
      <c r="J401" s="136">
        <f>IF('00_TONG_HOP_BAO_GIA'!G381&gt;0, '00_TONG_HOP_BAO_GIA'!L381 * (1 + '00_TONG_HOP_BAO_GIA'!P381) / '00_TONG_HOP_BAO_GIA'!G381, 0)</f>
        <v/>
      </c>
      <c r="K401" s="137">
        <f>'00_TONG_HOP_BAO_GIA'!Q381</f>
        <v/>
      </c>
      <c r="L401" s="137">
        <f>('00_TONG_HOP_BAO_GIA'!K381 + '00_TONG_HOP_BAO_GIA'!M381) * (1 + '00_TONG_HOP_BAO_GIA'!P381)</f>
        <v/>
      </c>
      <c r="M401" s="137">
        <f>'00_TONG_HOP_BAO_GIA'!L381 * (1 + '00_TONG_HOP_BAO_GIA'!P381)</f>
        <v/>
      </c>
      <c r="N401" s="137">
        <f>'00_TONG_HOP_BAO_GIA'!R381</f>
        <v/>
      </c>
      <c r="O401" s="142">
        <f>IF(K401=0, "CẢNH BÁO: Đơn giá = 0. Tra cứu lại Sheet 06!", '00_TONG_HOP_BAO_GIA'!S381)</f>
        <v/>
      </c>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83" t="inlineStr">
        <is>
          <t>Bộ</t>
        </is>
      </c>
      <c r="H402" s="136" t="n">
        <v>1</v>
      </c>
      <c r="I402" s="136">
        <f>IF('00_TONG_HOP_BAO_GIA'!G382&gt;0, ('00_TONG_HOP_BAO_GIA'!K382 + '00_TONG_HOP_BAO_GIA'!M382) * (1 + '00_TONG_HOP_BAO_GIA'!P382) / '00_TONG_HOP_BAO_GIA'!G382, 0)</f>
        <v/>
      </c>
      <c r="J402" s="136">
        <f>IF('00_TONG_HOP_BAO_GIA'!G382&gt;0, '00_TONG_HOP_BAO_GIA'!L382 * (1 + '00_TONG_HOP_BAO_GIA'!P382) / '00_TONG_HOP_BAO_GIA'!G382, 0)</f>
        <v/>
      </c>
      <c r="K402" s="137">
        <f>'00_TONG_HOP_BAO_GIA'!Q382</f>
        <v/>
      </c>
      <c r="L402" s="137">
        <f>('00_TONG_HOP_BAO_GIA'!K382 + '00_TONG_HOP_BAO_GIA'!M382) * (1 + '00_TONG_HOP_BAO_GIA'!P382)</f>
        <v/>
      </c>
      <c r="M402" s="137">
        <f>'00_TONG_HOP_BAO_GIA'!L382 * (1 + '00_TONG_HOP_BAO_GIA'!P382)</f>
        <v/>
      </c>
      <c r="N402" s="137">
        <f>'00_TONG_HOP_BAO_GIA'!R382</f>
        <v/>
      </c>
      <c r="O402" s="142">
        <f>IF(K402=0, "CẢNH BÁO: Đơn giá = 0. Tra cứu lại Sheet 06!", '00_TONG_HOP_BAO_GIA'!S382)</f>
        <v/>
      </c>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83" t="inlineStr">
        <is>
          <t>Bộ</t>
        </is>
      </c>
      <c r="H403" s="136" t="n">
        <v>1</v>
      </c>
      <c r="I403" s="136">
        <f>IF('00_TONG_HOP_BAO_GIA'!G383&gt;0, ('00_TONG_HOP_BAO_GIA'!K383 + '00_TONG_HOP_BAO_GIA'!M383) * (1 + '00_TONG_HOP_BAO_GIA'!P383) / '00_TONG_HOP_BAO_GIA'!G383, 0)</f>
        <v/>
      </c>
      <c r="J403" s="136">
        <f>IF('00_TONG_HOP_BAO_GIA'!G383&gt;0, '00_TONG_HOP_BAO_GIA'!L383 * (1 + '00_TONG_HOP_BAO_GIA'!P383) / '00_TONG_HOP_BAO_GIA'!G383, 0)</f>
        <v/>
      </c>
      <c r="K403" s="137">
        <f>'00_TONG_HOP_BAO_GIA'!Q383</f>
        <v/>
      </c>
      <c r="L403" s="137">
        <f>('00_TONG_HOP_BAO_GIA'!K383 + '00_TONG_HOP_BAO_GIA'!M383) * (1 + '00_TONG_HOP_BAO_GIA'!P383)</f>
        <v/>
      </c>
      <c r="M403" s="137">
        <f>'00_TONG_HOP_BAO_GIA'!L383 * (1 + '00_TONG_HOP_BAO_GIA'!P383)</f>
        <v/>
      </c>
      <c r="N403" s="137">
        <f>'00_TONG_HOP_BAO_GIA'!R383</f>
        <v/>
      </c>
      <c r="O403" s="142">
        <f>IF(K403=0, "CẢNH BÁO: Đơn giá = 0. Tra cứu lại Sheet 06!", '00_TONG_HOP_BAO_GIA'!S383)</f>
        <v/>
      </c>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83" t="inlineStr">
        <is>
          <t>Bộ</t>
        </is>
      </c>
      <c r="H404" s="136" t="n">
        <v>1</v>
      </c>
      <c r="I404" s="136">
        <f>IF('00_TONG_HOP_BAO_GIA'!G384&gt;0, ('00_TONG_HOP_BAO_GIA'!K384 + '00_TONG_HOP_BAO_GIA'!M384) * (1 + '00_TONG_HOP_BAO_GIA'!P384) / '00_TONG_HOP_BAO_GIA'!G384, 0)</f>
        <v/>
      </c>
      <c r="J404" s="136">
        <f>IF('00_TONG_HOP_BAO_GIA'!G384&gt;0, '00_TONG_HOP_BAO_GIA'!L384 * (1 + '00_TONG_HOP_BAO_GIA'!P384) / '00_TONG_HOP_BAO_GIA'!G384, 0)</f>
        <v/>
      </c>
      <c r="K404" s="137">
        <f>'00_TONG_HOP_BAO_GIA'!Q384</f>
        <v/>
      </c>
      <c r="L404" s="137">
        <f>('00_TONG_HOP_BAO_GIA'!K384 + '00_TONG_HOP_BAO_GIA'!M384) * (1 + '00_TONG_HOP_BAO_GIA'!P384)</f>
        <v/>
      </c>
      <c r="M404" s="137">
        <f>'00_TONG_HOP_BAO_GIA'!L384 * (1 + '00_TONG_HOP_BAO_GIA'!P384)</f>
        <v/>
      </c>
      <c r="N404" s="137">
        <f>'00_TONG_HOP_BAO_GIA'!R384</f>
        <v/>
      </c>
      <c r="O404" s="142">
        <f>IF(K404=0, "CẢNH BÁO: Đơn giá = 0. Tra cứu lại Sheet 06!", '00_TONG_HOP_BAO_GIA'!S384)</f>
        <v/>
      </c>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83" t="inlineStr">
        <is>
          <t>Bộ</t>
        </is>
      </c>
      <c r="H405" s="136" t="n">
        <v>1</v>
      </c>
      <c r="I405" s="136">
        <f>IF('00_TONG_HOP_BAO_GIA'!G385&gt;0, ('00_TONG_HOP_BAO_GIA'!K385 + '00_TONG_HOP_BAO_GIA'!M385) * (1 + '00_TONG_HOP_BAO_GIA'!P385) / '00_TONG_HOP_BAO_GIA'!G385, 0)</f>
        <v/>
      </c>
      <c r="J405" s="136">
        <f>IF('00_TONG_HOP_BAO_GIA'!G385&gt;0, '00_TONG_HOP_BAO_GIA'!L385 * (1 + '00_TONG_HOP_BAO_GIA'!P385) / '00_TONG_HOP_BAO_GIA'!G385, 0)</f>
        <v/>
      </c>
      <c r="K405" s="137">
        <f>'00_TONG_HOP_BAO_GIA'!Q385</f>
        <v/>
      </c>
      <c r="L405" s="137">
        <f>('00_TONG_HOP_BAO_GIA'!K385 + '00_TONG_HOP_BAO_GIA'!M385) * (1 + '00_TONG_HOP_BAO_GIA'!P385)</f>
        <v/>
      </c>
      <c r="M405" s="137">
        <f>'00_TONG_HOP_BAO_GIA'!L385 * (1 + '00_TONG_HOP_BAO_GIA'!P385)</f>
        <v/>
      </c>
      <c r="N405" s="137">
        <f>'00_TONG_HOP_BAO_GIA'!R385</f>
        <v/>
      </c>
      <c r="O405" s="142">
        <f>IF(K405=0, "CẢNH BÁO: Đơn giá = 0. Tra cứu lại Sheet 06!", '00_TONG_HOP_BAO_GIA'!S385)</f>
        <v/>
      </c>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83" t="inlineStr">
        <is>
          <t>Bộ</t>
        </is>
      </c>
      <c r="H406" s="136" t="n">
        <v>1</v>
      </c>
      <c r="I406" s="136">
        <f>IF('00_TONG_HOP_BAO_GIA'!G386&gt;0, ('00_TONG_HOP_BAO_GIA'!K386 + '00_TONG_HOP_BAO_GIA'!M386) * (1 + '00_TONG_HOP_BAO_GIA'!P386) / '00_TONG_HOP_BAO_GIA'!G386, 0)</f>
        <v/>
      </c>
      <c r="J406" s="136">
        <f>IF('00_TONG_HOP_BAO_GIA'!G386&gt;0, '00_TONG_HOP_BAO_GIA'!L386 * (1 + '00_TONG_HOP_BAO_GIA'!P386) / '00_TONG_HOP_BAO_GIA'!G386, 0)</f>
        <v/>
      </c>
      <c r="K406" s="137">
        <f>'00_TONG_HOP_BAO_GIA'!Q386</f>
        <v/>
      </c>
      <c r="L406" s="137">
        <f>('00_TONG_HOP_BAO_GIA'!K386 + '00_TONG_HOP_BAO_GIA'!M386) * (1 + '00_TONG_HOP_BAO_GIA'!P386)</f>
        <v/>
      </c>
      <c r="M406" s="137">
        <f>'00_TONG_HOP_BAO_GIA'!L386 * (1 + '00_TONG_HOP_BAO_GIA'!P386)</f>
        <v/>
      </c>
      <c r="N406" s="137">
        <f>'00_TONG_HOP_BAO_GIA'!R386</f>
        <v/>
      </c>
      <c r="O406" s="142">
        <f>IF(K406=0, "CẢNH BÁO: Đơn giá = 0. Tra cứu lại Sheet 06!", '00_TONG_HOP_BAO_GIA'!S386)</f>
        <v/>
      </c>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83" t="inlineStr">
        <is>
          <t>Bộ</t>
        </is>
      </c>
      <c r="H407" s="136" t="n">
        <v>1</v>
      </c>
      <c r="I407" s="136">
        <f>IF('00_TONG_HOP_BAO_GIA'!G387&gt;0, ('00_TONG_HOP_BAO_GIA'!K387 + '00_TONG_HOP_BAO_GIA'!M387) * (1 + '00_TONG_HOP_BAO_GIA'!P387) / '00_TONG_HOP_BAO_GIA'!G387, 0)</f>
        <v/>
      </c>
      <c r="J407" s="136">
        <f>IF('00_TONG_HOP_BAO_GIA'!G387&gt;0, '00_TONG_HOP_BAO_GIA'!L387 * (1 + '00_TONG_HOP_BAO_GIA'!P387) / '00_TONG_HOP_BAO_GIA'!G387, 0)</f>
        <v/>
      </c>
      <c r="K407" s="137">
        <f>'00_TONG_HOP_BAO_GIA'!Q387</f>
        <v/>
      </c>
      <c r="L407" s="137">
        <f>('00_TONG_HOP_BAO_GIA'!K387 + '00_TONG_HOP_BAO_GIA'!M387) * (1 + '00_TONG_HOP_BAO_GIA'!P387)</f>
        <v/>
      </c>
      <c r="M407" s="137">
        <f>'00_TONG_HOP_BAO_GIA'!L387 * (1 + '00_TONG_HOP_BAO_GIA'!P387)</f>
        <v/>
      </c>
      <c r="N407" s="137">
        <f>'00_TONG_HOP_BAO_GIA'!R387</f>
        <v/>
      </c>
      <c r="O407" s="142">
        <f>IF(K407=0, "CẢNH BÁO: Đơn giá = 0. Tra cứu lại Sheet 06!", '00_TONG_HOP_BAO_GIA'!S387)</f>
        <v/>
      </c>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83" t="inlineStr">
        <is>
          <t>Bộ</t>
        </is>
      </c>
      <c r="H408" s="136" t="n">
        <v>1</v>
      </c>
      <c r="I408" s="136">
        <f>IF('00_TONG_HOP_BAO_GIA'!G388&gt;0, ('00_TONG_HOP_BAO_GIA'!K388 + '00_TONG_HOP_BAO_GIA'!M388) * (1 + '00_TONG_HOP_BAO_GIA'!P388) / '00_TONG_HOP_BAO_GIA'!G388, 0)</f>
        <v/>
      </c>
      <c r="J408" s="136">
        <f>IF('00_TONG_HOP_BAO_GIA'!G388&gt;0, '00_TONG_HOP_BAO_GIA'!L388 * (1 + '00_TONG_HOP_BAO_GIA'!P388) / '00_TONG_HOP_BAO_GIA'!G388, 0)</f>
        <v/>
      </c>
      <c r="K408" s="137">
        <f>'00_TONG_HOP_BAO_GIA'!Q388</f>
        <v/>
      </c>
      <c r="L408" s="137">
        <f>('00_TONG_HOP_BAO_GIA'!K388 + '00_TONG_HOP_BAO_GIA'!M388) * (1 + '00_TONG_HOP_BAO_GIA'!P388)</f>
        <v/>
      </c>
      <c r="M408" s="137">
        <f>'00_TONG_HOP_BAO_GIA'!L388 * (1 + '00_TONG_HOP_BAO_GIA'!P388)</f>
        <v/>
      </c>
      <c r="N408" s="137">
        <f>'00_TONG_HOP_BAO_GIA'!R388</f>
        <v/>
      </c>
      <c r="O408" s="142">
        <f>IF(K408=0, "CẢNH BÁO: Đơn giá = 0. Tra cứu lại Sheet 06!", '00_TONG_HOP_BAO_GIA'!S388)</f>
        <v/>
      </c>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83" t="inlineStr">
        <is>
          <t>Bộ</t>
        </is>
      </c>
      <c r="H409" s="136" t="n">
        <v>1</v>
      </c>
      <c r="I409" s="136">
        <f>IF('00_TONG_HOP_BAO_GIA'!G389&gt;0, ('00_TONG_HOP_BAO_GIA'!K389 + '00_TONG_HOP_BAO_GIA'!M389) * (1 + '00_TONG_HOP_BAO_GIA'!P389) / '00_TONG_HOP_BAO_GIA'!G389, 0)</f>
        <v/>
      </c>
      <c r="J409" s="136">
        <f>IF('00_TONG_HOP_BAO_GIA'!G389&gt;0, '00_TONG_HOP_BAO_GIA'!L389 * (1 + '00_TONG_HOP_BAO_GIA'!P389) / '00_TONG_HOP_BAO_GIA'!G389, 0)</f>
        <v/>
      </c>
      <c r="K409" s="137">
        <f>'00_TONG_HOP_BAO_GIA'!Q389</f>
        <v/>
      </c>
      <c r="L409" s="137">
        <f>('00_TONG_HOP_BAO_GIA'!K389 + '00_TONG_HOP_BAO_GIA'!M389) * (1 + '00_TONG_HOP_BAO_GIA'!P389)</f>
        <v/>
      </c>
      <c r="M409" s="137">
        <f>'00_TONG_HOP_BAO_GIA'!L389 * (1 + '00_TONG_HOP_BAO_GIA'!P389)</f>
        <v/>
      </c>
      <c r="N409" s="137">
        <f>'00_TONG_HOP_BAO_GIA'!R389</f>
        <v/>
      </c>
      <c r="O409" s="142">
        <f>IF(K409=0, "CẢNH BÁO: Đơn giá = 0. Tra cứu lại Sheet 06!", '00_TONG_HOP_BAO_GIA'!S389)</f>
        <v/>
      </c>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83" t="inlineStr">
        <is>
          <t>Bộ</t>
        </is>
      </c>
      <c r="H410" s="136" t="n">
        <v>1</v>
      </c>
      <c r="I410" s="136">
        <f>IF('00_TONG_HOP_BAO_GIA'!G390&gt;0, ('00_TONG_HOP_BAO_GIA'!K390 + '00_TONG_HOP_BAO_GIA'!M390) * (1 + '00_TONG_HOP_BAO_GIA'!P390) / '00_TONG_HOP_BAO_GIA'!G390, 0)</f>
        <v/>
      </c>
      <c r="J410" s="136">
        <f>IF('00_TONG_HOP_BAO_GIA'!G390&gt;0, '00_TONG_HOP_BAO_GIA'!L390 * (1 + '00_TONG_HOP_BAO_GIA'!P390) / '00_TONG_HOP_BAO_GIA'!G390, 0)</f>
        <v/>
      </c>
      <c r="K410" s="137">
        <f>'00_TONG_HOP_BAO_GIA'!Q390</f>
        <v/>
      </c>
      <c r="L410" s="137">
        <f>('00_TONG_HOP_BAO_GIA'!K390 + '00_TONG_HOP_BAO_GIA'!M390) * (1 + '00_TONG_HOP_BAO_GIA'!P390)</f>
        <v/>
      </c>
      <c r="M410" s="137">
        <f>'00_TONG_HOP_BAO_GIA'!L390 * (1 + '00_TONG_HOP_BAO_GIA'!P390)</f>
        <v/>
      </c>
      <c r="N410" s="137">
        <f>'00_TONG_HOP_BAO_GIA'!R390</f>
        <v/>
      </c>
      <c r="O410" s="142">
        <f>IF(K410=0, "CẢNH BÁO: Đơn giá = 0. Tra cứu lại Sheet 06!", '00_TONG_HOP_BAO_GIA'!S390)</f>
        <v/>
      </c>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83" t="inlineStr">
        <is>
          <t>Bộ</t>
        </is>
      </c>
      <c r="H411" s="136" t="n">
        <v>1</v>
      </c>
      <c r="I411" s="136">
        <f>IF('00_TONG_HOP_BAO_GIA'!G391&gt;0, ('00_TONG_HOP_BAO_GIA'!K391 + '00_TONG_HOP_BAO_GIA'!M391) * (1 + '00_TONG_HOP_BAO_GIA'!P391) / '00_TONG_HOP_BAO_GIA'!G391, 0)</f>
        <v/>
      </c>
      <c r="J411" s="136">
        <f>IF('00_TONG_HOP_BAO_GIA'!G391&gt;0, '00_TONG_HOP_BAO_GIA'!L391 * (1 + '00_TONG_HOP_BAO_GIA'!P391) / '00_TONG_HOP_BAO_GIA'!G391, 0)</f>
        <v/>
      </c>
      <c r="K411" s="137">
        <f>'00_TONG_HOP_BAO_GIA'!Q391</f>
        <v/>
      </c>
      <c r="L411" s="137">
        <f>('00_TONG_HOP_BAO_GIA'!K391 + '00_TONG_HOP_BAO_GIA'!M391) * (1 + '00_TONG_HOP_BAO_GIA'!P391)</f>
        <v/>
      </c>
      <c r="M411" s="137">
        <f>'00_TONG_HOP_BAO_GIA'!L391 * (1 + '00_TONG_HOP_BAO_GIA'!P391)</f>
        <v/>
      </c>
      <c r="N411" s="137">
        <f>'00_TONG_HOP_BAO_GIA'!R391</f>
        <v/>
      </c>
      <c r="O411" s="142">
        <f>IF(K411=0, "CẢNH BÁO: Đơn giá = 0. Tra cứu lại Sheet 06!", '00_TONG_HOP_BAO_GIA'!S391)</f>
        <v/>
      </c>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83" t="inlineStr">
        <is>
          <t>Bộ</t>
        </is>
      </c>
      <c r="H412" s="136" t="n">
        <v>1</v>
      </c>
      <c r="I412" s="136">
        <f>IF('00_TONG_HOP_BAO_GIA'!G392&gt;0, ('00_TONG_HOP_BAO_GIA'!K392 + '00_TONG_HOP_BAO_GIA'!M392) * (1 + '00_TONG_HOP_BAO_GIA'!P392) / '00_TONG_HOP_BAO_GIA'!G392, 0)</f>
        <v/>
      </c>
      <c r="J412" s="136">
        <f>IF('00_TONG_HOP_BAO_GIA'!G392&gt;0, '00_TONG_HOP_BAO_GIA'!L392 * (1 + '00_TONG_HOP_BAO_GIA'!P392) / '00_TONG_HOP_BAO_GIA'!G392, 0)</f>
        <v/>
      </c>
      <c r="K412" s="137">
        <f>'00_TONG_HOP_BAO_GIA'!Q392</f>
        <v/>
      </c>
      <c r="L412" s="137">
        <f>('00_TONG_HOP_BAO_GIA'!K392 + '00_TONG_HOP_BAO_GIA'!M392) * (1 + '00_TONG_HOP_BAO_GIA'!P392)</f>
        <v/>
      </c>
      <c r="M412" s="137">
        <f>'00_TONG_HOP_BAO_GIA'!L392 * (1 + '00_TONG_HOP_BAO_GIA'!P392)</f>
        <v/>
      </c>
      <c r="N412" s="137">
        <f>'00_TONG_HOP_BAO_GIA'!R392</f>
        <v/>
      </c>
      <c r="O412" s="142">
        <f>IF(K412=0, "CẢNH BÁO: Đơn giá = 0. Tra cứu lại Sheet 06!", '00_TONG_HOP_BAO_GIA'!S392)</f>
        <v/>
      </c>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83" t="inlineStr">
        <is>
          <t>Bộ</t>
        </is>
      </c>
      <c r="H413" s="136" t="n">
        <v>1</v>
      </c>
      <c r="I413" s="136">
        <f>IF('00_TONG_HOP_BAO_GIA'!G393&gt;0, ('00_TONG_HOP_BAO_GIA'!K393 + '00_TONG_HOP_BAO_GIA'!M393) * (1 + '00_TONG_HOP_BAO_GIA'!P393) / '00_TONG_HOP_BAO_GIA'!G393, 0)</f>
        <v/>
      </c>
      <c r="J413" s="136">
        <f>IF('00_TONG_HOP_BAO_GIA'!G393&gt;0, '00_TONG_HOP_BAO_GIA'!L393 * (1 + '00_TONG_HOP_BAO_GIA'!P393) / '00_TONG_HOP_BAO_GIA'!G393, 0)</f>
        <v/>
      </c>
      <c r="K413" s="137">
        <f>'00_TONG_HOP_BAO_GIA'!Q393</f>
        <v/>
      </c>
      <c r="L413" s="137">
        <f>('00_TONG_HOP_BAO_GIA'!K393 + '00_TONG_HOP_BAO_GIA'!M393) * (1 + '00_TONG_HOP_BAO_GIA'!P393)</f>
        <v/>
      </c>
      <c r="M413" s="137">
        <f>'00_TONG_HOP_BAO_GIA'!L393 * (1 + '00_TONG_HOP_BAO_GIA'!P393)</f>
        <v/>
      </c>
      <c r="N413" s="137">
        <f>'00_TONG_HOP_BAO_GIA'!R393</f>
        <v/>
      </c>
      <c r="O413" s="142">
        <f>IF(K413=0, "CẢNH BÁO: Đơn giá = 0. Tra cứu lại Sheet 06!", '00_TONG_HOP_BAO_GIA'!S393)</f>
        <v/>
      </c>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83" t="inlineStr">
        <is>
          <t>Bộ</t>
        </is>
      </c>
      <c r="H414" s="136" t="n">
        <v>1</v>
      </c>
      <c r="I414" s="136">
        <f>IF('00_TONG_HOP_BAO_GIA'!G394&gt;0, ('00_TONG_HOP_BAO_GIA'!K394 + '00_TONG_HOP_BAO_GIA'!M394) * (1 + '00_TONG_HOP_BAO_GIA'!P394) / '00_TONG_HOP_BAO_GIA'!G394, 0)</f>
        <v/>
      </c>
      <c r="J414" s="136">
        <f>IF('00_TONG_HOP_BAO_GIA'!G394&gt;0, '00_TONG_HOP_BAO_GIA'!L394 * (1 + '00_TONG_HOP_BAO_GIA'!P394) / '00_TONG_HOP_BAO_GIA'!G394, 0)</f>
        <v/>
      </c>
      <c r="K414" s="137">
        <f>'00_TONG_HOP_BAO_GIA'!Q394</f>
        <v/>
      </c>
      <c r="L414" s="137">
        <f>('00_TONG_HOP_BAO_GIA'!K394 + '00_TONG_HOP_BAO_GIA'!M394) * (1 + '00_TONG_HOP_BAO_GIA'!P394)</f>
        <v/>
      </c>
      <c r="M414" s="137">
        <f>'00_TONG_HOP_BAO_GIA'!L394 * (1 + '00_TONG_HOP_BAO_GIA'!P394)</f>
        <v/>
      </c>
      <c r="N414" s="137">
        <f>'00_TONG_HOP_BAO_GIA'!R394</f>
        <v/>
      </c>
      <c r="O414" s="142">
        <f>IF(K414=0, "CẢNH BÁO: Đơn giá = 0. Tra cứu lại Sheet 06!", '00_TONG_HOP_BAO_GIA'!S394)</f>
        <v/>
      </c>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83" t="inlineStr">
        <is>
          <t>Bộ</t>
        </is>
      </c>
      <c r="H415" s="136" t="n">
        <v>1</v>
      </c>
      <c r="I415" s="136">
        <f>IF('00_TONG_HOP_BAO_GIA'!G395&gt;0, ('00_TONG_HOP_BAO_GIA'!K395 + '00_TONG_HOP_BAO_GIA'!M395) * (1 + '00_TONG_HOP_BAO_GIA'!P395) / '00_TONG_HOP_BAO_GIA'!G395, 0)</f>
        <v/>
      </c>
      <c r="J415" s="136">
        <f>IF('00_TONG_HOP_BAO_GIA'!G395&gt;0, '00_TONG_HOP_BAO_GIA'!L395 * (1 + '00_TONG_HOP_BAO_GIA'!P395) / '00_TONG_HOP_BAO_GIA'!G395, 0)</f>
        <v/>
      </c>
      <c r="K415" s="137">
        <f>'00_TONG_HOP_BAO_GIA'!Q395</f>
        <v/>
      </c>
      <c r="L415" s="137">
        <f>('00_TONG_HOP_BAO_GIA'!K395 + '00_TONG_HOP_BAO_GIA'!M395) * (1 + '00_TONG_HOP_BAO_GIA'!P395)</f>
        <v/>
      </c>
      <c r="M415" s="137">
        <f>'00_TONG_HOP_BAO_GIA'!L395 * (1 + '00_TONG_HOP_BAO_GIA'!P395)</f>
        <v/>
      </c>
      <c r="N415" s="137">
        <f>'00_TONG_HOP_BAO_GIA'!R395</f>
        <v/>
      </c>
      <c r="O415" s="142">
        <f>IF(K415=0, "CẢNH BÁO: Đơn giá = 0. Tra cứu lại Sheet 06!", '00_TONG_HOP_BAO_GIA'!S395)</f>
        <v/>
      </c>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83" t="inlineStr">
        <is>
          <t>Bộ</t>
        </is>
      </c>
      <c r="H416" s="136" t="n">
        <v>1</v>
      </c>
      <c r="I416" s="136">
        <f>IF('00_TONG_HOP_BAO_GIA'!G396&gt;0, ('00_TONG_HOP_BAO_GIA'!K396 + '00_TONG_HOP_BAO_GIA'!M396) * (1 + '00_TONG_HOP_BAO_GIA'!P396) / '00_TONG_HOP_BAO_GIA'!G396, 0)</f>
        <v/>
      </c>
      <c r="J416" s="136">
        <f>IF('00_TONG_HOP_BAO_GIA'!G396&gt;0, '00_TONG_HOP_BAO_GIA'!L396 * (1 + '00_TONG_HOP_BAO_GIA'!P396) / '00_TONG_HOP_BAO_GIA'!G396, 0)</f>
        <v/>
      </c>
      <c r="K416" s="137">
        <f>'00_TONG_HOP_BAO_GIA'!Q396</f>
        <v/>
      </c>
      <c r="L416" s="137">
        <f>('00_TONG_HOP_BAO_GIA'!K396 + '00_TONG_HOP_BAO_GIA'!M396) * (1 + '00_TONG_HOP_BAO_GIA'!P396)</f>
        <v/>
      </c>
      <c r="M416" s="137">
        <f>'00_TONG_HOP_BAO_GIA'!L396 * (1 + '00_TONG_HOP_BAO_GIA'!P396)</f>
        <v/>
      </c>
      <c r="N416" s="137">
        <f>'00_TONG_HOP_BAO_GIA'!R396</f>
        <v/>
      </c>
      <c r="O416" s="142">
        <f>IF(K416=0, "CẢNH BÁO: Đơn giá = 0. Tra cứu lại Sheet 06!", '00_TONG_HOP_BAO_GIA'!S396)</f>
        <v/>
      </c>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83" t="inlineStr">
        <is>
          <t>Bộ</t>
        </is>
      </c>
      <c r="H417" s="136" t="n">
        <v>1</v>
      </c>
      <c r="I417" s="136">
        <f>IF('00_TONG_HOP_BAO_GIA'!G397&gt;0, ('00_TONG_HOP_BAO_GIA'!K397 + '00_TONG_HOP_BAO_GIA'!M397) * (1 + '00_TONG_HOP_BAO_GIA'!P397) / '00_TONG_HOP_BAO_GIA'!G397, 0)</f>
        <v/>
      </c>
      <c r="J417" s="136">
        <f>IF('00_TONG_HOP_BAO_GIA'!G397&gt;0, '00_TONG_HOP_BAO_GIA'!L397 * (1 + '00_TONG_HOP_BAO_GIA'!P397) / '00_TONG_HOP_BAO_GIA'!G397, 0)</f>
        <v/>
      </c>
      <c r="K417" s="137">
        <f>'00_TONG_HOP_BAO_GIA'!Q397</f>
        <v/>
      </c>
      <c r="L417" s="137">
        <f>('00_TONG_HOP_BAO_GIA'!K397 + '00_TONG_HOP_BAO_GIA'!M397) * (1 + '00_TONG_HOP_BAO_GIA'!P397)</f>
        <v/>
      </c>
      <c r="M417" s="137">
        <f>'00_TONG_HOP_BAO_GIA'!L397 * (1 + '00_TONG_HOP_BAO_GIA'!P397)</f>
        <v/>
      </c>
      <c r="N417" s="137">
        <f>'00_TONG_HOP_BAO_GIA'!R397</f>
        <v/>
      </c>
      <c r="O417" s="142">
        <f>IF(K417=0, "CẢNH BÁO: Đơn giá = 0. Tra cứu lại Sheet 06!", '00_TONG_HOP_BAO_GIA'!S397)</f>
        <v/>
      </c>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83" t="inlineStr">
        <is>
          <t>Bộ</t>
        </is>
      </c>
      <c r="H418" s="136" t="n">
        <v>1</v>
      </c>
      <c r="I418" s="136">
        <f>IF('00_TONG_HOP_BAO_GIA'!G398&gt;0, ('00_TONG_HOP_BAO_GIA'!K398 + '00_TONG_HOP_BAO_GIA'!M398) * (1 + '00_TONG_HOP_BAO_GIA'!P398) / '00_TONG_HOP_BAO_GIA'!G398, 0)</f>
        <v/>
      </c>
      <c r="J418" s="136">
        <f>IF('00_TONG_HOP_BAO_GIA'!G398&gt;0, '00_TONG_HOP_BAO_GIA'!L398 * (1 + '00_TONG_HOP_BAO_GIA'!P398) / '00_TONG_HOP_BAO_GIA'!G398, 0)</f>
        <v/>
      </c>
      <c r="K418" s="137">
        <f>'00_TONG_HOP_BAO_GIA'!Q398</f>
        <v/>
      </c>
      <c r="L418" s="137">
        <f>('00_TONG_HOP_BAO_GIA'!K398 + '00_TONG_HOP_BAO_GIA'!M398) * (1 + '00_TONG_HOP_BAO_GIA'!P398)</f>
        <v/>
      </c>
      <c r="M418" s="137">
        <f>'00_TONG_HOP_BAO_GIA'!L398 * (1 + '00_TONG_HOP_BAO_GIA'!P398)</f>
        <v/>
      </c>
      <c r="N418" s="137">
        <f>'00_TONG_HOP_BAO_GIA'!R398</f>
        <v/>
      </c>
      <c r="O418" s="142">
        <f>IF(K418=0, "CẢNH BÁO: Đơn giá = 0. Tra cứu lại Sheet 06!", '00_TONG_HOP_BAO_GIA'!S398)</f>
        <v/>
      </c>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83" t="inlineStr">
        <is>
          <t>Bộ</t>
        </is>
      </c>
      <c r="H419" s="136" t="n">
        <v>1</v>
      </c>
      <c r="I419" s="136">
        <f>IF('00_TONG_HOP_BAO_GIA'!G399&gt;0, ('00_TONG_HOP_BAO_GIA'!K399 + '00_TONG_HOP_BAO_GIA'!M399) * (1 + '00_TONG_HOP_BAO_GIA'!P399) / '00_TONG_HOP_BAO_GIA'!G399, 0)</f>
        <v/>
      </c>
      <c r="J419" s="136">
        <f>IF('00_TONG_HOP_BAO_GIA'!G399&gt;0, '00_TONG_HOP_BAO_GIA'!L399 * (1 + '00_TONG_HOP_BAO_GIA'!P399) / '00_TONG_HOP_BAO_GIA'!G399, 0)</f>
        <v/>
      </c>
      <c r="K419" s="137">
        <f>'00_TONG_HOP_BAO_GIA'!Q399</f>
        <v/>
      </c>
      <c r="L419" s="137">
        <f>('00_TONG_HOP_BAO_GIA'!K399 + '00_TONG_HOP_BAO_GIA'!M399) * (1 + '00_TONG_HOP_BAO_GIA'!P399)</f>
        <v/>
      </c>
      <c r="M419" s="137">
        <f>'00_TONG_HOP_BAO_GIA'!L399 * (1 + '00_TONG_HOP_BAO_GIA'!P399)</f>
        <v/>
      </c>
      <c r="N419" s="137">
        <f>'00_TONG_HOP_BAO_GIA'!R399</f>
        <v/>
      </c>
      <c r="O419" s="142">
        <f>IF(K419=0, "CẢNH BÁO: Đơn giá = 0. Tra cứu lại Sheet 06!", '00_TONG_HOP_BAO_GIA'!S399)</f>
        <v/>
      </c>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83" t="inlineStr">
        <is>
          <t>Bộ</t>
        </is>
      </c>
      <c r="H420" s="136" t="n">
        <v>1</v>
      </c>
      <c r="I420" s="136">
        <f>IF('00_TONG_HOP_BAO_GIA'!G400&gt;0, ('00_TONG_HOP_BAO_GIA'!K400 + '00_TONG_HOP_BAO_GIA'!M400) * (1 + '00_TONG_HOP_BAO_GIA'!P400) / '00_TONG_HOP_BAO_GIA'!G400, 0)</f>
        <v/>
      </c>
      <c r="J420" s="136">
        <f>IF('00_TONG_HOP_BAO_GIA'!G400&gt;0, '00_TONG_HOP_BAO_GIA'!L400 * (1 + '00_TONG_HOP_BAO_GIA'!P400) / '00_TONG_HOP_BAO_GIA'!G400, 0)</f>
        <v/>
      </c>
      <c r="K420" s="137">
        <f>'00_TONG_HOP_BAO_GIA'!Q400</f>
        <v/>
      </c>
      <c r="L420" s="137">
        <f>('00_TONG_HOP_BAO_GIA'!K400 + '00_TONG_HOP_BAO_GIA'!M400) * (1 + '00_TONG_HOP_BAO_GIA'!P400)</f>
        <v/>
      </c>
      <c r="M420" s="137">
        <f>'00_TONG_HOP_BAO_GIA'!L400 * (1 + '00_TONG_HOP_BAO_GIA'!P400)</f>
        <v/>
      </c>
      <c r="N420" s="137">
        <f>'00_TONG_HOP_BAO_GIA'!R400</f>
        <v/>
      </c>
      <c r="O420" s="142">
        <f>IF(K420=0, "CẢNH BÁO: Đơn giá = 0. Tra cứu lại Sheet 06!", '00_TONG_HOP_BAO_GIA'!S400)</f>
        <v/>
      </c>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83" t="inlineStr">
        <is>
          <t>Bộ</t>
        </is>
      </c>
      <c r="H421" s="136" t="n">
        <v>1</v>
      </c>
      <c r="I421" s="136">
        <f>IF('00_TONG_HOP_BAO_GIA'!G401&gt;0, ('00_TONG_HOP_BAO_GIA'!K401 + '00_TONG_HOP_BAO_GIA'!M401) * (1 + '00_TONG_HOP_BAO_GIA'!P401) / '00_TONG_HOP_BAO_GIA'!G401, 0)</f>
        <v/>
      </c>
      <c r="J421" s="136">
        <f>IF('00_TONG_HOP_BAO_GIA'!G401&gt;0, '00_TONG_HOP_BAO_GIA'!L401 * (1 + '00_TONG_HOP_BAO_GIA'!P401) / '00_TONG_HOP_BAO_GIA'!G401, 0)</f>
        <v/>
      </c>
      <c r="K421" s="137">
        <f>'00_TONG_HOP_BAO_GIA'!Q401</f>
        <v/>
      </c>
      <c r="L421" s="137">
        <f>('00_TONG_HOP_BAO_GIA'!K401 + '00_TONG_HOP_BAO_GIA'!M401) * (1 + '00_TONG_HOP_BAO_GIA'!P401)</f>
        <v/>
      </c>
      <c r="M421" s="137">
        <f>'00_TONG_HOP_BAO_GIA'!L401 * (1 + '00_TONG_HOP_BAO_GIA'!P401)</f>
        <v/>
      </c>
      <c r="N421" s="137">
        <f>'00_TONG_HOP_BAO_GIA'!R401</f>
        <v/>
      </c>
      <c r="O421" s="142">
        <f>IF(K421=0, "CẢNH BÁO: Đơn giá = 0. Tra cứu lại Sheet 06!", '00_TONG_HOP_BAO_GIA'!S401)</f>
        <v/>
      </c>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83" t="inlineStr">
        <is>
          <t>Bộ</t>
        </is>
      </c>
      <c r="H422" s="136" t="n">
        <v>1</v>
      </c>
      <c r="I422" s="136">
        <f>IF('00_TONG_HOP_BAO_GIA'!G402&gt;0, ('00_TONG_HOP_BAO_GIA'!K402 + '00_TONG_HOP_BAO_GIA'!M402) * (1 + '00_TONG_HOP_BAO_GIA'!P402) / '00_TONG_HOP_BAO_GIA'!G402, 0)</f>
        <v/>
      </c>
      <c r="J422" s="136">
        <f>IF('00_TONG_HOP_BAO_GIA'!G402&gt;0, '00_TONG_HOP_BAO_GIA'!L402 * (1 + '00_TONG_HOP_BAO_GIA'!P402) / '00_TONG_HOP_BAO_GIA'!G402, 0)</f>
        <v/>
      </c>
      <c r="K422" s="137">
        <f>'00_TONG_HOP_BAO_GIA'!Q402</f>
        <v/>
      </c>
      <c r="L422" s="137">
        <f>('00_TONG_HOP_BAO_GIA'!K402 + '00_TONG_HOP_BAO_GIA'!M402) * (1 + '00_TONG_HOP_BAO_GIA'!P402)</f>
        <v/>
      </c>
      <c r="M422" s="137">
        <f>'00_TONG_HOP_BAO_GIA'!L402 * (1 + '00_TONG_HOP_BAO_GIA'!P402)</f>
        <v/>
      </c>
      <c r="N422" s="137">
        <f>'00_TONG_HOP_BAO_GIA'!R402</f>
        <v/>
      </c>
      <c r="O422" s="142">
        <f>IF(K422=0, "CẢNH BÁO: Đơn giá = 0. Tra cứu lại Sheet 06!", '00_TONG_HOP_BAO_GIA'!S402)</f>
        <v/>
      </c>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83" t="inlineStr">
        <is>
          <t>Bộ</t>
        </is>
      </c>
      <c r="H423" s="136" t="n">
        <v>1</v>
      </c>
      <c r="I423" s="136">
        <f>IF('00_TONG_HOP_BAO_GIA'!G403&gt;0, ('00_TONG_HOP_BAO_GIA'!K403 + '00_TONG_HOP_BAO_GIA'!M403) * (1 + '00_TONG_HOP_BAO_GIA'!P403) / '00_TONG_HOP_BAO_GIA'!G403, 0)</f>
        <v/>
      </c>
      <c r="J423" s="136">
        <f>IF('00_TONG_HOP_BAO_GIA'!G403&gt;0, '00_TONG_HOP_BAO_GIA'!L403 * (1 + '00_TONG_HOP_BAO_GIA'!P403) / '00_TONG_HOP_BAO_GIA'!G403, 0)</f>
        <v/>
      </c>
      <c r="K423" s="137">
        <f>'00_TONG_HOP_BAO_GIA'!Q403</f>
        <v/>
      </c>
      <c r="L423" s="137">
        <f>('00_TONG_HOP_BAO_GIA'!K403 + '00_TONG_HOP_BAO_GIA'!M403) * (1 + '00_TONG_HOP_BAO_GIA'!P403)</f>
        <v/>
      </c>
      <c r="M423" s="137">
        <f>'00_TONG_HOP_BAO_GIA'!L403 * (1 + '00_TONG_HOP_BAO_GIA'!P403)</f>
        <v/>
      </c>
      <c r="N423" s="137">
        <f>'00_TONG_HOP_BAO_GIA'!R403</f>
        <v/>
      </c>
      <c r="O423" s="142">
        <f>IF(K423=0, "CẢNH BÁO: Đơn giá = 0. Tra cứu lại Sheet 06!", '00_TONG_HOP_BAO_GIA'!S403)</f>
        <v/>
      </c>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83" t="inlineStr">
        <is>
          <t>Bộ</t>
        </is>
      </c>
      <c r="H424" s="136" t="n">
        <v>1</v>
      </c>
      <c r="I424" s="136">
        <f>IF('00_TONG_HOP_BAO_GIA'!G404&gt;0, ('00_TONG_HOP_BAO_GIA'!K404 + '00_TONG_HOP_BAO_GIA'!M404) * (1 + '00_TONG_HOP_BAO_GIA'!P404) / '00_TONG_HOP_BAO_GIA'!G404, 0)</f>
        <v/>
      </c>
      <c r="J424" s="136">
        <f>IF('00_TONG_HOP_BAO_GIA'!G404&gt;0, '00_TONG_HOP_BAO_GIA'!L404 * (1 + '00_TONG_HOP_BAO_GIA'!P404) / '00_TONG_HOP_BAO_GIA'!G404, 0)</f>
        <v/>
      </c>
      <c r="K424" s="137">
        <f>'00_TONG_HOP_BAO_GIA'!Q404</f>
        <v/>
      </c>
      <c r="L424" s="137">
        <f>('00_TONG_HOP_BAO_GIA'!K404 + '00_TONG_HOP_BAO_GIA'!M404) * (1 + '00_TONG_HOP_BAO_GIA'!P404)</f>
        <v/>
      </c>
      <c r="M424" s="137">
        <f>'00_TONG_HOP_BAO_GIA'!L404 * (1 + '00_TONG_HOP_BAO_GIA'!P404)</f>
        <v/>
      </c>
      <c r="N424" s="137">
        <f>'00_TONG_HOP_BAO_GIA'!R404</f>
        <v/>
      </c>
      <c r="O424" s="142">
        <f>IF(K424=0, "CẢNH BÁO: Đơn giá = 0. Tra cứu lại Sheet 06!", '00_TONG_HOP_BAO_GIA'!S404)</f>
        <v/>
      </c>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83" t="inlineStr">
        <is>
          <t>Bộ</t>
        </is>
      </c>
      <c r="H425" s="136" t="n">
        <v>1</v>
      </c>
      <c r="I425" s="136">
        <f>IF('00_TONG_HOP_BAO_GIA'!G405&gt;0, ('00_TONG_HOP_BAO_GIA'!K405 + '00_TONG_HOP_BAO_GIA'!M405) * (1 + '00_TONG_HOP_BAO_GIA'!P405) / '00_TONG_HOP_BAO_GIA'!G405, 0)</f>
        <v/>
      </c>
      <c r="J425" s="136">
        <f>IF('00_TONG_HOP_BAO_GIA'!G405&gt;0, '00_TONG_HOP_BAO_GIA'!L405 * (1 + '00_TONG_HOP_BAO_GIA'!P405) / '00_TONG_HOP_BAO_GIA'!G405, 0)</f>
        <v/>
      </c>
      <c r="K425" s="137">
        <f>'00_TONG_HOP_BAO_GIA'!Q405</f>
        <v/>
      </c>
      <c r="L425" s="137">
        <f>('00_TONG_HOP_BAO_GIA'!K405 + '00_TONG_HOP_BAO_GIA'!M405) * (1 + '00_TONG_HOP_BAO_GIA'!P405)</f>
        <v/>
      </c>
      <c r="M425" s="137">
        <f>'00_TONG_HOP_BAO_GIA'!L405 * (1 + '00_TONG_HOP_BAO_GIA'!P405)</f>
        <v/>
      </c>
      <c r="N425" s="137">
        <f>'00_TONG_HOP_BAO_GIA'!R405</f>
        <v/>
      </c>
      <c r="O425" s="142">
        <f>IF(K425=0, "CẢNH BÁO: Đơn giá = 0. Tra cứu lại Sheet 06!", '00_TONG_HOP_BAO_GIA'!S405)</f>
        <v/>
      </c>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83" t="inlineStr">
        <is>
          <t>Bộ</t>
        </is>
      </c>
      <c r="H426" s="136" t="n">
        <v>1</v>
      </c>
      <c r="I426" s="136">
        <f>IF('00_TONG_HOP_BAO_GIA'!G406&gt;0, ('00_TONG_HOP_BAO_GIA'!K406 + '00_TONG_HOP_BAO_GIA'!M406) * (1 + '00_TONG_HOP_BAO_GIA'!P406) / '00_TONG_HOP_BAO_GIA'!G406, 0)</f>
        <v/>
      </c>
      <c r="J426" s="136">
        <f>IF('00_TONG_HOP_BAO_GIA'!G406&gt;0, '00_TONG_HOP_BAO_GIA'!L406 * (1 + '00_TONG_HOP_BAO_GIA'!P406) / '00_TONG_HOP_BAO_GIA'!G406, 0)</f>
        <v/>
      </c>
      <c r="K426" s="137">
        <f>'00_TONG_HOP_BAO_GIA'!Q406</f>
        <v/>
      </c>
      <c r="L426" s="137">
        <f>('00_TONG_HOP_BAO_GIA'!K406 + '00_TONG_HOP_BAO_GIA'!M406) * (1 + '00_TONG_HOP_BAO_GIA'!P406)</f>
        <v/>
      </c>
      <c r="M426" s="137">
        <f>'00_TONG_HOP_BAO_GIA'!L406 * (1 + '00_TONG_HOP_BAO_GIA'!P406)</f>
        <v/>
      </c>
      <c r="N426" s="137">
        <f>'00_TONG_HOP_BAO_GIA'!R406</f>
        <v/>
      </c>
      <c r="O426" s="142">
        <f>IF(K426=0, "CẢNH BÁO: Đơn giá = 0. Tra cứu lại Sheet 06!", '00_TONG_HOP_BAO_GIA'!S406)</f>
        <v/>
      </c>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83" t="inlineStr">
        <is>
          <t>Bộ</t>
        </is>
      </c>
      <c r="H427" s="136" t="n">
        <v>1</v>
      </c>
      <c r="I427" s="136">
        <f>IF('00_TONG_HOP_BAO_GIA'!G407&gt;0, ('00_TONG_HOP_BAO_GIA'!K407 + '00_TONG_HOP_BAO_GIA'!M407) * (1 + '00_TONG_HOP_BAO_GIA'!P407) / '00_TONG_HOP_BAO_GIA'!G407, 0)</f>
        <v/>
      </c>
      <c r="J427" s="136">
        <f>IF('00_TONG_HOP_BAO_GIA'!G407&gt;0, '00_TONG_HOP_BAO_GIA'!L407 * (1 + '00_TONG_HOP_BAO_GIA'!P407) / '00_TONG_HOP_BAO_GIA'!G407, 0)</f>
        <v/>
      </c>
      <c r="K427" s="137">
        <f>'00_TONG_HOP_BAO_GIA'!Q407</f>
        <v/>
      </c>
      <c r="L427" s="137">
        <f>('00_TONG_HOP_BAO_GIA'!K407 + '00_TONG_HOP_BAO_GIA'!M407) * (1 + '00_TONG_HOP_BAO_GIA'!P407)</f>
        <v/>
      </c>
      <c r="M427" s="137">
        <f>'00_TONG_HOP_BAO_GIA'!L407 * (1 + '00_TONG_HOP_BAO_GIA'!P407)</f>
        <v/>
      </c>
      <c r="N427" s="137">
        <f>'00_TONG_HOP_BAO_GIA'!R407</f>
        <v/>
      </c>
      <c r="O427" s="142">
        <f>IF(K427=0, "CẢNH BÁO: Đơn giá = 0. Tra cứu lại Sheet 06!", '00_TONG_HOP_BAO_GIA'!S407)</f>
        <v/>
      </c>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83" t="inlineStr">
        <is>
          <t>Bộ</t>
        </is>
      </c>
      <c r="H428" s="136" t="n">
        <v>1</v>
      </c>
      <c r="I428" s="136">
        <f>IF('00_TONG_HOP_BAO_GIA'!G408&gt;0, ('00_TONG_HOP_BAO_GIA'!K408 + '00_TONG_HOP_BAO_GIA'!M408) * (1 + '00_TONG_HOP_BAO_GIA'!P408) / '00_TONG_HOP_BAO_GIA'!G408, 0)</f>
        <v/>
      </c>
      <c r="J428" s="136">
        <f>IF('00_TONG_HOP_BAO_GIA'!G408&gt;0, '00_TONG_HOP_BAO_GIA'!L408 * (1 + '00_TONG_HOP_BAO_GIA'!P408) / '00_TONG_HOP_BAO_GIA'!G408, 0)</f>
        <v/>
      </c>
      <c r="K428" s="137">
        <f>'00_TONG_HOP_BAO_GIA'!Q408</f>
        <v/>
      </c>
      <c r="L428" s="137">
        <f>('00_TONG_HOP_BAO_GIA'!K408 + '00_TONG_HOP_BAO_GIA'!M408) * (1 + '00_TONG_HOP_BAO_GIA'!P408)</f>
        <v/>
      </c>
      <c r="M428" s="137">
        <f>'00_TONG_HOP_BAO_GIA'!L408 * (1 + '00_TONG_HOP_BAO_GIA'!P408)</f>
        <v/>
      </c>
      <c r="N428" s="137">
        <f>'00_TONG_HOP_BAO_GIA'!R408</f>
        <v/>
      </c>
      <c r="O428" s="142">
        <f>IF(K428=0, "CẢNH BÁO: Đơn giá = 0. Tra cứu lại Sheet 06!", '00_TONG_HOP_BAO_GIA'!S408)</f>
        <v/>
      </c>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83" t="inlineStr">
        <is>
          <t>Bộ</t>
        </is>
      </c>
      <c r="H429" s="136" t="n">
        <v>1</v>
      </c>
      <c r="I429" s="136">
        <f>IF('00_TONG_HOP_BAO_GIA'!G409&gt;0, ('00_TONG_HOP_BAO_GIA'!K409 + '00_TONG_HOP_BAO_GIA'!M409) * (1 + '00_TONG_HOP_BAO_GIA'!P409) / '00_TONG_HOP_BAO_GIA'!G409, 0)</f>
        <v/>
      </c>
      <c r="J429" s="136">
        <f>IF('00_TONG_HOP_BAO_GIA'!G409&gt;0, '00_TONG_HOP_BAO_GIA'!L409 * (1 + '00_TONG_HOP_BAO_GIA'!P409) / '00_TONG_HOP_BAO_GIA'!G409, 0)</f>
        <v/>
      </c>
      <c r="K429" s="137">
        <f>'00_TONG_HOP_BAO_GIA'!Q409</f>
        <v/>
      </c>
      <c r="L429" s="137">
        <f>('00_TONG_HOP_BAO_GIA'!K409 + '00_TONG_HOP_BAO_GIA'!M409) * (1 + '00_TONG_HOP_BAO_GIA'!P409)</f>
        <v/>
      </c>
      <c r="M429" s="137">
        <f>'00_TONG_HOP_BAO_GIA'!L409 * (1 + '00_TONG_HOP_BAO_GIA'!P409)</f>
        <v/>
      </c>
      <c r="N429" s="137">
        <f>'00_TONG_HOP_BAO_GIA'!R409</f>
        <v/>
      </c>
      <c r="O429" s="142">
        <f>IF(K429=0, "CẢNH BÁO: Đơn giá = 0. Tra cứu lại Sheet 06!", '00_TONG_HOP_BAO_GIA'!S409)</f>
        <v/>
      </c>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83" t="inlineStr">
        <is>
          <t>Bộ</t>
        </is>
      </c>
      <c r="H430" s="136" t="n">
        <v>1</v>
      </c>
      <c r="I430" s="136">
        <f>IF('00_TONG_HOP_BAO_GIA'!G410&gt;0, ('00_TONG_HOP_BAO_GIA'!K410 + '00_TONG_HOP_BAO_GIA'!M410) * (1 + '00_TONG_HOP_BAO_GIA'!P410) / '00_TONG_HOP_BAO_GIA'!G410, 0)</f>
        <v/>
      </c>
      <c r="J430" s="136">
        <f>IF('00_TONG_HOP_BAO_GIA'!G410&gt;0, '00_TONG_HOP_BAO_GIA'!L410 * (1 + '00_TONG_HOP_BAO_GIA'!P410) / '00_TONG_HOP_BAO_GIA'!G410, 0)</f>
        <v/>
      </c>
      <c r="K430" s="137">
        <f>'00_TONG_HOP_BAO_GIA'!Q410</f>
        <v/>
      </c>
      <c r="L430" s="137">
        <f>('00_TONG_HOP_BAO_GIA'!K410 + '00_TONG_HOP_BAO_GIA'!M410) * (1 + '00_TONG_HOP_BAO_GIA'!P410)</f>
        <v/>
      </c>
      <c r="M430" s="137">
        <f>'00_TONG_HOP_BAO_GIA'!L410 * (1 + '00_TONG_HOP_BAO_GIA'!P410)</f>
        <v/>
      </c>
      <c r="N430" s="137">
        <f>'00_TONG_HOP_BAO_GIA'!R410</f>
        <v/>
      </c>
      <c r="O430" s="142">
        <f>IF(K430=0, "CẢNH BÁO: Đơn giá = 0. Tra cứu lại Sheet 06!", '00_TONG_HOP_BAO_GIA'!S410)</f>
        <v/>
      </c>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83" t="inlineStr">
        <is>
          <t>Bộ</t>
        </is>
      </c>
      <c r="H431" s="136" t="n">
        <v>1</v>
      </c>
      <c r="I431" s="136">
        <f>IF('00_TONG_HOP_BAO_GIA'!G411&gt;0, ('00_TONG_HOP_BAO_GIA'!K411 + '00_TONG_HOP_BAO_GIA'!M411) * (1 + '00_TONG_HOP_BAO_GIA'!P411) / '00_TONG_HOP_BAO_GIA'!G411, 0)</f>
        <v/>
      </c>
      <c r="J431" s="136">
        <f>IF('00_TONG_HOP_BAO_GIA'!G411&gt;0, '00_TONG_HOP_BAO_GIA'!L411 * (1 + '00_TONG_HOP_BAO_GIA'!P411) / '00_TONG_HOP_BAO_GIA'!G411, 0)</f>
        <v/>
      </c>
      <c r="K431" s="137">
        <f>'00_TONG_HOP_BAO_GIA'!Q411</f>
        <v/>
      </c>
      <c r="L431" s="137">
        <f>('00_TONG_HOP_BAO_GIA'!K411 + '00_TONG_HOP_BAO_GIA'!M411) * (1 + '00_TONG_HOP_BAO_GIA'!P411)</f>
        <v/>
      </c>
      <c r="M431" s="137">
        <f>'00_TONG_HOP_BAO_GIA'!L411 * (1 + '00_TONG_HOP_BAO_GIA'!P411)</f>
        <v/>
      </c>
      <c r="N431" s="137">
        <f>'00_TONG_HOP_BAO_GIA'!R411</f>
        <v/>
      </c>
      <c r="O431" s="142">
        <f>IF(K431=0, "CẢNH BÁO: Đơn giá = 0. Tra cứu lại Sheet 06!", '00_TONG_HOP_BAO_GIA'!S411)</f>
        <v/>
      </c>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83" t="inlineStr">
        <is>
          <t>Bộ</t>
        </is>
      </c>
      <c r="H432" s="136" t="n">
        <v>1</v>
      </c>
      <c r="I432" s="136">
        <f>IF('00_TONG_HOP_BAO_GIA'!G412&gt;0, ('00_TONG_HOP_BAO_GIA'!K412 + '00_TONG_HOP_BAO_GIA'!M412) * (1 + '00_TONG_HOP_BAO_GIA'!P412) / '00_TONG_HOP_BAO_GIA'!G412, 0)</f>
        <v/>
      </c>
      <c r="J432" s="136">
        <f>IF('00_TONG_HOP_BAO_GIA'!G412&gt;0, '00_TONG_HOP_BAO_GIA'!L412 * (1 + '00_TONG_HOP_BAO_GIA'!P412) / '00_TONG_HOP_BAO_GIA'!G412, 0)</f>
        <v/>
      </c>
      <c r="K432" s="137">
        <f>'00_TONG_HOP_BAO_GIA'!Q412</f>
        <v/>
      </c>
      <c r="L432" s="137">
        <f>('00_TONG_HOP_BAO_GIA'!K412 + '00_TONG_HOP_BAO_GIA'!M412) * (1 + '00_TONG_HOP_BAO_GIA'!P412)</f>
        <v/>
      </c>
      <c r="M432" s="137">
        <f>'00_TONG_HOP_BAO_GIA'!L412 * (1 + '00_TONG_HOP_BAO_GIA'!P412)</f>
        <v/>
      </c>
      <c r="N432" s="137">
        <f>'00_TONG_HOP_BAO_GIA'!R412</f>
        <v/>
      </c>
      <c r="O432" s="142">
        <f>IF(K432=0, "CẢNH BÁO: Đơn giá = 0. Tra cứu lại Sheet 06!", '00_TONG_HOP_BAO_GIA'!S412)</f>
        <v/>
      </c>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83" t="inlineStr">
        <is>
          <t>Lô</t>
        </is>
      </c>
      <c r="H433" s="136" t="n">
        <v>1</v>
      </c>
      <c r="I433" s="136">
        <f>IF('00_TONG_HOP_BAO_GIA'!G413&gt;0, ('00_TONG_HOP_BAO_GIA'!K413 + '00_TONG_HOP_BAO_GIA'!M413) * (1 + '00_TONG_HOP_BAO_GIA'!P413) / '00_TONG_HOP_BAO_GIA'!G413, 0)</f>
        <v/>
      </c>
      <c r="J433" s="136">
        <f>IF('00_TONG_HOP_BAO_GIA'!G413&gt;0, '00_TONG_HOP_BAO_GIA'!L413 * (1 + '00_TONG_HOP_BAO_GIA'!P413) / '00_TONG_HOP_BAO_GIA'!G413, 0)</f>
        <v/>
      </c>
      <c r="K433" s="137">
        <f>'00_TONG_HOP_BAO_GIA'!Q413</f>
        <v/>
      </c>
      <c r="L433" s="137">
        <f>('00_TONG_HOP_BAO_GIA'!K413 + '00_TONG_HOP_BAO_GIA'!M413) * (1 + '00_TONG_HOP_BAO_GIA'!P413)</f>
        <v/>
      </c>
      <c r="M433" s="137">
        <f>'00_TONG_HOP_BAO_GIA'!L413 * (1 + '00_TONG_HOP_BAO_GIA'!P413)</f>
        <v/>
      </c>
      <c r="N433" s="137">
        <f>'00_TONG_HOP_BAO_GIA'!R413</f>
        <v/>
      </c>
      <c r="O433" s="142">
        <f>IF(K433=0, "CẢNH BÁO: Đơn giá = 0. Tra cứu lại Sheet 06!", '00_TONG_HOP_BAO_GIA'!S413)</f>
        <v/>
      </c>
    </row>
    <row r="434" hidden="1" outlineLevel="1" ht="26.4" customFormat="1" customHeight="1" s="146">
      <c r="A434" s="141" t="n"/>
      <c r="B434" s="140" t="inlineStr">
        <is>
          <t>DÀN LẠNH</t>
        </is>
      </c>
      <c r="C434" s="134" t="n"/>
      <c r="D434" s="134" t="n"/>
      <c r="E434" s="134" t="n"/>
      <c r="F434" s="329" t="inlineStr">
        <is>
          <t>CĐT cấp - Dàn lạnh</t>
        </is>
      </c>
      <c r="G434" s="383"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83" t="inlineStr">
        <is>
          <t>Bộ</t>
        </is>
      </c>
      <c r="H435" s="136" t="n">
        <v>3</v>
      </c>
      <c r="I435" s="136">
        <f>IF('00_TONG_HOP_BAO_GIA'!G414&gt;0, ('00_TONG_HOP_BAO_GIA'!K414 + '00_TONG_HOP_BAO_GIA'!M414) * (1 + '00_TONG_HOP_BAO_GIA'!P414) / '00_TONG_HOP_BAO_GIA'!G414, 0)</f>
        <v/>
      </c>
      <c r="J435" s="136">
        <f>IF('00_TONG_HOP_BAO_GIA'!G414&gt;0, '00_TONG_HOP_BAO_GIA'!L414 * (1 + '00_TONG_HOP_BAO_GIA'!P414) / '00_TONG_HOP_BAO_GIA'!G414, 0)</f>
        <v/>
      </c>
      <c r="K435" s="137">
        <f>'00_TONG_HOP_BAO_GIA'!Q414</f>
        <v/>
      </c>
      <c r="L435" s="137">
        <f>('00_TONG_HOP_BAO_GIA'!K414 + '00_TONG_HOP_BAO_GIA'!M414) * (1 + '00_TONG_HOP_BAO_GIA'!P414)</f>
        <v/>
      </c>
      <c r="M435" s="137">
        <f>'00_TONG_HOP_BAO_GIA'!L414 * (1 + '00_TONG_HOP_BAO_GIA'!P414)</f>
        <v/>
      </c>
      <c r="N435" s="137">
        <f>'00_TONG_HOP_BAO_GIA'!R414</f>
        <v/>
      </c>
      <c r="O435" s="142">
        <f>IF(K435=0, "CẢNH BÁO: Đơn giá = 0. Tra cứu lại Sheet 06!", '00_TONG_HOP_BAO_GIA'!S414)</f>
        <v/>
      </c>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83" t="inlineStr">
        <is>
          <t>Bộ</t>
        </is>
      </c>
      <c r="H436" s="136" t="n">
        <v>1</v>
      </c>
      <c r="I436" s="136">
        <f>IF('00_TONG_HOP_BAO_GIA'!G415&gt;0, ('00_TONG_HOP_BAO_GIA'!K415 + '00_TONG_HOP_BAO_GIA'!M415) * (1 + '00_TONG_HOP_BAO_GIA'!P415) / '00_TONG_HOP_BAO_GIA'!G415, 0)</f>
        <v/>
      </c>
      <c r="J436" s="136">
        <f>IF('00_TONG_HOP_BAO_GIA'!G415&gt;0, '00_TONG_HOP_BAO_GIA'!L415 * (1 + '00_TONG_HOP_BAO_GIA'!P415) / '00_TONG_HOP_BAO_GIA'!G415, 0)</f>
        <v/>
      </c>
      <c r="K436" s="137">
        <f>'00_TONG_HOP_BAO_GIA'!Q415</f>
        <v/>
      </c>
      <c r="L436" s="137">
        <f>('00_TONG_HOP_BAO_GIA'!K415 + '00_TONG_HOP_BAO_GIA'!M415) * (1 + '00_TONG_HOP_BAO_GIA'!P415)</f>
        <v/>
      </c>
      <c r="M436" s="137">
        <f>'00_TONG_HOP_BAO_GIA'!L415 * (1 + '00_TONG_HOP_BAO_GIA'!P415)</f>
        <v/>
      </c>
      <c r="N436" s="137">
        <f>'00_TONG_HOP_BAO_GIA'!R415</f>
        <v/>
      </c>
      <c r="O436" s="142">
        <f>IF(K436=0, "CẢNH BÁO: Đơn giá = 0. Tra cứu lại Sheet 06!", '00_TONG_HOP_BAO_GIA'!S415)</f>
        <v/>
      </c>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83" t="inlineStr">
        <is>
          <t>Bộ</t>
        </is>
      </c>
      <c r="H437" s="136" t="n">
        <v>1</v>
      </c>
      <c r="I437" s="136">
        <f>IF('00_TONG_HOP_BAO_GIA'!G416&gt;0, ('00_TONG_HOP_BAO_GIA'!K416 + '00_TONG_HOP_BAO_GIA'!M416) * (1 + '00_TONG_HOP_BAO_GIA'!P416) / '00_TONG_HOP_BAO_GIA'!G416, 0)</f>
        <v/>
      </c>
      <c r="J437" s="136">
        <f>IF('00_TONG_HOP_BAO_GIA'!G416&gt;0, '00_TONG_HOP_BAO_GIA'!L416 * (1 + '00_TONG_HOP_BAO_GIA'!P416) / '00_TONG_HOP_BAO_GIA'!G416, 0)</f>
        <v/>
      </c>
      <c r="K437" s="137">
        <f>'00_TONG_HOP_BAO_GIA'!Q416</f>
        <v/>
      </c>
      <c r="L437" s="137">
        <f>('00_TONG_HOP_BAO_GIA'!K416 + '00_TONG_HOP_BAO_GIA'!M416) * (1 + '00_TONG_HOP_BAO_GIA'!P416)</f>
        <v/>
      </c>
      <c r="M437" s="137">
        <f>'00_TONG_HOP_BAO_GIA'!L416 * (1 + '00_TONG_HOP_BAO_GIA'!P416)</f>
        <v/>
      </c>
      <c r="N437" s="137">
        <f>'00_TONG_HOP_BAO_GIA'!R416</f>
        <v/>
      </c>
      <c r="O437" s="142">
        <f>IF(K437=0, "CẢNH BÁO: Đơn giá = 0. Tra cứu lại Sheet 06!", '00_TONG_HOP_BAO_GIA'!S416)</f>
        <v/>
      </c>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83" t="inlineStr">
        <is>
          <t>Bộ</t>
        </is>
      </c>
      <c r="H438" s="136" t="n">
        <v>1</v>
      </c>
      <c r="I438" s="136">
        <f>IF('00_TONG_HOP_BAO_GIA'!G417&gt;0, ('00_TONG_HOP_BAO_GIA'!K417 + '00_TONG_HOP_BAO_GIA'!M417) * (1 + '00_TONG_HOP_BAO_GIA'!P417) / '00_TONG_HOP_BAO_GIA'!G417, 0)</f>
        <v/>
      </c>
      <c r="J438" s="136">
        <f>IF('00_TONG_HOP_BAO_GIA'!G417&gt;0, '00_TONG_HOP_BAO_GIA'!L417 * (1 + '00_TONG_HOP_BAO_GIA'!P417) / '00_TONG_HOP_BAO_GIA'!G417, 0)</f>
        <v/>
      </c>
      <c r="K438" s="137">
        <f>'00_TONG_HOP_BAO_GIA'!Q417</f>
        <v/>
      </c>
      <c r="L438" s="137">
        <f>('00_TONG_HOP_BAO_GIA'!K417 + '00_TONG_HOP_BAO_GIA'!M417) * (1 + '00_TONG_HOP_BAO_GIA'!P417)</f>
        <v/>
      </c>
      <c r="M438" s="137">
        <f>'00_TONG_HOP_BAO_GIA'!L417 * (1 + '00_TONG_HOP_BAO_GIA'!P417)</f>
        <v/>
      </c>
      <c r="N438" s="137">
        <f>'00_TONG_HOP_BAO_GIA'!R417</f>
        <v/>
      </c>
      <c r="O438" s="142">
        <f>IF(K438=0, "CẢNH BÁO: Đơn giá = 0. Tra cứu lại Sheet 06!", '00_TONG_HOP_BAO_GIA'!S417)</f>
        <v/>
      </c>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83" t="inlineStr">
        <is>
          <t>Bộ</t>
        </is>
      </c>
      <c r="H439" s="136" t="n">
        <v>3</v>
      </c>
      <c r="I439" s="136">
        <f>IF('00_TONG_HOP_BAO_GIA'!G418&gt;0, ('00_TONG_HOP_BAO_GIA'!K418 + '00_TONG_HOP_BAO_GIA'!M418) * (1 + '00_TONG_HOP_BAO_GIA'!P418) / '00_TONG_HOP_BAO_GIA'!G418, 0)</f>
        <v/>
      </c>
      <c r="J439" s="136">
        <f>IF('00_TONG_HOP_BAO_GIA'!G418&gt;0, '00_TONG_HOP_BAO_GIA'!L418 * (1 + '00_TONG_HOP_BAO_GIA'!P418) / '00_TONG_HOP_BAO_GIA'!G418, 0)</f>
        <v/>
      </c>
      <c r="K439" s="137">
        <f>'00_TONG_HOP_BAO_GIA'!Q418</f>
        <v/>
      </c>
      <c r="L439" s="137">
        <f>('00_TONG_HOP_BAO_GIA'!K418 + '00_TONG_HOP_BAO_GIA'!M418) * (1 + '00_TONG_HOP_BAO_GIA'!P418)</f>
        <v/>
      </c>
      <c r="M439" s="137">
        <f>'00_TONG_HOP_BAO_GIA'!L418 * (1 + '00_TONG_HOP_BAO_GIA'!P418)</f>
        <v/>
      </c>
      <c r="N439" s="137">
        <f>'00_TONG_HOP_BAO_GIA'!R418</f>
        <v/>
      </c>
      <c r="O439" s="142">
        <f>IF(K439=0, "CẢNH BÁO: Đơn giá = 0. Tra cứu lại Sheet 06!", '00_TONG_HOP_BAO_GIA'!S418)</f>
        <v/>
      </c>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83" t="inlineStr">
        <is>
          <t>Bộ</t>
        </is>
      </c>
      <c r="H440" s="136" t="n">
        <v>2</v>
      </c>
      <c r="I440" s="136">
        <f>IF('00_TONG_HOP_BAO_GIA'!G419&gt;0, ('00_TONG_HOP_BAO_GIA'!K419 + '00_TONG_HOP_BAO_GIA'!M419) * (1 + '00_TONG_HOP_BAO_GIA'!P419) / '00_TONG_HOP_BAO_GIA'!G419, 0)</f>
        <v/>
      </c>
      <c r="J440" s="136">
        <f>IF('00_TONG_HOP_BAO_GIA'!G419&gt;0, '00_TONG_HOP_BAO_GIA'!L419 * (1 + '00_TONG_HOP_BAO_GIA'!P419) / '00_TONG_HOP_BAO_GIA'!G419, 0)</f>
        <v/>
      </c>
      <c r="K440" s="137">
        <f>'00_TONG_HOP_BAO_GIA'!Q419</f>
        <v/>
      </c>
      <c r="L440" s="137">
        <f>('00_TONG_HOP_BAO_GIA'!K419 + '00_TONG_HOP_BAO_GIA'!M419) * (1 + '00_TONG_HOP_BAO_GIA'!P419)</f>
        <v/>
      </c>
      <c r="M440" s="137">
        <f>'00_TONG_HOP_BAO_GIA'!L419 * (1 + '00_TONG_HOP_BAO_GIA'!P419)</f>
        <v/>
      </c>
      <c r="N440" s="137">
        <f>'00_TONG_HOP_BAO_GIA'!R419</f>
        <v/>
      </c>
      <c r="O440" s="142">
        <f>IF(K440=0, "CẢNH BÁO: Đơn giá = 0. Tra cứu lại Sheet 06!", '00_TONG_HOP_BAO_GIA'!S419)</f>
        <v/>
      </c>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83" t="inlineStr">
        <is>
          <t>Bộ</t>
        </is>
      </c>
      <c r="H441" s="136" t="n">
        <v>1</v>
      </c>
      <c r="I441" s="136">
        <f>IF('00_TONG_HOP_BAO_GIA'!G420&gt;0, ('00_TONG_HOP_BAO_GIA'!K420 + '00_TONG_HOP_BAO_GIA'!M420) * (1 + '00_TONG_HOP_BAO_GIA'!P420) / '00_TONG_HOP_BAO_GIA'!G420, 0)</f>
        <v/>
      </c>
      <c r="J441" s="136">
        <f>IF('00_TONG_HOP_BAO_GIA'!G420&gt;0, '00_TONG_HOP_BAO_GIA'!L420 * (1 + '00_TONG_HOP_BAO_GIA'!P420) / '00_TONG_HOP_BAO_GIA'!G420, 0)</f>
        <v/>
      </c>
      <c r="K441" s="137">
        <f>'00_TONG_HOP_BAO_GIA'!Q420</f>
        <v/>
      </c>
      <c r="L441" s="137">
        <f>('00_TONG_HOP_BAO_GIA'!K420 + '00_TONG_HOP_BAO_GIA'!M420) * (1 + '00_TONG_HOP_BAO_GIA'!P420)</f>
        <v/>
      </c>
      <c r="M441" s="137">
        <f>'00_TONG_HOP_BAO_GIA'!L420 * (1 + '00_TONG_HOP_BAO_GIA'!P420)</f>
        <v/>
      </c>
      <c r="N441" s="137">
        <f>'00_TONG_HOP_BAO_GIA'!R420</f>
        <v/>
      </c>
      <c r="O441" s="142">
        <f>IF(K441=0, "CẢNH BÁO: Đơn giá = 0. Tra cứu lại Sheet 06!", '00_TONG_HOP_BAO_GIA'!S420)</f>
        <v/>
      </c>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83" t="inlineStr">
        <is>
          <t>Bộ</t>
        </is>
      </c>
      <c r="H442" s="136" t="n">
        <v>2</v>
      </c>
      <c r="I442" s="136">
        <f>IF('00_TONG_HOP_BAO_GIA'!G421&gt;0, ('00_TONG_HOP_BAO_GIA'!K421 + '00_TONG_HOP_BAO_GIA'!M421) * (1 + '00_TONG_HOP_BAO_GIA'!P421) / '00_TONG_HOP_BAO_GIA'!G421, 0)</f>
        <v/>
      </c>
      <c r="J442" s="136">
        <f>IF('00_TONG_HOP_BAO_GIA'!G421&gt;0, '00_TONG_HOP_BAO_GIA'!L421 * (1 + '00_TONG_HOP_BAO_GIA'!P421) / '00_TONG_HOP_BAO_GIA'!G421, 0)</f>
        <v/>
      </c>
      <c r="K442" s="137">
        <f>'00_TONG_HOP_BAO_GIA'!Q421</f>
        <v/>
      </c>
      <c r="L442" s="137">
        <f>('00_TONG_HOP_BAO_GIA'!K421 + '00_TONG_HOP_BAO_GIA'!M421) * (1 + '00_TONG_HOP_BAO_GIA'!P421)</f>
        <v/>
      </c>
      <c r="M442" s="137">
        <f>'00_TONG_HOP_BAO_GIA'!L421 * (1 + '00_TONG_HOP_BAO_GIA'!P421)</f>
        <v/>
      </c>
      <c r="N442" s="137">
        <f>'00_TONG_HOP_BAO_GIA'!R421</f>
        <v/>
      </c>
      <c r="O442" s="142">
        <f>IF(K442=0, "CẢNH BÁO: Đơn giá = 0. Tra cứu lại Sheet 06!", '00_TONG_HOP_BAO_GIA'!S421)</f>
        <v/>
      </c>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83" t="inlineStr">
        <is>
          <t>Bộ</t>
        </is>
      </c>
      <c r="H443" s="136" t="n">
        <v>2</v>
      </c>
      <c r="I443" s="136">
        <f>IF('00_TONG_HOP_BAO_GIA'!G422&gt;0, ('00_TONG_HOP_BAO_GIA'!K422 + '00_TONG_HOP_BAO_GIA'!M422) * (1 + '00_TONG_HOP_BAO_GIA'!P422) / '00_TONG_HOP_BAO_GIA'!G422, 0)</f>
        <v/>
      </c>
      <c r="J443" s="136">
        <f>IF('00_TONG_HOP_BAO_GIA'!G422&gt;0, '00_TONG_HOP_BAO_GIA'!L422 * (1 + '00_TONG_HOP_BAO_GIA'!P422) / '00_TONG_HOP_BAO_GIA'!G422, 0)</f>
        <v/>
      </c>
      <c r="K443" s="137">
        <f>'00_TONG_HOP_BAO_GIA'!Q422</f>
        <v/>
      </c>
      <c r="L443" s="137">
        <f>('00_TONG_HOP_BAO_GIA'!K422 + '00_TONG_HOP_BAO_GIA'!M422) * (1 + '00_TONG_HOP_BAO_GIA'!P422)</f>
        <v/>
      </c>
      <c r="M443" s="137">
        <f>'00_TONG_HOP_BAO_GIA'!L422 * (1 + '00_TONG_HOP_BAO_GIA'!P422)</f>
        <v/>
      </c>
      <c r="N443" s="137">
        <f>'00_TONG_HOP_BAO_GIA'!R422</f>
        <v/>
      </c>
      <c r="O443" s="142">
        <f>IF(K443=0, "CẢNH BÁO: Đơn giá = 0. Tra cứu lại Sheet 06!", '00_TONG_HOP_BAO_GIA'!S422)</f>
        <v/>
      </c>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83" t="inlineStr">
        <is>
          <t>Bộ</t>
        </is>
      </c>
      <c r="H444" s="136" t="n">
        <v>2</v>
      </c>
      <c r="I444" s="136">
        <f>IF('00_TONG_HOP_BAO_GIA'!G423&gt;0, ('00_TONG_HOP_BAO_GIA'!K423 + '00_TONG_HOP_BAO_GIA'!M423) * (1 + '00_TONG_HOP_BAO_GIA'!P423) / '00_TONG_HOP_BAO_GIA'!G423, 0)</f>
        <v/>
      </c>
      <c r="J444" s="136">
        <f>IF('00_TONG_HOP_BAO_GIA'!G423&gt;0, '00_TONG_HOP_BAO_GIA'!L423 * (1 + '00_TONG_HOP_BAO_GIA'!P423) / '00_TONG_HOP_BAO_GIA'!G423, 0)</f>
        <v/>
      </c>
      <c r="K444" s="137">
        <f>'00_TONG_HOP_BAO_GIA'!Q423</f>
        <v/>
      </c>
      <c r="L444" s="137">
        <f>('00_TONG_HOP_BAO_GIA'!K423 + '00_TONG_HOP_BAO_GIA'!M423) * (1 + '00_TONG_HOP_BAO_GIA'!P423)</f>
        <v/>
      </c>
      <c r="M444" s="137">
        <f>'00_TONG_HOP_BAO_GIA'!L423 * (1 + '00_TONG_HOP_BAO_GIA'!P423)</f>
        <v/>
      </c>
      <c r="N444" s="137">
        <f>'00_TONG_HOP_BAO_GIA'!R423</f>
        <v/>
      </c>
      <c r="O444" s="142">
        <f>IF(K444=0, "CẢNH BÁO: Đơn giá = 0. Tra cứu lại Sheet 06!", '00_TONG_HOP_BAO_GIA'!S423)</f>
        <v/>
      </c>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83" t="inlineStr">
        <is>
          <t>Bộ</t>
        </is>
      </c>
      <c r="H445" s="136" t="n">
        <v>2</v>
      </c>
      <c r="I445" s="136">
        <f>IF('00_TONG_HOP_BAO_GIA'!G424&gt;0, ('00_TONG_HOP_BAO_GIA'!K424 + '00_TONG_HOP_BAO_GIA'!M424) * (1 + '00_TONG_HOP_BAO_GIA'!P424) / '00_TONG_HOP_BAO_GIA'!G424, 0)</f>
        <v/>
      </c>
      <c r="J445" s="136">
        <f>IF('00_TONG_HOP_BAO_GIA'!G424&gt;0, '00_TONG_HOP_BAO_GIA'!L424 * (1 + '00_TONG_HOP_BAO_GIA'!P424) / '00_TONG_HOP_BAO_GIA'!G424, 0)</f>
        <v/>
      </c>
      <c r="K445" s="137">
        <f>'00_TONG_HOP_BAO_GIA'!Q424</f>
        <v/>
      </c>
      <c r="L445" s="137">
        <f>('00_TONG_HOP_BAO_GIA'!K424 + '00_TONG_HOP_BAO_GIA'!M424) * (1 + '00_TONG_HOP_BAO_GIA'!P424)</f>
        <v/>
      </c>
      <c r="M445" s="137">
        <f>'00_TONG_HOP_BAO_GIA'!L424 * (1 + '00_TONG_HOP_BAO_GIA'!P424)</f>
        <v/>
      </c>
      <c r="N445" s="137">
        <f>'00_TONG_HOP_BAO_GIA'!R424</f>
        <v/>
      </c>
      <c r="O445" s="142">
        <f>IF(K445=0, "CẢNH BÁO: Đơn giá = 0. Tra cứu lại Sheet 06!", '00_TONG_HOP_BAO_GIA'!S424)</f>
        <v/>
      </c>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83" t="inlineStr">
        <is>
          <t>Bộ</t>
        </is>
      </c>
      <c r="H446" s="136" t="n">
        <v>2</v>
      </c>
      <c r="I446" s="136">
        <f>IF('00_TONG_HOP_BAO_GIA'!G425&gt;0, ('00_TONG_HOP_BAO_GIA'!K425 + '00_TONG_HOP_BAO_GIA'!M425) * (1 + '00_TONG_HOP_BAO_GIA'!P425) / '00_TONG_HOP_BAO_GIA'!G425, 0)</f>
        <v/>
      </c>
      <c r="J446" s="136">
        <f>IF('00_TONG_HOP_BAO_GIA'!G425&gt;0, '00_TONG_HOP_BAO_GIA'!L425 * (1 + '00_TONG_HOP_BAO_GIA'!P425) / '00_TONG_HOP_BAO_GIA'!G425, 0)</f>
        <v/>
      </c>
      <c r="K446" s="137">
        <f>'00_TONG_HOP_BAO_GIA'!Q425</f>
        <v/>
      </c>
      <c r="L446" s="137">
        <f>('00_TONG_HOP_BAO_GIA'!K425 + '00_TONG_HOP_BAO_GIA'!M425) * (1 + '00_TONG_HOP_BAO_GIA'!P425)</f>
        <v/>
      </c>
      <c r="M446" s="137">
        <f>'00_TONG_HOP_BAO_GIA'!L425 * (1 + '00_TONG_HOP_BAO_GIA'!P425)</f>
        <v/>
      </c>
      <c r="N446" s="137">
        <f>'00_TONG_HOP_BAO_GIA'!R425</f>
        <v/>
      </c>
      <c r="O446" s="142">
        <f>IF(K446=0, "CẢNH BÁO: Đơn giá = 0. Tra cứu lại Sheet 06!", '00_TONG_HOP_BAO_GIA'!S425)</f>
        <v/>
      </c>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83" t="inlineStr">
        <is>
          <t>Bộ</t>
        </is>
      </c>
      <c r="H447" s="136" t="n">
        <v>2</v>
      </c>
      <c r="I447" s="136">
        <f>IF('00_TONG_HOP_BAO_GIA'!G426&gt;0, ('00_TONG_HOP_BAO_GIA'!K426 + '00_TONG_HOP_BAO_GIA'!M426) * (1 + '00_TONG_HOP_BAO_GIA'!P426) / '00_TONG_HOP_BAO_GIA'!G426, 0)</f>
        <v/>
      </c>
      <c r="J447" s="136">
        <f>IF('00_TONG_HOP_BAO_GIA'!G426&gt;0, '00_TONG_HOP_BAO_GIA'!L426 * (1 + '00_TONG_HOP_BAO_GIA'!P426) / '00_TONG_HOP_BAO_GIA'!G426, 0)</f>
        <v/>
      </c>
      <c r="K447" s="137">
        <f>'00_TONG_HOP_BAO_GIA'!Q426</f>
        <v/>
      </c>
      <c r="L447" s="137">
        <f>('00_TONG_HOP_BAO_GIA'!K426 + '00_TONG_HOP_BAO_GIA'!M426) * (1 + '00_TONG_HOP_BAO_GIA'!P426)</f>
        <v/>
      </c>
      <c r="M447" s="137">
        <f>'00_TONG_HOP_BAO_GIA'!L426 * (1 + '00_TONG_HOP_BAO_GIA'!P426)</f>
        <v/>
      </c>
      <c r="N447" s="137">
        <f>'00_TONG_HOP_BAO_GIA'!R426</f>
        <v/>
      </c>
      <c r="O447" s="142">
        <f>IF(K447=0, "CẢNH BÁO: Đơn giá = 0. Tra cứu lại Sheet 06!", '00_TONG_HOP_BAO_GIA'!S426)</f>
        <v/>
      </c>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83" t="inlineStr">
        <is>
          <t>Bộ</t>
        </is>
      </c>
      <c r="H448" s="136" t="n">
        <v>2</v>
      </c>
      <c r="I448" s="136">
        <f>IF('00_TONG_HOP_BAO_GIA'!G427&gt;0, ('00_TONG_HOP_BAO_GIA'!K427 + '00_TONG_HOP_BAO_GIA'!M427) * (1 + '00_TONG_HOP_BAO_GIA'!P427) / '00_TONG_HOP_BAO_GIA'!G427, 0)</f>
        <v/>
      </c>
      <c r="J448" s="136">
        <f>IF('00_TONG_HOP_BAO_GIA'!G427&gt;0, '00_TONG_HOP_BAO_GIA'!L427 * (1 + '00_TONG_HOP_BAO_GIA'!P427) / '00_TONG_HOP_BAO_GIA'!G427, 0)</f>
        <v/>
      </c>
      <c r="K448" s="137">
        <f>'00_TONG_HOP_BAO_GIA'!Q427</f>
        <v/>
      </c>
      <c r="L448" s="137">
        <f>('00_TONG_HOP_BAO_GIA'!K427 + '00_TONG_HOP_BAO_GIA'!M427) * (1 + '00_TONG_HOP_BAO_GIA'!P427)</f>
        <v/>
      </c>
      <c r="M448" s="137">
        <f>'00_TONG_HOP_BAO_GIA'!L427 * (1 + '00_TONG_HOP_BAO_GIA'!P427)</f>
        <v/>
      </c>
      <c r="N448" s="137">
        <f>'00_TONG_HOP_BAO_GIA'!R427</f>
        <v/>
      </c>
      <c r="O448" s="142">
        <f>IF(K448=0, "CẢNH BÁO: Đơn giá = 0. Tra cứu lại Sheet 06!", '00_TONG_HOP_BAO_GIA'!S427)</f>
        <v/>
      </c>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83" t="inlineStr">
        <is>
          <t>Bộ</t>
        </is>
      </c>
      <c r="H449" s="136" t="n">
        <v>2</v>
      </c>
      <c r="I449" s="136">
        <f>IF('00_TONG_HOP_BAO_GIA'!G428&gt;0, ('00_TONG_HOP_BAO_GIA'!K428 + '00_TONG_HOP_BAO_GIA'!M428) * (1 + '00_TONG_HOP_BAO_GIA'!P428) / '00_TONG_HOP_BAO_GIA'!G428, 0)</f>
        <v/>
      </c>
      <c r="J449" s="136">
        <f>IF('00_TONG_HOP_BAO_GIA'!G428&gt;0, '00_TONG_HOP_BAO_GIA'!L428 * (1 + '00_TONG_HOP_BAO_GIA'!P428) / '00_TONG_HOP_BAO_GIA'!G428, 0)</f>
        <v/>
      </c>
      <c r="K449" s="137">
        <f>'00_TONG_HOP_BAO_GIA'!Q428</f>
        <v/>
      </c>
      <c r="L449" s="137">
        <f>('00_TONG_HOP_BAO_GIA'!K428 + '00_TONG_HOP_BAO_GIA'!M428) * (1 + '00_TONG_HOP_BAO_GIA'!P428)</f>
        <v/>
      </c>
      <c r="M449" s="137">
        <f>'00_TONG_HOP_BAO_GIA'!L428 * (1 + '00_TONG_HOP_BAO_GIA'!P428)</f>
        <v/>
      </c>
      <c r="N449" s="137">
        <f>'00_TONG_HOP_BAO_GIA'!R428</f>
        <v/>
      </c>
      <c r="O449" s="142">
        <f>IF(K449=0, "CẢNH BÁO: Đơn giá = 0. Tra cứu lại Sheet 06!", '00_TONG_HOP_BAO_GIA'!S428)</f>
        <v/>
      </c>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83" t="inlineStr">
        <is>
          <t>Bộ</t>
        </is>
      </c>
      <c r="H450" s="136" t="n">
        <v>2</v>
      </c>
      <c r="I450" s="136">
        <f>IF('00_TONG_HOP_BAO_GIA'!G429&gt;0, ('00_TONG_HOP_BAO_GIA'!K429 + '00_TONG_HOP_BAO_GIA'!M429) * (1 + '00_TONG_HOP_BAO_GIA'!P429) / '00_TONG_HOP_BAO_GIA'!G429, 0)</f>
        <v/>
      </c>
      <c r="J450" s="136">
        <f>IF('00_TONG_HOP_BAO_GIA'!G429&gt;0, '00_TONG_HOP_BAO_GIA'!L429 * (1 + '00_TONG_HOP_BAO_GIA'!P429) / '00_TONG_HOP_BAO_GIA'!G429, 0)</f>
        <v/>
      </c>
      <c r="K450" s="137">
        <f>'00_TONG_HOP_BAO_GIA'!Q429</f>
        <v/>
      </c>
      <c r="L450" s="137">
        <f>('00_TONG_HOP_BAO_GIA'!K429 + '00_TONG_HOP_BAO_GIA'!M429) * (1 + '00_TONG_HOP_BAO_GIA'!P429)</f>
        <v/>
      </c>
      <c r="M450" s="137">
        <f>'00_TONG_HOP_BAO_GIA'!L429 * (1 + '00_TONG_HOP_BAO_GIA'!P429)</f>
        <v/>
      </c>
      <c r="N450" s="137">
        <f>'00_TONG_HOP_BAO_GIA'!R429</f>
        <v/>
      </c>
      <c r="O450" s="142">
        <f>IF(K450=0, "CẢNH BÁO: Đơn giá = 0. Tra cứu lại Sheet 06!", '00_TONG_HOP_BAO_GIA'!S429)</f>
        <v/>
      </c>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83" t="inlineStr">
        <is>
          <t>Bộ</t>
        </is>
      </c>
      <c r="H451" s="136" t="n">
        <v>2</v>
      </c>
      <c r="I451" s="136">
        <f>IF('00_TONG_HOP_BAO_GIA'!G430&gt;0, ('00_TONG_HOP_BAO_GIA'!K430 + '00_TONG_HOP_BAO_GIA'!M430) * (1 + '00_TONG_HOP_BAO_GIA'!P430) / '00_TONG_HOP_BAO_GIA'!G430, 0)</f>
        <v/>
      </c>
      <c r="J451" s="136">
        <f>IF('00_TONG_HOP_BAO_GIA'!G430&gt;0, '00_TONG_HOP_BAO_GIA'!L430 * (1 + '00_TONG_HOP_BAO_GIA'!P430) / '00_TONG_HOP_BAO_GIA'!G430, 0)</f>
        <v/>
      </c>
      <c r="K451" s="137">
        <f>'00_TONG_HOP_BAO_GIA'!Q430</f>
        <v/>
      </c>
      <c r="L451" s="137">
        <f>('00_TONG_HOP_BAO_GIA'!K430 + '00_TONG_HOP_BAO_GIA'!M430) * (1 + '00_TONG_HOP_BAO_GIA'!P430)</f>
        <v/>
      </c>
      <c r="M451" s="137">
        <f>'00_TONG_HOP_BAO_GIA'!L430 * (1 + '00_TONG_HOP_BAO_GIA'!P430)</f>
        <v/>
      </c>
      <c r="N451" s="137">
        <f>'00_TONG_HOP_BAO_GIA'!R430</f>
        <v/>
      </c>
      <c r="O451" s="142">
        <f>IF(K451=0, "CẢNH BÁO: Đơn giá = 0. Tra cứu lại Sheet 06!", '00_TONG_HOP_BAO_GIA'!S430)</f>
        <v/>
      </c>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83" t="inlineStr">
        <is>
          <t>Bộ</t>
        </is>
      </c>
      <c r="H452" s="136" t="n">
        <v>1</v>
      </c>
      <c r="I452" s="136">
        <f>IF('00_TONG_HOP_BAO_GIA'!G431&gt;0, ('00_TONG_HOP_BAO_GIA'!K431 + '00_TONG_HOP_BAO_GIA'!M431) * (1 + '00_TONG_HOP_BAO_GIA'!P431) / '00_TONG_HOP_BAO_GIA'!G431, 0)</f>
        <v/>
      </c>
      <c r="J452" s="136">
        <f>IF('00_TONG_HOP_BAO_GIA'!G431&gt;0, '00_TONG_HOP_BAO_GIA'!L431 * (1 + '00_TONG_HOP_BAO_GIA'!P431) / '00_TONG_HOP_BAO_GIA'!G431, 0)</f>
        <v/>
      </c>
      <c r="K452" s="137">
        <f>'00_TONG_HOP_BAO_GIA'!Q431</f>
        <v/>
      </c>
      <c r="L452" s="137">
        <f>('00_TONG_HOP_BAO_GIA'!K431 + '00_TONG_HOP_BAO_GIA'!M431) * (1 + '00_TONG_HOP_BAO_GIA'!P431)</f>
        <v/>
      </c>
      <c r="M452" s="137">
        <f>'00_TONG_HOP_BAO_GIA'!L431 * (1 + '00_TONG_HOP_BAO_GIA'!P431)</f>
        <v/>
      </c>
      <c r="N452" s="137">
        <f>'00_TONG_HOP_BAO_GIA'!R431</f>
        <v/>
      </c>
      <c r="O452" s="142">
        <f>IF(K452=0, "CẢNH BÁO: Đơn giá = 0. Tra cứu lại Sheet 06!", '00_TONG_HOP_BAO_GIA'!S431)</f>
        <v/>
      </c>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83" t="inlineStr">
        <is>
          <t>Bộ</t>
        </is>
      </c>
      <c r="H453" s="136" t="n">
        <v>1</v>
      </c>
      <c r="I453" s="136">
        <f>IF('00_TONG_HOP_BAO_GIA'!G432&gt;0, ('00_TONG_HOP_BAO_GIA'!K432 + '00_TONG_HOP_BAO_GIA'!M432) * (1 + '00_TONG_HOP_BAO_GIA'!P432) / '00_TONG_HOP_BAO_GIA'!G432, 0)</f>
        <v/>
      </c>
      <c r="J453" s="136">
        <f>IF('00_TONG_HOP_BAO_GIA'!G432&gt;0, '00_TONG_HOP_BAO_GIA'!L432 * (1 + '00_TONG_HOP_BAO_GIA'!P432) / '00_TONG_HOP_BAO_GIA'!G432, 0)</f>
        <v/>
      </c>
      <c r="K453" s="137">
        <f>'00_TONG_HOP_BAO_GIA'!Q432</f>
        <v/>
      </c>
      <c r="L453" s="137">
        <f>('00_TONG_HOP_BAO_GIA'!K432 + '00_TONG_HOP_BAO_GIA'!M432) * (1 + '00_TONG_HOP_BAO_GIA'!P432)</f>
        <v/>
      </c>
      <c r="M453" s="137">
        <f>'00_TONG_HOP_BAO_GIA'!L432 * (1 + '00_TONG_HOP_BAO_GIA'!P432)</f>
        <v/>
      </c>
      <c r="N453" s="137">
        <f>'00_TONG_HOP_BAO_GIA'!R432</f>
        <v/>
      </c>
      <c r="O453" s="142">
        <f>IF(K453=0, "CẢNH BÁO: Đơn giá = 0. Tra cứu lại Sheet 06!", '00_TONG_HOP_BAO_GIA'!S432)</f>
        <v/>
      </c>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83" t="inlineStr">
        <is>
          <t>Bộ</t>
        </is>
      </c>
      <c r="H454" s="136" t="n">
        <v>2</v>
      </c>
      <c r="I454" s="136">
        <f>IF('00_TONG_HOP_BAO_GIA'!G433&gt;0, ('00_TONG_HOP_BAO_GIA'!K433 + '00_TONG_HOP_BAO_GIA'!M433) * (1 + '00_TONG_HOP_BAO_GIA'!P433) / '00_TONG_HOP_BAO_GIA'!G433, 0)</f>
        <v/>
      </c>
      <c r="J454" s="136">
        <f>IF('00_TONG_HOP_BAO_GIA'!G433&gt;0, '00_TONG_HOP_BAO_GIA'!L433 * (1 + '00_TONG_HOP_BAO_GIA'!P433) / '00_TONG_HOP_BAO_GIA'!G433, 0)</f>
        <v/>
      </c>
      <c r="K454" s="137">
        <f>'00_TONG_HOP_BAO_GIA'!Q433</f>
        <v/>
      </c>
      <c r="L454" s="137">
        <f>('00_TONG_HOP_BAO_GIA'!K433 + '00_TONG_HOP_BAO_GIA'!M433) * (1 + '00_TONG_HOP_BAO_GIA'!P433)</f>
        <v/>
      </c>
      <c r="M454" s="137">
        <f>'00_TONG_HOP_BAO_GIA'!L433 * (1 + '00_TONG_HOP_BAO_GIA'!P433)</f>
        <v/>
      </c>
      <c r="N454" s="137">
        <f>'00_TONG_HOP_BAO_GIA'!R433</f>
        <v/>
      </c>
      <c r="O454" s="142">
        <f>IF(K454=0, "CẢNH BÁO: Đơn giá = 0. Tra cứu lại Sheet 06!", '00_TONG_HOP_BAO_GIA'!S433)</f>
        <v/>
      </c>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83" t="inlineStr">
        <is>
          <t>Bộ</t>
        </is>
      </c>
      <c r="H455" s="136" t="n">
        <v>2</v>
      </c>
      <c r="I455" s="136">
        <f>IF('00_TONG_HOP_BAO_GIA'!G434&gt;0, ('00_TONG_HOP_BAO_GIA'!K434 + '00_TONG_HOP_BAO_GIA'!M434) * (1 + '00_TONG_HOP_BAO_GIA'!P434) / '00_TONG_HOP_BAO_GIA'!G434, 0)</f>
        <v/>
      </c>
      <c r="J455" s="136">
        <f>IF('00_TONG_HOP_BAO_GIA'!G434&gt;0, '00_TONG_HOP_BAO_GIA'!L434 * (1 + '00_TONG_HOP_BAO_GIA'!P434) / '00_TONG_HOP_BAO_GIA'!G434, 0)</f>
        <v/>
      </c>
      <c r="K455" s="137">
        <f>'00_TONG_HOP_BAO_GIA'!Q434</f>
        <v/>
      </c>
      <c r="L455" s="137">
        <f>('00_TONG_HOP_BAO_GIA'!K434 + '00_TONG_HOP_BAO_GIA'!M434) * (1 + '00_TONG_HOP_BAO_GIA'!P434)</f>
        <v/>
      </c>
      <c r="M455" s="137">
        <f>'00_TONG_HOP_BAO_GIA'!L434 * (1 + '00_TONG_HOP_BAO_GIA'!P434)</f>
        <v/>
      </c>
      <c r="N455" s="137">
        <f>'00_TONG_HOP_BAO_GIA'!R434</f>
        <v/>
      </c>
      <c r="O455" s="142">
        <f>IF(K455=0, "CẢNH BÁO: Đơn giá = 0. Tra cứu lại Sheet 06!", '00_TONG_HOP_BAO_GIA'!S434)</f>
        <v/>
      </c>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83" t="inlineStr">
        <is>
          <t>Bộ</t>
        </is>
      </c>
      <c r="H456" s="136" t="n">
        <v>2</v>
      </c>
      <c r="I456" s="136">
        <f>IF('00_TONG_HOP_BAO_GIA'!G435&gt;0, ('00_TONG_HOP_BAO_GIA'!K435 + '00_TONG_HOP_BAO_GIA'!M435) * (1 + '00_TONG_HOP_BAO_GIA'!P435) / '00_TONG_HOP_BAO_GIA'!G435, 0)</f>
        <v/>
      </c>
      <c r="J456" s="136">
        <f>IF('00_TONG_HOP_BAO_GIA'!G435&gt;0, '00_TONG_HOP_BAO_GIA'!L435 * (1 + '00_TONG_HOP_BAO_GIA'!P435) / '00_TONG_HOP_BAO_GIA'!G435, 0)</f>
        <v/>
      </c>
      <c r="K456" s="137">
        <f>'00_TONG_HOP_BAO_GIA'!Q435</f>
        <v/>
      </c>
      <c r="L456" s="137">
        <f>('00_TONG_HOP_BAO_GIA'!K435 + '00_TONG_HOP_BAO_GIA'!M435) * (1 + '00_TONG_HOP_BAO_GIA'!P435)</f>
        <v/>
      </c>
      <c r="M456" s="137">
        <f>'00_TONG_HOP_BAO_GIA'!L435 * (1 + '00_TONG_HOP_BAO_GIA'!P435)</f>
        <v/>
      </c>
      <c r="N456" s="137">
        <f>'00_TONG_HOP_BAO_GIA'!R435</f>
        <v/>
      </c>
      <c r="O456" s="142">
        <f>IF(K456=0, "CẢNH BÁO: Đơn giá = 0. Tra cứu lại Sheet 06!", '00_TONG_HOP_BAO_GIA'!S435)</f>
        <v/>
      </c>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83" t="inlineStr">
        <is>
          <t>Bộ</t>
        </is>
      </c>
      <c r="H457" s="136" t="n">
        <v>2</v>
      </c>
      <c r="I457" s="136">
        <f>IF('00_TONG_HOP_BAO_GIA'!G436&gt;0, ('00_TONG_HOP_BAO_GIA'!K436 + '00_TONG_HOP_BAO_GIA'!M436) * (1 + '00_TONG_HOP_BAO_GIA'!P436) / '00_TONG_HOP_BAO_GIA'!G436, 0)</f>
        <v/>
      </c>
      <c r="J457" s="136">
        <f>IF('00_TONG_HOP_BAO_GIA'!G436&gt;0, '00_TONG_HOP_BAO_GIA'!L436 * (1 + '00_TONG_HOP_BAO_GIA'!P436) / '00_TONG_HOP_BAO_GIA'!G436, 0)</f>
        <v/>
      </c>
      <c r="K457" s="137">
        <f>'00_TONG_HOP_BAO_GIA'!Q436</f>
        <v/>
      </c>
      <c r="L457" s="137">
        <f>('00_TONG_HOP_BAO_GIA'!K436 + '00_TONG_HOP_BAO_GIA'!M436) * (1 + '00_TONG_HOP_BAO_GIA'!P436)</f>
        <v/>
      </c>
      <c r="M457" s="137">
        <f>'00_TONG_HOP_BAO_GIA'!L436 * (1 + '00_TONG_HOP_BAO_GIA'!P436)</f>
        <v/>
      </c>
      <c r="N457" s="137">
        <f>'00_TONG_HOP_BAO_GIA'!R436</f>
        <v/>
      </c>
      <c r="O457" s="142">
        <f>IF(K457=0, "CẢNH BÁO: Đơn giá = 0. Tra cứu lại Sheet 06!", '00_TONG_HOP_BAO_GIA'!S436)</f>
        <v/>
      </c>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83" t="inlineStr">
        <is>
          <t>Bộ</t>
        </is>
      </c>
      <c r="H458" s="136" t="n">
        <v>2</v>
      </c>
      <c r="I458" s="136">
        <f>IF('00_TONG_HOP_BAO_GIA'!G437&gt;0, ('00_TONG_HOP_BAO_GIA'!K437 + '00_TONG_HOP_BAO_GIA'!M437) * (1 + '00_TONG_HOP_BAO_GIA'!P437) / '00_TONG_HOP_BAO_GIA'!G437, 0)</f>
        <v/>
      </c>
      <c r="J458" s="136">
        <f>IF('00_TONG_HOP_BAO_GIA'!G437&gt;0, '00_TONG_HOP_BAO_GIA'!L437 * (1 + '00_TONG_HOP_BAO_GIA'!P437) / '00_TONG_HOP_BAO_GIA'!G437, 0)</f>
        <v/>
      </c>
      <c r="K458" s="137">
        <f>'00_TONG_HOP_BAO_GIA'!Q437</f>
        <v/>
      </c>
      <c r="L458" s="137">
        <f>('00_TONG_HOP_BAO_GIA'!K437 + '00_TONG_HOP_BAO_GIA'!M437) * (1 + '00_TONG_HOP_BAO_GIA'!P437)</f>
        <v/>
      </c>
      <c r="M458" s="137">
        <f>'00_TONG_HOP_BAO_GIA'!L437 * (1 + '00_TONG_HOP_BAO_GIA'!P437)</f>
        <v/>
      </c>
      <c r="N458" s="137">
        <f>'00_TONG_HOP_BAO_GIA'!R437</f>
        <v/>
      </c>
      <c r="O458" s="142">
        <f>IF(K458=0, "CẢNH BÁO: Đơn giá = 0. Tra cứu lại Sheet 06!", '00_TONG_HOP_BAO_GIA'!S437)</f>
        <v/>
      </c>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83" t="inlineStr">
        <is>
          <t>Bộ</t>
        </is>
      </c>
      <c r="H459" s="136" t="n">
        <v>2</v>
      </c>
      <c r="I459" s="136">
        <f>IF('00_TONG_HOP_BAO_GIA'!G438&gt;0, ('00_TONG_HOP_BAO_GIA'!K438 + '00_TONG_HOP_BAO_GIA'!M438) * (1 + '00_TONG_HOP_BAO_GIA'!P438) / '00_TONG_HOP_BAO_GIA'!G438, 0)</f>
        <v/>
      </c>
      <c r="J459" s="136">
        <f>IF('00_TONG_HOP_BAO_GIA'!G438&gt;0, '00_TONG_HOP_BAO_GIA'!L438 * (1 + '00_TONG_HOP_BAO_GIA'!P438) / '00_TONG_HOP_BAO_GIA'!G438, 0)</f>
        <v/>
      </c>
      <c r="K459" s="137">
        <f>'00_TONG_HOP_BAO_GIA'!Q438</f>
        <v/>
      </c>
      <c r="L459" s="137">
        <f>('00_TONG_HOP_BAO_GIA'!K438 + '00_TONG_HOP_BAO_GIA'!M438) * (1 + '00_TONG_HOP_BAO_GIA'!P438)</f>
        <v/>
      </c>
      <c r="M459" s="137">
        <f>'00_TONG_HOP_BAO_GIA'!L438 * (1 + '00_TONG_HOP_BAO_GIA'!P438)</f>
        <v/>
      </c>
      <c r="N459" s="137">
        <f>'00_TONG_HOP_BAO_GIA'!R438</f>
        <v/>
      </c>
      <c r="O459" s="142">
        <f>IF(K459=0, "CẢNH BÁO: Đơn giá = 0. Tra cứu lại Sheet 06!", '00_TONG_HOP_BAO_GIA'!S438)</f>
        <v/>
      </c>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83" t="inlineStr">
        <is>
          <t>Bộ</t>
        </is>
      </c>
      <c r="H460" s="136" t="n">
        <v>2</v>
      </c>
      <c r="I460" s="136">
        <f>IF('00_TONG_HOP_BAO_GIA'!G439&gt;0, ('00_TONG_HOP_BAO_GIA'!K439 + '00_TONG_HOP_BAO_GIA'!M439) * (1 + '00_TONG_HOP_BAO_GIA'!P439) / '00_TONG_HOP_BAO_GIA'!G439, 0)</f>
        <v/>
      </c>
      <c r="J460" s="136">
        <f>IF('00_TONG_HOP_BAO_GIA'!G439&gt;0, '00_TONG_HOP_BAO_GIA'!L439 * (1 + '00_TONG_HOP_BAO_GIA'!P439) / '00_TONG_HOP_BAO_GIA'!G439, 0)</f>
        <v/>
      </c>
      <c r="K460" s="137">
        <f>'00_TONG_HOP_BAO_GIA'!Q439</f>
        <v/>
      </c>
      <c r="L460" s="137">
        <f>('00_TONG_HOP_BAO_GIA'!K439 + '00_TONG_HOP_BAO_GIA'!M439) * (1 + '00_TONG_HOP_BAO_GIA'!P439)</f>
        <v/>
      </c>
      <c r="M460" s="137">
        <f>'00_TONG_HOP_BAO_GIA'!L439 * (1 + '00_TONG_HOP_BAO_GIA'!P439)</f>
        <v/>
      </c>
      <c r="N460" s="137">
        <f>'00_TONG_HOP_BAO_GIA'!R439</f>
        <v/>
      </c>
      <c r="O460" s="142">
        <f>IF(K460=0, "CẢNH BÁO: Đơn giá = 0. Tra cứu lại Sheet 06!", '00_TONG_HOP_BAO_GIA'!S439)</f>
        <v/>
      </c>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83" t="inlineStr">
        <is>
          <t>Bộ</t>
        </is>
      </c>
      <c r="H461" s="136" t="n">
        <v>2</v>
      </c>
      <c r="I461" s="136">
        <f>IF('00_TONG_HOP_BAO_GIA'!G440&gt;0, ('00_TONG_HOP_BAO_GIA'!K440 + '00_TONG_HOP_BAO_GIA'!M440) * (1 + '00_TONG_HOP_BAO_GIA'!P440) / '00_TONG_HOP_BAO_GIA'!G440, 0)</f>
        <v/>
      </c>
      <c r="J461" s="136">
        <f>IF('00_TONG_HOP_BAO_GIA'!G440&gt;0, '00_TONG_HOP_BAO_GIA'!L440 * (1 + '00_TONG_HOP_BAO_GIA'!P440) / '00_TONG_HOP_BAO_GIA'!G440, 0)</f>
        <v/>
      </c>
      <c r="K461" s="137">
        <f>'00_TONG_HOP_BAO_GIA'!Q440</f>
        <v/>
      </c>
      <c r="L461" s="137">
        <f>('00_TONG_HOP_BAO_GIA'!K440 + '00_TONG_HOP_BAO_GIA'!M440) * (1 + '00_TONG_HOP_BAO_GIA'!P440)</f>
        <v/>
      </c>
      <c r="M461" s="137">
        <f>'00_TONG_HOP_BAO_GIA'!L440 * (1 + '00_TONG_HOP_BAO_GIA'!P440)</f>
        <v/>
      </c>
      <c r="N461" s="137">
        <f>'00_TONG_HOP_BAO_GIA'!R440</f>
        <v/>
      </c>
      <c r="O461" s="142">
        <f>IF(K461=0, "CẢNH BÁO: Đơn giá = 0. Tra cứu lại Sheet 06!", '00_TONG_HOP_BAO_GIA'!S440)</f>
        <v/>
      </c>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83" t="inlineStr">
        <is>
          <t>Bộ</t>
        </is>
      </c>
      <c r="H462" s="136" t="n">
        <v>1</v>
      </c>
      <c r="I462" s="136">
        <f>IF('00_TONG_HOP_BAO_GIA'!G441&gt;0, ('00_TONG_HOP_BAO_GIA'!K441 + '00_TONG_HOP_BAO_GIA'!M441) * (1 + '00_TONG_HOP_BAO_GIA'!P441) / '00_TONG_HOP_BAO_GIA'!G441, 0)</f>
        <v/>
      </c>
      <c r="J462" s="136">
        <f>IF('00_TONG_HOP_BAO_GIA'!G441&gt;0, '00_TONG_HOP_BAO_GIA'!L441 * (1 + '00_TONG_HOP_BAO_GIA'!P441) / '00_TONG_HOP_BAO_GIA'!G441, 0)</f>
        <v/>
      </c>
      <c r="K462" s="137">
        <f>'00_TONG_HOP_BAO_GIA'!Q441</f>
        <v/>
      </c>
      <c r="L462" s="137">
        <f>('00_TONG_HOP_BAO_GIA'!K441 + '00_TONG_HOP_BAO_GIA'!M441) * (1 + '00_TONG_HOP_BAO_GIA'!P441)</f>
        <v/>
      </c>
      <c r="M462" s="137">
        <f>'00_TONG_HOP_BAO_GIA'!L441 * (1 + '00_TONG_HOP_BAO_GIA'!P441)</f>
        <v/>
      </c>
      <c r="N462" s="137">
        <f>'00_TONG_HOP_BAO_GIA'!R441</f>
        <v/>
      </c>
      <c r="O462" s="142">
        <f>IF(K462=0, "CẢNH BÁO: Đơn giá = 0. Tra cứu lại Sheet 06!", '00_TONG_HOP_BAO_GIA'!S441)</f>
        <v/>
      </c>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83" t="inlineStr">
        <is>
          <t>Bộ</t>
        </is>
      </c>
      <c r="H463" s="136" t="n">
        <v>2</v>
      </c>
      <c r="I463" s="136">
        <f>IF('00_TONG_HOP_BAO_GIA'!G442&gt;0, ('00_TONG_HOP_BAO_GIA'!K442 + '00_TONG_HOP_BAO_GIA'!M442) * (1 + '00_TONG_HOP_BAO_GIA'!P442) / '00_TONG_HOP_BAO_GIA'!G442, 0)</f>
        <v/>
      </c>
      <c r="J463" s="136">
        <f>IF('00_TONG_HOP_BAO_GIA'!G442&gt;0, '00_TONG_HOP_BAO_GIA'!L442 * (1 + '00_TONG_HOP_BAO_GIA'!P442) / '00_TONG_HOP_BAO_GIA'!G442, 0)</f>
        <v/>
      </c>
      <c r="K463" s="137">
        <f>'00_TONG_HOP_BAO_GIA'!Q442</f>
        <v/>
      </c>
      <c r="L463" s="137">
        <f>('00_TONG_HOP_BAO_GIA'!K442 + '00_TONG_HOP_BAO_GIA'!M442) * (1 + '00_TONG_HOP_BAO_GIA'!P442)</f>
        <v/>
      </c>
      <c r="M463" s="137">
        <f>'00_TONG_HOP_BAO_GIA'!L442 * (1 + '00_TONG_HOP_BAO_GIA'!P442)</f>
        <v/>
      </c>
      <c r="N463" s="137">
        <f>'00_TONG_HOP_BAO_GIA'!R442</f>
        <v/>
      </c>
      <c r="O463" s="142">
        <f>IF(K463=0, "CẢNH BÁO: Đơn giá = 0. Tra cứu lại Sheet 06!", '00_TONG_HOP_BAO_GIA'!S442)</f>
        <v/>
      </c>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83" t="inlineStr">
        <is>
          <t>Bộ</t>
        </is>
      </c>
      <c r="H464" s="136" t="n">
        <v>2</v>
      </c>
      <c r="I464" s="136">
        <f>IF('00_TONG_HOP_BAO_GIA'!G443&gt;0, ('00_TONG_HOP_BAO_GIA'!K443 + '00_TONG_HOP_BAO_GIA'!M443) * (1 + '00_TONG_HOP_BAO_GIA'!P443) / '00_TONG_HOP_BAO_GIA'!G443, 0)</f>
        <v/>
      </c>
      <c r="J464" s="136">
        <f>IF('00_TONG_HOP_BAO_GIA'!G443&gt;0, '00_TONG_HOP_BAO_GIA'!L443 * (1 + '00_TONG_HOP_BAO_GIA'!P443) / '00_TONG_HOP_BAO_GIA'!G443, 0)</f>
        <v/>
      </c>
      <c r="K464" s="137">
        <f>'00_TONG_HOP_BAO_GIA'!Q443</f>
        <v/>
      </c>
      <c r="L464" s="137">
        <f>('00_TONG_HOP_BAO_GIA'!K443 + '00_TONG_HOP_BAO_GIA'!M443) * (1 + '00_TONG_HOP_BAO_GIA'!P443)</f>
        <v/>
      </c>
      <c r="M464" s="137">
        <f>'00_TONG_HOP_BAO_GIA'!L443 * (1 + '00_TONG_HOP_BAO_GIA'!P443)</f>
        <v/>
      </c>
      <c r="N464" s="137">
        <f>'00_TONG_HOP_BAO_GIA'!R443</f>
        <v/>
      </c>
      <c r="O464" s="142">
        <f>IF(K464=0, "CẢNH BÁO: Đơn giá = 0. Tra cứu lại Sheet 06!", '00_TONG_HOP_BAO_GIA'!S443)</f>
        <v/>
      </c>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83" t="inlineStr">
        <is>
          <t>Bộ</t>
        </is>
      </c>
      <c r="H465" s="136" t="n">
        <v>3</v>
      </c>
      <c r="I465" s="136">
        <f>IF('00_TONG_HOP_BAO_GIA'!G444&gt;0, ('00_TONG_HOP_BAO_GIA'!K444 + '00_TONG_HOP_BAO_GIA'!M444) * (1 + '00_TONG_HOP_BAO_GIA'!P444) / '00_TONG_HOP_BAO_GIA'!G444, 0)</f>
        <v/>
      </c>
      <c r="J465" s="136">
        <f>IF('00_TONG_HOP_BAO_GIA'!G444&gt;0, '00_TONG_HOP_BAO_GIA'!L444 * (1 + '00_TONG_HOP_BAO_GIA'!P444) / '00_TONG_HOP_BAO_GIA'!G444, 0)</f>
        <v/>
      </c>
      <c r="K465" s="137">
        <f>'00_TONG_HOP_BAO_GIA'!Q444</f>
        <v/>
      </c>
      <c r="L465" s="137">
        <f>('00_TONG_HOP_BAO_GIA'!K444 + '00_TONG_HOP_BAO_GIA'!M444) * (1 + '00_TONG_HOP_BAO_GIA'!P444)</f>
        <v/>
      </c>
      <c r="M465" s="137">
        <f>'00_TONG_HOP_BAO_GIA'!L444 * (1 + '00_TONG_HOP_BAO_GIA'!P444)</f>
        <v/>
      </c>
      <c r="N465" s="137">
        <f>'00_TONG_HOP_BAO_GIA'!R444</f>
        <v/>
      </c>
      <c r="O465" s="142">
        <f>IF(K465=0, "CẢNH BÁO: Đơn giá = 0. Tra cứu lại Sheet 06!", '00_TONG_HOP_BAO_GIA'!S444)</f>
        <v/>
      </c>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83" t="inlineStr">
        <is>
          <t>Bộ</t>
        </is>
      </c>
      <c r="H466" s="136" t="n">
        <v>1</v>
      </c>
      <c r="I466" s="136">
        <f>IF('00_TONG_HOP_BAO_GIA'!G445&gt;0, ('00_TONG_HOP_BAO_GIA'!K445 + '00_TONG_HOP_BAO_GIA'!M445) * (1 + '00_TONG_HOP_BAO_GIA'!P445) / '00_TONG_HOP_BAO_GIA'!G445, 0)</f>
        <v/>
      </c>
      <c r="J466" s="136">
        <f>IF('00_TONG_HOP_BAO_GIA'!G445&gt;0, '00_TONG_HOP_BAO_GIA'!L445 * (1 + '00_TONG_HOP_BAO_GIA'!P445) / '00_TONG_HOP_BAO_GIA'!G445, 0)</f>
        <v/>
      </c>
      <c r="K466" s="137">
        <f>'00_TONG_HOP_BAO_GIA'!Q445</f>
        <v/>
      </c>
      <c r="L466" s="137">
        <f>('00_TONG_HOP_BAO_GIA'!K445 + '00_TONG_HOP_BAO_GIA'!M445) * (1 + '00_TONG_HOP_BAO_GIA'!P445)</f>
        <v/>
      </c>
      <c r="M466" s="137">
        <f>'00_TONG_HOP_BAO_GIA'!L445 * (1 + '00_TONG_HOP_BAO_GIA'!P445)</f>
        <v/>
      </c>
      <c r="N466" s="137">
        <f>'00_TONG_HOP_BAO_GIA'!R445</f>
        <v/>
      </c>
      <c r="O466" s="142">
        <f>IF(K466=0, "CẢNH BÁO: Đơn giá = 0. Tra cứu lại Sheet 06!", '00_TONG_HOP_BAO_GIA'!S445)</f>
        <v/>
      </c>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83" t="inlineStr">
        <is>
          <t>Bộ</t>
        </is>
      </c>
      <c r="H467" s="136" t="n">
        <v>1</v>
      </c>
      <c r="I467" s="136">
        <f>IF('00_TONG_HOP_BAO_GIA'!G446&gt;0, ('00_TONG_HOP_BAO_GIA'!K446 + '00_TONG_HOP_BAO_GIA'!M446) * (1 + '00_TONG_HOP_BAO_GIA'!P446) / '00_TONG_HOP_BAO_GIA'!G446, 0)</f>
        <v/>
      </c>
      <c r="J467" s="136">
        <f>IF('00_TONG_HOP_BAO_GIA'!G446&gt;0, '00_TONG_HOP_BAO_GIA'!L446 * (1 + '00_TONG_HOP_BAO_GIA'!P446) / '00_TONG_HOP_BAO_GIA'!G446, 0)</f>
        <v/>
      </c>
      <c r="K467" s="137">
        <f>'00_TONG_HOP_BAO_GIA'!Q446</f>
        <v/>
      </c>
      <c r="L467" s="137">
        <f>('00_TONG_HOP_BAO_GIA'!K446 + '00_TONG_HOP_BAO_GIA'!M446) * (1 + '00_TONG_HOP_BAO_GIA'!P446)</f>
        <v/>
      </c>
      <c r="M467" s="137">
        <f>'00_TONG_HOP_BAO_GIA'!L446 * (1 + '00_TONG_HOP_BAO_GIA'!P446)</f>
        <v/>
      </c>
      <c r="N467" s="137">
        <f>'00_TONG_HOP_BAO_GIA'!R446</f>
        <v/>
      </c>
      <c r="O467" s="142">
        <f>IF(K467=0, "CẢNH BÁO: Đơn giá = 0. Tra cứu lại Sheet 06!", '00_TONG_HOP_BAO_GIA'!S446)</f>
        <v/>
      </c>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83" t="inlineStr">
        <is>
          <t>Bộ</t>
        </is>
      </c>
      <c r="H468" s="136" t="n">
        <v>2</v>
      </c>
      <c r="I468" s="136">
        <f>IF('00_TONG_HOP_BAO_GIA'!G447&gt;0, ('00_TONG_HOP_BAO_GIA'!K447 + '00_TONG_HOP_BAO_GIA'!M447) * (1 + '00_TONG_HOP_BAO_GIA'!P447) / '00_TONG_HOP_BAO_GIA'!G447, 0)</f>
        <v/>
      </c>
      <c r="J468" s="136">
        <f>IF('00_TONG_HOP_BAO_GIA'!G447&gt;0, '00_TONG_HOP_BAO_GIA'!L447 * (1 + '00_TONG_HOP_BAO_GIA'!P447) / '00_TONG_HOP_BAO_GIA'!G447, 0)</f>
        <v/>
      </c>
      <c r="K468" s="137">
        <f>'00_TONG_HOP_BAO_GIA'!Q447</f>
        <v/>
      </c>
      <c r="L468" s="137">
        <f>('00_TONG_HOP_BAO_GIA'!K447 + '00_TONG_HOP_BAO_GIA'!M447) * (1 + '00_TONG_HOP_BAO_GIA'!P447)</f>
        <v/>
      </c>
      <c r="M468" s="137">
        <f>'00_TONG_HOP_BAO_GIA'!L447 * (1 + '00_TONG_HOP_BAO_GIA'!P447)</f>
        <v/>
      </c>
      <c r="N468" s="137">
        <f>'00_TONG_HOP_BAO_GIA'!R447</f>
        <v/>
      </c>
      <c r="O468" s="142">
        <f>IF(K468=0, "CẢNH BÁO: Đơn giá = 0. Tra cứu lại Sheet 06!", '00_TONG_HOP_BAO_GIA'!S447)</f>
        <v/>
      </c>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83" t="inlineStr">
        <is>
          <t>Bộ</t>
        </is>
      </c>
      <c r="H469" s="136" t="n">
        <v>2</v>
      </c>
      <c r="I469" s="136">
        <f>IF('00_TONG_HOP_BAO_GIA'!G448&gt;0, ('00_TONG_HOP_BAO_GIA'!K448 + '00_TONG_HOP_BAO_GIA'!M448) * (1 + '00_TONG_HOP_BAO_GIA'!P448) / '00_TONG_HOP_BAO_GIA'!G448, 0)</f>
        <v/>
      </c>
      <c r="J469" s="136">
        <f>IF('00_TONG_HOP_BAO_GIA'!G448&gt;0, '00_TONG_HOP_BAO_GIA'!L448 * (1 + '00_TONG_HOP_BAO_GIA'!P448) / '00_TONG_HOP_BAO_GIA'!G448, 0)</f>
        <v/>
      </c>
      <c r="K469" s="137">
        <f>'00_TONG_HOP_BAO_GIA'!Q448</f>
        <v/>
      </c>
      <c r="L469" s="137">
        <f>('00_TONG_HOP_BAO_GIA'!K448 + '00_TONG_HOP_BAO_GIA'!M448) * (1 + '00_TONG_HOP_BAO_GIA'!P448)</f>
        <v/>
      </c>
      <c r="M469" s="137">
        <f>'00_TONG_HOP_BAO_GIA'!L448 * (1 + '00_TONG_HOP_BAO_GIA'!P448)</f>
        <v/>
      </c>
      <c r="N469" s="137">
        <f>'00_TONG_HOP_BAO_GIA'!R448</f>
        <v/>
      </c>
      <c r="O469" s="142">
        <f>IF(K469=0, "CẢNH BÁO: Đơn giá = 0. Tra cứu lại Sheet 06!", '00_TONG_HOP_BAO_GIA'!S448)</f>
        <v/>
      </c>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83" t="inlineStr">
        <is>
          <t>Bộ</t>
        </is>
      </c>
      <c r="H470" s="136" t="n">
        <v>2</v>
      </c>
      <c r="I470" s="136">
        <f>IF('00_TONG_HOP_BAO_GIA'!G449&gt;0, ('00_TONG_HOP_BAO_GIA'!K449 + '00_TONG_HOP_BAO_GIA'!M449) * (1 + '00_TONG_HOP_BAO_GIA'!P449) / '00_TONG_HOP_BAO_GIA'!G449, 0)</f>
        <v/>
      </c>
      <c r="J470" s="136">
        <f>IF('00_TONG_HOP_BAO_GIA'!G449&gt;0, '00_TONG_HOP_BAO_GIA'!L449 * (1 + '00_TONG_HOP_BAO_GIA'!P449) / '00_TONG_HOP_BAO_GIA'!G449, 0)</f>
        <v/>
      </c>
      <c r="K470" s="137">
        <f>'00_TONG_HOP_BAO_GIA'!Q449</f>
        <v/>
      </c>
      <c r="L470" s="137">
        <f>('00_TONG_HOP_BAO_GIA'!K449 + '00_TONG_HOP_BAO_GIA'!M449) * (1 + '00_TONG_HOP_BAO_GIA'!P449)</f>
        <v/>
      </c>
      <c r="M470" s="137">
        <f>'00_TONG_HOP_BAO_GIA'!L449 * (1 + '00_TONG_HOP_BAO_GIA'!P449)</f>
        <v/>
      </c>
      <c r="N470" s="137">
        <f>'00_TONG_HOP_BAO_GIA'!R449</f>
        <v/>
      </c>
      <c r="O470" s="142">
        <f>IF(K470=0, "CẢNH BÁO: Đơn giá = 0. Tra cứu lại Sheet 06!", '00_TONG_HOP_BAO_GIA'!S449)</f>
        <v/>
      </c>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83" t="inlineStr">
        <is>
          <t>Bộ</t>
        </is>
      </c>
      <c r="H471" s="136" t="n">
        <v>2</v>
      </c>
      <c r="I471" s="136">
        <f>IF('00_TONG_HOP_BAO_GIA'!G450&gt;0, ('00_TONG_HOP_BAO_GIA'!K450 + '00_TONG_HOP_BAO_GIA'!M450) * (1 + '00_TONG_HOP_BAO_GIA'!P450) / '00_TONG_HOP_BAO_GIA'!G450, 0)</f>
        <v/>
      </c>
      <c r="J471" s="136">
        <f>IF('00_TONG_HOP_BAO_GIA'!G450&gt;0, '00_TONG_HOP_BAO_GIA'!L450 * (1 + '00_TONG_HOP_BAO_GIA'!P450) / '00_TONG_HOP_BAO_GIA'!G450, 0)</f>
        <v/>
      </c>
      <c r="K471" s="137">
        <f>'00_TONG_HOP_BAO_GIA'!Q450</f>
        <v/>
      </c>
      <c r="L471" s="137">
        <f>('00_TONG_HOP_BAO_GIA'!K450 + '00_TONG_HOP_BAO_GIA'!M450) * (1 + '00_TONG_HOP_BAO_GIA'!P450)</f>
        <v/>
      </c>
      <c r="M471" s="137">
        <f>'00_TONG_HOP_BAO_GIA'!L450 * (1 + '00_TONG_HOP_BAO_GIA'!P450)</f>
        <v/>
      </c>
      <c r="N471" s="137">
        <f>'00_TONG_HOP_BAO_GIA'!R450</f>
        <v/>
      </c>
      <c r="O471" s="142">
        <f>IF(K471=0, "CẢNH BÁO: Đơn giá = 0. Tra cứu lại Sheet 06!", '00_TONG_HOP_BAO_GIA'!S450)</f>
        <v/>
      </c>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83" t="inlineStr">
        <is>
          <t>Bộ</t>
        </is>
      </c>
      <c r="H472" s="136" t="n">
        <v>2</v>
      </c>
      <c r="I472" s="136">
        <f>IF('00_TONG_HOP_BAO_GIA'!G451&gt;0, ('00_TONG_HOP_BAO_GIA'!K451 + '00_TONG_HOP_BAO_GIA'!M451) * (1 + '00_TONG_HOP_BAO_GIA'!P451) / '00_TONG_HOP_BAO_GIA'!G451, 0)</f>
        <v/>
      </c>
      <c r="J472" s="136">
        <f>IF('00_TONG_HOP_BAO_GIA'!G451&gt;0, '00_TONG_HOP_BAO_GIA'!L451 * (1 + '00_TONG_HOP_BAO_GIA'!P451) / '00_TONG_HOP_BAO_GIA'!G451, 0)</f>
        <v/>
      </c>
      <c r="K472" s="137">
        <f>'00_TONG_HOP_BAO_GIA'!Q451</f>
        <v/>
      </c>
      <c r="L472" s="137">
        <f>('00_TONG_HOP_BAO_GIA'!K451 + '00_TONG_HOP_BAO_GIA'!M451) * (1 + '00_TONG_HOP_BAO_GIA'!P451)</f>
        <v/>
      </c>
      <c r="M472" s="137">
        <f>'00_TONG_HOP_BAO_GIA'!L451 * (1 + '00_TONG_HOP_BAO_GIA'!P451)</f>
        <v/>
      </c>
      <c r="N472" s="137">
        <f>'00_TONG_HOP_BAO_GIA'!R451</f>
        <v/>
      </c>
      <c r="O472" s="142">
        <f>IF(K472=0, "CẢNH BÁO: Đơn giá = 0. Tra cứu lại Sheet 06!", '00_TONG_HOP_BAO_GIA'!S451)</f>
        <v/>
      </c>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83" t="inlineStr">
        <is>
          <t>Bộ</t>
        </is>
      </c>
      <c r="H473" s="136" t="n">
        <v>2</v>
      </c>
      <c r="I473" s="136">
        <f>IF('00_TONG_HOP_BAO_GIA'!G452&gt;0, ('00_TONG_HOP_BAO_GIA'!K452 + '00_TONG_HOP_BAO_GIA'!M452) * (1 + '00_TONG_HOP_BAO_GIA'!P452) / '00_TONG_HOP_BAO_GIA'!G452, 0)</f>
        <v/>
      </c>
      <c r="J473" s="136">
        <f>IF('00_TONG_HOP_BAO_GIA'!G452&gt;0, '00_TONG_HOP_BAO_GIA'!L452 * (1 + '00_TONG_HOP_BAO_GIA'!P452) / '00_TONG_HOP_BAO_GIA'!G452, 0)</f>
        <v/>
      </c>
      <c r="K473" s="137">
        <f>'00_TONG_HOP_BAO_GIA'!Q452</f>
        <v/>
      </c>
      <c r="L473" s="137">
        <f>('00_TONG_HOP_BAO_GIA'!K452 + '00_TONG_HOP_BAO_GIA'!M452) * (1 + '00_TONG_HOP_BAO_GIA'!P452)</f>
        <v/>
      </c>
      <c r="M473" s="137">
        <f>'00_TONG_HOP_BAO_GIA'!L452 * (1 + '00_TONG_HOP_BAO_GIA'!P452)</f>
        <v/>
      </c>
      <c r="N473" s="137">
        <f>'00_TONG_HOP_BAO_GIA'!R452</f>
        <v/>
      </c>
      <c r="O473" s="142">
        <f>IF(K473=0, "CẢNH BÁO: Đơn giá = 0. Tra cứu lại Sheet 06!", '00_TONG_HOP_BAO_GIA'!S452)</f>
        <v/>
      </c>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83" t="inlineStr">
        <is>
          <t>Bộ</t>
        </is>
      </c>
      <c r="H474" s="136" t="n">
        <v>4</v>
      </c>
      <c r="I474" s="136">
        <f>IF('00_TONG_HOP_BAO_GIA'!G453&gt;0, ('00_TONG_HOP_BAO_GIA'!K453 + '00_TONG_HOP_BAO_GIA'!M453) * (1 + '00_TONG_HOP_BAO_GIA'!P453) / '00_TONG_HOP_BAO_GIA'!G453, 0)</f>
        <v/>
      </c>
      <c r="J474" s="136">
        <f>IF('00_TONG_HOP_BAO_GIA'!G453&gt;0, '00_TONG_HOP_BAO_GIA'!L453 * (1 + '00_TONG_HOP_BAO_GIA'!P453) / '00_TONG_HOP_BAO_GIA'!G453, 0)</f>
        <v/>
      </c>
      <c r="K474" s="137">
        <f>'00_TONG_HOP_BAO_GIA'!Q453</f>
        <v/>
      </c>
      <c r="L474" s="137">
        <f>('00_TONG_HOP_BAO_GIA'!K453 + '00_TONG_HOP_BAO_GIA'!M453) * (1 + '00_TONG_HOP_BAO_GIA'!P453)</f>
        <v/>
      </c>
      <c r="M474" s="137">
        <f>'00_TONG_HOP_BAO_GIA'!L453 * (1 + '00_TONG_HOP_BAO_GIA'!P453)</f>
        <v/>
      </c>
      <c r="N474" s="137">
        <f>'00_TONG_HOP_BAO_GIA'!R453</f>
        <v/>
      </c>
      <c r="O474" s="142">
        <f>IF(K474=0, "CẢNH BÁO: Đơn giá = 0. Tra cứu lại Sheet 06!", '00_TONG_HOP_BAO_GIA'!S453)</f>
        <v/>
      </c>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83" t="inlineStr">
        <is>
          <t>Bộ</t>
        </is>
      </c>
      <c r="H475" s="136" t="n">
        <v>4</v>
      </c>
      <c r="I475" s="136">
        <f>IF('00_TONG_HOP_BAO_GIA'!G454&gt;0, ('00_TONG_HOP_BAO_GIA'!K454 + '00_TONG_HOP_BAO_GIA'!M454) * (1 + '00_TONG_HOP_BAO_GIA'!P454) / '00_TONG_HOP_BAO_GIA'!G454, 0)</f>
        <v/>
      </c>
      <c r="J475" s="136">
        <f>IF('00_TONG_HOP_BAO_GIA'!G454&gt;0, '00_TONG_HOP_BAO_GIA'!L454 * (1 + '00_TONG_HOP_BAO_GIA'!P454) / '00_TONG_HOP_BAO_GIA'!G454, 0)</f>
        <v/>
      </c>
      <c r="K475" s="137">
        <f>'00_TONG_HOP_BAO_GIA'!Q454</f>
        <v/>
      </c>
      <c r="L475" s="137">
        <f>('00_TONG_HOP_BAO_GIA'!K454 + '00_TONG_HOP_BAO_GIA'!M454) * (1 + '00_TONG_HOP_BAO_GIA'!P454)</f>
        <v/>
      </c>
      <c r="M475" s="137">
        <f>'00_TONG_HOP_BAO_GIA'!L454 * (1 + '00_TONG_HOP_BAO_GIA'!P454)</f>
        <v/>
      </c>
      <c r="N475" s="137">
        <f>'00_TONG_HOP_BAO_GIA'!R454</f>
        <v/>
      </c>
      <c r="O475" s="142">
        <f>IF(K475=0, "CẢNH BÁO: Đơn giá = 0. Tra cứu lại Sheet 06!", '00_TONG_HOP_BAO_GIA'!S454)</f>
        <v/>
      </c>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83" t="inlineStr">
        <is>
          <t>Bộ</t>
        </is>
      </c>
      <c r="H476" s="136" t="n">
        <v>2</v>
      </c>
      <c r="I476" s="136">
        <f>IF('00_TONG_HOP_BAO_GIA'!G455&gt;0, ('00_TONG_HOP_BAO_GIA'!K455 + '00_TONG_HOP_BAO_GIA'!M455) * (1 + '00_TONG_HOP_BAO_GIA'!P455) / '00_TONG_HOP_BAO_GIA'!G455, 0)</f>
        <v/>
      </c>
      <c r="J476" s="136">
        <f>IF('00_TONG_HOP_BAO_GIA'!G455&gt;0, '00_TONG_HOP_BAO_GIA'!L455 * (1 + '00_TONG_HOP_BAO_GIA'!P455) / '00_TONG_HOP_BAO_GIA'!G455, 0)</f>
        <v/>
      </c>
      <c r="K476" s="137">
        <f>'00_TONG_HOP_BAO_GIA'!Q455</f>
        <v/>
      </c>
      <c r="L476" s="137">
        <f>('00_TONG_HOP_BAO_GIA'!K455 + '00_TONG_HOP_BAO_GIA'!M455) * (1 + '00_TONG_HOP_BAO_GIA'!P455)</f>
        <v/>
      </c>
      <c r="M476" s="137">
        <f>'00_TONG_HOP_BAO_GIA'!L455 * (1 + '00_TONG_HOP_BAO_GIA'!P455)</f>
        <v/>
      </c>
      <c r="N476" s="137">
        <f>'00_TONG_HOP_BAO_GIA'!R455</f>
        <v/>
      </c>
      <c r="O476" s="142">
        <f>IF(K476=0, "CẢNH BÁO: Đơn giá = 0. Tra cứu lại Sheet 06!", '00_TONG_HOP_BAO_GIA'!S455)</f>
        <v/>
      </c>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83" t="inlineStr">
        <is>
          <t>Bộ</t>
        </is>
      </c>
      <c r="H477" s="136" t="n">
        <v>2</v>
      </c>
      <c r="I477" s="136">
        <f>IF('00_TONG_HOP_BAO_GIA'!G456&gt;0, ('00_TONG_HOP_BAO_GIA'!K456 + '00_TONG_HOP_BAO_GIA'!M456) * (1 + '00_TONG_HOP_BAO_GIA'!P456) / '00_TONG_HOP_BAO_GIA'!G456, 0)</f>
        <v/>
      </c>
      <c r="J477" s="136">
        <f>IF('00_TONG_HOP_BAO_GIA'!G456&gt;0, '00_TONG_HOP_BAO_GIA'!L456 * (1 + '00_TONG_HOP_BAO_GIA'!P456) / '00_TONG_HOP_BAO_GIA'!G456, 0)</f>
        <v/>
      </c>
      <c r="K477" s="137">
        <f>'00_TONG_HOP_BAO_GIA'!Q456</f>
        <v/>
      </c>
      <c r="L477" s="137">
        <f>('00_TONG_HOP_BAO_GIA'!K456 + '00_TONG_HOP_BAO_GIA'!M456) * (1 + '00_TONG_HOP_BAO_GIA'!P456)</f>
        <v/>
      </c>
      <c r="M477" s="137">
        <f>'00_TONG_HOP_BAO_GIA'!L456 * (1 + '00_TONG_HOP_BAO_GIA'!P456)</f>
        <v/>
      </c>
      <c r="N477" s="137">
        <f>'00_TONG_HOP_BAO_GIA'!R456</f>
        <v/>
      </c>
      <c r="O477" s="142">
        <f>IF(K477=0, "CẢNH BÁO: Đơn giá = 0. Tra cứu lại Sheet 06!", '00_TONG_HOP_BAO_GIA'!S456)</f>
        <v/>
      </c>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83" t="inlineStr">
        <is>
          <t>Bộ</t>
        </is>
      </c>
      <c r="H478" s="136" t="n">
        <v>1</v>
      </c>
      <c r="I478" s="136">
        <f>IF('00_TONG_HOP_BAO_GIA'!G457&gt;0, ('00_TONG_HOP_BAO_GIA'!K457 + '00_TONG_HOP_BAO_GIA'!M457) * (1 + '00_TONG_HOP_BAO_GIA'!P457) / '00_TONG_HOP_BAO_GIA'!G457, 0)</f>
        <v/>
      </c>
      <c r="J478" s="136">
        <f>IF('00_TONG_HOP_BAO_GIA'!G457&gt;0, '00_TONG_HOP_BAO_GIA'!L457 * (1 + '00_TONG_HOP_BAO_GIA'!P457) / '00_TONG_HOP_BAO_GIA'!G457, 0)</f>
        <v/>
      </c>
      <c r="K478" s="137">
        <f>'00_TONG_HOP_BAO_GIA'!Q457</f>
        <v/>
      </c>
      <c r="L478" s="137">
        <f>('00_TONG_HOP_BAO_GIA'!K457 + '00_TONG_HOP_BAO_GIA'!M457) * (1 + '00_TONG_HOP_BAO_GIA'!P457)</f>
        <v/>
      </c>
      <c r="M478" s="137">
        <f>'00_TONG_HOP_BAO_GIA'!L457 * (1 + '00_TONG_HOP_BAO_GIA'!P457)</f>
        <v/>
      </c>
      <c r="N478" s="137">
        <f>'00_TONG_HOP_BAO_GIA'!R457</f>
        <v/>
      </c>
      <c r="O478" s="142">
        <f>IF(K478=0, "CẢNH BÁO: Đơn giá = 0. Tra cứu lại Sheet 06!", '00_TONG_HOP_BAO_GIA'!S457)</f>
        <v/>
      </c>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83" t="inlineStr">
        <is>
          <t>Bộ</t>
        </is>
      </c>
      <c r="H479" s="136" t="n">
        <v>1</v>
      </c>
      <c r="I479" s="136">
        <f>IF('00_TONG_HOP_BAO_GIA'!G458&gt;0, ('00_TONG_HOP_BAO_GIA'!K458 + '00_TONG_HOP_BAO_GIA'!M458) * (1 + '00_TONG_HOP_BAO_GIA'!P458) / '00_TONG_HOP_BAO_GIA'!G458, 0)</f>
        <v/>
      </c>
      <c r="J479" s="136">
        <f>IF('00_TONG_HOP_BAO_GIA'!G458&gt;0, '00_TONG_HOP_BAO_GIA'!L458 * (1 + '00_TONG_HOP_BAO_GIA'!P458) / '00_TONG_HOP_BAO_GIA'!G458, 0)</f>
        <v/>
      </c>
      <c r="K479" s="137">
        <f>'00_TONG_HOP_BAO_GIA'!Q458</f>
        <v/>
      </c>
      <c r="L479" s="137">
        <f>('00_TONG_HOP_BAO_GIA'!K458 + '00_TONG_HOP_BAO_GIA'!M458) * (1 + '00_TONG_HOP_BAO_GIA'!P458)</f>
        <v/>
      </c>
      <c r="M479" s="137">
        <f>'00_TONG_HOP_BAO_GIA'!L458 * (1 + '00_TONG_HOP_BAO_GIA'!P458)</f>
        <v/>
      </c>
      <c r="N479" s="137">
        <f>'00_TONG_HOP_BAO_GIA'!R458</f>
        <v/>
      </c>
      <c r="O479" s="142">
        <f>IF(K479=0, "CẢNH BÁO: Đơn giá = 0. Tra cứu lại Sheet 06!", '00_TONG_HOP_BAO_GIA'!S458)</f>
        <v/>
      </c>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83" t="inlineStr">
        <is>
          <t>Bộ</t>
        </is>
      </c>
      <c r="H480" s="136" t="n">
        <v>2</v>
      </c>
      <c r="I480" s="136">
        <f>IF('00_TONG_HOP_BAO_GIA'!G459&gt;0, ('00_TONG_HOP_BAO_GIA'!K459 + '00_TONG_HOP_BAO_GIA'!M459) * (1 + '00_TONG_HOP_BAO_GIA'!P459) / '00_TONG_HOP_BAO_GIA'!G459, 0)</f>
        <v/>
      </c>
      <c r="J480" s="136">
        <f>IF('00_TONG_HOP_BAO_GIA'!G459&gt;0, '00_TONG_HOP_BAO_GIA'!L459 * (1 + '00_TONG_HOP_BAO_GIA'!P459) / '00_TONG_HOP_BAO_GIA'!G459, 0)</f>
        <v/>
      </c>
      <c r="K480" s="137">
        <f>'00_TONG_HOP_BAO_GIA'!Q459</f>
        <v/>
      </c>
      <c r="L480" s="137">
        <f>('00_TONG_HOP_BAO_GIA'!K459 + '00_TONG_HOP_BAO_GIA'!M459) * (1 + '00_TONG_HOP_BAO_GIA'!P459)</f>
        <v/>
      </c>
      <c r="M480" s="137">
        <f>'00_TONG_HOP_BAO_GIA'!L459 * (1 + '00_TONG_HOP_BAO_GIA'!P459)</f>
        <v/>
      </c>
      <c r="N480" s="137">
        <f>'00_TONG_HOP_BAO_GIA'!R459</f>
        <v/>
      </c>
      <c r="O480" s="142">
        <f>IF(K480=0, "CẢNH BÁO: Đơn giá = 0. Tra cứu lại Sheet 06!", '00_TONG_HOP_BAO_GIA'!S459)</f>
        <v/>
      </c>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83" t="inlineStr">
        <is>
          <t>Bộ</t>
        </is>
      </c>
      <c r="H481" s="136" t="n">
        <v>2</v>
      </c>
      <c r="I481" s="136">
        <f>IF('00_TONG_HOP_BAO_GIA'!G460&gt;0, ('00_TONG_HOP_BAO_GIA'!K460 + '00_TONG_HOP_BAO_GIA'!M460) * (1 + '00_TONG_HOP_BAO_GIA'!P460) / '00_TONG_HOP_BAO_GIA'!G460, 0)</f>
        <v/>
      </c>
      <c r="J481" s="136">
        <f>IF('00_TONG_HOP_BAO_GIA'!G460&gt;0, '00_TONG_HOP_BAO_GIA'!L460 * (1 + '00_TONG_HOP_BAO_GIA'!P460) / '00_TONG_HOP_BAO_GIA'!G460, 0)</f>
        <v/>
      </c>
      <c r="K481" s="137">
        <f>'00_TONG_HOP_BAO_GIA'!Q460</f>
        <v/>
      </c>
      <c r="L481" s="137">
        <f>('00_TONG_HOP_BAO_GIA'!K460 + '00_TONG_HOP_BAO_GIA'!M460) * (1 + '00_TONG_HOP_BAO_GIA'!P460)</f>
        <v/>
      </c>
      <c r="M481" s="137">
        <f>'00_TONG_HOP_BAO_GIA'!L460 * (1 + '00_TONG_HOP_BAO_GIA'!P460)</f>
        <v/>
      </c>
      <c r="N481" s="137">
        <f>'00_TONG_HOP_BAO_GIA'!R460</f>
        <v/>
      </c>
      <c r="O481" s="142">
        <f>IF(K481=0, "CẢNH BÁO: Đơn giá = 0. Tra cứu lại Sheet 06!", '00_TONG_HOP_BAO_GIA'!S460)</f>
        <v/>
      </c>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83" t="inlineStr">
        <is>
          <t>Bộ</t>
        </is>
      </c>
      <c r="H482" s="136" t="n">
        <v>4</v>
      </c>
      <c r="I482" s="136">
        <f>IF('00_TONG_HOP_BAO_GIA'!G461&gt;0, ('00_TONG_HOP_BAO_GIA'!K461 + '00_TONG_HOP_BAO_GIA'!M461) * (1 + '00_TONG_HOP_BAO_GIA'!P461) / '00_TONG_HOP_BAO_GIA'!G461, 0)</f>
        <v/>
      </c>
      <c r="J482" s="136">
        <f>IF('00_TONG_HOP_BAO_GIA'!G461&gt;0, '00_TONG_HOP_BAO_GIA'!L461 * (1 + '00_TONG_HOP_BAO_GIA'!P461) / '00_TONG_HOP_BAO_GIA'!G461, 0)</f>
        <v/>
      </c>
      <c r="K482" s="137">
        <f>'00_TONG_HOP_BAO_GIA'!Q461</f>
        <v/>
      </c>
      <c r="L482" s="137">
        <f>('00_TONG_HOP_BAO_GIA'!K461 + '00_TONG_HOP_BAO_GIA'!M461) * (1 + '00_TONG_HOP_BAO_GIA'!P461)</f>
        <v/>
      </c>
      <c r="M482" s="137">
        <f>'00_TONG_HOP_BAO_GIA'!L461 * (1 + '00_TONG_HOP_BAO_GIA'!P461)</f>
        <v/>
      </c>
      <c r="N482" s="137">
        <f>'00_TONG_HOP_BAO_GIA'!R461</f>
        <v/>
      </c>
      <c r="O482" s="142">
        <f>IF(K482=0, "CẢNH BÁO: Đơn giá = 0. Tra cứu lại Sheet 06!", '00_TONG_HOP_BAO_GIA'!S461)</f>
        <v/>
      </c>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83" t="inlineStr">
        <is>
          <t>Bộ</t>
        </is>
      </c>
      <c r="H483" s="136" t="n">
        <v>3</v>
      </c>
      <c r="I483" s="136">
        <f>IF('00_TONG_HOP_BAO_GIA'!G462&gt;0, ('00_TONG_HOP_BAO_GIA'!K462 + '00_TONG_HOP_BAO_GIA'!M462) * (1 + '00_TONG_HOP_BAO_GIA'!P462) / '00_TONG_HOP_BAO_GIA'!G462, 0)</f>
        <v/>
      </c>
      <c r="J483" s="136">
        <f>IF('00_TONG_HOP_BAO_GIA'!G462&gt;0, '00_TONG_HOP_BAO_GIA'!L462 * (1 + '00_TONG_HOP_BAO_GIA'!P462) / '00_TONG_HOP_BAO_GIA'!G462, 0)</f>
        <v/>
      </c>
      <c r="K483" s="137">
        <f>'00_TONG_HOP_BAO_GIA'!Q462</f>
        <v/>
      </c>
      <c r="L483" s="137">
        <f>('00_TONG_HOP_BAO_GIA'!K462 + '00_TONG_HOP_BAO_GIA'!M462) * (1 + '00_TONG_HOP_BAO_GIA'!P462)</f>
        <v/>
      </c>
      <c r="M483" s="137">
        <f>'00_TONG_HOP_BAO_GIA'!L462 * (1 + '00_TONG_HOP_BAO_GIA'!P462)</f>
        <v/>
      </c>
      <c r="N483" s="137">
        <f>'00_TONG_HOP_BAO_GIA'!R462</f>
        <v/>
      </c>
      <c r="O483" s="142">
        <f>IF(K483=0, "CẢNH BÁO: Đơn giá = 0. Tra cứu lại Sheet 06!", '00_TONG_HOP_BAO_GIA'!S462)</f>
        <v/>
      </c>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83" t="inlineStr">
        <is>
          <t>Bộ</t>
        </is>
      </c>
      <c r="H484" s="136" t="n">
        <v>4</v>
      </c>
      <c r="I484" s="136">
        <f>IF('00_TONG_HOP_BAO_GIA'!G463&gt;0, ('00_TONG_HOP_BAO_GIA'!K463 + '00_TONG_HOP_BAO_GIA'!M463) * (1 + '00_TONG_HOP_BAO_GIA'!P463) / '00_TONG_HOP_BAO_GIA'!G463, 0)</f>
        <v/>
      </c>
      <c r="J484" s="136">
        <f>IF('00_TONG_HOP_BAO_GIA'!G463&gt;0, '00_TONG_HOP_BAO_GIA'!L463 * (1 + '00_TONG_HOP_BAO_GIA'!P463) / '00_TONG_HOP_BAO_GIA'!G463, 0)</f>
        <v/>
      </c>
      <c r="K484" s="137">
        <f>'00_TONG_HOP_BAO_GIA'!Q463</f>
        <v/>
      </c>
      <c r="L484" s="137">
        <f>('00_TONG_HOP_BAO_GIA'!K463 + '00_TONG_HOP_BAO_GIA'!M463) * (1 + '00_TONG_HOP_BAO_GIA'!P463)</f>
        <v/>
      </c>
      <c r="M484" s="137">
        <f>'00_TONG_HOP_BAO_GIA'!L463 * (1 + '00_TONG_HOP_BAO_GIA'!P463)</f>
        <v/>
      </c>
      <c r="N484" s="137">
        <f>'00_TONG_HOP_BAO_GIA'!R463</f>
        <v/>
      </c>
      <c r="O484" s="142">
        <f>IF(K484=0, "CẢNH BÁO: Đơn giá = 0. Tra cứu lại Sheet 06!", '00_TONG_HOP_BAO_GIA'!S463)</f>
        <v/>
      </c>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83" t="inlineStr">
        <is>
          <t>Bộ</t>
        </is>
      </c>
      <c r="H485" s="136" t="n">
        <v>2</v>
      </c>
      <c r="I485" s="136">
        <f>IF('00_TONG_HOP_BAO_GIA'!G464&gt;0, ('00_TONG_HOP_BAO_GIA'!K464 + '00_TONG_HOP_BAO_GIA'!M464) * (1 + '00_TONG_HOP_BAO_GIA'!P464) / '00_TONG_HOP_BAO_GIA'!G464, 0)</f>
        <v/>
      </c>
      <c r="J485" s="136">
        <f>IF('00_TONG_HOP_BAO_GIA'!G464&gt;0, '00_TONG_HOP_BAO_GIA'!L464 * (1 + '00_TONG_HOP_BAO_GIA'!P464) / '00_TONG_HOP_BAO_GIA'!G464, 0)</f>
        <v/>
      </c>
      <c r="K485" s="137">
        <f>'00_TONG_HOP_BAO_GIA'!Q464</f>
        <v/>
      </c>
      <c r="L485" s="137">
        <f>('00_TONG_HOP_BAO_GIA'!K464 + '00_TONG_HOP_BAO_GIA'!M464) * (1 + '00_TONG_HOP_BAO_GIA'!P464)</f>
        <v/>
      </c>
      <c r="M485" s="137">
        <f>'00_TONG_HOP_BAO_GIA'!L464 * (1 + '00_TONG_HOP_BAO_GIA'!P464)</f>
        <v/>
      </c>
      <c r="N485" s="137">
        <f>'00_TONG_HOP_BAO_GIA'!R464</f>
        <v/>
      </c>
      <c r="O485" s="142">
        <f>IF(K485=0, "CẢNH BÁO: Đơn giá = 0. Tra cứu lại Sheet 06!", '00_TONG_HOP_BAO_GIA'!S464)</f>
        <v/>
      </c>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83" t="inlineStr">
        <is>
          <t>Bộ</t>
        </is>
      </c>
      <c r="H486" s="136" t="n">
        <v>2</v>
      </c>
      <c r="I486" s="136">
        <f>IF('00_TONG_HOP_BAO_GIA'!G465&gt;0, ('00_TONG_HOP_BAO_GIA'!K465 + '00_TONG_HOP_BAO_GIA'!M465) * (1 + '00_TONG_HOP_BAO_GIA'!P465) / '00_TONG_HOP_BAO_GIA'!G465, 0)</f>
        <v/>
      </c>
      <c r="J486" s="136">
        <f>IF('00_TONG_HOP_BAO_GIA'!G465&gt;0, '00_TONG_HOP_BAO_GIA'!L465 * (1 + '00_TONG_HOP_BAO_GIA'!P465) / '00_TONG_HOP_BAO_GIA'!G465, 0)</f>
        <v/>
      </c>
      <c r="K486" s="137">
        <f>'00_TONG_HOP_BAO_GIA'!Q465</f>
        <v/>
      </c>
      <c r="L486" s="137">
        <f>('00_TONG_HOP_BAO_GIA'!K465 + '00_TONG_HOP_BAO_GIA'!M465) * (1 + '00_TONG_HOP_BAO_GIA'!P465)</f>
        <v/>
      </c>
      <c r="M486" s="137">
        <f>'00_TONG_HOP_BAO_GIA'!L465 * (1 + '00_TONG_HOP_BAO_GIA'!P465)</f>
        <v/>
      </c>
      <c r="N486" s="137">
        <f>'00_TONG_HOP_BAO_GIA'!R465</f>
        <v/>
      </c>
      <c r="O486" s="142">
        <f>IF(K486=0, "CẢNH BÁO: Đơn giá = 0. Tra cứu lại Sheet 06!", '00_TONG_HOP_BAO_GIA'!S465)</f>
        <v/>
      </c>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83" t="inlineStr">
        <is>
          <t>Bộ</t>
        </is>
      </c>
      <c r="H487" s="136" t="n">
        <v>2</v>
      </c>
      <c r="I487" s="136">
        <f>IF('00_TONG_HOP_BAO_GIA'!G466&gt;0, ('00_TONG_HOP_BAO_GIA'!K466 + '00_TONG_HOP_BAO_GIA'!M466) * (1 + '00_TONG_HOP_BAO_GIA'!P466) / '00_TONG_HOP_BAO_GIA'!G466, 0)</f>
        <v/>
      </c>
      <c r="J487" s="136">
        <f>IF('00_TONG_HOP_BAO_GIA'!G466&gt;0, '00_TONG_HOP_BAO_GIA'!L466 * (1 + '00_TONG_HOP_BAO_GIA'!P466) / '00_TONG_HOP_BAO_GIA'!G466, 0)</f>
        <v/>
      </c>
      <c r="K487" s="137">
        <f>'00_TONG_HOP_BAO_GIA'!Q466</f>
        <v/>
      </c>
      <c r="L487" s="137">
        <f>('00_TONG_HOP_BAO_GIA'!K466 + '00_TONG_HOP_BAO_GIA'!M466) * (1 + '00_TONG_HOP_BAO_GIA'!P466)</f>
        <v/>
      </c>
      <c r="M487" s="137">
        <f>'00_TONG_HOP_BAO_GIA'!L466 * (1 + '00_TONG_HOP_BAO_GIA'!P466)</f>
        <v/>
      </c>
      <c r="N487" s="137">
        <f>'00_TONG_HOP_BAO_GIA'!R466</f>
        <v/>
      </c>
      <c r="O487" s="142">
        <f>IF(K487=0, "CẢNH BÁO: Đơn giá = 0. Tra cứu lại Sheet 06!", '00_TONG_HOP_BAO_GIA'!S466)</f>
        <v/>
      </c>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83" t="inlineStr">
        <is>
          <t>Bộ</t>
        </is>
      </c>
      <c r="H488" s="136" t="n">
        <v>2</v>
      </c>
      <c r="I488" s="136">
        <f>IF('00_TONG_HOP_BAO_GIA'!G467&gt;0, ('00_TONG_HOP_BAO_GIA'!K467 + '00_TONG_HOP_BAO_GIA'!M467) * (1 + '00_TONG_HOP_BAO_GIA'!P467) / '00_TONG_HOP_BAO_GIA'!G467, 0)</f>
        <v/>
      </c>
      <c r="J488" s="136">
        <f>IF('00_TONG_HOP_BAO_GIA'!G467&gt;0, '00_TONG_HOP_BAO_GIA'!L467 * (1 + '00_TONG_HOP_BAO_GIA'!P467) / '00_TONG_HOP_BAO_GIA'!G467, 0)</f>
        <v/>
      </c>
      <c r="K488" s="137">
        <f>'00_TONG_HOP_BAO_GIA'!Q467</f>
        <v/>
      </c>
      <c r="L488" s="137">
        <f>('00_TONG_HOP_BAO_GIA'!K467 + '00_TONG_HOP_BAO_GIA'!M467) * (1 + '00_TONG_HOP_BAO_GIA'!P467)</f>
        <v/>
      </c>
      <c r="M488" s="137">
        <f>'00_TONG_HOP_BAO_GIA'!L467 * (1 + '00_TONG_HOP_BAO_GIA'!P467)</f>
        <v/>
      </c>
      <c r="N488" s="137">
        <f>'00_TONG_HOP_BAO_GIA'!R467</f>
        <v/>
      </c>
      <c r="O488" s="142">
        <f>IF(K488=0, "CẢNH BÁO: Đơn giá = 0. Tra cứu lại Sheet 06!", '00_TONG_HOP_BAO_GIA'!S467)</f>
        <v/>
      </c>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83" t="inlineStr">
        <is>
          <t>Bộ</t>
        </is>
      </c>
      <c r="H489" s="136">
        <f>SUM(H435:H488)</f>
        <v/>
      </c>
      <c r="I489" s="136">
        <f>IF('00_TONG_HOP_BAO_GIA'!G468&gt;0, ('00_TONG_HOP_BAO_GIA'!K468 + '00_TONG_HOP_BAO_GIA'!M468) * (1 + '00_TONG_HOP_BAO_GIA'!P468) / '00_TONG_HOP_BAO_GIA'!G468, 0)</f>
        <v/>
      </c>
      <c r="J489" s="136">
        <f>IF('00_TONG_HOP_BAO_GIA'!G468&gt;0, '00_TONG_HOP_BAO_GIA'!L468 * (1 + '00_TONG_HOP_BAO_GIA'!P468) / '00_TONG_HOP_BAO_GIA'!G468, 0)</f>
        <v/>
      </c>
      <c r="K489" s="137">
        <f>'00_TONG_HOP_BAO_GIA'!Q468</f>
        <v/>
      </c>
      <c r="L489" s="137">
        <f>('00_TONG_HOP_BAO_GIA'!K468 + '00_TONG_HOP_BAO_GIA'!M468) * (1 + '00_TONG_HOP_BAO_GIA'!P468)</f>
        <v/>
      </c>
      <c r="M489" s="137">
        <f>'00_TONG_HOP_BAO_GIA'!L468 * (1 + '00_TONG_HOP_BAO_GIA'!P468)</f>
        <v/>
      </c>
      <c r="N489" s="137">
        <f>'00_TONG_HOP_BAO_GIA'!R468</f>
        <v/>
      </c>
      <c r="O489" s="142">
        <f>IF(K489=0, "CẢNH BÁO: Đơn giá = 0. Tra cứu lại Sheet 06!", '00_TONG_HOP_BAO_GIA'!S468)</f>
        <v/>
      </c>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83" t="inlineStr">
        <is>
          <t>Lô</t>
        </is>
      </c>
      <c r="H490" s="136" t="n">
        <v>1</v>
      </c>
      <c r="I490" s="136">
        <f>IF('00_TONG_HOP_BAO_GIA'!G469&gt;0, ('00_TONG_HOP_BAO_GIA'!K469 + '00_TONG_HOP_BAO_GIA'!M469) * (1 + '00_TONG_HOP_BAO_GIA'!P469) / '00_TONG_HOP_BAO_GIA'!G469, 0)</f>
        <v/>
      </c>
      <c r="J490" s="136">
        <f>IF('00_TONG_HOP_BAO_GIA'!G469&gt;0, '00_TONG_HOP_BAO_GIA'!L469 * (1 + '00_TONG_HOP_BAO_GIA'!P469) / '00_TONG_HOP_BAO_GIA'!G469, 0)</f>
        <v/>
      </c>
      <c r="K490" s="137">
        <f>'00_TONG_HOP_BAO_GIA'!Q469</f>
        <v/>
      </c>
      <c r="L490" s="137">
        <f>('00_TONG_HOP_BAO_GIA'!K469 + '00_TONG_HOP_BAO_GIA'!M469) * (1 + '00_TONG_HOP_BAO_GIA'!P469)</f>
        <v/>
      </c>
      <c r="M490" s="137">
        <f>'00_TONG_HOP_BAO_GIA'!L469 * (1 + '00_TONG_HOP_BAO_GIA'!P469)</f>
        <v/>
      </c>
      <c r="N490" s="137">
        <f>'00_TONG_HOP_BAO_GIA'!R469</f>
        <v/>
      </c>
      <c r="O490" s="142">
        <f>IF(K490=0, "CẢNH BÁO: Đơn giá = 0. Tra cứu lại Sheet 06!", '00_TONG_HOP_BAO_GIA'!S469)</f>
        <v/>
      </c>
    </row>
    <row r="491" hidden="1" outlineLevel="1" ht="24" customFormat="1" customHeight="1" s="146">
      <c r="A491" s="141" t="n"/>
      <c r="B491" s="140" t="inlineStr">
        <is>
          <t>MÁY LẠNH CỤC BỘ</t>
        </is>
      </c>
      <c r="C491" s="134" t="n"/>
      <c r="D491" s="134" t="n"/>
      <c r="E491" s="134" t="n"/>
      <c r="F491" s="329" t="inlineStr">
        <is>
          <t>CĐT cấp - cục bộ</t>
        </is>
      </c>
      <c r="G491" s="383"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83" t="inlineStr">
        <is>
          <t>Bộ</t>
        </is>
      </c>
      <c r="H492" s="136" t="n">
        <v>2</v>
      </c>
      <c r="I492" s="136">
        <f>IF('00_TONG_HOP_BAO_GIA'!G470&gt;0, ('00_TONG_HOP_BAO_GIA'!K470 + '00_TONG_HOP_BAO_GIA'!M470) * (1 + '00_TONG_HOP_BAO_GIA'!P470) / '00_TONG_HOP_BAO_GIA'!G470, 0)</f>
        <v/>
      </c>
      <c r="J492" s="136">
        <f>IF('00_TONG_HOP_BAO_GIA'!G470&gt;0, '00_TONG_HOP_BAO_GIA'!L470 * (1 + '00_TONG_HOP_BAO_GIA'!P470) / '00_TONG_HOP_BAO_GIA'!G470, 0)</f>
        <v/>
      </c>
      <c r="K492" s="137">
        <f>'00_TONG_HOP_BAO_GIA'!Q470</f>
        <v/>
      </c>
      <c r="L492" s="137">
        <f>('00_TONG_HOP_BAO_GIA'!K470 + '00_TONG_HOP_BAO_GIA'!M470) * (1 + '00_TONG_HOP_BAO_GIA'!P470)</f>
        <v/>
      </c>
      <c r="M492" s="137">
        <f>'00_TONG_HOP_BAO_GIA'!L470 * (1 + '00_TONG_HOP_BAO_GIA'!P470)</f>
        <v/>
      </c>
      <c r="N492" s="137">
        <f>'00_TONG_HOP_BAO_GIA'!R470</f>
        <v/>
      </c>
      <c r="O492" s="142">
        <f>IF(K492=0, "CẢNH BÁO: Đơn giá = 0. Tra cứu lại Sheet 06!", '00_TONG_HOP_BAO_GIA'!S470)</f>
        <v/>
      </c>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83" t="inlineStr">
        <is>
          <t>Bộ</t>
        </is>
      </c>
      <c r="H493" s="136" t="n">
        <v>2</v>
      </c>
      <c r="I493" s="136">
        <f>IF('00_TONG_HOP_BAO_GIA'!G471&gt;0, ('00_TONG_HOP_BAO_GIA'!K471 + '00_TONG_HOP_BAO_GIA'!M471) * (1 + '00_TONG_HOP_BAO_GIA'!P471) / '00_TONG_HOP_BAO_GIA'!G471, 0)</f>
        <v/>
      </c>
      <c r="J493" s="136">
        <f>IF('00_TONG_HOP_BAO_GIA'!G471&gt;0, '00_TONG_HOP_BAO_GIA'!L471 * (1 + '00_TONG_HOP_BAO_GIA'!P471) / '00_TONG_HOP_BAO_GIA'!G471, 0)</f>
        <v/>
      </c>
      <c r="K493" s="137">
        <f>'00_TONG_HOP_BAO_GIA'!Q471</f>
        <v/>
      </c>
      <c r="L493" s="137">
        <f>('00_TONG_HOP_BAO_GIA'!K471 + '00_TONG_HOP_BAO_GIA'!M471) * (1 + '00_TONG_HOP_BAO_GIA'!P471)</f>
        <v/>
      </c>
      <c r="M493" s="137">
        <f>'00_TONG_HOP_BAO_GIA'!L471 * (1 + '00_TONG_HOP_BAO_GIA'!P471)</f>
        <v/>
      </c>
      <c r="N493" s="137">
        <f>'00_TONG_HOP_BAO_GIA'!R471</f>
        <v/>
      </c>
      <c r="O493" s="142">
        <f>IF(K493=0, "CẢNH BÁO: Đơn giá = 0. Tra cứu lại Sheet 06!", '00_TONG_HOP_BAO_GIA'!S471)</f>
        <v/>
      </c>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83" t="inlineStr">
        <is>
          <t>Bộ</t>
        </is>
      </c>
      <c r="H494" s="136" t="n">
        <v>2</v>
      </c>
      <c r="I494" s="136">
        <f>IF('00_TONG_HOP_BAO_GIA'!G472&gt;0, ('00_TONG_HOP_BAO_GIA'!K472 + '00_TONG_HOP_BAO_GIA'!M472) * (1 + '00_TONG_HOP_BAO_GIA'!P472) / '00_TONG_HOP_BAO_GIA'!G472, 0)</f>
        <v/>
      </c>
      <c r="J494" s="136">
        <f>IF('00_TONG_HOP_BAO_GIA'!G472&gt;0, '00_TONG_HOP_BAO_GIA'!L472 * (1 + '00_TONG_HOP_BAO_GIA'!P472) / '00_TONG_HOP_BAO_GIA'!G472, 0)</f>
        <v/>
      </c>
      <c r="K494" s="137">
        <f>'00_TONG_HOP_BAO_GIA'!Q472</f>
        <v/>
      </c>
      <c r="L494" s="137">
        <f>('00_TONG_HOP_BAO_GIA'!K472 + '00_TONG_HOP_BAO_GIA'!M472) * (1 + '00_TONG_HOP_BAO_GIA'!P472)</f>
        <v/>
      </c>
      <c r="M494" s="137">
        <f>'00_TONG_HOP_BAO_GIA'!L472 * (1 + '00_TONG_HOP_BAO_GIA'!P472)</f>
        <v/>
      </c>
      <c r="N494" s="137">
        <f>'00_TONG_HOP_BAO_GIA'!R472</f>
        <v/>
      </c>
      <c r="O494" s="142">
        <f>IF(K494=0, "CẢNH BÁO: Đơn giá = 0. Tra cứu lại Sheet 06!", '00_TONG_HOP_BAO_GIA'!S472)</f>
        <v/>
      </c>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83" t="inlineStr">
        <is>
          <t>Bộ</t>
        </is>
      </c>
      <c r="H495" s="136" t="n">
        <v>2</v>
      </c>
      <c r="I495" s="136">
        <f>IF('00_TONG_HOP_BAO_GIA'!G473&gt;0, ('00_TONG_HOP_BAO_GIA'!K473 + '00_TONG_HOP_BAO_GIA'!M473) * (1 + '00_TONG_HOP_BAO_GIA'!P473) / '00_TONG_HOP_BAO_GIA'!G473, 0)</f>
        <v/>
      </c>
      <c r="J495" s="136">
        <f>IF('00_TONG_HOP_BAO_GIA'!G473&gt;0, '00_TONG_HOP_BAO_GIA'!L473 * (1 + '00_TONG_HOP_BAO_GIA'!P473) / '00_TONG_HOP_BAO_GIA'!G473, 0)</f>
        <v/>
      </c>
      <c r="K495" s="137">
        <f>'00_TONG_HOP_BAO_GIA'!Q473</f>
        <v/>
      </c>
      <c r="L495" s="137">
        <f>('00_TONG_HOP_BAO_GIA'!K473 + '00_TONG_HOP_BAO_GIA'!M473) * (1 + '00_TONG_HOP_BAO_GIA'!P473)</f>
        <v/>
      </c>
      <c r="M495" s="137">
        <f>'00_TONG_HOP_BAO_GIA'!L473 * (1 + '00_TONG_HOP_BAO_GIA'!P473)</f>
        <v/>
      </c>
      <c r="N495" s="137">
        <f>'00_TONG_HOP_BAO_GIA'!R473</f>
        <v/>
      </c>
      <c r="O495" s="142">
        <f>IF(K495=0, "CẢNH BÁO: Đơn giá = 0. Tra cứu lại Sheet 06!", '00_TONG_HOP_BAO_GIA'!S473)</f>
        <v/>
      </c>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83" t="inlineStr">
        <is>
          <t>Bộ</t>
        </is>
      </c>
      <c r="H496" s="136" t="n">
        <v>2</v>
      </c>
      <c r="I496" s="136">
        <f>IF('00_TONG_HOP_BAO_GIA'!G474&gt;0, ('00_TONG_HOP_BAO_GIA'!K474 + '00_TONG_HOP_BAO_GIA'!M474) * (1 + '00_TONG_HOP_BAO_GIA'!P474) / '00_TONG_HOP_BAO_GIA'!G474, 0)</f>
        <v/>
      </c>
      <c r="J496" s="136">
        <f>IF('00_TONG_HOP_BAO_GIA'!G474&gt;0, '00_TONG_HOP_BAO_GIA'!L474 * (1 + '00_TONG_HOP_BAO_GIA'!P474) / '00_TONG_HOP_BAO_GIA'!G474, 0)</f>
        <v/>
      </c>
      <c r="K496" s="137">
        <f>'00_TONG_HOP_BAO_GIA'!Q474</f>
        <v/>
      </c>
      <c r="L496" s="137">
        <f>('00_TONG_HOP_BAO_GIA'!K474 + '00_TONG_HOP_BAO_GIA'!M474) * (1 + '00_TONG_HOP_BAO_GIA'!P474)</f>
        <v/>
      </c>
      <c r="M496" s="137">
        <f>'00_TONG_HOP_BAO_GIA'!L474 * (1 + '00_TONG_HOP_BAO_GIA'!P474)</f>
        <v/>
      </c>
      <c r="N496" s="137">
        <f>'00_TONG_HOP_BAO_GIA'!R474</f>
        <v/>
      </c>
      <c r="O496" s="142">
        <f>IF(K496=0, "CẢNH BÁO: Đơn giá = 0. Tra cứu lại Sheet 06!", '00_TONG_HOP_BAO_GIA'!S474)</f>
        <v/>
      </c>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83" t="inlineStr">
        <is>
          <t>Bộ</t>
        </is>
      </c>
      <c r="H497" s="136" t="n">
        <v>2</v>
      </c>
      <c r="I497" s="136">
        <f>IF('00_TONG_HOP_BAO_GIA'!G475&gt;0, ('00_TONG_HOP_BAO_GIA'!K475 + '00_TONG_HOP_BAO_GIA'!M475) * (1 + '00_TONG_HOP_BAO_GIA'!P475) / '00_TONG_HOP_BAO_GIA'!G475, 0)</f>
        <v/>
      </c>
      <c r="J497" s="136">
        <f>IF('00_TONG_HOP_BAO_GIA'!G475&gt;0, '00_TONG_HOP_BAO_GIA'!L475 * (1 + '00_TONG_HOP_BAO_GIA'!P475) / '00_TONG_HOP_BAO_GIA'!G475, 0)</f>
        <v/>
      </c>
      <c r="K497" s="137">
        <f>'00_TONG_HOP_BAO_GIA'!Q475</f>
        <v/>
      </c>
      <c r="L497" s="137">
        <f>('00_TONG_HOP_BAO_GIA'!K475 + '00_TONG_HOP_BAO_GIA'!M475) * (1 + '00_TONG_HOP_BAO_GIA'!P475)</f>
        <v/>
      </c>
      <c r="M497" s="137">
        <f>'00_TONG_HOP_BAO_GIA'!L475 * (1 + '00_TONG_HOP_BAO_GIA'!P475)</f>
        <v/>
      </c>
      <c r="N497" s="137">
        <f>'00_TONG_HOP_BAO_GIA'!R475</f>
        <v/>
      </c>
      <c r="O497" s="142">
        <f>IF(K497=0, "CẢNH BÁO: Đơn giá = 0. Tra cứu lại Sheet 06!", '00_TONG_HOP_BAO_GIA'!S475)</f>
        <v/>
      </c>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83" t="inlineStr">
        <is>
          <t>Bộ</t>
        </is>
      </c>
      <c r="H498" s="136" t="n">
        <v>2</v>
      </c>
      <c r="I498" s="136">
        <f>IF('00_TONG_HOP_BAO_GIA'!G476&gt;0, ('00_TONG_HOP_BAO_GIA'!K476 + '00_TONG_HOP_BAO_GIA'!M476) * (1 + '00_TONG_HOP_BAO_GIA'!P476) / '00_TONG_HOP_BAO_GIA'!G476, 0)</f>
        <v/>
      </c>
      <c r="J498" s="136">
        <f>IF('00_TONG_HOP_BAO_GIA'!G476&gt;0, '00_TONG_HOP_BAO_GIA'!L476 * (1 + '00_TONG_HOP_BAO_GIA'!P476) / '00_TONG_HOP_BAO_GIA'!G476, 0)</f>
        <v/>
      </c>
      <c r="K498" s="137">
        <f>'00_TONG_HOP_BAO_GIA'!Q476</f>
        <v/>
      </c>
      <c r="L498" s="137">
        <f>('00_TONG_HOP_BAO_GIA'!K476 + '00_TONG_HOP_BAO_GIA'!M476) * (1 + '00_TONG_HOP_BAO_GIA'!P476)</f>
        <v/>
      </c>
      <c r="M498" s="137">
        <f>'00_TONG_HOP_BAO_GIA'!L476 * (1 + '00_TONG_HOP_BAO_GIA'!P476)</f>
        <v/>
      </c>
      <c r="N498" s="137">
        <f>'00_TONG_HOP_BAO_GIA'!R476</f>
        <v/>
      </c>
      <c r="O498" s="142">
        <f>IF(K498=0, "CẢNH BÁO: Đơn giá = 0. Tra cứu lại Sheet 06!", '00_TONG_HOP_BAO_GIA'!S476)</f>
        <v/>
      </c>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83" t="inlineStr">
        <is>
          <t>Bộ</t>
        </is>
      </c>
      <c r="H499" s="136" t="n">
        <v>2</v>
      </c>
      <c r="I499" s="136">
        <f>IF('00_TONG_HOP_BAO_GIA'!G477&gt;0, ('00_TONG_HOP_BAO_GIA'!K477 + '00_TONG_HOP_BAO_GIA'!M477) * (1 + '00_TONG_HOP_BAO_GIA'!P477) / '00_TONG_HOP_BAO_GIA'!G477, 0)</f>
        <v/>
      </c>
      <c r="J499" s="136">
        <f>IF('00_TONG_HOP_BAO_GIA'!G477&gt;0, '00_TONG_HOP_BAO_GIA'!L477 * (1 + '00_TONG_HOP_BAO_GIA'!P477) / '00_TONG_HOP_BAO_GIA'!G477, 0)</f>
        <v/>
      </c>
      <c r="K499" s="137">
        <f>'00_TONG_HOP_BAO_GIA'!Q477</f>
        <v/>
      </c>
      <c r="L499" s="137">
        <f>('00_TONG_HOP_BAO_GIA'!K477 + '00_TONG_HOP_BAO_GIA'!M477) * (1 + '00_TONG_HOP_BAO_GIA'!P477)</f>
        <v/>
      </c>
      <c r="M499" s="137">
        <f>'00_TONG_HOP_BAO_GIA'!L477 * (1 + '00_TONG_HOP_BAO_GIA'!P477)</f>
        <v/>
      </c>
      <c r="N499" s="137">
        <f>'00_TONG_HOP_BAO_GIA'!R477</f>
        <v/>
      </c>
      <c r="O499" s="142">
        <f>IF(K499=0, "CẢNH BÁO: Đơn giá = 0. Tra cứu lại Sheet 06!", '00_TONG_HOP_BAO_GIA'!S477)</f>
        <v/>
      </c>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83" t="inlineStr">
        <is>
          <t>Lô</t>
        </is>
      </c>
      <c r="H500" s="136" t="n">
        <v>1</v>
      </c>
      <c r="I500" s="136">
        <f>IF('00_TONG_HOP_BAO_GIA'!G478&gt;0, ('00_TONG_HOP_BAO_GIA'!K478 + '00_TONG_HOP_BAO_GIA'!M478) * (1 + '00_TONG_HOP_BAO_GIA'!P478) / '00_TONG_HOP_BAO_GIA'!G478, 0)</f>
        <v/>
      </c>
      <c r="J500" s="136">
        <f>IF('00_TONG_HOP_BAO_GIA'!G478&gt;0, '00_TONG_HOP_BAO_GIA'!L478 * (1 + '00_TONG_HOP_BAO_GIA'!P478) / '00_TONG_HOP_BAO_GIA'!G478, 0)</f>
        <v/>
      </c>
      <c r="K500" s="137">
        <f>'00_TONG_HOP_BAO_GIA'!Q478</f>
        <v/>
      </c>
      <c r="L500" s="137">
        <f>('00_TONG_HOP_BAO_GIA'!K478 + '00_TONG_HOP_BAO_GIA'!M478) * (1 + '00_TONG_HOP_BAO_GIA'!P478)</f>
        <v/>
      </c>
      <c r="M500" s="137">
        <f>'00_TONG_HOP_BAO_GIA'!L478 * (1 + '00_TONG_HOP_BAO_GIA'!P478)</f>
        <v/>
      </c>
      <c r="N500" s="137">
        <f>'00_TONG_HOP_BAO_GIA'!R478</f>
        <v/>
      </c>
      <c r="O500" s="142">
        <f>IF(K500=0, "CẢNH BÁO: Đơn giá = 0. Tra cứu lại Sheet 06!", '00_TONG_HOP_BAO_GIA'!S478)</f>
        <v/>
      </c>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83"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83"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83" t="inlineStr">
        <is>
          <t>Bộ</t>
        </is>
      </c>
      <c r="H503" s="136" t="n">
        <v>21</v>
      </c>
      <c r="I503" s="136">
        <f>IF('00_TONG_HOP_BAO_GIA'!G479&gt;0, ('00_TONG_HOP_BAO_GIA'!K479 + '00_TONG_HOP_BAO_GIA'!M479) * (1 + '00_TONG_HOP_BAO_GIA'!P479) / '00_TONG_HOP_BAO_GIA'!G479, 0)</f>
        <v/>
      </c>
      <c r="J503" s="136">
        <f>IF('00_TONG_HOP_BAO_GIA'!G479&gt;0, '00_TONG_HOP_BAO_GIA'!L479 * (1 + '00_TONG_HOP_BAO_GIA'!P479) / '00_TONG_HOP_BAO_GIA'!G479, 0)</f>
        <v/>
      </c>
      <c r="K503" s="137">
        <f>'00_TONG_HOP_BAO_GIA'!Q479</f>
        <v/>
      </c>
      <c r="L503" s="137">
        <f>('00_TONG_HOP_BAO_GIA'!K479 + '00_TONG_HOP_BAO_GIA'!M479) * (1 + '00_TONG_HOP_BAO_GIA'!P479)</f>
        <v/>
      </c>
      <c r="M503" s="137">
        <f>'00_TONG_HOP_BAO_GIA'!L479 * (1 + '00_TONG_HOP_BAO_GIA'!P479)</f>
        <v/>
      </c>
      <c r="N503" s="137">
        <f>'00_TONG_HOP_BAO_GIA'!R479</f>
        <v/>
      </c>
      <c r="O503" s="139">
        <f>IF(K503=0, "CẢNH BÁO: Đơn giá = 0. Tra cứu lại Sheet 06!", '00_TONG_HOP_BAO_GIA'!S479)</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83" t="inlineStr">
        <is>
          <t>Bộ</t>
        </is>
      </c>
      <c r="H504" s="136" t="n">
        <v>40</v>
      </c>
      <c r="I504" s="136">
        <f>IF('00_TONG_HOP_BAO_GIA'!G480&gt;0, ('00_TONG_HOP_BAO_GIA'!K480 + '00_TONG_HOP_BAO_GIA'!M480) * (1 + '00_TONG_HOP_BAO_GIA'!P480) / '00_TONG_HOP_BAO_GIA'!G480, 0)</f>
        <v/>
      </c>
      <c r="J504" s="136">
        <f>IF('00_TONG_HOP_BAO_GIA'!G480&gt;0, '00_TONG_HOP_BAO_GIA'!L480 * (1 + '00_TONG_HOP_BAO_GIA'!P480) / '00_TONG_HOP_BAO_GIA'!G480, 0)</f>
        <v/>
      </c>
      <c r="K504" s="137">
        <f>'00_TONG_HOP_BAO_GIA'!Q480</f>
        <v/>
      </c>
      <c r="L504" s="137">
        <f>('00_TONG_HOP_BAO_GIA'!K480 + '00_TONG_HOP_BAO_GIA'!M480) * (1 + '00_TONG_HOP_BAO_GIA'!P480)</f>
        <v/>
      </c>
      <c r="M504" s="137">
        <f>'00_TONG_HOP_BAO_GIA'!L480 * (1 + '00_TONG_HOP_BAO_GIA'!P480)</f>
        <v/>
      </c>
      <c r="N504" s="137">
        <f>'00_TONG_HOP_BAO_GIA'!R480</f>
        <v/>
      </c>
      <c r="O504" s="139">
        <f>IF(K504=0, "CẢNH BÁO: Đơn giá = 0. Tra cứu lại Sheet 06!", '00_TONG_HOP_BAO_GIA'!S480)</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83" t="inlineStr">
        <is>
          <t>Bộ</t>
        </is>
      </c>
      <c r="H505" s="136" t="n">
        <v>12</v>
      </c>
      <c r="I505" s="136">
        <f>IF('00_TONG_HOP_BAO_GIA'!G481&gt;0, ('00_TONG_HOP_BAO_GIA'!K481 + '00_TONG_HOP_BAO_GIA'!M481) * (1 + '00_TONG_HOP_BAO_GIA'!P481) / '00_TONG_HOP_BAO_GIA'!G481, 0)</f>
        <v/>
      </c>
      <c r="J505" s="136">
        <f>IF('00_TONG_HOP_BAO_GIA'!G481&gt;0, '00_TONG_HOP_BAO_GIA'!L481 * (1 + '00_TONG_HOP_BAO_GIA'!P481) / '00_TONG_HOP_BAO_GIA'!G481, 0)</f>
        <v/>
      </c>
      <c r="K505" s="137">
        <f>'00_TONG_HOP_BAO_GIA'!Q481</f>
        <v/>
      </c>
      <c r="L505" s="137">
        <f>('00_TONG_HOP_BAO_GIA'!K481 + '00_TONG_HOP_BAO_GIA'!M481) * (1 + '00_TONG_HOP_BAO_GIA'!P481)</f>
        <v/>
      </c>
      <c r="M505" s="137">
        <f>'00_TONG_HOP_BAO_GIA'!L481 * (1 + '00_TONG_HOP_BAO_GIA'!P481)</f>
        <v/>
      </c>
      <c r="N505" s="137">
        <f>'00_TONG_HOP_BAO_GIA'!R481</f>
        <v/>
      </c>
      <c r="O505" s="139">
        <f>IF(K505=0, "CẢNH BÁO: Đơn giá = 0. Tra cứu lại Sheet 06!", '00_TONG_HOP_BAO_GIA'!S481)</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83" t="inlineStr">
        <is>
          <t>Bộ</t>
        </is>
      </c>
      <c r="H506" s="136" t="n">
        <v>12</v>
      </c>
      <c r="I506" s="136">
        <f>IF('00_TONG_HOP_BAO_GIA'!G482&gt;0, ('00_TONG_HOP_BAO_GIA'!K482 + '00_TONG_HOP_BAO_GIA'!M482) * (1 + '00_TONG_HOP_BAO_GIA'!P482) / '00_TONG_HOP_BAO_GIA'!G482, 0)</f>
        <v/>
      </c>
      <c r="J506" s="136">
        <f>IF('00_TONG_HOP_BAO_GIA'!G482&gt;0, '00_TONG_HOP_BAO_GIA'!L482 * (1 + '00_TONG_HOP_BAO_GIA'!P482) / '00_TONG_HOP_BAO_GIA'!G482, 0)</f>
        <v/>
      </c>
      <c r="K506" s="137">
        <f>'00_TONG_HOP_BAO_GIA'!Q482</f>
        <v/>
      </c>
      <c r="L506" s="137">
        <f>('00_TONG_HOP_BAO_GIA'!K482 + '00_TONG_HOP_BAO_GIA'!M482) * (1 + '00_TONG_HOP_BAO_GIA'!P482)</f>
        <v/>
      </c>
      <c r="M506" s="137">
        <f>'00_TONG_HOP_BAO_GIA'!L482 * (1 + '00_TONG_HOP_BAO_GIA'!P482)</f>
        <v/>
      </c>
      <c r="N506" s="137">
        <f>'00_TONG_HOP_BAO_GIA'!R482</f>
        <v/>
      </c>
      <c r="O506" s="139">
        <f>IF(K506=0, "CẢNH BÁO: Đơn giá = 0. Tra cứu lại Sheet 06!", '00_TONG_HOP_BAO_GIA'!S482)</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83" t="inlineStr">
        <is>
          <t>Bộ</t>
        </is>
      </c>
      <c r="H507" s="136" t="n">
        <v>14</v>
      </c>
      <c r="I507" s="136">
        <f>IF('00_TONG_HOP_BAO_GIA'!G483&gt;0, ('00_TONG_HOP_BAO_GIA'!K483 + '00_TONG_HOP_BAO_GIA'!M483) * (1 + '00_TONG_HOP_BAO_GIA'!P483) / '00_TONG_HOP_BAO_GIA'!G483, 0)</f>
        <v/>
      </c>
      <c r="J507" s="136">
        <f>IF('00_TONG_HOP_BAO_GIA'!G483&gt;0, '00_TONG_HOP_BAO_GIA'!L483 * (1 + '00_TONG_HOP_BAO_GIA'!P483) / '00_TONG_HOP_BAO_GIA'!G483, 0)</f>
        <v/>
      </c>
      <c r="K507" s="137">
        <f>'00_TONG_HOP_BAO_GIA'!Q483</f>
        <v/>
      </c>
      <c r="L507" s="137">
        <f>('00_TONG_HOP_BAO_GIA'!K483 + '00_TONG_HOP_BAO_GIA'!M483) * (1 + '00_TONG_HOP_BAO_GIA'!P483)</f>
        <v/>
      </c>
      <c r="M507" s="137">
        <f>'00_TONG_HOP_BAO_GIA'!L483 * (1 + '00_TONG_HOP_BAO_GIA'!P483)</f>
        <v/>
      </c>
      <c r="N507" s="137">
        <f>'00_TONG_HOP_BAO_GIA'!R483</f>
        <v/>
      </c>
      <c r="O507" s="139">
        <f>IF(K507=0, "CẢNH BÁO: Đơn giá = 0. Tra cứu lại Sheet 06!", '00_TONG_HOP_BAO_GIA'!S483)</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83" t="inlineStr">
        <is>
          <t>Bộ</t>
        </is>
      </c>
      <c r="H508" s="136" t="n">
        <v>10</v>
      </c>
      <c r="I508" s="136">
        <f>IF('00_TONG_HOP_BAO_GIA'!G484&gt;0, ('00_TONG_HOP_BAO_GIA'!K484 + '00_TONG_HOP_BAO_GIA'!M484) * (1 + '00_TONG_HOP_BAO_GIA'!P484) / '00_TONG_HOP_BAO_GIA'!G484, 0)</f>
        <v/>
      </c>
      <c r="J508" s="136">
        <f>IF('00_TONG_HOP_BAO_GIA'!G484&gt;0, '00_TONG_HOP_BAO_GIA'!L484 * (1 + '00_TONG_HOP_BAO_GIA'!P484) / '00_TONG_HOP_BAO_GIA'!G484, 0)</f>
        <v/>
      </c>
      <c r="K508" s="137">
        <f>'00_TONG_HOP_BAO_GIA'!Q484</f>
        <v/>
      </c>
      <c r="L508" s="137">
        <f>('00_TONG_HOP_BAO_GIA'!K484 + '00_TONG_HOP_BAO_GIA'!M484) * (1 + '00_TONG_HOP_BAO_GIA'!P484)</f>
        <v/>
      </c>
      <c r="M508" s="137">
        <f>'00_TONG_HOP_BAO_GIA'!L484 * (1 + '00_TONG_HOP_BAO_GIA'!P484)</f>
        <v/>
      </c>
      <c r="N508" s="137">
        <f>'00_TONG_HOP_BAO_GIA'!R484</f>
        <v/>
      </c>
      <c r="O508" s="139">
        <f>IF(K508=0, "CẢNH BÁO: Đơn giá = 0. Tra cứu lại Sheet 06!", '00_TONG_HOP_BAO_GIA'!S484)</f>
        <v/>
      </c>
    </row>
    <row r="509" outlineLevel="1">
      <c r="A509" s="141">
        <f>SUBTOTAL(3,$G$7:G509)</f>
        <v/>
      </c>
      <c r="B509" s="139" t="inlineStr">
        <is>
          <t>Miệng gió cấp SAG600x600 kèm OBD box miệng gió</t>
        </is>
      </c>
      <c r="C509" s="134" t="n"/>
      <c r="D509" s="134" t="inlineStr">
        <is>
          <t>NSCA, Evegreen, Swind, tđ</t>
        </is>
      </c>
      <c r="E509" s="134" t="n"/>
      <c r="F509" s="329" t="n"/>
      <c r="G509" s="383" t="inlineStr">
        <is>
          <t>Cái</t>
        </is>
      </c>
      <c r="H509" s="136" t="n">
        <v>309</v>
      </c>
      <c r="I509" s="136">
        <f>IF('00_TONG_HOP_BAO_GIA'!G485&gt;0, ('00_TONG_HOP_BAO_GIA'!K485 + '00_TONG_HOP_BAO_GIA'!M485) * (1 + '00_TONG_HOP_BAO_GIA'!P485) / '00_TONG_HOP_BAO_GIA'!G485, 0)</f>
        <v/>
      </c>
      <c r="J509" s="136">
        <f>IF('00_TONG_HOP_BAO_GIA'!G485&gt;0, '00_TONG_HOP_BAO_GIA'!L485 * (1 + '00_TONG_HOP_BAO_GIA'!P485) / '00_TONG_HOP_BAO_GIA'!G485, 0)</f>
        <v/>
      </c>
      <c r="K509" s="137">
        <f>'00_TONG_HOP_BAO_GIA'!Q485</f>
        <v/>
      </c>
      <c r="L509" s="137">
        <f>('00_TONG_HOP_BAO_GIA'!K485 + '00_TONG_HOP_BAO_GIA'!M485) * (1 + '00_TONG_HOP_BAO_GIA'!P485)</f>
        <v/>
      </c>
      <c r="M509" s="137">
        <f>'00_TONG_HOP_BAO_GIA'!L485 * (1 + '00_TONG_HOP_BAO_GIA'!P485)</f>
        <v/>
      </c>
      <c r="N509" s="137">
        <f>'00_TONG_HOP_BAO_GIA'!R485</f>
        <v/>
      </c>
      <c r="O509" s="139">
        <f>IF(K509=0, "CẢNH BÁO: Đơn giá = 0. Tra cứu lại Sheet 06!", '00_TONG_HOP_BAO_GIA'!S485)</f>
        <v/>
      </c>
    </row>
    <row r="510" outlineLevel="1">
      <c r="A510" s="141">
        <f>SUBTOTAL(3,$G$7:G510)</f>
        <v/>
      </c>
      <c r="B510" s="139" t="inlineStr">
        <is>
          <t>Miệng gió hồi RAG600x600 kèm OBD box miệng gió</t>
        </is>
      </c>
      <c r="C510" s="134" t="n"/>
      <c r="D510" s="134" t="inlineStr">
        <is>
          <t>NSCA, Evegreen, Swind, tđ</t>
        </is>
      </c>
      <c r="E510" s="134" t="n"/>
      <c r="F510" s="329" t="n"/>
      <c r="G510" s="383" t="inlineStr">
        <is>
          <t>Cái</t>
        </is>
      </c>
      <c r="H510" s="136" t="n">
        <v>195</v>
      </c>
      <c r="I510" s="136">
        <f>IF('00_TONG_HOP_BAO_GIA'!G486&gt;0, ('00_TONG_HOP_BAO_GIA'!K486 + '00_TONG_HOP_BAO_GIA'!M486) * (1 + '00_TONG_HOP_BAO_GIA'!P486) / '00_TONG_HOP_BAO_GIA'!G486, 0)</f>
        <v/>
      </c>
      <c r="J510" s="136">
        <f>IF('00_TONG_HOP_BAO_GIA'!G486&gt;0, '00_TONG_HOP_BAO_GIA'!L486 * (1 + '00_TONG_HOP_BAO_GIA'!P486) / '00_TONG_HOP_BAO_GIA'!G486, 0)</f>
        <v/>
      </c>
      <c r="K510" s="137">
        <f>'00_TONG_HOP_BAO_GIA'!Q486</f>
        <v/>
      </c>
      <c r="L510" s="137">
        <f>('00_TONG_HOP_BAO_GIA'!K486 + '00_TONG_HOP_BAO_GIA'!M486) * (1 + '00_TONG_HOP_BAO_GIA'!P486)</f>
        <v/>
      </c>
      <c r="M510" s="137">
        <f>'00_TONG_HOP_BAO_GIA'!L486 * (1 + '00_TONG_HOP_BAO_GIA'!P486)</f>
        <v/>
      </c>
      <c r="N510" s="137">
        <f>'00_TONG_HOP_BAO_GIA'!R486</f>
        <v/>
      </c>
      <c r="O510" s="139">
        <f>IF(K510=0, "CẢNH BÁO: Đơn giá = 0. Tra cứu lại Sheet 06!", '00_TONG_HOP_BAO_GIA'!S486)</f>
        <v/>
      </c>
    </row>
    <row r="511" outlineLevel="1" ht="24.6" customFormat="1" customHeight="1" s="146">
      <c r="A511" s="141">
        <f>SUBTOTAL(3,$G$7:G511)</f>
        <v/>
      </c>
      <c r="B511" s="139" t="inlineStr">
        <is>
          <t>Vật tư phụ, phụ kiện</t>
        </is>
      </c>
      <c r="C511" s="134" t="n"/>
      <c r="D511" s="134" t="n"/>
      <c r="E511" s="134" t="n"/>
      <c r="F511" s="329" t="n"/>
      <c r="G511" s="383" t="inlineStr">
        <is>
          <t>Lô</t>
        </is>
      </c>
      <c r="H511" s="136" t="n">
        <v>1</v>
      </c>
      <c r="I511" s="136">
        <f>IF('00_TONG_HOP_BAO_GIA'!G487&gt;0, ('00_TONG_HOP_BAO_GIA'!K487 + '00_TONG_HOP_BAO_GIA'!M487) * (1 + '00_TONG_HOP_BAO_GIA'!P487) / '00_TONG_HOP_BAO_GIA'!G487, 0)</f>
        <v/>
      </c>
      <c r="J511" s="136">
        <f>IF('00_TONG_HOP_BAO_GIA'!G487&gt;0, '00_TONG_HOP_BAO_GIA'!L487 * (1 + '00_TONG_HOP_BAO_GIA'!P487) / '00_TONG_HOP_BAO_GIA'!G487, 0)</f>
        <v/>
      </c>
      <c r="K511" s="137">
        <f>'00_TONG_HOP_BAO_GIA'!Q487</f>
        <v/>
      </c>
      <c r="L511" s="137">
        <f>('00_TONG_HOP_BAO_GIA'!K487 + '00_TONG_HOP_BAO_GIA'!M487) * (1 + '00_TONG_HOP_BAO_GIA'!P487)</f>
        <v/>
      </c>
      <c r="M511" s="137">
        <f>'00_TONG_HOP_BAO_GIA'!L487 * (1 + '00_TONG_HOP_BAO_GIA'!P487)</f>
        <v/>
      </c>
      <c r="N511" s="137">
        <f>'00_TONG_HOP_BAO_GIA'!R487</f>
        <v/>
      </c>
      <c r="O511" s="142">
        <f>IF(K511=0, "CẢNH BÁO: Đơn giá = 0. Tra cứu lại Sheet 06!", '00_TONG_HOP_BAO_GIA'!S487)</f>
        <v/>
      </c>
    </row>
    <row r="512" outlineLevel="1" ht="24" customFormat="1" customHeight="1" s="146">
      <c r="A512" s="141" t="n"/>
      <c r="B512" s="140" t="inlineStr">
        <is>
          <t>ỐNG GIÓ LẠNH</t>
        </is>
      </c>
      <c r="C512" s="134" t="n"/>
      <c r="D512" s="134" t="n"/>
      <c r="E512" s="134" t="n"/>
      <c r="F512" s="329" t="inlineStr">
        <is>
          <t>M</t>
        </is>
      </c>
      <c r="G512" s="383"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83" t="inlineStr">
        <is>
          <t>m2</t>
        </is>
      </c>
      <c r="H513" s="136" t="n">
        <v>767.5</v>
      </c>
      <c r="I513" s="136">
        <f>IF('00_TONG_HOP_BAO_GIA'!G488&gt;0, ('00_TONG_HOP_BAO_GIA'!K488 + '00_TONG_HOP_BAO_GIA'!M488) * (1 + '00_TONG_HOP_BAO_GIA'!P488) / '00_TONG_HOP_BAO_GIA'!G488, 0)</f>
        <v/>
      </c>
      <c r="J513" s="136">
        <f>IF('00_TONG_HOP_BAO_GIA'!G488&gt;0, '00_TONG_HOP_BAO_GIA'!L488 * (1 + '00_TONG_HOP_BAO_GIA'!P488) / '00_TONG_HOP_BAO_GIA'!G488, 0)</f>
        <v/>
      </c>
      <c r="K513" s="137">
        <f>'00_TONG_HOP_BAO_GIA'!Q488</f>
        <v/>
      </c>
      <c r="L513" s="137">
        <f>('00_TONG_HOP_BAO_GIA'!K488 + '00_TONG_HOP_BAO_GIA'!M488) * (1 + '00_TONG_HOP_BAO_GIA'!P488)</f>
        <v/>
      </c>
      <c r="M513" s="137">
        <f>'00_TONG_HOP_BAO_GIA'!L488 * (1 + '00_TONG_HOP_BAO_GIA'!P488)</f>
        <v/>
      </c>
      <c r="N513" s="137">
        <f>'00_TONG_HOP_BAO_GIA'!R488</f>
        <v/>
      </c>
      <c r="O513" s="139">
        <f>IF(K513=0, "CẢNH BÁO: Đơn giá = 0. Tra cứu lại Sheet 06!", '00_TONG_HOP_BAO_GIA'!S488)</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83" t="inlineStr">
        <is>
          <t>m2</t>
        </is>
      </c>
      <c r="H514" s="136" t="n">
        <v>767.5</v>
      </c>
      <c r="I514" s="136">
        <f>IF('00_TONG_HOP_BAO_GIA'!G489&gt;0, ('00_TONG_HOP_BAO_GIA'!K489 + '00_TONG_HOP_BAO_GIA'!M489) * (1 + '00_TONG_HOP_BAO_GIA'!P489) / '00_TONG_HOP_BAO_GIA'!G489, 0)</f>
        <v/>
      </c>
      <c r="J514" s="136">
        <f>IF('00_TONG_HOP_BAO_GIA'!G489&gt;0, '00_TONG_HOP_BAO_GIA'!L489 * (1 + '00_TONG_HOP_BAO_GIA'!P489) / '00_TONG_HOP_BAO_GIA'!G489, 0)</f>
        <v/>
      </c>
      <c r="K514" s="137">
        <f>'00_TONG_HOP_BAO_GIA'!Q489</f>
        <v/>
      </c>
      <c r="L514" s="137">
        <f>('00_TONG_HOP_BAO_GIA'!K489 + '00_TONG_HOP_BAO_GIA'!M489) * (1 + '00_TONG_HOP_BAO_GIA'!P489)</f>
        <v/>
      </c>
      <c r="M514" s="137">
        <f>'00_TONG_HOP_BAO_GIA'!L489 * (1 + '00_TONG_HOP_BAO_GIA'!P489)</f>
        <v/>
      </c>
      <c r="N514" s="137">
        <f>'00_TONG_HOP_BAO_GIA'!R489</f>
        <v/>
      </c>
      <c r="O514" s="139">
        <f>IF(K514=0, "CẢNH BÁO: Đơn giá = 0. Tra cứu lại Sheet 06!", '00_TONG_HOP_BAO_GIA'!S489)</f>
        <v/>
      </c>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86" t="inlineStr">
        <is>
          <t>m2</t>
        </is>
      </c>
      <c r="H515" s="337" t="n">
        <v>750</v>
      </c>
      <c r="I515" s="337">
        <f>IF('00_TONG_HOP_BAO_GIA'!G490&gt;0, ('00_TONG_HOP_BAO_GIA'!K490 + '00_TONG_HOP_BAO_GIA'!M490) * (1 + '00_TONG_HOP_BAO_GIA'!P490) / '00_TONG_HOP_BAO_GIA'!G490, 0)</f>
        <v/>
      </c>
      <c r="J515" s="337">
        <f>IF('00_TONG_HOP_BAO_GIA'!G490&gt;0, '00_TONG_HOP_BAO_GIA'!L490 * (1 + '00_TONG_HOP_BAO_GIA'!P490) / '00_TONG_HOP_BAO_GIA'!G490, 0)</f>
        <v/>
      </c>
      <c r="K515" s="338">
        <f>'00_TONG_HOP_BAO_GIA'!Q490</f>
        <v/>
      </c>
      <c r="L515" s="338">
        <f>('00_TONG_HOP_BAO_GIA'!K490 + '00_TONG_HOP_BAO_GIA'!M490) * (1 + '00_TONG_HOP_BAO_GIA'!P490)</f>
        <v/>
      </c>
      <c r="M515" s="338">
        <f>'00_TONG_HOP_BAO_GIA'!L490 * (1 + '00_TONG_HOP_BAO_GIA'!P490)</f>
        <v/>
      </c>
      <c r="N515" s="338">
        <f>'00_TONG_HOP_BAO_GIA'!R490</f>
        <v/>
      </c>
      <c r="O515" s="335">
        <f>IF(K515=0, "CẢNH BÁO: Đơn giá = 0. Tra cứu lại Sheet 06!", '00_TONG_HOP_BAO_GIA'!S490)</f>
        <v/>
      </c>
    </row>
    <row r="516" outlineLevel="1">
      <c r="A516" s="141">
        <f>SUBTOTAL(3,$G$7:G516)</f>
        <v/>
      </c>
      <c r="B516" s="139" t="inlineStr">
        <is>
          <t>Ống gió mềm D400 cách nhiệt dày 25mm</t>
        </is>
      </c>
      <c r="C516" s="134" t="n"/>
      <c r="D516" s="134" t="inlineStr">
        <is>
          <t>ORD, Daehan, ATADUCT tđ</t>
        </is>
      </c>
      <c r="E516" s="134" t="n"/>
      <c r="F516" s="329" t="n"/>
      <c r="G516" s="383" t="inlineStr">
        <is>
          <t>m</t>
        </is>
      </c>
      <c r="H516" s="136" t="n">
        <v>19.5</v>
      </c>
      <c r="I516" s="136">
        <f>IF('00_TONG_HOP_BAO_GIA'!G491&gt;0, ('00_TONG_HOP_BAO_GIA'!K491 + '00_TONG_HOP_BAO_GIA'!M491) * (1 + '00_TONG_HOP_BAO_GIA'!P491) / '00_TONG_HOP_BAO_GIA'!G491, 0)</f>
        <v/>
      </c>
      <c r="J516" s="136">
        <f>IF('00_TONG_HOP_BAO_GIA'!G491&gt;0, '00_TONG_HOP_BAO_GIA'!L491 * (1 + '00_TONG_HOP_BAO_GIA'!P491) / '00_TONG_HOP_BAO_GIA'!G491, 0)</f>
        <v/>
      </c>
      <c r="K516" s="137">
        <f>'00_TONG_HOP_BAO_GIA'!Q491</f>
        <v/>
      </c>
      <c r="L516" s="137">
        <f>('00_TONG_HOP_BAO_GIA'!K491 + '00_TONG_HOP_BAO_GIA'!M491) * (1 + '00_TONG_HOP_BAO_GIA'!P491)</f>
        <v/>
      </c>
      <c r="M516" s="137">
        <f>'00_TONG_HOP_BAO_GIA'!L491 * (1 + '00_TONG_HOP_BAO_GIA'!P491)</f>
        <v/>
      </c>
      <c r="N516" s="137">
        <f>'00_TONG_HOP_BAO_GIA'!R491</f>
        <v/>
      </c>
      <c r="O516" s="139">
        <f>IF(K516=0, "CẢNH BÁO: Đơn giá = 0. Tra cứu lại Sheet 06!", '00_TONG_HOP_BAO_GIA'!S491)</f>
        <v/>
      </c>
    </row>
    <row r="517" outlineLevel="1">
      <c r="A517" s="141">
        <f>SUBTOTAL(3,$G$7:G517)</f>
        <v/>
      </c>
      <c r="B517" s="139" t="inlineStr">
        <is>
          <t>Ống gió mềm D350 cách nhiệt dày 25mm</t>
        </is>
      </c>
      <c r="C517" s="134" t="n"/>
      <c r="D517" s="134" t="inlineStr">
        <is>
          <t>ORD, Daehan, ATADUCT tđ</t>
        </is>
      </c>
      <c r="E517" s="134" t="n"/>
      <c r="F517" s="329" t="n"/>
      <c r="G517" s="383" t="inlineStr">
        <is>
          <t>m</t>
        </is>
      </c>
      <c r="H517" s="136" t="n">
        <v>76.5</v>
      </c>
      <c r="I517" s="136">
        <f>IF('00_TONG_HOP_BAO_GIA'!G492&gt;0, ('00_TONG_HOP_BAO_GIA'!K492 + '00_TONG_HOP_BAO_GIA'!M492) * (1 + '00_TONG_HOP_BAO_GIA'!P492) / '00_TONG_HOP_BAO_GIA'!G492, 0)</f>
        <v/>
      </c>
      <c r="J517" s="136">
        <f>IF('00_TONG_HOP_BAO_GIA'!G492&gt;0, '00_TONG_HOP_BAO_GIA'!L492 * (1 + '00_TONG_HOP_BAO_GIA'!P492) / '00_TONG_HOP_BAO_GIA'!G492, 0)</f>
        <v/>
      </c>
      <c r="K517" s="137">
        <f>'00_TONG_HOP_BAO_GIA'!Q492</f>
        <v/>
      </c>
      <c r="L517" s="137">
        <f>('00_TONG_HOP_BAO_GIA'!K492 + '00_TONG_HOP_BAO_GIA'!M492) * (1 + '00_TONG_HOP_BAO_GIA'!P492)</f>
        <v/>
      </c>
      <c r="M517" s="137">
        <f>'00_TONG_HOP_BAO_GIA'!L492 * (1 + '00_TONG_HOP_BAO_GIA'!P492)</f>
        <v/>
      </c>
      <c r="N517" s="137">
        <f>'00_TONG_HOP_BAO_GIA'!R492</f>
        <v/>
      </c>
      <c r="O517" s="139">
        <f>IF(K517=0, "CẢNH BÁO: Đơn giá = 0. Tra cứu lại Sheet 06!", '00_TONG_HOP_BAO_GIA'!S492)</f>
        <v/>
      </c>
    </row>
    <row r="518" outlineLevel="1">
      <c r="A518" s="141">
        <f>SUBTOTAL(3,$G$7:G518)</f>
        <v/>
      </c>
      <c r="B518" s="139" t="inlineStr">
        <is>
          <t>Ống gió mềm D300 cách nhiệt dày 25mm</t>
        </is>
      </c>
      <c r="C518" s="134" t="n"/>
      <c r="D518" s="134" t="inlineStr">
        <is>
          <t>ORD, Daehan, ATADUCT tđ</t>
        </is>
      </c>
      <c r="E518" s="134" t="n"/>
      <c r="F518" s="329" t="n"/>
      <c r="G518" s="383" t="inlineStr">
        <is>
          <t>m</t>
        </is>
      </c>
      <c r="H518" s="136" t="n">
        <v>97.5</v>
      </c>
      <c r="I518" s="136">
        <f>IF('00_TONG_HOP_BAO_GIA'!G493&gt;0, ('00_TONG_HOP_BAO_GIA'!K493 + '00_TONG_HOP_BAO_GIA'!M493) * (1 + '00_TONG_HOP_BAO_GIA'!P493) / '00_TONG_HOP_BAO_GIA'!G493, 0)</f>
        <v/>
      </c>
      <c r="J518" s="136">
        <f>IF('00_TONG_HOP_BAO_GIA'!G493&gt;0, '00_TONG_HOP_BAO_GIA'!L493 * (1 + '00_TONG_HOP_BAO_GIA'!P493) / '00_TONG_HOP_BAO_GIA'!G493, 0)</f>
        <v/>
      </c>
      <c r="K518" s="137">
        <f>'00_TONG_HOP_BAO_GIA'!Q493</f>
        <v/>
      </c>
      <c r="L518" s="137">
        <f>('00_TONG_HOP_BAO_GIA'!K493 + '00_TONG_HOP_BAO_GIA'!M493) * (1 + '00_TONG_HOP_BAO_GIA'!P493)</f>
        <v/>
      </c>
      <c r="M518" s="137">
        <f>'00_TONG_HOP_BAO_GIA'!L493 * (1 + '00_TONG_HOP_BAO_GIA'!P493)</f>
        <v/>
      </c>
      <c r="N518" s="137">
        <f>'00_TONG_HOP_BAO_GIA'!R493</f>
        <v/>
      </c>
      <c r="O518" s="139">
        <f>IF(K518=0, "CẢNH BÁO: Đơn giá = 0. Tra cứu lại Sheet 06!", '00_TONG_HOP_BAO_GIA'!S493)</f>
        <v/>
      </c>
    </row>
    <row r="519" outlineLevel="1">
      <c r="A519" s="141">
        <f>SUBTOTAL(3,$G$7:G519)</f>
        <v/>
      </c>
      <c r="B519" s="139" t="inlineStr">
        <is>
          <t>Ống gió mềm D250 cách nhiệt dày 25mm</t>
        </is>
      </c>
      <c r="C519" s="134" t="n"/>
      <c r="D519" s="134" t="inlineStr">
        <is>
          <t>ORD, Daehan, ATADUCT tđ</t>
        </is>
      </c>
      <c r="E519" s="134" t="n"/>
      <c r="F519" s="329" t="n"/>
      <c r="G519" s="383" t="inlineStr">
        <is>
          <t>m</t>
        </is>
      </c>
      <c r="H519" s="136" t="n">
        <v>630</v>
      </c>
      <c r="I519" s="136">
        <f>IF('00_TONG_HOP_BAO_GIA'!G494&gt;0, ('00_TONG_HOP_BAO_GIA'!K494 + '00_TONG_HOP_BAO_GIA'!M494) * (1 + '00_TONG_HOP_BAO_GIA'!P494) / '00_TONG_HOP_BAO_GIA'!G494, 0)</f>
        <v/>
      </c>
      <c r="J519" s="136">
        <f>IF('00_TONG_HOP_BAO_GIA'!G494&gt;0, '00_TONG_HOP_BAO_GIA'!L494 * (1 + '00_TONG_HOP_BAO_GIA'!P494) / '00_TONG_HOP_BAO_GIA'!G494, 0)</f>
        <v/>
      </c>
      <c r="K519" s="137">
        <f>'00_TONG_HOP_BAO_GIA'!Q494</f>
        <v/>
      </c>
      <c r="L519" s="137">
        <f>('00_TONG_HOP_BAO_GIA'!K494 + '00_TONG_HOP_BAO_GIA'!M494) * (1 + '00_TONG_HOP_BAO_GIA'!P494)</f>
        <v/>
      </c>
      <c r="M519" s="137">
        <f>'00_TONG_HOP_BAO_GIA'!L494 * (1 + '00_TONG_HOP_BAO_GIA'!P494)</f>
        <v/>
      </c>
      <c r="N519" s="137">
        <f>'00_TONG_HOP_BAO_GIA'!R494</f>
        <v/>
      </c>
      <c r="O519" s="139">
        <f>IF(K519=0, "CẢNH BÁO: Đơn giá = 0. Tra cứu lại Sheet 06!", '00_TONG_HOP_BAO_GIA'!S494)</f>
        <v/>
      </c>
    </row>
    <row r="520" outlineLevel="1">
      <c r="A520" s="141">
        <f>SUBTOTAL(3,$G$7:G520)</f>
        <v/>
      </c>
      <c r="B520" s="139" t="inlineStr">
        <is>
          <t>Ống gió mềm D400 không cách nhiệt</t>
        </is>
      </c>
      <c r="C520" s="134" t="n"/>
      <c r="D520" s="134" t="inlineStr">
        <is>
          <t>ORD, Daehan, ATADUCT tđ</t>
        </is>
      </c>
      <c r="E520" s="134" t="n"/>
      <c r="F520" s="329" t="n"/>
      <c r="G520" s="383" t="inlineStr">
        <is>
          <t>m</t>
        </is>
      </c>
      <c r="H520" s="136" t="n">
        <v>19.5</v>
      </c>
      <c r="I520" s="136">
        <f>IF('00_TONG_HOP_BAO_GIA'!G495&gt;0, ('00_TONG_HOP_BAO_GIA'!K495 + '00_TONG_HOP_BAO_GIA'!M495) * (1 + '00_TONG_HOP_BAO_GIA'!P495) / '00_TONG_HOP_BAO_GIA'!G495, 0)</f>
        <v/>
      </c>
      <c r="J520" s="136">
        <f>IF('00_TONG_HOP_BAO_GIA'!G495&gt;0, '00_TONG_HOP_BAO_GIA'!L495 * (1 + '00_TONG_HOP_BAO_GIA'!P495) / '00_TONG_HOP_BAO_GIA'!G495, 0)</f>
        <v/>
      </c>
      <c r="K520" s="137">
        <f>'00_TONG_HOP_BAO_GIA'!Q495</f>
        <v/>
      </c>
      <c r="L520" s="137">
        <f>('00_TONG_HOP_BAO_GIA'!K495 + '00_TONG_HOP_BAO_GIA'!M495) * (1 + '00_TONG_HOP_BAO_GIA'!P495)</f>
        <v/>
      </c>
      <c r="M520" s="137">
        <f>'00_TONG_HOP_BAO_GIA'!L495 * (1 + '00_TONG_HOP_BAO_GIA'!P495)</f>
        <v/>
      </c>
      <c r="N520" s="137">
        <f>'00_TONG_HOP_BAO_GIA'!R495</f>
        <v/>
      </c>
      <c r="O520" s="139">
        <f>IF(K520=0, "CẢNH BÁO: Đơn giá = 0. Tra cứu lại Sheet 06!", '00_TONG_HOP_BAO_GIA'!S495)</f>
        <v/>
      </c>
    </row>
    <row r="521" outlineLevel="1">
      <c r="A521" s="141">
        <f>SUBTOTAL(3,$G$7:G521)</f>
        <v/>
      </c>
      <c r="B521" s="139" t="inlineStr">
        <is>
          <t>Ống gió mềm D350 không cách nhiệt</t>
        </is>
      </c>
      <c r="C521" s="134" t="n"/>
      <c r="D521" s="134" t="inlineStr">
        <is>
          <t>ORD, Daehan, ATADUCT tđ</t>
        </is>
      </c>
      <c r="E521" s="134" t="n"/>
      <c r="F521" s="329" t="n"/>
      <c r="G521" s="383" t="inlineStr">
        <is>
          <t>m</t>
        </is>
      </c>
      <c r="H521" s="136" t="n">
        <v>76.5</v>
      </c>
      <c r="I521" s="136">
        <f>IF('00_TONG_HOP_BAO_GIA'!G496&gt;0, ('00_TONG_HOP_BAO_GIA'!K496 + '00_TONG_HOP_BAO_GIA'!M496) * (1 + '00_TONG_HOP_BAO_GIA'!P496) / '00_TONG_HOP_BAO_GIA'!G496, 0)</f>
        <v/>
      </c>
      <c r="J521" s="136">
        <f>IF('00_TONG_HOP_BAO_GIA'!G496&gt;0, '00_TONG_HOP_BAO_GIA'!L496 * (1 + '00_TONG_HOP_BAO_GIA'!P496) / '00_TONG_HOP_BAO_GIA'!G496, 0)</f>
        <v/>
      </c>
      <c r="K521" s="137">
        <f>'00_TONG_HOP_BAO_GIA'!Q496</f>
        <v/>
      </c>
      <c r="L521" s="137">
        <f>('00_TONG_HOP_BAO_GIA'!K496 + '00_TONG_HOP_BAO_GIA'!M496) * (1 + '00_TONG_HOP_BAO_GIA'!P496)</f>
        <v/>
      </c>
      <c r="M521" s="137">
        <f>'00_TONG_HOP_BAO_GIA'!L496 * (1 + '00_TONG_HOP_BAO_GIA'!P496)</f>
        <v/>
      </c>
      <c r="N521" s="137">
        <f>'00_TONG_HOP_BAO_GIA'!R496</f>
        <v/>
      </c>
      <c r="O521" s="139">
        <f>IF(K521=0, "CẢNH BÁO: Đơn giá = 0. Tra cứu lại Sheet 06!", '00_TONG_HOP_BAO_GIA'!S496)</f>
        <v/>
      </c>
    </row>
    <row r="522" outlineLevel="1">
      <c r="A522" s="141">
        <f>SUBTOTAL(3,$G$7:G522)</f>
        <v/>
      </c>
      <c r="B522" s="139" t="inlineStr">
        <is>
          <t>Ống gió mềm D300 không cách nhiệt</t>
        </is>
      </c>
      <c r="C522" s="134" t="n"/>
      <c r="D522" s="134" t="inlineStr">
        <is>
          <t>ORD, Daehan, ATADUCT tđ</t>
        </is>
      </c>
      <c r="E522" s="134" t="n"/>
      <c r="F522" s="329" t="n"/>
      <c r="G522" s="383" t="inlineStr">
        <is>
          <t>m</t>
        </is>
      </c>
      <c r="H522" s="136" t="n">
        <v>97.5</v>
      </c>
      <c r="I522" s="136">
        <f>IF('00_TONG_HOP_BAO_GIA'!G497&gt;0, ('00_TONG_HOP_BAO_GIA'!K497 + '00_TONG_HOP_BAO_GIA'!M497) * (1 + '00_TONG_HOP_BAO_GIA'!P497) / '00_TONG_HOP_BAO_GIA'!G497, 0)</f>
        <v/>
      </c>
      <c r="J522" s="136">
        <f>IF('00_TONG_HOP_BAO_GIA'!G497&gt;0, '00_TONG_HOP_BAO_GIA'!L497 * (1 + '00_TONG_HOP_BAO_GIA'!P497) / '00_TONG_HOP_BAO_GIA'!G497, 0)</f>
        <v/>
      </c>
      <c r="K522" s="137">
        <f>'00_TONG_HOP_BAO_GIA'!Q497</f>
        <v/>
      </c>
      <c r="L522" s="137">
        <f>('00_TONG_HOP_BAO_GIA'!K497 + '00_TONG_HOP_BAO_GIA'!M497) * (1 + '00_TONG_HOP_BAO_GIA'!P497)</f>
        <v/>
      </c>
      <c r="M522" s="137">
        <f>'00_TONG_HOP_BAO_GIA'!L497 * (1 + '00_TONG_HOP_BAO_GIA'!P497)</f>
        <v/>
      </c>
      <c r="N522" s="137">
        <f>'00_TONG_HOP_BAO_GIA'!R497</f>
        <v/>
      </c>
      <c r="O522" s="139">
        <f>IF(K522=0, "CẢNH BÁO: Đơn giá = 0. Tra cứu lại Sheet 06!", '00_TONG_HOP_BAO_GIA'!S497)</f>
        <v/>
      </c>
    </row>
    <row r="523" outlineLevel="1">
      <c r="A523" s="141">
        <f>SUBTOTAL(3,$G$7:G523)</f>
        <v/>
      </c>
      <c r="B523" s="139" t="inlineStr">
        <is>
          <t>Ống gió mềm D250 không cách nhiệt</t>
        </is>
      </c>
      <c r="C523" s="134" t="n"/>
      <c r="D523" s="134" t="inlineStr">
        <is>
          <t>ORD, Daehan, ATADUCT tđ</t>
        </is>
      </c>
      <c r="E523" s="134" t="n"/>
      <c r="F523" s="329" t="n"/>
      <c r="G523" s="383" t="inlineStr">
        <is>
          <t>m</t>
        </is>
      </c>
      <c r="H523" s="136" t="n">
        <v>438</v>
      </c>
      <c r="I523" s="136">
        <f>IF('00_TONG_HOP_BAO_GIA'!G498&gt;0, ('00_TONG_HOP_BAO_GIA'!K498 + '00_TONG_HOP_BAO_GIA'!M498) * (1 + '00_TONG_HOP_BAO_GIA'!P498) / '00_TONG_HOP_BAO_GIA'!G498, 0)</f>
        <v/>
      </c>
      <c r="J523" s="136">
        <f>IF('00_TONG_HOP_BAO_GIA'!G498&gt;0, '00_TONG_HOP_BAO_GIA'!L498 * (1 + '00_TONG_HOP_BAO_GIA'!P498) / '00_TONG_HOP_BAO_GIA'!G498, 0)</f>
        <v/>
      </c>
      <c r="K523" s="137">
        <f>'00_TONG_HOP_BAO_GIA'!Q498</f>
        <v/>
      </c>
      <c r="L523" s="137">
        <f>('00_TONG_HOP_BAO_GIA'!K498 + '00_TONG_HOP_BAO_GIA'!M498) * (1 + '00_TONG_HOP_BAO_GIA'!P498)</f>
        <v/>
      </c>
      <c r="M523" s="137">
        <f>'00_TONG_HOP_BAO_GIA'!L498 * (1 + '00_TONG_HOP_BAO_GIA'!P498)</f>
        <v/>
      </c>
      <c r="N523" s="137">
        <f>'00_TONG_HOP_BAO_GIA'!R498</f>
        <v/>
      </c>
      <c r="O523" s="139">
        <f>IF(K523=0, "CẢNH BÁO: Đơn giá = 0. Tra cứu lại Sheet 06!", '00_TONG_HOP_BAO_GIA'!S498)</f>
        <v/>
      </c>
    </row>
    <row r="524" outlineLevel="1" ht="24.6" customFormat="1" customHeight="1" s="146">
      <c r="A524" s="141">
        <f>SUBTOTAL(3,$G$7:G524)</f>
        <v/>
      </c>
      <c r="B524" s="139" t="inlineStr">
        <is>
          <t>Vật tư phụ, phụ kiện</t>
        </is>
      </c>
      <c r="C524" s="134" t="n"/>
      <c r="D524" s="134" t="n"/>
      <c r="E524" s="134" t="n"/>
      <c r="F524" s="329" t="n"/>
      <c r="G524" s="383" t="inlineStr">
        <is>
          <t>Lô</t>
        </is>
      </c>
      <c r="H524" s="136" t="n">
        <v>1</v>
      </c>
      <c r="I524" s="136">
        <f>IF('00_TONG_HOP_BAO_GIA'!G499&gt;0, ('00_TONG_HOP_BAO_GIA'!K499 + '00_TONG_HOP_BAO_GIA'!M499) * (1 + '00_TONG_HOP_BAO_GIA'!P499) / '00_TONG_HOP_BAO_GIA'!G499, 0)</f>
        <v/>
      </c>
      <c r="J524" s="136">
        <f>IF('00_TONG_HOP_BAO_GIA'!G499&gt;0, '00_TONG_HOP_BAO_GIA'!L499 * (1 + '00_TONG_HOP_BAO_GIA'!P499) / '00_TONG_HOP_BAO_GIA'!G499, 0)</f>
        <v/>
      </c>
      <c r="K524" s="137">
        <f>'00_TONG_HOP_BAO_GIA'!Q499</f>
        <v/>
      </c>
      <c r="L524" s="137">
        <f>('00_TONG_HOP_BAO_GIA'!K499 + '00_TONG_HOP_BAO_GIA'!M499) * (1 + '00_TONG_HOP_BAO_GIA'!P499)</f>
        <v/>
      </c>
      <c r="M524" s="137">
        <f>'00_TONG_HOP_BAO_GIA'!L499 * (1 + '00_TONG_HOP_BAO_GIA'!P499)</f>
        <v/>
      </c>
      <c r="N524" s="137">
        <f>'00_TONG_HOP_BAO_GIA'!R499</f>
        <v/>
      </c>
      <c r="O524" s="142">
        <f>IF(K524=0, "CẢNH BÁO: Đơn giá = 0. Tra cứu lại Sheet 06!", '00_TONG_HOP_BAO_GIA'!S499)</f>
        <v/>
      </c>
    </row>
    <row r="525" outlineLevel="1">
      <c r="A525" s="141" t="n"/>
      <c r="B525" s="140" t="inlineStr">
        <is>
          <t>ỐNG ĐỒNG, BẢO ÔN</t>
        </is>
      </c>
      <c r="C525" s="134" t="n"/>
      <c r="D525" s="134" t="n"/>
      <c r="E525" s="134" t="n"/>
      <c r="F525" s="329" t="inlineStr">
        <is>
          <t>M</t>
        </is>
      </c>
      <c r="G525" s="383"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83"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83"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83"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83"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83"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83"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83"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83"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83"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83"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83"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83"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83"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83"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83" t="inlineStr">
        <is>
          <t>Bộ</t>
        </is>
      </c>
      <c r="H540" s="136" t="n">
        <v>72</v>
      </c>
      <c r="I540" s="136">
        <f>IF('00_TONG_HOP_BAO_GIA'!G500&gt;0, ('00_TONG_HOP_BAO_GIA'!K500 + '00_TONG_HOP_BAO_GIA'!M500) * (1 + '00_TONG_HOP_BAO_GIA'!P500) / '00_TONG_HOP_BAO_GIA'!G500, 0)</f>
        <v/>
      </c>
      <c r="J540" s="136">
        <f>IF('00_TONG_HOP_BAO_GIA'!G500&gt;0, '00_TONG_HOP_BAO_GIA'!L500 * (1 + '00_TONG_HOP_BAO_GIA'!P500) / '00_TONG_HOP_BAO_GIA'!G500, 0)</f>
        <v/>
      </c>
      <c r="K540" s="137">
        <f>'00_TONG_HOP_BAO_GIA'!Q500</f>
        <v/>
      </c>
      <c r="L540" s="137">
        <f>('00_TONG_HOP_BAO_GIA'!K500 + '00_TONG_HOP_BAO_GIA'!M500) * (1 + '00_TONG_HOP_BAO_GIA'!P500)</f>
        <v/>
      </c>
      <c r="M540" s="137">
        <f>'00_TONG_HOP_BAO_GIA'!L500 * (1 + '00_TONG_HOP_BAO_GIA'!P500)</f>
        <v/>
      </c>
      <c r="N540" s="137">
        <f>'00_TONG_HOP_BAO_GIA'!R500</f>
        <v/>
      </c>
      <c r="O540" s="139">
        <f>IF(K540=0, "CẢNH BÁO: Đơn giá = 0. Tra cứu lại Sheet 06!", '00_TONG_HOP_BAO_GIA'!S500)</f>
        <v/>
      </c>
    </row>
    <row r="541" hidden="1" outlineLevel="1">
      <c r="A541" s="141">
        <f>SUBTOTAL(3,$G$7:G541)</f>
        <v/>
      </c>
      <c r="B541" s="139" t="inlineStr">
        <is>
          <t>Nap ga bổ sung</t>
        </is>
      </c>
      <c r="C541" s="134" t="inlineStr">
        <is>
          <t>R410A báo 1 bình</t>
        </is>
      </c>
      <c r="D541" s="134" t="n"/>
      <c r="E541" s="134" t="n"/>
      <c r="F541" s="329" t="inlineStr">
        <is>
          <t>GAS</t>
        </is>
      </c>
      <c r="G541" s="383" t="inlineStr">
        <is>
          <t>Lô</t>
        </is>
      </c>
      <c r="H541" s="136" t="n">
        <v>1</v>
      </c>
      <c r="I541" s="136">
        <f>IF('00_TONG_HOP_BAO_GIA'!G501&gt;0, ('00_TONG_HOP_BAO_GIA'!K501 + '00_TONG_HOP_BAO_GIA'!M501) * (1 + '00_TONG_HOP_BAO_GIA'!P501) / '00_TONG_HOP_BAO_GIA'!G501, 0)</f>
        <v/>
      </c>
      <c r="J541" s="136">
        <f>IF('00_TONG_HOP_BAO_GIA'!G501&gt;0, '00_TONG_HOP_BAO_GIA'!L501 * (1 + '00_TONG_HOP_BAO_GIA'!P501) / '00_TONG_HOP_BAO_GIA'!G501, 0)</f>
        <v/>
      </c>
      <c r="K541" s="137">
        <f>'00_TONG_HOP_BAO_GIA'!Q501</f>
        <v/>
      </c>
      <c r="L541" s="137">
        <f>('00_TONG_HOP_BAO_GIA'!K501 + '00_TONG_HOP_BAO_GIA'!M501) * (1 + '00_TONG_HOP_BAO_GIA'!P501)</f>
        <v/>
      </c>
      <c r="M541" s="137">
        <f>'00_TONG_HOP_BAO_GIA'!L501 * (1 + '00_TONG_HOP_BAO_GIA'!P501)</f>
        <v/>
      </c>
      <c r="N541" s="137">
        <f>'00_TONG_HOP_BAO_GIA'!R501</f>
        <v/>
      </c>
      <c r="O541" s="139">
        <f>IF(K541=0, "CẢNH BÁO: Đơn giá = 0. Tra cứu lại Sheet 06!", '00_TONG_HOP_BAO_GIA'!S501)</f>
        <v/>
      </c>
    </row>
    <row r="542" outlineLevel="1">
      <c r="A542" s="141">
        <f>SUBTOTAL(3,$G$7:G542)</f>
        <v/>
      </c>
      <c r="B542" s="139" t="inlineStr">
        <is>
          <t>Vật tư phụ, phụ kiện</t>
        </is>
      </c>
      <c r="C542" s="134" t="n"/>
      <c r="D542" s="134" t="n"/>
      <c r="E542" s="134" t="n"/>
      <c r="F542" s="329" t="inlineStr">
        <is>
          <t>VTP</t>
        </is>
      </c>
      <c r="G542" s="383" t="inlineStr">
        <is>
          <t>Lô</t>
        </is>
      </c>
      <c r="H542" s="136" t="n">
        <v>1</v>
      </c>
      <c r="I542" s="136">
        <f>IF('00_TONG_HOP_BAO_GIA'!G502&gt;0, ('00_TONG_HOP_BAO_GIA'!K502 + '00_TONG_HOP_BAO_GIA'!M502) * (1 + '00_TONG_HOP_BAO_GIA'!P502) / '00_TONG_HOP_BAO_GIA'!G502, 0)</f>
        <v/>
      </c>
      <c r="J542" s="136">
        <f>IF('00_TONG_HOP_BAO_GIA'!G502&gt;0, '00_TONG_HOP_BAO_GIA'!L502 * (1 + '00_TONG_HOP_BAO_GIA'!P502) / '00_TONG_HOP_BAO_GIA'!G502, 0)</f>
        <v/>
      </c>
      <c r="K542" s="137">
        <f>'00_TONG_HOP_BAO_GIA'!Q502</f>
        <v/>
      </c>
      <c r="L542" s="137">
        <f>('00_TONG_HOP_BAO_GIA'!K502 + '00_TONG_HOP_BAO_GIA'!M502) * (1 + '00_TONG_HOP_BAO_GIA'!P502)</f>
        <v/>
      </c>
      <c r="M542" s="137">
        <f>'00_TONG_HOP_BAO_GIA'!L502 * (1 + '00_TONG_HOP_BAO_GIA'!P502)</f>
        <v/>
      </c>
      <c r="N542" s="137">
        <f>'00_TONG_HOP_BAO_GIA'!R502</f>
        <v/>
      </c>
      <c r="O542" s="139">
        <f>IF(K542=0, "CẢNH BÁO: Đơn giá = 0. Tra cứu lại Sheet 06!", '00_TONG_HOP_BAO_GIA'!S502)</f>
        <v/>
      </c>
    </row>
    <row r="543" hidden="1" outlineLevel="1">
      <c r="A543" s="141" t="n"/>
      <c r="B543" s="140" t="inlineStr">
        <is>
          <t>NƯỚC NGƯNG</t>
        </is>
      </c>
      <c r="C543" s="134" t="n"/>
      <c r="D543" s="134" t="n"/>
      <c r="E543" s="134" t="n"/>
      <c r="F543" s="329" t="inlineStr">
        <is>
          <t>NN</t>
        </is>
      </c>
      <c r="G543" s="383"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83" t="inlineStr">
        <is>
          <t>m</t>
        </is>
      </c>
      <c r="H544" s="136" t="n">
        <v>1030</v>
      </c>
      <c r="I544" s="136">
        <f>IF('00_TONG_HOP_BAO_GIA'!G503&gt;0, ('00_TONG_HOP_BAO_GIA'!K503 + '00_TONG_HOP_BAO_GIA'!M503) * (1 + '00_TONG_HOP_BAO_GIA'!P503) / '00_TONG_HOP_BAO_GIA'!G503, 0)</f>
        <v/>
      </c>
      <c r="J544" s="136">
        <f>IF('00_TONG_HOP_BAO_GIA'!G503&gt;0, '00_TONG_HOP_BAO_GIA'!L503 * (1 + '00_TONG_HOP_BAO_GIA'!P503) / '00_TONG_HOP_BAO_GIA'!G503, 0)</f>
        <v/>
      </c>
      <c r="K544" s="137">
        <f>'00_TONG_HOP_BAO_GIA'!Q503</f>
        <v/>
      </c>
      <c r="L544" s="137">
        <f>('00_TONG_HOP_BAO_GIA'!K503 + '00_TONG_HOP_BAO_GIA'!M503) * (1 + '00_TONG_HOP_BAO_GIA'!P503)</f>
        <v/>
      </c>
      <c r="M544" s="137">
        <f>'00_TONG_HOP_BAO_GIA'!L503 * (1 + '00_TONG_HOP_BAO_GIA'!P503)</f>
        <v/>
      </c>
      <c r="N544" s="137">
        <f>'00_TONG_HOP_BAO_GIA'!R503</f>
        <v/>
      </c>
      <c r="O544" s="139">
        <f>IF(K544=0, "CẢNH BÁO: Đơn giá = 0. Tra cứu lại Sheet 06!", '00_TONG_HOP_BAO_GIA'!S503)</f>
        <v/>
      </c>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83" t="inlineStr">
        <is>
          <t>m</t>
        </is>
      </c>
      <c r="H545" s="136" t="n">
        <v>754.8</v>
      </c>
      <c r="I545" s="136">
        <f>IF('00_TONG_HOP_BAO_GIA'!G504&gt;0, ('00_TONG_HOP_BAO_GIA'!K504 + '00_TONG_HOP_BAO_GIA'!M504) * (1 + '00_TONG_HOP_BAO_GIA'!P504) / '00_TONG_HOP_BAO_GIA'!G504, 0)</f>
        <v/>
      </c>
      <c r="J545" s="136">
        <f>IF('00_TONG_HOP_BAO_GIA'!G504&gt;0, '00_TONG_HOP_BAO_GIA'!L504 * (1 + '00_TONG_HOP_BAO_GIA'!P504) / '00_TONG_HOP_BAO_GIA'!G504, 0)</f>
        <v/>
      </c>
      <c r="K545" s="137">
        <f>'00_TONG_HOP_BAO_GIA'!Q504</f>
        <v/>
      </c>
      <c r="L545" s="137">
        <f>('00_TONG_HOP_BAO_GIA'!K504 + '00_TONG_HOP_BAO_GIA'!M504) * (1 + '00_TONG_HOP_BAO_GIA'!P504)</f>
        <v/>
      </c>
      <c r="M545" s="137">
        <f>'00_TONG_HOP_BAO_GIA'!L504 * (1 + '00_TONG_HOP_BAO_GIA'!P504)</f>
        <v/>
      </c>
      <c r="N545" s="137">
        <f>'00_TONG_HOP_BAO_GIA'!R504</f>
        <v/>
      </c>
      <c r="O545" s="139">
        <f>IF(K545=0, "CẢNH BÁO: Đơn giá = 0. Tra cứu lại Sheet 06!", '00_TONG_HOP_BAO_GIA'!S504)</f>
        <v/>
      </c>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83" t="inlineStr">
        <is>
          <t>m</t>
        </is>
      </c>
      <c r="H546" s="136" t="n">
        <v>101.4</v>
      </c>
      <c r="I546" s="136">
        <f>IF('00_TONG_HOP_BAO_GIA'!G505&gt;0, ('00_TONG_HOP_BAO_GIA'!K505 + '00_TONG_HOP_BAO_GIA'!M505) * (1 + '00_TONG_HOP_BAO_GIA'!P505) / '00_TONG_HOP_BAO_GIA'!G505, 0)</f>
        <v/>
      </c>
      <c r="J546" s="136">
        <f>IF('00_TONG_HOP_BAO_GIA'!G505&gt;0, '00_TONG_HOP_BAO_GIA'!L505 * (1 + '00_TONG_HOP_BAO_GIA'!P505) / '00_TONG_HOP_BAO_GIA'!G505, 0)</f>
        <v/>
      </c>
      <c r="K546" s="137">
        <f>'00_TONG_HOP_BAO_GIA'!Q505</f>
        <v/>
      </c>
      <c r="L546" s="137">
        <f>('00_TONG_HOP_BAO_GIA'!K505 + '00_TONG_HOP_BAO_GIA'!M505) * (1 + '00_TONG_HOP_BAO_GIA'!P505)</f>
        <v/>
      </c>
      <c r="M546" s="137">
        <f>'00_TONG_HOP_BAO_GIA'!L505 * (1 + '00_TONG_HOP_BAO_GIA'!P505)</f>
        <v/>
      </c>
      <c r="N546" s="137">
        <f>'00_TONG_HOP_BAO_GIA'!R505</f>
        <v/>
      </c>
      <c r="O546" s="139">
        <f>IF(K546=0, "CẢNH BÁO: Đơn giá = 0. Tra cứu lại Sheet 06!", '00_TONG_HOP_BAO_GIA'!S505)</f>
        <v/>
      </c>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83" t="inlineStr">
        <is>
          <t>m</t>
        </is>
      </c>
      <c r="H547" s="136" t="n">
        <v>180</v>
      </c>
      <c r="I547" s="136">
        <f>IF('00_TONG_HOP_BAO_GIA'!G506&gt;0, ('00_TONG_HOP_BAO_GIA'!K506 + '00_TONG_HOP_BAO_GIA'!M506) * (1 + '00_TONG_HOP_BAO_GIA'!P506) / '00_TONG_HOP_BAO_GIA'!G506, 0)</f>
        <v/>
      </c>
      <c r="J547" s="136">
        <f>IF('00_TONG_HOP_BAO_GIA'!G506&gt;0, '00_TONG_HOP_BAO_GIA'!L506 * (1 + '00_TONG_HOP_BAO_GIA'!P506) / '00_TONG_HOP_BAO_GIA'!G506, 0)</f>
        <v/>
      </c>
      <c r="K547" s="137">
        <f>'00_TONG_HOP_BAO_GIA'!Q506</f>
        <v/>
      </c>
      <c r="L547" s="137">
        <f>('00_TONG_HOP_BAO_GIA'!K506 + '00_TONG_HOP_BAO_GIA'!M506) * (1 + '00_TONG_HOP_BAO_GIA'!P506)</f>
        <v/>
      </c>
      <c r="M547" s="137">
        <f>'00_TONG_HOP_BAO_GIA'!L506 * (1 + '00_TONG_HOP_BAO_GIA'!P506)</f>
        <v/>
      </c>
      <c r="N547" s="137">
        <f>'00_TONG_HOP_BAO_GIA'!R506</f>
        <v/>
      </c>
      <c r="O547" s="139">
        <f>IF(K547=0, "CẢNH BÁO: Đơn giá = 0. Tra cứu lại Sheet 06!", '00_TONG_HOP_BAO_GIA'!S506)</f>
        <v/>
      </c>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83" t="inlineStr">
        <is>
          <t>m</t>
        </is>
      </c>
      <c r="H548" s="136" t="n">
        <v>1030</v>
      </c>
      <c r="I548" s="136">
        <f>IF('00_TONG_HOP_BAO_GIA'!G507&gt;0, ('00_TONG_HOP_BAO_GIA'!K507 + '00_TONG_HOP_BAO_GIA'!M507) * (1 + '00_TONG_HOP_BAO_GIA'!P507) / '00_TONG_HOP_BAO_GIA'!G507, 0)</f>
        <v/>
      </c>
      <c r="J548" s="136">
        <f>IF('00_TONG_HOP_BAO_GIA'!G507&gt;0, '00_TONG_HOP_BAO_GIA'!L507 * (1 + '00_TONG_HOP_BAO_GIA'!P507) / '00_TONG_HOP_BAO_GIA'!G507, 0)</f>
        <v/>
      </c>
      <c r="K548" s="137">
        <f>'00_TONG_HOP_BAO_GIA'!Q507</f>
        <v/>
      </c>
      <c r="L548" s="137">
        <f>('00_TONG_HOP_BAO_GIA'!K507 + '00_TONG_HOP_BAO_GIA'!M507) * (1 + '00_TONG_HOP_BAO_GIA'!P507)</f>
        <v/>
      </c>
      <c r="M548" s="137">
        <f>'00_TONG_HOP_BAO_GIA'!L507 * (1 + '00_TONG_HOP_BAO_GIA'!P507)</f>
        <v/>
      </c>
      <c r="N548" s="137">
        <f>'00_TONG_HOP_BAO_GIA'!R507</f>
        <v/>
      </c>
      <c r="O548" s="139">
        <f>IF(K548=0, "CẢNH BÁO: Đơn giá = 0. Tra cứu lại Sheet 06!", '00_TONG_HOP_BAO_GIA'!S507)</f>
        <v/>
      </c>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83" t="inlineStr">
        <is>
          <t>m</t>
        </is>
      </c>
      <c r="H549" s="136" t="n">
        <v>754.8</v>
      </c>
      <c r="I549" s="136">
        <f>IF('00_TONG_HOP_BAO_GIA'!G508&gt;0, ('00_TONG_HOP_BAO_GIA'!K508 + '00_TONG_HOP_BAO_GIA'!M508) * (1 + '00_TONG_HOP_BAO_GIA'!P508) / '00_TONG_HOP_BAO_GIA'!G508, 0)</f>
        <v/>
      </c>
      <c r="J549" s="136">
        <f>IF('00_TONG_HOP_BAO_GIA'!G508&gt;0, '00_TONG_HOP_BAO_GIA'!L508 * (1 + '00_TONG_HOP_BAO_GIA'!P508) / '00_TONG_HOP_BAO_GIA'!G508, 0)</f>
        <v/>
      </c>
      <c r="K549" s="137">
        <f>'00_TONG_HOP_BAO_GIA'!Q508</f>
        <v/>
      </c>
      <c r="L549" s="137">
        <f>('00_TONG_HOP_BAO_GIA'!K508 + '00_TONG_HOP_BAO_GIA'!M508) * (1 + '00_TONG_HOP_BAO_GIA'!P508)</f>
        <v/>
      </c>
      <c r="M549" s="137">
        <f>'00_TONG_HOP_BAO_GIA'!L508 * (1 + '00_TONG_HOP_BAO_GIA'!P508)</f>
        <v/>
      </c>
      <c r="N549" s="137">
        <f>'00_TONG_HOP_BAO_GIA'!R508</f>
        <v/>
      </c>
      <c r="O549" s="139">
        <f>IF(K549=0, "CẢNH BÁO: Đơn giá = 0. Tra cứu lại Sheet 06!", '00_TONG_HOP_BAO_GIA'!S508)</f>
        <v/>
      </c>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83" t="inlineStr">
        <is>
          <t>m</t>
        </is>
      </c>
      <c r="H550" s="136" t="n">
        <v>101.4</v>
      </c>
      <c r="I550" s="136">
        <f>IF('00_TONG_HOP_BAO_GIA'!G509&gt;0, ('00_TONG_HOP_BAO_GIA'!K509 + '00_TONG_HOP_BAO_GIA'!M509) * (1 + '00_TONG_HOP_BAO_GIA'!P509) / '00_TONG_HOP_BAO_GIA'!G509, 0)</f>
        <v/>
      </c>
      <c r="J550" s="136">
        <f>IF('00_TONG_HOP_BAO_GIA'!G509&gt;0, '00_TONG_HOP_BAO_GIA'!L509 * (1 + '00_TONG_HOP_BAO_GIA'!P509) / '00_TONG_HOP_BAO_GIA'!G509, 0)</f>
        <v/>
      </c>
      <c r="K550" s="137">
        <f>'00_TONG_HOP_BAO_GIA'!Q509</f>
        <v/>
      </c>
      <c r="L550" s="137">
        <f>('00_TONG_HOP_BAO_GIA'!K509 + '00_TONG_HOP_BAO_GIA'!M509) * (1 + '00_TONG_HOP_BAO_GIA'!P509)</f>
        <v/>
      </c>
      <c r="M550" s="137">
        <f>'00_TONG_HOP_BAO_GIA'!L509 * (1 + '00_TONG_HOP_BAO_GIA'!P509)</f>
        <v/>
      </c>
      <c r="N550" s="137">
        <f>'00_TONG_HOP_BAO_GIA'!R509</f>
        <v/>
      </c>
      <c r="O550" s="139">
        <f>IF(K550=0, "CẢNH BÁO: Đơn giá = 0. Tra cứu lại Sheet 06!", '00_TONG_HOP_BAO_GIA'!S509)</f>
        <v/>
      </c>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83" t="inlineStr">
        <is>
          <t>m</t>
        </is>
      </c>
      <c r="H551" s="136" t="n">
        <v>180</v>
      </c>
      <c r="I551" s="136">
        <f>IF('00_TONG_HOP_BAO_GIA'!G510&gt;0, ('00_TONG_HOP_BAO_GIA'!K510 + '00_TONG_HOP_BAO_GIA'!M510) * (1 + '00_TONG_HOP_BAO_GIA'!P510) / '00_TONG_HOP_BAO_GIA'!G510, 0)</f>
        <v/>
      </c>
      <c r="J551" s="136">
        <f>IF('00_TONG_HOP_BAO_GIA'!G510&gt;0, '00_TONG_HOP_BAO_GIA'!L510 * (1 + '00_TONG_HOP_BAO_GIA'!P510) / '00_TONG_HOP_BAO_GIA'!G510, 0)</f>
        <v/>
      </c>
      <c r="K551" s="137">
        <f>'00_TONG_HOP_BAO_GIA'!Q510</f>
        <v/>
      </c>
      <c r="L551" s="137">
        <f>('00_TONG_HOP_BAO_GIA'!K510 + '00_TONG_HOP_BAO_GIA'!M510) * (1 + '00_TONG_HOP_BAO_GIA'!P510)</f>
        <v/>
      </c>
      <c r="M551" s="137">
        <f>'00_TONG_HOP_BAO_GIA'!L510 * (1 + '00_TONG_HOP_BAO_GIA'!P510)</f>
        <v/>
      </c>
      <c r="N551" s="137">
        <f>'00_TONG_HOP_BAO_GIA'!R510</f>
        <v/>
      </c>
      <c r="O551" s="139">
        <f>IF(K551=0, "CẢNH BÁO: Đơn giá = 0. Tra cứu lại Sheet 06!", '00_TONG_HOP_BAO_GIA'!S510)</f>
        <v/>
      </c>
    </row>
    <row r="552" hidden="1" outlineLevel="1">
      <c r="A552" s="141">
        <f>SUBTOTAL(3,$G$7:G552)</f>
        <v/>
      </c>
      <c r="B552" s="139" t="inlineStr">
        <is>
          <t>Vật tư phụ, phụ kiện</t>
        </is>
      </c>
      <c r="C552" s="134" t="n"/>
      <c r="D552" s="134" t="n"/>
      <c r="E552" s="134" t="n"/>
      <c r="F552" s="329" t="inlineStr">
        <is>
          <t>CNNN</t>
        </is>
      </c>
      <c r="G552" s="383" t="inlineStr">
        <is>
          <t>Lô</t>
        </is>
      </c>
      <c r="H552" s="136" t="n">
        <v>1</v>
      </c>
      <c r="I552" s="136">
        <f>IF('00_TONG_HOP_BAO_GIA'!G511&gt;0, ('00_TONG_HOP_BAO_GIA'!K511 + '00_TONG_HOP_BAO_GIA'!M511) * (1 + '00_TONG_HOP_BAO_GIA'!P511) / '00_TONG_HOP_BAO_GIA'!G511, 0)</f>
        <v/>
      </c>
      <c r="J552" s="136">
        <f>IF('00_TONG_HOP_BAO_GIA'!G511&gt;0, '00_TONG_HOP_BAO_GIA'!L511 * (1 + '00_TONG_HOP_BAO_GIA'!P511) / '00_TONG_HOP_BAO_GIA'!G511, 0)</f>
        <v/>
      </c>
      <c r="K552" s="137">
        <f>'00_TONG_HOP_BAO_GIA'!Q511</f>
        <v/>
      </c>
      <c r="L552" s="137">
        <f>('00_TONG_HOP_BAO_GIA'!K511 + '00_TONG_HOP_BAO_GIA'!M511) * (1 + '00_TONG_HOP_BAO_GIA'!P511)</f>
        <v/>
      </c>
      <c r="M552" s="137">
        <f>'00_TONG_HOP_BAO_GIA'!L511 * (1 + '00_TONG_HOP_BAO_GIA'!P511)</f>
        <v/>
      </c>
      <c r="N552" s="137">
        <f>'00_TONG_HOP_BAO_GIA'!R511</f>
        <v/>
      </c>
      <c r="O552" s="139">
        <f>IF(K552=0, "CẢNH BÁO: Đơn giá = 0. Tra cứu lại Sheet 06!", '00_TONG_HOP_BAO_GIA'!S511)</f>
        <v/>
      </c>
    </row>
    <row r="553" outlineLevel="1" ht="26.4" customHeight="1">
      <c r="A553" s="141" t="n"/>
      <c r="B553" s="140" t="inlineStr">
        <is>
          <t>MÁNG TÔN ZAM (ĐI ỐNG ĐỒNG NGOÀI TRỜI), KÈM NẮP</t>
        </is>
      </c>
      <c r="C553" s="134" t="n"/>
      <c r="D553" s="134" t="n"/>
      <c r="E553" s="134" t="n"/>
      <c r="F553" s="329" t="inlineStr">
        <is>
          <t>M</t>
        </is>
      </c>
      <c r="G553" s="383"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83" t="inlineStr">
        <is>
          <t>m</t>
        </is>
      </c>
      <c r="H554" s="136" t="n">
        <v>10</v>
      </c>
      <c r="I554" s="136">
        <f>IF('00_TONG_HOP_BAO_GIA'!G512&gt;0, ('00_TONG_HOP_BAO_GIA'!K512 + '00_TONG_HOP_BAO_GIA'!M512) * (1 + '00_TONG_HOP_BAO_GIA'!P512) / '00_TONG_HOP_BAO_GIA'!G512, 0)</f>
        <v/>
      </c>
      <c r="J554" s="136">
        <f>IF('00_TONG_HOP_BAO_GIA'!G512&gt;0, '00_TONG_HOP_BAO_GIA'!L512 * (1 + '00_TONG_HOP_BAO_GIA'!P512) / '00_TONG_HOP_BAO_GIA'!G512, 0)</f>
        <v/>
      </c>
      <c r="K554" s="137">
        <f>'00_TONG_HOP_BAO_GIA'!Q512</f>
        <v/>
      </c>
      <c r="L554" s="137">
        <f>('00_TONG_HOP_BAO_GIA'!K512 + '00_TONG_HOP_BAO_GIA'!M512) * (1 + '00_TONG_HOP_BAO_GIA'!P512)</f>
        <v/>
      </c>
      <c r="M554" s="137">
        <f>'00_TONG_HOP_BAO_GIA'!L512 * (1 + '00_TONG_HOP_BAO_GIA'!P512)</f>
        <v/>
      </c>
      <c r="N554" s="137">
        <f>'00_TONG_HOP_BAO_GIA'!R512</f>
        <v/>
      </c>
      <c r="O554" s="139">
        <f>IF(K554=0, "CẢNH BÁO: Đơn giá = 0. Tra cứu lại Sheet 06!", '00_TONG_HOP_BAO_GIA'!S512)</f>
        <v/>
      </c>
    </row>
    <row r="555" outlineLevel="1">
      <c r="A555" s="141">
        <f>SUBTOTAL(3,$G$7:G555)</f>
        <v/>
      </c>
      <c r="B555" s="139" t="inlineStr">
        <is>
          <t>Máng tôn zam 1.5mm 400x250 mm</t>
        </is>
      </c>
      <c r="C555" s="134" t="n"/>
      <c r="D555" s="134" t="inlineStr">
        <is>
          <t>Hoa Sen, Phương Nam, tđ</t>
        </is>
      </c>
      <c r="E555" s="134" t="n"/>
      <c r="F555" s="329" t="inlineStr">
        <is>
          <t>TRUNKING</t>
        </is>
      </c>
      <c r="G555" s="383" t="inlineStr">
        <is>
          <t>m</t>
        </is>
      </c>
      <c r="H555" s="136" t="n">
        <v>4</v>
      </c>
      <c r="I555" s="136">
        <f>IF('00_TONG_HOP_BAO_GIA'!G513&gt;0, ('00_TONG_HOP_BAO_GIA'!K513 + '00_TONG_HOP_BAO_GIA'!M513) * (1 + '00_TONG_HOP_BAO_GIA'!P513) / '00_TONG_HOP_BAO_GIA'!G513, 0)</f>
        <v/>
      </c>
      <c r="J555" s="136">
        <f>IF('00_TONG_HOP_BAO_GIA'!G513&gt;0, '00_TONG_HOP_BAO_GIA'!L513 * (1 + '00_TONG_HOP_BAO_GIA'!P513) / '00_TONG_HOP_BAO_GIA'!G513, 0)</f>
        <v/>
      </c>
      <c r="K555" s="137">
        <f>'00_TONG_HOP_BAO_GIA'!Q513</f>
        <v/>
      </c>
      <c r="L555" s="137">
        <f>('00_TONG_HOP_BAO_GIA'!K513 + '00_TONG_HOP_BAO_GIA'!M513) * (1 + '00_TONG_HOP_BAO_GIA'!P513)</f>
        <v/>
      </c>
      <c r="M555" s="137">
        <f>'00_TONG_HOP_BAO_GIA'!L513 * (1 + '00_TONG_HOP_BAO_GIA'!P513)</f>
        <v/>
      </c>
      <c r="N555" s="137">
        <f>'00_TONG_HOP_BAO_GIA'!R513</f>
        <v/>
      </c>
      <c r="O555" s="139">
        <f>IF(K555=0, "CẢNH BÁO: Đơn giá = 0. Tra cứu lại Sheet 06!", '00_TONG_HOP_BAO_GIA'!S513)</f>
        <v/>
      </c>
    </row>
    <row r="556" outlineLevel="1">
      <c r="A556" s="141">
        <f>SUBTOTAL(3,$G$7:G556)</f>
        <v/>
      </c>
      <c r="B556" s="139" t="inlineStr">
        <is>
          <t>Máng tôn zam 1.5mm 400x350 mm</t>
        </is>
      </c>
      <c r="C556" s="134" t="n"/>
      <c r="D556" s="134" t="inlineStr">
        <is>
          <t>Hoa Sen, Phương Nam, tđ</t>
        </is>
      </c>
      <c r="E556" s="134" t="n"/>
      <c r="F556" s="329" t="inlineStr">
        <is>
          <t>TRUNKING</t>
        </is>
      </c>
      <c r="G556" s="383" t="inlineStr">
        <is>
          <t>m</t>
        </is>
      </c>
      <c r="H556" s="136" t="n">
        <v>22</v>
      </c>
      <c r="I556" s="136">
        <f>IF('00_TONG_HOP_BAO_GIA'!G514&gt;0, ('00_TONG_HOP_BAO_GIA'!K514 + '00_TONG_HOP_BAO_GIA'!M514) * (1 + '00_TONG_HOP_BAO_GIA'!P514) / '00_TONG_HOP_BAO_GIA'!G514, 0)</f>
        <v/>
      </c>
      <c r="J556" s="136">
        <f>IF('00_TONG_HOP_BAO_GIA'!G514&gt;0, '00_TONG_HOP_BAO_GIA'!L514 * (1 + '00_TONG_HOP_BAO_GIA'!P514) / '00_TONG_HOP_BAO_GIA'!G514, 0)</f>
        <v/>
      </c>
      <c r="K556" s="137">
        <f>'00_TONG_HOP_BAO_GIA'!Q514</f>
        <v/>
      </c>
      <c r="L556" s="137">
        <f>('00_TONG_HOP_BAO_GIA'!K514 + '00_TONG_HOP_BAO_GIA'!M514) * (1 + '00_TONG_HOP_BAO_GIA'!P514)</f>
        <v/>
      </c>
      <c r="M556" s="137">
        <f>'00_TONG_HOP_BAO_GIA'!L514 * (1 + '00_TONG_HOP_BAO_GIA'!P514)</f>
        <v/>
      </c>
      <c r="N556" s="137">
        <f>'00_TONG_HOP_BAO_GIA'!R514</f>
        <v/>
      </c>
      <c r="O556" s="139">
        <f>IF(K556=0, "CẢNH BÁO: Đơn giá = 0. Tra cứu lại Sheet 06!", '00_TONG_HOP_BAO_GIA'!S514)</f>
        <v/>
      </c>
    </row>
    <row r="557" outlineLevel="1">
      <c r="A557" s="141">
        <f>SUBTOTAL(3,$G$7:G557)</f>
        <v/>
      </c>
      <c r="B557" s="139" t="inlineStr">
        <is>
          <t>Máng tôn zam 1.5mm 500x200 mm</t>
        </is>
      </c>
      <c r="C557" s="134" t="n"/>
      <c r="D557" s="134" t="inlineStr">
        <is>
          <t>Hoa Sen, Phương Nam, tđ</t>
        </is>
      </c>
      <c r="E557" s="134" t="n"/>
      <c r="F557" s="329" t="inlineStr">
        <is>
          <t>TRUNKING</t>
        </is>
      </c>
      <c r="G557" s="383" t="inlineStr">
        <is>
          <t>m</t>
        </is>
      </c>
      <c r="H557" s="136" t="n">
        <v>22</v>
      </c>
      <c r="I557" s="136">
        <f>IF('00_TONG_HOP_BAO_GIA'!G515&gt;0, ('00_TONG_HOP_BAO_GIA'!K515 + '00_TONG_HOP_BAO_GIA'!M515) * (1 + '00_TONG_HOP_BAO_GIA'!P515) / '00_TONG_HOP_BAO_GIA'!G515, 0)</f>
        <v/>
      </c>
      <c r="J557" s="136">
        <f>IF('00_TONG_HOP_BAO_GIA'!G515&gt;0, '00_TONG_HOP_BAO_GIA'!L515 * (1 + '00_TONG_HOP_BAO_GIA'!P515) / '00_TONG_HOP_BAO_GIA'!G515, 0)</f>
        <v/>
      </c>
      <c r="K557" s="137">
        <f>'00_TONG_HOP_BAO_GIA'!Q515</f>
        <v/>
      </c>
      <c r="L557" s="137">
        <f>('00_TONG_HOP_BAO_GIA'!K515 + '00_TONG_HOP_BAO_GIA'!M515) * (1 + '00_TONG_HOP_BAO_GIA'!P515)</f>
        <v/>
      </c>
      <c r="M557" s="137">
        <f>'00_TONG_HOP_BAO_GIA'!L515 * (1 + '00_TONG_HOP_BAO_GIA'!P515)</f>
        <v/>
      </c>
      <c r="N557" s="137">
        <f>'00_TONG_HOP_BAO_GIA'!R515</f>
        <v/>
      </c>
      <c r="O557" s="139">
        <f>IF(K557=0, "CẢNH BÁO: Đơn giá = 0. Tra cứu lại Sheet 06!", '00_TONG_HOP_BAO_GIA'!S515)</f>
        <v/>
      </c>
    </row>
    <row r="558" outlineLevel="1">
      <c r="A558" s="141">
        <f>SUBTOTAL(3,$G$7:G558)</f>
        <v/>
      </c>
      <c r="B558" s="139" t="inlineStr">
        <is>
          <t>Máng tôn zam 1.5mm 500x250 mm</t>
        </is>
      </c>
      <c r="C558" s="134" t="n"/>
      <c r="D558" s="134" t="inlineStr">
        <is>
          <t>Hoa Sen, Phương Nam, tđ</t>
        </is>
      </c>
      <c r="E558" s="134" t="n"/>
      <c r="F558" s="329" t="inlineStr">
        <is>
          <t>TRUNKING</t>
        </is>
      </c>
      <c r="G558" s="383" t="inlineStr">
        <is>
          <t>m</t>
        </is>
      </c>
      <c r="H558" s="136" t="n">
        <v>30</v>
      </c>
      <c r="I558" s="136">
        <f>IF('00_TONG_HOP_BAO_GIA'!G516&gt;0, ('00_TONG_HOP_BAO_GIA'!K516 + '00_TONG_HOP_BAO_GIA'!M516) * (1 + '00_TONG_HOP_BAO_GIA'!P516) / '00_TONG_HOP_BAO_GIA'!G516, 0)</f>
        <v/>
      </c>
      <c r="J558" s="136">
        <f>IF('00_TONG_HOP_BAO_GIA'!G516&gt;0, '00_TONG_HOP_BAO_GIA'!L516 * (1 + '00_TONG_HOP_BAO_GIA'!P516) / '00_TONG_HOP_BAO_GIA'!G516, 0)</f>
        <v/>
      </c>
      <c r="K558" s="137">
        <f>'00_TONG_HOP_BAO_GIA'!Q516</f>
        <v/>
      </c>
      <c r="L558" s="137">
        <f>('00_TONG_HOP_BAO_GIA'!K516 + '00_TONG_HOP_BAO_GIA'!M516) * (1 + '00_TONG_HOP_BAO_GIA'!P516)</f>
        <v/>
      </c>
      <c r="M558" s="137">
        <f>'00_TONG_HOP_BAO_GIA'!L516 * (1 + '00_TONG_HOP_BAO_GIA'!P516)</f>
        <v/>
      </c>
      <c r="N558" s="137">
        <f>'00_TONG_HOP_BAO_GIA'!R516</f>
        <v/>
      </c>
      <c r="O558" s="139">
        <f>IF(K558=0, "CẢNH BÁO: Đơn giá = 0. Tra cứu lại Sheet 06!", '00_TONG_HOP_BAO_GIA'!S516)</f>
        <v/>
      </c>
    </row>
    <row r="559" outlineLevel="1">
      <c r="A559" s="141">
        <f>SUBTOTAL(3,$G$7:G559)</f>
        <v/>
      </c>
      <c r="B559" s="139" t="inlineStr">
        <is>
          <t>Máng tôn zam 1.5mm 500x300 mm</t>
        </is>
      </c>
      <c r="C559" s="134" t="n"/>
      <c r="D559" s="134" t="inlineStr">
        <is>
          <t>Hoa Sen, Phương Nam, tđ</t>
        </is>
      </c>
      <c r="E559" s="134" t="n"/>
      <c r="F559" s="329" t="inlineStr">
        <is>
          <t>TRUNKING</t>
        </is>
      </c>
      <c r="G559" s="383" t="inlineStr">
        <is>
          <t>m</t>
        </is>
      </c>
      <c r="H559" s="136" t="n">
        <v>12</v>
      </c>
      <c r="I559" s="136">
        <f>IF('00_TONG_HOP_BAO_GIA'!G517&gt;0, ('00_TONG_HOP_BAO_GIA'!K517 + '00_TONG_HOP_BAO_GIA'!M517) * (1 + '00_TONG_HOP_BAO_GIA'!P517) / '00_TONG_HOP_BAO_GIA'!G517, 0)</f>
        <v/>
      </c>
      <c r="J559" s="136">
        <f>IF('00_TONG_HOP_BAO_GIA'!G517&gt;0, '00_TONG_HOP_BAO_GIA'!L517 * (1 + '00_TONG_HOP_BAO_GIA'!P517) / '00_TONG_HOP_BAO_GIA'!G517, 0)</f>
        <v/>
      </c>
      <c r="K559" s="137">
        <f>'00_TONG_HOP_BAO_GIA'!Q517</f>
        <v/>
      </c>
      <c r="L559" s="137">
        <f>('00_TONG_HOP_BAO_GIA'!K517 + '00_TONG_HOP_BAO_GIA'!M517) * (1 + '00_TONG_HOP_BAO_GIA'!P517)</f>
        <v/>
      </c>
      <c r="M559" s="137">
        <f>'00_TONG_HOP_BAO_GIA'!L517 * (1 + '00_TONG_HOP_BAO_GIA'!P517)</f>
        <v/>
      </c>
      <c r="N559" s="137">
        <f>'00_TONG_HOP_BAO_GIA'!R517</f>
        <v/>
      </c>
      <c r="O559" s="139">
        <f>IF(K559=0, "CẢNH BÁO: Đơn giá = 0. Tra cứu lại Sheet 06!", '00_TONG_HOP_BAO_GIA'!S517)</f>
        <v/>
      </c>
    </row>
    <row r="560" outlineLevel="1">
      <c r="A560" s="141">
        <f>SUBTOTAL(3,$G$7:G560)</f>
        <v/>
      </c>
      <c r="B560" s="139" t="inlineStr">
        <is>
          <t>Máng tôn zam 1.5mm 500x300 mm</t>
        </is>
      </c>
      <c r="C560" s="134" t="n"/>
      <c r="D560" s="134" t="inlineStr">
        <is>
          <t>Hoa Sen, Phương Nam, tđ</t>
        </is>
      </c>
      <c r="E560" s="134" t="n"/>
      <c r="F560" s="329" t="inlineStr">
        <is>
          <t>TRUNKING</t>
        </is>
      </c>
      <c r="G560" s="383" t="inlineStr">
        <is>
          <t>m</t>
        </is>
      </c>
      <c r="H560" s="136" t="n">
        <v>10</v>
      </c>
      <c r="I560" s="136">
        <f>IF('00_TONG_HOP_BAO_GIA'!G518&gt;0, ('00_TONG_HOP_BAO_GIA'!K518 + '00_TONG_HOP_BAO_GIA'!M518) * (1 + '00_TONG_HOP_BAO_GIA'!P518) / '00_TONG_HOP_BAO_GIA'!G518, 0)</f>
        <v/>
      </c>
      <c r="J560" s="136">
        <f>IF('00_TONG_HOP_BAO_GIA'!G518&gt;0, '00_TONG_HOP_BAO_GIA'!L518 * (1 + '00_TONG_HOP_BAO_GIA'!P518) / '00_TONG_HOP_BAO_GIA'!G518, 0)</f>
        <v/>
      </c>
      <c r="K560" s="137">
        <f>'00_TONG_HOP_BAO_GIA'!Q518</f>
        <v/>
      </c>
      <c r="L560" s="137">
        <f>('00_TONG_HOP_BAO_GIA'!K518 + '00_TONG_HOP_BAO_GIA'!M518) * (1 + '00_TONG_HOP_BAO_GIA'!P518)</f>
        <v/>
      </c>
      <c r="M560" s="137">
        <f>'00_TONG_HOP_BAO_GIA'!L518 * (1 + '00_TONG_HOP_BAO_GIA'!P518)</f>
        <v/>
      </c>
      <c r="N560" s="137">
        <f>'00_TONG_HOP_BAO_GIA'!R518</f>
        <v/>
      </c>
      <c r="O560" s="139">
        <f>IF(K560=0, "CẢNH BÁO: Đơn giá = 0. Tra cứu lại Sheet 06!", '00_TONG_HOP_BAO_GIA'!S518)</f>
        <v/>
      </c>
    </row>
    <row r="561" outlineLevel="1">
      <c r="A561" s="141">
        <f>SUBTOTAL(3,$G$7:G561)</f>
        <v/>
      </c>
      <c r="B561" s="139" t="inlineStr">
        <is>
          <t>Máng tôn zam 1.5mm 600x200 mm</t>
        </is>
      </c>
      <c r="C561" s="134" t="n"/>
      <c r="D561" s="134" t="inlineStr">
        <is>
          <t>Hoa Sen, Phương Nam, tđ</t>
        </is>
      </c>
      <c r="E561" s="134" t="n"/>
      <c r="F561" s="329" t="inlineStr">
        <is>
          <t>TRUNKING</t>
        </is>
      </c>
      <c r="G561" s="383" t="inlineStr">
        <is>
          <t>m</t>
        </is>
      </c>
      <c r="H561" s="136" t="n">
        <v>8</v>
      </c>
      <c r="I561" s="136">
        <f>IF('00_TONG_HOP_BAO_GIA'!G519&gt;0, ('00_TONG_HOP_BAO_GIA'!K519 + '00_TONG_HOP_BAO_GIA'!M519) * (1 + '00_TONG_HOP_BAO_GIA'!P519) / '00_TONG_HOP_BAO_GIA'!G519, 0)</f>
        <v/>
      </c>
      <c r="J561" s="136">
        <f>IF('00_TONG_HOP_BAO_GIA'!G519&gt;0, '00_TONG_HOP_BAO_GIA'!L519 * (1 + '00_TONG_HOP_BAO_GIA'!P519) / '00_TONG_HOP_BAO_GIA'!G519, 0)</f>
        <v/>
      </c>
      <c r="K561" s="137">
        <f>'00_TONG_HOP_BAO_GIA'!Q519</f>
        <v/>
      </c>
      <c r="L561" s="137">
        <f>('00_TONG_HOP_BAO_GIA'!K519 + '00_TONG_HOP_BAO_GIA'!M519) * (1 + '00_TONG_HOP_BAO_GIA'!P519)</f>
        <v/>
      </c>
      <c r="M561" s="137">
        <f>'00_TONG_HOP_BAO_GIA'!L519 * (1 + '00_TONG_HOP_BAO_GIA'!P519)</f>
        <v/>
      </c>
      <c r="N561" s="137">
        <f>'00_TONG_HOP_BAO_GIA'!R519</f>
        <v/>
      </c>
      <c r="O561" s="139">
        <f>IF(K561=0, "CẢNH BÁO: Đơn giá = 0. Tra cứu lại Sheet 06!", '00_TONG_HOP_BAO_GIA'!S519)</f>
        <v/>
      </c>
    </row>
    <row r="562" outlineLevel="1">
      <c r="A562" s="141">
        <f>SUBTOTAL(3,$G$7:G562)</f>
        <v/>
      </c>
      <c r="B562" s="139" t="inlineStr">
        <is>
          <t>Máng tôn zam 1.5mm 600x250 mm</t>
        </is>
      </c>
      <c r="C562" s="134" t="n"/>
      <c r="D562" s="134" t="inlineStr">
        <is>
          <t>Hoa Sen, Phương Nam, tđ</t>
        </is>
      </c>
      <c r="E562" s="134" t="n"/>
      <c r="F562" s="329" t="inlineStr">
        <is>
          <t>TRUNKING</t>
        </is>
      </c>
      <c r="G562" s="383" t="inlineStr">
        <is>
          <t>m</t>
        </is>
      </c>
      <c r="H562" s="136" t="n">
        <v>20</v>
      </c>
      <c r="I562" s="136">
        <f>IF('00_TONG_HOP_BAO_GIA'!G520&gt;0, ('00_TONG_HOP_BAO_GIA'!K520 + '00_TONG_HOP_BAO_GIA'!M520) * (1 + '00_TONG_HOP_BAO_GIA'!P520) / '00_TONG_HOP_BAO_GIA'!G520, 0)</f>
        <v/>
      </c>
      <c r="J562" s="136">
        <f>IF('00_TONG_HOP_BAO_GIA'!G520&gt;0, '00_TONG_HOP_BAO_GIA'!L520 * (1 + '00_TONG_HOP_BAO_GIA'!P520) / '00_TONG_HOP_BAO_GIA'!G520, 0)</f>
        <v/>
      </c>
      <c r="K562" s="137">
        <f>'00_TONG_HOP_BAO_GIA'!Q520</f>
        <v/>
      </c>
      <c r="L562" s="137">
        <f>('00_TONG_HOP_BAO_GIA'!K520 + '00_TONG_HOP_BAO_GIA'!M520) * (1 + '00_TONG_HOP_BAO_GIA'!P520)</f>
        <v/>
      </c>
      <c r="M562" s="137">
        <f>'00_TONG_HOP_BAO_GIA'!L520 * (1 + '00_TONG_HOP_BAO_GIA'!P520)</f>
        <v/>
      </c>
      <c r="N562" s="137">
        <f>'00_TONG_HOP_BAO_GIA'!R520</f>
        <v/>
      </c>
      <c r="O562" s="139">
        <f>IF(K562=0, "CẢNH BÁO: Đơn giá = 0. Tra cứu lại Sheet 06!", '00_TONG_HOP_BAO_GIA'!S520)</f>
        <v/>
      </c>
    </row>
    <row r="563" outlineLevel="1">
      <c r="A563" s="141">
        <f>SUBTOTAL(3,$G$7:G563)</f>
        <v/>
      </c>
      <c r="B563" s="139" t="inlineStr">
        <is>
          <t>Máng tôn zam 1.5mm 600x300 mm</t>
        </is>
      </c>
      <c r="C563" s="134" t="n"/>
      <c r="D563" s="134" t="inlineStr">
        <is>
          <t>Hoa Sen, Phương Nam, tđ</t>
        </is>
      </c>
      <c r="E563" s="134" t="n"/>
      <c r="F563" s="329" t="inlineStr">
        <is>
          <t>TRUNKING</t>
        </is>
      </c>
      <c r="G563" s="383" t="inlineStr">
        <is>
          <t>m</t>
        </is>
      </c>
      <c r="H563" s="136" t="n">
        <v>5</v>
      </c>
      <c r="I563" s="136">
        <f>IF('00_TONG_HOP_BAO_GIA'!G521&gt;0, ('00_TONG_HOP_BAO_GIA'!K521 + '00_TONG_HOP_BAO_GIA'!M521) * (1 + '00_TONG_HOP_BAO_GIA'!P521) / '00_TONG_HOP_BAO_GIA'!G521, 0)</f>
        <v/>
      </c>
      <c r="J563" s="136">
        <f>IF('00_TONG_HOP_BAO_GIA'!G521&gt;0, '00_TONG_HOP_BAO_GIA'!L521 * (1 + '00_TONG_HOP_BAO_GIA'!P521) / '00_TONG_HOP_BAO_GIA'!G521, 0)</f>
        <v/>
      </c>
      <c r="K563" s="137">
        <f>'00_TONG_HOP_BAO_GIA'!Q521</f>
        <v/>
      </c>
      <c r="L563" s="137">
        <f>('00_TONG_HOP_BAO_GIA'!K521 + '00_TONG_HOP_BAO_GIA'!M521) * (1 + '00_TONG_HOP_BAO_GIA'!P521)</f>
        <v/>
      </c>
      <c r="M563" s="137">
        <f>'00_TONG_HOP_BAO_GIA'!L521 * (1 + '00_TONG_HOP_BAO_GIA'!P521)</f>
        <v/>
      </c>
      <c r="N563" s="137">
        <f>'00_TONG_HOP_BAO_GIA'!R521</f>
        <v/>
      </c>
      <c r="O563" s="139">
        <f>IF(K563=0, "CẢNH BÁO: Đơn giá = 0. Tra cứu lại Sheet 06!", '00_TONG_HOP_BAO_GIA'!S521)</f>
        <v/>
      </c>
    </row>
    <row r="564" outlineLevel="1">
      <c r="A564" s="141">
        <f>SUBTOTAL(3,$G$7:G564)</f>
        <v/>
      </c>
      <c r="B564" s="139" t="inlineStr">
        <is>
          <t>Máng tôn zam 1.5mm 600x350 mm</t>
        </is>
      </c>
      <c r="C564" s="134" t="n"/>
      <c r="D564" s="134" t="inlineStr">
        <is>
          <t>Hoa Sen, Phương Nam, tđ</t>
        </is>
      </c>
      <c r="E564" s="134" t="n"/>
      <c r="F564" s="329" t="inlineStr">
        <is>
          <t>TRUNKING</t>
        </is>
      </c>
      <c r="G564" s="383" t="inlineStr">
        <is>
          <t>m</t>
        </is>
      </c>
      <c r="H564" s="136" t="n">
        <v>3</v>
      </c>
      <c r="I564" s="136">
        <f>IF('00_TONG_HOP_BAO_GIA'!G522&gt;0, ('00_TONG_HOP_BAO_GIA'!K522 + '00_TONG_HOP_BAO_GIA'!M522) * (1 + '00_TONG_HOP_BAO_GIA'!P522) / '00_TONG_HOP_BAO_GIA'!G522, 0)</f>
        <v/>
      </c>
      <c r="J564" s="136">
        <f>IF('00_TONG_HOP_BAO_GIA'!G522&gt;0, '00_TONG_HOP_BAO_GIA'!L522 * (1 + '00_TONG_HOP_BAO_GIA'!P522) / '00_TONG_HOP_BAO_GIA'!G522, 0)</f>
        <v/>
      </c>
      <c r="K564" s="137">
        <f>'00_TONG_HOP_BAO_GIA'!Q522</f>
        <v/>
      </c>
      <c r="L564" s="137">
        <f>('00_TONG_HOP_BAO_GIA'!K522 + '00_TONG_HOP_BAO_GIA'!M522) * (1 + '00_TONG_HOP_BAO_GIA'!P522)</f>
        <v/>
      </c>
      <c r="M564" s="137">
        <f>'00_TONG_HOP_BAO_GIA'!L522 * (1 + '00_TONG_HOP_BAO_GIA'!P522)</f>
        <v/>
      </c>
      <c r="N564" s="137">
        <f>'00_TONG_HOP_BAO_GIA'!R522</f>
        <v/>
      </c>
      <c r="O564" s="139">
        <f>IF(K564=0, "CẢNH BÁO: Đơn giá = 0. Tra cứu lại Sheet 06!", '00_TONG_HOP_BAO_GIA'!S522)</f>
        <v/>
      </c>
    </row>
    <row r="565" outlineLevel="1">
      <c r="A565" s="141">
        <f>SUBTOTAL(3,$G$7:G565)</f>
        <v/>
      </c>
      <c r="B565" s="139" t="inlineStr">
        <is>
          <t>Máng tôn zam 1.5mm 850x200 mm</t>
        </is>
      </c>
      <c r="C565" s="134" t="n"/>
      <c r="D565" s="134" t="inlineStr">
        <is>
          <t>Hoa Sen, Phương Nam, tđ</t>
        </is>
      </c>
      <c r="E565" s="134" t="n"/>
      <c r="F565" s="329" t="inlineStr">
        <is>
          <t>TRUNKING</t>
        </is>
      </c>
      <c r="G565" s="383" t="inlineStr">
        <is>
          <t>m</t>
        </is>
      </c>
      <c r="H565" s="136" t="n">
        <v>8</v>
      </c>
      <c r="I565" s="136">
        <f>IF('00_TONG_HOP_BAO_GIA'!G523&gt;0, ('00_TONG_HOP_BAO_GIA'!K523 + '00_TONG_HOP_BAO_GIA'!M523) * (1 + '00_TONG_HOP_BAO_GIA'!P523) / '00_TONG_HOP_BAO_GIA'!G523, 0)</f>
        <v/>
      </c>
      <c r="J565" s="136">
        <f>IF('00_TONG_HOP_BAO_GIA'!G523&gt;0, '00_TONG_HOP_BAO_GIA'!L523 * (1 + '00_TONG_HOP_BAO_GIA'!P523) / '00_TONG_HOP_BAO_GIA'!G523, 0)</f>
        <v/>
      </c>
      <c r="K565" s="137">
        <f>'00_TONG_HOP_BAO_GIA'!Q523</f>
        <v/>
      </c>
      <c r="L565" s="137">
        <f>('00_TONG_HOP_BAO_GIA'!K523 + '00_TONG_HOP_BAO_GIA'!M523) * (1 + '00_TONG_HOP_BAO_GIA'!P523)</f>
        <v/>
      </c>
      <c r="M565" s="137">
        <f>'00_TONG_HOP_BAO_GIA'!L523 * (1 + '00_TONG_HOP_BAO_GIA'!P523)</f>
        <v/>
      </c>
      <c r="N565" s="137">
        <f>'00_TONG_HOP_BAO_GIA'!R523</f>
        <v/>
      </c>
      <c r="O565" s="139">
        <f>IF(K565=0, "CẢNH BÁO: Đơn giá = 0. Tra cứu lại Sheet 06!", '00_TONG_HOP_BAO_GIA'!S523)</f>
        <v/>
      </c>
    </row>
    <row r="566" outlineLevel="1">
      <c r="A566" s="141">
        <f>SUBTOTAL(3,$G$7:G566)</f>
        <v/>
      </c>
      <c r="B566" s="139" t="inlineStr">
        <is>
          <t>Máng tôn zam 1.5mm 1000x250 mm</t>
        </is>
      </c>
      <c r="C566" s="134" t="n"/>
      <c r="D566" s="134" t="inlineStr">
        <is>
          <t>Hoa Sen, Phương Nam, tđ</t>
        </is>
      </c>
      <c r="E566" s="134" t="n"/>
      <c r="F566" s="329" t="inlineStr">
        <is>
          <t>TRUNKING</t>
        </is>
      </c>
      <c r="G566" s="383" t="inlineStr">
        <is>
          <t>m</t>
        </is>
      </c>
      <c r="H566" s="136" t="n">
        <v>3</v>
      </c>
      <c r="I566" s="136">
        <f>IF('00_TONG_HOP_BAO_GIA'!G524&gt;0, ('00_TONG_HOP_BAO_GIA'!K524 + '00_TONG_HOP_BAO_GIA'!M524) * (1 + '00_TONG_HOP_BAO_GIA'!P524) / '00_TONG_HOP_BAO_GIA'!G524, 0)</f>
        <v/>
      </c>
      <c r="J566" s="136">
        <f>IF('00_TONG_HOP_BAO_GIA'!G524&gt;0, '00_TONG_HOP_BAO_GIA'!L524 * (1 + '00_TONG_HOP_BAO_GIA'!P524) / '00_TONG_HOP_BAO_GIA'!G524, 0)</f>
        <v/>
      </c>
      <c r="K566" s="137">
        <f>'00_TONG_HOP_BAO_GIA'!Q524</f>
        <v/>
      </c>
      <c r="L566" s="137">
        <f>('00_TONG_HOP_BAO_GIA'!K524 + '00_TONG_HOP_BAO_GIA'!M524) * (1 + '00_TONG_HOP_BAO_GIA'!P524)</f>
        <v/>
      </c>
      <c r="M566" s="137">
        <f>'00_TONG_HOP_BAO_GIA'!L524 * (1 + '00_TONG_HOP_BAO_GIA'!P524)</f>
        <v/>
      </c>
      <c r="N566" s="137">
        <f>'00_TONG_HOP_BAO_GIA'!R524</f>
        <v/>
      </c>
      <c r="O566" s="139">
        <f>IF(K566=0, "CẢNH BÁO: Đơn giá = 0. Tra cứu lại Sheet 06!", '00_TONG_HOP_BAO_GIA'!S524)</f>
        <v/>
      </c>
    </row>
    <row r="567" outlineLevel="1">
      <c r="A567" s="141">
        <f>SUBTOTAL(3,$G$7:G567)</f>
        <v/>
      </c>
      <c r="B567" s="139" t="inlineStr">
        <is>
          <t>Máng tôn zam 1.5mm 1200x200 mm</t>
        </is>
      </c>
      <c r="C567" s="134" t="n"/>
      <c r="D567" s="134" t="inlineStr">
        <is>
          <t>Hoa Sen, Phương Nam, tđ</t>
        </is>
      </c>
      <c r="E567" s="134" t="n"/>
      <c r="F567" s="329" t="inlineStr">
        <is>
          <t>TRUNKING</t>
        </is>
      </c>
      <c r="G567" s="383" t="inlineStr">
        <is>
          <t>m</t>
        </is>
      </c>
      <c r="H567" s="136" t="n">
        <v>5</v>
      </c>
      <c r="I567" s="136">
        <f>IF('00_TONG_HOP_BAO_GIA'!G525&gt;0, ('00_TONG_HOP_BAO_GIA'!K525 + '00_TONG_HOP_BAO_GIA'!M525) * (1 + '00_TONG_HOP_BAO_GIA'!P525) / '00_TONG_HOP_BAO_GIA'!G525, 0)</f>
        <v/>
      </c>
      <c r="J567" s="136">
        <f>IF('00_TONG_HOP_BAO_GIA'!G525&gt;0, '00_TONG_HOP_BAO_GIA'!L525 * (1 + '00_TONG_HOP_BAO_GIA'!P525) / '00_TONG_HOP_BAO_GIA'!G525, 0)</f>
        <v/>
      </c>
      <c r="K567" s="137">
        <f>'00_TONG_HOP_BAO_GIA'!Q525</f>
        <v/>
      </c>
      <c r="L567" s="137">
        <f>('00_TONG_HOP_BAO_GIA'!K525 + '00_TONG_HOP_BAO_GIA'!M525) * (1 + '00_TONG_HOP_BAO_GIA'!P525)</f>
        <v/>
      </c>
      <c r="M567" s="137">
        <f>'00_TONG_HOP_BAO_GIA'!L525 * (1 + '00_TONG_HOP_BAO_GIA'!P525)</f>
        <v/>
      </c>
      <c r="N567" s="137">
        <f>'00_TONG_HOP_BAO_GIA'!R525</f>
        <v/>
      </c>
      <c r="O567" s="139">
        <f>IF(K567=0, "CẢNH BÁO: Đơn giá = 0. Tra cứu lại Sheet 06!", '00_TONG_HOP_BAO_GIA'!S525)</f>
        <v/>
      </c>
    </row>
    <row r="568" outlineLevel="1">
      <c r="A568" s="141">
        <f>SUBTOTAL(3,$G$7:G568)</f>
        <v/>
      </c>
      <c r="B568" s="139" t="inlineStr">
        <is>
          <t>Máng tôn zam 1.5mm 1700x250 mm</t>
        </is>
      </c>
      <c r="C568" s="134" t="n"/>
      <c r="D568" s="134" t="inlineStr">
        <is>
          <t>Hoa Sen, Phương Nam, tđ</t>
        </is>
      </c>
      <c r="E568" s="134" t="n"/>
      <c r="F568" s="329" t="inlineStr">
        <is>
          <t>TRUNKING</t>
        </is>
      </c>
      <c r="G568" s="383" t="inlineStr">
        <is>
          <t>m</t>
        </is>
      </c>
      <c r="H568" s="136" t="n">
        <v>4</v>
      </c>
      <c r="I568" s="136">
        <f>IF('00_TONG_HOP_BAO_GIA'!G526&gt;0, ('00_TONG_HOP_BAO_GIA'!K526 + '00_TONG_HOP_BAO_GIA'!M526) * (1 + '00_TONG_HOP_BAO_GIA'!P526) / '00_TONG_HOP_BAO_GIA'!G526, 0)</f>
        <v/>
      </c>
      <c r="J568" s="136">
        <f>IF('00_TONG_HOP_BAO_GIA'!G526&gt;0, '00_TONG_HOP_BAO_GIA'!L526 * (1 + '00_TONG_HOP_BAO_GIA'!P526) / '00_TONG_HOP_BAO_GIA'!G526, 0)</f>
        <v/>
      </c>
      <c r="K568" s="137">
        <f>'00_TONG_HOP_BAO_GIA'!Q526</f>
        <v/>
      </c>
      <c r="L568" s="137">
        <f>('00_TONG_HOP_BAO_GIA'!K526 + '00_TONG_HOP_BAO_GIA'!M526) * (1 + '00_TONG_HOP_BAO_GIA'!P526)</f>
        <v/>
      </c>
      <c r="M568" s="137">
        <f>'00_TONG_HOP_BAO_GIA'!L526 * (1 + '00_TONG_HOP_BAO_GIA'!P526)</f>
        <v/>
      </c>
      <c r="N568" s="137">
        <f>'00_TONG_HOP_BAO_GIA'!R526</f>
        <v/>
      </c>
      <c r="O568" s="139">
        <f>IF(K568=0, "CẢNH BÁO: Đơn giá = 0. Tra cứu lại Sheet 06!", '00_TONG_HOP_BAO_GIA'!S526)</f>
        <v/>
      </c>
    </row>
    <row r="569" outlineLevel="1">
      <c r="A569" s="141">
        <f>SUBTOTAL(3,$G$7:G569)</f>
        <v/>
      </c>
      <c r="B569" s="139" t="inlineStr">
        <is>
          <t>Vật tư phụ, phụ kiện</t>
        </is>
      </c>
      <c r="C569" s="134" t="n"/>
      <c r="D569" s="134" t="n"/>
      <c r="E569" s="134" t="n"/>
      <c r="F569" s="329" t="inlineStr">
        <is>
          <t>TRUNKING</t>
        </is>
      </c>
      <c r="G569" s="383" t="inlineStr">
        <is>
          <t>Lô</t>
        </is>
      </c>
      <c r="H569" s="136" t="n">
        <v>1</v>
      </c>
      <c r="I569" s="136">
        <f>IF('00_TONG_HOP_BAO_GIA'!G527&gt;0, ('00_TONG_HOP_BAO_GIA'!K527 + '00_TONG_HOP_BAO_GIA'!M527) * (1 + '00_TONG_HOP_BAO_GIA'!P527) / '00_TONG_HOP_BAO_GIA'!G527, 0)</f>
        <v/>
      </c>
      <c r="J569" s="136">
        <f>IF('00_TONG_HOP_BAO_GIA'!G527&gt;0, '00_TONG_HOP_BAO_GIA'!L527 * (1 + '00_TONG_HOP_BAO_GIA'!P527) / '00_TONG_HOP_BAO_GIA'!G527, 0)</f>
        <v/>
      </c>
      <c r="K569" s="137">
        <f>'00_TONG_HOP_BAO_GIA'!Q527</f>
        <v/>
      </c>
      <c r="L569" s="137">
        <f>('00_TONG_HOP_BAO_GIA'!K527 + '00_TONG_HOP_BAO_GIA'!M527) * (1 + '00_TONG_HOP_BAO_GIA'!P527)</f>
        <v/>
      </c>
      <c r="M569" s="137">
        <f>'00_TONG_HOP_BAO_GIA'!L527 * (1 + '00_TONG_HOP_BAO_GIA'!P527)</f>
        <v/>
      </c>
      <c r="N569" s="137">
        <f>'00_TONG_HOP_BAO_GIA'!R527</f>
        <v/>
      </c>
      <c r="O569" s="139">
        <f>IF(K569=0, "CẢNH BÁO: Đơn giá = 0. Tra cứu lại Sheet 06!", '00_TONG_HOP_BAO_GIA'!S527)</f>
        <v/>
      </c>
    </row>
    <row r="570" outlineLevel="1">
      <c r="A570" s="132" t="inlineStr">
        <is>
          <t>B.1.2</t>
        </is>
      </c>
      <c r="B570" s="140" t="inlineStr">
        <is>
          <t>KHU VỰC CĂN HỘ</t>
        </is>
      </c>
      <c r="C570" s="134" t="n"/>
      <c r="D570" s="134" t="n"/>
      <c r="E570" s="134" t="n"/>
      <c r="F570" s="332" t="inlineStr">
        <is>
          <t>M - CĂN HỘ</t>
        </is>
      </c>
      <c r="G570" s="383"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85"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85"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83"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83" t="inlineStr">
        <is>
          <t>Bộ</t>
        </is>
      </c>
      <c r="H574" s="136" t="n">
        <v>6</v>
      </c>
      <c r="I574" s="136">
        <f>IF('00_TONG_HOP_BAO_GIA'!G528&gt;0, ('00_TONG_HOP_BAO_GIA'!K528 + '00_TONG_HOP_BAO_GIA'!M528) * (1 + '00_TONG_HOP_BAO_GIA'!P528) / '00_TONG_HOP_BAO_GIA'!G528, 0)</f>
        <v/>
      </c>
      <c r="J574" s="136">
        <f>IF('00_TONG_HOP_BAO_GIA'!G528&gt;0, '00_TONG_HOP_BAO_GIA'!L528 * (1 + '00_TONG_HOP_BAO_GIA'!P528) / '00_TONG_HOP_BAO_GIA'!G528, 0)</f>
        <v/>
      </c>
      <c r="K574" s="137">
        <f>'00_TONG_HOP_BAO_GIA'!Q528</f>
        <v/>
      </c>
      <c r="L574" s="137">
        <f>('00_TONG_HOP_BAO_GIA'!K528 + '00_TONG_HOP_BAO_GIA'!M528) * (1 + '00_TONG_HOP_BAO_GIA'!P528)</f>
        <v/>
      </c>
      <c r="M574" s="137">
        <f>'00_TONG_HOP_BAO_GIA'!L528 * (1 + '00_TONG_HOP_BAO_GIA'!P528)</f>
        <v/>
      </c>
      <c r="N574" s="137">
        <f>'00_TONG_HOP_BAO_GIA'!R528</f>
        <v/>
      </c>
      <c r="O574" s="142">
        <f>IF(K574=0, "CẢNH BÁO: Đơn giá = 0. Tra cứu lại Sheet 06!", '00_TONG_HOP_BAO_GIA'!S528)</f>
        <v/>
      </c>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83" t="inlineStr">
        <is>
          <t>Bộ</t>
        </is>
      </c>
      <c r="H575" s="136" t="n">
        <v>12</v>
      </c>
      <c r="I575" s="136">
        <f>IF('00_TONG_HOP_BAO_GIA'!G529&gt;0, ('00_TONG_HOP_BAO_GIA'!K529 + '00_TONG_HOP_BAO_GIA'!M529) * (1 + '00_TONG_HOP_BAO_GIA'!P529) / '00_TONG_HOP_BAO_GIA'!G529, 0)</f>
        <v/>
      </c>
      <c r="J575" s="136">
        <f>IF('00_TONG_HOP_BAO_GIA'!G529&gt;0, '00_TONG_HOP_BAO_GIA'!L529 * (1 + '00_TONG_HOP_BAO_GIA'!P529) / '00_TONG_HOP_BAO_GIA'!G529, 0)</f>
        <v/>
      </c>
      <c r="K575" s="137">
        <f>'00_TONG_HOP_BAO_GIA'!Q529</f>
        <v/>
      </c>
      <c r="L575" s="137">
        <f>('00_TONG_HOP_BAO_GIA'!K529 + '00_TONG_HOP_BAO_GIA'!M529) * (1 + '00_TONG_HOP_BAO_GIA'!P529)</f>
        <v/>
      </c>
      <c r="M575" s="137">
        <f>'00_TONG_HOP_BAO_GIA'!L529 * (1 + '00_TONG_HOP_BAO_GIA'!P529)</f>
        <v/>
      </c>
      <c r="N575" s="137">
        <f>'00_TONG_HOP_BAO_GIA'!R529</f>
        <v/>
      </c>
      <c r="O575" s="142">
        <f>IF(K575=0, "CẢNH BÁO: Đơn giá = 0. Tra cứu lại Sheet 06!", '00_TONG_HOP_BAO_GIA'!S529)</f>
        <v/>
      </c>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83" t="inlineStr">
        <is>
          <t>Bộ</t>
        </is>
      </c>
      <c r="H576" s="136" t="n">
        <v>6</v>
      </c>
      <c r="I576" s="136">
        <f>IF('00_TONG_HOP_BAO_GIA'!G530&gt;0, ('00_TONG_HOP_BAO_GIA'!K530 + '00_TONG_HOP_BAO_GIA'!M530) * (1 + '00_TONG_HOP_BAO_GIA'!P530) / '00_TONG_HOP_BAO_GIA'!G530, 0)</f>
        <v/>
      </c>
      <c r="J576" s="136">
        <f>IF('00_TONG_HOP_BAO_GIA'!G530&gt;0, '00_TONG_HOP_BAO_GIA'!L530 * (1 + '00_TONG_HOP_BAO_GIA'!P530) / '00_TONG_HOP_BAO_GIA'!G530, 0)</f>
        <v/>
      </c>
      <c r="K576" s="137">
        <f>'00_TONG_HOP_BAO_GIA'!Q530</f>
        <v/>
      </c>
      <c r="L576" s="137">
        <f>('00_TONG_HOP_BAO_GIA'!K530 + '00_TONG_HOP_BAO_GIA'!M530) * (1 + '00_TONG_HOP_BAO_GIA'!P530)</f>
        <v/>
      </c>
      <c r="M576" s="137">
        <f>'00_TONG_HOP_BAO_GIA'!L530 * (1 + '00_TONG_HOP_BAO_GIA'!P530)</f>
        <v/>
      </c>
      <c r="N576" s="137">
        <f>'00_TONG_HOP_BAO_GIA'!R530</f>
        <v/>
      </c>
      <c r="O576" s="142">
        <f>IF(K576=0, "CẢNH BÁO: Đơn giá = 0. Tra cứu lại Sheet 06!", '00_TONG_HOP_BAO_GIA'!S530)</f>
        <v/>
      </c>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83" t="inlineStr">
        <is>
          <t>Bộ</t>
        </is>
      </c>
      <c r="H577" s="136" t="n">
        <v>6</v>
      </c>
      <c r="I577" s="136">
        <f>IF('00_TONG_HOP_BAO_GIA'!G531&gt;0, ('00_TONG_HOP_BAO_GIA'!K531 + '00_TONG_HOP_BAO_GIA'!M531) * (1 + '00_TONG_HOP_BAO_GIA'!P531) / '00_TONG_HOP_BAO_GIA'!G531, 0)</f>
        <v/>
      </c>
      <c r="J577" s="136">
        <f>IF('00_TONG_HOP_BAO_GIA'!G531&gt;0, '00_TONG_HOP_BAO_GIA'!L531 * (1 + '00_TONG_HOP_BAO_GIA'!P531) / '00_TONG_HOP_BAO_GIA'!G531, 0)</f>
        <v/>
      </c>
      <c r="K577" s="137">
        <f>'00_TONG_HOP_BAO_GIA'!Q531</f>
        <v/>
      </c>
      <c r="L577" s="137">
        <f>('00_TONG_HOP_BAO_GIA'!K531 + '00_TONG_HOP_BAO_GIA'!M531) * (1 + '00_TONG_HOP_BAO_GIA'!P531)</f>
        <v/>
      </c>
      <c r="M577" s="137">
        <f>'00_TONG_HOP_BAO_GIA'!L531 * (1 + '00_TONG_HOP_BAO_GIA'!P531)</f>
        <v/>
      </c>
      <c r="N577" s="137">
        <f>'00_TONG_HOP_BAO_GIA'!R531</f>
        <v/>
      </c>
      <c r="O577" s="142">
        <f>IF(K577=0, "CẢNH BÁO: Đơn giá = 0. Tra cứu lại Sheet 06!", '00_TONG_HOP_BAO_GIA'!S531)</f>
        <v/>
      </c>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83" t="inlineStr">
        <is>
          <t>Bộ</t>
        </is>
      </c>
      <c r="H578" s="136" t="n">
        <v>18</v>
      </c>
      <c r="I578" s="136">
        <f>IF('00_TONG_HOP_BAO_GIA'!G532&gt;0, ('00_TONG_HOP_BAO_GIA'!K532 + '00_TONG_HOP_BAO_GIA'!M532) * (1 + '00_TONG_HOP_BAO_GIA'!P532) / '00_TONG_HOP_BAO_GIA'!G532, 0)</f>
        <v/>
      </c>
      <c r="J578" s="136">
        <f>IF('00_TONG_HOP_BAO_GIA'!G532&gt;0, '00_TONG_HOP_BAO_GIA'!L532 * (1 + '00_TONG_HOP_BAO_GIA'!P532) / '00_TONG_HOP_BAO_GIA'!G532, 0)</f>
        <v/>
      </c>
      <c r="K578" s="137">
        <f>'00_TONG_HOP_BAO_GIA'!Q532</f>
        <v/>
      </c>
      <c r="L578" s="137">
        <f>('00_TONG_HOP_BAO_GIA'!K532 + '00_TONG_HOP_BAO_GIA'!M532) * (1 + '00_TONG_HOP_BAO_GIA'!P532)</f>
        <v/>
      </c>
      <c r="M578" s="137">
        <f>'00_TONG_HOP_BAO_GIA'!L532 * (1 + '00_TONG_HOP_BAO_GIA'!P532)</f>
        <v/>
      </c>
      <c r="N578" s="137">
        <f>'00_TONG_HOP_BAO_GIA'!R532</f>
        <v/>
      </c>
      <c r="O578" s="142">
        <f>IF(K578=0, "CẢNH BÁO: Đơn giá = 0. Tra cứu lại Sheet 06!", '00_TONG_HOP_BAO_GIA'!S532)</f>
        <v/>
      </c>
    </row>
    <row r="579" hidden="1" outlineLevel="1" ht="24.6" customFormat="1" customHeight="1" s="146">
      <c r="A579" s="141" t="n"/>
      <c r="B579" s="140" t="n"/>
      <c r="C579" s="134" t="n"/>
      <c r="D579" s="134" t="n"/>
      <c r="E579" s="134" t="n"/>
      <c r="F579" s="329" t="inlineStr">
        <is>
          <t>CĐT cấp</t>
        </is>
      </c>
      <c r="G579" s="383"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83" t="inlineStr">
        <is>
          <t>Bộ</t>
        </is>
      </c>
      <c r="H580" s="136" t="n">
        <v>8</v>
      </c>
      <c r="I580" s="136">
        <f>IF('00_TONG_HOP_BAO_GIA'!G533&gt;0, ('00_TONG_HOP_BAO_GIA'!K533 + '00_TONG_HOP_BAO_GIA'!M533) * (1 + '00_TONG_HOP_BAO_GIA'!P533) / '00_TONG_HOP_BAO_GIA'!G533, 0)</f>
        <v/>
      </c>
      <c r="J580" s="136">
        <f>IF('00_TONG_HOP_BAO_GIA'!G533&gt;0, '00_TONG_HOP_BAO_GIA'!L533 * (1 + '00_TONG_HOP_BAO_GIA'!P533) / '00_TONG_HOP_BAO_GIA'!G533, 0)</f>
        <v/>
      </c>
      <c r="K580" s="137">
        <f>'00_TONG_HOP_BAO_GIA'!Q533</f>
        <v/>
      </c>
      <c r="L580" s="137">
        <f>('00_TONG_HOP_BAO_GIA'!K533 + '00_TONG_HOP_BAO_GIA'!M533) * (1 + '00_TONG_HOP_BAO_GIA'!P533)</f>
        <v/>
      </c>
      <c r="M580" s="137">
        <f>'00_TONG_HOP_BAO_GIA'!L533 * (1 + '00_TONG_HOP_BAO_GIA'!P533)</f>
        <v/>
      </c>
      <c r="N580" s="137">
        <f>'00_TONG_HOP_BAO_GIA'!R533</f>
        <v/>
      </c>
      <c r="O580" s="142">
        <f>IF(K580=0, "CẢNH BÁO: Đơn giá = 0. Tra cứu lại Sheet 06!", '00_TONG_HOP_BAO_GIA'!S533)</f>
        <v/>
      </c>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83" t="inlineStr">
        <is>
          <t>Bộ</t>
        </is>
      </c>
      <c r="H581" s="136" t="n">
        <v>8</v>
      </c>
      <c r="I581" s="136">
        <f>IF('00_TONG_HOP_BAO_GIA'!G534&gt;0, ('00_TONG_HOP_BAO_GIA'!K534 + '00_TONG_HOP_BAO_GIA'!M534) * (1 + '00_TONG_HOP_BAO_GIA'!P534) / '00_TONG_HOP_BAO_GIA'!G534, 0)</f>
        <v/>
      </c>
      <c r="J581" s="136">
        <f>IF('00_TONG_HOP_BAO_GIA'!G534&gt;0, '00_TONG_HOP_BAO_GIA'!L534 * (1 + '00_TONG_HOP_BAO_GIA'!P534) / '00_TONG_HOP_BAO_GIA'!G534, 0)</f>
        <v/>
      </c>
      <c r="K581" s="137">
        <f>'00_TONG_HOP_BAO_GIA'!Q534</f>
        <v/>
      </c>
      <c r="L581" s="137">
        <f>('00_TONG_HOP_BAO_GIA'!K534 + '00_TONG_HOP_BAO_GIA'!M534) * (1 + '00_TONG_HOP_BAO_GIA'!P534)</f>
        <v/>
      </c>
      <c r="M581" s="137">
        <f>'00_TONG_HOP_BAO_GIA'!L534 * (1 + '00_TONG_HOP_BAO_GIA'!P534)</f>
        <v/>
      </c>
      <c r="N581" s="137">
        <f>'00_TONG_HOP_BAO_GIA'!R534</f>
        <v/>
      </c>
      <c r="O581" s="142">
        <f>IF(K581=0, "CẢNH BÁO: Đơn giá = 0. Tra cứu lại Sheet 06!", '00_TONG_HOP_BAO_GIA'!S534)</f>
        <v/>
      </c>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83" t="inlineStr">
        <is>
          <t>Bộ</t>
        </is>
      </c>
      <c r="H582" s="136" t="n">
        <v>48</v>
      </c>
      <c r="I582" s="136">
        <f>IF('00_TONG_HOP_BAO_GIA'!G535&gt;0, ('00_TONG_HOP_BAO_GIA'!K535 + '00_TONG_HOP_BAO_GIA'!M535) * (1 + '00_TONG_HOP_BAO_GIA'!P535) / '00_TONG_HOP_BAO_GIA'!G535, 0)</f>
        <v/>
      </c>
      <c r="J582" s="136">
        <f>IF('00_TONG_HOP_BAO_GIA'!G535&gt;0, '00_TONG_HOP_BAO_GIA'!L535 * (1 + '00_TONG_HOP_BAO_GIA'!P535) / '00_TONG_HOP_BAO_GIA'!G535, 0)</f>
        <v/>
      </c>
      <c r="K582" s="137">
        <f>'00_TONG_HOP_BAO_GIA'!Q535</f>
        <v/>
      </c>
      <c r="L582" s="137">
        <f>('00_TONG_HOP_BAO_GIA'!K535 + '00_TONG_HOP_BAO_GIA'!M535) * (1 + '00_TONG_HOP_BAO_GIA'!P535)</f>
        <v/>
      </c>
      <c r="M582" s="137">
        <f>'00_TONG_HOP_BAO_GIA'!L535 * (1 + '00_TONG_HOP_BAO_GIA'!P535)</f>
        <v/>
      </c>
      <c r="N582" s="137">
        <f>'00_TONG_HOP_BAO_GIA'!R535</f>
        <v/>
      </c>
      <c r="O582" s="142">
        <f>IF(K582=0, "CẢNH BÁO: Đơn giá = 0. Tra cứu lại Sheet 06!", '00_TONG_HOP_BAO_GIA'!S535)</f>
        <v/>
      </c>
    </row>
    <row r="583" hidden="1" outlineLevel="1" ht="24.6" customFormat="1" customHeight="1" s="146">
      <c r="A583" s="141" t="n"/>
      <c r="B583" s="140" t="n"/>
      <c r="C583" s="134" t="n"/>
      <c r="D583" s="134" t="n"/>
      <c r="E583" s="134" t="n"/>
      <c r="F583" s="329" t="inlineStr">
        <is>
          <t>CĐT cấp</t>
        </is>
      </c>
      <c r="G583" s="383"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83" t="inlineStr">
        <is>
          <t>Bộ</t>
        </is>
      </c>
      <c r="H584" s="136" t="n">
        <v>8</v>
      </c>
      <c r="I584" s="136">
        <f>IF('00_TONG_HOP_BAO_GIA'!G536&gt;0, ('00_TONG_HOP_BAO_GIA'!K536 + '00_TONG_HOP_BAO_GIA'!M536) * (1 + '00_TONG_HOP_BAO_GIA'!P536) / '00_TONG_HOP_BAO_GIA'!G536, 0)</f>
        <v/>
      </c>
      <c r="J584" s="136">
        <f>IF('00_TONG_HOP_BAO_GIA'!G536&gt;0, '00_TONG_HOP_BAO_GIA'!L536 * (1 + '00_TONG_HOP_BAO_GIA'!P536) / '00_TONG_HOP_BAO_GIA'!G536, 0)</f>
        <v/>
      </c>
      <c r="K584" s="137">
        <f>'00_TONG_HOP_BAO_GIA'!Q536</f>
        <v/>
      </c>
      <c r="L584" s="137">
        <f>('00_TONG_HOP_BAO_GIA'!K536 + '00_TONG_HOP_BAO_GIA'!M536) * (1 + '00_TONG_HOP_BAO_GIA'!P536)</f>
        <v/>
      </c>
      <c r="M584" s="137">
        <f>'00_TONG_HOP_BAO_GIA'!L536 * (1 + '00_TONG_HOP_BAO_GIA'!P536)</f>
        <v/>
      </c>
      <c r="N584" s="137">
        <f>'00_TONG_HOP_BAO_GIA'!R536</f>
        <v/>
      </c>
      <c r="O584" s="142">
        <f>IF(K584=0, "CẢNH BÁO: Đơn giá = 0. Tra cứu lại Sheet 06!", '00_TONG_HOP_BAO_GIA'!S536)</f>
        <v/>
      </c>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83" t="inlineStr">
        <is>
          <t>Bộ</t>
        </is>
      </c>
      <c r="H585" s="136" t="n">
        <v>8</v>
      </c>
      <c r="I585" s="136">
        <f>IF('00_TONG_HOP_BAO_GIA'!G537&gt;0, ('00_TONG_HOP_BAO_GIA'!K537 + '00_TONG_HOP_BAO_GIA'!M537) * (1 + '00_TONG_HOP_BAO_GIA'!P537) / '00_TONG_HOP_BAO_GIA'!G537, 0)</f>
        <v/>
      </c>
      <c r="J585" s="136">
        <f>IF('00_TONG_HOP_BAO_GIA'!G537&gt;0, '00_TONG_HOP_BAO_GIA'!L537 * (1 + '00_TONG_HOP_BAO_GIA'!P537) / '00_TONG_HOP_BAO_GIA'!G537, 0)</f>
        <v/>
      </c>
      <c r="K585" s="137">
        <f>'00_TONG_HOP_BAO_GIA'!Q537</f>
        <v/>
      </c>
      <c r="L585" s="137">
        <f>('00_TONG_HOP_BAO_GIA'!K537 + '00_TONG_HOP_BAO_GIA'!M537) * (1 + '00_TONG_HOP_BAO_GIA'!P537)</f>
        <v/>
      </c>
      <c r="M585" s="137">
        <f>'00_TONG_HOP_BAO_GIA'!L537 * (1 + '00_TONG_HOP_BAO_GIA'!P537)</f>
        <v/>
      </c>
      <c r="N585" s="137">
        <f>'00_TONG_HOP_BAO_GIA'!R537</f>
        <v/>
      </c>
      <c r="O585" s="142">
        <f>IF(K585=0, "CẢNH BÁO: Đơn giá = 0. Tra cứu lại Sheet 06!", '00_TONG_HOP_BAO_GIA'!S537)</f>
        <v/>
      </c>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83" t="inlineStr">
        <is>
          <t>Bộ</t>
        </is>
      </c>
      <c r="H586" s="136" t="n">
        <v>8</v>
      </c>
      <c r="I586" s="136">
        <f>IF('00_TONG_HOP_BAO_GIA'!G538&gt;0, ('00_TONG_HOP_BAO_GIA'!K538 + '00_TONG_HOP_BAO_GIA'!M538) * (1 + '00_TONG_HOP_BAO_GIA'!P538) / '00_TONG_HOP_BAO_GIA'!G538, 0)</f>
        <v/>
      </c>
      <c r="J586" s="136">
        <f>IF('00_TONG_HOP_BAO_GIA'!G538&gt;0, '00_TONG_HOP_BAO_GIA'!L538 * (1 + '00_TONG_HOP_BAO_GIA'!P538) / '00_TONG_HOP_BAO_GIA'!G538, 0)</f>
        <v/>
      </c>
      <c r="K586" s="137">
        <f>'00_TONG_HOP_BAO_GIA'!Q538</f>
        <v/>
      </c>
      <c r="L586" s="137">
        <f>('00_TONG_HOP_BAO_GIA'!K538 + '00_TONG_HOP_BAO_GIA'!M538) * (1 + '00_TONG_HOP_BAO_GIA'!P538)</f>
        <v/>
      </c>
      <c r="M586" s="137">
        <f>'00_TONG_HOP_BAO_GIA'!L538 * (1 + '00_TONG_HOP_BAO_GIA'!P538)</f>
        <v/>
      </c>
      <c r="N586" s="137">
        <f>'00_TONG_HOP_BAO_GIA'!R538</f>
        <v/>
      </c>
      <c r="O586" s="142">
        <f>IF(K586=0, "CẢNH BÁO: Đơn giá = 0. Tra cứu lại Sheet 06!", '00_TONG_HOP_BAO_GIA'!S538)</f>
        <v/>
      </c>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83" t="inlineStr">
        <is>
          <t>Bộ</t>
        </is>
      </c>
      <c r="H587" s="136" t="n">
        <v>16</v>
      </c>
      <c r="I587" s="136">
        <f>IF('00_TONG_HOP_BAO_GIA'!G539&gt;0, ('00_TONG_HOP_BAO_GIA'!K539 + '00_TONG_HOP_BAO_GIA'!M539) * (1 + '00_TONG_HOP_BAO_GIA'!P539) / '00_TONG_HOP_BAO_GIA'!G539, 0)</f>
        <v/>
      </c>
      <c r="J587" s="136">
        <f>IF('00_TONG_HOP_BAO_GIA'!G539&gt;0, '00_TONG_HOP_BAO_GIA'!L539 * (1 + '00_TONG_HOP_BAO_GIA'!P539) / '00_TONG_HOP_BAO_GIA'!G539, 0)</f>
        <v/>
      </c>
      <c r="K587" s="137">
        <f>'00_TONG_HOP_BAO_GIA'!Q539</f>
        <v/>
      </c>
      <c r="L587" s="137">
        <f>('00_TONG_HOP_BAO_GIA'!K539 + '00_TONG_HOP_BAO_GIA'!M539) * (1 + '00_TONG_HOP_BAO_GIA'!P539)</f>
        <v/>
      </c>
      <c r="M587" s="137">
        <f>'00_TONG_HOP_BAO_GIA'!L539 * (1 + '00_TONG_HOP_BAO_GIA'!P539)</f>
        <v/>
      </c>
      <c r="N587" s="137">
        <f>'00_TONG_HOP_BAO_GIA'!R539</f>
        <v/>
      </c>
      <c r="O587" s="142">
        <f>IF(K587=0, "CẢNH BÁO: Đơn giá = 0. Tra cứu lại Sheet 06!", '00_TONG_HOP_BAO_GIA'!S539)</f>
        <v/>
      </c>
    </row>
    <row r="588" hidden="1" outlineLevel="1" ht="24.6" customFormat="1" customHeight="1" s="146">
      <c r="A588" s="141" t="n"/>
      <c r="B588" s="139" t="n"/>
      <c r="C588" s="134" t="n"/>
      <c r="D588" s="134" t="n"/>
      <c r="E588" s="134" t="n"/>
      <c r="F588" s="329" t="inlineStr">
        <is>
          <t>CĐT cấp</t>
        </is>
      </c>
      <c r="G588" s="383"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83" t="inlineStr">
        <is>
          <t>Bộ</t>
        </is>
      </c>
      <c r="H589" s="136" t="n">
        <v>1</v>
      </c>
      <c r="I589" s="136">
        <f>IF('00_TONG_HOP_BAO_GIA'!G540&gt;0, ('00_TONG_HOP_BAO_GIA'!K540 + '00_TONG_HOP_BAO_GIA'!M540) * (1 + '00_TONG_HOP_BAO_GIA'!P540) / '00_TONG_HOP_BAO_GIA'!G540, 0)</f>
        <v/>
      </c>
      <c r="J589" s="136">
        <f>IF('00_TONG_HOP_BAO_GIA'!G540&gt;0, '00_TONG_HOP_BAO_GIA'!L540 * (1 + '00_TONG_HOP_BAO_GIA'!P540) / '00_TONG_HOP_BAO_GIA'!G540, 0)</f>
        <v/>
      </c>
      <c r="K589" s="137">
        <f>'00_TONG_HOP_BAO_GIA'!Q540</f>
        <v/>
      </c>
      <c r="L589" s="137">
        <f>('00_TONG_HOP_BAO_GIA'!K540 + '00_TONG_HOP_BAO_GIA'!M540) * (1 + '00_TONG_HOP_BAO_GIA'!P540)</f>
        <v/>
      </c>
      <c r="M589" s="137">
        <f>'00_TONG_HOP_BAO_GIA'!L540 * (1 + '00_TONG_HOP_BAO_GIA'!P540)</f>
        <v/>
      </c>
      <c r="N589" s="137">
        <f>'00_TONG_HOP_BAO_GIA'!R540</f>
        <v/>
      </c>
      <c r="O589" s="142">
        <f>IF(K589=0, "CẢNH BÁO: Đơn giá = 0. Tra cứu lại Sheet 06!", '00_TONG_HOP_BAO_GIA'!S540)</f>
        <v/>
      </c>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83" t="inlineStr">
        <is>
          <t>Bộ</t>
        </is>
      </c>
      <c r="H590" s="136" t="n">
        <v>2</v>
      </c>
      <c r="I590" s="136">
        <f>IF('00_TONG_HOP_BAO_GIA'!G541&gt;0, ('00_TONG_HOP_BAO_GIA'!K541 + '00_TONG_HOP_BAO_GIA'!M541) * (1 + '00_TONG_HOP_BAO_GIA'!P541) / '00_TONG_HOP_BAO_GIA'!G541, 0)</f>
        <v/>
      </c>
      <c r="J590" s="136">
        <f>IF('00_TONG_HOP_BAO_GIA'!G541&gt;0, '00_TONG_HOP_BAO_GIA'!L541 * (1 + '00_TONG_HOP_BAO_GIA'!P541) / '00_TONG_HOP_BAO_GIA'!G541, 0)</f>
        <v/>
      </c>
      <c r="K590" s="137">
        <f>'00_TONG_HOP_BAO_GIA'!Q541</f>
        <v/>
      </c>
      <c r="L590" s="137">
        <f>('00_TONG_HOP_BAO_GIA'!K541 + '00_TONG_HOP_BAO_GIA'!M541) * (1 + '00_TONG_HOP_BAO_GIA'!P541)</f>
        <v/>
      </c>
      <c r="M590" s="137">
        <f>'00_TONG_HOP_BAO_GIA'!L541 * (1 + '00_TONG_HOP_BAO_GIA'!P541)</f>
        <v/>
      </c>
      <c r="N590" s="137">
        <f>'00_TONG_HOP_BAO_GIA'!R541</f>
        <v/>
      </c>
      <c r="O590" s="142">
        <f>IF(K590=0, "CẢNH BÁO: Đơn giá = 0. Tra cứu lại Sheet 06!", '00_TONG_HOP_BAO_GIA'!S541)</f>
        <v/>
      </c>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83" t="inlineStr">
        <is>
          <t>Bộ</t>
        </is>
      </c>
      <c r="H591" s="136" t="n">
        <v>1</v>
      </c>
      <c r="I591" s="136">
        <f>IF('00_TONG_HOP_BAO_GIA'!G542&gt;0, ('00_TONG_HOP_BAO_GIA'!K542 + '00_TONG_HOP_BAO_GIA'!M542) * (1 + '00_TONG_HOP_BAO_GIA'!P542) / '00_TONG_HOP_BAO_GIA'!G542, 0)</f>
        <v/>
      </c>
      <c r="J591" s="136">
        <f>IF('00_TONG_HOP_BAO_GIA'!G542&gt;0, '00_TONG_HOP_BAO_GIA'!L542 * (1 + '00_TONG_HOP_BAO_GIA'!P542) / '00_TONG_HOP_BAO_GIA'!G542, 0)</f>
        <v/>
      </c>
      <c r="K591" s="137">
        <f>'00_TONG_HOP_BAO_GIA'!Q542</f>
        <v/>
      </c>
      <c r="L591" s="137">
        <f>('00_TONG_HOP_BAO_GIA'!K542 + '00_TONG_HOP_BAO_GIA'!M542) * (1 + '00_TONG_HOP_BAO_GIA'!P542)</f>
        <v/>
      </c>
      <c r="M591" s="137">
        <f>'00_TONG_HOP_BAO_GIA'!L542 * (1 + '00_TONG_HOP_BAO_GIA'!P542)</f>
        <v/>
      </c>
      <c r="N591" s="137">
        <f>'00_TONG_HOP_BAO_GIA'!R542</f>
        <v/>
      </c>
      <c r="O591" s="142">
        <f>IF(K591=0, "CẢNH BÁO: Đơn giá = 0. Tra cứu lại Sheet 06!", '00_TONG_HOP_BAO_GIA'!S542)</f>
        <v/>
      </c>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83" t="inlineStr">
        <is>
          <t>Bộ</t>
        </is>
      </c>
      <c r="H592" s="136" t="n">
        <v>4</v>
      </c>
      <c r="I592" s="136">
        <f>IF('00_TONG_HOP_BAO_GIA'!G543&gt;0, ('00_TONG_HOP_BAO_GIA'!K543 + '00_TONG_HOP_BAO_GIA'!M543) * (1 + '00_TONG_HOP_BAO_GIA'!P543) / '00_TONG_HOP_BAO_GIA'!G543, 0)</f>
        <v/>
      </c>
      <c r="J592" s="136">
        <f>IF('00_TONG_HOP_BAO_GIA'!G543&gt;0, '00_TONG_HOP_BAO_GIA'!L543 * (1 + '00_TONG_HOP_BAO_GIA'!P543) / '00_TONG_HOP_BAO_GIA'!G543, 0)</f>
        <v/>
      </c>
      <c r="K592" s="137">
        <f>'00_TONG_HOP_BAO_GIA'!Q543</f>
        <v/>
      </c>
      <c r="L592" s="137">
        <f>('00_TONG_HOP_BAO_GIA'!K543 + '00_TONG_HOP_BAO_GIA'!M543) * (1 + '00_TONG_HOP_BAO_GIA'!P543)</f>
        <v/>
      </c>
      <c r="M592" s="137">
        <f>'00_TONG_HOP_BAO_GIA'!L543 * (1 + '00_TONG_HOP_BAO_GIA'!P543)</f>
        <v/>
      </c>
      <c r="N592" s="137">
        <f>'00_TONG_HOP_BAO_GIA'!R543</f>
        <v/>
      </c>
      <c r="O592" s="142">
        <f>IF(K592=0, "CẢNH BÁO: Đơn giá = 0. Tra cứu lại Sheet 06!", '00_TONG_HOP_BAO_GIA'!S543)</f>
        <v/>
      </c>
    </row>
    <row r="593" hidden="1" outlineLevel="1" ht="24.6" customFormat="1" customHeight="1" s="146">
      <c r="A593" s="141" t="n"/>
      <c r="B593" s="139" t="n"/>
      <c r="C593" s="134" t="n"/>
      <c r="D593" s="134" t="n"/>
      <c r="E593" s="134" t="n"/>
      <c r="F593" s="329" t="inlineStr">
        <is>
          <t>CĐT cấp</t>
        </is>
      </c>
      <c r="G593" s="383"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83" t="inlineStr">
        <is>
          <t>Bộ</t>
        </is>
      </c>
      <c r="H594" s="136" t="n">
        <v>1</v>
      </c>
      <c r="I594" s="136">
        <f>IF('00_TONG_HOP_BAO_GIA'!G544&gt;0, ('00_TONG_HOP_BAO_GIA'!K544 + '00_TONG_HOP_BAO_GIA'!M544) * (1 + '00_TONG_HOP_BAO_GIA'!P544) / '00_TONG_HOP_BAO_GIA'!G544, 0)</f>
        <v/>
      </c>
      <c r="J594" s="136">
        <f>IF('00_TONG_HOP_BAO_GIA'!G544&gt;0, '00_TONG_HOP_BAO_GIA'!L544 * (1 + '00_TONG_HOP_BAO_GIA'!P544) / '00_TONG_HOP_BAO_GIA'!G544, 0)</f>
        <v/>
      </c>
      <c r="K594" s="137">
        <f>'00_TONG_HOP_BAO_GIA'!Q544</f>
        <v/>
      </c>
      <c r="L594" s="137">
        <f>('00_TONG_HOP_BAO_GIA'!K544 + '00_TONG_HOP_BAO_GIA'!M544) * (1 + '00_TONG_HOP_BAO_GIA'!P544)</f>
        <v/>
      </c>
      <c r="M594" s="137">
        <f>'00_TONG_HOP_BAO_GIA'!L544 * (1 + '00_TONG_HOP_BAO_GIA'!P544)</f>
        <v/>
      </c>
      <c r="N594" s="137">
        <f>'00_TONG_HOP_BAO_GIA'!R544</f>
        <v/>
      </c>
      <c r="O594" s="142">
        <f>IF(K594=0, "CẢNH BÁO: Đơn giá = 0. Tra cứu lại Sheet 06!", '00_TONG_HOP_BAO_GIA'!S544)</f>
        <v/>
      </c>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83" t="inlineStr">
        <is>
          <t>Bộ</t>
        </is>
      </c>
      <c r="H595" s="136" t="n">
        <v>2</v>
      </c>
      <c r="I595" s="136">
        <f>IF('00_TONG_HOP_BAO_GIA'!G545&gt;0, ('00_TONG_HOP_BAO_GIA'!K545 + '00_TONG_HOP_BAO_GIA'!M545) * (1 + '00_TONG_HOP_BAO_GIA'!P545) / '00_TONG_HOP_BAO_GIA'!G545, 0)</f>
        <v/>
      </c>
      <c r="J595" s="136">
        <f>IF('00_TONG_HOP_BAO_GIA'!G545&gt;0, '00_TONG_HOP_BAO_GIA'!L545 * (1 + '00_TONG_HOP_BAO_GIA'!P545) / '00_TONG_HOP_BAO_GIA'!G545, 0)</f>
        <v/>
      </c>
      <c r="K595" s="137">
        <f>'00_TONG_HOP_BAO_GIA'!Q545</f>
        <v/>
      </c>
      <c r="L595" s="137">
        <f>('00_TONG_HOP_BAO_GIA'!K545 + '00_TONG_HOP_BAO_GIA'!M545) * (1 + '00_TONG_HOP_BAO_GIA'!P545)</f>
        <v/>
      </c>
      <c r="M595" s="137">
        <f>'00_TONG_HOP_BAO_GIA'!L545 * (1 + '00_TONG_HOP_BAO_GIA'!P545)</f>
        <v/>
      </c>
      <c r="N595" s="137">
        <f>'00_TONG_HOP_BAO_GIA'!R545</f>
        <v/>
      </c>
      <c r="O595" s="142">
        <f>IF(K595=0, "CẢNH BÁO: Đơn giá = 0. Tra cứu lại Sheet 06!", '00_TONG_HOP_BAO_GIA'!S545)</f>
        <v/>
      </c>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83" t="inlineStr">
        <is>
          <t>Bộ</t>
        </is>
      </c>
      <c r="H596" s="136" t="n">
        <v>3</v>
      </c>
      <c r="I596" s="136">
        <f>IF('00_TONG_HOP_BAO_GIA'!G546&gt;0, ('00_TONG_HOP_BAO_GIA'!K546 + '00_TONG_HOP_BAO_GIA'!M546) * (1 + '00_TONG_HOP_BAO_GIA'!P546) / '00_TONG_HOP_BAO_GIA'!G546, 0)</f>
        <v/>
      </c>
      <c r="J596" s="136">
        <f>IF('00_TONG_HOP_BAO_GIA'!G546&gt;0, '00_TONG_HOP_BAO_GIA'!L546 * (1 + '00_TONG_HOP_BAO_GIA'!P546) / '00_TONG_HOP_BAO_GIA'!G546, 0)</f>
        <v/>
      </c>
      <c r="K596" s="137">
        <f>'00_TONG_HOP_BAO_GIA'!Q546</f>
        <v/>
      </c>
      <c r="L596" s="137">
        <f>('00_TONG_HOP_BAO_GIA'!K546 + '00_TONG_HOP_BAO_GIA'!M546) * (1 + '00_TONG_HOP_BAO_GIA'!P546)</f>
        <v/>
      </c>
      <c r="M596" s="137">
        <f>'00_TONG_HOP_BAO_GIA'!L546 * (1 + '00_TONG_HOP_BAO_GIA'!P546)</f>
        <v/>
      </c>
      <c r="N596" s="137">
        <f>'00_TONG_HOP_BAO_GIA'!R546</f>
        <v/>
      </c>
      <c r="O596" s="142">
        <f>IF(K596=0, "CẢNH BÁO: Đơn giá = 0. Tra cứu lại Sheet 06!", '00_TONG_HOP_BAO_GIA'!S546)</f>
        <v/>
      </c>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83" t="inlineStr">
        <is>
          <t>Bộ</t>
        </is>
      </c>
      <c r="H597" s="136" t="n">
        <v>2</v>
      </c>
      <c r="I597" s="136">
        <f>IF('00_TONG_HOP_BAO_GIA'!G547&gt;0, ('00_TONG_HOP_BAO_GIA'!K547 + '00_TONG_HOP_BAO_GIA'!M547) * (1 + '00_TONG_HOP_BAO_GIA'!P547) / '00_TONG_HOP_BAO_GIA'!G547, 0)</f>
        <v/>
      </c>
      <c r="J597" s="136">
        <f>IF('00_TONG_HOP_BAO_GIA'!G547&gt;0, '00_TONG_HOP_BAO_GIA'!L547 * (1 + '00_TONG_HOP_BAO_GIA'!P547) / '00_TONG_HOP_BAO_GIA'!G547, 0)</f>
        <v/>
      </c>
      <c r="K597" s="137">
        <f>'00_TONG_HOP_BAO_GIA'!Q547</f>
        <v/>
      </c>
      <c r="L597" s="137">
        <f>('00_TONG_HOP_BAO_GIA'!K547 + '00_TONG_HOP_BAO_GIA'!M547) * (1 + '00_TONG_HOP_BAO_GIA'!P547)</f>
        <v/>
      </c>
      <c r="M597" s="137">
        <f>'00_TONG_HOP_BAO_GIA'!L547 * (1 + '00_TONG_HOP_BAO_GIA'!P547)</f>
        <v/>
      </c>
      <c r="N597" s="137">
        <f>'00_TONG_HOP_BAO_GIA'!R547</f>
        <v/>
      </c>
      <c r="O597" s="142">
        <f>IF(K597=0, "CẢNH BÁO: Đơn giá = 0. Tra cứu lại Sheet 06!", '00_TONG_HOP_BAO_GIA'!S547)</f>
        <v/>
      </c>
    </row>
    <row r="598" hidden="1" outlineLevel="1" ht="24.6" customFormat="1" customHeight="1" s="146">
      <c r="A598" s="141" t="n"/>
      <c r="B598" s="140" t="inlineStr">
        <is>
          <t>A1.2</t>
        </is>
      </c>
      <c r="C598" s="134" t="n"/>
      <c r="D598" s="134" t="n"/>
      <c r="E598" s="134" t="n"/>
      <c r="F598" s="329" t="inlineStr">
        <is>
          <t>CĐT cấp</t>
        </is>
      </c>
      <c r="G598" s="383"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83" t="inlineStr">
        <is>
          <t>Bộ</t>
        </is>
      </c>
      <c r="H599" s="136" t="n">
        <v>5</v>
      </c>
      <c r="I599" s="136">
        <f>IF('00_TONG_HOP_BAO_GIA'!G548&gt;0, ('00_TONG_HOP_BAO_GIA'!K548 + '00_TONG_HOP_BAO_GIA'!M548) * (1 + '00_TONG_HOP_BAO_GIA'!P548) / '00_TONG_HOP_BAO_GIA'!G548, 0)</f>
        <v/>
      </c>
      <c r="J599" s="136">
        <f>IF('00_TONG_HOP_BAO_GIA'!G548&gt;0, '00_TONG_HOP_BAO_GIA'!L548 * (1 + '00_TONG_HOP_BAO_GIA'!P548) / '00_TONG_HOP_BAO_GIA'!G548, 0)</f>
        <v/>
      </c>
      <c r="K599" s="137">
        <f>'00_TONG_HOP_BAO_GIA'!Q548</f>
        <v/>
      </c>
      <c r="L599" s="137">
        <f>('00_TONG_HOP_BAO_GIA'!K548 + '00_TONG_HOP_BAO_GIA'!M548) * (1 + '00_TONG_HOP_BAO_GIA'!P548)</f>
        <v/>
      </c>
      <c r="M599" s="137">
        <f>'00_TONG_HOP_BAO_GIA'!L548 * (1 + '00_TONG_HOP_BAO_GIA'!P548)</f>
        <v/>
      </c>
      <c r="N599" s="137">
        <f>'00_TONG_HOP_BAO_GIA'!R548</f>
        <v/>
      </c>
      <c r="O599" s="142">
        <f>IF(K599=0, "CẢNH BÁO: Đơn giá = 0. Tra cứu lại Sheet 06!", '00_TONG_HOP_BAO_GIA'!S548)</f>
        <v/>
      </c>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83" t="inlineStr">
        <is>
          <t>Bộ</t>
        </is>
      </c>
      <c r="H600" s="136" t="n">
        <v>5</v>
      </c>
      <c r="I600" s="136">
        <f>IF('00_TONG_HOP_BAO_GIA'!G549&gt;0, ('00_TONG_HOP_BAO_GIA'!K549 + '00_TONG_HOP_BAO_GIA'!M549) * (1 + '00_TONG_HOP_BAO_GIA'!P549) / '00_TONG_HOP_BAO_GIA'!G549, 0)</f>
        <v/>
      </c>
      <c r="J600" s="136">
        <f>IF('00_TONG_HOP_BAO_GIA'!G549&gt;0, '00_TONG_HOP_BAO_GIA'!L549 * (1 + '00_TONG_HOP_BAO_GIA'!P549) / '00_TONG_HOP_BAO_GIA'!G549, 0)</f>
        <v/>
      </c>
      <c r="K600" s="137">
        <f>'00_TONG_HOP_BAO_GIA'!Q549</f>
        <v/>
      </c>
      <c r="L600" s="137">
        <f>('00_TONG_HOP_BAO_GIA'!K549 + '00_TONG_HOP_BAO_GIA'!M549) * (1 + '00_TONG_HOP_BAO_GIA'!P549)</f>
        <v/>
      </c>
      <c r="M600" s="137">
        <f>'00_TONG_HOP_BAO_GIA'!L549 * (1 + '00_TONG_HOP_BAO_GIA'!P549)</f>
        <v/>
      </c>
      <c r="N600" s="137">
        <f>'00_TONG_HOP_BAO_GIA'!R549</f>
        <v/>
      </c>
      <c r="O600" s="142">
        <f>IF(K600=0, "CẢNH BÁO: Đơn giá = 0. Tra cứu lại Sheet 06!", '00_TONG_HOP_BAO_GIA'!S549)</f>
        <v/>
      </c>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83" t="inlineStr">
        <is>
          <t>Bộ</t>
        </is>
      </c>
      <c r="H601" s="136" t="n">
        <v>5</v>
      </c>
      <c r="I601" s="136">
        <f>IF('00_TONG_HOP_BAO_GIA'!G550&gt;0, ('00_TONG_HOP_BAO_GIA'!K550 + '00_TONG_HOP_BAO_GIA'!M550) * (1 + '00_TONG_HOP_BAO_GIA'!P550) / '00_TONG_HOP_BAO_GIA'!G550, 0)</f>
        <v/>
      </c>
      <c r="J601" s="136">
        <f>IF('00_TONG_HOP_BAO_GIA'!G550&gt;0, '00_TONG_HOP_BAO_GIA'!L550 * (1 + '00_TONG_HOP_BAO_GIA'!P550) / '00_TONG_HOP_BAO_GIA'!G550, 0)</f>
        <v/>
      </c>
      <c r="K601" s="137">
        <f>'00_TONG_HOP_BAO_GIA'!Q550</f>
        <v/>
      </c>
      <c r="L601" s="137">
        <f>('00_TONG_HOP_BAO_GIA'!K550 + '00_TONG_HOP_BAO_GIA'!M550) * (1 + '00_TONG_HOP_BAO_GIA'!P550)</f>
        <v/>
      </c>
      <c r="M601" s="137">
        <f>'00_TONG_HOP_BAO_GIA'!L550 * (1 + '00_TONG_HOP_BAO_GIA'!P550)</f>
        <v/>
      </c>
      <c r="N601" s="137">
        <f>'00_TONG_HOP_BAO_GIA'!R550</f>
        <v/>
      </c>
      <c r="O601" s="142">
        <f>IF(K601=0, "CẢNH BÁO: Đơn giá = 0. Tra cứu lại Sheet 06!", '00_TONG_HOP_BAO_GIA'!S550)</f>
        <v/>
      </c>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83" t="inlineStr">
        <is>
          <t>Bộ</t>
        </is>
      </c>
      <c r="H602" s="136" t="n">
        <v>25</v>
      </c>
      <c r="I602" s="136">
        <f>IF('00_TONG_HOP_BAO_GIA'!G551&gt;0, ('00_TONG_HOP_BAO_GIA'!K551 + '00_TONG_HOP_BAO_GIA'!M551) * (1 + '00_TONG_HOP_BAO_GIA'!P551) / '00_TONG_HOP_BAO_GIA'!G551, 0)</f>
        <v/>
      </c>
      <c r="J602" s="136">
        <f>IF('00_TONG_HOP_BAO_GIA'!G551&gt;0, '00_TONG_HOP_BAO_GIA'!L551 * (1 + '00_TONG_HOP_BAO_GIA'!P551) / '00_TONG_HOP_BAO_GIA'!G551, 0)</f>
        <v/>
      </c>
      <c r="K602" s="137">
        <f>'00_TONG_HOP_BAO_GIA'!Q551</f>
        <v/>
      </c>
      <c r="L602" s="137">
        <f>('00_TONG_HOP_BAO_GIA'!K551 + '00_TONG_HOP_BAO_GIA'!M551) * (1 + '00_TONG_HOP_BAO_GIA'!P551)</f>
        <v/>
      </c>
      <c r="M602" s="137">
        <f>'00_TONG_HOP_BAO_GIA'!L551 * (1 + '00_TONG_HOP_BAO_GIA'!P551)</f>
        <v/>
      </c>
      <c r="N602" s="137">
        <f>'00_TONG_HOP_BAO_GIA'!R551</f>
        <v/>
      </c>
      <c r="O602" s="142">
        <f>IF(K602=0, "CẢNH BÁO: Đơn giá = 0. Tra cứu lại Sheet 06!", '00_TONG_HOP_BAO_GIA'!S551)</f>
        <v/>
      </c>
    </row>
    <row r="603" hidden="1" outlineLevel="1" ht="24.6" customFormat="1" customHeight="1" s="146">
      <c r="A603" s="141" t="n"/>
      <c r="B603" s="139" t="n"/>
      <c r="C603" s="134" t="n"/>
      <c r="D603" s="134" t="n"/>
      <c r="E603" s="134" t="n"/>
      <c r="F603" s="329" t="inlineStr">
        <is>
          <t>CĐT cấp</t>
        </is>
      </c>
      <c r="G603" s="383"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83" t="inlineStr">
        <is>
          <t>Bộ</t>
        </is>
      </c>
      <c r="H604" s="136" t="n">
        <v>5</v>
      </c>
      <c r="I604" s="136">
        <f>IF('00_TONG_HOP_BAO_GIA'!G552&gt;0, ('00_TONG_HOP_BAO_GIA'!K552 + '00_TONG_HOP_BAO_GIA'!M552) * (1 + '00_TONG_HOP_BAO_GIA'!P552) / '00_TONG_HOP_BAO_GIA'!G552, 0)</f>
        <v/>
      </c>
      <c r="J604" s="136">
        <f>IF('00_TONG_HOP_BAO_GIA'!G552&gt;0, '00_TONG_HOP_BAO_GIA'!L552 * (1 + '00_TONG_HOP_BAO_GIA'!P552) / '00_TONG_HOP_BAO_GIA'!G552, 0)</f>
        <v/>
      </c>
      <c r="K604" s="137">
        <f>'00_TONG_HOP_BAO_GIA'!Q552</f>
        <v/>
      </c>
      <c r="L604" s="137">
        <f>('00_TONG_HOP_BAO_GIA'!K552 + '00_TONG_HOP_BAO_GIA'!M552) * (1 + '00_TONG_HOP_BAO_GIA'!P552)</f>
        <v/>
      </c>
      <c r="M604" s="137">
        <f>'00_TONG_HOP_BAO_GIA'!L552 * (1 + '00_TONG_HOP_BAO_GIA'!P552)</f>
        <v/>
      </c>
      <c r="N604" s="137">
        <f>'00_TONG_HOP_BAO_GIA'!R552</f>
        <v/>
      </c>
      <c r="O604" s="142">
        <f>IF(K604=0, "CẢNH BÁO: Đơn giá = 0. Tra cứu lại Sheet 06!", '00_TONG_HOP_BAO_GIA'!S552)</f>
        <v/>
      </c>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83" t="inlineStr">
        <is>
          <t>Bộ</t>
        </is>
      </c>
      <c r="H605" s="136" t="n">
        <v>5</v>
      </c>
      <c r="I605" s="136">
        <f>IF('00_TONG_HOP_BAO_GIA'!G553&gt;0, ('00_TONG_HOP_BAO_GIA'!K553 + '00_TONG_HOP_BAO_GIA'!M553) * (1 + '00_TONG_HOP_BAO_GIA'!P553) / '00_TONG_HOP_BAO_GIA'!G553, 0)</f>
        <v/>
      </c>
      <c r="J605" s="136">
        <f>IF('00_TONG_HOP_BAO_GIA'!G553&gt;0, '00_TONG_HOP_BAO_GIA'!L553 * (1 + '00_TONG_HOP_BAO_GIA'!P553) / '00_TONG_HOP_BAO_GIA'!G553, 0)</f>
        <v/>
      </c>
      <c r="K605" s="137">
        <f>'00_TONG_HOP_BAO_GIA'!Q553</f>
        <v/>
      </c>
      <c r="L605" s="137">
        <f>('00_TONG_HOP_BAO_GIA'!K553 + '00_TONG_HOP_BAO_GIA'!M553) * (1 + '00_TONG_HOP_BAO_GIA'!P553)</f>
        <v/>
      </c>
      <c r="M605" s="137">
        <f>'00_TONG_HOP_BAO_GIA'!L553 * (1 + '00_TONG_HOP_BAO_GIA'!P553)</f>
        <v/>
      </c>
      <c r="N605" s="137">
        <f>'00_TONG_HOP_BAO_GIA'!R553</f>
        <v/>
      </c>
      <c r="O605" s="142">
        <f>IF(K605=0, "CẢNH BÁO: Đơn giá = 0. Tra cứu lại Sheet 06!", '00_TONG_HOP_BAO_GIA'!S553)</f>
        <v/>
      </c>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83" t="inlineStr">
        <is>
          <t>Bộ</t>
        </is>
      </c>
      <c r="H606" s="136" t="n">
        <v>10</v>
      </c>
      <c r="I606" s="136">
        <f>IF('00_TONG_HOP_BAO_GIA'!G554&gt;0, ('00_TONG_HOP_BAO_GIA'!K554 + '00_TONG_HOP_BAO_GIA'!M554) * (1 + '00_TONG_HOP_BAO_GIA'!P554) / '00_TONG_HOP_BAO_GIA'!G554, 0)</f>
        <v/>
      </c>
      <c r="J606" s="136">
        <f>IF('00_TONG_HOP_BAO_GIA'!G554&gt;0, '00_TONG_HOP_BAO_GIA'!L554 * (1 + '00_TONG_HOP_BAO_GIA'!P554) / '00_TONG_HOP_BAO_GIA'!G554, 0)</f>
        <v/>
      </c>
      <c r="K606" s="137">
        <f>'00_TONG_HOP_BAO_GIA'!Q554</f>
        <v/>
      </c>
      <c r="L606" s="137">
        <f>('00_TONG_HOP_BAO_GIA'!K554 + '00_TONG_HOP_BAO_GIA'!M554) * (1 + '00_TONG_HOP_BAO_GIA'!P554)</f>
        <v/>
      </c>
      <c r="M606" s="137">
        <f>'00_TONG_HOP_BAO_GIA'!L554 * (1 + '00_TONG_HOP_BAO_GIA'!P554)</f>
        <v/>
      </c>
      <c r="N606" s="137">
        <f>'00_TONG_HOP_BAO_GIA'!R554</f>
        <v/>
      </c>
      <c r="O606" s="142">
        <f>IF(K606=0, "CẢNH BÁO: Đơn giá = 0. Tra cứu lại Sheet 06!", '00_TONG_HOP_BAO_GIA'!S554)</f>
        <v/>
      </c>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83" t="inlineStr">
        <is>
          <t>Bộ</t>
        </is>
      </c>
      <c r="H607" s="136" t="n">
        <v>20</v>
      </c>
      <c r="I607" s="136">
        <f>IF('00_TONG_HOP_BAO_GIA'!G555&gt;0, ('00_TONG_HOP_BAO_GIA'!K555 + '00_TONG_HOP_BAO_GIA'!M555) * (1 + '00_TONG_HOP_BAO_GIA'!P555) / '00_TONG_HOP_BAO_GIA'!G555, 0)</f>
        <v/>
      </c>
      <c r="J607" s="136">
        <f>IF('00_TONG_HOP_BAO_GIA'!G555&gt;0, '00_TONG_HOP_BAO_GIA'!L555 * (1 + '00_TONG_HOP_BAO_GIA'!P555) / '00_TONG_HOP_BAO_GIA'!G555, 0)</f>
        <v/>
      </c>
      <c r="K607" s="137">
        <f>'00_TONG_HOP_BAO_GIA'!Q555</f>
        <v/>
      </c>
      <c r="L607" s="137">
        <f>('00_TONG_HOP_BAO_GIA'!K555 + '00_TONG_HOP_BAO_GIA'!M555) * (1 + '00_TONG_HOP_BAO_GIA'!P555)</f>
        <v/>
      </c>
      <c r="M607" s="137">
        <f>'00_TONG_HOP_BAO_GIA'!L555 * (1 + '00_TONG_HOP_BAO_GIA'!P555)</f>
        <v/>
      </c>
      <c r="N607" s="137">
        <f>'00_TONG_HOP_BAO_GIA'!R555</f>
        <v/>
      </c>
      <c r="O607" s="142">
        <f>IF(K607=0, "CẢNH BÁO: Đơn giá = 0. Tra cứu lại Sheet 06!", '00_TONG_HOP_BAO_GIA'!S555)</f>
        <v/>
      </c>
    </row>
    <row r="608" hidden="1" outlineLevel="1" ht="24.6" customFormat="1" customHeight="1" s="146">
      <c r="A608" s="141" t="n"/>
      <c r="B608" s="139" t="n"/>
      <c r="C608" s="134" t="n"/>
      <c r="D608" s="134" t="n"/>
      <c r="E608" s="134" t="n"/>
      <c r="F608" s="329" t="inlineStr">
        <is>
          <t>CĐT cấp</t>
        </is>
      </c>
      <c r="G608" s="383"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83" t="inlineStr">
        <is>
          <t>Bộ</t>
        </is>
      </c>
      <c r="H609" s="136" t="n">
        <v>5</v>
      </c>
      <c r="I609" s="136">
        <f>IF('00_TONG_HOP_BAO_GIA'!G556&gt;0, ('00_TONG_HOP_BAO_GIA'!K556 + '00_TONG_HOP_BAO_GIA'!M556) * (1 + '00_TONG_HOP_BAO_GIA'!P556) / '00_TONG_HOP_BAO_GIA'!G556, 0)</f>
        <v/>
      </c>
      <c r="J609" s="136">
        <f>IF('00_TONG_HOP_BAO_GIA'!G556&gt;0, '00_TONG_HOP_BAO_GIA'!L556 * (1 + '00_TONG_HOP_BAO_GIA'!P556) / '00_TONG_HOP_BAO_GIA'!G556, 0)</f>
        <v/>
      </c>
      <c r="K609" s="137">
        <f>'00_TONG_HOP_BAO_GIA'!Q556</f>
        <v/>
      </c>
      <c r="L609" s="137">
        <f>('00_TONG_HOP_BAO_GIA'!K556 + '00_TONG_HOP_BAO_GIA'!M556) * (1 + '00_TONG_HOP_BAO_GIA'!P556)</f>
        <v/>
      </c>
      <c r="M609" s="137">
        <f>'00_TONG_HOP_BAO_GIA'!L556 * (1 + '00_TONG_HOP_BAO_GIA'!P556)</f>
        <v/>
      </c>
      <c r="N609" s="137">
        <f>'00_TONG_HOP_BAO_GIA'!R556</f>
        <v/>
      </c>
      <c r="O609" s="142">
        <f>IF(K609=0, "CẢNH BÁO: Đơn giá = 0. Tra cứu lại Sheet 06!", '00_TONG_HOP_BAO_GIA'!S556)</f>
        <v/>
      </c>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83" t="inlineStr">
        <is>
          <t>Bộ</t>
        </is>
      </c>
      <c r="H610" s="136" t="n">
        <v>5</v>
      </c>
      <c r="I610" s="136">
        <f>IF('00_TONG_HOP_BAO_GIA'!G557&gt;0, ('00_TONG_HOP_BAO_GIA'!K557 + '00_TONG_HOP_BAO_GIA'!M557) * (1 + '00_TONG_HOP_BAO_GIA'!P557) / '00_TONG_HOP_BAO_GIA'!G557, 0)</f>
        <v/>
      </c>
      <c r="J610" s="136">
        <f>IF('00_TONG_HOP_BAO_GIA'!G557&gt;0, '00_TONG_HOP_BAO_GIA'!L557 * (1 + '00_TONG_HOP_BAO_GIA'!P557) / '00_TONG_HOP_BAO_GIA'!G557, 0)</f>
        <v/>
      </c>
      <c r="K610" s="137">
        <f>'00_TONG_HOP_BAO_GIA'!Q557</f>
        <v/>
      </c>
      <c r="L610" s="137">
        <f>('00_TONG_HOP_BAO_GIA'!K557 + '00_TONG_HOP_BAO_GIA'!M557) * (1 + '00_TONG_HOP_BAO_GIA'!P557)</f>
        <v/>
      </c>
      <c r="M610" s="137">
        <f>'00_TONG_HOP_BAO_GIA'!L557 * (1 + '00_TONG_HOP_BAO_GIA'!P557)</f>
        <v/>
      </c>
      <c r="N610" s="137">
        <f>'00_TONG_HOP_BAO_GIA'!R557</f>
        <v/>
      </c>
      <c r="O610" s="142">
        <f>IF(K610=0, "CẢNH BÁO: Đơn giá = 0. Tra cứu lại Sheet 06!", '00_TONG_HOP_BAO_GIA'!S557)</f>
        <v/>
      </c>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83" t="inlineStr">
        <is>
          <t>Bộ</t>
        </is>
      </c>
      <c r="H611" s="136" t="n">
        <v>5</v>
      </c>
      <c r="I611" s="136">
        <f>IF('00_TONG_HOP_BAO_GIA'!G558&gt;0, ('00_TONG_HOP_BAO_GIA'!K558 + '00_TONG_HOP_BAO_GIA'!M558) * (1 + '00_TONG_HOP_BAO_GIA'!P558) / '00_TONG_HOP_BAO_GIA'!G558, 0)</f>
        <v/>
      </c>
      <c r="J611" s="136">
        <f>IF('00_TONG_HOP_BAO_GIA'!G558&gt;0, '00_TONG_HOP_BAO_GIA'!L558 * (1 + '00_TONG_HOP_BAO_GIA'!P558) / '00_TONG_HOP_BAO_GIA'!G558, 0)</f>
        <v/>
      </c>
      <c r="K611" s="137">
        <f>'00_TONG_HOP_BAO_GIA'!Q558</f>
        <v/>
      </c>
      <c r="L611" s="137">
        <f>('00_TONG_HOP_BAO_GIA'!K558 + '00_TONG_HOP_BAO_GIA'!M558) * (1 + '00_TONG_HOP_BAO_GIA'!P558)</f>
        <v/>
      </c>
      <c r="M611" s="137">
        <f>'00_TONG_HOP_BAO_GIA'!L558 * (1 + '00_TONG_HOP_BAO_GIA'!P558)</f>
        <v/>
      </c>
      <c r="N611" s="137">
        <f>'00_TONG_HOP_BAO_GIA'!R558</f>
        <v/>
      </c>
      <c r="O611" s="142">
        <f>IF(K611=0, "CẢNH BÁO: Đơn giá = 0. Tra cứu lại Sheet 06!", '00_TONG_HOP_BAO_GIA'!S558)</f>
        <v/>
      </c>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83" t="inlineStr">
        <is>
          <t>Bộ</t>
        </is>
      </c>
      <c r="H612" s="136" t="n">
        <v>10</v>
      </c>
      <c r="I612" s="136">
        <f>IF('00_TONG_HOP_BAO_GIA'!G559&gt;0, ('00_TONG_HOP_BAO_GIA'!K559 + '00_TONG_HOP_BAO_GIA'!M559) * (1 + '00_TONG_HOP_BAO_GIA'!P559) / '00_TONG_HOP_BAO_GIA'!G559, 0)</f>
        <v/>
      </c>
      <c r="J612" s="136">
        <f>IF('00_TONG_HOP_BAO_GIA'!G559&gt;0, '00_TONG_HOP_BAO_GIA'!L559 * (1 + '00_TONG_HOP_BAO_GIA'!P559) / '00_TONG_HOP_BAO_GIA'!G559, 0)</f>
        <v/>
      </c>
      <c r="K612" s="137">
        <f>'00_TONG_HOP_BAO_GIA'!Q559</f>
        <v/>
      </c>
      <c r="L612" s="137">
        <f>('00_TONG_HOP_BAO_GIA'!K559 + '00_TONG_HOP_BAO_GIA'!M559) * (1 + '00_TONG_HOP_BAO_GIA'!P559)</f>
        <v/>
      </c>
      <c r="M612" s="137">
        <f>'00_TONG_HOP_BAO_GIA'!L559 * (1 + '00_TONG_HOP_BAO_GIA'!P559)</f>
        <v/>
      </c>
      <c r="N612" s="137">
        <f>'00_TONG_HOP_BAO_GIA'!R559</f>
        <v/>
      </c>
      <c r="O612" s="142">
        <f>IF(K612=0, "CẢNH BÁO: Đơn giá = 0. Tra cứu lại Sheet 06!", '00_TONG_HOP_BAO_GIA'!S559)</f>
        <v/>
      </c>
    </row>
    <row r="613" hidden="1" outlineLevel="1" ht="24.6" customFormat="1" customHeight="1" s="146">
      <c r="A613" s="141" t="n"/>
      <c r="B613" s="139" t="n"/>
      <c r="C613" s="134" t="n"/>
      <c r="D613" s="134" t="n"/>
      <c r="E613" s="134" t="n"/>
      <c r="F613" s="329" t="inlineStr">
        <is>
          <t>CĐT cấp</t>
        </is>
      </c>
      <c r="G613" s="383"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83" t="inlineStr">
        <is>
          <t>Bộ</t>
        </is>
      </c>
      <c r="H614" s="136" t="n">
        <v>5</v>
      </c>
      <c r="I614" s="136">
        <f>IF('00_TONG_HOP_BAO_GIA'!G560&gt;0, ('00_TONG_HOP_BAO_GIA'!K560 + '00_TONG_HOP_BAO_GIA'!M560) * (1 + '00_TONG_HOP_BAO_GIA'!P560) / '00_TONG_HOP_BAO_GIA'!G560, 0)</f>
        <v/>
      </c>
      <c r="J614" s="136">
        <f>IF('00_TONG_HOP_BAO_GIA'!G560&gt;0, '00_TONG_HOP_BAO_GIA'!L560 * (1 + '00_TONG_HOP_BAO_GIA'!P560) / '00_TONG_HOP_BAO_GIA'!G560, 0)</f>
        <v/>
      </c>
      <c r="K614" s="137">
        <f>'00_TONG_HOP_BAO_GIA'!Q560</f>
        <v/>
      </c>
      <c r="L614" s="137">
        <f>('00_TONG_HOP_BAO_GIA'!K560 + '00_TONG_HOP_BAO_GIA'!M560) * (1 + '00_TONG_HOP_BAO_GIA'!P560)</f>
        <v/>
      </c>
      <c r="M614" s="137">
        <f>'00_TONG_HOP_BAO_GIA'!L560 * (1 + '00_TONG_HOP_BAO_GIA'!P560)</f>
        <v/>
      </c>
      <c r="N614" s="137">
        <f>'00_TONG_HOP_BAO_GIA'!R560</f>
        <v/>
      </c>
      <c r="O614" s="142">
        <f>IF(K614=0, "CẢNH BÁO: Đơn giá = 0. Tra cứu lại Sheet 06!", '00_TONG_HOP_BAO_GIA'!S560)</f>
        <v/>
      </c>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83" t="inlineStr">
        <is>
          <t>Bộ</t>
        </is>
      </c>
      <c r="H615" s="136" t="n">
        <v>5</v>
      </c>
      <c r="I615" s="136">
        <f>IF('00_TONG_HOP_BAO_GIA'!G561&gt;0, ('00_TONG_HOP_BAO_GIA'!K561 + '00_TONG_HOP_BAO_GIA'!M561) * (1 + '00_TONG_HOP_BAO_GIA'!P561) / '00_TONG_HOP_BAO_GIA'!G561, 0)</f>
        <v/>
      </c>
      <c r="J615" s="136">
        <f>IF('00_TONG_HOP_BAO_GIA'!G561&gt;0, '00_TONG_HOP_BAO_GIA'!L561 * (1 + '00_TONG_HOP_BAO_GIA'!P561) / '00_TONG_HOP_BAO_GIA'!G561, 0)</f>
        <v/>
      </c>
      <c r="K615" s="137">
        <f>'00_TONG_HOP_BAO_GIA'!Q561</f>
        <v/>
      </c>
      <c r="L615" s="137">
        <f>('00_TONG_HOP_BAO_GIA'!K561 + '00_TONG_HOP_BAO_GIA'!M561) * (1 + '00_TONG_HOP_BAO_GIA'!P561)</f>
        <v/>
      </c>
      <c r="M615" s="137">
        <f>'00_TONG_HOP_BAO_GIA'!L561 * (1 + '00_TONG_HOP_BAO_GIA'!P561)</f>
        <v/>
      </c>
      <c r="N615" s="137">
        <f>'00_TONG_HOP_BAO_GIA'!R561</f>
        <v/>
      </c>
      <c r="O615" s="142">
        <f>IF(K615=0, "CẢNH BÁO: Đơn giá = 0. Tra cứu lại Sheet 06!", '00_TONG_HOP_BAO_GIA'!S561)</f>
        <v/>
      </c>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83" t="inlineStr">
        <is>
          <t>Bộ</t>
        </is>
      </c>
      <c r="H616" s="136" t="n">
        <v>5</v>
      </c>
      <c r="I616" s="136">
        <f>IF('00_TONG_HOP_BAO_GIA'!G562&gt;0, ('00_TONG_HOP_BAO_GIA'!K562 + '00_TONG_HOP_BAO_GIA'!M562) * (1 + '00_TONG_HOP_BAO_GIA'!P562) / '00_TONG_HOP_BAO_GIA'!G562, 0)</f>
        <v/>
      </c>
      <c r="J616" s="136">
        <f>IF('00_TONG_HOP_BAO_GIA'!G562&gt;0, '00_TONG_HOP_BAO_GIA'!L562 * (1 + '00_TONG_HOP_BAO_GIA'!P562) / '00_TONG_HOP_BAO_GIA'!G562, 0)</f>
        <v/>
      </c>
      <c r="K616" s="137">
        <f>'00_TONG_HOP_BAO_GIA'!Q562</f>
        <v/>
      </c>
      <c r="L616" s="137">
        <f>('00_TONG_HOP_BAO_GIA'!K562 + '00_TONG_HOP_BAO_GIA'!M562) * (1 + '00_TONG_HOP_BAO_GIA'!P562)</f>
        <v/>
      </c>
      <c r="M616" s="137">
        <f>'00_TONG_HOP_BAO_GIA'!L562 * (1 + '00_TONG_HOP_BAO_GIA'!P562)</f>
        <v/>
      </c>
      <c r="N616" s="137">
        <f>'00_TONG_HOP_BAO_GIA'!R562</f>
        <v/>
      </c>
      <c r="O616" s="142">
        <f>IF(K616=0, "CẢNH BÁO: Đơn giá = 0. Tra cứu lại Sheet 06!", '00_TONG_HOP_BAO_GIA'!S562)</f>
        <v/>
      </c>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83" t="inlineStr">
        <is>
          <t>Bộ</t>
        </is>
      </c>
      <c r="H617" s="136" t="n">
        <v>5</v>
      </c>
      <c r="I617" s="136">
        <f>IF('00_TONG_HOP_BAO_GIA'!G563&gt;0, ('00_TONG_HOP_BAO_GIA'!K563 + '00_TONG_HOP_BAO_GIA'!M563) * (1 + '00_TONG_HOP_BAO_GIA'!P563) / '00_TONG_HOP_BAO_GIA'!G563, 0)</f>
        <v/>
      </c>
      <c r="J617" s="136">
        <f>IF('00_TONG_HOP_BAO_GIA'!G563&gt;0, '00_TONG_HOP_BAO_GIA'!L563 * (1 + '00_TONG_HOP_BAO_GIA'!P563) / '00_TONG_HOP_BAO_GIA'!G563, 0)</f>
        <v/>
      </c>
      <c r="K617" s="137">
        <f>'00_TONG_HOP_BAO_GIA'!Q563</f>
        <v/>
      </c>
      <c r="L617" s="137">
        <f>('00_TONG_HOP_BAO_GIA'!K563 + '00_TONG_HOP_BAO_GIA'!M563) * (1 + '00_TONG_HOP_BAO_GIA'!P563)</f>
        <v/>
      </c>
      <c r="M617" s="137">
        <f>'00_TONG_HOP_BAO_GIA'!L563 * (1 + '00_TONG_HOP_BAO_GIA'!P563)</f>
        <v/>
      </c>
      <c r="N617" s="137">
        <f>'00_TONG_HOP_BAO_GIA'!R563</f>
        <v/>
      </c>
      <c r="O617" s="142">
        <f>IF(K617=0, "CẢNH BÁO: Đơn giá = 0. Tra cứu lại Sheet 06!", '00_TONG_HOP_BAO_GIA'!S563)</f>
        <v/>
      </c>
    </row>
    <row r="618" hidden="1" outlineLevel="1" ht="24.6" customFormat="1" customHeight="1" s="146">
      <c r="A618" s="141" t="n"/>
      <c r="B618" s="139" t="n"/>
      <c r="C618" s="134" t="n"/>
      <c r="D618" s="134" t="n"/>
      <c r="E618" s="134" t="n"/>
      <c r="F618" s="329" t="inlineStr">
        <is>
          <t>CĐT cấp</t>
        </is>
      </c>
      <c r="G618" s="383"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83" t="inlineStr">
        <is>
          <t>Bộ</t>
        </is>
      </c>
      <c r="H619" s="136" t="n">
        <v>5</v>
      </c>
      <c r="I619" s="136">
        <f>IF('00_TONG_HOP_BAO_GIA'!G564&gt;0, ('00_TONG_HOP_BAO_GIA'!K564 + '00_TONG_HOP_BAO_GIA'!M564) * (1 + '00_TONG_HOP_BAO_GIA'!P564) / '00_TONG_HOP_BAO_GIA'!G564, 0)</f>
        <v/>
      </c>
      <c r="J619" s="136">
        <f>IF('00_TONG_HOP_BAO_GIA'!G564&gt;0, '00_TONG_HOP_BAO_GIA'!L564 * (1 + '00_TONG_HOP_BAO_GIA'!P564) / '00_TONG_HOP_BAO_GIA'!G564, 0)</f>
        <v/>
      </c>
      <c r="K619" s="137">
        <f>'00_TONG_HOP_BAO_GIA'!Q564</f>
        <v/>
      </c>
      <c r="L619" s="137">
        <f>('00_TONG_HOP_BAO_GIA'!K564 + '00_TONG_HOP_BAO_GIA'!M564) * (1 + '00_TONG_HOP_BAO_GIA'!P564)</f>
        <v/>
      </c>
      <c r="M619" s="137">
        <f>'00_TONG_HOP_BAO_GIA'!L564 * (1 + '00_TONG_HOP_BAO_GIA'!P564)</f>
        <v/>
      </c>
      <c r="N619" s="137">
        <f>'00_TONG_HOP_BAO_GIA'!R564</f>
        <v/>
      </c>
      <c r="O619" s="142">
        <f>IF(K619=0, "CẢNH BÁO: Đơn giá = 0. Tra cứu lại Sheet 06!", '00_TONG_HOP_BAO_GIA'!S564)</f>
        <v/>
      </c>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83" t="inlineStr">
        <is>
          <t>Bộ</t>
        </is>
      </c>
      <c r="H620" s="136" t="n">
        <v>5</v>
      </c>
      <c r="I620" s="136">
        <f>IF('00_TONG_HOP_BAO_GIA'!G565&gt;0, ('00_TONG_HOP_BAO_GIA'!K565 + '00_TONG_HOP_BAO_GIA'!M565) * (1 + '00_TONG_HOP_BAO_GIA'!P565) / '00_TONG_HOP_BAO_GIA'!G565, 0)</f>
        <v/>
      </c>
      <c r="J620" s="136">
        <f>IF('00_TONG_HOP_BAO_GIA'!G565&gt;0, '00_TONG_HOP_BAO_GIA'!L565 * (1 + '00_TONG_HOP_BAO_GIA'!P565) / '00_TONG_HOP_BAO_GIA'!G565, 0)</f>
        <v/>
      </c>
      <c r="K620" s="137">
        <f>'00_TONG_HOP_BAO_GIA'!Q565</f>
        <v/>
      </c>
      <c r="L620" s="137">
        <f>('00_TONG_HOP_BAO_GIA'!K565 + '00_TONG_HOP_BAO_GIA'!M565) * (1 + '00_TONG_HOP_BAO_GIA'!P565)</f>
        <v/>
      </c>
      <c r="M620" s="137">
        <f>'00_TONG_HOP_BAO_GIA'!L565 * (1 + '00_TONG_HOP_BAO_GIA'!P565)</f>
        <v/>
      </c>
      <c r="N620" s="137">
        <f>'00_TONG_HOP_BAO_GIA'!R565</f>
        <v/>
      </c>
      <c r="O620" s="142">
        <f>IF(K620=0, "CẢNH BÁO: Đơn giá = 0. Tra cứu lại Sheet 06!", '00_TONG_HOP_BAO_GIA'!S565)</f>
        <v/>
      </c>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83" t="inlineStr">
        <is>
          <t>Bộ</t>
        </is>
      </c>
      <c r="H621" s="136" t="n">
        <v>5</v>
      </c>
      <c r="I621" s="136">
        <f>IF('00_TONG_HOP_BAO_GIA'!G566&gt;0, ('00_TONG_HOP_BAO_GIA'!K566 + '00_TONG_HOP_BAO_GIA'!M566) * (1 + '00_TONG_HOP_BAO_GIA'!P566) / '00_TONG_HOP_BAO_GIA'!G566, 0)</f>
        <v/>
      </c>
      <c r="J621" s="136">
        <f>IF('00_TONG_HOP_BAO_GIA'!G566&gt;0, '00_TONG_HOP_BAO_GIA'!L566 * (1 + '00_TONG_HOP_BAO_GIA'!P566) / '00_TONG_HOP_BAO_GIA'!G566, 0)</f>
        <v/>
      </c>
      <c r="K621" s="137">
        <f>'00_TONG_HOP_BAO_GIA'!Q566</f>
        <v/>
      </c>
      <c r="L621" s="137">
        <f>('00_TONG_HOP_BAO_GIA'!K566 + '00_TONG_HOP_BAO_GIA'!M566) * (1 + '00_TONG_HOP_BAO_GIA'!P566)</f>
        <v/>
      </c>
      <c r="M621" s="137">
        <f>'00_TONG_HOP_BAO_GIA'!L566 * (1 + '00_TONG_HOP_BAO_GIA'!P566)</f>
        <v/>
      </c>
      <c r="N621" s="137">
        <f>'00_TONG_HOP_BAO_GIA'!R566</f>
        <v/>
      </c>
      <c r="O621" s="142">
        <f>IF(K621=0, "CẢNH BÁO: Đơn giá = 0. Tra cứu lại Sheet 06!", '00_TONG_HOP_BAO_GIA'!S566)</f>
        <v/>
      </c>
    </row>
    <row r="622" hidden="1" outlineLevel="1" ht="24.6" customFormat="1" customHeight="1" s="146">
      <c r="A622" s="141" t="n"/>
      <c r="B622" s="139" t="n"/>
      <c r="C622" s="134" t="n"/>
      <c r="D622" s="134" t="n"/>
      <c r="E622" s="134" t="n"/>
      <c r="F622" s="329" t="inlineStr">
        <is>
          <t>CĐT cấp</t>
        </is>
      </c>
      <c r="G622" s="383"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83" t="inlineStr">
        <is>
          <t>Bộ</t>
        </is>
      </c>
      <c r="H623" s="136" t="n">
        <v>5</v>
      </c>
      <c r="I623" s="136">
        <f>IF('00_TONG_HOP_BAO_GIA'!G567&gt;0, ('00_TONG_HOP_BAO_GIA'!K567 + '00_TONG_HOP_BAO_GIA'!M567) * (1 + '00_TONG_HOP_BAO_GIA'!P567) / '00_TONG_HOP_BAO_GIA'!G567, 0)</f>
        <v/>
      </c>
      <c r="J623" s="136">
        <f>IF('00_TONG_HOP_BAO_GIA'!G567&gt;0, '00_TONG_HOP_BAO_GIA'!L567 * (1 + '00_TONG_HOP_BAO_GIA'!P567) / '00_TONG_HOP_BAO_GIA'!G567, 0)</f>
        <v/>
      </c>
      <c r="K623" s="137">
        <f>'00_TONG_HOP_BAO_GIA'!Q567</f>
        <v/>
      </c>
      <c r="L623" s="137">
        <f>('00_TONG_HOP_BAO_GIA'!K567 + '00_TONG_HOP_BAO_GIA'!M567) * (1 + '00_TONG_HOP_BAO_GIA'!P567)</f>
        <v/>
      </c>
      <c r="M623" s="137">
        <f>'00_TONG_HOP_BAO_GIA'!L567 * (1 + '00_TONG_HOP_BAO_GIA'!P567)</f>
        <v/>
      </c>
      <c r="N623" s="137">
        <f>'00_TONG_HOP_BAO_GIA'!R567</f>
        <v/>
      </c>
      <c r="O623" s="142">
        <f>IF(K623=0, "CẢNH BÁO: Đơn giá = 0. Tra cứu lại Sheet 06!", '00_TONG_HOP_BAO_GIA'!S567)</f>
        <v/>
      </c>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83" t="inlineStr">
        <is>
          <t>Bộ</t>
        </is>
      </c>
      <c r="H624" s="136" t="n">
        <v>5</v>
      </c>
      <c r="I624" s="136">
        <f>IF('00_TONG_HOP_BAO_GIA'!G568&gt;0, ('00_TONG_HOP_BAO_GIA'!K568 + '00_TONG_HOP_BAO_GIA'!M568) * (1 + '00_TONG_HOP_BAO_GIA'!P568) / '00_TONG_HOP_BAO_GIA'!G568, 0)</f>
        <v/>
      </c>
      <c r="J624" s="136">
        <f>IF('00_TONG_HOP_BAO_GIA'!G568&gt;0, '00_TONG_HOP_BAO_GIA'!L568 * (1 + '00_TONG_HOP_BAO_GIA'!P568) / '00_TONG_HOP_BAO_GIA'!G568, 0)</f>
        <v/>
      </c>
      <c r="K624" s="137">
        <f>'00_TONG_HOP_BAO_GIA'!Q568</f>
        <v/>
      </c>
      <c r="L624" s="137">
        <f>('00_TONG_HOP_BAO_GIA'!K568 + '00_TONG_HOP_BAO_GIA'!M568) * (1 + '00_TONG_HOP_BAO_GIA'!P568)</f>
        <v/>
      </c>
      <c r="M624" s="137">
        <f>'00_TONG_HOP_BAO_GIA'!L568 * (1 + '00_TONG_HOP_BAO_GIA'!P568)</f>
        <v/>
      </c>
      <c r="N624" s="137">
        <f>'00_TONG_HOP_BAO_GIA'!R568</f>
        <v/>
      </c>
      <c r="O624" s="142">
        <f>IF(K624=0, "CẢNH BÁO: Đơn giá = 0. Tra cứu lại Sheet 06!", '00_TONG_HOP_BAO_GIA'!S568)</f>
        <v/>
      </c>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83" t="inlineStr">
        <is>
          <t>Bộ</t>
        </is>
      </c>
      <c r="H625" s="136" t="n">
        <v>10</v>
      </c>
      <c r="I625" s="136">
        <f>IF('00_TONG_HOP_BAO_GIA'!G569&gt;0, ('00_TONG_HOP_BAO_GIA'!K569 + '00_TONG_HOP_BAO_GIA'!M569) * (1 + '00_TONG_HOP_BAO_GIA'!P569) / '00_TONG_HOP_BAO_GIA'!G569, 0)</f>
        <v/>
      </c>
      <c r="J625" s="136">
        <f>IF('00_TONG_HOP_BAO_GIA'!G569&gt;0, '00_TONG_HOP_BAO_GIA'!L569 * (1 + '00_TONG_HOP_BAO_GIA'!P569) / '00_TONG_HOP_BAO_GIA'!G569, 0)</f>
        <v/>
      </c>
      <c r="K625" s="137">
        <f>'00_TONG_HOP_BAO_GIA'!Q569</f>
        <v/>
      </c>
      <c r="L625" s="137">
        <f>('00_TONG_HOP_BAO_GIA'!K569 + '00_TONG_HOP_BAO_GIA'!M569) * (1 + '00_TONG_HOP_BAO_GIA'!P569)</f>
        <v/>
      </c>
      <c r="M625" s="137">
        <f>'00_TONG_HOP_BAO_GIA'!L569 * (1 + '00_TONG_HOP_BAO_GIA'!P569)</f>
        <v/>
      </c>
      <c r="N625" s="137">
        <f>'00_TONG_HOP_BAO_GIA'!R569</f>
        <v/>
      </c>
      <c r="O625" s="142">
        <f>IF(K625=0, "CẢNH BÁO: Đơn giá = 0. Tra cứu lại Sheet 06!", '00_TONG_HOP_BAO_GIA'!S569)</f>
        <v/>
      </c>
    </row>
    <row r="626" hidden="1" outlineLevel="1" ht="24.6" customFormat="1" customHeight="1" s="146">
      <c r="A626" s="141" t="n"/>
      <c r="B626" s="140" t="inlineStr">
        <is>
          <t>A1.3</t>
        </is>
      </c>
      <c r="C626" s="134" t="n"/>
      <c r="D626" s="134" t="n"/>
      <c r="E626" s="134" t="n"/>
      <c r="F626" s="329" t="inlineStr">
        <is>
          <t>CĐT cấp</t>
        </is>
      </c>
      <c r="G626" s="383"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83" t="inlineStr">
        <is>
          <t>Bộ</t>
        </is>
      </c>
      <c r="H627" s="136" t="n">
        <v>4</v>
      </c>
      <c r="I627" s="136">
        <f>IF('00_TONG_HOP_BAO_GIA'!G570&gt;0, ('00_TONG_HOP_BAO_GIA'!K570 + '00_TONG_HOP_BAO_GIA'!M570) * (1 + '00_TONG_HOP_BAO_GIA'!P570) / '00_TONG_HOP_BAO_GIA'!G570, 0)</f>
        <v/>
      </c>
      <c r="J627" s="136">
        <f>IF('00_TONG_HOP_BAO_GIA'!G570&gt;0, '00_TONG_HOP_BAO_GIA'!L570 * (1 + '00_TONG_HOP_BAO_GIA'!P570) / '00_TONG_HOP_BAO_GIA'!G570, 0)</f>
        <v/>
      </c>
      <c r="K627" s="137">
        <f>'00_TONG_HOP_BAO_GIA'!Q570</f>
        <v/>
      </c>
      <c r="L627" s="137">
        <f>('00_TONG_HOP_BAO_GIA'!K570 + '00_TONG_HOP_BAO_GIA'!M570) * (1 + '00_TONG_HOP_BAO_GIA'!P570)</f>
        <v/>
      </c>
      <c r="M627" s="137">
        <f>'00_TONG_HOP_BAO_GIA'!L570 * (1 + '00_TONG_HOP_BAO_GIA'!P570)</f>
        <v/>
      </c>
      <c r="N627" s="137">
        <f>'00_TONG_HOP_BAO_GIA'!R570</f>
        <v/>
      </c>
      <c r="O627" s="142">
        <f>IF(K627=0, "CẢNH BÁO: Đơn giá = 0. Tra cứu lại Sheet 06!", '00_TONG_HOP_BAO_GIA'!S570)</f>
        <v/>
      </c>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83" t="inlineStr">
        <is>
          <t>Bộ</t>
        </is>
      </c>
      <c r="H628" s="136" t="n">
        <v>8</v>
      </c>
      <c r="I628" s="136">
        <f>IF('00_TONG_HOP_BAO_GIA'!G571&gt;0, ('00_TONG_HOP_BAO_GIA'!K571 + '00_TONG_HOP_BAO_GIA'!M571) * (1 + '00_TONG_HOP_BAO_GIA'!P571) / '00_TONG_HOP_BAO_GIA'!G571, 0)</f>
        <v/>
      </c>
      <c r="J628" s="136">
        <f>IF('00_TONG_HOP_BAO_GIA'!G571&gt;0, '00_TONG_HOP_BAO_GIA'!L571 * (1 + '00_TONG_HOP_BAO_GIA'!P571) / '00_TONG_HOP_BAO_GIA'!G571, 0)</f>
        <v/>
      </c>
      <c r="K628" s="137">
        <f>'00_TONG_HOP_BAO_GIA'!Q571</f>
        <v/>
      </c>
      <c r="L628" s="137">
        <f>('00_TONG_HOP_BAO_GIA'!K571 + '00_TONG_HOP_BAO_GIA'!M571) * (1 + '00_TONG_HOP_BAO_GIA'!P571)</f>
        <v/>
      </c>
      <c r="M628" s="137">
        <f>'00_TONG_HOP_BAO_GIA'!L571 * (1 + '00_TONG_HOP_BAO_GIA'!P571)</f>
        <v/>
      </c>
      <c r="N628" s="137">
        <f>'00_TONG_HOP_BAO_GIA'!R571</f>
        <v/>
      </c>
      <c r="O628" s="142">
        <f>IF(K628=0, "CẢNH BÁO: Đơn giá = 0. Tra cứu lại Sheet 06!", '00_TONG_HOP_BAO_GIA'!S571)</f>
        <v/>
      </c>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83" t="inlineStr">
        <is>
          <t>Bộ</t>
        </is>
      </c>
      <c r="H629" s="136" t="n">
        <v>12</v>
      </c>
      <c r="I629" s="136">
        <f>IF('00_TONG_HOP_BAO_GIA'!G572&gt;0, ('00_TONG_HOP_BAO_GIA'!K572 + '00_TONG_HOP_BAO_GIA'!M572) * (1 + '00_TONG_HOP_BAO_GIA'!P572) / '00_TONG_HOP_BAO_GIA'!G572, 0)</f>
        <v/>
      </c>
      <c r="J629" s="136">
        <f>IF('00_TONG_HOP_BAO_GIA'!G572&gt;0, '00_TONG_HOP_BAO_GIA'!L572 * (1 + '00_TONG_HOP_BAO_GIA'!P572) / '00_TONG_HOP_BAO_GIA'!G572, 0)</f>
        <v/>
      </c>
      <c r="K629" s="137">
        <f>'00_TONG_HOP_BAO_GIA'!Q572</f>
        <v/>
      </c>
      <c r="L629" s="137">
        <f>('00_TONG_HOP_BAO_GIA'!K572 + '00_TONG_HOP_BAO_GIA'!M572) * (1 + '00_TONG_HOP_BAO_GIA'!P572)</f>
        <v/>
      </c>
      <c r="M629" s="137">
        <f>'00_TONG_HOP_BAO_GIA'!L572 * (1 + '00_TONG_HOP_BAO_GIA'!P572)</f>
        <v/>
      </c>
      <c r="N629" s="137">
        <f>'00_TONG_HOP_BAO_GIA'!R572</f>
        <v/>
      </c>
      <c r="O629" s="142">
        <f>IF(K629=0, "CẢNH BÁO: Đơn giá = 0. Tra cứu lại Sheet 06!", '00_TONG_HOP_BAO_GIA'!S572)</f>
        <v/>
      </c>
    </row>
    <row r="630" hidden="1" outlineLevel="1" ht="24.6" customFormat="1" customHeight="1" s="146">
      <c r="A630" s="141" t="n"/>
      <c r="B630" s="139" t="n"/>
      <c r="C630" s="134" t="n"/>
      <c r="D630" s="134" t="n"/>
      <c r="E630" s="134" t="n"/>
      <c r="F630" s="329" t="inlineStr">
        <is>
          <t>CĐT cấp</t>
        </is>
      </c>
      <c r="G630" s="383"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83" t="inlineStr">
        <is>
          <t>Bộ</t>
        </is>
      </c>
      <c r="H631" s="136" t="n">
        <v>4</v>
      </c>
      <c r="I631" s="136">
        <f>IF('00_TONG_HOP_BAO_GIA'!G573&gt;0, ('00_TONG_HOP_BAO_GIA'!K573 + '00_TONG_HOP_BAO_GIA'!M573) * (1 + '00_TONG_HOP_BAO_GIA'!P573) / '00_TONG_HOP_BAO_GIA'!G573, 0)</f>
        <v/>
      </c>
      <c r="J631" s="136">
        <f>IF('00_TONG_HOP_BAO_GIA'!G573&gt;0, '00_TONG_HOP_BAO_GIA'!L573 * (1 + '00_TONG_HOP_BAO_GIA'!P573) / '00_TONG_HOP_BAO_GIA'!G573, 0)</f>
        <v/>
      </c>
      <c r="K631" s="137">
        <f>'00_TONG_HOP_BAO_GIA'!Q573</f>
        <v/>
      </c>
      <c r="L631" s="137">
        <f>('00_TONG_HOP_BAO_GIA'!K573 + '00_TONG_HOP_BAO_GIA'!M573) * (1 + '00_TONG_HOP_BAO_GIA'!P573)</f>
        <v/>
      </c>
      <c r="M631" s="137">
        <f>'00_TONG_HOP_BAO_GIA'!L573 * (1 + '00_TONG_HOP_BAO_GIA'!P573)</f>
        <v/>
      </c>
      <c r="N631" s="137">
        <f>'00_TONG_HOP_BAO_GIA'!R573</f>
        <v/>
      </c>
      <c r="O631" s="142">
        <f>IF(K631=0, "CẢNH BÁO: Đơn giá = 0. Tra cứu lại Sheet 06!", '00_TONG_HOP_BAO_GIA'!S573)</f>
        <v/>
      </c>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83" t="inlineStr">
        <is>
          <t>Bộ</t>
        </is>
      </c>
      <c r="H632" s="136" t="n">
        <v>4</v>
      </c>
      <c r="I632" s="136">
        <f>IF('00_TONG_HOP_BAO_GIA'!G574&gt;0, ('00_TONG_HOP_BAO_GIA'!K574 + '00_TONG_HOP_BAO_GIA'!M574) * (1 + '00_TONG_HOP_BAO_GIA'!P574) / '00_TONG_HOP_BAO_GIA'!G574, 0)</f>
        <v/>
      </c>
      <c r="J632" s="136">
        <f>IF('00_TONG_HOP_BAO_GIA'!G574&gt;0, '00_TONG_HOP_BAO_GIA'!L574 * (1 + '00_TONG_HOP_BAO_GIA'!P574) / '00_TONG_HOP_BAO_GIA'!G574, 0)</f>
        <v/>
      </c>
      <c r="K632" s="137">
        <f>'00_TONG_HOP_BAO_GIA'!Q574</f>
        <v/>
      </c>
      <c r="L632" s="137">
        <f>('00_TONG_HOP_BAO_GIA'!K574 + '00_TONG_HOP_BAO_GIA'!M574) * (1 + '00_TONG_HOP_BAO_GIA'!P574)</f>
        <v/>
      </c>
      <c r="M632" s="137">
        <f>'00_TONG_HOP_BAO_GIA'!L574 * (1 + '00_TONG_HOP_BAO_GIA'!P574)</f>
        <v/>
      </c>
      <c r="N632" s="137">
        <f>'00_TONG_HOP_BAO_GIA'!R574</f>
        <v/>
      </c>
      <c r="O632" s="142">
        <f>IF(K632=0, "CẢNH BÁO: Đơn giá = 0. Tra cứu lại Sheet 06!", '00_TONG_HOP_BAO_GIA'!S574)</f>
        <v/>
      </c>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83" t="inlineStr">
        <is>
          <t>Bộ</t>
        </is>
      </c>
      <c r="H633" s="136" t="n">
        <v>12</v>
      </c>
      <c r="I633" s="136">
        <f>IF('00_TONG_HOP_BAO_GIA'!G575&gt;0, ('00_TONG_HOP_BAO_GIA'!K575 + '00_TONG_HOP_BAO_GIA'!M575) * (1 + '00_TONG_HOP_BAO_GIA'!P575) / '00_TONG_HOP_BAO_GIA'!G575, 0)</f>
        <v/>
      </c>
      <c r="J633" s="136">
        <f>IF('00_TONG_HOP_BAO_GIA'!G575&gt;0, '00_TONG_HOP_BAO_GIA'!L575 * (1 + '00_TONG_HOP_BAO_GIA'!P575) / '00_TONG_HOP_BAO_GIA'!G575, 0)</f>
        <v/>
      </c>
      <c r="K633" s="137">
        <f>'00_TONG_HOP_BAO_GIA'!Q575</f>
        <v/>
      </c>
      <c r="L633" s="137">
        <f>('00_TONG_HOP_BAO_GIA'!K575 + '00_TONG_HOP_BAO_GIA'!M575) * (1 + '00_TONG_HOP_BAO_GIA'!P575)</f>
        <v/>
      </c>
      <c r="M633" s="137">
        <f>'00_TONG_HOP_BAO_GIA'!L575 * (1 + '00_TONG_HOP_BAO_GIA'!P575)</f>
        <v/>
      </c>
      <c r="N633" s="137">
        <f>'00_TONG_HOP_BAO_GIA'!R575</f>
        <v/>
      </c>
      <c r="O633" s="142">
        <f>IF(K633=0, "CẢNH BÁO: Đơn giá = 0. Tra cứu lại Sheet 06!", '00_TONG_HOP_BAO_GIA'!S575)</f>
        <v/>
      </c>
    </row>
    <row r="634" hidden="1" outlineLevel="1" ht="24.6" customFormat="1" customHeight="1" s="146">
      <c r="A634" s="141" t="n"/>
      <c r="B634" s="139" t="n"/>
      <c r="C634" s="134" t="n"/>
      <c r="D634" s="134" t="n"/>
      <c r="E634" s="134" t="n"/>
      <c r="F634" s="329" t="inlineStr">
        <is>
          <t>CĐT cấp</t>
        </is>
      </c>
      <c r="G634" s="383"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83" t="inlineStr">
        <is>
          <t>Bộ</t>
        </is>
      </c>
      <c r="H635" s="136" t="n">
        <v>4</v>
      </c>
      <c r="I635" s="136">
        <f>IF('00_TONG_HOP_BAO_GIA'!G576&gt;0, ('00_TONG_HOP_BAO_GIA'!K576 + '00_TONG_HOP_BAO_GIA'!M576) * (1 + '00_TONG_HOP_BAO_GIA'!P576) / '00_TONG_HOP_BAO_GIA'!G576, 0)</f>
        <v/>
      </c>
      <c r="J635" s="136">
        <f>IF('00_TONG_HOP_BAO_GIA'!G576&gt;0, '00_TONG_HOP_BAO_GIA'!L576 * (1 + '00_TONG_HOP_BAO_GIA'!P576) / '00_TONG_HOP_BAO_GIA'!G576, 0)</f>
        <v/>
      </c>
      <c r="K635" s="137">
        <f>'00_TONG_HOP_BAO_GIA'!Q576</f>
        <v/>
      </c>
      <c r="L635" s="137">
        <f>('00_TONG_HOP_BAO_GIA'!K576 + '00_TONG_HOP_BAO_GIA'!M576) * (1 + '00_TONG_HOP_BAO_GIA'!P576)</f>
        <v/>
      </c>
      <c r="M635" s="137">
        <f>'00_TONG_HOP_BAO_GIA'!L576 * (1 + '00_TONG_HOP_BAO_GIA'!P576)</f>
        <v/>
      </c>
      <c r="N635" s="137">
        <f>'00_TONG_HOP_BAO_GIA'!R576</f>
        <v/>
      </c>
      <c r="O635" s="142">
        <f>IF(K635=0, "CẢNH BÁO: Đơn giá = 0. Tra cứu lại Sheet 06!", '00_TONG_HOP_BAO_GIA'!S576)</f>
        <v/>
      </c>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83" t="inlineStr">
        <is>
          <t>Bộ</t>
        </is>
      </c>
      <c r="H636" s="136" t="n">
        <v>4</v>
      </c>
      <c r="I636" s="136">
        <f>IF('00_TONG_HOP_BAO_GIA'!G577&gt;0, ('00_TONG_HOP_BAO_GIA'!K577 + '00_TONG_HOP_BAO_GIA'!M577) * (1 + '00_TONG_HOP_BAO_GIA'!P577) / '00_TONG_HOP_BAO_GIA'!G577, 0)</f>
        <v/>
      </c>
      <c r="J636" s="136">
        <f>IF('00_TONG_HOP_BAO_GIA'!G577&gt;0, '00_TONG_HOP_BAO_GIA'!L577 * (1 + '00_TONG_HOP_BAO_GIA'!P577) / '00_TONG_HOP_BAO_GIA'!G577, 0)</f>
        <v/>
      </c>
      <c r="K636" s="137">
        <f>'00_TONG_HOP_BAO_GIA'!Q577</f>
        <v/>
      </c>
      <c r="L636" s="137">
        <f>('00_TONG_HOP_BAO_GIA'!K577 + '00_TONG_HOP_BAO_GIA'!M577) * (1 + '00_TONG_HOP_BAO_GIA'!P577)</f>
        <v/>
      </c>
      <c r="M636" s="137">
        <f>'00_TONG_HOP_BAO_GIA'!L577 * (1 + '00_TONG_HOP_BAO_GIA'!P577)</f>
        <v/>
      </c>
      <c r="N636" s="137">
        <f>'00_TONG_HOP_BAO_GIA'!R577</f>
        <v/>
      </c>
      <c r="O636" s="142">
        <f>IF(K636=0, "CẢNH BÁO: Đơn giá = 0. Tra cứu lại Sheet 06!", '00_TONG_HOP_BAO_GIA'!S577)</f>
        <v/>
      </c>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83" t="inlineStr">
        <is>
          <t>Bộ</t>
        </is>
      </c>
      <c r="H637" s="136" t="n">
        <v>8</v>
      </c>
      <c r="I637" s="136">
        <f>IF('00_TONG_HOP_BAO_GIA'!G578&gt;0, ('00_TONG_HOP_BAO_GIA'!K578 + '00_TONG_HOP_BAO_GIA'!M578) * (1 + '00_TONG_HOP_BAO_GIA'!P578) / '00_TONG_HOP_BAO_GIA'!G578, 0)</f>
        <v/>
      </c>
      <c r="J637" s="136">
        <f>IF('00_TONG_HOP_BAO_GIA'!G578&gt;0, '00_TONG_HOP_BAO_GIA'!L578 * (1 + '00_TONG_HOP_BAO_GIA'!P578) / '00_TONG_HOP_BAO_GIA'!G578, 0)</f>
        <v/>
      </c>
      <c r="K637" s="137">
        <f>'00_TONG_HOP_BAO_GIA'!Q578</f>
        <v/>
      </c>
      <c r="L637" s="137">
        <f>('00_TONG_HOP_BAO_GIA'!K578 + '00_TONG_HOP_BAO_GIA'!M578) * (1 + '00_TONG_HOP_BAO_GIA'!P578)</f>
        <v/>
      </c>
      <c r="M637" s="137">
        <f>'00_TONG_HOP_BAO_GIA'!L578 * (1 + '00_TONG_HOP_BAO_GIA'!P578)</f>
        <v/>
      </c>
      <c r="N637" s="137">
        <f>'00_TONG_HOP_BAO_GIA'!R578</f>
        <v/>
      </c>
      <c r="O637" s="142">
        <f>IF(K637=0, "CẢNH BÁO: Đơn giá = 0. Tra cứu lại Sheet 06!", '00_TONG_HOP_BAO_GIA'!S578)</f>
        <v/>
      </c>
    </row>
    <row r="638" hidden="1" outlineLevel="1" ht="24.6" customFormat="1" customHeight="1" s="146">
      <c r="A638" s="141" t="n"/>
      <c r="B638" s="139" t="n"/>
      <c r="C638" s="134" t="n"/>
      <c r="D638" s="134" t="n"/>
      <c r="E638" s="134" t="n"/>
      <c r="F638" s="329" t="inlineStr">
        <is>
          <t>CĐT cấp</t>
        </is>
      </c>
      <c r="G638" s="383"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83" t="inlineStr">
        <is>
          <t>Bộ</t>
        </is>
      </c>
      <c r="H639" s="136" t="n">
        <v>2</v>
      </c>
      <c r="I639" s="136">
        <f>IF('00_TONG_HOP_BAO_GIA'!G579&gt;0, ('00_TONG_HOP_BAO_GIA'!K579 + '00_TONG_HOP_BAO_GIA'!M579) * (1 + '00_TONG_HOP_BAO_GIA'!P579) / '00_TONG_HOP_BAO_GIA'!G579, 0)</f>
        <v/>
      </c>
      <c r="J639" s="136">
        <f>IF('00_TONG_HOP_BAO_GIA'!G579&gt;0, '00_TONG_HOP_BAO_GIA'!L579 * (1 + '00_TONG_HOP_BAO_GIA'!P579) / '00_TONG_HOP_BAO_GIA'!G579, 0)</f>
        <v/>
      </c>
      <c r="K639" s="137">
        <f>'00_TONG_HOP_BAO_GIA'!Q579</f>
        <v/>
      </c>
      <c r="L639" s="137">
        <f>('00_TONG_HOP_BAO_GIA'!K579 + '00_TONG_HOP_BAO_GIA'!M579) * (1 + '00_TONG_HOP_BAO_GIA'!P579)</f>
        <v/>
      </c>
      <c r="M639" s="137">
        <f>'00_TONG_HOP_BAO_GIA'!L579 * (1 + '00_TONG_HOP_BAO_GIA'!P579)</f>
        <v/>
      </c>
      <c r="N639" s="137">
        <f>'00_TONG_HOP_BAO_GIA'!R579</f>
        <v/>
      </c>
      <c r="O639" s="142">
        <f>IF(K639=0, "CẢNH BÁO: Đơn giá = 0. Tra cứu lại Sheet 06!", '00_TONG_HOP_BAO_GIA'!S579)</f>
        <v/>
      </c>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83" t="inlineStr">
        <is>
          <t>Bộ</t>
        </is>
      </c>
      <c r="H640" s="136" t="n">
        <v>2</v>
      </c>
      <c r="I640" s="136">
        <f>IF('00_TONG_HOP_BAO_GIA'!G580&gt;0, ('00_TONG_HOP_BAO_GIA'!K580 + '00_TONG_HOP_BAO_GIA'!M580) * (1 + '00_TONG_HOP_BAO_GIA'!P580) / '00_TONG_HOP_BAO_GIA'!G580, 0)</f>
        <v/>
      </c>
      <c r="J640" s="136">
        <f>IF('00_TONG_HOP_BAO_GIA'!G580&gt;0, '00_TONG_HOP_BAO_GIA'!L580 * (1 + '00_TONG_HOP_BAO_GIA'!P580) / '00_TONG_HOP_BAO_GIA'!G580, 0)</f>
        <v/>
      </c>
      <c r="K640" s="137">
        <f>'00_TONG_HOP_BAO_GIA'!Q580</f>
        <v/>
      </c>
      <c r="L640" s="137">
        <f>('00_TONG_HOP_BAO_GIA'!K580 + '00_TONG_HOP_BAO_GIA'!M580) * (1 + '00_TONG_HOP_BAO_GIA'!P580)</f>
        <v/>
      </c>
      <c r="M640" s="137">
        <f>'00_TONG_HOP_BAO_GIA'!L580 * (1 + '00_TONG_HOP_BAO_GIA'!P580)</f>
        <v/>
      </c>
      <c r="N640" s="137">
        <f>'00_TONG_HOP_BAO_GIA'!R580</f>
        <v/>
      </c>
      <c r="O640" s="142">
        <f>IF(K640=0, "CẢNH BÁO: Đơn giá = 0. Tra cứu lại Sheet 06!", '00_TONG_HOP_BAO_GIA'!S580)</f>
        <v/>
      </c>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83" t="inlineStr">
        <is>
          <t>Bộ</t>
        </is>
      </c>
      <c r="H641" s="136" t="n">
        <v>4</v>
      </c>
      <c r="I641" s="136">
        <f>IF('00_TONG_HOP_BAO_GIA'!G581&gt;0, ('00_TONG_HOP_BAO_GIA'!K581 + '00_TONG_HOP_BAO_GIA'!M581) * (1 + '00_TONG_HOP_BAO_GIA'!P581) / '00_TONG_HOP_BAO_GIA'!G581, 0)</f>
        <v/>
      </c>
      <c r="J641" s="136">
        <f>IF('00_TONG_HOP_BAO_GIA'!G581&gt;0, '00_TONG_HOP_BAO_GIA'!L581 * (1 + '00_TONG_HOP_BAO_GIA'!P581) / '00_TONG_HOP_BAO_GIA'!G581, 0)</f>
        <v/>
      </c>
      <c r="K641" s="137">
        <f>'00_TONG_HOP_BAO_GIA'!Q581</f>
        <v/>
      </c>
      <c r="L641" s="137">
        <f>('00_TONG_HOP_BAO_GIA'!K581 + '00_TONG_HOP_BAO_GIA'!M581) * (1 + '00_TONG_HOP_BAO_GIA'!P581)</f>
        <v/>
      </c>
      <c r="M641" s="137">
        <f>'00_TONG_HOP_BAO_GIA'!L581 * (1 + '00_TONG_HOP_BAO_GIA'!P581)</f>
        <v/>
      </c>
      <c r="N641" s="137">
        <f>'00_TONG_HOP_BAO_GIA'!R581</f>
        <v/>
      </c>
      <c r="O641" s="142">
        <f>IF(K641=0, "CẢNH BÁO: Đơn giá = 0. Tra cứu lại Sheet 06!", '00_TONG_HOP_BAO_GIA'!S581)</f>
        <v/>
      </c>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83" t="inlineStr">
        <is>
          <t>Bộ</t>
        </is>
      </c>
      <c r="H642" s="136" t="n">
        <v>2</v>
      </c>
      <c r="I642" s="136">
        <f>IF('00_TONG_HOP_BAO_GIA'!G582&gt;0, ('00_TONG_HOP_BAO_GIA'!K582 + '00_TONG_HOP_BAO_GIA'!M582) * (1 + '00_TONG_HOP_BAO_GIA'!P582) / '00_TONG_HOP_BAO_GIA'!G582, 0)</f>
        <v/>
      </c>
      <c r="J642" s="136">
        <f>IF('00_TONG_HOP_BAO_GIA'!G582&gt;0, '00_TONG_HOP_BAO_GIA'!L582 * (1 + '00_TONG_HOP_BAO_GIA'!P582) / '00_TONG_HOP_BAO_GIA'!G582, 0)</f>
        <v/>
      </c>
      <c r="K642" s="137">
        <f>'00_TONG_HOP_BAO_GIA'!Q582</f>
        <v/>
      </c>
      <c r="L642" s="137">
        <f>('00_TONG_HOP_BAO_GIA'!K582 + '00_TONG_HOP_BAO_GIA'!M582) * (1 + '00_TONG_HOP_BAO_GIA'!P582)</f>
        <v/>
      </c>
      <c r="M642" s="137">
        <f>'00_TONG_HOP_BAO_GIA'!L582 * (1 + '00_TONG_HOP_BAO_GIA'!P582)</f>
        <v/>
      </c>
      <c r="N642" s="137">
        <f>'00_TONG_HOP_BAO_GIA'!R582</f>
        <v/>
      </c>
      <c r="O642" s="142">
        <f>IF(K642=0, "CẢNH BÁO: Đơn giá = 0. Tra cứu lại Sheet 06!", '00_TONG_HOP_BAO_GIA'!S582)</f>
        <v/>
      </c>
    </row>
    <row r="643" hidden="1" outlineLevel="1" ht="24.6" customFormat="1" customHeight="1" s="146">
      <c r="A643" s="141" t="n"/>
      <c r="B643" s="139" t="n"/>
      <c r="C643" s="134" t="n"/>
      <c r="D643" s="134" t="n"/>
      <c r="E643" s="134" t="n"/>
      <c r="F643" s="329" t="inlineStr">
        <is>
          <t>CĐT cấp</t>
        </is>
      </c>
      <c r="G643" s="383"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83" t="inlineStr">
        <is>
          <t>Bộ</t>
        </is>
      </c>
      <c r="H644" s="136" t="n">
        <v>4</v>
      </c>
      <c r="I644" s="136">
        <f>IF('00_TONG_HOP_BAO_GIA'!G583&gt;0, ('00_TONG_HOP_BAO_GIA'!K583 + '00_TONG_HOP_BAO_GIA'!M583) * (1 + '00_TONG_HOP_BAO_GIA'!P583) / '00_TONG_HOP_BAO_GIA'!G583, 0)</f>
        <v/>
      </c>
      <c r="J644" s="136">
        <f>IF('00_TONG_HOP_BAO_GIA'!G583&gt;0, '00_TONG_HOP_BAO_GIA'!L583 * (1 + '00_TONG_HOP_BAO_GIA'!P583) / '00_TONG_HOP_BAO_GIA'!G583, 0)</f>
        <v/>
      </c>
      <c r="K644" s="137">
        <f>'00_TONG_HOP_BAO_GIA'!Q583</f>
        <v/>
      </c>
      <c r="L644" s="137">
        <f>('00_TONG_HOP_BAO_GIA'!K583 + '00_TONG_HOP_BAO_GIA'!M583) * (1 + '00_TONG_HOP_BAO_GIA'!P583)</f>
        <v/>
      </c>
      <c r="M644" s="137">
        <f>'00_TONG_HOP_BAO_GIA'!L583 * (1 + '00_TONG_HOP_BAO_GIA'!P583)</f>
        <v/>
      </c>
      <c r="N644" s="137">
        <f>'00_TONG_HOP_BAO_GIA'!R583</f>
        <v/>
      </c>
      <c r="O644" s="142">
        <f>IF(K644=0, "CẢNH BÁO: Đơn giá = 0. Tra cứu lại Sheet 06!", '00_TONG_HOP_BAO_GIA'!S583)</f>
        <v/>
      </c>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83" t="inlineStr">
        <is>
          <t>Bộ</t>
        </is>
      </c>
      <c r="H645" s="136" t="n">
        <v>4</v>
      </c>
      <c r="I645" s="136">
        <f>IF('00_TONG_HOP_BAO_GIA'!G584&gt;0, ('00_TONG_HOP_BAO_GIA'!K584 + '00_TONG_HOP_BAO_GIA'!M584) * (1 + '00_TONG_HOP_BAO_GIA'!P584) / '00_TONG_HOP_BAO_GIA'!G584, 0)</f>
        <v/>
      </c>
      <c r="J645" s="136">
        <f>IF('00_TONG_HOP_BAO_GIA'!G584&gt;0, '00_TONG_HOP_BAO_GIA'!L584 * (1 + '00_TONG_HOP_BAO_GIA'!P584) / '00_TONG_HOP_BAO_GIA'!G584, 0)</f>
        <v/>
      </c>
      <c r="K645" s="137">
        <f>'00_TONG_HOP_BAO_GIA'!Q584</f>
        <v/>
      </c>
      <c r="L645" s="137">
        <f>('00_TONG_HOP_BAO_GIA'!K584 + '00_TONG_HOP_BAO_GIA'!M584) * (1 + '00_TONG_HOP_BAO_GIA'!P584)</f>
        <v/>
      </c>
      <c r="M645" s="137">
        <f>'00_TONG_HOP_BAO_GIA'!L584 * (1 + '00_TONG_HOP_BAO_GIA'!P584)</f>
        <v/>
      </c>
      <c r="N645" s="137">
        <f>'00_TONG_HOP_BAO_GIA'!R584</f>
        <v/>
      </c>
      <c r="O645" s="142">
        <f>IF(K645=0, "CẢNH BÁO: Đơn giá = 0. Tra cứu lại Sheet 06!", '00_TONG_HOP_BAO_GIA'!S584)</f>
        <v/>
      </c>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83" t="inlineStr">
        <is>
          <t>Bộ</t>
        </is>
      </c>
      <c r="H646" s="136" t="n">
        <v>8</v>
      </c>
      <c r="I646" s="136">
        <f>IF('00_TONG_HOP_BAO_GIA'!G585&gt;0, ('00_TONG_HOP_BAO_GIA'!K585 + '00_TONG_HOP_BAO_GIA'!M585) * (1 + '00_TONG_HOP_BAO_GIA'!P585) / '00_TONG_HOP_BAO_GIA'!G585, 0)</f>
        <v/>
      </c>
      <c r="J646" s="136">
        <f>IF('00_TONG_HOP_BAO_GIA'!G585&gt;0, '00_TONG_HOP_BAO_GIA'!L585 * (1 + '00_TONG_HOP_BAO_GIA'!P585) / '00_TONG_HOP_BAO_GIA'!G585, 0)</f>
        <v/>
      </c>
      <c r="K646" s="137">
        <f>'00_TONG_HOP_BAO_GIA'!Q585</f>
        <v/>
      </c>
      <c r="L646" s="137">
        <f>('00_TONG_HOP_BAO_GIA'!K585 + '00_TONG_HOP_BAO_GIA'!M585) * (1 + '00_TONG_HOP_BAO_GIA'!P585)</f>
        <v/>
      </c>
      <c r="M646" s="137">
        <f>'00_TONG_HOP_BAO_GIA'!L585 * (1 + '00_TONG_HOP_BAO_GIA'!P585)</f>
        <v/>
      </c>
      <c r="N646" s="137">
        <f>'00_TONG_HOP_BAO_GIA'!R585</f>
        <v/>
      </c>
      <c r="O646" s="142">
        <f>IF(K646=0, "CẢNH BÁO: Đơn giá = 0. Tra cứu lại Sheet 06!", '00_TONG_HOP_BAO_GIA'!S585)</f>
        <v/>
      </c>
    </row>
    <row r="647" hidden="1" outlineLevel="1" ht="24.6" customFormat="1" customHeight="1" s="146">
      <c r="A647" s="141" t="n"/>
      <c r="B647" s="139" t="n"/>
      <c r="C647" s="134" t="n"/>
      <c r="D647" s="134" t="n"/>
      <c r="E647" s="134" t="n"/>
      <c r="F647" s="329" t="inlineStr">
        <is>
          <t>CĐT cấp</t>
        </is>
      </c>
      <c r="G647" s="383"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83" t="inlineStr">
        <is>
          <t>Bộ</t>
        </is>
      </c>
      <c r="H648" s="136" t="n">
        <v>2</v>
      </c>
      <c r="I648" s="136">
        <f>IF('00_TONG_HOP_BAO_GIA'!G586&gt;0, ('00_TONG_HOP_BAO_GIA'!K586 + '00_TONG_HOP_BAO_GIA'!M586) * (1 + '00_TONG_HOP_BAO_GIA'!P586) / '00_TONG_HOP_BAO_GIA'!G586, 0)</f>
        <v/>
      </c>
      <c r="J648" s="136">
        <f>IF('00_TONG_HOP_BAO_GIA'!G586&gt;0, '00_TONG_HOP_BAO_GIA'!L586 * (1 + '00_TONG_HOP_BAO_GIA'!P586) / '00_TONG_HOP_BAO_GIA'!G586, 0)</f>
        <v/>
      </c>
      <c r="K648" s="137">
        <f>'00_TONG_HOP_BAO_GIA'!Q586</f>
        <v/>
      </c>
      <c r="L648" s="137">
        <f>('00_TONG_HOP_BAO_GIA'!K586 + '00_TONG_HOP_BAO_GIA'!M586) * (1 + '00_TONG_HOP_BAO_GIA'!P586)</f>
        <v/>
      </c>
      <c r="M648" s="137">
        <f>'00_TONG_HOP_BAO_GIA'!L586 * (1 + '00_TONG_HOP_BAO_GIA'!P586)</f>
        <v/>
      </c>
      <c r="N648" s="137">
        <f>'00_TONG_HOP_BAO_GIA'!R586</f>
        <v/>
      </c>
      <c r="O648" s="142">
        <f>IF(K648=0, "CẢNH BÁO: Đơn giá = 0. Tra cứu lại Sheet 06!", '00_TONG_HOP_BAO_GIA'!S586)</f>
        <v/>
      </c>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83" t="inlineStr">
        <is>
          <t>Bộ</t>
        </is>
      </c>
      <c r="H649" s="136" t="n">
        <v>2</v>
      </c>
      <c r="I649" s="136">
        <f>IF('00_TONG_HOP_BAO_GIA'!G587&gt;0, ('00_TONG_HOP_BAO_GIA'!K587 + '00_TONG_HOP_BAO_GIA'!M587) * (1 + '00_TONG_HOP_BAO_GIA'!P587) / '00_TONG_HOP_BAO_GIA'!G587, 0)</f>
        <v/>
      </c>
      <c r="J649" s="136">
        <f>IF('00_TONG_HOP_BAO_GIA'!G587&gt;0, '00_TONG_HOP_BAO_GIA'!L587 * (1 + '00_TONG_HOP_BAO_GIA'!P587) / '00_TONG_HOP_BAO_GIA'!G587, 0)</f>
        <v/>
      </c>
      <c r="K649" s="137">
        <f>'00_TONG_HOP_BAO_GIA'!Q587</f>
        <v/>
      </c>
      <c r="L649" s="137">
        <f>('00_TONG_HOP_BAO_GIA'!K587 + '00_TONG_HOP_BAO_GIA'!M587) * (1 + '00_TONG_HOP_BAO_GIA'!P587)</f>
        <v/>
      </c>
      <c r="M649" s="137">
        <f>'00_TONG_HOP_BAO_GIA'!L587 * (1 + '00_TONG_HOP_BAO_GIA'!P587)</f>
        <v/>
      </c>
      <c r="N649" s="137">
        <f>'00_TONG_HOP_BAO_GIA'!R587</f>
        <v/>
      </c>
      <c r="O649" s="142">
        <f>IF(K649=0, "CẢNH BÁO: Đơn giá = 0. Tra cứu lại Sheet 06!", '00_TONG_HOP_BAO_GIA'!S587)</f>
        <v/>
      </c>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83" t="inlineStr">
        <is>
          <t>Bộ</t>
        </is>
      </c>
      <c r="H650" s="136" t="n">
        <v>6</v>
      </c>
      <c r="I650" s="136">
        <f>IF('00_TONG_HOP_BAO_GIA'!G588&gt;0, ('00_TONG_HOP_BAO_GIA'!K588 + '00_TONG_HOP_BAO_GIA'!M588) * (1 + '00_TONG_HOP_BAO_GIA'!P588) / '00_TONG_HOP_BAO_GIA'!G588, 0)</f>
        <v/>
      </c>
      <c r="J650" s="136">
        <f>IF('00_TONG_HOP_BAO_GIA'!G588&gt;0, '00_TONG_HOP_BAO_GIA'!L588 * (1 + '00_TONG_HOP_BAO_GIA'!P588) / '00_TONG_HOP_BAO_GIA'!G588, 0)</f>
        <v/>
      </c>
      <c r="K650" s="137">
        <f>'00_TONG_HOP_BAO_GIA'!Q588</f>
        <v/>
      </c>
      <c r="L650" s="137">
        <f>('00_TONG_HOP_BAO_GIA'!K588 + '00_TONG_HOP_BAO_GIA'!M588) * (1 + '00_TONG_HOP_BAO_GIA'!P588)</f>
        <v/>
      </c>
      <c r="M650" s="137">
        <f>'00_TONG_HOP_BAO_GIA'!L588 * (1 + '00_TONG_HOP_BAO_GIA'!P588)</f>
        <v/>
      </c>
      <c r="N650" s="137">
        <f>'00_TONG_HOP_BAO_GIA'!R588</f>
        <v/>
      </c>
      <c r="O650" s="142">
        <f>IF(K650=0, "CẢNH BÁO: Đơn giá = 0. Tra cứu lại Sheet 06!", '00_TONG_HOP_BAO_GIA'!S588)</f>
        <v/>
      </c>
    </row>
    <row r="651" hidden="1" outlineLevel="1" ht="24" customFormat="1" customHeight="1" s="146">
      <c r="A651" s="141" t="n"/>
      <c r="B651" s="139" t="n"/>
      <c r="C651" s="134" t="n"/>
      <c r="D651" s="134" t="n"/>
      <c r="E651" s="134" t="n"/>
      <c r="F651" s="329" t="inlineStr">
        <is>
          <t>CĐT cấp</t>
        </is>
      </c>
      <c r="G651" s="383"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83"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83"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83"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83"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83"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83"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83"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83"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83" t="inlineStr">
        <is>
          <t>Bộ</t>
        </is>
      </c>
      <c r="H660" s="136" t="n">
        <v>350</v>
      </c>
      <c r="I660" s="136">
        <f>IF('00_TONG_HOP_BAO_GIA'!G589&gt;0, ('00_TONG_HOP_BAO_GIA'!K589 + '00_TONG_HOP_BAO_GIA'!M589) * (1 + '00_TONG_HOP_BAO_GIA'!P589) / '00_TONG_HOP_BAO_GIA'!G589, 0)</f>
        <v/>
      </c>
      <c r="J660" s="136">
        <f>IF('00_TONG_HOP_BAO_GIA'!G589&gt;0, '00_TONG_HOP_BAO_GIA'!L589 * (1 + '00_TONG_HOP_BAO_GIA'!P589) / '00_TONG_HOP_BAO_GIA'!G589, 0)</f>
        <v/>
      </c>
      <c r="K660" s="137">
        <f>'00_TONG_HOP_BAO_GIA'!Q589</f>
        <v/>
      </c>
      <c r="L660" s="137">
        <f>('00_TONG_HOP_BAO_GIA'!K589 + '00_TONG_HOP_BAO_GIA'!M589) * (1 + '00_TONG_HOP_BAO_GIA'!P589)</f>
        <v/>
      </c>
      <c r="M660" s="137">
        <f>'00_TONG_HOP_BAO_GIA'!L589 * (1 + '00_TONG_HOP_BAO_GIA'!P589)</f>
        <v/>
      </c>
      <c r="N660" s="137">
        <f>'00_TONG_HOP_BAO_GIA'!R589</f>
        <v/>
      </c>
      <c r="O660" s="137">
        <f>IF(K660=0, "CẢNH BÁO: Đơn giá = 0. Tra cứu lại Sheet 06!", '00_TONG_HOP_BAO_GIA'!S589)</f>
        <v/>
      </c>
    </row>
    <row r="661" hidden="1" outlineLevel="1" ht="24.6" customFormat="1" customHeight="1" s="146">
      <c r="A661" s="141">
        <f>SUBTOTAL(3,$G$7:G661)</f>
        <v/>
      </c>
      <c r="B661" s="139" t="inlineStr">
        <is>
          <t>Vật tư phụ, phụ kiện</t>
        </is>
      </c>
      <c r="C661" s="134" t="n"/>
      <c r="D661" s="134" t="n"/>
      <c r="E661" s="134" t="n"/>
      <c r="F661" s="329" t="inlineStr">
        <is>
          <t>CĐT cấp</t>
        </is>
      </c>
      <c r="G661" s="383" t="inlineStr">
        <is>
          <t>Lô</t>
        </is>
      </c>
      <c r="H661" s="136" t="n">
        <v>1</v>
      </c>
      <c r="I661" s="136">
        <f>IF('00_TONG_HOP_BAO_GIA'!G590&gt;0, ('00_TONG_HOP_BAO_GIA'!K590 + '00_TONG_HOP_BAO_GIA'!M590) * (1 + '00_TONG_HOP_BAO_GIA'!P590) / '00_TONG_HOP_BAO_GIA'!G590, 0)</f>
        <v/>
      </c>
      <c r="J661" s="136">
        <f>IF('00_TONG_HOP_BAO_GIA'!G590&gt;0, '00_TONG_HOP_BAO_GIA'!L590 * (1 + '00_TONG_HOP_BAO_GIA'!P590) / '00_TONG_HOP_BAO_GIA'!G590, 0)</f>
        <v/>
      </c>
      <c r="K661" s="137">
        <f>'00_TONG_HOP_BAO_GIA'!Q590</f>
        <v/>
      </c>
      <c r="L661" s="137">
        <f>('00_TONG_HOP_BAO_GIA'!K590 + '00_TONG_HOP_BAO_GIA'!M590) * (1 + '00_TONG_HOP_BAO_GIA'!P590)</f>
        <v/>
      </c>
      <c r="M661" s="137">
        <f>'00_TONG_HOP_BAO_GIA'!L590 * (1 + '00_TONG_HOP_BAO_GIA'!P590)</f>
        <v/>
      </c>
      <c r="N661" s="137">
        <f>'00_TONG_HOP_BAO_GIA'!R590</f>
        <v/>
      </c>
      <c r="O661" s="137">
        <f>IF(K661=0, "CẢNH BÁO: Đơn giá = 0. Tra cứu lại Sheet 06!", '00_TONG_HOP_BAO_GIA'!S590)</f>
        <v/>
      </c>
    </row>
    <row r="662" hidden="1" outlineLevel="1" ht="24.6" customFormat="1" customHeight="1" s="146">
      <c r="A662" s="141" t="n"/>
      <c r="B662" s="139" t="n"/>
      <c r="C662" s="134" t="n"/>
      <c r="D662" s="134" t="n"/>
      <c r="E662" s="134" t="n"/>
      <c r="F662" s="329" t="inlineStr">
        <is>
          <t>CĐT cấp</t>
        </is>
      </c>
      <c r="G662" s="383"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83"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83"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83" t="inlineStr">
        <is>
          <t>Bộ</t>
        </is>
      </c>
      <c r="H665" s="136" t="n">
        <v>21</v>
      </c>
      <c r="I665" s="136">
        <f>IF('00_TONG_HOP_BAO_GIA'!G591&gt;0, ('00_TONG_HOP_BAO_GIA'!K591 + '00_TONG_HOP_BAO_GIA'!M591) * (1 + '00_TONG_HOP_BAO_GIA'!P591) / '00_TONG_HOP_BAO_GIA'!G591, 0)</f>
        <v/>
      </c>
      <c r="J665" s="136">
        <f>IF('00_TONG_HOP_BAO_GIA'!G591&gt;0, '00_TONG_HOP_BAO_GIA'!L591 * (1 + '00_TONG_HOP_BAO_GIA'!P591) / '00_TONG_HOP_BAO_GIA'!G591, 0)</f>
        <v/>
      </c>
      <c r="K665" s="137">
        <f>'00_TONG_HOP_BAO_GIA'!Q591</f>
        <v/>
      </c>
      <c r="L665" s="137">
        <f>('00_TONG_HOP_BAO_GIA'!K591 + '00_TONG_HOP_BAO_GIA'!M591) * (1 + '00_TONG_HOP_BAO_GIA'!P591)</f>
        <v/>
      </c>
      <c r="M665" s="137">
        <f>'00_TONG_HOP_BAO_GIA'!L591 * (1 + '00_TONG_HOP_BAO_GIA'!P591)</f>
        <v/>
      </c>
      <c r="N665" s="137">
        <f>'00_TONG_HOP_BAO_GIA'!R591</f>
        <v/>
      </c>
      <c r="O665" s="139">
        <f>IF(K665=0, "CẢNH BÁO: Đơn giá = 0. Tra cứu lại Sheet 06!", '00_TONG_HOP_BAO_GIA'!S591)</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83" t="inlineStr">
        <is>
          <t>Bộ</t>
        </is>
      </c>
      <c r="H666" s="136" t="n">
        <v>21</v>
      </c>
      <c r="I666" s="136">
        <f>IF('00_TONG_HOP_BAO_GIA'!G592&gt;0, ('00_TONG_HOP_BAO_GIA'!K592 + '00_TONG_HOP_BAO_GIA'!M592) * (1 + '00_TONG_HOP_BAO_GIA'!P592) / '00_TONG_HOP_BAO_GIA'!G592, 0)</f>
        <v/>
      </c>
      <c r="J666" s="136">
        <f>IF('00_TONG_HOP_BAO_GIA'!G592&gt;0, '00_TONG_HOP_BAO_GIA'!L592 * (1 + '00_TONG_HOP_BAO_GIA'!P592) / '00_TONG_HOP_BAO_GIA'!G592, 0)</f>
        <v/>
      </c>
      <c r="K666" s="137">
        <f>'00_TONG_HOP_BAO_GIA'!Q592</f>
        <v/>
      </c>
      <c r="L666" s="137">
        <f>('00_TONG_HOP_BAO_GIA'!K592 + '00_TONG_HOP_BAO_GIA'!M592) * (1 + '00_TONG_HOP_BAO_GIA'!P592)</f>
        <v/>
      </c>
      <c r="M666" s="137">
        <f>'00_TONG_HOP_BAO_GIA'!L592 * (1 + '00_TONG_HOP_BAO_GIA'!P592)</f>
        <v/>
      </c>
      <c r="N666" s="137">
        <f>'00_TONG_HOP_BAO_GIA'!R592</f>
        <v/>
      </c>
      <c r="O666" s="139">
        <f>IF(K666=0, "CẢNH BÁO: Đơn giá = 0. Tra cứu lại Sheet 06!", '00_TONG_HOP_BAO_GIA'!S592)</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83" t="inlineStr">
        <is>
          <t>Bộ</t>
        </is>
      </c>
      <c r="H667" s="136" t="n">
        <v>40</v>
      </c>
      <c r="I667" s="136">
        <f>IF('00_TONG_HOP_BAO_GIA'!G593&gt;0, ('00_TONG_HOP_BAO_GIA'!K593 + '00_TONG_HOP_BAO_GIA'!M593) * (1 + '00_TONG_HOP_BAO_GIA'!P593) / '00_TONG_HOP_BAO_GIA'!G593, 0)</f>
        <v/>
      </c>
      <c r="J667" s="136">
        <f>IF('00_TONG_HOP_BAO_GIA'!G593&gt;0, '00_TONG_HOP_BAO_GIA'!L593 * (1 + '00_TONG_HOP_BAO_GIA'!P593) / '00_TONG_HOP_BAO_GIA'!G593, 0)</f>
        <v/>
      </c>
      <c r="K667" s="137">
        <f>'00_TONG_HOP_BAO_GIA'!Q593</f>
        <v/>
      </c>
      <c r="L667" s="137">
        <f>('00_TONG_HOP_BAO_GIA'!K593 + '00_TONG_HOP_BAO_GIA'!M593) * (1 + '00_TONG_HOP_BAO_GIA'!P593)</f>
        <v/>
      </c>
      <c r="M667" s="137">
        <f>'00_TONG_HOP_BAO_GIA'!L593 * (1 + '00_TONG_HOP_BAO_GIA'!P593)</f>
        <v/>
      </c>
      <c r="N667" s="137">
        <f>'00_TONG_HOP_BAO_GIA'!R593</f>
        <v/>
      </c>
      <c r="O667" s="139">
        <f>IF(K667=0, "CẢNH BÁO: Đơn giá = 0. Tra cứu lại Sheet 06!", '00_TONG_HOP_BAO_GIA'!S593)</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83" t="inlineStr">
        <is>
          <t>Bộ</t>
        </is>
      </c>
      <c r="H668" s="136" t="n">
        <v>12</v>
      </c>
      <c r="I668" s="136">
        <f>IF('00_TONG_HOP_BAO_GIA'!G594&gt;0, ('00_TONG_HOP_BAO_GIA'!K594 + '00_TONG_HOP_BAO_GIA'!M594) * (1 + '00_TONG_HOP_BAO_GIA'!P594) / '00_TONG_HOP_BAO_GIA'!G594, 0)</f>
        <v/>
      </c>
      <c r="J668" s="136">
        <f>IF('00_TONG_HOP_BAO_GIA'!G594&gt;0, '00_TONG_HOP_BAO_GIA'!L594 * (1 + '00_TONG_HOP_BAO_GIA'!P594) / '00_TONG_HOP_BAO_GIA'!G594, 0)</f>
        <v/>
      </c>
      <c r="K668" s="137">
        <f>'00_TONG_HOP_BAO_GIA'!Q594</f>
        <v/>
      </c>
      <c r="L668" s="137">
        <f>('00_TONG_HOP_BAO_GIA'!K594 + '00_TONG_HOP_BAO_GIA'!M594) * (1 + '00_TONG_HOP_BAO_GIA'!P594)</f>
        <v/>
      </c>
      <c r="M668" s="137">
        <f>'00_TONG_HOP_BAO_GIA'!L594 * (1 + '00_TONG_HOP_BAO_GIA'!P594)</f>
        <v/>
      </c>
      <c r="N668" s="137">
        <f>'00_TONG_HOP_BAO_GIA'!R594</f>
        <v/>
      </c>
      <c r="O668" s="139">
        <f>IF(K668=0, "CẢNH BÁO: Đơn giá = 0. Tra cứu lại Sheet 06!", '00_TONG_HOP_BAO_GIA'!S594)</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83" t="inlineStr">
        <is>
          <t>Bộ</t>
        </is>
      </c>
      <c r="H669" s="136" t="n">
        <v>12</v>
      </c>
      <c r="I669" s="136">
        <f>IF('00_TONG_HOP_BAO_GIA'!G595&gt;0, ('00_TONG_HOP_BAO_GIA'!K595 + '00_TONG_HOP_BAO_GIA'!M595) * (1 + '00_TONG_HOP_BAO_GIA'!P595) / '00_TONG_HOP_BAO_GIA'!G595, 0)</f>
        <v/>
      </c>
      <c r="J669" s="136">
        <f>IF('00_TONG_HOP_BAO_GIA'!G595&gt;0, '00_TONG_HOP_BAO_GIA'!L595 * (1 + '00_TONG_HOP_BAO_GIA'!P595) / '00_TONG_HOP_BAO_GIA'!G595, 0)</f>
        <v/>
      </c>
      <c r="K669" s="137">
        <f>'00_TONG_HOP_BAO_GIA'!Q595</f>
        <v/>
      </c>
      <c r="L669" s="137">
        <f>('00_TONG_HOP_BAO_GIA'!K595 + '00_TONG_HOP_BAO_GIA'!M595) * (1 + '00_TONG_HOP_BAO_GIA'!P595)</f>
        <v/>
      </c>
      <c r="M669" s="137">
        <f>'00_TONG_HOP_BAO_GIA'!L595 * (1 + '00_TONG_HOP_BAO_GIA'!P595)</f>
        <v/>
      </c>
      <c r="N669" s="137">
        <f>'00_TONG_HOP_BAO_GIA'!R595</f>
        <v/>
      </c>
      <c r="O669" s="139">
        <f>IF(K669=0, "CẢNH BÁO: Đơn giá = 0. Tra cứu lại Sheet 06!", '00_TONG_HOP_BAO_GIA'!S595)</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83" t="inlineStr">
        <is>
          <t>Bộ</t>
        </is>
      </c>
      <c r="H670" s="136" t="n">
        <v>14</v>
      </c>
      <c r="I670" s="136">
        <f>IF('00_TONG_HOP_BAO_GIA'!G596&gt;0, ('00_TONG_HOP_BAO_GIA'!K596 + '00_TONG_HOP_BAO_GIA'!M596) * (1 + '00_TONG_HOP_BAO_GIA'!P596) / '00_TONG_HOP_BAO_GIA'!G596, 0)</f>
        <v/>
      </c>
      <c r="J670" s="136">
        <f>IF('00_TONG_HOP_BAO_GIA'!G596&gt;0, '00_TONG_HOP_BAO_GIA'!L596 * (1 + '00_TONG_HOP_BAO_GIA'!P596) / '00_TONG_HOP_BAO_GIA'!G596, 0)</f>
        <v/>
      </c>
      <c r="K670" s="137">
        <f>'00_TONG_HOP_BAO_GIA'!Q596</f>
        <v/>
      </c>
      <c r="L670" s="137">
        <f>('00_TONG_HOP_BAO_GIA'!K596 + '00_TONG_HOP_BAO_GIA'!M596) * (1 + '00_TONG_HOP_BAO_GIA'!P596)</f>
        <v/>
      </c>
      <c r="M670" s="137">
        <f>'00_TONG_HOP_BAO_GIA'!L596 * (1 + '00_TONG_HOP_BAO_GIA'!P596)</f>
        <v/>
      </c>
      <c r="N670" s="137">
        <f>'00_TONG_HOP_BAO_GIA'!R596</f>
        <v/>
      </c>
      <c r="O670" s="139">
        <f>IF(K670=0, "CẢNH BÁO: Đơn giá = 0. Tra cứu lại Sheet 06!", '00_TONG_HOP_BAO_GIA'!S596)</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83" t="inlineStr">
        <is>
          <t>Bộ</t>
        </is>
      </c>
      <c r="H671" s="136" t="n">
        <v>10</v>
      </c>
      <c r="I671" s="136">
        <f>IF('00_TONG_HOP_BAO_GIA'!G597&gt;0, ('00_TONG_HOP_BAO_GIA'!K597 + '00_TONG_HOP_BAO_GIA'!M597) * (1 + '00_TONG_HOP_BAO_GIA'!P597) / '00_TONG_HOP_BAO_GIA'!G597, 0)</f>
        <v/>
      </c>
      <c r="J671" s="136">
        <f>IF('00_TONG_HOP_BAO_GIA'!G597&gt;0, '00_TONG_HOP_BAO_GIA'!L597 * (1 + '00_TONG_HOP_BAO_GIA'!P597) / '00_TONG_HOP_BAO_GIA'!G597, 0)</f>
        <v/>
      </c>
      <c r="K671" s="137">
        <f>'00_TONG_HOP_BAO_GIA'!Q597</f>
        <v/>
      </c>
      <c r="L671" s="137">
        <f>('00_TONG_HOP_BAO_GIA'!K597 + '00_TONG_HOP_BAO_GIA'!M597) * (1 + '00_TONG_HOP_BAO_GIA'!P597)</f>
        <v/>
      </c>
      <c r="M671" s="137">
        <f>'00_TONG_HOP_BAO_GIA'!L597 * (1 + '00_TONG_HOP_BAO_GIA'!P597)</f>
        <v/>
      </c>
      <c r="N671" s="137">
        <f>'00_TONG_HOP_BAO_GIA'!R597</f>
        <v/>
      </c>
      <c r="O671" s="139">
        <f>IF(K671=0, "CẢNH BÁO: Đơn giá = 0. Tra cứu lại Sheet 06!", '00_TONG_HOP_BAO_GIA'!S597)</f>
        <v/>
      </c>
    </row>
    <row r="672" outlineLevel="1" ht="66" customHeight="1">
      <c r="A672" s="141" t="n"/>
      <c r="B672" s="139" t="inlineStr">
        <is>
          <t>Miệng gió cấp,hồi cho máy lạnh</t>
        </is>
      </c>
      <c r="C672" s="134" t="n"/>
      <c r="D672" s="134" t="n"/>
      <c r="E672" s="134" t="n"/>
      <c r="F672" s="329" t="inlineStr">
        <is>
          <t>M</t>
        </is>
      </c>
      <c r="G672" s="383"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83" t="inlineStr">
        <is>
          <t>Bộ</t>
        </is>
      </c>
      <c r="H673" s="136" t="n">
        <v>291</v>
      </c>
      <c r="I673" s="136">
        <f>IF('00_TONG_HOP_BAO_GIA'!G598&gt;0, ('00_TONG_HOP_BAO_GIA'!K598 + '00_TONG_HOP_BAO_GIA'!M598) * (1 + '00_TONG_HOP_BAO_GIA'!P598) / '00_TONG_HOP_BAO_GIA'!G598, 0)</f>
        <v/>
      </c>
      <c r="J673" s="136">
        <f>IF('00_TONG_HOP_BAO_GIA'!G598&gt;0, '00_TONG_HOP_BAO_GIA'!L598 * (1 + '00_TONG_HOP_BAO_GIA'!P598) / '00_TONG_HOP_BAO_GIA'!G598, 0)</f>
        <v/>
      </c>
      <c r="K673" s="137">
        <f>'00_TONG_HOP_BAO_GIA'!Q598</f>
        <v/>
      </c>
      <c r="L673" s="137">
        <f>('00_TONG_HOP_BAO_GIA'!K598 + '00_TONG_HOP_BAO_GIA'!M598) * (1 + '00_TONG_HOP_BAO_GIA'!P598)</f>
        <v/>
      </c>
      <c r="M673" s="137">
        <f>'00_TONG_HOP_BAO_GIA'!L598 * (1 + '00_TONG_HOP_BAO_GIA'!P598)</f>
        <v/>
      </c>
      <c r="N673" s="137">
        <f>'00_TONG_HOP_BAO_GIA'!R598</f>
        <v/>
      </c>
      <c r="O673" s="139">
        <f>IF(K673=0, "CẢNH BÁO: Đơn giá = 0. Tra cứu lại Sheet 06!", '00_TONG_HOP_BAO_GIA'!S598)</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83" t="inlineStr">
        <is>
          <t>Bộ</t>
        </is>
      </c>
      <c r="H674" s="136" t="n">
        <v>38</v>
      </c>
      <c r="I674" s="136">
        <f>IF('00_TONG_HOP_BAO_GIA'!G599&gt;0, ('00_TONG_HOP_BAO_GIA'!K599 + '00_TONG_HOP_BAO_GIA'!M599) * (1 + '00_TONG_HOP_BAO_GIA'!P599) / '00_TONG_HOP_BAO_GIA'!G599, 0)</f>
        <v/>
      </c>
      <c r="J674" s="136">
        <f>IF('00_TONG_HOP_BAO_GIA'!G599&gt;0, '00_TONG_HOP_BAO_GIA'!L599 * (1 + '00_TONG_HOP_BAO_GIA'!P599) / '00_TONG_HOP_BAO_GIA'!G599, 0)</f>
        <v/>
      </c>
      <c r="K674" s="137">
        <f>'00_TONG_HOP_BAO_GIA'!Q599</f>
        <v/>
      </c>
      <c r="L674" s="137">
        <f>('00_TONG_HOP_BAO_GIA'!K599 + '00_TONG_HOP_BAO_GIA'!M599) * (1 + '00_TONG_HOP_BAO_GIA'!P599)</f>
        <v/>
      </c>
      <c r="M674" s="137">
        <f>'00_TONG_HOP_BAO_GIA'!L599 * (1 + '00_TONG_HOP_BAO_GIA'!P599)</f>
        <v/>
      </c>
      <c r="N674" s="137">
        <f>'00_TONG_HOP_BAO_GIA'!R599</f>
        <v/>
      </c>
      <c r="O674" s="139">
        <f>IF(K674=0, "CẢNH BÁO: Đơn giá = 0. Tra cứu lại Sheet 06!", '00_TONG_HOP_BAO_GIA'!S599)</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83" t="inlineStr">
        <is>
          <t>Bộ</t>
        </is>
      </c>
      <c r="H675" s="136" t="n">
        <v>46</v>
      </c>
      <c r="I675" s="136">
        <f>IF('00_TONG_HOP_BAO_GIA'!G600&gt;0, ('00_TONG_HOP_BAO_GIA'!K600 + '00_TONG_HOP_BAO_GIA'!M600) * (1 + '00_TONG_HOP_BAO_GIA'!P600) / '00_TONG_HOP_BAO_GIA'!G600, 0)</f>
        <v/>
      </c>
      <c r="J675" s="136">
        <f>IF('00_TONG_HOP_BAO_GIA'!G600&gt;0, '00_TONG_HOP_BAO_GIA'!L600 * (1 + '00_TONG_HOP_BAO_GIA'!P600) / '00_TONG_HOP_BAO_GIA'!G600, 0)</f>
        <v/>
      </c>
      <c r="K675" s="137">
        <f>'00_TONG_HOP_BAO_GIA'!Q600</f>
        <v/>
      </c>
      <c r="L675" s="137">
        <f>('00_TONG_HOP_BAO_GIA'!K600 + '00_TONG_HOP_BAO_GIA'!M600) * (1 + '00_TONG_HOP_BAO_GIA'!P600)</f>
        <v/>
      </c>
      <c r="M675" s="137">
        <f>'00_TONG_HOP_BAO_GIA'!L600 * (1 + '00_TONG_HOP_BAO_GIA'!P600)</f>
        <v/>
      </c>
      <c r="N675" s="137">
        <f>'00_TONG_HOP_BAO_GIA'!R600</f>
        <v/>
      </c>
      <c r="O675" s="139">
        <f>IF(K675=0, "CẢNH BÁO: Đơn giá = 0. Tra cứu lại Sheet 06!", '00_TONG_HOP_BAO_GIA'!S600)</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83" t="inlineStr">
        <is>
          <t>Bộ</t>
        </is>
      </c>
      <c r="H676" s="136" t="n">
        <v>148</v>
      </c>
      <c r="I676" s="136">
        <f>IF('00_TONG_HOP_BAO_GIA'!G601&gt;0, ('00_TONG_HOP_BAO_GIA'!K601 + '00_TONG_HOP_BAO_GIA'!M601) * (1 + '00_TONG_HOP_BAO_GIA'!P601) / '00_TONG_HOP_BAO_GIA'!G601, 0)</f>
        <v/>
      </c>
      <c r="J676" s="136">
        <f>IF('00_TONG_HOP_BAO_GIA'!G601&gt;0, '00_TONG_HOP_BAO_GIA'!L601 * (1 + '00_TONG_HOP_BAO_GIA'!P601) / '00_TONG_HOP_BAO_GIA'!G601, 0)</f>
        <v/>
      </c>
      <c r="K676" s="137">
        <f>'00_TONG_HOP_BAO_GIA'!Q601</f>
        <v/>
      </c>
      <c r="L676" s="137">
        <f>('00_TONG_HOP_BAO_GIA'!K601 + '00_TONG_HOP_BAO_GIA'!M601) * (1 + '00_TONG_HOP_BAO_GIA'!P601)</f>
        <v/>
      </c>
      <c r="M676" s="137">
        <f>'00_TONG_HOP_BAO_GIA'!L601 * (1 + '00_TONG_HOP_BAO_GIA'!P601)</f>
        <v/>
      </c>
      <c r="N676" s="137">
        <f>'00_TONG_HOP_BAO_GIA'!R601</f>
        <v/>
      </c>
      <c r="O676" s="139">
        <f>IF(K676=0, "CẢNH BÁO: Đơn giá = 0. Tra cứu lại Sheet 06!", '00_TONG_HOP_BAO_GIA'!S601)</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83" t="inlineStr">
        <is>
          <t>Bộ</t>
        </is>
      </c>
      <c r="H677" s="136" t="n">
        <v>12</v>
      </c>
      <c r="I677" s="136">
        <f>IF('00_TONG_HOP_BAO_GIA'!G602&gt;0, ('00_TONG_HOP_BAO_GIA'!K602 + '00_TONG_HOP_BAO_GIA'!M602) * (1 + '00_TONG_HOP_BAO_GIA'!P602) / '00_TONG_HOP_BAO_GIA'!G602, 0)</f>
        <v/>
      </c>
      <c r="J677" s="136">
        <f>IF('00_TONG_HOP_BAO_GIA'!G602&gt;0, '00_TONG_HOP_BAO_GIA'!L602 * (1 + '00_TONG_HOP_BAO_GIA'!P602) / '00_TONG_HOP_BAO_GIA'!G602, 0)</f>
        <v/>
      </c>
      <c r="K677" s="137">
        <f>'00_TONG_HOP_BAO_GIA'!Q602</f>
        <v/>
      </c>
      <c r="L677" s="137">
        <f>('00_TONG_HOP_BAO_GIA'!K602 + '00_TONG_HOP_BAO_GIA'!M602) * (1 + '00_TONG_HOP_BAO_GIA'!P602)</f>
        <v/>
      </c>
      <c r="M677" s="137">
        <f>'00_TONG_HOP_BAO_GIA'!L602 * (1 + '00_TONG_HOP_BAO_GIA'!P602)</f>
        <v/>
      </c>
      <c r="N677" s="137">
        <f>'00_TONG_HOP_BAO_GIA'!R602</f>
        <v/>
      </c>
      <c r="O677" s="139">
        <f>IF(K677=0, "CẢNH BÁO: Đơn giá = 0. Tra cứu lại Sheet 06!", '00_TONG_HOP_BAO_GIA'!S602)</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83" t="inlineStr">
        <is>
          <t>Bộ</t>
        </is>
      </c>
      <c r="H678" s="136" t="n">
        <v>12</v>
      </c>
      <c r="I678" s="136">
        <f>IF('00_TONG_HOP_BAO_GIA'!G603&gt;0, ('00_TONG_HOP_BAO_GIA'!K603 + '00_TONG_HOP_BAO_GIA'!M603) * (1 + '00_TONG_HOP_BAO_GIA'!P603) / '00_TONG_HOP_BAO_GIA'!G603, 0)</f>
        <v/>
      </c>
      <c r="J678" s="136">
        <f>IF('00_TONG_HOP_BAO_GIA'!G603&gt;0, '00_TONG_HOP_BAO_GIA'!L603 * (1 + '00_TONG_HOP_BAO_GIA'!P603) / '00_TONG_HOP_BAO_GIA'!G603, 0)</f>
        <v/>
      </c>
      <c r="K678" s="137">
        <f>'00_TONG_HOP_BAO_GIA'!Q603</f>
        <v/>
      </c>
      <c r="L678" s="137">
        <f>('00_TONG_HOP_BAO_GIA'!K603 + '00_TONG_HOP_BAO_GIA'!M603) * (1 + '00_TONG_HOP_BAO_GIA'!P603)</f>
        <v/>
      </c>
      <c r="M678" s="137">
        <f>'00_TONG_HOP_BAO_GIA'!L603 * (1 + '00_TONG_HOP_BAO_GIA'!P603)</f>
        <v/>
      </c>
      <c r="N678" s="137">
        <f>'00_TONG_HOP_BAO_GIA'!R603</f>
        <v/>
      </c>
      <c r="O678" s="139">
        <f>IF(K678=0, "CẢNH BÁO: Đơn giá = 0. Tra cứu lại Sheet 06!", '00_TONG_HOP_BAO_GIA'!S603)</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83" t="inlineStr">
        <is>
          <t>Bộ</t>
        </is>
      </c>
      <c r="H679" s="136" t="n">
        <v>20</v>
      </c>
      <c r="I679" s="136">
        <f>IF('00_TONG_HOP_BAO_GIA'!G604&gt;0, ('00_TONG_HOP_BAO_GIA'!K604 + '00_TONG_HOP_BAO_GIA'!M604) * (1 + '00_TONG_HOP_BAO_GIA'!P604) / '00_TONG_HOP_BAO_GIA'!G604, 0)</f>
        <v/>
      </c>
      <c r="J679" s="136">
        <f>IF('00_TONG_HOP_BAO_GIA'!G604&gt;0, '00_TONG_HOP_BAO_GIA'!L604 * (1 + '00_TONG_HOP_BAO_GIA'!P604) / '00_TONG_HOP_BAO_GIA'!G604, 0)</f>
        <v/>
      </c>
      <c r="K679" s="137">
        <f>'00_TONG_HOP_BAO_GIA'!Q604</f>
        <v/>
      </c>
      <c r="L679" s="137">
        <f>('00_TONG_HOP_BAO_GIA'!K604 + '00_TONG_HOP_BAO_GIA'!M604) * (1 + '00_TONG_HOP_BAO_GIA'!P604)</f>
        <v/>
      </c>
      <c r="M679" s="137">
        <f>'00_TONG_HOP_BAO_GIA'!L604 * (1 + '00_TONG_HOP_BAO_GIA'!P604)</f>
        <v/>
      </c>
      <c r="N679" s="137">
        <f>'00_TONG_HOP_BAO_GIA'!R604</f>
        <v/>
      </c>
      <c r="O679" s="139">
        <f>IF(K679=0, "CẢNH BÁO: Đơn giá = 0. Tra cứu lại Sheet 06!", '00_TONG_HOP_BAO_GIA'!S604)</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83" t="inlineStr">
        <is>
          <t>Bộ</t>
        </is>
      </c>
      <c r="H680" s="136" t="n">
        <v>9</v>
      </c>
      <c r="I680" s="136">
        <f>IF('00_TONG_HOP_BAO_GIA'!G605&gt;0, ('00_TONG_HOP_BAO_GIA'!K605 + '00_TONG_HOP_BAO_GIA'!M605) * (1 + '00_TONG_HOP_BAO_GIA'!P605) / '00_TONG_HOP_BAO_GIA'!G605, 0)</f>
        <v/>
      </c>
      <c r="J680" s="136">
        <f>IF('00_TONG_HOP_BAO_GIA'!G605&gt;0, '00_TONG_HOP_BAO_GIA'!L605 * (1 + '00_TONG_HOP_BAO_GIA'!P605) / '00_TONG_HOP_BAO_GIA'!G605, 0)</f>
        <v/>
      </c>
      <c r="K680" s="137">
        <f>'00_TONG_HOP_BAO_GIA'!Q605</f>
        <v/>
      </c>
      <c r="L680" s="137">
        <f>('00_TONG_HOP_BAO_GIA'!K605 + '00_TONG_HOP_BAO_GIA'!M605) * (1 + '00_TONG_HOP_BAO_GIA'!P605)</f>
        <v/>
      </c>
      <c r="M680" s="137">
        <f>'00_TONG_HOP_BAO_GIA'!L605 * (1 + '00_TONG_HOP_BAO_GIA'!P605)</f>
        <v/>
      </c>
      <c r="N680" s="137">
        <f>'00_TONG_HOP_BAO_GIA'!R605</f>
        <v/>
      </c>
      <c r="O680" s="139">
        <f>IF(K680=0, "CẢNH BÁO: Đơn giá = 0. Tra cứu lại Sheet 06!", '00_TONG_HOP_BAO_GIA'!S605)</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83" t="inlineStr">
        <is>
          <t>Bộ</t>
        </is>
      </c>
      <c r="H681" s="136" t="n">
        <v>6</v>
      </c>
      <c r="I681" s="136">
        <f>IF('00_TONG_HOP_BAO_GIA'!G606&gt;0, ('00_TONG_HOP_BAO_GIA'!K606 + '00_TONG_HOP_BAO_GIA'!M606) * (1 + '00_TONG_HOP_BAO_GIA'!P606) / '00_TONG_HOP_BAO_GIA'!G606, 0)</f>
        <v/>
      </c>
      <c r="J681" s="136">
        <f>IF('00_TONG_HOP_BAO_GIA'!G606&gt;0, '00_TONG_HOP_BAO_GIA'!L606 * (1 + '00_TONG_HOP_BAO_GIA'!P606) / '00_TONG_HOP_BAO_GIA'!G606, 0)</f>
        <v/>
      </c>
      <c r="K681" s="137">
        <f>'00_TONG_HOP_BAO_GIA'!Q606</f>
        <v/>
      </c>
      <c r="L681" s="137">
        <f>('00_TONG_HOP_BAO_GIA'!K606 + '00_TONG_HOP_BAO_GIA'!M606) * (1 + '00_TONG_HOP_BAO_GIA'!P606)</f>
        <v/>
      </c>
      <c r="M681" s="137">
        <f>'00_TONG_HOP_BAO_GIA'!L606 * (1 + '00_TONG_HOP_BAO_GIA'!P606)</f>
        <v/>
      </c>
      <c r="N681" s="137">
        <f>'00_TONG_HOP_BAO_GIA'!R606</f>
        <v/>
      </c>
      <c r="O681" s="139">
        <f>IF(K681=0, "CẢNH BÁO: Đơn giá = 0. Tra cứu lại Sheet 06!", '00_TONG_HOP_BAO_GIA'!S606)</f>
        <v/>
      </c>
    </row>
    <row r="682" outlineLevel="1" ht="24.6" customFormat="1" customHeight="1" s="146">
      <c r="A682" s="141">
        <f>SUBTOTAL(3,$G$7:G682)</f>
        <v/>
      </c>
      <c r="B682" s="139" t="inlineStr">
        <is>
          <t>Vật tư phụ, phụ kiện</t>
        </is>
      </c>
      <c r="C682" s="134" t="n"/>
      <c r="D682" s="134" t="n"/>
      <c r="E682" s="134" t="n"/>
      <c r="F682" s="329" t="n"/>
      <c r="G682" s="383" t="inlineStr">
        <is>
          <t>Lô</t>
        </is>
      </c>
      <c r="H682" s="136" t="n">
        <v>1</v>
      </c>
      <c r="I682" s="136">
        <f>IF('00_TONG_HOP_BAO_GIA'!G607&gt;0, ('00_TONG_HOP_BAO_GIA'!K607 + '00_TONG_HOP_BAO_GIA'!M607) * (1 + '00_TONG_HOP_BAO_GIA'!P607) / '00_TONG_HOP_BAO_GIA'!G607, 0)</f>
        <v/>
      </c>
      <c r="J682" s="136">
        <f>IF('00_TONG_HOP_BAO_GIA'!G607&gt;0, '00_TONG_HOP_BAO_GIA'!L607 * (1 + '00_TONG_HOP_BAO_GIA'!P607) / '00_TONG_HOP_BAO_GIA'!G607, 0)</f>
        <v/>
      </c>
      <c r="K682" s="137">
        <f>'00_TONG_HOP_BAO_GIA'!Q607</f>
        <v/>
      </c>
      <c r="L682" s="137">
        <f>('00_TONG_HOP_BAO_GIA'!K607 + '00_TONG_HOP_BAO_GIA'!M607) * (1 + '00_TONG_HOP_BAO_GIA'!P607)</f>
        <v/>
      </c>
      <c r="M682" s="137">
        <f>'00_TONG_HOP_BAO_GIA'!L607 * (1 + '00_TONG_HOP_BAO_GIA'!P607)</f>
        <v/>
      </c>
      <c r="N682" s="137">
        <f>'00_TONG_HOP_BAO_GIA'!R607</f>
        <v/>
      </c>
      <c r="O682" s="142">
        <f>IF(K682=0, "CẢNH BÁO: Đơn giá = 0. Tra cứu lại Sheet 06!", '00_TONG_HOP_BAO_GIA'!S607)</f>
        <v/>
      </c>
    </row>
    <row r="683" outlineLevel="1" ht="24" customFormat="1" customHeight="1" s="146">
      <c r="A683" s="141" t="n"/>
      <c r="B683" s="140" t="inlineStr">
        <is>
          <t>ỐNG GIÓ LẠNH, BOX MIỆNG GIÓ</t>
        </is>
      </c>
      <c r="C683" s="134" t="n"/>
      <c r="D683" s="134" t="n"/>
      <c r="E683" s="134" t="n"/>
      <c r="F683" s="329" t="inlineStr">
        <is>
          <t>M</t>
        </is>
      </c>
      <c r="G683" s="383"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83" t="inlineStr">
        <is>
          <t>m2</t>
        </is>
      </c>
      <c r="H684" s="136" t="n">
        <v>1124.6</v>
      </c>
      <c r="I684" s="136">
        <f>IF('00_TONG_HOP_BAO_GIA'!G608&gt;0, ('00_TONG_HOP_BAO_GIA'!K608 + '00_TONG_HOP_BAO_GIA'!M608) * (1 + '00_TONG_HOP_BAO_GIA'!P608) / '00_TONG_HOP_BAO_GIA'!G608, 0)</f>
        <v/>
      </c>
      <c r="J684" s="136">
        <f>IF('00_TONG_HOP_BAO_GIA'!G608&gt;0, '00_TONG_HOP_BAO_GIA'!L608 * (1 + '00_TONG_HOP_BAO_GIA'!P608) / '00_TONG_HOP_BAO_GIA'!G608, 0)</f>
        <v/>
      </c>
      <c r="K684" s="137">
        <f>'00_TONG_HOP_BAO_GIA'!Q608</f>
        <v/>
      </c>
      <c r="L684" s="137">
        <f>('00_TONG_HOP_BAO_GIA'!K608 + '00_TONG_HOP_BAO_GIA'!M608) * (1 + '00_TONG_HOP_BAO_GIA'!P608)</f>
        <v/>
      </c>
      <c r="M684" s="137">
        <f>'00_TONG_HOP_BAO_GIA'!L608 * (1 + '00_TONG_HOP_BAO_GIA'!P608)</f>
        <v/>
      </c>
      <c r="N684" s="137">
        <f>'00_TONG_HOP_BAO_GIA'!R608</f>
        <v/>
      </c>
      <c r="O684" s="139">
        <f>IF(K684=0, "CẢNH BÁO: Đơn giá = 0. Tra cứu lại Sheet 06!", '00_TONG_HOP_BAO_GIA'!S608)</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83" t="inlineStr">
        <is>
          <t>m2</t>
        </is>
      </c>
      <c r="H685" s="136" t="n">
        <v>1124.6</v>
      </c>
      <c r="I685" s="136">
        <f>IF('00_TONG_HOP_BAO_GIA'!G609&gt;0, ('00_TONG_HOP_BAO_GIA'!K609 + '00_TONG_HOP_BAO_GIA'!M609) * (1 + '00_TONG_HOP_BAO_GIA'!P609) / '00_TONG_HOP_BAO_GIA'!G609, 0)</f>
        <v/>
      </c>
      <c r="J685" s="136">
        <f>IF('00_TONG_HOP_BAO_GIA'!G609&gt;0, '00_TONG_HOP_BAO_GIA'!L609 * (1 + '00_TONG_HOP_BAO_GIA'!P609) / '00_TONG_HOP_BAO_GIA'!G609, 0)</f>
        <v/>
      </c>
      <c r="K685" s="137">
        <f>'00_TONG_HOP_BAO_GIA'!Q609</f>
        <v/>
      </c>
      <c r="L685" s="137">
        <f>('00_TONG_HOP_BAO_GIA'!K609 + '00_TONG_HOP_BAO_GIA'!M609) * (1 + '00_TONG_HOP_BAO_GIA'!P609)</f>
        <v/>
      </c>
      <c r="M685" s="137">
        <f>'00_TONG_HOP_BAO_GIA'!L609 * (1 + '00_TONG_HOP_BAO_GIA'!P609)</f>
        <v/>
      </c>
      <c r="N685" s="137">
        <f>'00_TONG_HOP_BAO_GIA'!R609</f>
        <v/>
      </c>
      <c r="O685" s="139">
        <f>IF(K685=0, "CẢNH BÁO: Đơn giá = 0. Tra cứu lại Sheet 06!", '00_TONG_HOP_BAO_GIA'!S609)</f>
        <v/>
      </c>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83" t="inlineStr">
        <is>
          <t>m</t>
        </is>
      </c>
      <c r="H686" s="136" t="n">
        <v>60</v>
      </c>
      <c r="I686" s="136">
        <f>IF('00_TONG_HOP_BAO_GIA'!G610&gt;0, ('00_TONG_HOP_BAO_GIA'!K610 + '00_TONG_HOP_BAO_GIA'!M610) * (1 + '00_TONG_HOP_BAO_GIA'!P610) / '00_TONG_HOP_BAO_GIA'!G610, 0)</f>
        <v/>
      </c>
      <c r="J686" s="136">
        <f>IF('00_TONG_HOP_BAO_GIA'!G610&gt;0, '00_TONG_HOP_BAO_GIA'!L610 * (1 + '00_TONG_HOP_BAO_GIA'!P610) / '00_TONG_HOP_BAO_GIA'!G610, 0)</f>
        <v/>
      </c>
      <c r="K686" s="137">
        <f>'00_TONG_HOP_BAO_GIA'!Q610</f>
        <v/>
      </c>
      <c r="L686" s="137">
        <f>('00_TONG_HOP_BAO_GIA'!K610 + '00_TONG_HOP_BAO_GIA'!M610) * (1 + '00_TONG_HOP_BAO_GIA'!P610)</f>
        <v/>
      </c>
      <c r="M686" s="137">
        <f>'00_TONG_HOP_BAO_GIA'!L610 * (1 + '00_TONG_HOP_BAO_GIA'!P610)</f>
        <v/>
      </c>
      <c r="N686" s="137">
        <f>'00_TONG_HOP_BAO_GIA'!R610</f>
        <v/>
      </c>
      <c r="O686" s="139">
        <f>IF(K686=0, "CẢNH BÁO: Đơn giá = 0. Tra cứu lại Sheet 06!", '00_TONG_HOP_BAO_GIA'!S610)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83" t="inlineStr">
        <is>
          <t>m</t>
        </is>
      </c>
      <c r="H687" s="136" t="n">
        <v>114</v>
      </c>
      <c r="I687" s="136">
        <f>IF('00_TONG_HOP_BAO_GIA'!G611&gt;0, ('00_TONG_HOP_BAO_GIA'!K611 + '00_TONG_HOP_BAO_GIA'!M611) * (1 + '00_TONG_HOP_BAO_GIA'!P611) / '00_TONG_HOP_BAO_GIA'!G611, 0)</f>
        <v/>
      </c>
      <c r="J687" s="136">
        <f>IF('00_TONG_HOP_BAO_GIA'!G611&gt;0, '00_TONG_HOP_BAO_GIA'!L611 * (1 + '00_TONG_HOP_BAO_GIA'!P611) / '00_TONG_HOP_BAO_GIA'!G611, 0)</f>
        <v/>
      </c>
      <c r="K687" s="137">
        <f>'00_TONG_HOP_BAO_GIA'!Q611</f>
        <v/>
      </c>
      <c r="L687" s="137">
        <f>('00_TONG_HOP_BAO_GIA'!K611 + '00_TONG_HOP_BAO_GIA'!M611) * (1 + '00_TONG_HOP_BAO_GIA'!P611)</f>
        <v/>
      </c>
      <c r="M687" s="137">
        <f>'00_TONG_HOP_BAO_GIA'!L611 * (1 + '00_TONG_HOP_BAO_GIA'!P611)</f>
        <v/>
      </c>
      <c r="N687" s="137">
        <f>'00_TONG_HOP_BAO_GIA'!R611</f>
        <v/>
      </c>
      <c r="O687" s="139">
        <f>IF(K687=0, "CẢNH BÁO: Đơn giá = 0. Tra cứu lại Sheet 06!", '00_TONG_HOP_BAO_GIA'!S611)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83" t="inlineStr">
        <is>
          <t>m</t>
        </is>
      </c>
      <c r="H688" s="136" t="n">
        <v>1204</v>
      </c>
      <c r="I688" s="136">
        <f>IF('00_TONG_HOP_BAO_GIA'!G612&gt;0, ('00_TONG_HOP_BAO_GIA'!K612 + '00_TONG_HOP_BAO_GIA'!M612) * (1 + '00_TONG_HOP_BAO_GIA'!P612) / '00_TONG_HOP_BAO_GIA'!G612, 0)</f>
        <v/>
      </c>
      <c r="J688" s="136">
        <f>IF('00_TONG_HOP_BAO_GIA'!G612&gt;0, '00_TONG_HOP_BAO_GIA'!L612 * (1 + '00_TONG_HOP_BAO_GIA'!P612) / '00_TONG_HOP_BAO_GIA'!G612, 0)</f>
        <v/>
      </c>
      <c r="K688" s="137">
        <f>'00_TONG_HOP_BAO_GIA'!Q612</f>
        <v/>
      </c>
      <c r="L688" s="137">
        <f>('00_TONG_HOP_BAO_GIA'!K612 + '00_TONG_HOP_BAO_GIA'!M612) * (1 + '00_TONG_HOP_BAO_GIA'!P612)</f>
        <v/>
      </c>
      <c r="M688" s="137">
        <f>'00_TONG_HOP_BAO_GIA'!L612 * (1 + '00_TONG_HOP_BAO_GIA'!P612)</f>
        <v/>
      </c>
      <c r="N688" s="137">
        <f>'00_TONG_HOP_BAO_GIA'!R612</f>
        <v/>
      </c>
      <c r="O688" s="139">
        <f>IF(K688=0, "CẢNH BÁO: Đơn giá = 0. Tra cứu lại Sheet 06!", '00_TONG_HOP_BAO_GIA'!S612)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83" t="inlineStr">
        <is>
          <t>m</t>
        </is>
      </c>
      <c r="H689" s="136" t="n">
        <v>488</v>
      </c>
      <c r="I689" s="136">
        <f>IF('00_TONG_HOP_BAO_GIA'!G613&gt;0, ('00_TONG_HOP_BAO_GIA'!K613 + '00_TONG_HOP_BAO_GIA'!M613) * (1 + '00_TONG_HOP_BAO_GIA'!P613) / '00_TONG_HOP_BAO_GIA'!G613, 0)</f>
        <v/>
      </c>
      <c r="J689" s="136">
        <f>IF('00_TONG_HOP_BAO_GIA'!G613&gt;0, '00_TONG_HOP_BAO_GIA'!L613 * (1 + '00_TONG_HOP_BAO_GIA'!P613) / '00_TONG_HOP_BAO_GIA'!G613, 0)</f>
        <v/>
      </c>
      <c r="K689" s="137">
        <f>'00_TONG_HOP_BAO_GIA'!Q613</f>
        <v/>
      </c>
      <c r="L689" s="137">
        <f>('00_TONG_HOP_BAO_GIA'!K613 + '00_TONG_HOP_BAO_GIA'!M613) * (1 + '00_TONG_HOP_BAO_GIA'!P613)</f>
        <v/>
      </c>
      <c r="M689" s="137">
        <f>'00_TONG_HOP_BAO_GIA'!L613 * (1 + '00_TONG_HOP_BAO_GIA'!P613)</f>
        <v/>
      </c>
      <c r="N689" s="137">
        <f>'00_TONG_HOP_BAO_GIA'!R613</f>
        <v/>
      </c>
      <c r="O689" s="139">
        <f>IF(K689=0, "CẢNH BÁO: Đơn giá = 0. Tra cứu lại Sheet 06!", '00_TONG_HOP_BAO_GIA'!S613)</f>
        <v/>
      </c>
    </row>
    <row r="690" outlineLevel="1" ht="24.6" customFormat="1" customHeight="1" s="146">
      <c r="A690" s="141">
        <f>SUBTOTAL(3,$G$7:G690)</f>
        <v/>
      </c>
      <c r="B690" s="139" t="inlineStr">
        <is>
          <t>Vật tư phụ, phụ kiện</t>
        </is>
      </c>
      <c r="C690" s="134" t="n"/>
      <c r="D690" s="134" t="n"/>
      <c r="E690" s="134" t="n"/>
      <c r="F690" s="329" t="inlineStr">
        <is>
          <t>OGM</t>
        </is>
      </c>
      <c r="G690" s="383" t="inlineStr">
        <is>
          <t>Lô</t>
        </is>
      </c>
      <c r="H690" s="136" t="n">
        <v>1</v>
      </c>
      <c r="I690" s="136">
        <f>IF('00_TONG_HOP_BAO_GIA'!G614&gt;0, ('00_TONG_HOP_BAO_GIA'!K614 + '00_TONG_HOP_BAO_GIA'!M614) * (1 + '00_TONG_HOP_BAO_GIA'!P614) / '00_TONG_HOP_BAO_GIA'!G614, 0)</f>
        <v/>
      </c>
      <c r="J690" s="136">
        <f>IF('00_TONG_HOP_BAO_GIA'!G614&gt;0, '00_TONG_HOP_BAO_GIA'!L614 * (1 + '00_TONG_HOP_BAO_GIA'!P614) / '00_TONG_HOP_BAO_GIA'!G614, 0)</f>
        <v/>
      </c>
      <c r="K690" s="137">
        <f>'00_TONG_HOP_BAO_GIA'!Q614</f>
        <v/>
      </c>
      <c r="L690" s="137">
        <f>('00_TONG_HOP_BAO_GIA'!K614 + '00_TONG_HOP_BAO_GIA'!M614) * (1 + '00_TONG_HOP_BAO_GIA'!P614)</f>
        <v/>
      </c>
      <c r="M690" s="137">
        <f>'00_TONG_HOP_BAO_GIA'!L614 * (1 + '00_TONG_HOP_BAO_GIA'!P614)</f>
        <v/>
      </c>
      <c r="N690" s="137">
        <f>'00_TONG_HOP_BAO_GIA'!R614</f>
        <v/>
      </c>
      <c r="O690" s="142">
        <f>IF(K690=0, "CẢNH BÁO: Đơn giá = 0. Tra cứu lại Sheet 06!", '00_TONG_HOP_BAO_GIA'!S614)</f>
        <v/>
      </c>
    </row>
    <row r="691" outlineLevel="1">
      <c r="A691" s="141" t="n"/>
      <c r="B691" s="140" t="inlineStr">
        <is>
          <t>ỐNG ĐỒNG</t>
        </is>
      </c>
      <c r="C691" s="134" t="n"/>
      <c r="D691" s="134" t="n"/>
      <c r="E691" s="134" t="n"/>
      <c r="F691" s="329" t="inlineStr">
        <is>
          <t>M</t>
        </is>
      </c>
      <c r="G691" s="383"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83" t="inlineStr">
        <is>
          <t>m</t>
        </is>
      </c>
      <c r="H692" s="136" t="n">
        <v>1183</v>
      </c>
      <c r="I692" s="136">
        <f>IF('00_TONG_HOP_BAO_GIA'!G615&gt;0, ('00_TONG_HOP_BAO_GIA'!K615 + '00_TONG_HOP_BAO_GIA'!M615) * (1 + '00_TONG_HOP_BAO_GIA'!P615) / '00_TONG_HOP_BAO_GIA'!G615, 0)</f>
        <v/>
      </c>
      <c r="J692" s="136">
        <f>IF('00_TONG_HOP_BAO_GIA'!G615&gt;0, '00_TONG_HOP_BAO_GIA'!L615 * (1 + '00_TONG_HOP_BAO_GIA'!P615) / '00_TONG_HOP_BAO_GIA'!G615, 0)</f>
        <v/>
      </c>
      <c r="K692" s="137">
        <f>'00_TONG_HOP_BAO_GIA'!Q615</f>
        <v/>
      </c>
      <c r="L692" s="137">
        <f>('00_TONG_HOP_BAO_GIA'!K615 + '00_TONG_HOP_BAO_GIA'!M615) * (1 + '00_TONG_HOP_BAO_GIA'!P615)</f>
        <v/>
      </c>
      <c r="M692" s="137">
        <f>'00_TONG_HOP_BAO_GIA'!L615 * (1 + '00_TONG_HOP_BAO_GIA'!P615)</f>
        <v/>
      </c>
      <c r="N692" s="137">
        <f>'00_TONG_HOP_BAO_GIA'!R615</f>
        <v/>
      </c>
      <c r="O692" s="139">
        <f>IF(K692=0, "CẢNH BÁO: Đơn giá = 0. Tra cứu lại Sheet 06!", '00_TONG_HOP_BAO_GIA'!S615)</f>
        <v/>
      </c>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83" t="inlineStr">
        <is>
          <t>m</t>
        </is>
      </c>
      <c r="H693" s="136" t="n">
        <v>2300</v>
      </c>
      <c r="I693" s="136">
        <f>IF('00_TONG_HOP_BAO_GIA'!G616&gt;0, ('00_TONG_HOP_BAO_GIA'!K616 + '00_TONG_HOP_BAO_GIA'!M616) * (1 + '00_TONG_HOP_BAO_GIA'!P616) / '00_TONG_HOP_BAO_GIA'!G616, 0)</f>
        <v/>
      </c>
      <c r="J693" s="136">
        <f>IF('00_TONG_HOP_BAO_GIA'!G616&gt;0, '00_TONG_HOP_BAO_GIA'!L616 * (1 + '00_TONG_HOP_BAO_GIA'!P616) / '00_TONG_HOP_BAO_GIA'!G616, 0)</f>
        <v/>
      </c>
      <c r="K693" s="137">
        <f>'00_TONG_HOP_BAO_GIA'!Q616</f>
        <v/>
      </c>
      <c r="L693" s="137">
        <f>('00_TONG_HOP_BAO_GIA'!K616 + '00_TONG_HOP_BAO_GIA'!M616) * (1 + '00_TONG_HOP_BAO_GIA'!P616)</f>
        <v/>
      </c>
      <c r="M693" s="137">
        <f>'00_TONG_HOP_BAO_GIA'!L616 * (1 + '00_TONG_HOP_BAO_GIA'!P616)</f>
        <v/>
      </c>
      <c r="N693" s="137">
        <f>'00_TONG_HOP_BAO_GIA'!R616</f>
        <v/>
      </c>
      <c r="O693" s="139">
        <f>IF(K693=0, "CẢNH BÁO: Đơn giá = 0. Tra cứu lại Sheet 06!", '00_TONG_HOP_BAO_GIA'!S616)</f>
        <v/>
      </c>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83" t="inlineStr">
        <is>
          <t>m</t>
        </is>
      </c>
      <c r="H694" s="136" t="n">
        <v>1183</v>
      </c>
      <c r="I694" s="136">
        <f>IF('00_TONG_HOP_BAO_GIA'!G617&gt;0, ('00_TONG_HOP_BAO_GIA'!K617 + '00_TONG_HOP_BAO_GIA'!M617) * (1 + '00_TONG_HOP_BAO_GIA'!P617) / '00_TONG_HOP_BAO_GIA'!G617, 0)</f>
        <v/>
      </c>
      <c r="J694" s="136">
        <f>IF('00_TONG_HOP_BAO_GIA'!G617&gt;0, '00_TONG_HOP_BAO_GIA'!L617 * (1 + '00_TONG_HOP_BAO_GIA'!P617) / '00_TONG_HOP_BAO_GIA'!G617, 0)</f>
        <v/>
      </c>
      <c r="K694" s="137">
        <f>'00_TONG_HOP_BAO_GIA'!Q617</f>
        <v/>
      </c>
      <c r="L694" s="137">
        <f>('00_TONG_HOP_BAO_GIA'!K617 + '00_TONG_HOP_BAO_GIA'!M617) * (1 + '00_TONG_HOP_BAO_GIA'!P617)</f>
        <v/>
      </c>
      <c r="M694" s="137">
        <f>'00_TONG_HOP_BAO_GIA'!L617 * (1 + '00_TONG_HOP_BAO_GIA'!P617)</f>
        <v/>
      </c>
      <c r="N694" s="137">
        <f>'00_TONG_HOP_BAO_GIA'!R617</f>
        <v/>
      </c>
      <c r="O694" s="139">
        <f>IF(K694=0, "CẢNH BÁO: Đơn giá = 0. Tra cứu lại Sheet 06!", '00_TONG_HOP_BAO_GIA'!S617)</f>
        <v/>
      </c>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83" t="inlineStr">
        <is>
          <t>m</t>
        </is>
      </c>
      <c r="H695" s="136" t="n">
        <v>1288</v>
      </c>
      <c r="I695" s="136">
        <f>IF('00_TONG_HOP_BAO_GIA'!G618&gt;0, ('00_TONG_HOP_BAO_GIA'!K618 + '00_TONG_HOP_BAO_GIA'!M618) * (1 + '00_TONG_HOP_BAO_GIA'!P618) / '00_TONG_HOP_BAO_GIA'!G618, 0)</f>
        <v/>
      </c>
      <c r="J695" s="136">
        <f>IF('00_TONG_HOP_BAO_GIA'!G618&gt;0, '00_TONG_HOP_BAO_GIA'!L618 * (1 + '00_TONG_HOP_BAO_GIA'!P618) / '00_TONG_HOP_BAO_GIA'!G618, 0)</f>
        <v/>
      </c>
      <c r="K695" s="137">
        <f>'00_TONG_HOP_BAO_GIA'!Q618</f>
        <v/>
      </c>
      <c r="L695" s="137">
        <f>('00_TONG_HOP_BAO_GIA'!K618 + '00_TONG_HOP_BAO_GIA'!M618) * (1 + '00_TONG_HOP_BAO_GIA'!P618)</f>
        <v/>
      </c>
      <c r="M695" s="137">
        <f>'00_TONG_HOP_BAO_GIA'!L618 * (1 + '00_TONG_HOP_BAO_GIA'!P618)</f>
        <v/>
      </c>
      <c r="N695" s="137">
        <f>'00_TONG_HOP_BAO_GIA'!R618</f>
        <v/>
      </c>
      <c r="O695" s="139">
        <f>IF(K695=0, "CẢNH BÁO: Đơn giá = 0. Tra cứu lại Sheet 06!", '00_TONG_HOP_BAO_GIA'!S618)</f>
        <v/>
      </c>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83" t="inlineStr">
        <is>
          <t>m</t>
        </is>
      </c>
      <c r="H696" s="136" t="n">
        <v>1012</v>
      </c>
      <c r="I696" s="136">
        <f>IF('00_TONG_HOP_BAO_GIA'!G619&gt;0, ('00_TONG_HOP_BAO_GIA'!K619 + '00_TONG_HOP_BAO_GIA'!M619) * (1 + '00_TONG_HOP_BAO_GIA'!P619) / '00_TONG_HOP_BAO_GIA'!G619, 0)</f>
        <v/>
      </c>
      <c r="J696" s="136">
        <f>IF('00_TONG_HOP_BAO_GIA'!G619&gt;0, '00_TONG_HOP_BAO_GIA'!L619 * (1 + '00_TONG_HOP_BAO_GIA'!P619) / '00_TONG_HOP_BAO_GIA'!G619, 0)</f>
        <v/>
      </c>
      <c r="K696" s="137">
        <f>'00_TONG_HOP_BAO_GIA'!Q619</f>
        <v/>
      </c>
      <c r="L696" s="137">
        <f>('00_TONG_HOP_BAO_GIA'!K619 + '00_TONG_HOP_BAO_GIA'!M619) * (1 + '00_TONG_HOP_BAO_GIA'!P619)</f>
        <v/>
      </c>
      <c r="M696" s="137">
        <f>'00_TONG_HOP_BAO_GIA'!L619 * (1 + '00_TONG_HOP_BAO_GIA'!P619)</f>
        <v/>
      </c>
      <c r="N696" s="137">
        <f>'00_TONG_HOP_BAO_GIA'!R619</f>
        <v/>
      </c>
      <c r="O696" s="139">
        <f>IF(K696=0, "CẢNH BÁO: Đơn giá = 0. Tra cứu lại Sheet 06!", '00_TONG_HOP_BAO_GIA'!S619)</f>
        <v/>
      </c>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83" t="inlineStr">
        <is>
          <t>m</t>
        </is>
      </c>
      <c r="H697" s="136" t="n">
        <v>1183</v>
      </c>
      <c r="I697" s="136">
        <f>IF('00_TONG_HOP_BAO_GIA'!G620&gt;0, ('00_TONG_HOP_BAO_GIA'!K620 + '00_TONG_HOP_BAO_GIA'!M620) * (1 + '00_TONG_HOP_BAO_GIA'!P620) / '00_TONG_HOP_BAO_GIA'!G620, 0)</f>
        <v/>
      </c>
      <c r="J697" s="136">
        <f>IF('00_TONG_HOP_BAO_GIA'!G620&gt;0, '00_TONG_HOP_BAO_GIA'!L620 * (1 + '00_TONG_HOP_BAO_GIA'!P620) / '00_TONG_HOP_BAO_GIA'!G620, 0)</f>
        <v/>
      </c>
      <c r="K697" s="137">
        <f>'00_TONG_HOP_BAO_GIA'!Q620</f>
        <v/>
      </c>
      <c r="L697" s="137">
        <f>('00_TONG_HOP_BAO_GIA'!K620 + '00_TONG_HOP_BAO_GIA'!M620) * (1 + '00_TONG_HOP_BAO_GIA'!P620)</f>
        <v/>
      </c>
      <c r="M697" s="137">
        <f>'00_TONG_HOP_BAO_GIA'!L620 * (1 + '00_TONG_HOP_BAO_GIA'!P620)</f>
        <v/>
      </c>
      <c r="N697" s="137">
        <f>'00_TONG_HOP_BAO_GIA'!R620</f>
        <v/>
      </c>
      <c r="O697" s="139">
        <f>IF(K697=0, "CẢNH BÁO: Đơn giá = 0. Tra cứu lại Sheet 06!", '00_TONG_HOP_BAO_GIA'!S620)</f>
        <v/>
      </c>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83" t="inlineStr">
        <is>
          <t>m</t>
        </is>
      </c>
      <c r="H698" s="136" t="n">
        <v>2300</v>
      </c>
      <c r="I698" s="136">
        <f>IF('00_TONG_HOP_BAO_GIA'!G621&gt;0, ('00_TONG_HOP_BAO_GIA'!K621 + '00_TONG_HOP_BAO_GIA'!M621) * (1 + '00_TONG_HOP_BAO_GIA'!P621) / '00_TONG_HOP_BAO_GIA'!G621, 0)</f>
        <v/>
      </c>
      <c r="J698" s="136">
        <f>IF('00_TONG_HOP_BAO_GIA'!G621&gt;0, '00_TONG_HOP_BAO_GIA'!L621 * (1 + '00_TONG_HOP_BAO_GIA'!P621) / '00_TONG_HOP_BAO_GIA'!G621, 0)</f>
        <v/>
      </c>
      <c r="K698" s="137">
        <f>'00_TONG_HOP_BAO_GIA'!Q621</f>
        <v/>
      </c>
      <c r="L698" s="137">
        <f>('00_TONG_HOP_BAO_GIA'!K621 + '00_TONG_HOP_BAO_GIA'!M621) * (1 + '00_TONG_HOP_BAO_GIA'!P621)</f>
        <v/>
      </c>
      <c r="M698" s="137">
        <f>'00_TONG_HOP_BAO_GIA'!L621 * (1 + '00_TONG_HOP_BAO_GIA'!P621)</f>
        <v/>
      </c>
      <c r="N698" s="137">
        <f>'00_TONG_HOP_BAO_GIA'!R621</f>
        <v/>
      </c>
      <c r="O698" s="139">
        <f>IF(K698=0, "CẢNH BÁO: Đơn giá = 0. Tra cứu lại Sheet 06!", '00_TONG_HOP_BAO_GIA'!S621)</f>
        <v/>
      </c>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83" t="inlineStr">
        <is>
          <t>m</t>
        </is>
      </c>
      <c r="H699" s="136" t="n">
        <v>1183</v>
      </c>
      <c r="I699" s="136">
        <f>IF('00_TONG_HOP_BAO_GIA'!G622&gt;0, ('00_TONG_HOP_BAO_GIA'!K622 + '00_TONG_HOP_BAO_GIA'!M622) * (1 + '00_TONG_HOP_BAO_GIA'!P622) / '00_TONG_HOP_BAO_GIA'!G622, 0)</f>
        <v/>
      </c>
      <c r="J699" s="136">
        <f>IF('00_TONG_HOP_BAO_GIA'!G622&gt;0, '00_TONG_HOP_BAO_GIA'!L622 * (1 + '00_TONG_HOP_BAO_GIA'!P622) / '00_TONG_HOP_BAO_GIA'!G622, 0)</f>
        <v/>
      </c>
      <c r="K699" s="137">
        <f>'00_TONG_HOP_BAO_GIA'!Q622</f>
        <v/>
      </c>
      <c r="L699" s="137">
        <f>('00_TONG_HOP_BAO_GIA'!K622 + '00_TONG_HOP_BAO_GIA'!M622) * (1 + '00_TONG_HOP_BAO_GIA'!P622)</f>
        <v/>
      </c>
      <c r="M699" s="137">
        <f>'00_TONG_HOP_BAO_GIA'!L622 * (1 + '00_TONG_HOP_BAO_GIA'!P622)</f>
        <v/>
      </c>
      <c r="N699" s="137">
        <f>'00_TONG_HOP_BAO_GIA'!R622</f>
        <v/>
      </c>
      <c r="O699" s="139">
        <f>IF(K699=0, "CẢNH BÁO: Đơn giá = 0. Tra cứu lại Sheet 06!", '00_TONG_HOP_BAO_GIA'!S622)</f>
        <v/>
      </c>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83" t="inlineStr">
        <is>
          <t>m</t>
        </is>
      </c>
      <c r="H700" s="136" t="n">
        <v>1288</v>
      </c>
      <c r="I700" s="136">
        <f>IF('00_TONG_HOP_BAO_GIA'!G623&gt;0, ('00_TONG_HOP_BAO_GIA'!K623 + '00_TONG_HOP_BAO_GIA'!M623) * (1 + '00_TONG_HOP_BAO_GIA'!P623) / '00_TONG_HOP_BAO_GIA'!G623, 0)</f>
        <v/>
      </c>
      <c r="J700" s="136">
        <f>IF('00_TONG_HOP_BAO_GIA'!G623&gt;0, '00_TONG_HOP_BAO_GIA'!L623 * (1 + '00_TONG_HOP_BAO_GIA'!P623) / '00_TONG_HOP_BAO_GIA'!G623, 0)</f>
        <v/>
      </c>
      <c r="K700" s="137">
        <f>'00_TONG_HOP_BAO_GIA'!Q623</f>
        <v/>
      </c>
      <c r="L700" s="137">
        <f>('00_TONG_HOP_BAO_GIA'!K623 + '00_TONG_HOP_BAO_GIA'!M623) * (1 + '00_TONG_HOP_BAO_GIA'!P623)</f>
        <v/>
      </c>
      <c r="M700" s="137">
        <f>'00_TONG_HOP_BAO_GIA'!L623 * (1 + '00_TONG_HOP_BAO_GIA'!P623)</f>
        <v/>
      </c>
      <c r="N700" s="137">
        <f>'00_TONG_HOP_BAO_GIA'!R623</f>
        <v/>
      </c>
      <c r="O700" s="139">
        <f>IF(K700=0, "CẢNH BÁO: Đơn giá = 0. Tra cứu lại Sheet 06!", '00_TONG_HOP_BAO_GIA'!S623)</f>
        <v/>
      </c>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83" t="inlineStr">
        <is>
          <t>m</t>
        </is>
      </c>
      <c r="H701" s="136" t="n">
        <v>1012</v>
      </c>
      <c r="I701" s="136">
        <f>IF('00_TONG_HOP_BAO_GIA'!G624&gt;0, ('00_TONG_HOP_BAO_GIA'!K624 + '00_TONG_HOP_BAO_GIA'!M624) * (1 + '00_TONG_HOP_BAO_GIA'!P624) / '00_TONG_HOP_BAO_GIA'!G624, 0)</f>
        <v/>
      </c>
      <c r="J701" s="136">
        <f>IF('00_TONG_HOP_BAO_GIA'!G624&gt;0, '00_TONG_HOP_BAO_GIA'!L624 * (1 + '00_TONG_HOP_BAO_GIA'!P624) / '00_TONG_HOP_BAO_GIA'!G624, 0)</f>
        <v/>
      </c>
      <c r="K701" s="137">
        <f>'00_TONG_HOP_BAO_GIA'!Q624</f>
        <v/>
      </c>
      <c r="L701" s="137">
        <f>('00_TONG_HOP_BAO_GIA'!K624 + '00_TONG_HOP_BAO_GIA'!M624) * (1 + '00_TONG_HOP_BAO_GIA'!P624)</f>
        <v/>
      </c>
      <c r="M701" s="137">
        <f>'00_TONG_HOP_BAO_GIA'!L624 * (1 + '00_TONG_HOP_BAO_GIA'!P624)</f>
        <v/>
      </c>
      <c r="N701" s="137">
        <f>'00_TONG_HOP_BAO_GIA'!R624</f>
        <v/>
      </c>
      <c r="O701" s="139">
        <f>IF(K701=0, "CẢNH BÁO: Đơn giá = 0. Tra cứu lại Sheet 06!", '00_TONG_HOP_BAO_GIA'!S624)</f>
        <v/>
      </c>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83" t="inlineStr">
        <is>
          <t>Bộ</t>
        </is>
      </c>
      <c r="H702" s="136" t="n">
        <v>276</v>
      </c>
      <c r="I702" s="136">
        <f>IF('00_TONG_HOP_BAO_GIA'!G625&gt;0, ('00_TONG_HOP_BAO_GIA'!K625 + '00_TONG_HOP_BAO_GIA'!M625) * (1 + '00_TONG_HOP_BAO_GIA'!P625) / '00_TONG_HOP_BAO_GIA'!G625, 0)</f>
        <v/>
      </c>
      <c r="J702" s="136">
        <f>IF('00_TONG_HOP_BAO_GIA'!G625&gt;0, '00_TONG_HOP_BAO_GIA'!L625 * (1 + '00_TONG_HOP_BAO_GIA'!P625) / '00_TONG_HOP_BAO_GIA'!G625, 0)</f>
        <v/>
      </c>
      <c r="K702" s="137">
        <f>'00_TONG_HOP_BAO_GIA'!Q625</f>
        <v/>
      </c>
      <c r="L702" s="137">
        <f>('00_TONG_HOP_BAO_GIA'!K625 + '00_TONG_HOP_BAO_GIA'!M625) * (1 + '00_TONG_HOP_BAO_GIA'!P625)</f>
        <v/>
      </c>
      <c r="M702" s="137">
        <f>'00_TONG_HOP_BAO_GIA'!L625 * (1 + '00_TONG_HOP_BAO_GIA'!P625)</f>
        <v/>
      </c>
      <c r="N702" s="137">
        <f>'00_TONG_HOP_BAO_GIA'!R625</f>
        <v/>
      </c>
      <c r="O702" s="139">
        <f>IF(K702=0, "CẢNH BÁO: Đơn giá = 0. Tra cứu lại Sheet 06!", '00_TONG_HOP_BAO_GIA'!S625)</f>
        <v/>
      </c>
    </row>
    <row r="703" hidden="1" outlineLevel="1">
      <c r="A703" s="141">
        <f>SUBTOTAL(3,$G$7:G703)</f>
        <v/>
      </c>
      <c r="B703" s="139" t="inlineStr">
        <is>
          <t>Nap ga bổ sung</t>
        </is>
      </c>
      <c r="C703" s="134" t="n"/>
      <c r="D703" s="134" t="n"/>
      <c r="E703" s="134" t="n"/>
      <c r="F703" s="329" t="inlineStr">
        <is>
          <t>GAS</t>
        </is>
      </c>
      <c r="G703" s="383" t="inlineStr">
        <is>
          <t>Lô</t>
        </is>
      </c>
      <c r="H703" s="136" t="n">
        <v>1</v>
      </c>
      <c r="I703" s="136">
        <f>IF('00_TONG_HOP_BAO_GIA'!G626&gt;0, ('00_TONG_HOP_BAO_GIA'!K626 + '00_TONG_HOP_BAO_GIA'!M626) * (1 + '00_TONG_HOP_BAO_GIA'!P626) / '00_TONG_HOP_BAO_GIA'!G626, 0)</f>
        <v/>
      </c>
      <c r="J703" s="136">
        <f>IF('00_TONG_HOP_BAO_GIA'!G626&gt;0, '00_TONG_HOP_BAO_GIA'!L626 * (1 + '00_TONG_HOP_BAO_GIA'!P626) / '00_TONG_HOP_BAO_GIA'!G626, 0)</f>
        <v/>
      </c>
      <c r="K703" s="137">
        <f>'00_TONG_HOP_BAO_GIA'!Q626</f>
        <v/>
      </c>
      <c r="L703" s="137">
        <f>('00_TONG_HOP_BAO_GIA'!K626 + '00_TONG_HOP_BAO_GIA'!M626) * (1 + '00_TONG_HOP_BAO_GIA'!P626)</f>
        <v/>
      </c>
      <c r="M703" s="137">
        <f>'00_TONG_HOP_BAO_GIA'!L626 * (1 + '00_TONG_HOP_BAO_GIA'!P626)</f>
        <v/>
      </c>
      <c r="N703" s="137">
        <f>'00_TONG_HOP_BAO_GIA'!R626</f>
        <v/>
      </c>
      <c r="O703" s="139">
        <f>IF(K703=0, "CẢNH BÁO: Đơn giá = 0. Tra cứu lại Sheet 06!", '00_TONG_HOP_BAO_GIA'!S626)</f>
        <v/>
      </c>
    </row>
    <row r="704" outlineLevel="1">
      <c r="A704" s="141">
        <f>SUBTOTAL(3,$G$7:G704)</f>
        <v/>
      </c>
      <c r="B704" s="139" t="inlineStr">
        <is>
          <t>Vật tư phụ, phụ kiện</t>
        </is>
      </c>
      <c r="C704" s="134" t="n"/>
      <c r="D704" s="134" t="n"/>
      <c r="E704" s="134" t="n"/>
      <c r="F704" s="329" t="inlineStr">
        <is>
          <t>VTP</t>
        </is>
      </c>
      <c r="G704" s="383" t="inlineStr">
        <is>
          <t>Lô</t>
        </is>
      </c>
      <c r="H704" s="136" t="n">
        <v>1</v>
      </c>
      <c r="I704" s="136">
        <f>IF('00_TONG_HOP_BAO_GIA'!G627&gt;0, ('00_TONG_HOP_BAO_GIA'!K627 + '00_TONG_HOP_BAO_GIA'!M627) * (1 + '00_TONG_HOP_BAO_GIA'!P627) / '00_TONG_HOP_BAO_GIA'!G627, 0)</f>
        <v/>
      </c>
      <c r="J704" s="136">
        <f>IF('00_TONG_HOP_BAO_GIA'!G627&gt;0, '00_TONG_HOP_BAO_GIA'!L627 * (1 + '00_TONG_HOP_BAO_GIA'!P627) / '00_TONG_HOP_BAO_GIA'!G627, 0)</f>
        <v/>
      </c>
      <c r="K704" s="137">
        <f>'00_TONG_HOP_BAO_GIA'!Q627</f>
        <v/>
      </c>
      <c r="L704" s="137">
        <f>('00_TONG_HOP_BAO_GIA'!K627 + '00_TONG_HOP_BAO_GIA'!M627) * (1 + '00_TONG_HOP_BAO_GIA'!P627)</f>
        <v/>
      </c>
      <c r="M704" s="137">
        <f>'00_TONG_HOP_BAO_GIA'!L627 * (1 + '00_TONG_HOP_BAO_GIA'!P627)</f>
        <v/>
      </c>
      <c r="N704" s="137">
        <f>'00_TONG_HOP_BAO_GIA'!R627</f>
        <v/>
      </c>
      <c r="O704" s="139">
        <f>IF(K704=0, "CẢNH BÁO: Đơn giá = 0. Tra cứu lại Sheet 06!", '00_TONG_HOP_BAO_GIA'!S627)</f>
        <v/>
      </c>
    </row>
    <row r="705" hidden="1" outlineLevel="1">
      <c r="A705" s="141" t="n"/>
      <c r="B705" s="140" t="inlineStr">
        <is>
          <t>NƯỚC NGƯNG</t>
        </is>
      </c>
      <c r="C705" s="134" t="n"/>
      <c r="D705" s="134" t="n"/>
      <c r="E705" s="134" t="n"/>
      <c r="F705" s="329" t="inlineStr">
        <is>
          <t>NN</t>
        </is>
      </c>
      <c r="G705" s="383"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83" t="inlineStr">
        <is>
          <t>m</t>
        </is>
      </c>
      <c r="H706" s="136" t="n">
        <v>1338</v>
      </c>
      <c r="I706" s="136">
        <f>IF('00_TONG_HOP_BAO_GIA'!G628&gt;0, ('00_TONG_HOP_BAO_GIA'!K628 + '00_TONG_HOP_BAO_GIA'!M628) * (1 + '00_TONG_HOP_BAO_GIA'!P628) / '00_TONG_HOP_BAO_GIA'!G628, 0)</f>
        <v/>
      </c>
      <c r="J706" s="136">
        <f>IF('00_TONG_HOP_BAO_GIA'!G628&gt;0, '00_TONG_HOP_BAO_GIA'!L628 * (1 + '00_TONG_HOP_BAO_GIA'!P628) / '00_TONG_HOP_BAO_GIA'!G628, 0)</f>
        <v/>
      </c>
      <c r="K706" s="137">
        <f>'00_TONG_HOP_BAO_GIA'!Q628</f>
        <v/>
      </c>
      <c r="L706" s="137">
        <f>('00_TONG_HOP_BAO_GIA'!K628 + '00_TONG_HOP_BAO_GIA'!M628) * (1 + '00_TONG_HOP_BAO_GIA'!P628)</f>
        <v/>
      </c>
      <c r="M706" s="137">
        <f>'00_TONG_HOP_BAO_GIA'!L628 * (1 + '00_TONG_HOP_BAO_GIA'!P628)</f>
        <v/>
      </c>
      <c r="N706" s="137">
        <f>'00_TONG_HOP_BAO_GIA'!R628</f>
        <v/>
      </c>
      <c r="O706" s="139">
        <f>IF(K706=0, "CẢNH BÁO: Đơn giá = 0. Tra cứu lại Sheet 06!", '00_TONG_HOP_BAO_GIA'!S628)</f>
        <v/>
      </c>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83" t="inlineStr">
        <is>
          <t>m</t>
        </is>
      </c>
      <c r="H707" s="136" t="n">
        <v>617</v>
      </c>
      <c r="I707" s="136">
        <f>IF('00_TONG_HOP_BAO_GIA'!G629&gt;0, ('00_TONG_HOP_BAO_GIA'!K629 + '00_TONG_HOP_BAO_GIA'!M629) * (1 + '00_TONG_HOP_BAO_GIA'!P629) / '00_TONG_HOP_BAO_GIA'!G629, 0)</f>
        <v/>
      </c>
      <c r="J707" s="136">
        <f>IF('00_TONG_HOP_BAO_GIA'!G629&gt;0, '00_TONG_HOP_BAO_GIA'!L629 * (1 + '00_TONG_HOP_BAO_GIA'!P629) / '00_TONG_HOP_BAO_GIA'!G629, 0)</f>
        <v/>
      </c>
      <c r="K707" s="137">
        <f>'00_TONG_HOP_BAO_GIA'!Q629</f>
        <v/>
      </c>
      <c r="L707" s="137">
        <f>('00_TONG_HOP_BAO_GIA'!K629 + '00_TONG_HOP_BAO_GIA'!M629) * (1 + '00_TONG_HOP_BAO_GIA'!P629)</f>
        <v/>
      </c>
      <c r="M707" s="137">
        <f>'00_TONG_HOP_BAO_GIA'!L629 * (1 + '00_TONG_HOP_BAO_GIA'!P629)</f>
        <v/>
      </c>
      <c r="N707" s="137">
        <f>'00_TONG_HOP_BAO_GIA'!R629</f>
        <v/>
      </c>
      <c r="O707" s="139">
        <f>IF(K707=0, "CẢNH BÁO: Đơn giá = 0. Tra cứu lại Sheet 06!", '00_TONG_HOP_BAO_GIA'!S629)</f>
        <v/>
      </c>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83" t="inlineStr">
        <is>
          <t>m</t>
        </is>
      </c>
      <c r="H708" s="136" t="n">
        <v>2251.8</v>
      </c>
      <c r="I708" s="136">
        <f>IF('00_TONG_HOP_BAO_GIA'!G630&gt;0, ('00_TONG_HOP_BAO_GIA'!K630 + '00_TONG_HOP_BAO_GIA'!M630) * (1 + '00_TONG_HOP_BAO_GIA'!P630) / '00_TONG_HOP_BAO_GIA'!G630, 0)</f>
        <v/>
      </c>
      <c r="J708" s="136">
        <f>IF('00_TONG_HOP_BAO_GIA'!G630&gt;0, '00_TONG_HOP_BAO_GIA'!L630 * (1 + '00_TONG_HOP_BAO_GIA'!P630) / '00_TONG_HOP_BAO_GIA'!G630, 0)</f>
        <v/>
      </c>
      <c r="K708" s="137">
        <f>'00_TONG_HOP_BAO_GIA'!Q630</f>
        <v/>
      </c>
      <c r="L708" s="137">
        <f>('00_TONG_HOP_BAO_GIA'!K630 + '00_TONG_HOP_BAO_GIA'!M630) * (1 + '00_TONG_HOP_BAO_GIA'!P630)</f>
        <v/>
      </c>
      <c r="M708" s="137">
        <f>'00_TONG_HOP_BAO_GIA'!L630 * (1 + '00_TONG_HOP_BAO_GIA'!P630)</f>
        <v/>
      </c>
      <c r="N708" s="137">
        <f>'00_TONG_HOP_BAO_GIA'!R630</f>
        <v/>
      </c>
      <c r="O708" s="139">
        <f>IF(K708=0, "CẢNH BÁO: Đơn giá = 0. Tra cứu lại Sheet 06!", '00_TONG_HOP_BAO_GIA'!S630)</f>
        <v/>
      </c>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83" t="inlineStr">
        <is>
          <t>m</t>
        </is>
      </c>
      <c r="H709" s="136" t="n">
        <v>1338</v>
      </c>
      <c r="I709" s="136">
        <f>IF('00_TONG_HOP_BAO_GIA'!G631&gt;0, ('00_TONG_HOP_BAO_GIA'!K631 + '00_TONG_HOP_BAO_GIA'!M631) * (1 + '00_TONG_HOP_BAO_GIA'!P631) / '00_TONG_HOP_BAO_GIA'!G631, 0)</f>
        <v/>
      </c>
      <c r="J709" s="136">
        <f>IF('00_TONG_HOP_BAO_GIA'!G631&gt;0, '00_TONG_HOP_BAO_GIA'!L631 * (1 + '00_TONG_HOP_BAO_GIA'!P631) / '00_TONG_HOP_BAO_GIA'!G631, 0)</f>
        <v/>
      </c>
      <c r="K709" s="137">
        <f>'00_TONG_HOP_BAO_GIA'!Q631</f>
        <v/>
      </c>
      <c r="L709" s="137">
        <f>('00_TONG_HOP_BAO_GIA'!K631 + '00_TONG_HOP_BAO_GIA'!M631) * (1 + '00_TONG_HOP_BAO_GIA'!P631)</f>
        <v/>
      </c>
      <c r="M709" s="137">
        <f>'00_TONG_HOP_BAO_GIA'!L631 * (1 + '00_TONG_HOP_BAO_GIA'!P631)</f>
        <v/>
      </c>
      <c r="N709" s="137">
        <f>'00_TONG_HOP_BAO_GIA'!R631</f>
        <v/>
      </c>
      <c r="O709" s="139">
        <f>IF(K709=0, "CẢNH BÁO: Đơn giá = 0. Tra cứu lại Sheet 06!", '00_TONG_HOP_BAO_GIA'!S631)</f>
        <v/>
      </c>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83" t="inlineStr">
        <is>
          <t>m</t>
        </is>
      </c>
      <c r="H710" s="136" t="n">
        <v>617</v>
      </c>
      <c r="I710" s="136">
        <f>IF('00_TONG_HOP_BAO_GIA'!G632&gt;0, ('00_TONG_HOP_BAO_GIA'!K632 + '00_TONG_HOP_BAO_GIA'!M632) * (1 + '00_TONG_HOP_BAO_GIA'!P632) / '00_TONG_HOP_BAO_GIA'!G632, 0)</f>
        <v/>
      </c>
      <c r="J710" s="136">
        <f>IF('00_TONG_HOP_BAO_GIA'!G632&gt;0, '00_TONG_HOP_BAO_GIA'!L632 * (1 + '00_TONG_HOP_BAO_GIA'!P632) / '00_TONG_HOP_BAO_GIA'!G632, 0)</f>
        <v/>
      </c>
      <c r="K710" s="137">
        <f>'00_TONG_HOP_BAO_GIA'!Q632</f>
        <v/>
      </c>
      <c r="L710" s="137">
        <f>('00_TONG_HOP_BAO_GIA'!K632 + '00_TONG_HOP_BAO_GIA'!M632) * (1 + '00_TONG_HOP_BAO_GIA'!P632)</f>
        <v/>
      </c>
      <c r="M710" s="137">
        <f>'00_TONG_HOP_BAO_GIA'!L632 * (1 + '00_TONG_HOP_BAO_GIA'!P632)</f>
        <v/>
      </c>
      <c r="N710" s="137">
        <f>'00_TONG_HOP_BAO_GIA'!R632</f>
        <v/>
      </c>
      <c r="O710" s="139">
        <f>IF(K710=0, "CẢNH BÁO: Đơn giá = 0. Tra cứu lại Sheet 06!", '00_TONG_HOP_BAO_GIA'!S632)</f>
        <v/>
      </c>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83" t="inlineStr">
        <is>
          <t>m</t>
        </is>
      </c>
      <c r="H711" s="136" t="n">
        <v>2251.8</v>
      </c>
      <c r="I711" s="136">
        <f>IF('00_TONG_HOP_BAO_GIA'!G633&gt;0, ('00_TONG_HOP_BAO_GIA'!K633 + '00_TONG_HOP_BAO_GIA'!M633) * (1 + '00_TONG_HOP_BAO_GIA'!P633) / '00_TONG_HOP_BAO_GIA'!G633, 0)</f>
        <v/>
      </c>
      <c r="J711" s="136">
        <f>IF('00_TONG_HOP_BAO_GIA'!G633&gt;0, '00_TONG_HOP_BAO_GIA'!L633 * (1 + '00_TONG_HOP_BAO_GIA'!P633) / '00_TONG_HOP_BAO_GIA'!G633, 0)</f>
        <v/>
      </c>
      <c r="K711" s="137">
        <f>'00_TONG_HOP_BAO_GIA'!Q633</f>
        <v/>
      </c>
      <c r="L711" s="137">
        <f>('00_TONG_HOP_BAO_GIA'!K633 + '00_TONG_HOP_BAO_GIA'!M633) * (1 + '00_TONG_HOP_BAO_GIA'!P633)</f>
        <v/>
      </c>
      <c r="M711" s="137">
        <f>'00_TONG_HOP_BAO_GIA'!L633 * (1 + '00_TONG_HOP_BAO_GIA'!P633)</f>
        <v/>
      </c>
      <c r="N711" s="137">
        <f>'00_TONG_HOP_BAO_GIA'!R633</f>
        <v/>
      </c>
      <c r="O711" s="139">
        <f>IF(K711=0, "CẢNH BÁO: Đơn giá = 0. Tra cứu lại Sheet 06!", '00_TONG_HOP_BAO_GIA'!S633)</f>
        <v/>
      </c>
    </row>
    <row r="712" hidden="1" outlineLevel="1">
      <c r="A712" s="141">
        <f>SUBTOTAL(3,$G$7:G712)</f>
        <v/>
      </c>
      <c r="B712" s="139" t="inlineStr">
        <is>
          <t>Vật tư phụ, phụ kiện</t>
        </is>
      </c>
      <c r="C712" s="134" t="n"/>
      <c r="D712" s="134" t="n"/>
      <c r="E712" s="134" t="n"/>
      <c r="F712" s="329" t="inlineStr">
        <is>
          <t>CNNN</t>
        </is>
      </c>
      <c r="G712" s="383" t="inlineStr">
        <is>
          <t>Lô</t>
        </is>
      </c>
      <c r="H712" s="136" t="n">
        <v>1</v>
      </c>
      <c r="I712" s="136">
        <f>IF('00_TONG_HOP_BAO_GIA'!G634&gt;0, ('00_TONG_HOP_BAO_GIA'!K634 + '00_TONG_HOP_BAO_GIA'!M634) * (1 + '00_TONG_HOP_BAO_GIA'!P634) / '00_TONG_HOP_BAO_GIA'!G634, 0)</f>
        <v/>
      </c>
      <c r="J712" s="136">
        <f>IF('00_TONG_HOP_BAO_GIA'!G634&gt;0, '00_TONG_HOP_BAO_GIA'!L634 * (1 + '00_TONG_HOP_BAO_GIA'!P634) / '00_TONG_HOP_BAO_GIA'!G634, 0)</f>
        <v/>
      </c>
      <c r="K712" s="137">
        <f>'00_TONG_HOP_BAO_GIA'!Q634</f>
        <v/>
      </c>
      <c r="L712" s="137">
        <f>('00_TONG_HOP_BAO_GIA'!K634 + '00_TONG_HOP_BAO_GIA'!M634) * (1 + '00_TONG_HOP_BAO_GIA'!P634)</f>
        <v/>
      </c>
      <c r="M712" s="137">
        <f>'00_TONG_HOP_BAO_GIA'!L634 * (1 + '00_TONG_HOP_BAO_GIA'!P634)</f>
        <v/>
      </c>
      <c r="N712" s="137">
        <f>'00_TONG_HOP_BAO_GIA'!R634</f>
        <v/>
      </c>
      <c r="O712" s="139">
        <f>IF(K712=0, "CẢNH BÁO: Đơn giá = 0. Tra cứu lại Sheet 06!", '00_TONG_HOP_BAO_GIA'!S634)</f>
        <v/>
      </c>
    </row>
    <row r="713">
      <c r="A713" s="132" t="inlineStr">
        <is>
          <t>C</t>
        </is>
      </c>
      <c r="B713" s="133" t="inlineStr">
        <is>
          <t>CHI PHÍ CHUNG</t>
        </is>
      </c>
      <c r="C713" s="134" t="n"/>
      <c r="D713" s="134" t="n"/>
      <c r="E713" s="134" t="n"/>
      <c r="F713" s="329" t="inlineStr">
        <is>
          <t>M</t>
        </is>
      </c>
      <c r="G713" s="383"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83" t="inlineStr">
        <is>
          <t>Lô</t>
        </is>
      </c>
      <c r="H714" s="136" t="n">
        <v>1</v>
      </c>
      <c r="I714" s="136">
        <f>IF('00_TONG_HOP_BAO_GIA'!G635&gt;0, ('00_TONG_HOP_BAO_GIA'!K635 + '00_TONG_HOP_BAO_GIA'!M635) * (1 + '00_TONG_HOP_BAO_GIA'!P635) / '00_TONG_HOP_BAO_GIA'!G635, 0)</f>
        <v/>
      </c>
      <c r="J714" s="136">
        <f>IF('00_TONG_HOP_BAO_GIA'!G635&gt;0, '00_TONG_HOP_BAO_GIA'!L635 * (1 + '00_TONG_HOP_BAO_GIA'!P635) / '00_TONG_HOP_BAO_GIA'!G635, 0)</f>
        <v/>
      </c>
      <c r="K714" s="137">
        <f>'00_TONG_HOP_BAO_GIA'!Q635</f>
        <v/>
      </c>
      <c r="L714" s="137">
        <f>('00_TONG_HOP_BAO_GIA'!K635 + '00_TONG_HOP_BAO_GIA'!M635) * (1 + '00_TONG_HOP_BAO_GIA'!P635)</f>
        <v/>
      </c>
      <c r="M714" s="137">
        <f>'00_TONG_HOP_BAO_GIA'!L635 * (1 + '00_TONG_HOP_BAO_GIA'!P635)</f>
        <v/>
      </c>
      <c r="N714" s="137">
        <f>'00_TONG_HOP_BAO_GIA'!R635</f>
        <v/>
      </c>
      <c r="O714" s="139">
        <f>IF(K714=0, "CẢNH BÁO: Đơn giá = 0. Tra cứu lại Sheet 06!", '00_TONG_HOP_BAO_GIA'!S635)</f>
        <v/>
      </c>
    </row>
    <row r="715" outlineLevel="1">
      <c r="A715" s="141">
        <f>SUBTOTAL(3,$G$8:G715)</f>
        <v/>
      </c>
      <c r="B715" s="139" t="inlineStr">
        <is>
          <t>Chi phí cắt đục, đóng lưới trám trét tường</t>
        </is>
      </c>
      <c r="C715" s="134" t="n"/>
      <c r="D715" s="134" t="n"/>
      <c r="E715" s="134" t="n"/>
      <c r="F715" s="329" t="n"/>
      <c r="G715" s="383" t="inlineStr">
        <is>
          <t>Lô</t>
        </is>
      </c>
      <c r="H715" s="136" t="n">
        <v>1</v>
      </c>
      <c r="I715" s="136">
        <f>IF('00_TONG_HOP_BAO_GIA'!G636&gt;0, ('00_TONG_HOP_BAO_GIA'!K636 + '00_TONG_HOP_BAO_GIA'!M636) * (1 + '00_TONG_HOP_BAO_GIA'!P636) / '00_TONG_HOP_BAO_GIA'!G636, 0)</f>
        <v/>
      </c>
      <c r="J715" s="136">
        <f>IF('00_TONG_HOP_BAO_GIA'!G636&gt;0, '00_TONG_HOP_BAO_GIA'!L636 * (1 + '00_TONG_HOP_BAO_GIA'!P636) / '00_TONG_HOP_BAO_GIA'!G636, 0)</f>
        <v/>
      </c>
      <c r="K715" s="137">
        <f>'00_TONG_HOP_BAO_GIA'!Q636</f>
        <v/>
      </c>
      <c r="L715" s="137">
        <f>('00_TONG_HOP_BAO_GIA'!K636 + '00_TONG_HOP_BAO_GIA'!M636) * (1 + '00_TONG_HOP_BAO_GIA'!P636)</f>
        <v/>
      </c>
      <c r="M715" s="137">
        <f>'00_TONG_HOP_BAO_GIA'!L636 * (1 + '00_TONG_HOP_BAO_GIA'!P636)</f>
        <v/>
      </c>
      <c r="N715" s="137">
        <f>'00_TONG_HOP_BAO_GIA'!R636</f>
        <v/>
      </c>
      <c r="O715" s="139">
        <f>IF(K715=0, "CẢNH BÁO: Đơn giá = 0. Tra cứu lại Sheet 06!", '00_TONG_HOP_BAO_GIA'!S636)</f>
        <v/>
      </c>
    </row>
    <row r="716" outlineLevel="1">
      <c r="A716" s="141">
        <f>SUBTOTAL(3,$G$8:G716)</f>
        <v/>
      </c>
      <c r="B716" s="139" t="inlineStr">
        <is>
          <t>Chi phí chống cháy lan</t>
        </is>
      </c>
      <c r="C716" s="134" t="n"/>
      <c r="D716" s="134" t="n"/>
      <c r="E716" s="134" t="n"/>
      <c r="F716" s="329" t="n"/>
      <c r="G716" s="383" t="inlineStr">
        <is>
          <t>Lô</t>
        </is>
      </c>
      <c r="H716" s="136" t="n">
        <v>1</v>
      </c>
      <c r="I716" s="136">
        <f>IF('00_TONG_HOP_BAO_GIA'!G637&gt;0, ('00_TONG_HOP_BAO_GIA'!K637 + '00_TONG_HOP_BAO_GIA'!M637) * (1 + '00_TONG_HOP_BAO_GIA'!P637) / '00_TONG_HOP_BAO_GIA'!G637, 0)</f>
        <v/>
      </c>
      <c r="J716" s="136">
        <f>IF('00_TONG_HOP_BAO_GIA'!G637&gt;0, '00_TONG_HOP_BAO_GIA'!L637 * (1 + '00_TONG_HOP_BAO_GIA'!P637) / '00_TONG_HOP_BAO_GIA'!G637, 0)</f>
        <v/>
      </c>
      <c r="K716" s="137">
        <f>'00_TONG_HOP_BAO_GIA'!Q637</f>
        <v/>
      </c>
      <c r="L716" s="137">
        <f>('00_TONG_HOP_BAO_GIA'!K637 + '00_TONG_HOP_BAO_GIA'!M637) * (1 + '00_TONG_HOP_BAO_GIA'!P637)</f>
        <v/>
      </c>
      <c r="M716" s="137">
        <f>'00_TONG_HOP_BAO_GIA'!L637 * (1 + '00_TONG_HOP_BAO_GIA'!P637)</f>
        <v/>
      </c>
      <c r="N716" s="137">
        <f>'00_TONG_HOP_BAO_GIA'!R637</f>
        <v/>
      </c>
      <c r="O716" s="139">
        <f>IF(K716=0, "CẢNH BÁO: Đơn giá = 0. Tra cứu lại Sheet 06!", '00_TONG_HOP_BAO_GIA'!S637)</f>
        <v/>
      </c>
    </row>
    <row r="717">
      <c r="A717" s="132" t="inlineStr">
        <is>
          <t>D</t>
        </is>
      </c>
      <c r="B717" s="133" t="inlineStr">
        <is>
          <t>CÔNG TÁC KHÁC BỔ SUNG BỞI NHÀ THẦU</t>
        </is>
      </c>
      <c r="C717" s="134" t="n"/>
      <c r="D717" s="134" t="n"/>
      <c r="E717" s="134" t="n"/>
      <c r="F717" s="329" t="inlineStr">
        <is>
          <t>M</t>
        </is>
      </c>
      <c r="G717" s="383"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83"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83"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387" t="inlineStr">
        <is>
          <t>TỔNG CỘNG DỰ ÁN:</t>
        </is>
      </c>
      <c r="N722" s="388">
        <f>SUM(N1:N721)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2.xml><?xml version="1.0" encoding="utf-8"?>
<worksheet xmlns="http://schemas.openxmlformats.org/spreadsheetml/2006/main">
  <sheetPr>
    <outlinePr summaryBelow="1" summaryRight="1"/>
    <pageSetUpPr/>
  </sheetPr>
  <dimension ref="A1:S638"/>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389" t="inlineStr">
        <is>
          <t>STT</t>
        </is>
      </c>
      <c r="B1" s="389" t="inlineStr">
        <is>
          <t>ITEM_ID</t>
        </is>
      </c>
      <c r="C1" s="389" t="inlineStr">
        <is>
          <t>PHÂN NHÓM</t>
        </is>
      </c>
      <c r="D1" s="389" t="inlineStr">
        <is>
          <t>TÊN SẢN PHẨM</t>
        </is>
      </c>
      <c r="E1" s="389" t="inlineStr">
        <is>
          <t>QUY CÁCH (WxH)</t>
        </is>
      </c>
      <c r="F1" s="389" t="inlineStr">
        <is>
          <t>ĐVT</t>
        </is>
      </c>
      <c r="G1" s="389" t="inlineStr">
        <is>
          <t>SỐ LƯỢNG</t>
        </is>
      </c>
      <c r="H1" s="389" t="inlineStr">
        <is>
          <t>CP VẬT TƯ ỐNG</t>
        </is>
      </c>
      <c r="I1" s="389" t="inlineStr">
        <is>
          <t>CP VẬT TƯ CỬA</t>
        </is>
      </c>
      <c r="J1" s="389" t="inlineStr">
        <is>
          <t>CP VẬT TƯ VAN</t>
        </is>
      </c>
      <c r="K1" s="389" t="inlineStr">
        <is>
          <t>TỔNG CP VẬT TƯ</t>
        </is>
      </c>
      <c r="L1" s="389" t="inlineStr">
        <is>
          <t>NHÂN CÔNG (25%)</t>
        </is>
      </c>
      <c r="M1" s="389" t="inlineStr">
        <is>
          <t>CP XƯỞNG (10%)</t>
        </is>
      </c>
      <c r="N1" s="389" t="inlineStr">
        <is>
          <t>TỔNG GIÁ VỐN</t>
        </is>
      </c>
      <c r="O1" s="389" t="inlineStr">
        <is>
          <t>GIÁ VỐN / ĐVT</t>
        </is>
      </c>
      <c r="P1" s="389" t="inlineStr">
        <is>
          <t>MARGIN (%)</t>
        </is>
      </c>
      <c r="Q1" s="389" t="inlineStr">
        <is>
          <t>ĐƠN GIÁ BÁN</t>
        </is>
      </c>
      <c r="R1" s="389" t="inlineStr">
        <is>
          <t>THÀNH TIỀN (VNĐ)</t>
        </is>
      </c>
      <c r="S1" s="389" t="inlineStr">
        <is>
          <t>GHI CHÚ</t>
        </is>
      </c>
    </row>
    <row r="2">
      <c r="A2" t="n">
        <v>1</v>
      </c>
      <c r="B2" t="inlineStr">
        <is>
          <t>SW-TRD-001</t>
        </is>
      </c>
      <c r="C2" t="inlineStr">
        <is>
          <t>THƯƠNG MẠI</t>
        </is>
      </c>
      <c r="D2" t="inlineStr">
        <is>
          <t>HỆ THỐNG HÚT KHÓI HẦM XE, HÚT KHÓI SỰ CỐ Quạt hướng trục CEF-B2-Z1-01~02 5290/9430 l/s @ 500/1350 Pa, chống cháy 300°C trong 2h,</t>
        </is>
      </c>
      <c r="E2" t="inlineStr">
        <is>
          <t>-</t>
        </is>
      </c>
      <c r="F2" t="inlineStr">
        <is>
          <t>Cái</t>
        </is>
      </c>
      <c r="G2" s="390" t="n">
        <v>2</v>
      </c>
      <c r="H2" s="390">
        <f>SUMIF('01_BOC_TACH_ONG'!B:B, B2, '01_BOC_TACH_ONG'!K:K)</f>
        <v/>
      </c>
      <c r="I2" s="390">
        <f>SUMIF('02_BOC_TACH_CUA'!B:B, B2, '02_BOC_TACH_CUA'!K:K)</f>
        <v/>
      </c>
      <c r="J2" s="390">
        <f>SUMIF('03_BOC_TACH_VAN'!B:B, B2, '03_BOC_TACH_VAN'!K:K)</f>
        <v/>
      </c>
      <c r="K2" s="390">
        <f>SUM(H2:J2)</f>
        <v/>
      </c>
      <c r="L2" s="390">
        <f>K2*0.00</f>
        <v/>
      </c>
      <c r="M2" s="390">
        <f>K2*0.02</f>
        <v/>
      </c>
      <c r="N2" s="390">
        <f>K2+L2+M2</f>
        <v/>
      </c>
      <c r="O2" s="390">
        <f>IF(G2&gt;0, N2/G2, 0)</f>
        <v/>
      </c>
      <c r="P2" s="391" t="n">
        <v>0.1</v>
      </c>
      <c r="Q2" s="390">
        <f>O2*(1+P2)</f>
        <v/>
      </c>
      <c r="R2" s="390">
        <f>G2*Q2</f>
        <v/>
      </c>
      <c r="S2" t="inlineStr">
        <is>
          <t>Hàng thương mại</t>
        </is>
      </c>
    </row>
    <row r="3">
      <c r="A3" t="n">
        <v>2</v>
      </c>
      <c r="B3" t="inlineStr">
        <is>
          <t>SW-TRD-002</t>
        </is>
      </c>
      <c r="C3" t="inlineStr">
        <is>
          <t>THƯƠNG MẠI</t>
        </is>
      </c>
      <c r="D3" t="inlineStr">
        <is>
          <t>HỆ THỐNG HÚT KHÓI HẦM XE, HÚT KHÓI SỰ CỐ Quạt hướng trục CEF-B2-Z2-01~02 5490/8910 l/s @ 600/1350 Pa, chống cháy 300°C trong 2h</t>
        </is>
      </c>
      <c r="E3" t="inlineStr">
        <is>
          <t>-</t>
        </is>
      </c>
      <c r="F3" t="inlineStr">
        <is>
          <t>Cái</t>
        </is>
      </c>
      <c r="G3" s="390" t="n">
        <v>2</v>
      </c>
      <c r="H3" s="390">
        <f>SUMIF('01_BOC_TACH_ONG'!B:B, B3, '01_BOC_TACH_ONG'!K:K)</f>
        <v/>
      </c>
      <c r="I3" s="390">
        <f>SUMIF('02_BOC_TACH_CUA'!B:B, B3, '02_BOC_TACH_CUA'!K:K)</f>
        <v/>
      </c>
      <c r="J3" s="390">
        <f>SUMIF('03_BOC_TACH_VAN'!B:B, B3, '03_BOC_TACH_VAN'!K:K)</f>
        <v/>
      </c>
      <c r="K3" s="390">
        <f>SUM(H3:J3)</f>
        <v/>
      </c>
      <c r="L3" s="390">
        <f>K3*0.00</f>
        <v/>
      </c>
      <c r="M3" s="390">
        <f>K3*0.02</f>
        <v/>
      </c>
      <c r="N3" s="390">
        <f>K3+L3+M3</f>
        <v/>
      </c>
      <c r="O3" s="390">
        <f>IF(G3&gt;0, N3/G3, 0)</f>
        <v/>
      </c>
      <c r="P3" s="391" t="n">
        <v>0.1</v>
      </c>
      <c r="Q3" s="390">
        <f>O3*(1+P3)</f>
        <v/>
      </c>
      <c r="R3" s="390">
        <f>G3*Q3</f>
        <v/>
      </c>
      <c r="S3" t="inlineStr">
        <is>
          <t>Hàng thương mại</t>
        </is>
      </c>
    </row>
    <row r="4">
      <c r="A4" t="n">
        <v>3</v>
      </c>
      <c r="B4" t="inlineStr">
        <is>
          <t>SW-TRD-003</t>
        </is>
      </c>
      <c r="C4" t="inlineStr">
        <is>
          <t>THƯƠNG MẠI</t>
        </is>
      </c>
      <c r="D4" t="inlineStr">
        <is>
          <t>HỆ THỐNG HÚT KHÓI HẦM XE, HÚT KHÓI SỰ CỐ Quạt hướng trục CEF-B1-Z1-01~02 5590/8385 l/s @ 600/1350 Pa, chống cháy 300°C trong 2h</t>
        </is>
      </c>
      <c r="E4" t="inlineStr">
        <is>
          <t>-</t>
        </is>
      </c>
      <c r="F4" t="inlineStr">
        <is>
          <t>Cái</t>
        </is>
      </c>
      <c r="G4" s="390" t="n">
        <v>2</v>
      </c>
      <c r="H4" s="390">
        <f>SUMIF('01_BOC_TACH_ONG'!B:B, B4, '01_BOC_TACH_ONG'!K:K)</f>
        <v/>
      </c>
      <c r="I4" s="390">
        <f>SUMIF('02_BOC_TACH_CUA'!B:B, B4, '02_BOC_TACH_CUA'!K:K)</f>
        <v/>
      </c>
      <c r="J4" s="390">
        <f>SUMIF('03_BOC_TACH_VAN'!B:B, B4, '03_BOC_TACH_VAN'!K:K)</f>
        <v/>
      </c>
      <c r="K4" s="390">
        <f>SUM(H4:J4)</f>
        <v/>
      </c>
      <c r="L4" s="390">
        <f>K4*0.00</f>
        <v/>
      </c>
      <c r="M4" s="390">
        <f>K4*0.02</f>
        <v/>
      </c>
      <c r="N4" s="390">
        <f>K4+L4+M4</f>
        <v/>
      </c>
      <c r="O4" s="390">
        <f>IF(G4&gt;0, N4/G4, 0)</f>
        <v/>
      </c>
      <c r="P4" s="391" t="n">
        <v>0.1</v>
      </c>
      <c r="Q4" s="390">
        <f>O4*(1+P4)</f>
        <v/>
      </c>
      <c r="R4" s="390">
        <f>G4*Q4</f>
        <v/>
      </c>
      <c r="S4" t="inlineStr">
        <is>
          <t>Hàng thương mại</t>
        </is>
      </c>
    </row>
    <row r="5">
      <c r="A5" t="n">
        <v>4</v>
      </c>
      <c r="B5" t="inlineStr">
        <is>
          <t>SW-TRD-004</t>
        </is>
      </c>
      <c r="C5" t="inlineStr">
        <is>
          <t>THƯƠNG MẠI</t>
        </is>
      </c>
      <c r="D5" t="inlineStr">
        <is>
          <t>HỆ THỐNG HÚT KHÓI HẦM XE, HÚT KHÓI SỰ CỐ Quạt hướng trục CEF-B1-Z2-01~02 5135/7700 l/s @ 600/1350 Pa, chống cháy 300°C trong 2h</t>
        </is>
      </c>
      <c r="E5" t="inlineStr">
        <is>
          <t>-</t>
        </is>
      </c>
      <c r="F5" t="inlineStr">
        <is>
          <t>Cái</t>
        </is>
      </c>
      <c r="G5" s="390" t="n">
        <v>2</v>
      </c>
      <c r="H5" s="390">
        <f>SUMIF('01_BOC_TACH_ONG'!B:B, B5, '01_BOC_TACH_ONG'!K:K)</f>
        <v/>
      </c>
      <c r="I5" s="390">
        <f>SUMIF('02_BOC_TACH_CUA'!B:B, B5, '02_BOC_TACH_CUA'!K:K)</f>
        <v/>
      </c>
      <c r="J5" s="390">
        <f>SUMIF('03_BOC_TACH_VAN'!B:B, B5, '03_BOC_TACH_VAN'!K:K)</f>
        <v/>
      </c>
      <c r="K5" s="390">
        <f>SUM(H5:J5)</f>
        <v/>
      </c>
      <c r="L5" s="390">
        <f>K5*0.00</f>
        <v/>
      </c>
      <c r="M5" s="390">
        <f>K5*0.02</f>
        <v/>
      </c>
      <c r="N5" s="390">
        <f>K5+L5+M5</f>
        <v/>
      </c>
      <c r="O5" s="390">
        <f>IF(G5&gt;0, N5/G5, 0)</f>
        <v/>
      </c>
      <c r="P5" s="391" t="n">
        <v>0.1</v>
      </c>
      <c r="Q5" s="390">
        <f>O5*(1+P5)</f>
        <v/>
      </c>
      <c r="R5" s="390">
        <f>G5*Q5</f>
        <v/>
      </c>
      <c r="S5" t="inlineStr">
        <is>
          <t>Hàng thương mại</t>
        </is>
      </c>
    </row>
    <row r="6">
      <c r="A6" t="n">
        <v>5</v>
      </c>
      <c r="B6" t="inlineStr">
        <is>
          <t>SW-TRD-005</t>
        </is>
      </c>
      <c r="C6" t="inlineStr">
        <is>
          <t>THƯƠNG MẠI</t>
        </is>
      </c>
      <c r="D6" t="inlineStr">
        <is>
          <t>HỆ THỐNG HÚT KHÓI HẦM XE, HÚT KHÓI SỰ CỐ Quạt hướng trục SEF-B1-Z2-01 4800 l/s @ 500 Pa, chống cháy 300°C trong 2h</t>
        </is>
      </c>
      <c r="E6" t="inlineStr">
        <is>
          <t>-</t>
        </is>
      </c>
      <c r="F6" t="inlineStr">
        <is>
          <t>Cái</t>
        </is>
      </c>
      <c r="G6" s="390" t="n">
        <v>1</v>
      </c>
      <c r="H6" s="390">
        <f>SUMIF('01_BOC_TACH_ONG'!B:B, B6, '01_BOC_TACH_ONG'!K:K)</f>
        <v/>
      </c>
      <c r="I6" s="390">
        <f>SUMIF('02_BOC_TACH_CUA'!B:B, B6, '02_BOC_TACH_CUA'!K:K)</f>
        <v/>
      </c>
      <c r="J6" s="390">
        <f>SUMIF('03_BOC_TACH_VAN'!B:B, B6, '03_BOC_TACH_VAN'!K:K)</f>
        <v/>
      </c>
      <c r="K6" s="390">
        <f>SUM(H6:J6)</f>
        <v/>
      </c>
      <c r="L6" s="390">
        <f>K6*0.00</f>
        <v/>
      </c>
      <c r="M6" s="390">
        <f>K6*0.02</f>
        <v/>
      </c>
      <c r="N6" s="390">
        <f>K6+L6+M6</f>
        <v/>
      </c>
      <c r="O6" s="390">
        <f>IF(G6&gt;0, N6/G6, 0)</f>
        <v/>
      </c>
      <c r="P6" s="391" t="n">
        <v>0.1</v>
      </c>
      <c r="Q6" s="390">
        <f>O6*(1+P6)</f>
        <v/>
      </c>
      <c r="R6" s="390">
        <f>G6*Q6</f>
        <v/>
      </c>
      <c r="S6" t="inlineStr">
        <is>
          <t>Hàng thương mại</t>
        </is>
      </c>
    </row>
    <row r="7">
      <c r="A7" t="n">
        <v>6</v>
      </c>
      <c r="B7" t="inlineStr">
        <is>
          <t>SW-TRD-006</t>
        </is>
      </c>
      <c r="C7" t="inlineStr">
        <is>
          <t>THƯƠNG MẠI</t>
        </is>
      </c>
      <c r="D7" t="inlineStr">
        <is>
          <t>HỆ THỐNG HÚT KHÓI HẦM XE, HÚT KHÓI SỰ CỐ Quạt hướng trục SEF-A1.1-03F-01~02 7400 l/s @ 400 Pa, chống cháy 300°C trong 2h</t>
        </is>
      </c>
      <c r="E7" t="inlineStr">
        <is>
          <t>-</t>
        </is>
      </c>
      <c r="F7" t="inlineStr">
        <is>
          <t>Cái</t>
        </is>
      </c>
      <c r="G7" s="390" t="n">
        <v>2</v>
      </c>
      <c r="H7" s="390">
        <f>SUMIF('01_BOC_TACH_ONG'!B:B, B7, '01_BOC_TACH_ONG'!K:K)</f>
        <v/>
      </c>
      <c r="I7" s="390">
        <f>SUMIF('02_BOC_TACH_CUA'!B:B, B7, '02_BOC_TACH_CUA'!K:K)</f>
        <v/>
      </c>
      <c r="J7" s="390">
        <f>SUMIF('03_BOC_TACH_VAN'!B:B, B7, '03_BOC_TACH_VAN'!K:K)</f>
        <v/>
      </c>
      <c r="K7" s="390">
        <f>SUM(H7:J7)</f>
        <v/>
      </c>
      <c r="L7" s="390">
        <f>K7*0.00</f>
        <v/>
      </c>
      <c r="M7" s="390">
        <f>K7*0.02</f>
        <v/>
      </c>
      <c r="N7" s="390">
        <f>K7+L7+M7</f>
        <v/>
      </c>
      <c r="O7" s="390">
        <f>IF(G7&gt;0, N7/G7, 0)</f>
        <v/>
      </c>
      <c r="P7" s="391" t="n">
        <v>0.1</v>
      </c>
      <c r="Q7" s="390">
        <f>O7*(1+P7)</f>
        <v/>
      </c>
      <c r="R7" s="390">
        <f>G7*Q7</f>
        <v/>
      </c>
      <c r="S7" t="inlineStr">
        <is>
          <t>Hàng thương mại</t>
        </is>
      </c>
    </row>
    <row r="8">
      <c r="A8" t="n">
        <v>7</v>
      </c>
      <c r="B8" t="inlineStr">
        <is>
          <t>SW-TRD-007</t>
        </is>
      </c>
      <c r="C8" t="inlineStr">
        <is>
          <t>THƯƠNG MẠI</t>
        </is>
      </c>
      <c r="D8" t="inlineStr">
        <is>
          <t>HỆ THỐNG HÚT KHÓI HẦM XE, HÚT KHÓI SỰ CỐ Quạt hướng trục SEF-A1.2-03F-01~02 6700 l/s @ 500 Pa, chống cháy 300°C trong 2h</t>
        </is>
      </c>
      <c r="E8" t="inlineStr">
        <is>
          <t>-</t>
        </is>
      </c>
      <c r="F8" t="inlineStr">
        <is>
          <t>Cái</t>
        </is>
      </c>
      <c r="G8" s="390" t="n">
        <v>2</v>
      </c>
      <c r="H8" s="390">
        <f>SUMIF('01_BOC_TACH_ONG'!B:B, B8, '01_BOC_TACH_ONG'!K:K)</f>
        <v/>
      </c>
      <c r="I8" s="390">
        <f>SUMIF('02_BOC_TACH_CUA'!B:B, B8, '02_BOC_TACH_CUA'!K:K)</f>
        <v/>
      </c>
      <c r="J8" s="390">
        <f>SUMIF('03_BOC_TACH_VAN'!B:B, B8, '03_BOC_TACH_VAN'!K:K)</f>
        <v/>
      </c>
      <c r="K8" s="390">
        <f>SUM(H8:J8)</f>
        <v/>
      </c>
      <c r="L8" s="390">
        <f>K8*0.00</f>
        <v/>
      </c>
      <c r="M8" s="390">
        <f>K8*0.02</f>
        <v/>
      </c>
      <c r="N8" s="390">
        <f>K8+L8+M8</f>
        <v/>
      </c>
      <c r="O8" s="390">
        <f>IF(G8&gt;0, N8/G8, 0)</f>
        <v/>
      </c>
      <c r="P8" s="391" t="n">
        <v>0.1</v>
      </c>
      <c r="Q8" s="390">
        <f>O8*(1+P8)</f>
        <v/>
      </c>
      <c r="R8" s="390">
        <f>G8*Q8</f>
        <v/>
      </c>
      <c r="S8" t="inlineStr">
        <is>
          <t>Hàng thương mại</t>
        </is>
      </c>
    </row>
    <row r="9">
      <c r="A9" t="n">
        <v>8</v>
      </c>
      <c r="B9" t="inlineStr">
        <is>
          <t>SW-TRD-008</t>
        </is>
      </c>
      <c r="C9" t="inlineStr">
        <is>
          <t>THƯƠNG MẠI</t>
        </is>
      </c>
      <c r="D9" t="inlineStr">
        <is>
          <t>HỆ THỐNG HÚT KHÓI HẦM XE, HÚT KHÓI SỰ CỐ Quạt hướng trục SEF-A1.2-03F-03 5100 l/s @ 500 Pa, chống cháy 300°C trong 2h</t>
        </is>
      </c>
      <c r="E9" t="inlineStr">
        <is>
          <t>-</t>
        </is>
      </c>
      <c r="F9" t="inlineStr">
        <is>
          <t>Cái</t>
        </is>
      </c>
      <c r="G9" s="390" t="n">
        <v>1</v>
      </c>
      <c r="H9" s="390">
        <f>SUMIF('01_BOC_TACH_ONG'!B:B, B9, '01_BOC_TACH_ONG'!K:K)</f>
        <v/>
      </c>
      <c r="I9" s="390">
        <f>SUMIF('02_BOC_TACH_CUA'!B:B, B9, '02_BOC_TACH_CUA'!K:K)</f>
        <v/>
      </c>
      <c r="J9" s="390">
        <f>SUMIF('03_BOC_TACH_VAN'!B:B, B9, '03_BOC_TACH_VAN'!K:K)</f>
        <v/>
      </c>
      <c r="K9" s="390">
        <f>SUM(H9:J9)</f>
        <v/>
      </c>
      <c r="L9" s="390">
        <f>K9*0.00</f>
        <v/>
      </c>
      <c r="M9" s="390">
        <f>K9*0.02</f>
        <v/>
      </c>
      <c r="N9" s="390">
        <f>K9+L9+M9</f>
        <v/>
      </c>
      <c r="O9" s="390">
        <f>IF(G9&gt;0, N9/G9, 0)</f>
        <v/>
      </c>
      <c r="P9" s="391" t="n">
        <v>0.1</v>
      </c>
      <c r="Q9" s="390">
        <f>O9*(1+P9)</f>
        <v/>
      </c>
      <c r="R9" s="390">
        <f>G9*Q9</f>
        <v/>
      </c>
      <c r="S9" t="inlineStr">
        <is>
          <t>Hàng thương mại</t>
        </is>
      </c>
    </row>
    <row r="10">
      <c r="A10" t="n">
        <v>9</v>
      </c>
      <c r="B10" t="inlineStr">
        <is>
          <t>SW-TRD-009</t>
        </is>
      </c>
      <c r="C10" t="inlineStr">
        <is>
          <t>THƯƠNG MẠI</t>
        </is>
      </c>
      <c r="D10" t="inlineStr">
        <is>
          <t>HỆ THỐNG HÚT KHÓI HẦM XE, HÚT KHÓI SỰ CỐ Quạt hướng trục SEF-A1.3-03F-01~03 4800 l/s @ 500 Pa, chống cháy 300°C trong 2h</t>
        </is>
      </c>
      <c r="E10" t="inlineStr">
        <is>
          <t>-</t>
        </is>
      </c>
      <c r="F10" t="inlineStr">
        <is>
          <t>Cái</t>
        </is>
      </c>
      <c r="G10" s="390" t="n">
        <v>3</v>
      </c>
      <c r="H10" s="390">
        <f>SUMIF('01_BOC_TACH_ONG'!B:B, B10, '01_BOC_TACH_ONG'!K:K)</f>
        <v/>
      </c>
      <c r="I10" s="390">
        <f>SUMIF('02_BOC_TACH_CUA'!B:B, B10, '02_BOC_TACH_CUA'!K:K)</f>
        <v/>
      </c>
      <c r="J10" s="390">
        <f>SUMIF('03_BOC_TACH_VAN'!B:B, B10, '03_BOC_TACH_VAN'!K:K)</f>
        <v/>
      </c>
      <c r="K10" s="390">
        <f>SUM(H10:J10)</f>
        <v/>
      </c>
      <c r="L10" s="390">
        <f>K10*0.00</f>
        <v/>
      </c>
      <c r="M10" s="390">
        <f>K10*0.02</f>
        <v/>
      </c>
      <c r="N10" s="390">
        <f>K10+L10+M10</f>
        <v/>
      </c>
      <c r="O10" s="390">
        <f>IF(G10&gt;0, N10/G10, 0)</f>
        <v/>
      </c>
      <c r="P10" s="391" t="n">
        <v>0.1</v>
      </c>
      <c r="Q10" s="390">
        <f>O10*(1+P10)</f>
        <v/>
      </c>
      <c r="R10" s="390">
        <f>G10*Q10</f>
        <v/>
      </c>
      <c r="S10" t="inlineStr">
        <is>
          <t>Hàng thương mại</t>
        </is>
      </c>
    </row>
    <row r="11">
      <c r="A11" t="n">
        <v>10</v>
      </c>
      <c r="B11" t="inlineStr">
        <is>
          <t>SW-TRD-010</t>
        </is>
      </c>
      <c r="C11" t="inlineStr">
        <is>
          <t>THƯƠNG MẠI</t>
        </is>
      </c>
      <c r="D11" t="inlineStr">
        <is>
          <t>HỆ THỐNG HÚT KHÓI HẦM XE, HÚT KHÓI SỰ CỐ Quạt hướng trục SEF-A1.3-03F-04 4800 l/s @ 450 Pa, chống cháy 300°C trong 2h</t>
        </is>
      </c>
      <c r="E11" t="inlineStr">
        <is>
          <t>-</t>
        </is>
      </c>
      <c r="F11" t="inlineStr">
        <is>
          <t>Cái</t>
        </is>
      </c>
      <c r="G11" s="390" t="n">
        <v>1</v>
      </c>
      <c r="H11" s="390">
        <f>SUMIF('01_BOC_TACH_ONG'!B:B, B11, '01_BOC_TACH_ONG'!K:K)</f>
        <v/>
      </c>
      <c r="I11" s="390">
        <f>SUMIF('02_BOC_TACH_CUA'!B:B, B11, '02_BOC_TACH_CUA'!K:K)</f>
        <v/>
      </c>
      <c r="J11" s="390">
        <f>SUMIF('03_BOC_TACH_VAN'!B:B, B11, '03_BOC_TACH_VAN'!K:K)</f>
        <v/>
      </c>
      <c r="K11" s="390">
        <f>SUM(H11:J11)</f>
        <v/>
      </c>
      <c r="L11" s="390">
        <f>K11*0.00</f>
        <v/>
      </c>
      <c r="M11" s="390">
        <f>K11*0.02</f>
        <v/>
      </c>
      <c r="N11" s="390">
        <f>K11+L11+M11</f>
        <v/>
      </c>
      <c r="O11" s="390">
        <f>IF(G11&gt;0, N11/G11, 0)</f>
        <v/>
      </c>
      <c r="P11" s="391" t="n">
        <v>0.1</v>
      </c>
      <c r="Q11" s="390">
        <f>O11*(1+P11)</f>
        <v/>
      </c>
      <c r="R11" s="390">
        <f>G11*Q11</f>
        <v/>
      </c>
      <c r="S11" t="inlineStr">
        <is>
          <t>Hàng thương mại</t>
        </is>
      </c>
    </row>
    <row r="12">
      <c r="A12" t="n">
        <v>11</v>
      </c>
      <c r="B12" t="inlineStr">
        <is>
          <t>SW-TRD-011</t>
        </is>
      </c>
      <c r="C12" t="inlineStr">
        <is>
          <t>THƯƠNG MẠI</t>
        </is>
      </c>
      <c r="D12" t="inlineStr">
        <is>
          <t>HỆ THỐNG HÚT KHÓI HẦM XE, HÚT KHÓI SỰ CỐ Quạt hướng trục SEF-A1.3-03F-05~07 4800 l/s @ 500 Pa, chống cháy 300°C trong 2h</t>
        </is>
      </c>
      <c r="E12" t="inlineStr">
        <is>
          <t>-</t>
        </is>
      </c>
      <c r="F12" t="inlineStr">
        <is>
          <t>Cái</t>
        </is>
      </c>
      <c r="G12" s="390" t="n">
        <v>3</v>
      </c>
      <c r="H12" s="390">
        <f>SUMIF('01_BOC_TACH_ONG'!B:B, B12, '01_BOC_TACH_ONG'!K:K)</f>
        <v/>
      </c>
      <c r="I12" s="390">
        <f>SUMIF('02_BOC_TACH_CUA'!B:B, B12, '02_BOC_TACH_CUA'!K:K)</f>
        <v/>
      </c>
      <c r="J12" s="390">
        <f>SUMIF('03_BOC_TACH_VAN'!B:B, B12, '03_BOC_TACH_VAN'!K:K)</f>
        <v/>
      </c>
      <c r="K12" s="390">
        <f>SUM(H12:J12)</f>
        <v/>
      </c>
      <c r="L12" s="390">
        <f>K12*0.00</f>
        <v/>
      </c>
      <c r="M12" s="390">
        <f>K12*0.02</f>
        <v/>
      </c>
      <c r="N12" s="390">
        <f>K12+L12+M12</f>
        <v/>
      </c>
      <c r="O12" s="390">
        <f>IF(G12&gt;0, N12/G12, 0)</f>
        <v/>
      </c>
      <c r="P12" s="391" t="n">
        <v>0.1</v>
      </c>
      <c r="Q12" s="390">
        <f>O12*(1+P12)</f>
        <v/>
      </c>
      <c r="R12" s="390">
        <f>G12*Q12</f>
        <v/>
      </c>
      <c r="S12" t="inlineStr">
        <is>
          <t>Hàng thương mại</t>
        </is>
      </c>
    </row>
    <row r="13">
      <c r="A13" t="n">
        <v>12</v>
      </c>
      <c r="B13" t="inlineStr">
        <is>
          <t>SW-TRD-012</t>
        </is>
      </c>
      <c r="C13" t="inlineStr">
        <is>
          <t>THƯƠNG MẠI</t>
        </is>
      </c>
      <c r="D13" t="inlineStr">
        <is>
          <t>HỆ THỐNG HÚT KHÓI HẦM XE, HÚT KHÓI SỰ CỐ Quạt hướng trục SEF-A1.3-10F-01 7100 l/s @ 600 Pa, chống cháy 300°C trong 2h</t>
        </is>
      </c>
      <c r="E13" t="inlineStr">
        <is>
          <t>-</t>
        </is>
      </c>
      <c r="F13" t="inlineStr">
        <is>
          <t>Cái</t>
        </is>
      </c>
      <c r="G13" s="390" t="n">
        <v>1</v>
      </c>
      <c r="H13" s="390">
        <f>SUMIF('01_BOC_TACH_ONG'!B:B, B13, '01_BOC_TACH_ONG'!K:K)</f>
        <v/>
      </c>
      <c r="I13" s="390">
        <f>SUMIF('02_BOC_TACH_CUA'!B:B, B13, '02_BOC_TACH_CUA'!K:K)</f>
        <v/>
      </c>
      <c r="J13" s="390">
        <f>SUMIF('03_BOC_TACH_VAN'!B:B, B13, '03_BOC_TACH_VAN'!K:K)</f>
        <v/>
      </c>
      <c r="K13" s="390">
        <f>SUM(H13:J13)</f>
        <v/>
      </c>
      <c r="L13" s="390">
        <f>K13*0.00</f>
        <v/>
      </c>
      <c r="M13" s="390">
        <f>K13*0.02</f>
        <v/>
      </c>
      <c r="N13" s="390">
        <f>K13+L13+M13</f>
        <v/>
      </c>
      <c r="O13" s="390">
        <f>IF(G13&gt;0, N13/G13, 0)</f>
        <v/>
      </c>
      <c r="P13" s="391" t="n">
        <v>0.1</v>
      </c>
      <c r="Q13" s="390">
        <f>O13*(1+P13)</f>
        <v/>
      </c>
      <c r="R13" s="390">
        <f>G13*Q13</f>
        <v/>
      </c>
      <c r="S13" t="inlineStr">
        <is>
          <t>Hàng thương mại</t>
        </is>
      </c>
    </row>
    <row r="14">
      <c r="A14" t="n">
        <v>13</v>
      </c>
      <c r="B14" t="inlineStr">
        <is>
          <t>SW-TRD-013</t>
        </is>
      </c>
      <c r="C14" t="inlineStr">
        <is>
          <t>THƯƠNG MẠI</t>
        </is>
      </c>
      <c r="D14" t="inlineStr">
        <is>
          <t>HỆ THỐNG HÚT KHÓI HẦM XE, HÚT KHÓI SỰ CỐ Quạt hướng trục SEF-A1.2-12F-01 8800 l/s @ 650 Pa, chống cháy 300°C trong 2h</t>
        </is>
      </c>
      <c r="E14" t="inlineStr">
        <is>
          <t>-</t>
        </is>
      </c>
      <c r="F14" t="inlineStr">
        <is>
          <t>Cái</t>
        </is>
      </c>
      <c r="G14" s="390" t="n">
        <v>1</v>
      </c>
      <c r="H14" s="390">
        <f>SUMIF('01_BOC_TACH_ONG'!B:B, B14, '01_BOC_TACH_ONG'!K:K)</f>
        <v/>
      </c>
      <c r="I14" s="390">
        <f>SUMIF('02_BOC_TACH_CUA'!B:B, B14, '02_BOC_TACH_CUA'!K:K)</f>
        <v/>
      </c>
      <c r="J14" s="390">
        <f>SUMIF('03_BOC_TACH_VAN'!B:B, B14, '03_BOC_TACH_VAN'!K:K)</f>
        <v/>
      </c>
      <c r="K14" s="390">
        <f>SUM(H14:J14)</f>
        <v/>
      </c>
      <c r="L14" s="390">
        <f>K14*0.00</f>
        <v/>
      </c>
      <c r="M14" s="390">
        <f>K14*0.02</f>
        <v/>
      </c>
      <c r="N14" s="390">
        <f>K14+L14+M14</f>
        <v/>
      </c>
      <c r="O14" s="390">
        <f>IF(G14&gt;0, N14/G14, 0)</f>
        <v/>
      </c>
      <c r="P14" s="391" t="n">
        <v>0.1</v>
      </c>
      <c r="Q14" s="390">
        <f>O14*(1+P14)</f>
        <v/>
      </c>
      <c r="R14" s="390">
        <f>G14*Q14</f>
        <v/>
      </c>
      <c r="S14" t="inlineStr">
        <is>
          <t>Hàng thương mại</t>
        </is>
      </c>
    </row>
    <row r="15">
      <c r="A15" t="n">
        <v>14</v>
      </c>
      <c r="B15" t="inlineStr">
        <is>
          <t>SW-TRD-014</t>
        </is>
      </c>
      <c r="C15" t="inlineStr">
        <is>
          <t>THƯƠNG MẠI</t>
        </is>
      </c>
      <c r="D15" t="inlineStr">
        <is>
          <t>HỆ THỐNG HÚT KHÓI HẦM XE, HÚT KHÓI SỰ CỐ Quạt hướng trục SEF-A1.1-RF-01 8100 l/s @ 650 Pa, chống cháy 300°C trong 2h</t>
        </is>
      </c>
      <c r="E15" t="inlineStr">
        <is>
          <t>-</t>
        </is>
      </c>
      <c r="F15" t="inlineStr">
        <is>
          <t>Cái</t>
        </is>
      </c>
      <c r="G15" s="390" t="n">
        <v>1</v>
      </c>
      <c r="H15" s="390">
        <f>SUMIF('01_BOC_TACH_ONG'!B:B, B15, '01_BOC_TACH_ONG'!K:K)</f>
        <v/>
      </c>
      <c r="I15" s="390">
        <f>SUMIF('02_BOC_TACH_CUA'!B:B, B15, '02_BOC_TACH_CUA'!K:K)</f>
        <v/>
      </c>
      <c r="J15" s="390">
        <f>SUMIF('03_BOC_TACH_VAN'!B:B, B15, '03_BOC_TACH_VAN'!K:K)</f>
        <v/>
      </c>
      <c r="K15" s="390">
        <f>SUM(H15:J15)</f>
        <v/>
      </c>
      <c r="L15" s="390">
        <f>K15*0.00</f>
        <v/>
      </c>
      <c r="M15" s="390">
        <f>K15*0.02</f>
        <v/>
      </c>
      <c r="N15" s="390">
        <f>K15+L15+M15</f>
        <v/>
      </c>
      <c r="O15" s="390">
        <f>IF(G15&gt;0, N15/G15, 0)</f>
        <v/>
      </c>
      <c r="P15" s="391" t="n">
        <v>0.1</v>
      </c>
      <c r="Q15" s="390">
        <f>O15*(1+P15)</f>
        <v/>
      </c>
      <c r="R15" s="390">
        <f>G15*Q15</f>
        <v/>
      </c>
      <c r="S15" t="inlineStr">
        <is>
          <t>Hàng thương mại</t>
        </is>
      </c>
    </row>
    <row r="16">
      <c r="A16" t="n">
        <v>15</v>
      </c>
      <c r="B16" t="inlineStr">
        <is>
          <t>SW-CV-015</t>
        </is>
      </c>
      <c r="C16" t="inlineStr">
        <is>
          <t>KHỚP NỐI MỀM</t>
        </is>
      </c>
      <c r="D16" t="inlineStr">
        <is>
          <t>HỆ THỐNG HÚT KHÓI HẦM XE, HÚT KHÓI SỰ CỐ Canvas loại chống cháy cho quạt TAHK</t>
        </is>
      </c>
      <c r="E16" t="inlineStr">
        <is>
          <t>D1000</t>
        </is>
      </c>
      <c r="F16" t="inlineStr">
        <is>
          <t>cái</t>
        </is>
      </c>
      <c r="G16" s="390" t="n">
        <v>15</v>
      </c>
      <c r="H16" s="390">
        <f>SUMIF('01_BOC_TACH_ONG'!B:B, B16, '01_BOC_TACH_ONG'!K:K)</f>
        <v/>
      </c>
      <c r="I16" s="390">
        <f>SUMIF('02_BOC_TACH_CUA'!B:B, B16, '02_BOC_TACH_CUA'!K:K)</f>
        <v/>
      </c>
      <c r="J16" s="390">
        <f>SUMIF('03_BOC_TACH_VAN'!B:B, B16, '03_BOC_TACH_VAN'!K:K)</f>
        <v/>
      </c>
      <c r="K16" s="390">
        <f>SUM(H16:J16)</f>
        <v/>
      </c>
      <c r="L16" s="390">
        <f>K16*0.25</f>
        <v/>
      </c>
      <c r="M16" s="390">
        <f>K16*0.10</f>
        <v/>
      </c>
      <c r="N16" s="390">
        <f>K16+L16+M16</f>
        <v/>
      </c>
      <c r="O16" s="390">
        <f>IF(G16&gt;0, N16/G16, 0)</f>
        <v/>
      </c>
      <c r="P16" s="391" t="n">
        <v>0.18</v>
      </c>
      <c r="Q16" s="390">
        <f>O16*(1+P16)</f>
        <v/>
      </c>
      <c r="R16" s="390">
        <f>G16*Q16</f>
        <v/>
      </c>
      <c r="S16" t="inlineStr"/>
    </row>
    <row r="17">
      <c r="A17" t="n">
        <v>16</v>
      </c>
      <c r="B17" t="inlineStr">
        <is>
          <t>SW-CV-016</t>
        </is>
      </c>
      <c r="C17" t="inlineStr">
        <is>
          <t>KHỚP NỐI MỀM</t>
        </is>
      </c>
      <c r="D17" t="inlineStr">
        <is>
          <t>HỆ THỐNG HÚT KHÓI HẦM XE, HÚT KHÓI SỰ CỐ Canvas loại chống cháy cho quạt TAHK</t>
        </is>
      </c>
      <c r="E17" t="inlineStr">
        <is>
          <t>D900</t>
        </is>
      </c>
      <c r="F17" t="inlineStr">
        <is>
          <t>cái</t>
        </is>
      </c>
      <c r="G17" s="390" t="n">
        <v>40</v>
      </c>
      <c r="H17" s="390">
        <f>SUMIF('01_BOC_TACH_ONG'!B:B, B17, '01_BOC_TACH_ONG'!K:K)</f>
        <v/>
      </c>
      <c r="I17" s="390">
        <f>SUMIF('02_BOC_TACH_CUA'!B:B, B17, '02_BOC_TACH_CUA'!K:K)</f>
        <v/>
      </c>
      <c r="J17" s="390">
        <f>SUMIF('03_BOC_TACH_VAN'!B:B, B17, '03_BOC_TACH_VAN'!K:K)</f>
        <v/>
      </c>
      <c r="K17" s="390">
        <f>SUM(H17:J17)</f>
        <v/>
      </c>
      <c r="L17" s="390">
        <f>K17*0.25</f>
        <v/>
      </c>
      <c r="M17" s="390">
        <f>K17*0.10</f>
        <v/>
      </c>
      <c r="N17" s="390">
        <f>K17+L17+M17</f>
        <v/>
      </c>
      <c r="O17" s="390">
        <f>IF(G17&gt;0, N17/G17, 0)</f>
        <v/>
      </c>
      <c r="P17" s="391" t="n">
        <v>0.18</v>
      </c>
      <c r="Q17" s="390">
        <f>O17*(1+P17)</f>
        <v/>
      </c>
      <c r="R17" s="390">
        <f>G17*Q17</f>
        <v/>
      </c>
      <c r="S17" t="inlineStr"/>
    </row>
    <row r="18">
      <c r="A18" t="n">
        <v>17</v>
      </c>
      <c r="B18" t="inlineStr">
        <is>
          <t>SW-CV-017</t>
        </is>
      </c>
      <c r="C18" t="inlineStr">
        <is>
          <t>KHỚP NỐI MỀM</t>
        </is>
      </c>
      <c r="D18" t="inlineStr">
        <is>
          <t>HỆ THỐNG HÚT KHÓI HẦM XE, HÚT KHÓI SỰ CỐ Canvas loại chống cháy cho quạt TAHK</t>
        </is>
      </c>
      <c r="E18" t="inlineStr">
        <is>
          <t>D800</t>
        </is>
      </c>
      <c r="F18" t="inlineStr">
        <is>
          <t>cái</t>
        </is>
      </c>
      <c r="G18" s="390" t="n">
        <v>40</v>
      </c>
      <c r="H18" s="390">
        <f>SUMIF('01_BOC_TACH_ONG'!B:B, B18, '01_BOC_TACH_ONG'!K:K)</f>
        <v/>
      </c>
      <c r="I18" s="390">
        <f>SUMIF('02_BOC_TACH_CUA'!B:B, B18, '02_BOC_TACH_CUA'!K:K)</f>
        <v/>
      </c>
      <c r="J18" s="390">
        <f>SUMIF('03_BOC_TACH_VAN'!B:B, B18, '03_BOC_TACH_VAN'!K:K)</f>
        <v/>
      </c>
      <c r="K18" s="390">
        <f>SUM(H18:J18)</f>
        <v/>
      </c>
      <c r="L18" s="390">
        <f>K18*0.25</f>
        <v/>
      </c>
      <c r="M18" s="390">
        <f>K18*0.10</f>
        <v/>
      </c>
      <c r="N18" s="390">
        <f>K18+L18+M18</f>
        <v/>
      </c>
      <c r="O18" s="390">
        <f>IF(G18&gt;0, N18/G18, 0)</f>
        <v/>
      </c>
      <c r="P18" s="391" t="n">
        <v>0.18</v>
      </c>
      <c r="Q18" s="390">
        <f>O18*(1+P18)</f>
        <v/>
      </c>
      <c r="R18" s="390">
        <f>G18*Q18</f>
        <v/>
      </c>
      <c r="S18" t="inlineStr"/>
    </row>
    <row r="19">
      <c r="A19" t="n">
        <v>18</v>
      </c>
      <c r="B19" t="inlineStr">
        <is>
          <t>SW-CV-018</t>
        </is>
      </c>
      <c r="C19" t="inlineStr">
        <is>
          <t>KHỚP NỐI MỀM</t>
        </is>
      </c>
      <c r="D19" t="inlineStr">
        <is>
          <t>HỆ THỐNG HÚT KHÓI HẦM XE, HÚT KHÓI SỰ CỐ Canvas loại chống cháy cho quạt TAHK</t>
        </is>
      </c>
      <c r="E19" t="inlineStr">
        <is>
          <t>D710</t>
        </is>
      </c>
      <c r="F19" t="inlineStr">
        <is>
          <t>cái</t>
        </is>
      </c>
      <c r="G19" s="390" t="n">
        <v>16</v>
      </c>
      <c r="H19" s="390">
        <f>SUMIF('01_BOC_TACH_ONG'!B:B, B19, '01_BOC_TACH_ONG'!K:K)</f>
        <v/>
      </c>
      <c r="I19" s="390">
        <f>SUMIF('02_BOC_TACH_CUA'!B:B, B19, '02_BOC_TACH_CUA'!K:K)</f>
        <v/>
      </c>
      <c r="J19" s="390">
        <f>SUMIF('03_BOC_TACH_VAN'!B:B, B19, '03_BOC_TACH_VAN'!K:K)</f>
        <v/>
      </c>
      <c r="K19" s="390">
        <f>SUM(H19:J19)</f>
        <v/>
      </c>
      <c r="L19" s="390">
        <f>K19*0.25</f>
        <v/>
      </c>
      <c r="M19" s="390">
        <f>K19*0.10</f>
        <v/>
      </c>
      <c r="N19" s="390">
        <f>K19+L19+M19</f>
        <v/>
      </c>
      <c r="O19" s="390">
        <f>IF(G19&gt;0, N19/G19, 0)</f>
        <v/>
      </c>
      <c r="P19" s="391" t="n">
        <v>0.18</v>
      </c>
      <c r="Q19" s="390">
        <f>O19*(1+P19)</f>
        <v/>
      </c>
      <c r="R19" s="390">
        <f>G19*Q19</f>
        <v/>
      </c>
      <c r="S19" t="inlineStr"/>
    </row>
    <row r="20">
      <c r="A20" t="n">
        <v>19</v>
      </c>
      <c r="B20" t="inlineStr">
        <is>
          <t>SW-CV-019</t>
        </is>
      </c>
      <c r="C20" t="inlineStr">
        <is>
          <t>KHỚP NỐI MỀM</t>
        </is>
      </c>
      <c r="D20" t="inlineStr">
        <is>
          <t>HỆ THỐNG HÚT KHÓI HẦM XE, HÚT KHÓI SỰ CỐ Canvas loại chống cháy cho quạt TAHK</t>
        </is>
      </c>
      <c r="E20" t="inlineStr">
        <is>
          <t>D560</t>
        </is>
      </c>
      <c r="F20" t="inlineStr">
        <is>
          <t>cái</t>
        </is>
      </c>
      <c r="G20" s="390" t="n">
        <v>16</v>
      </c>
      <c r="H20" s="390">
        <f>SUMIF('01_BOC_TACH_ONG'!B:B, B20, '01_BOC_TACH_ONG'!K:K)</f>
        <v/>
      </c>
      <c r="I20" s="390">
        <f>SUMIF('02_BOC_TACH_CUA'!B:B, B20, '02_BOC_TACH_CUA'!K:K)</f>
        <v/>
      </c>
      <c r="J20" s="390">
        <f>SUMIF('03_BOC_TACH_VAN'!B:B, B20, '03_BOC_TACH_VAN'!K:K)</f>
        <v/>
      </c>
      <c r="K20" s="390">
        <f>SUM(H20:J20)</f>
        <v/>
      </c>
      <c r="L20" s="390">
        <f>K20*0.25</f>
        <v/>
      </c>
      <c r="M20" s="390">
        <f>K20*0.10</f>
        <v/>
      </c>
      <c r="N20" s="390">
        <f>K20+L20+M20</f>
        <v/>
      </c>
      <c r="O20" s="390">
        <f>IF(G20&gt;0, N20/G20, 0)</f>
        <v/>
      </c>
      <c r="P20" s="391" t="n">
        <v>0.18</v>
      </c>
      <c r="Q20" s="390">
        <f>O20*(1+P20)</f>
        <v/>
      </c>
      <c r="R20" s="390">
        <f>G20*Q20</f>
        <v/>
      </c>
      <c r="S20" t="inlineStr"/>
    </row>
    <row r="21">
      <c r="A21" t="n">
        <v>20</v>
      </c>
      <c r="B21" t="inlineStr">
        <is>
          <t>SW-CV-020</t>
        </is>
      </c>
      <c r="C21" t="inlineStr">
        <is>
          <t>KHỚP NỐI MỀM</t>
        </is>
      </c>
      <c r="D21" t="inlineStr">
        <is>
          <t>HỆ THỐNG HÚT KHÓI HẦM XE, HÚT KHÓI SỰ CỐ Canvas loại thường cho quạt thông gió</t>
        </is>
      </c>
      <c r="E21" t="inlineStr">
        <is>
          <t>D1000</t>
        </is>
      </c>
      <c r="F21" t="inlineStr">
        <is>
          <t>cái</t>
        </is>
      </c>
      <c r="G21" s="390" t="n">
        <v>32</v>
      </c>
      <c r="H21" s="390">
        <f>SUMIF('01_BOC_TACH_ONG'!B:B, B21, '01_BOC_TACH_ONG'!K:K)</f>
        <v/>
      </c>
      <c r="I21" s="390">
        <f>SUMIF('02_BOC_TACH_CUA'!B:B, B21, '02_BOC_TACH_CUA'!K:K)</f>
        <v/>
      </c>
      <c r="J21" s="390">
        <f>SUMIF('03_BOC_TACH_VAN'!B:B, B21, '03_BOC_TACH_VAN'!K:K)</f>
        <v/>
      </c>
      <c r="K21" s="390">
        <f>SUM(H21:J21)</f>
        <v/>
      </c>
      <c r="L21" s="390">
        <f>K21*0.25</f>
        <v/>
      </c>
      <c r="M21" s="390">
        <f>K21*0.10</f>
        <v/>
      </c>
      <c r="N21" s="390">
        <f>K21+L21+M21</f>
        <v/>
      </c>
      <c r="O21" s="390">
        <f>IF(G21&gt;0, N21/G21, 0)</f>
        <v/>
      </c>
      <c r="P21" s="391" t="n">
        <v>0.18</v>
      </c>
      <c r="Q21" s="390">
        <f>O21*(1+P21)</f>
        <v/>
      </c>
      <c r="R21" s="390">
        <f>G21*Q21</f>
        <v/>
      </c>
      <c r="S21" t="inlineStr"/>
    </row>
    <row r="22">
      <c r="A22" t="n">
        <v>21</v>
      </c>
      <c r="B22" t="inlineStr">
        <is>
          <t>SW-CV-021</t>
        </is>
      </c>
      <c r="C22" t="inlineStr">
        <is>
          <t>KHỚP NỐI MỀM</t>
        </is>
      </c>
      <c r="D22" t="inlineStr">
        <is>
          <t>HỆ THỐNG HÚT KHÓI HẦM XE, HÚT KHÓI SỰ CỐ Canvas loại thường cho quạt thông gió</t>
        </is>
      </c>
      <c r="E22" t="inlineStr">
        <is>
          <t>D560</t>
        </is>
      </c>
      <c r="F22" t="inlineStr">
        <is>
          <t>cái</t>
        </is>
      </c>
      <c r="G22" s="390" t="n">
        <v>24</v>
      </c>
      <c r="H22" s="390">
        <f>SUMIF('01_BOC_TACH_ONG'!B:B, B22, '01_BOC_TACH_ONG'!K:K)</f>
        <v/>
      </c>
      <c r="I22" s="390">
        <f>SUMIF('02_BOC_TACH_CUA'!B:B, B22, '02_BOC_TACH_CUA'!K:K)</f>
        <v/>
      </c>
      <c r="J22" s="390">
        <f>SUMIF('03_BOC_TACH_VAN'!B:B, B22, '03_BOC_TACH_VAN'!K:K)</f>
        <v/>
      </c>
      <c r="K22" s="390">
        <f>SUM(H22:J22)</f>
        <v/>
      </c>
      <c r="L22" s="390">
        <f>K22*0.25</f>
        <v/>
      </c>
      <c r="M22" s="390">
        <f>K22*0.10</f>
        <v/>
      </c>
      <c r="N22" s="390">
        <f>K22+L22+M22</f>
        <v/>
      </c>
      <c r="O22" s="390">
        <f>IF(G22&gt;0, N22/G22, 0)</f>
        <v/>
      </c>
      <c r="P22" s="391" t="n">
        <v>0.18</v>
      </c>
      <c r="Q22" s="390">
        <f>O22*(1+P22)</f>
        <v/>
      </c>
      <c r="R22" s="390">
        <f>G22*Q22</f>
        <v/>
      </c>
      <c r="S22" t="inlineStr"/>
    </row>
    <row r="23">
      <c r="A23" t="n">
        <v>22</v>
      </c>
      <c r="B23" t="inlineStr">
        <is>
          <t>SW-ACST-022</t>
        </is>
      </c>
      <c r="C23" t="inlineStr">
        <is>
          <t>VÁCH NGĂN / HỘP TIÊU ÂM</t>
        </is>
      </c>
      <c r="D23" t="inlineStr">
        <is>
          <t>HỆ THỐNG HÚT KHÓI HẦM XE, HÚT KHÓI SỰ CỐ Tiêu âm quạt</t>
        </is>
      </c>
      <c r="E23" t="inlineStr">
        <is>
          <t>-</t>
        </is>
      </c>
      <c r="F23" t="inlineStr">
        <is>
          <t>Bộ</t>
        </is>
      </c>
      <c r="G23" s="390" t="n">
        <v>16</v>
      </c>
      <c r="H23" s="390">
        <f>SUMIF('01_BOC_TACH_ONG'!B:B, B23, '01_BOC_TACH_ONG'!K:K)</f>
        <v/>
      </c>
      <c r="I23" s="390">
        <f>SUMIF('02_BOC_TACH_CUA'!B:B, B23, '02_BOC_TACH_CUA'!K:K)</f>
        <v/>
      </c>
      <c r="J23" s="390">
        <f>SUMIF('03_BOC_TACH_VAN'!B:B, B23, '03_BOC_TACH_VAN'!K:K)</f>
        <v/>
      </c>
      <c r="K23" s="390">
        <f>SUM(H23:J23)</f>
        <v/>
      </c>
      <c r="L23" s="390">
        <f>K23*0.25</f>
        <v/>
      </c>
      <c r="M23" s="390">
        <f>K23*0.10</f>
        <v/>
      </c>
      <c r="N23" s="390">
        <f>K23+L23+M23</f>
        <v/>
      </c>
      <c r="O23" s="390">
        <f>IF(G23&gt;0, N23/G23, 0)</f>
        <v/>
      </c>
      <c r="P23" s="391" t="n">
        <v>0.18</v>
      </c>
      <c r="Q23" s="390">
        <f>O23*(1+P23)</f>
        <v/>
      </c>
      <c r="R23" s="390">
        <f>G23*Q23</f>
        <v/>
      </c>
      <c r="S23" t="inlineStr"/>
    </row>
    <row r="24">
      <c r="A24" t="n">
        <v>23</v>
      </c>
      <c r="B24" t="inlineStr">
        <is>
          <t>SW-DAMPER-023</t>
        </is>
      </c>
      <c r="C24" t="inlineStr">
        <is>
          <t>VAN GIÓ</t>
        </is>
      </c>
      <c r="D24" t="inlineStr">
        <is>
          <t>HỆ THỐNG HÚT KHÓI HẦM XE, HÚT KHÓI SỰ CỐ Van 1 chiều NRD 1250x1250 (EI60)</t>
        </is>
      </c>
      <c r="E24" t="inlineStr">
        <is>
          <t>1250x1250</t>
        </is>
      </c>
      <c r="F24" t="inlineStr">
        <is>
          <t>Cái</t>
        </is>
      </c>
      <c r="G24" s="390" t="n">
        <v>6</v>
      </c>
      <c r="H24" s="390">
        <f>SUMIF('01_BOC_TACH_ONG'!B:B, B24, '01_BOC_TACH_ONG'!K:K)</f>
        <v/>
      </c>
      <c r="I24" s="390">
        <f>SUMIF('02_BOC_TACH_CUA'!B:B, B24, '02_BOC_TACH_CUA'!K:K)</f>
        <v/>
      </c>
      <c r="J24" s="390">
        <f>SUMIF('03_BOC_TACH_VAN'!B:B, B24, '03_BOC_TACH_VAN'!K:K)</f>
        <v/>
      </c>
      <c r="K24" s="390">
        <f>SUM(H24:J24)</f>
        <v/>
      </c>
      <c r="L24" s="390">
        <f>K24*0.25</f>
        <v/>
      </c>
      <c r="M24" s="390">
        <f>K24*0.10</f>
        <v/>
      </c>
      <c r="N24" s="390">
        <f>K24+L24+M24</f>
        <v/>
      </c>
      <c r="O24" s="390">
        <f>IF(G24&gt;0, N24/G24, 0)</f>
        <v/>
      </c>
      <c r="P24" s="391" t="n">
        <v>0.18</v>
      </c>
      <c r="Q24" s="390">
        <f>O24*(1+P24)</f>
        <v/>
      </c>
      <c r="R24" s="390">
        <f>G24*Q24</f>
        <v/>
      </c>
      <c r="S24" t="inlineStr"/>
    </row>
    <row r="25">
      <c r="A25" t="n">
        <v>24</v>
      </c>
      <c r="B25" t="inlineStr">
        <is>
          <t>SW-DAMPER-024</t>
        </is>
      </c>
      <c r="C25" t="inlineStr">
        <is>
          <t>VAN GIÓ</t>
        </is>
      </c>
      <c r="D25" t="inlineStr">
        <is>
          <t>HỆ THỐNG HÚT KHÓI HẦM XE, HÚT KHÓI SỰ CỐ Van 1 chiều NRD 1700x600 (EI60)</t>
        </is>
      </c>
      <c r="E25" t="inlineStr">
        <is>
          <t>1700x600</t>
        </is>
      </c>
      <c r="F25" t="inlineStr">
        <is>
          <t>Cái</t>
        </is>
      </c>
      <c r="G25" s="390" t="n">
        <v>2</v>
      </c>
      <c r="H25" s="390">
        <f>SUMIF('01_BOC_TACH_ONG'!B:B, B25, '01_BOC_TACH_ONG'!K:K)</f>
        <v/>
      </c>
      <c r="I25" s="390">
        <f>SUMIF('02_BOC_TACH_CUA'!B:B, B25, '02_BOC_TACH_CUA'!K:K)</f>
        <v/>
      </c>
      <c r="J25" s="390">
        <f>SUMIF('03_BOC_TACH_VAN'!B:B, B25, '03_BOC_TACH_VAN'!K:K)</f>
        <v/>
      </c>
      <c r="K25" s="390">
        <f>SUM(H25:J25)</f>
        <v/>
      </c>
      <c r="L25" s="390">
        <f>K25*0.25</f>
        <v/>
      </c>
      <c r="M25" s="390">
        <f>K25*0.10</f>
        <v/>
      </c>
      <c r="N25" s="390">
        <f>K25+L25+M25</f>
        <v/>
      </c>
      <c r="O25" s="390">
        <f>IF(G25&gt;0, N25/G25, 0)</f>
        <v/>
      </c>
      <c r="P25" s="391" t="n">
        <v>0.18</v>
      </c>
      <c r="Q25" s="390">
        <f>O25*(1+P25)</f>
        <v/>
      </c>
      <c r="R25" s="390">
        <f>G25*Q25</f>
        <v/>
      </c>
      <c r="S25" t="inlineStr"/>
    </row>
    <row r="26">
      <c r="A26" t="n">
        <v>25</v>
      </c>
      <c r="B26" t="inlineStr">
        <is>
          <t>SW-DAMPER-025</t>
        </is>
      </c>
      <c r="C26" t="inlineStr">
        <is>
          <t>VAN GIÓ</t>
        </is>
      </c>
      <c r="D26" t="inlineStr">
        <is>
          <t>HỆ THỐNG HÚT KHÓI HẦM XE, HÚT KHÓI SỰ CỐ Van 1 chiều NRD 1200x350 (EI60)</t>
        </is>
      </c>
      <c r="E26" t="inlineStr">
        <is>
          <t>1200x350</t>
        </is>
      </c>
      <c r="F26" t="inlineStr">
        <is>
          <t>Cái</t>
        </is>
      </c>
      <c r="G26" s="390" t="n">
        <v>1</v>
      </c>
      <c r="H26" s="390">
        <f>SUMIF('01_BOC_TACH_ONG'!B:B, B26, '01_BOC_TACH_ONG'!K:K)</f>
        <v/>
      </c>
      <c r="I26" s="390">
        <f>SUMIF('02_BOC_TACH_CUA'!B:B, B26, '02_BOC_TACH_CUA'!K:K)</f>
        <v/>
      </c>
      <c r="J26" s="390">
        <f>SUMIF('03_BOC_TACH_VAN'!B:B, B26, '03_BOC_TACH_VAN'!K:K)</f>
        <v/>
      </c>
      <c r="K26" s="390">
        <f>SUM(H26:J26)</f>
        <v/>
      </c>
      <c r="L26" s="390">
        <f>K26*0.25</f>
        <v/>
      </c>
      <c r="M26" s="390">
        <f>K26*0.10</f>
        <v/>
      </c>
      <c r="N26" s="390">
        <f>K26+L26+M26</f>
        <v/>
      </c>
      <c r="O26" s="390">
        <f>IF(G26&gt;0, N26/G26, 0)</f>
        <v/>
      </c>
      <c r="P26" s="391" t="n">
        <v>0.18</v>
      </c>
      <c r="Q26" s="390">
        <f>O26*(1+P26)</f>
        <v/>
      </c>
      <c r="R26" s="390">
        <f>G26*Q26</f>
        <v/>
      </c>
      <c r="S26" t="inlineStr"/>
    </row>
    <row r="27">
      <c r="A27" t="n">
        <v>26</v>
      </c>
      <c r="B27" t="inlineStr">
        <is>
          <t>SW-DAMPER-026</t>
        </is>
      </c>
      <c r="C27" t="inlineStr">
        <is>
          <t>VAN GIÓ</t>
        </is>
      </c>
      <c r="D27" t="inlineStr">
        <is>
          <t>HỆ THỐNG HÚT KHÓI HẦM XE, HÚT KHÓI SỰ CỐ Van ngăn cháy MFD 1250x1250 (EI60)</t>
        </is>
      </c>
      <c r="E27" t="inlineStr">
        <is>
          <t>1250x1250</t>
        </is>
      </c>
      <c r="F27" t="inlineStr">
        <is>
          <t>Cái</t>
        </is>
      </c>
      <c r="G27" s="390" t="n">
        <v>6</v>
      </c>
      <c r="H27" s="390">
        <f>SUMIF('01_BOC_TACH_ONG'!B:B, B27, '01_BOC_TACH_ONG'!K:K)</f>
        <v/>
      </c>
      <c r="I27" s="390">
        <f>SUMIF('02_BOC_TACH_CUA'!B:B, B27, '02_BOC_TACH_CUA'!K:K)</f>
        <v/>
      </c>
      <c r="J27" s="390">
        <f>SUMIF('03_BOC_TACH_VAN'!B:B, B27, '03_BOC_TACH_VAN'!K:K)</f>
        <v/>
      </c>
      <c r="K27" s="390">
        <f>SUM(H27:J27)</f>
        <v/>
      </c>
      <c r="L27" s="390">
        <f>K27*0.25</f>
        <v/>
      </c>
      <c r="M27" s="390">
        <f>K27*0.10</f>
        <v/>
      </c>
      <c r="N27" s="390">
        <f>K27+L27+M27</f>
        <v/>
      </c>
      <c r="O27" s="390">
        <f>IF(G27&gt;0, N27/G27, 0)</f>
        <v/>
      </c>
      <c r="P27" s="391" t="n">
        <v>0.18</v>
      </c>
      <c r="Q27" s="390">
        <f>O27*(1+P27)</f>
        <v/>
      </c>
      <c r="R27" s="390">
        <f>G27*Q27</f>
        <v/>
      </c>
      <c r="S27" t="inlineStr"/>
    </row>
    <row r="28">
      <c r="A28" t="n">
        <v>27</v>
      </c>
      <c r="B28" t="inlineStr">
        <is>
          <t>SW-DAMPER-027</t>
        </is>
      </c>
      <c r="C28" t="inlineStr">
        <is>
          <t>VAN GIÓ</t>
        </is>
      </c>
      <c r="D28" t="inlineStr">
        <is>
          <t>HỆ THỐNG HÚT KHÓI HẦM XE, HÚT KHÓI SỰ CỐ Van ngăn cháy MFD 1700x600 (EI60)</t>
        </is>
      </c>
      <c r="E28" t="inlineStr">
        <is>
          <t>1700x600</t>
        </is>
      </c>
      <c r="F28" t="inlineStr">
        <is>
          <t>Cái</t>
        </is>
      </c>
      <c r="G28" s="390" t="n">
        <v>2</v>
      </c>
      <c r="H28" s="390">
        <f>SUMIF('01_BOC_TACH_ONG'!B:B, B28, '01_BOC_TACH_ONG'!K:K)</f>
        <v/>
      </c>
      <c r="I28" s="390">
        <f>SUMIF('02_BOC_TACH_CUA'!B:B, B28, '02_BOC_TACH_CUA'!K:K)</f>
        <v/>
      </c>
      <c r="J28" s="390">
        <f>SUMIF('03_BOC_TACH_VAN'!B:B, B28, '03_BOC_TACH_VAN'!K:K)</f>
        <v/>
      </c>
      <c r="K28" s="390">
        <f>SUM(H28:J28)</f>
        <v/>
      </c>
      <c r="L28" s="390">
        <f>K28*0.25</f>
        <v/>
      </c>
      <c r="M28" s="390">
        <f>K28*0.10</f>
        <v/>
      </c>
      <c r="N28" s="390">
        <f>K28+L28+M28</f>
        <v/>
      </c>
      <c r="O28" s="390">
        <f>IF(G28&gt;0, N28/G28, 0)</f>
        <v/>
      </c>
      <c r="P28" s="391" t="n">
        <v>0.18</v>
      </c>
      <c r="Q28" s="390">
        <f>O28*(1+P28)</f>
        <v/>
      </c>
      <c r="R28" s="390">
        <f>G28*Q28</f>
        <v/>
      </c>
      <c r="S28" t="inlineStr"/>
    </row>
    <row r="29">
      <c r="A29" t="n">
        <v>28</v>
      </c>
      <c r="B29" t="inlineStr">
        <is>
          <t>SW-DAMPER-028</t>
        </is>
      </c>
      <c r="C29" t="inlineStr">
        <is>
          <t>VAN GIÓ</t>
        </is>
      </c>
      <c r="D29" t="inlineStr">
        <is>
          <t>HỆ THỐNG HÚT KHÓI HẦM XE, HÚT KHÓI SỰ CỐ Van ngăn cháy MFD 1200x350 (EI60)</t>
        </is>
      </c>
      <c r="E29" t="inlineStr">
        <is>
          <t>1200x350</t>
        </is>
      </c>
      <c r="F29" t="inlineStr">
        <is>
          <t>Cái</t>
        </is>
      </c>
      <c r="G29" s="390" t="n">
        <v>1</v>
      </c>
      <c r="H29" s="390">
        <f>SUMIF('01_BOC_TACH_ONG'!B:B, B29, '01_BOC_TACH_ONG'!K:K)</f>
        <v/>
      </c>
      <c r="I29" s="390">
        <f>SUMIF('02_BOC_TACH_CUA'!B:B, B29, '02_BOC_TACH_CUA'!K:K)</f>
        <v/>
      </c>
      <c r="J29" s="390">
        <f>SUMIF('03_BOC_TACH_VAN'!B:B, B29, '03_BOC_TACH_VAN'!K:K)</f>
        <v/>
      </c>
      <c r="K29" s="390">
        <f>SUM(H29:J29)</f>
        <v/>
      </c>
      <c r="L29" s="390">
        <f>K29*0.25</f>
        <v/>
      </c>
      <c r="M29" s="390">
        <f>K29*0.10</f>
        <v/>
      </c>
      <c r="N29" s="390">
        <f>K29+L29+M29</f>
        <v/>
      </c>
      <c r="O29" s="390">
        <f>IF(G29&gt;0, N29/G29, 0)</f>
        <v/>
      </c>
      <c r="P29" s="391" t="n">
        <v>0.18</v>
      </c>
      <c r="Q29" s="390">
        <f>O29*(1+P29)</f>
        <v/>
      </c>
      <c r="R29" s="390">
        <f>G29*Q29</f>
        <v/>
      </c>
      <c r="S29" t="inlineStr"/>
    </row>
    <row r="30">
      <c r="A30" t="n">
        <v>29</v>
      </c>
      <c r="B30" t="inlineStr">
        <is>
          <t>SW-DAMPER-029</t>
        </is>
      </c>
      <c r="C30" t="inlineStr">
        <is>
          <t>VAN GIÓ</t>
        </is>
      </c>
      <c r="D30" t="inlineStr">
        <is>
          <t>HỆ THỐNG HÚT KHÓI HẦM XE, HÚT KHÓI SỰ CỐ Van ngăn cháy MFD 950x400 (EI30)</t>
        </is>
      </c>
      <c r="E30" t="inlineStr">
        <is>
          <t>950x400</t>
        </is>
      </c>
      <c r="F30" t="inlineStr">
        <is>
          <t>Cái</t>
        </is>
      </c>
      <c r="G30" s="390" t="n">
        <v>3</v>
      </c>
      <c r="H30" s="390">
        <f>SUMIF('01_BOC_TACH_ONG'!B:B, B30, '01_BOC_TACH_ONG'!K:K)</f>
        <v/>
      </c>
      <c r="I30" s="390">
        <f>SUMIF('02_BOC_TACH_CUA'!B:B, B30, '02_BOC_TACH_CUA'!K:K)</f>
        <v/>
      </c>
      <c r="J30" s="390">
        <f>SUMIF('03_BOC_TACH_VAN'!B:B, B30, '03_BOC_TACH_VAN'!K:K)</f>
        <v/>
      </c>
      <c r="K30" s="390">
        <f>SUM(H30:J30)</f>
        <v/>
      </c>
      <c r="L30" s="390">
        <f>K30*0.25</f>
        <v/>
      </c>
      <c r="M30" s="390">
        <f>K30*0.10</f>
        <v/>
      </c>
      <c r="N30" s="390">
        <f>K30+L30+M30</f>
        <v/>
      </c>
      <c r="O30" s="390">
        <f>IF(G30&gt;0, N30/G30, 0)</f>
        <v/>
      </c>
      <c r="P30" s="391" t="n">
        <v>0.18</v>
      </c>
      <c r="Q30" s="390">
        <f>O30*(1+P30)</f>
        <v/>
      </c>
      <c r="R30" s="390">
        <f>G30*Q30</f>
        <v/>
      </c>
      <c r="S30" t="inlineStr"/>
    </row>
    <row r="31">
      <c r="A31" t="n">
        <v>30</v>
      </c>
      <c r="B31" t="inlineStr">
        <is>
          <t>SW-DAMPER-030</t>
        </is>
      </c>
      <c r="C31" t="inlineStr">
        <is>
          <t>VAN GIÓ</t>
        </is>
      </c>
      <c r="D31" t="inlineStr">
        <is>
          <t>HỆ THỐNG HÚT KHÓI HẦM XE, HÚT KHÓI SỰ CỐ Van ngăn cháy MFD 950x500 (EI30)</t>
        </is>
      </c>
      <c r="E31" t="inlineStr">
        <is>
          <t>950x500</t>
        </is>
      </c>
      <c r="F31" t="inlineStr">
        <is>
          <t>Cái</t>
        </is>
      </c>
      <c r="G31" s="390" t="n">
        <v>6</v>
      </c>
      <c r="H31" s="390">
        <f>SUMIF('01_BOC_TACH_ONG'!B:B, B31, '01_BOC_TACH_ONG'!K:K)</f>
        <v/>
      </c>
      <c r="I31" s="390">
        <f>SUMIF('02_BOC_TACH_CUA'!B:B, B31, '02_BOC_TACH_CUA'!K:K)</f>
        <v/>
      </c>
      <c r="J31" s="390">
        <f>SUMIF('03_BOC_TACH_VAN'!B:B, B31, '03_BOC_TACH_VAN'!K:K)</f>
        <v/>
      </c>
      <c r="K31" s="390">
        <f>SUM(H31:J31)</f>
        <v/>
      </c>
      <c r="L31" s="390">
        <f>K31*0.25</f>
        <v/>
      </c>
      <c r="M31" s="390">
        <f>K31*0.10</f>
        <v/>
      </c>
      <c r="N31" s="390">
        <f>K31+L31+M31</f>
        <v/>
      </c>
      <c r="O31" s="390">
        <f>IF(G31&gt;0, N31/G31, 0)</f>
        <v/>
      </c>
      <c r="P31" s="391" t="n">
        <v>0.18</v>
      </c>
      <c r="Q31" s="390">
        <f>O31*(1+P31)</f>
        <v/>
      </c>
      <c r="R31" s="390">
        <f>G31*Q31</f>
        <v/>
      </c>
      <c r="S31" t="inlineStr"/>
    </row>
    <row r="32">
      <c r="A32" t="n">
        <v>31</v>
      </c>
      <c r="B32" t="inlineStr">
        <is>
          <t>SW-DAMPER-031</t>
        </is>
      </c>
      <c r="C32" t="inlineStr">
        <is>
          <t>VAN GIÓ</t>
        </is>
      </c>
      <c r="D32" t="inlineStr">
        <is>
          <t>HỆ THỐNG HÚT KHÓI HẦM XE, HÚT KHÓI SỰ CỐ Van ngăn cháy MFD 950x200 (EI30)</t>
        </is>
      </c>
      <c r="E32" t="inlineStr">
        <is>
          <t>950x200</t>
        </is>
      </c>
      <c r="F32" t="inlineStr">
        <is>
          <t>Cái</t>
        </is>
      </c>
      <c r="G32" s="390" t="n">
        <v>9</v>
      </c>
      <c r="H32" s="390">
        <f>SUMIF('01_BOC_TACH_ONG'!B:B, B32, '01_BOC_TACH_ONG'!K:K)</f>
        <v/>
      </c>
      <c r="I32" s="390">
        <f>SUMIF('02_BOC_TACH_CUA'!B:B, B32, '02_BOC_TACH_CUA'!K:K)</f>
        <v/>
      </c>
      <c r="J32" s="390">
        <f>SUMIF('03_BOC_TACH_VAN'!B:B, B32, '03_BOC_TACH_VAN'!K:K)</f>
        <v/>
      </c>
      <c r="K32" s="390">
        <f>SUM(H32:J32)</f>
        <v/>
      </c>
      <c r="L32" s="390">
        <f>K32*0.25</f>
        <v/>
      </c>
      <c r="M32" s="390">
        <f>K32*0.10</f>
        <v/>
      </c>
      <c r="N32" s="390">
        <f>K32+L32+M32</f>
        <v/>
      </c>
      <c r="O32" s="390">
        <f>IF(G32&gt;0, N32/G32, 0)</f>
        <v/>
      </c>
      <c r="P32" s="391" t="n">
        <v>0.18</v>
      </c>
      <c r="Q32" s="390">
        <f>O32*(1+P32)</f>
        <v/>
      </c>
      <c r="R32" s="390">
        <f>G32*Q32</f>
        <v/>
      </c>
      <c r="S32" t="inlineStr"/>
    </row>
    <row r="33">
      <c r="A33" t="n">
        <v>32</v>
      </c>
      <c r="B33" t="inlineStr">
        <is>
          <t>SW-DAMPER-032</t>
        </is>
      </c>
      <c r="C33" t="inlineStr">
        <is>
          <t>VAN GIÓ</t>
        </is>
      </c>
      <c r="D33" t="inlineStr">
        <is>
          <t>HỆ THỐNG HÚT KHÓI HẦM XE, HÚT KHÓI SỰ CỐ Van ngăn cháy MFD 950x300 (EI30)</t>
        </is>
      </c>
      <c r="E33" t="inlineStr">
        <is>
          <t>950x300</t>
        </is>
      </c>
      <c r="F33" t="inlineStr">
        <is>
          <t>Cái</t>
        </is>
      </c>
      <c r="G33" s="390" t="n">
        <v>12</v>
      </c>
      <c r="H33" s="390">
        <f>SUMIF('01_BOC_TACH_ONG'!B:B, B33, '01_BOC_TACH_ONG'!K:K)</f>
        <v/>
      </c>
      <c r="I33" s="390">
        <f>SUMIF('02_BOC_TACH_CUA'!B:B, B33, '02_BOC_TACH_CUA'!K:K)</f>
        <v/>
      </c>
      <c r="J33" s="390">
        <f>SUMIF('03_BOC_TACH_VAN'!B:B, B33, '03_BOC_TACH_VAN'!K:K)</f>
        <v/>
      </c>
      <c r="K33" s="390">
        <f>SUM(H33:J33)</f>
        <v/>
      </c>
      <c r="L33" s="390">
        <f>K33*0.25</f>
        <v/>
      </c>
      <c r="M33" s="390">
        <f>K33*0.10</f>
        <v/>
      </c>
      <c r="N33" s="390">
        <f>K33+L33+M33</f>
        <v/>
      </c>
      <c r="O33" s="390">
        <f>IF(G33&gt;0, N33/G33, 0)</f>
        <v/>
      </c>
      <c r="P33" s="391" t="n">
        <v>0.18</v>
      </c>
      <c r="Q33" s="390">
        <f>O33*(1+P33)</f>
        <v/>
      </c>
      <c r="R33" s="390">
        <f>G33*Q33</f>
        <v/>
      </c>
      <c r="S33" t="inlineStr"/>
    </row>
    <row r="34">
      <c r="A34" t="n">
        <v>33</v>
      </c>
      <c r="B34" t="inlineStr">
        <is>
          <t>SW-DAMPER-033</t>
        </is>
      </c>
      <c r="C34" t="inlineStr">
        <is>
          <t>VAN GIÓ</t>
        </is>
      </c>
      <c r="D34" t="inlineStr">
        <is>
          <t>HỆ THỐNG HÚT KHÓI HẦM XE, HÚT KHÓI SỰ CỐ Van chỉnh lưu lượng VCD 2000x500 (EI60)</t>
        </is>
      </c>
      <c r="E34" t="inlineStr">
        <is>
          <t>2000x500</t>
        </is>
      </c>
      <c r="F34" t="inlineStr">
        <is>
          <t>Cái</t>
        </is>
      </c>
      <c r="G34" s="390" t="n">
        <v>1</v>
      </c>
      <c r="H34" s="390">
        <f>SUMIF('01_BOC_TACH_ONG'!B:B, B34, '01_BOC_TACH_ONG'!K:K)</f>
        <v/>
      </c>
      <c r="I34" s="390">
        <f>SUMIF('02_BOC_TACH_CUA'!B:B, B34, '02_BOC_TACH_CUA'!K:K)</f>
        <v/>
      </c>
      <c r="J34" s="390">
        <f>SUMIF('03_BOC_TACH_VAN'!B:B, B34, '03_BOC_TACH_VAN'!K:K)</f>
        <v/>
      </c>
      <c r="K34" s="390">
        <f>SUM(H34:J34)</f>
        <v/>
      </c>
      <c r="L34" s="390">
        <f>K34*0.25</f>
        <v/>
      </c>
      <c r="M34" s="390">
        <f>K34*0.10</f>
        <v/>
      </c>
      <c r="N34" s="390">
        <f>K34+L34+M34</f>
        <v/>
      </c>
      <c r="O34" s="390">
        <f>IF(G34&gt;0, N34/G34, 0)</f>
        <v/>
      </c>
      <c r="P34" s="391" t="n">
        <v>0.18</v>
      </c>
      <c r="Q34" s="390">
        <f>O34*(1+P34)</f>
        <v/>
      </c>
      <c r="R34" s="390">
        <f>G34*Q34</f>
        <v/>
      </c>
      <c r="S34" t="inlineStr"/>
    </row>
    <row r="35">
      <c r="A35" t="n">
        <v>34</v>
      </c>
      <c r="B35" t="inlineStr">
        <is>
          <t>SW-DAMPER-034</t>
        </is>
      </c>
      <c r="C35" t="inlineStr">
        <is>
          <t>VAN GIÓ</t>
        </is>
      </c>
      <c r="D35" t="inlineStr">
        <is>
          <t>HỆ THỐNG HÚT KHÓI HẦM XE, HÚT KHÓI SỰ CỐ Van chỉnh lưu lượng VCD 1300x400 (EI60)</t>
        </is>
      </c>
      <c r="E35" t="inlineStr">
        <is>
          <t>1300x400</t>
        </is>
      </c>
      <c r="F35" t="inlineStr">
        <is>
          <t>Cái</t>
        </is>
      </c>
      <c r="G35" s="390" t="n">
        <v>2</v>
      </c>
      <c r="H35" s="390">
        <f>SUMIF('01_BOC_TACH_ONG'!B:B, B35, '01_BOC_TACH_ONG'!K:K)</f>
        <v/>
      </c>
      <c r="I35" s="390">
        <f>SUMIF('02_BOC_TACH_CUA'!B:B, B35, '02_BOC_TACH_CUA'!K:K)</f>
        <v/>
      </c>
      <c r="J35" s="390">
        <f>SUMIF('03_BOC_TACH_VAN'!B:B, B35, '03_BOC_TACH_VAN'!K:K)</f>
        <v/>
      </c>
      <c r="K35" s="390">
        <f>SUM(H35:J35)</f>
        <v/>
      </c>
      <c r="L35" s="390">
        <f>K35*0.25</f>
        <v/>
      </c>
      <c r="M35" s="390">
        <f>K35*0.10</f>
        <v/>
      </c>
      <c r="N35" s="390">
        <f>K35+L35+M35</f>
        <v/>
      </c>
      <c r="O35" s="390">
        <f>IF(G35&gt;0, N35/G35, 0)</f>
        <v/>
      </c>
      <c r="P35" s="391" t="n">
        <v>0.18</v>
      </c>
      <c r="Q35" s="390">
        <f>O35*(1+P35)</f>
        <v/>
      </c>
      <c r="R35" s="390">
        <f>G35*Q35</f>
        <v/>
      </c>
      <c r="S35" t="inlineStr"/>
    </row>
    <row r="36">
      <c r="A36" t="n">
        <v>35</v>
      </c>
      <c r="B36" t="inlineStr">
        <is>
          <t>SW-DAMPER-035</t>
        </is>
      </c>
      <c r="C36" t="inlineStr">
        <is>
          <t>VAN GIÓ</t>
        </is>
      </c>
      <c r="D36" t="inlineStr">
        <is>
          <t>HỆ THỐNG HÚT KHÓI HẦM XE, HÚT KHÓI SỰ CỐ Van chỉnh lưu lượng VCD 1600x400 (EI60)</t>
        </is>
      </c>
      <c r="E36" t="inlineStr">
        <is>
          <t>1600x400</t>
        </is>
      </c>
      <c r="F36" t="inlineStr">
        <is>
          <t>Cái</t>
        </is>
      </c>
      <c r="G36" s="390" t="n">
        <v>1</v>
      </c>
      <c r="H36" s="390">
        <f>SUMIF('01_BOC_TACH_ONG'!B:B, B36, '01_BOC_TACH_ONG'!K:K)</f>
        <v/>
      </c>
      <c r="I36" s="390">
        <f>SUMIF('02_BOC_TACH_CUA'!B:B, B36, '02_BOC_TACH_CUA'!K:K)</f>
        <v/>
      </c>
      <c r="J36" s="390">
        <f>SUMIF('03_BOC_TACH_VAN'!B:B, B36, '03_BOC_TACH_VAN'!K:K)</f>
        <v/>
      </c>
      <c r="K36" s="390">
        <f>SUM(H36:J36)</f>
        <v/>
      </c>
      <c r="L36" s="390">
        <f>K36*0.25</f>
        <v/>
      </c>
      <c r="M36" s="390">
        <f>K36*0.10</f>
        <v/>
      </c>
      <c r="N36" s="390">
        <f>K36+L36+M36</f>
        <v/>
      </c>
      <c r="O36" s="390">
        <f>IF(G36&gt;0, N36/G36, 0)</f>
        <v/>
      </c>
      <c r="P36" s="391" t="n">
        <v>0.18</v>
      </c>
      <c r="Q36" s="390">
        <f>O36*(1+P36)</f>
        <v/>
      </c>
      <c r="R36" s="390">
        <f>G36*Q36</f>
        <v/>
      </c>
      <c r="S36" t="inlineStr"/>
    </row>
    <row r="37">
      <c r="A37" t="n">
        <v>36</v>
      </c>
      <c r="B37" t="inlineStr">
        <is>
          <t>SW-DAMPER-036</t>
        </is>
      </c>
      <c r="C37" t="inlineStr">
        <is>
          <t>VAN GIÓ</t>
        </is>
      </c>
      <c r="D37" t="inlineStr">
        <is>
          <t>HỆ THỐNG HÚT KHÓI HẦM XE, HÚT KHÓI SỰ CỐ Van chỉnh lưu lượng VCD 1600x450 (EI60)</t>
        </is>
      </c>
      <c r="E37" t="inlineStr">
        <is>
          <t>1600x450</t>
        </is>
      </c>
      <c r="F37" t="inlineStr">
        <is>
          <t>Cái</t>
        </is>
      </c>
      <c r="G37" s="390" t="n">
        <v>1</v>
      </c>
      <c r="H37" s="390">
        <f>SUMIF('01_BOC_TACH_ONG'!B:B, B37, '01_BOC_TACH_ONG'!K:K)</f>
        <v/>
      </c>
      <c r="I37" s="390">
        <f>SUMIF('02_BOC_TACH_CUA'!B:B, B37, '02_BOC_TACH_CUA'!K:K)</f>
        <v/>
      </c>
      <c r="J37" s="390">
        <f>SUMIF('03_BOC_TACH_VAN'!B:B, B37, '03_BOC_TACH_VAN'!K:K)</f>
        <v/>
      </c>
      <c r="K37" s="390">
        <f>SUM(H37:J37)</f>
        <v/>
      </c>
      <c r="L37" s="390">
        <f>K37*0.25</f>
        <v/>
      </c>
      <c r="M37" s="390">
        <f>K37*0.10</f>
        <v/>
      </c>
      <c r="N37" s="390">
        <f>K37+L37+M37</f>
        <v/>
      </c>
      <c r="O37" s="390">
        <f>IF(G37&gt;0, N37/G37, 0)</f>
        <v/>
      </c>
      <c r="P37" s="391" t="n">
        <v>0.18</v>
      </c>
      <c r="Q37" s="390">
        <f>O37*(1+P37)</f>
        <v/>
      </c>
      <c r="R37" s="390">
        <f>G37*Q37</f>
        <v/>
      </c>
      <c r="S37" t="inlineStr"/>
    </row>
    <row r="38">
      <c r="A38" t="n">
        <v>37</v>
      </c>
      <c r="B38" t="inlineStr">
        <is>
          <t>SW-DAMPER-037</t>
        </is>
      </c>
      <c r="C38" t="inlineStr">
        <is>
          <t>VAN GIÓ</t>
        </is>
      </c>
      <c r="D38" t="inlineStr">
        <is>
          <t>HỆ THỐNG HÚT KHÓI HẦM XE, HÚT KHÓI SỰ CỐ Van chỉnh lưu lượng VCD 900x350 (EI60)</t>
        </is>
      </c>
      <c r="E38" t="inlineStr">
        <is>
          <t>900x350</t>
        </is>
      </c>
      <c r="F38" t="inlineStr">
        <is>
          <t>Cái</t>
        </is>
      </c>
      <c r="G38" s="390" t="n">
        <v>5</v>
      </c>
      <c r="H38" s="390">
        <f>SUMIF('01_BOC_TACH_ONG'!B:B, B38, '01_BOC_TACH_ONG'!K:K)</f>
        <v/>
      </c>
      <c r="I38" s="390">
        <f>SUMIF('02_BOC_TACH_CUA'!B:B, B38, '02_BOC_TACH_CUA'!K:K)</f>
        <v/>
      </c>
      <c r="J38" s="390">
        <f>SUMIF('03_BOC_TACH_VAN'!B:B, B38, '03_BOC_TACH_VAN'!K:K)</f>
        <v/>
      </c>
      <c r="K38" s="390">
        <f>SUM(H38:J38)</f>
        <v/>
      </c>
      <c r="L38" s="390">
        <f>K38*0.25</f>
        <v/>
      </c>
      <c r="M38" s="390">
        <f>K38*0.10</f>
        <v/>
      </c>
      <c r="N38" s="390">
        <f>K38+L38+M38</f>
        <v/>
      </c>
      <c r="O38" s="390">
        <f>IF(G38&gt;0, N38/G38, 0)</f>
        <v/>
      </c>
      <c r="P38" s="391" t="n">
        <v>0.18</v>
      </c>
      <c r="Q38" s="390">
        <f>O38*(1+P38)</f>
        <v/>
      </c>
      <c r="R38" s="390">
        <f>G38*Q38</f>
        <v/>
      </c>
      <c r="S38" t="inlineStr"/>
    </row>
    <row r="39">
      <c r="A39" t="n">
        <v>38</v>
      </c>
      <c r="B39" t="inlineStr">
        <is>
          <t>SW-DAMPER-038</t>
        </is>
      </c>
      <c r="C39" t="inlineStr">
        <is>
          <t>VAN GIÓ</t>
        </is>
      </c>
      <c r="D39" t="inlineStr">
        <is>
          <t>HỆ THỐNG HÚT KHÓI HẦM XE, HÚT KHÓI SỰ CỐ Van chỉnh lưu lượng VCD 600x300 (EI60)</t>
        </is>
      </c>
      <c r="E39" t="inlineStr">
        <is>
          <t>600x300</t>
        </is>
      </c>
      <c r="F39" t="inlineStr">
        <is>
          <t>Cái</t>
        </is>
      </c>
      <c r="G39" s="390" t="n">
        <v>1</v>
      </c>
      <c r="H39" s="390">
        <f>SUMIF('01_BOC_TACH_ONG'!B:B, B39, '01_BOC_TACH_ONG'!K:K)</f>
        <v/>
      </c>
      <c r="I39" s="390">
        <f>SUMIF('02_BOC_TACH_CUA'!B:B, B39, '02_BOC_TACH_CUA'!K:K)</f>
        <v/>
      </c>
      <c r="J39" s="390">
        <f>SUMIF('03_BOC_TACH_VAN'!B:B, B39, '03_BOC_TACH_VAN'!K:K)</f>
        <v/>
      </c>
      <c r="K39" s="390">
        <f>SUM(H39:J39)</f>
        <v/>
      </c>
      <c r="L39" s="390">
        <f>K39*0.25</f>
        <v/>
      </c>
      <c r="M39" s="390">
        <f>K39*0.10</f>
        <v/>
      </c>
      <c r="N39" s="390">
        <f>K39+L39+M39</f>
        <v/>
      </c>
      <c r="O39" s="390">
        <f>IF(G39&gt;0, N39/G39, 0)</f>
        <v/>
      </c>
      <c r="P39" s="391" t="n">
        <v>0.18</v>
      </c>
      <c r="Q39" s="390">
        <f>O39*(1+P39)</f>
        <v/>
      </c>
      <c r="R39" s="390">
        <f>G39*Q39</f>
        <v/>
      </c>
      <c r="S39" t="inlineStr"/>
    </row>
    <row r="40">
      <c r="A40" t="n">
        <v>39</v>
      </c>
      <c r="B40" t="inlineStr">
        <is>
          <t>SW-DIFF-039</t>
        </is>
      </c>
      <c r="C40" t="inlineStr">
        <is>
          <t>CỬA GIÓ</t>
        </is>
      </c>
      <c r="D40" t="inlineStr">
        <is>
          <t>HỆ THỐNG HÚT KHÓI HẦM XE, HÚT KHÓI SỰ CỐ Miệng gió hút khói EAG 600x300+OBD</t>
        </is>
      </c>
      <c r="E40" t="inlineStr">
        <is>
          <t>600x300</t>
        </is>
      </c>
      <c r="F40" t="inlineStr">
        <is>
          <t>Cái</t>
        </is>
      </c>
      <c r="G40" s="390" t="n">
        <v>112</v>
      </c>
      <c r="H40" s="390">
        <f>SUMIF('01_BOC_TACH_ONG'!B:B, B40, '01_BOC_TACH_ONG'!K:K)</f>
        <v/>
      </c>
      <c r="I40" s="390">
        <f>SUMIF('02_BOC_TACH_CUA'!B:B, B40, '02_BOC_TACH_CUA'!K:K)</f>
        <v/>
      </c>
      <c r="J40" s="390">
        <f>SUMIF('03_BOC_TACH_VAN'!B:B, B40, '03_BOC_TACH_VAN'!K:K)</f>
        <v/>
      </c>
      <c r="K40" s="390">
        <f>SUM(H40:J40)</f>
        <v/>
      </c>
      <c r="L40" s="390">
        <f>K40*0.25</f>
        <v/>
      </c>
      <c r="M40" s="390">
        <f>K40*0.10</f>
        <v/>
      </c>
      <c r="N40" s="390">
        <f>K40+L40+M40</f>
        <v/>
      </c>
      <c r="O40" s="390">
        <f>IF(G40&gt;0, N40/G40, 0)</f>
        <v/>
      </c>
      <c r="P40" s="391" t="n">
        <v>0.18</v>
      </c>
      <c r="Q40" s="390">
        <f>O40*(1+P40)</f>
        <v/>
      </c>
      <c r="R40" s="390">
        <f>G40*Q40</f>
        <v/>
      </c>
      <c r="S40" t="inlineStr"/>
    </row>
    <row r="41">
      <c r="A41" t="n">
        <v>40</v>
      </c>
      <c r="B41" t="inlineStr">
        <is>
          <t>SW-DIFF-040</t>
        </is>
      </c>
      <c r="C41" t="inlineStr">
        <is>
          <t>CỬA GIÓ</t>
        </is>
      </c>
      <c r="D41" t="inlineStr">
        <is>
          <t>HỆ THỐNG HÚT KHÓI HẦM XE, HÚT KHÓI SỰ CỐ Miệng gió hút khói SEG 1200x600+OBD</t>
        </is>
      </c>
      <c r="E41" t="inlineStr">
        <is>
          <t>1200x600</t>
        </is>
      </c>
      <c r="F41" t="inlineStr">
        <is>
          <t>Cái</t>
        </is>
      </c>
      <c r="G41" s="390" t="n">
        <v>2</v>
      </c>
      <c r="H41" s="390">
        <f>SUMIF('01_BOC_TACH_ONG'!B:B, B41, '01_BOC_TACH_ONG'!K:K)</f>
        <v/>
      </c>
      <c r="I41" s="390">
        <f>SUMIF('02_BOC_TACH_CUA'!B:B, B41, '02_BOC_TACH_CUA'!K:K)</f>
        <v/>
      </c>
      <c r="J41" s="390">
        <f>SUMIF('03_BOC_TACH_VAN'!B:B, B41, '03_BOC_TACH_VAN'!K:K)</f>
        <v/>
      </c>
      <c r="K41" s="390">
        <f>SUM(H41:J41)</f>
        <v/>
      </c>
      <c r="L41" s="390">
        <f>K41*0.25</f>
        <v/>
      </c>
      <c r="M41" s="390">
        <f>K41*0.10</f>
        <v/>
      </c>
      <c r="N41" s="390">
        <f>K41+L41+M41</f>
        <v/>
      </c>
      <c r="O41" s="390">
        <f>IF(G41&gt;0, N41/G41, 0)</f>
        <v/>
      </c>
      <c r="P41" s="391" t="n">
        <v>0.18</v>
      </c>
      <c r="Q41" s="390">
        <f>O41*(1+P41)</f>
        <v/>
      </c>
      <c r="R41" s="390">
        <f>G41*Q41</f>
        <v/>
      </c>
      <c r="S41" t="inlineStr"/>
    </row>
    <row r="42">
      <c r="A42" t="n">
        <v>41</v>
      </c>
      <c r="B42" t="inlineStr">
        <is>
          <t>SW-DIFF-041</t>
        </is>
      </c>
      <c r="C42" t="inlineStr">
        <is>
          <t>CỬA GIÓ</t>
        </is>
      </c>
      <c r="D42" t="inlineStr">
        <is>
          <t>HỆ THỐNG HÚT KHÓI HẦM XE, HÚT KHÓI SỰ CỐ Miệng gió hút khói SEAG 1000x600+OBD</t>
        </is>
      </c>
      <c r="E42" t="inlineStr">
        <is>
          <t>1000x600</t>
        </is>
      </c>
      <c r="F42" t="inlineStr">
        <is>
          <t>Cái</t>
        </is>
      </c>
      <c r="G42" s="390" t="n">
        <v>52</v>
      </c>
      <c r="H42" s="390">
        <f>SUMIF('01_BOC_TACH_ONG'!B:B, B42, '01_BOC_TACH_ONG'!K:K)</f>
        <v/>
      </c>
      <c r="I42" s="390">
        <f>SUMIF('02_BOC_TACH_CUA'!B:B, B42, '02_BOC_TACH_CUA'!K:K)</f>
        <v/>
      </c>
      <c r="J42" s="390">
        <f>SUMIF('03_BOC_TACH_VAN'!B:B, B42, '03_BOC_TACH_VAN'!K:K)</f>
        <v/>
      </c>
      <c r="K42" s="390">
        <f>SUM(H42:J42)</f>
        <v/>
      </c>
      <c r="L42" s="390">
        <f>K42*0.25</f>
        <v/>
      </c>
      <c r="M42" s="390">
        <f>K42*0.10</f>
        <v/>
      </c>
      <c r="N42" s="390">
        <f>K42+L42+M42</f>
        <v/>
      </c>
      <c r="O42" s="390">
        <f>IF(G42&gt;0, N42/G42, 0)</f>
        <v/>
      </c>
      <c r="P42" s="391" t="n">
        <v>0.18</v>
      </c>
      <c r="Q42" s="390">
        <f>O42*(1+P42)</f>
        <v/>
      </c>
      <c r="R42" s="390">
        <f>G42*Q42</f>
        <v/>
      </c>
      <c r="S42" t="inlineStr"/>
    </row>
    <row r="43">
      <c r="A43" t="n">
        <v>42</v>
      </c>
      <c r="B43" t="inlineStr">
        <is>
          <t>SW-DIFF-042</t>
        </is>
      </c>
      <c r="C43" t="inlineStr">
        <is>
          <t>CỬA GIÓ</t>
        </is>
      </c>
      <c r="D43" t="inlineStr">
        <is>
          <t>HỆ THỐNG HÚT KHÓI HẦM XE, HÚT KHÓI SỰ CỐ Louver EAL 7500x500+IS</t>
        </is>
      </c>
      <c r="E43" t="inlineStr">
        <is>
          <t>7500x500</t>
        </is>
      </c>
      <c r="F43" t="inlineStr">
        <is>
          <t>Cái</t>
        </is>
      </c>
      <c r="G43" s="390" t="n">
        <v>1</v>
      </c>
      <c r="H43" s="390">
        <f>SUMIF('01_BOC_TACH_ONG'!B:B, B43, '01_BOC_TACH_ONG'!K:K)</f>
        <v/>
      </c>
      <c r="I43" s="390">
        <f>SUMIF('02_BOC_TACH_CUA'!B:B, B43, '02_BOC_TACH_CUA'!K:K)</f>
        <v/>
      </c>
      <c r="J43" s="390">
        <f>SUMIF('03_BOC_TACH_VAN'!B:B, B43, '03_BOC_TACH_VAN'!K:K)</f>
        <v/>
      </c>
      <c r="K43" s="390">
        <f>SUM(H43:J43)</f>
        <v/>
      </c>
      <c r="L43" s="390">
        <f>K43*0.25</f>
        <v/>
      </c>
      <c r="M43" s="390">
        <f>K43*0.10</f>
        <v/>
      </c>
      <c r="N43" s="390">
        <f>K43+L43+M43</f>
        <v/>
      </c>
      <c r="O43" s="390">
        <f>IF(G43&gt;0, N43/G43, 0)</f>
        <v/>
      </c>
      <c r="P43" s="391" t="n">
        <v>0.18</v>
      </c>
      <c r="Q43" s="390">
        <f>O43*(1+P43)</f>
        <v/>
      </c>
      <c r="R43" s="390">
        <f>G43*Q43</f>
        <v/>
      </c>
      <c r="S43" t="inlineStr"/>
    </row>
    <row r="44">
      <c r="A44" t="n">
        <v>43</v>
      </c>
      <c r="B44" t="inlineStr">
        <is>
          <t>SW-DIFF-043</t>
        </is>
      </c>
      <c r="C44" t="inlineStr">
        <is>
          <t>CỬA GIÓ</t>
        </is>
      </c>
      <c r="D44" t="inlineStr">
        <is>
          <t>HỆ THỐNG HÚT KHÓI HẦM XE, HÚT KHÓI SỰ CỐ Louver EAL 4500x500+IS</t>
        </is>
      </c>
      <c r="E44" t="inlineStr">
        <is>
          <t>4500x500</t>
        </is>
      </c>
      <c r="F44" t="inlineStr">
        <is>
          <t>Cái</t>
        </is>
      </c>
      <c r="G44" s="390" t="n">
        <v>4</v>
      </c>
      <c r="H44" s="390">
        <f>SUMIF('01_BOC_TACH_ONG'!B:B, B44, '01_BOC_TACH_ONG'!K:K)</f>
        <v/>
      </c>
      <c r="I44" s="390">
        <f>SUMIF('02_BOC_TACH_CUA'!B:B, B44, '02_BOC_TACH_CUA'!K:K)</f>
        <v/>
      </c>
      <c r="J44" s="390">
        <f>SUMIF('03_BOC_TACH_VAN'!B:B, B44, '03_BOC_TACH_VAN'!K:K)</f>
        <v/>
      </c>
      <c r="K44" s="390">
        <f>SUM(H44:J44)</f>
        <v/>
      </c>
      <c r="L44" s="390">
        <f>K44*0.25</f>
        <v/>
      </c>
      <c r="M44" s="390">
        <f>K44*0.10</f>
        <v/>
      </c>
      <c r="N44" s="390">
        <f>K44+L44+M44</f>
        <v/>
      </c>
      <c r="O44" s="390">
        <f>IF(G44&gt;0, N44/G44, 0)</f>
        <v/>
      </c>
      <c r="P44" s="391" t="n">
        <v>0.18</v>
      </c>
      <c r="Q44" s="390">
        <f>O44*(1+P44)</f>
        <v/>
      </c>
      <c r="R44" s="390">
        <f>G44*Q44</f>
        <v/>
      </c>
      <c r="S44" t="inlineStr"/>
    </row>
    <row r="45">
      <c r="A45" t="n">
        <v>44</v>
      </c>
      <c r="B45" t="inlineStr">
        <is>
          <t>SW-DIFF-044</t>
        </is>
      </c>
      <c r="C45" t="inlineStr">
        <is>
          <t>CỬA GIÓ</t>
        </is>
      </c>
      <c r="D45" t="inlineStr">
        <is>
          <t>HỆ THỐNG HÚT KHÓI HẦM XE, HÚT KHÓI SỰ CỐ Louver EAL 4000x500+IS</t>
        </is>
      </c>
      <c r="E45" t="inlineStr">
        <is>
          <t>4000x500</t>
        </is>
      </c>
      <c r="F45" t="inlineStr">
        <is>
          <t>Cái</t>
        </is>
      </c>
      <c r="G45" s="390" t="n">
        <v>4</v>
      </c>
      <c r="H45" s="390">
        <f>SUMIF('01_BOC_TACH_ONG'!B:B, B45, '01_BOC_TACH_ONG'!K:K)</f>
        <v/>
      </c>
      <c r="I45" s="390">
        <f>SUMIF('02_BOC_TACH_CUA'!B:B, B45, '02_BOC_TACH_CUA'!K:K)</f>
        <v/>
      </c>
      <c r="J45" s="390">
        <f>SUMIF('03_BOC_TACH_VAN'!B:B, B45, '03_BOC_TACH_VAN'!K:K)</f>
        <v/>
      </c>
      <c r="K45" s="390">
        <f>SUM(H45:J45)</f>
        <v/>
      </c>
      <c r="L45" s="390">
        <f>K45*0.25</f>
        <v/>
      </c>
      <c r="M45" s="390">
        <f>K45*0.10</f>
        <v/>
      </c>
      <c r="N45" s="390">
        <f>K45+L45+M45</f>
        <v/>
      </c>
      <c r="O45" s="390">
        <f>IF(G45&gt;0, N45/G45, 0)</f>
        <v/>
      </c>
      <c r="P45" s="391" t="n">
        <v>0.18</v>
      </c>
      <c r="Q45" s="390">
        <f>O45*(1+P45)</f>
        <v/>
      </c>
      <c r="R45" s="390">
        <f>G45*Q45</f>
        <v/>
      </c>
      <c r="S45" t="inlineStr"/>
    </row>
    <row r="46">
      <c r="A46" t="n">
        <v>45</v>
      </c>
      <c r="B46" t="inlineStr">
        <is>
          <t>SW-DIFF-045</t>
        </is>
      </c>
      <c r="C46" t="inlineStr">
        <is>
          <t>CỬA GIÓ</t>
        </is>
      </c>
      <c r="D46" t="inlineStr">
        <is>
          <t>HỆ THỐNG HÚT KHÓI HẦM XE, HÚT KHÓI SỰ CỐ Louver EAL 3000x500+IS</t>
        </is>
      </c>
      <c r="E46" t="inlineStr">
        <is>
          <t>3000x500</t>
        </is>
      </c>
      <c r="F46" t="inlineStr">
        <is>
          <t>Cái</t>
        </is>
      </c>
      <c r="G46" s="390" t="n">
        <v>1</v>
      </c>
      <c r="H46" s="390">
        <f>SUMIF('01_BOC_TACH_ONG'!B:B, B46, '01_BOC_TACH_ONG'!K:K)</f>
        <v/>
      </c>
      <c r="I46" s="390">
        <f>SUMIF('02_BOC_TACH_CUA'!B:B, B46, '02_BOC_TACH_CUA'!K:K)</f>
        <v/>
      </c>
      <c r="J46" s="390">
        <f>SUMIF('03_BOC_TACH_VAN'!B:B, B46, '03_BOC_TACH_VAN'!K:K)</f>
        <v/>
      </c>
      <c r="K46" s="390">
        <f>SUM(H46:J46)</f>
        <v/>
      </c>
      <c r="L46" s="390">
        <f>K46*0.25</f>
        <v/>
      </c>
      <c r="M46" s="390">
        <f>K46*0.10</f>
        <v/>
      </c>
      <c r="N46" s="390">
        <f>K46+L46+M46</f>
        <v/>
      </c>
      <c r="O46" s="390">
        <f>IF(G46&gt;0, N46/G46, 0)</f>
        <v/>
      </c>
      <c r="P46" s="391" t="n">
        <v>0.18</v>
      </c>
      <c r="Q46" s="390">
        <f>O46*(1+P46)</f>
        <v/>
      </c>
      <c r="R46" s="390">
        <f>G46*Q46</f>
        <v/>
      </c>
      <c r="S46" t="inlineStr"/>
    </row>
    <row r="47">
      <c r="A47" t="n">
        <v>46</v>
      </c>
      <c r="B47" t="inlineStr">
        <is>
          <t>SW-DIFF-046</t>
        </is>
      </c>
      <c r="C47" t="inlineStr">
        <is>
          <t>CỬA GIÓ</t>
        </is>
      </c>
      <c r="D47" t="inlineStr">
        <is>
          <t>HỆ THỐNG HÚT KHÓI HẦM XE, HÚT KHÓI SỰ CỐ Louver EAL 2750x750+IS</t>
        </is>
      </c>
      <c r="E47" t="inlineStr">
        <is>
          <t>2750x750</t>
        </is>
      </c>
      <c r="F47" t="inlineStr">
        <is>
          <t>Cái</t>
        </is>
      </c>
      <c r="G47" s="390" t="n">
        <v>2</v>
      </c>
      <c r="H47" s="390">
        <f>SUMIF('01_BOC_TACH_ONG'!B:B, B47, '01_BOC_TACH_ONG'!K:K)</f>
        <v/>
      </c>
      <c r="I47" s="390">
        <f>SUMIF('02_BOC_TACH_CUA'!B:B, B47, '02_BOC_TACH_CUA'!K:K)</f>
        <v/>
      </c>
      <c r="J47" s="390">
        <f>SUMIF('03_BOC_TACH_VAN'!B:B, B47, '03_BOC_TACH_VAN'!K:K)</f>
        <v/>
      </c>
      <c r="K47" s="390">
        <f>SUM(H47:J47)</f>
        <v/>
      </c>
      <c r="L47" s="390">
        <f>K47*0.25</f>
        <v/>
      </c>
      <c r="M47" s="390">
        <f>K47*0.10</f>
        <v/>
      </c>
      <c r="N47" s="390">
        <f>K47+L47+M47</f>
        <v/>
      </c>
      <c r="O47" s="390">
        <f>IF(G47&gt;0, N47/G47, 0)</f>
        <v/>
      </c>
      <c r="P47" s="391" t="n">
        <v>0.18</v>
      </c>
      <c r="Q47" s="390">
        <f>O47*(1+P47)</f>
        <v/>
      </c>
      <c r="R47" s="390">
        <f>G47*Q47</f>
        <v/>
      </c>
      <c r="S47" t="inlineStr"/>
    </row>
    <row r="48">
      <c r="A48" t="n">
        <v>47</v>
      </c>
      <c r="B48" t="inlineStr">
        <is>
          <t>SW-DIFF-047</t>
        </is>
      </c>
      <c r="C48" t="inlineStr">
        <is>
          <t>CỬA GIÓ</t>
        </is>
      </c>
      <c r="D48" t="inlineStr">
        <is>
          <t>HỆ THỐNG HÚT KHÓI HẦM XE, HÚT KHÓI SỰ CỐ Box miệng gió 600x300</t>
        </is>
      </c>
      <c r="E48" t="inlineStr">
        <is>
          <t>600x300</t>
        </is>
      </c>
      <c r="F48" t="inlineStr">
        <is>
          <t>Cái</t>
        </is>
      </c>
      <c r="G48" s="390" t="n">
        <v>112</v>
      </c>
      <c r="H48" s="390">
        <f>SUMIF('01_BOC_TACH_ONG'!B:B, B48, '01_BOC_TACH_ONG'!K:K)</f>
        <v/>
      </c>
      <c r="I48" s="390">
        <f>SUMIF('02_BOC_TACH_CUA'!B:B, B48, '02_BOC_TACH_CUA'!K:K)</f>
        <v/>
      </c>
      <c r="J48" s="390">
        <f>SUMIF('03_BOC_TACH_VAN'!B:B, B48, '03_BOC_TACH_VAN'!K:K)</f>
        <v/>
      </c>
      <c r="K48" s="390">
        <f>SUM(H48:J48)</f>
        <v/>
      </c>
      <c r="L48" s="390">
        <f>K48*0.25</f>
        <v/>
      </c>
      <c r="M48" s="390">
        <f>K48*0.10</f>
        <v/>
      </c>
      <c r="N48" s="390">
        <f>K48+L48+M48</f>
        <v/>
      </c>
      <c r="O48" s="390">
        <f>IF(G48&gt;0, N48/G48, 0)</f>
        <v/>
      </c>
      <c r="P48" s="391" t="n">
        <v>0.18</v>
      </c>
      <c r="Q48" s="390">
        <f>O48*(1+P48)</f>
        <v/>
      </c>
      <c r="R48" s="390">
        <f>G48*Q48</f>
        <v/>
      </c>
      <c r="S48" t="inlineStr"/>
    </row>
    <row r="49">
      <c r="A49" t="n">
        <v>48</v>
      </c>
      <c r="B49" t="inlineStr">
        <is>
          <t>SW-DIFF-048</t>
        </is>
      </c>
      <c r="C49" t="inlineStr">
        <is>
          <t>CỬA GIÓ</t>
        </is>
      </c>
      <c r="D49" t="inlineStr">
        <is>
          <t>HỆ THỐNG HÚT KHÓI HẦM XE, HÚT KHÓI SỰ CỐ Box miệng gió 1200x600</t>
        </is>
      </c>
      <c r="E49" t="inlineStr">
        <is>
          <t>1200x600</t>
        </is>
      </c>
      <c r="F49" t="inlineStr">
        <is>
          <t>Cái</t>
        </is>
      </c>
      <c r="G49" s="390" t="n">
        <v>2</v>
      </c>
      <c r="H49" s="390">
        <f>SUMIF('01_BOC_TACH_ONG'!B:B, B49, '01_BOC_TACH_ONG'!K:K)</f>
        <v/>
      </c>
      <c r="I49" s="390">
        <f>SUMIF('02_BOC_TACH_CUA'!B:B, B49, '02_BOC_TACH_CUA'!K:K)</f>
        <v/>
      </c>
      <c r="J49" s="390">
        <f>SUMIF('03_BOC_TACH_VAN'!B:B, B49, '03_BOC_TACH_VAN'!K:K)</f>
        <v/>
      </c>
      <c r="K49" s="390">
        <f>SUM(H49:J49)</f>
        <v/>
      </c>
      <c r="L49" s="390">
        <f>K49*0.25</f>
        <v/>
      </c>
      <c r="M49" s="390">
        <f>K49*0.10</f>
        <v/>
      </c>
      <c r="N49" s="390">
        <f>K49+L49+M49</f>
        <v/>
      </c>
      <c r="O49" s="390">
        <f>IF(G49&gt;0, N49/G49, 0)</f>
        <v/>
      </c>
      <c r="P49" s="391" t="n">
        <v>0.18</v>
      </c>
      <c r="Q49" s="390">
        <f>O49*(1+P49)</f>
        <v/>
      </c>
      <c r="R49" s="390">
        <f>G49*Q49</f>
        <v/>
      </c>
      <c r="S49" t="inlineStr"/>
    </row>
    <row r="50">
      <c r="A50" t="n">
        <v>49</v>
      </c>
      <c r="B50" t="inlineStr">
        <is>
          <t>SW-DIFF-049</t>
        </is>
      </c>
      <c r="C50" t="inlineStr">
        <is>
          <t>CỬA GIÓ</t>
        </is>
      </c>
      <c r="D50" t="inlineStr">
        <is>
          <t>HỆ THỐNG HÚT KHÓI HẦM XE, HÚT KHÓI SỰ CỐ Box miệng gió 10006300</t>
        </is>
      </c>
      <c r="E50" t="inlineStr">
        <is>
          <t>-</t>
        </is>
      </c>
      <c r="F50" t="inlineStr">
        <is>
          <t>Cái</t>
        </is>
      </c>
      <c r="G50" s="390" t="n">
        <v>52</v>
      </c>
      <c r="H50" s="390">
        <f>SUMIF('01_BOC_TACH_ONG'!B:B, B50, '01_BOC_TACH_ONG'!K:K)</f>
        <v/>
      </c>
      <c r="I50" s="390">
        <f>SUMIF('02_BOC_TACH_CUA'!B:B, B50, '02_BOC_TACH_CUA'!K:K)</f>
        <v/>
      </c>
      <c r="J50" s="390">
        <f>SUMIF('03_BOC_TACH_VAN'!B:B, B50, '03_BOC_TACH_VAN'!K:K)</f>
        <v/>
      </c>
      <c r="K50" s="390">
        <f>SUM(H50:J50)</f>
        <v/>
      </c>
      <c r="L50" s="390">
        <f>K50*0.25</f>
        <v/>
      </c>
      <c r="M50" s="390">
        <f>K50*0.10</f>
        <v/>
      </c>
      <c r="N50" s="390">
        <f>K50+L50+M50</f>
        <v/>
      </c>
      <c r="O50" s="390">
        <f>IF(G50&gt;0, N50/G50, 0)</f>
        <v/>
      </c>
      <c r="P50" s="391" t="n">
        <v>0.18</v>
      </c>
      <c r="Q50" s="390">
        <f>O50*(1+P50)</f>
        <v/>
      </c>
      <c r="R50" s="390">
        <f>G50*Q50</f>
        <v/>
      </c>
      <c r="S50" t="inlineStr"/>
    </row>
    <row r="51">
      <c r="A51" t="n">
        <v>50</v>
      </c>
      <c r="B51" t="inlineStr">
        <is>
          <t>SW-TRD-050</t>
        </is>
      </c>
      <c r="C51" t="inlineStr">
        <is>
          <t>THƯƠNG MẠI</t>
        </is>
      </c>
      <c r="D51" t="inlineStr">
        <is>
          <t>HỆ THỐNG HÚT KHÓI HẦM XE, HÚT KHÓI SỰ CỐ Vật tư phụ, phụ kiện</t>
        </is>
      </c>
      <c r="E51" t="inlineStr">
        <is>
          <t>-</t>
        </is>
      </c>
      <c r="F51" t="inlineStr">
        <is>
          <t>Lô</t>
        </is>
      </c>
      <c r="G51" s="390" t="n">
        <v>1</v>
      </c>
      <c r="H51" s="390">
        <f>SUMIF('01_BOC_TACH_ONG'!B:B, B51, '01_BOC_TACH_ONG'!K:K)</f>
        <v/>
      </c>
      <c r="I51" s="390">
        <f>SUMIF('02_BOC_TACH_CUA'!B:B, B51, '02_BOC_TACH_CUA'!K:K)</f>
        <v/>
      </c>
      <c r="J51" s="390">
        <f>SUMIF('03_BOC_TACH_VAN'!B:B, B51, '03_BOC_TACH_VAN'!K:K)</f>
        <v/>
      </c>
      <c r="K51" s="390">
        <f>SUM(H51:J51)</f>
        <v/>
      </c>
      <c r="L51" s="390">
        <f>K51*0.00</f>
        <v/>
      </c>
      <c r="M51" s="390">
        <f>K51*0.02</f>
        <v/>
      </c>
      <c r="N51" s="390">
        <f>K51+L51+M51</f>
        <v/>
      </c>
      <c r="O51" s="390">
        <f>IF(G51&gt;0, N51/G51, 0)</f>
        <v/>
      </c>
      <c r="P51" s="391" t="n">
        <v>0.1</v>
      </c>
      <c r="Q51" s="390">
        <f>O51*(1+P51)</f>
        <v/>
      </c>
      <c r="R51" s="390">
        <f>G51*Q51</f>
        <v/>
      </c>
      <c r="S51" t="inlineStr">
        <is>
          <t>Hàng thương mại</t>
        </is>
      </c>
    </row>
    <row r="52">
      <c r="A52" t="n">
        <v>51</v>
      </c>
      <c r="B52" t="inlineStr">
        <is>
          <t>SW-DUCT-051</t>
        </is>
      </c>
      <c r="C52" t="inlineStr">
        <is>
          <t>ỐNG GIÓ</t>
        </is>
      </c>
      <c r="D52" t="inlineStr">
        <is>
          <t>Ống thông gió và phụ kiện, box miệng gió Tole 0.75mm phủ lớp mạ kẽm Z180</t>
        </is>
      </c>
      <c r="E52" t="inlineStr">
        <is>
          <t>0.75mm</t>
        </is>
      </c>
      <c r="F52" t="inlineStr">
        <is>
          <t>m2</t>
        </is>
      </c>
      <c r="G52" s="390" t="n">
        <v>2633.4</v>
      </c>
      <c r="H52" s="390">
        <f>SUMIF('01_BOC_TACH_ONG'!B:B, B52, '01_BOC_TACH_ONG'!K:K)</f>
        <v/>
      </c>
      <c r="I52" s="390">
        <f>SUMIF('02_BOC_TACH_CUA'!B:B, B52, '02_BOC_TACH_CUA'!K:K)</f>
        <v/>
      </c>
      <c r="J52" s="390">
        <f>SUMIF('03_BOC_TACH_VAN'!B:B, B52, '03_BOC_TACH_VAN'!K:K)</f>
        <v/>
      </c>
      <c r="K52" s="390">
        <f>SUM(H52:J52)</f>
        <v/>
      </c>
      <c r="L52" s="390">
        <f>K52*0.25</f>
        <v/>
      </c>
      <c r="M52" s="390">
        <f>K52*0.10</f>
        <v/>
      </c>
      <c r="N52" s="390">
        <f>K52+L52+M52</f>
        <v/>
      </c>
      <c r="O52" s="390">
        <f>IF(G52&gt;0, N52/G52, 0)</f>
        <v/>
      </c>
      <c r="P52" s="391" t="n">
        <v>0.18</v>
      </c>
      <c r="Q52" s="390">
        <f>O52*(1+P52)</f>
        <v/>
      </c>
      <c r="R52" s="390">
        <f>G52*Q52</f>
        <v/>
      </c>
      <c r="S52" t="inlineStr"/>
    </row>
    <row r="53">
      <c r="A53" t="n">
        <v>52</v>
      </c>
      <c r="B53" t="inlineStr">
        <is>
          <t>SW-DUCT-052</t>
        </is>
      </c>
      <c r="C53" t="inlineStr">
        <is>
          <t>ỐNG GIÓ</t>
        </is>
      </c>
      <c r="D53" t="inlineStr">
        <is>
          <t>Ống thông gió và phụ kiện, box miệng gió Tole 0.95mm phủ lớp mạ kẽm Z180</t>
        </is>
      </c>
      <c r="E53" t="inlineStr">
        <is>
          <t>0.95mm</t>
        </is>
      </c>
      <c r="F53" t="inlineStr">
        <is>
          <t>m2</t>
        </is>
      </c>
      <c r="G53" s="390" t="n">
        <v>1291.1</v>
      </c>
      <c r="H53" s="390">
        <f>SUMIF('01_BOC_TACH_ONG'!B:B, B53, '01_BOC_TACH_ONG'!K:K)</f>
        <v/>
      </c>
      <c r="I53" s="390">
        <f>SUMIF('02_BOC_TACH_CUA'!B:B, B53, '02_BOC_TACH_CUA'!K:K)</f>
        <v/>
      </c>
      <c r="J53" s="390">
        <f>SUMIF('03_BOC_TACH_VAN'!B:B, B53, '03_BOC_TACH_VAN'!K:K)</f>
        <v/>
      </c>
      <c r="K53" s="390">
        <f>SUM(H53:J53)</f>
        <v/>
      </c>
      <c r="L53" s="390">
        <f>K53*0.25</f>
        <v/>
      </c>
      <c r="M53" s="390">
        <f>K53*0.10</f>
        <v/>
      </c>
      <c r="N53" s="390">
        <f>K53+L53+M53</f>
        <v/>
      </c>
      <c r="O53" s="390">
        <f>IF(G53&gt;0, N53/G53, 0)</f>
        <v/>
      </c>
      <c r="P53" s="391" t="n">
        <v>0.18</v>
      </c>
      <c r="Q53" s="390">
        <f>O53*(1+P53)</f>
        <v/>
      </c>
      <c r="R53" s="390">
        <f>G53*Q53</f>
        <v/>
      </c>
      <c r="S53" t="inlineStr"/>
    </row>
    <row r="54">
      <c r="A54" t="n">
        <v>53</v>
      </c>
      <c r="B54" t="inlineStr">
        <is>
          <t>SW-DUCT-053</t>
        </is>
      </c>
      <c r="C54" t="inlineStr">
        <is>
          <t>ỐNG GIÓ</t>
        </is>
      </c>
      <c r="D54" t="inlineStr">
        <is>
          <t>Ống thông gió và phụ kiện, box miệng gió Tole 1.15mm phủ lớp mạ kẽm Z180</t>
        </is>
      </c>
      <c r="E54" t="inlineStr">
        <is>
          <t>1.15mm</t>
        </is>
      </c>
      <c r="F54" t="inlineStr">
        <is>
          <t>m2</t>
        </is>
      </c>
      <c r="G54" s="390" t="n">
        <v>3070.55</v>
      </c>
      <c r="H54" s="390">
        <f>SUMIF('01_BOC_TACH_ONG'!B:B, B54, '01_BOC_TACH_ONG'!K:K)</f>
        <v/>
      </c>
      <c r="I54" s="390">
        <f>SUMIF('02_BOC_TACH_CUA'!B:B, B54, '02_BOC_TACH_CUA'!K:K)</f>
        <v/>
      </c>
      <c r="J54" s="390">
        <f>SUMIF('03_BOC_TACH_VAN'!B:B, B54, '03_BOC_TACH_VAN'!K:K)</f>
        <v/>
      </c>
      <c r="K54" s="390">
        <f>SUM(H54:J54)</f>
        <v/>
      </c>
      <c r="L54" s="390">
        <f>K54*0.25</f>
        <v/>
      </c>
      <c r="M54" s="390">
        <f>K54*0.10</f>
        <v/>
      </c>
      <c r="N54" s="390">
        <f>K54+L54+M54</f>
        <v/>
      </c>
      <c r="O54" s="390">
        <f>IF(G54&gt;0, N54/G54, 0)</f>
        <v/>
      </c>
      <c r="P54" s="391" t="n">
        <v>0.18</v>
      </c>
      <c r="Q54" s="390">
        <f>O54*(1+P54)</f>
        <v/>
      </c>
      <c r="R54" s="390">
        <f>G54*Q54</f>
        <v/>
      </c>
      <c r="S54" t="inlineStr"/>
    </row>
    <row r="55">
      <c r="A55" t="n">
        <v>54</v>
      </c>
      <c r="B55" t="inlineStr">
        <is>
          <t>SW-DUCT-054</t>
        </is>
      </c>
      <c r="C55" t="inlineStr">
        <is>
          <t>ỐNG GIÓ</t>
        </is>
      </c>
      <c r="D55" t="inlineStr">
        <is>
          <t>Ống thông gió và phụ kiện, box miệng gió Tole ZAM 1.15mm</t>
        </is>
      </c>
      <c r="E55" t="inlineStr">
        <is>
          <t>1.15mm</t>
        </is>
      </c>
      <c r="F55" t="inlineStr">
        <is>
          <t>m2</t>
        </is>
      </c>
      <c r="G55" s="390" t="n">
        <v>138</v>
      </c>
      <c r="H55" s="390">
        <f>SUMIF('01_BOC_TACH_ONG'!B:B, B55, '01_BOC_TACH_ONG'!K:K)</f>
        <v/>
      </c>
      <c r="I55" s="390">
        <f>SUMIF('02_BOC_TACH_CUA'!B:B, B55, '02_BOC_TACH_CUA'!K:K)</f>
        <v/>
      </c>
      <c r="J55" s="390">
        <f>SUMIF('03_BOC_TACH_VAN'!B:B, B55, '03_BOC_TACH_VAN'!K:K)</f>
        <v/>
      </c>
      <c r="K55" s="390">
        <f>SUM(H55:J55)</f>
        <v/>
      </c>
      <c r="L55" s="390">
        <f>K55*0.25</f>
        <v/>
      </c>
      <c r="M55" s="390">
        <f>K55*0.10</f>
        <v/>
      </c>
      <c r="N55" s="390">
        <f>K55+L55+M55</f>
        <v/>
      </c>
      <c r="O55" s="390">
        <f>IF(G55&gt;0, N55/G55, 0)</f>
        <v/>
      </c>
      <c r="P55" s="391" t="n">
        <v>0.18</v>
      </c>
      <c r="Q55" s="390">
        <f>O55*(1+P55)</f>
        <v/>
      </c>
      <c r="R55" s="390">
        <f>G55*Q55</f>
        <v/>
      </c>
      <c r="S55" t="inlineStr"/>
    </row>
    <row r="56">
      <c r="A56" t="n">
        <v>55</v>
      </c>
      <c r="B56" t="inlineStr">
        <is>
          <t>SW-TRD-055</t>
        </is>
      </c>
      <c r="C56" t="inlineStr">
        <is>
          <t>THƯƠNG MẠI</t>
        </is>
      </c>
      <c r="D56" t="inlineStr">
        <is>
          <t>Ống thông gió và phụ kiện, box miệng gió Lưới bảo vệ</t>
        </is>
      </c>
      <c r="E56" t="inlineStr">
        <is>
          <t>-</t>
        </is>
      </c>
      <c r="F56" t="inlineStr">
        <is>
          <t>cái</t>
        </is>
      </c>
      <c r="G56" s="390" t="n">
        <v>3</v>
      </c>
      <c r="H56" s="390">
        <f>SUMIF('01_BOC_TACH_ONG'!B:B, B56, '01_BOC_TACH_ONG'!K:K)</f>
        <v/>
      </c>
      <c r="I56" s="390">
        <f>SUMIF('02_BOC_TACH_CUA'!B:B, B56, '02_BOC_TACH_CUA'!K:K)</f>
        <v/>
      </c>
      <c r="J56" s="390">
        <f>SUMIF('03_BOC_TACH_VAN'!B:B, B56, '03_BOC_TACH_VAN'!K:K)</f>
        <v/>
      </c>
      <c r="K56" s="390">
        <f>SUM(H56:J56)</f>
        <v/>
      </c>
      <c r="L56" s="390">
        <f>K56*0.00</f>
        <v/>
      </c>
      <c r="M56" s="390">
        <f>K56*0.02</f>
        <v/>
      </c>
      <c r="N56" s="390">
        <f>K56+L56+M56</f>
        <v/>
      </c>
      <c r="O56" s="390">
        <f>IF(G56&gt;0, N56/G56, 0)</f>
        <v/>
      </c>
      <c r="P56" s="391" t="n">
        <v>0.1</v>
      </c>
      <c r="Q56" s="390">
        <f>O56*(1+P56)</f>
        <v/>
      </c>
      <c r="R56" s="390">
        <f>G56*Q56</f>
        <v/>
      </c>
      <c r="S56" t="inlineStr">
        <is>
          <t>Hàng thương mại</t>
        </is>
      </c>
    </row>
    <row r="57">
      <c r="A57" t="n">
        <v>56</v>
      </c>
      <c r="B57" t="inlineStr">
        <is>
          <t>SW-TRD-056</t>
        </is>
      </c>
      <c r="C57" t="inlineStr">
        <is>
          <t>THƯƠNG MẠI</t>
        </is>
      </c>
      <c r="D57" t="inlineStr">
        <is>
          <t>Ống thông gió và phụ kiện, box miệng gió Lớp chống cháy EI30</t>
        </is>
      </c>
      <c r="E57" t="inlineStr">
        <is>
          <t>-</t>
        </is>
      </c>
      <c r="F57" t="inlineStr">
        <is>
          <t>m2</t>
        </is>
      </c>
      <c r="G57" s="390" t="n">
        <v>3621.25</v>
      </c>
      <c r="H57" s="390">
        <f>SUMIF('01_BOC_TACH_ONG'!B:B, B57, '01_BOC_TACH_ONG'!K:K)</f>
        <v/>
      </c>
      <c r="I57" s="390">
        <f>SUMIF('02_BOC_TACH_CUA'!B:B, B57, '02_BOC_TACH_CUA'!K:K)</f>
        <v/>
      </c>
      <c r="J57" s="390">
        <f>SUMIF('03_BOC_TACH_VAN'!B:B, B57, '03_BOC_TACH_VAN'!K:K)</f>
        <v/>
      </c>
      <c r="K57" s="390">
        <f>SUM(H57:J57)</f>
        <v/>
      </c>
      <c r="L57" s="390">
        <f>K57*0.00</f>
        <v/>
      </c>
      <c r="M57" s="390">
        <f>K57*0.02</f>
        <v/>
      </c>
      <c r="N57" s="390">
        <f>K57+L57+M57</f>
        <v/>
      </c>
      <c r="O57" s="390">
        <f>IF(G57&gt;0, N57/G57, 0)</f>
        <v/>
      </c>
      <c r="P57" s="391" t="n">
        <v>0.1</v>
      </c>
      <c r="Q57" s="390">
        <f>O57*(1+P57)</f>
        <v/>
      </c>
      <c r="R57" s="390">
        <f>G57*Q57</f>
        <v/>
      </c>
      <c r="S57" t="inlineStr">
        <is>
          <t>Hàng thương mại</t>
        </is>
      </c>
    </row>
    <row r="58">
      <c r="A58" t="n">
        <v>57</v>
      </c>
      <c r="B58" t="inlineStr">
        <is>
          <t>SW-TRD-057</t>
        </is>
      </c>
      <c r="C58" t="inlineStr">
        <is>
          <t>THƯƠNG MẠI</t>
        </is>
      </c>
      <c r="D58" t="inlineStr">
        <is>
          <t>Ống thông gió và phụ kiện, box miệng gió Lớp chống cháy EI60</t>
        </is>
      </c>
      <c r="E58" t="inlineStr">
        <is>
          <t>-</t>
        </is>
      </c>
      <c r="F58" t="inlineStr">
        <is>
          <t>m2</t>
        </is>
      </c>
      <c r="G58" s="390" t="n">
        <v>2821</v>
      </c>
      <c r="H58" s="390">
        <f>SUMIF('01_BOC_TACH_ONG'!B:B, B58, '01_BOC_TACH_ONG'!K:K)</f>
        <v/>
      </c>
      <c r="I58" s="390">
        <f>SUMIF('02_BOC_TACH_CUA'!B:B, B58, '02_BOC_TACH_CUA'!K:K)</f>
        <v/>
      </c>
      <c r="J58" s="390">
        <f>SUMIF('03_BOC_TACH_VAN'!B:B, B58, '03_BOC_TACH_VAN'!K:K)</f>
        <v/>
      </c>
      <c r="K58" s="390">
        <f>SUM(H58:J58)</f>
        <v/>
      </c>
      <c r="L58" s="390">
        <f>K58*0.00</f>
        <v/>
      </c>
      <c r="M58" s="390">
        <f>K58*0.02</f>
        <v/>
      </c>
      <c r="N58" s="390">
        <f>K58+L58+M58</f>
        <v/>
      </c>
      <c r="O58" s="390">
        <f>IF(G58&gt;0, N58/G58, 0)</f>
        <v/>
      </c>
      <c r="P58" s="391" t="n">
        <v>0.1</v>
      </c>
      <c r="Q58" s="390">
        <f>O58*(1+P58)</f>
        <v/>
      </c>
      <c r="R58" s="390">
        <f>G58*Q58</f>
        <v/>
      </c>
      <c r="S58" t="inlineStr">
        <is>
          <t>Hàng thương mại</t>
        </is>
      </c>
    </row>
    <row r="59">
      <c r="A59" t="n">
        <v>58</v>
      </c>
      <c r="B59" t="inlineStr">
        <is>
          <t>SW-TRD-058</t>
        </is>
      </c>
      <c r="C59" t="inlineStr">
        <is>
          <t>THƯƠNG MẠI</t>
        </is>
      </c>
      <c r="D59" t="inlineStr">
        <is>
          <t>Ống thông gió và phụ kiện, box miệng gió Vật tư phụ, phụ kiện</t>
        </is>
      </c>
      <c r="E59" t="inlineStr">
        <is>
          <t>-</t>
        </is>
      </c>
      <c r="F59" t="inlineStr">
        <is>
          <t>Lô</t>
        </is>
      </c>
      <c r="G59" s="390" t="n">
        <v>1</v>
      </c>
      <c r="H59" s="390">
        <f>SUMIF('01_BOC_TACH_ONG'!B:B, B59, '01_BOC_TACH_ONG'!K:K)</f>
        <v/>
      </c>
      <c r="I59" s="390">
        <f>SUMIF('02_BOC_TACH_CUA'!B:B, B59, '02_BOC_TACH_CUA'!K:K)</f>
        <v/>
      </c>
      <c r="J59" s="390">
        <f>SUMIF('03_BOC_TACH_VAN'!B:B, B59, '03_BOC_TACH_VAN'!K:K)</f>
        <v/>
      </c>
      <c r="K59" s="390">
        <f>SUM(H59:J59)</f>
        <v/>
      </c>
      <c r="L59" s="390">
        <f>K59*0.00</f>
        <v/>
      </c>
      <c r="M59" s="390">
        <f>K59*0.02</f>
        <v/>
      </c>
      <c r="N59" s="390">
        <f>K59+L59+M59</f>
        <v/>
      </c>
      <c r="O59" s="390">
        <f>IF(G59&gt;0, N59/G59, 0)</f>
        <v/>
      </c>
      <c r="P59" s="391" t="n">
        <v>0.1</v>
      </c>
      <c r="Q59" s="390">
        <f>O59*(1+P59)</f>
        <v/>
      </c>
      <c r="R59" s="390">
        <f>G59*Q59</f>
        <v/>
      </c>
      <c r="S59" t="inlineStr">
        <is>
          <t>Hàng thương mại</t>
        </is>
      </c>
    </row>
    <row r="60">
      <c r="A60" t="n">
        <v>59</v>
      </c>
      <c r="B60" t="inlineStr">
        <is>
          <t>SW-TRD-059</t>
        </is>
      </c>
      <c r="C60" t="inlineStr">
        <is>
          <t>THƯƠNG MẠI</t>
        </is>
      </c>
      <c r="D60" t="inlineStr">
        <is>
          <t>HỆ THỐNG TẠO ÁP Quạt hướng trục BPF-B2-Z2-01 400 l/s @ 650 Pa, chống cháy 300°C trong 2h</t>
        </is>
      </c>
      <c r="E60" t="inlineStr">
        <is>
          <t>-</t>
        </is>
      </c>
      <c r="F60" t="inlineStr">
        <is>
          <t>Cái</t>
        </is>
      </c>
      <c r="G60" s="390" t="n">
        <v>1</v>
      </c>
      <c r="H60" s="390">
        <f>SUMIF('01_BOC_TACH_ONG'!B:B, B60, '01_BOC_TACH_ONG'!K:K)</f>
        <v/>
      </c>
      <c r="I60" s="390">
        <f>SUMIF('02_BOC_TACH_CUA'!B:B, B60, '02_BOC_TACH_CUA'!K:K)</f>
        <v/>
      </c>
      <c r="J60" s="390">
        <f>SUMIF('03_BOC_TACH_VAN'!B:B, B60, '03_BOC_TACH_VAN'!K:K)</f>
        <v/>
      </c>
      <c r="K60" s="390">
        <f>SUM(H60:J60)</f>
        <v/>
      </c>
      <c r="L60" s="390">
        <f>K60*0.00</f>
        <v/>
      </c>
      <c r="M60" s="390">
        <f>K60*0.02</f>
        <v/>
      </c>
      <c r="N60" s="390">
        <f>K60+L60+M60</f>
        <v/>
      </c>
      <c r="O60" s="390">
        <f>IF(G60&gt;0, N60/G60, 0)</f>
        <v/>
      </c>
      <c r="P60" s="391" t="n">
        <v>0.1</v>
      </c>
      <c r="Q60" s="390">
        <f>O60*(1+P60)</f>
        <v/>
      </c>
      <c r="R60" s="390">
        <f>G60*Q60</f>
        <v/>
      </c>
      <c r="S60" t="inlineStr">
        <is>
          <t>Hàng thương mại</t>
        </is>
      </c>
    </row>
    <row r="61">
      <c r="A61" t="n">
        <v>60</v>
      </c>
      <c r="B61" t="inlineStr">
        <is>
          <t>SW-TRD-060</t>
        </is>
      </c>
      <c r="C61" t="inlineStr">
        <is>
          <t>THƯƠNG MẠI</t>
        </is>
      </c>
      <c r="D61" t="inlineStr">
        <is>
          <t>HỆ THỐNG TẠO ÁP Quạt hướng trục BPF-B2-Z2-02 1200 l/s @ 550 Pa, chống cháy 300°C trong 2h</t>
        </is>
      </c>
      <c r="E61" t="inlineStr">
        <is>
          <t>-</t>
        </is>
      </c>
      <c r="F61" t="inlineStr">
        <is>
          <t>Cái</t>
        </is>
      </c>
      <c r="G61" s="390" t="n">
        <v>1</v>
      </c>
      <c r="H61" s="390">
        <f>SUMIF('01_BOC_TACH_ONG'!B:B, B61, '01_BOC_TACH_ONG'!K:K)</f>
        <v/>
      </c>
      <c r="I61" s="390">
        <f>SUMIF('02_BOC_TACH_CUA'!B:B, B61, '02_BOC_TACH_CUA'!K:K)</f>
        <v/>
      </c>
      <c r="J61" s="390">
        <f>SUMIF('03_BOC_TACH_VAN'!B:B, B61, '03_BOC_TACH_VAN'!K:K)</f>
        <v/>
      </c>
      <c r="K61" s="390">
        <f>SUM(H61:J61)</f>
        <v/>
      </c>
      <c r="L61" s="390">
        <f>K61*0.00</f>
        <v/>
      </c>
      <c r="M61" s="390">
        <f>K61*0.02</f>
        <v/>
      </c>
      <c r="N61" s="390">
        <f>K61+L61+M61</f>
        <v/>
      </c>
      <c r="O61" s="390">
        <f>IF(G61&gt;0, N61/G61, 0)</f>
        <v/>
      </c>
      <c r="P61" s="391" t="n">
        <v>0.1</v>
      </c>
      <c r="Q61" s="390">
        <f>O61*(1+P61)</f>
        <v/>
      </c>
      <c r="R61" s="390">
        <f>G61*Q61</f>
        <v/>
      </c>
      <c r="S61" t="inlineStr">
        <is>
          <t>Hàng thương mại</t>
        </is>
      </c>
    </row>
    <row r="62">
      <c r="A62" t="n">
        <v>61</v>
      </c>
      <c r="B62" t="inlineStr">
        <is>
          <t>SW-TRD-061</t>
        </is>
      </c>
      <c r="C62" t="inlineStr">
        <is>
          <t>THƯƠNG MẠI</t>
        </is>
      </c>
      <c r="D62" t="inlineStr">
        <is>
          <t>HỆ THỐNG TẠO ÁP Quạt hướng trục BPF-B2-Z2-03 4200 l/s @ 400 Pa, chống cháy 300°C trong 2h</t>
        </is>
      </c>
      <c r="E62" t="inlineStr">
        <is>
          <t>-</t>
        </is>
      </c>
      <c r="F62" t="inlineStr">
        <is>
          <t>Cái</t>
        </is>
      </c>
      <c r="G62" s="390" t="n">
        <v>1</v>
      </c>
      <c r="H62" s="390">
        <f>SUMIF('01_BOC_TACH_ONG'!B:B, B62, '01_BOC_TACH_ONG'!K:K)</f>
        <v/>
      </c>
      <c r="I62" s="390">
        <f>SUMIF('02_BOC_TACH_CUA'!B:B, B62, '02_BOC_TACH_CUA'!K:K)</f>
        <v/>
      </c>
      <c r="J62" s="390">
        <f>SUMIF('03_BOC_TACH_VAN'!B:B, B62, '03_BOC_TACH_VAN'!K:K)</f>
        <v/>
      </c>
      <c r="K62" s="390">
        <f>SUM(H62:J62)</f>
        <v/>
      </c>
      <c r="L62" s="390">
        <f>K62*0.00</f>
        <v/>
      </c>
      <c r="M62" s="390">
        <f>K62*0.02</f>
        <v/>
      </c>
      <c r="N62" s="390">
        <f>K62+L62+M62</f>
        <v/>
      </c>
      <c r="O62" s="390">
        <f>IF(G62&gt;0, N62/G62, 0)</f>
        <v/>
      </c>
      <c r="P62" s="391" t="n">
        <v>0.1</v>
      </c>
      <c r="Q62" s="390">
        <f>O62*(1+P62)</f>
        <v/>
      </c>
      <c r="R62" s="390">
        <f>G62*Q62</f>
        <v/>
      </c>
      <c r="S62" t="inlineStr">
        <is>
          <t>Hàng thương mại</t>
        </is>
      </c>
    </row>
    <row r="63">
      <c r="A63" t="n">
        <v>62</v>
      </c>
      <c r="B63" t="inlineStr">
        <is>
          <t>SW-TRD-062</t>
        </is>
      </c>
      <c r="C63" t="inlineStr">
        <is>
          <t>THƯƠNG MẠI</t>
        </is>
      </c>
      <c r="D63" t="inlineStr">
        <is>
          <t>HỆ THỐNG TẠO ÁP Quạt hướng trục BPF-B2-Z2-04 4200 l/s @ 400 Pa, chống cháy 300°C trong 2h</t>
        </is>
      </c>
      <c r="E63" t="inlineStr">
        <is>
          <t>-</t>
        </is>
      </c>
      <c r="F63" t="inlineStr">
        <is>
          <t>Cái</t>
        </is>
      </c>
      <c r="G63" s="390" t="n">
        <v>1</v>
      </c>
      <c r="H63" s="390">
        <f>SUMIF('01_BOC_TACH_ONG'!B:B, B63, '01_BOC_TACH_ONG'!K:K)</f>
        <v/>
      </c>
      <c r="I63" s="390">
        <f>SUMIF('02_BOC_TACH_CUA'!B:B, B63, '02_BOC_TACH_CUA'!K:K)</f>
        <v/>
      </c>
      <c r="J63" s="390">
        <f>SUMIF('03_BOC_TACH_VAN'!B:B, B63, '03_BOC_TACH_VAN'!K:K)</f>
        <v/>
      </c>
      <c r="K63" s="390">
        <f>SUM(H63:J63)</f>
        <v/>
      </c>
      <c r="L63" s="390">
        <f>K63*0.00</f>
        <v/>
      </c>
      <c r="M63" s="390">
        <f>K63*0.02</f>
        <v/>
      </c>
      <c r="N63" s="390">
        <f>K63+L63+M63</f>
        <v/>
      </c>
      <c r="O63" s="390">
        <f>IF(G63&gt;0, N63/G63, 0)</f>
        <v/>
      </c>
      <c r="P63" s="391" t="n">
        <v>0.1</v>
      </c>
      <c r="Q63" s="390">
        <f>O63*(1+P63)</f>
        <v/>
      </c>
      <c r="R63" s="390">
        <f>G63*Q63</f>
        <v/>
      </c>
      <c r="S63" t="inlineStr">
        <is>
          <t>Hàng thương mại</t>
        </is>
      </c>
    </row>
    <row r="64">
      <c r="A64" t="n">
        <v>63</v>
      </c>
      <c r="B64" t="inlineStr">
        <is>
          <t>SW-TRD-063</t>
        </is>
      </c>
      <c r="C64" t="inlineStr">
        <is>
          <t>THƯƠNG MẠI</t>
        </is>
      </c>
      <c r="D64" t="inlineStr">
        <is>
          <t>HỆ THỐNG TẠO ÁP Quạt hướng trục BPF-B1-Z1-01 5400 l/s @ 700 Pa, chống cháy 300°C trong 2h</t>
        </is>
      </c>
      <c r="E64" t="inlineStr">
        <is>
          <t>-</t>
        </is>
      </c>
      <c r="F64" t="inlineStr">
        <is>
          <t>Cái</t>
        </is>
      </c>
      <c r="G64" s="390" t="n">
        <v>1</v>
      </c>
      <c r="H64" s="390">
        <f>SUMIF('01_BOC_TACH_ONG'!B:B, B64, '01_BOC_TACH_ONG'!K:K)</f>
        <v/>
      </c>
      <c r="I64" s="390">
        <f>SUMIF('02_BOC_TACH_CUA'!B:B, B64, '02_BOC_TACH_CUA'!K:K)</f>
        <v/>
      </c>
      <c r="J64" s="390">
        <f>SUMIF('03_BOC_TACH_VAN'!B:B, B64, '03_BOC_TACH_VAN'!K:K)</f>
        <v/>
      </c>
      <c r="K64" s="390">
        <f>SUM(H64:J64)</f>
        <v/>
      </c>
      <c r="L64" s="390">
        <f>K64*0.00</f>
        <v/>
      </c>
      <c r="M64" s="390">
        <f>K64*0.02</f>
        <v/>
      </c>
      <c r="N64" s="390">
        <f>K64+L64+M64</f>
        <v/>
      </c>
      <c r="O64" s="390">
        <f>IF(G64&gt;0, N64/G64, 0)</f>
        <v/>
      </c>
      <c r="P64" s="391" t="n">
        <v>0.1</v>
      </c>
      <c r="Q64" s="390">
        <f>O64*(1+P64)</f>
        <v/>
      </c>
      <c r="R64" s="390">
        <f>G64*Q64</f>
        <v/>
      </c>
      <c r="S64" t="inlineStr">
        <is>
          <t>Hàng thương mại</t>
        </is>
      </c>
    </row>
    <row r="65">
      <c r="A65" t="n">
        <v>64</v>
      </c>
      <c r="B65" t="inlineStr">
        <is>
          <t>SW-TRD-064</t>
        </is>
      </c>
      <c r="C65" t="inlineStr">
        <is>
          <t>THƯƠNG MẠI</t>
        </is>
      </c>
      <c r="D65" t="inlineStr">
        <is>
          <t>HỆ THỐNG TẠO ÁP Quạt hướng trục BPF-B1-Z1-02 5800 l/s @ 700 Pa, chống cháy 300°C trong 2h</t>
        </is>
      </c>
      <c r="E65" t="inlineStr">
        <is>
          <t>-</t>
        </is>
      </c>
      <c r="F65" t="inlineStr">
        <is>
          <t>Cái</t>
        </is>
      </c>
      <c r="G65" s="390" t="n">
        <v>1</v>
      </c>
      <c r="H65" s="390">
        <f>SUMIF('01_BOC_TACH_ONG'!B:B, B65, '01_BOC_TACH_ONG'!K:K)</f>
        <v/>
      </c>
      <c r="I65" s="390">
        <f>SUMIF('02_BOC_TACH_CUA'!B:B, B65, '02_BOC_TACH_CUA'!K:K)</f>
        <v/>
      </c>
      <c r="J65" s="390">
        <f>SUMIF('03_BOC_TACH_VAN'!B:B, B65, '03_BOC_TACH_VAN'!K:K)</f>
        <v/>
      </c>
      <c r="K65" s="390">
        <f>SUM(H65:J65)</f>
        <v/>
      </c>
      <c r="L65" s="390">
        <f>K65*0.00</f>
        <v/>
      </c>
      <c r="M65" s="390">
        <f>K65*0.02</f>
        <v/>
      </c>
      <c r="N65" s="390">
        <f>K65+L65+M65</f>
        <v/>
      </c>
      <c r="O65" s="390">
        <f>IF(G65&gt;0, N65/G65, 0)</f>
        <v/>
      </c>
      <c r="P65" s="391" t="n">
        <v>0.1</v>
      </c>
      <c r="Q65" s="390">
        <f>O65*(1+P65)</f>
        <v/>
      </c>
      <c r="R65" s="390">
        <f>G65*Q65</f>
        <v/>
      </c>
      <c r="S65" t="inlineStr">
        <is>
          <t>Hàng thương mại</t>
        </is>
      </c>
    </row>
    <row r="66">
      <c r="A66" t="n">
        <v>65</v>
      </c>
      <c r="B66" t="inlineStr">
        <is>
          <t>SW-TRD-065</t>
        </is>
      </c>
      <c r="C66" t="inlineStr">
        <is>
          <t>THƯƠNG MẠI</t>
        </is>
      </c>
      <c r="D66" t="inlineStr">
        <is>
          <t>HỆ THỐNG TẠO ÁP Quạt hướng trục BPF-B1-Z1-03 400 l/s @ 550 Pa, chống cháy 300°C trong 2h</t>
        </is>
      </c>
      <c r="E66" t="inlineStr">
        <is>
          <t>-</t>
        </is>
      </c>
      <c r="F66" t="inlineStr">
        <is>
          <t>Cái</t>
        </is>
      </c>
      <c r="G66" s="390" t="n">
        <v>1</v>
      </c>
      <c r="H66" s="390">
        <f>SUMIF('01_BOC_TACH_ONG'!B:B, B66, '01_BOC_TACH_ONG'!K:K)</f>
        <v/>
      </c>
      <c r="I66" s="390">
        <f>SUMIF('02_BOC_TACH_CUA'!B:B, B66, '02_BOC_TACH_CUA'!K:K)</f>
        <v/>
      </c>
      <c r="J66" s="390">
        <f>SUMIF('03_BOC_TACH_VAN'!B:B, B66, '03_BOC_TACH_VAN'!K:K)</f>
        <v/>
      </c>
      <c r="K66" s="390">
        <f>SUM(H66:J66)</f>
        <v/>
      </c>
      <c r="L66" s="390">
        <f>K66*0.00</f>
        <v/>
      </c>
      <c r="M66" s="390">
        <f>K66*0.02</f>
        <v/>
      </c>
      <c r="N66" s="390">
        <f>K66+L66+M66</f>
        <v/>
      </c>
      <c r="O66" s="390">
        <f>IF(G66&gt;0, N66/G66, 0)</f>
        <v/>
      </c>
      <c r="P66" s="391" t="n">
        <v>0.1</v>
      </c>
      <c r="Q66" s="390">
        <f>O66*(1+P66)</f>
        <v/>
      </c>
      <c r="R66" s="390">
        <f>G66*Q66</f>
        <v/>
      </c>
      <c r="S66" t="inlineStr">
        <is>
          <t>Hàng thương mại</t>
        </is>
      </c>
    </row>
    <row r="67">
      <c r="A67" t="n">
        <v>66</v>
      </c>
      <c r="B67" t="inlineStr">
        <is>
          <t>SW-TRD-066</t>
        </is>
      </c>
      <c r="C67" t="inlineStr">
        <is>
          <t>THƯƠNG MẠI</t>
        </is>
      </c>
      <c r="D67" t="inlineStr">
        <is>
          <t>HỆ THỐNG TẠO ÁP Quạt hướng trục BPF-B1-Z1-04 5400 l/s @ 450 Pa, chống cháy 300°C trong 2h</t>
        </is>
      </c>
      <c r="E67" t="inlineStr">
        <is>
          <t>-</t>
        </is>
      </c>
      <c r="F67" t="inlineStr">
        <is>
          <t>Cái</t>
        </is>
      </c>
      <c r="G67" s="390" t="n">
        <v>1</v>
      </c>
      <c r="H67" s="390">
        <f>SUMIF('01_BOC_TACH_ONG'!B:B, B67, '01_BOC_TACH_ONG'!K:K)</f>
        <v/>
      </c>
      <c r="I67" s="390">
        <f>SUMIF('02_BOC_TACH_CUA'!B:B, B67, '02_BOC_TACH_CUA'!K:K)</f>
        <v/>
      </c>
      <c r="J67" s="390">
        <f>SUMIF('03_BOC_TACH_VAN'!B:B, B67, '03_BOC_TACH_VAN'!K:K)</f>
        <v/>
      </c>
      <c r="K67" s="390">
        <f>SUM(H67:J67)</f>
        <v/>
      </c>
      <c r="L67" s="390">
        <f>K67*0.00</f>
        <v/>
      </c>
      <c r="M67" s="390">
        <f>K67*0.02</f>
        <v/>
      </c>
      <c r="N67" s="390">
        <f>K67+L67+M67</f>
        <v/>
      </c>
      <c r="O67" s="390">
        <f>IF(G67&gt;0, N67/G67, 0)</f>
        <v/>
      </c>
      <c r="P67" s="391" t="n">
        <v>0.1</v>
      </c>
      <c r="Q67" s="390">
        <f>O67*(1+P67)</f>
        <v/>
      </c>
      <c r="R67" s="390">
        <f>G67*Q67</f>
        <v/>
      </c>
      <c r="S67" t="inlineStr">
        <is>
          <t>Hàng thương mại</t>
        </is>
      </c>
    </row>
    <row r="68">
      <c r="A68" t="n">
        <v>67</v>
      </c>
      <c r="B68" t="inlineStr">
        <is>
          <t>SW-TRD-067</t>
        </is>
      </c>
      <c r="C68" t="inlineStr">
        <is>
          <t>THƯƠNG MẠI</t>
        </is>
      </c>
      <c r="D68" t="inlineStr">
        <is>
          <t>HỆ THỐNG TẠO ÁP Quạt hướng trục BPF-B1-Z1-05 1100 l/s @ 500 Pa, chống cháy 300°C trong 2h</t>
        </is>
      </c>
      <c r="E68" t="inlineStr">
        <is>
          <t>-</t>
        </is>
      </c>
      <c r="F68" t="inlineStr">
        <is>
          <t>Cái</t>
        </is>
      </c>
      <c r="G68" s="390" t="n">
        <v>1</v>
      </c>
      <c r="H68" s="390">
        <f>SUMIF('01_BOC_TACH_ONG'!B:B, B68, '01_BOC_TACH_ONG'!K:K)</f>
        <v/>
      </c>
      <c r="I68" s="390">
        <f>SUMIF('02_BOC_TACH_CUA'!B:B, B68, '02_BOC_TACH_CUA'!K:K)</f>
        <v/>
      </c>
      <c r="J68" s="390">
        <f>SUMIF('03_BOC_TACH_VAN'!B:B, B68, '03_BOC_TACH_VAN'!K:K)</f>
        <v/>
      </c>
      <c r="K68" s="390">
        <f>SUM(H68:J68)</f>
        <v/>
      </c>
      <c r="L68" s="390">
        <f>K68*0.00</f>
        <v/>
      </c>
      <c r="M68" s="390">
        <f>K68*0.02</f>
        <v/>
      </c>
      <c r="N68" s="390">
        <f>K68+L68+M68</f>
        <v/>
      </c>
      <c r="O68" s="390">
        <f>IF(G68&gt;0, N68/G68, 0)</f>
        <v/>
      </c>
      <c r="P68" s="391" t="n">
        <v>0.1</v>
      </c>
      <c r="Q68" s="390">
        <f>O68*(1+P68)</f>
        <v/>
      </c>
      <c r="R68" s="390">
        <f>G68*Q68</f>
        <v/>
      </c>
      <c r="S68" t="inlineStr">
        <is>
          <t>Hàng thương mại</t>
        </is>
      </c>
    </row>
    <row r="69">
      <c r="A69" t="n">
        <v>68</v>
      </c>
      <c r="B69" t="inlineStr">
        <is>
          <t>SW-TRD-068</t>
        </is>
      </c>
      <c r="C69" t="inlineStr">
        <is>
          <t>THƯƠNG MẠI</t>
        </is>
      </c>
      <c r="D69" t="inlineStr">
        <is>
          <t>HỆ THỐNG TẠO ÁP Quạt hướng trục BPF-B1-Z1-06 400 l/s @ 650 Pa, chống cháy 300°C trong 2h</t>
        </is>
      </c>
      <c r="E69" t="inlineStr">
        <is>
          <t>-</t>
        </is>
      </c>
      <c r="F69" t="inlineStr">
        <is>
          <t>Cái</t>
        </is>
      </c>
      <c r="G69" s="390" t="n">
        <v>1</v>
      </c>
      <c r="H69" s="390">
        <f>SUMIF('01_BOC_TACH_ONG'!B:B, B69, '01_BOC_TACH_ONG'!K:K)</f>
        <v/>
      </c>
      <c r="I69" s="390">
        <f>SUMIF('02_BOC_TACH_CUA'!B:B, B69, '02_BOC_TACH_CUA'!K:K)</f>
        <v/>
      </c>
      <c r="J69" s="390">
        <f>SUMIF('03_BOC_TACH_VAN'!B:B, B69, '03_BOC_TACH_VAN'!K:K)</f>
        <v/>
      </c>
      <c r="K69" s="390">
        <f>SUM(H69:J69)</f>
        <v/>
      </c>
      <c r="L69" s="390">
        <f>K69*0.00</f>
        <v/>
      </c>
      <c r="M69" s="390">
        <f>K69*0.02</f>
        <v/>
      </c>
      <c r="N69" s="390">
        <f>K69+L69+M69</f>
        <v/>
      </c>
      <c r="O69" s="390">
        <f>IF(G69&gt;0, N69/G69, 0)</f>
        <v/>
      </c>
      <c r="P69" s="391" t="n">
        <v>0.1</v>
      </c>
      <c r="Q69" s="390">
        <f>O69*(1+P69)</f>
        <v/>
      </c>
      <c r="R69" s="390">
        <f>G69*Q69</f>
        <v/>
      </c>
      <c r="S69" t="inlineStr">
        <is>
          <t>Hàng thương mại</t>
        </is>
      </c>
    </row>
    <row r="70">
      <c r="A70" t="n">
        <v>69</v>
      </c>
      <c r="B70" t="inlineStr">
        <is>
          <t>SW-TRD-069</t>
        </is>
      </c>
      <c r="C70" t="inlineStr">
        <is>
          <t>THƯƠNG MẠI</t>
        </is>
      </c>
      <c r="D70" t="inlineStr">
        <is>
          <t>HỆ THỐNG TẠO ÁP Quạt hướng trục BPF-B1-Z2-01 400 l/s @ 400 Pa, chống cháy 300°C trong 2h</t>
        </is>
      </c>
      <c r="E70" t="inlineStr">
        <is>
          <t>-</t>
        </is>
      </c>
      <c r="F70" t="inlineStr">
        <is>
          <t>Cái</t>
        </is>
      </c>
      <c r="G70" s="390" t="n">
        <v>1</v>
      </c>
      <c r="H70" s="390">
        <f>SUMIF('01_BOC_TACH_ONG'!B:B, B70, '01_BOC_TACH_ONG'!K:K)</f>
        <v/>
      </c>
      <c r="I70" s="390">
        <f>SUMIF('02_BOC_TACH_CUA'!B:B, B70, '02_BOC_TACH_CUA'!K:K)</f>
        <v/>
      </c>
      <c r="J70" s="390">
        <f>SUMIF('03_BOC_TACH_VAN'!B:B, B70, '03_BOC_TACH_VAN'!K:K)</f>
        <v/>
      </c>
      <c r="K70" s="390">
        <f>SUM(H70:J70)</f>
        <v/>
      </c>
      <c r="L70" s="390">
        <f>K70*0.00</f>
        <v/>
      </c>
      <c r="M70" s="390">
        <f>K70*0.02</f>
        <v/>
      </c>
      <c r="N70" s="390">
        <f>K70+L70+M70</f>
        <v/>
      </c>
      <c r="O70" s="390">
        <f>IF(G70&gt;0, N70/G70, 0)</f>
        <v/>
      </c>
      <c r="P70" s="391" t="n">
        <v>0.1</v>
      </c>
      <c r="Q70" s="390">
        <f>O70*(1+P70)</f>
        <v/>
      </c>
      <c r="R70" s="390">
        <f>G70*Q70</f>
        <v/>
      </c>
      <c r="S70" t="inlineStr">
        <is>
          <t>Hàng thương mại</t>
        </is>
      </c>
    </row>
    <row r="71">
      <c r="A71" t="n">
        <v>70</v>
      </c>
      <c r="B71" t="inlineStr">
        <is>
          <t>SW-TRD-070</t>
        </is>
      </c>
      <c r="C71" t="inlineStr">
        <is>
          <t>THƯƠNG MẠI</t>
        </is>
      </c>
      <c r="D71" t="inlineStr">
        <is>
          <t>HỆ THỐNG TẠO ÁP Quạt hướng trục BPF-B1-Z2-02 5400 l/s @ 700 Pa, chống cháy 300°C trong 2h</t>
        </is>
      </c>
      <c r="E71" t="inlineStr">
        <is>
          <t>-</t>
        </is>
      </c>
      <c r="F71" t="inlineStr">
        <is>
          <t>Cái</t>
        </is>
      </c>
      <c r="G71" s="390" t="n">
        <v>1</v>
      </c>
      <c r="H71" s="390">
        <f>SUMIF('01_BOC_TACH_ONG'!B:B, B71, '01_BOC_TACH_ONG'!K:K)</f>
        <v/>
      </c>
      <c r="I71" s="390">
        <f>SUMIF('02_BOC_TACH_CUA'!B:B, B71, '02_BOC_TACH_CUA'!K:K)</f>
        <v/>
      </c>
      <c r="J71" s="390">
        <f>SUMIF('03_BOC_TACH_VAN'!B:B, B71, '03_BOC_TACH_VAN'!K:K)</f>
        <v/>
      </c>
      <c r="K71" s="390">
        <f>SUM(H71:J71)</f>
        <v/>
      </c>
      <c r="L71" s="390">
        <f>K71*0.00</f>
        <v/>
      </c>
      <c r="M71" s="390">
        <f>K71*0.02</f>
        <v/>
      </c>
      <c r="N71" s="390">
        <f>K71+L71+M71</f>
        <v/>
      </c>
      <c r="O71" s="390">
        <f>IF(G71&gt;0, N71/G71, 0)</f>
        <v/>
      </c>
      <c r="P71" s="391" t="n">
        <v>0.1</v>
      </c>
      <c r="Q71" s="390">
        <f>O71*(1+P71)</f>
        <v/>
      </c>
      <c r="R71" s="390">
        <f>G71*Q71</f>
        <v/>
      </c>
      <c r="S71" t="inlineStr">
        <is>
          <t>Hàng thương mại</t>
        </is>
      </c>
    </row>
    <row r="72">
      <c r="A72" t="n">
        <v>71</v>
      </c>
      <c r="B72" t="inlineStr">
        <is>
          <t>SW-TRD-071</t>
        </is>
      </c>
      <c r="C72" t="inlineStr">
        <is>
          <t>THƯƠNG MẠI</t>
        </is>
      </c>
      <c r="D72" t="inlineStr">
        <is>
          <t>HỆ THỐNG TẠO ÁP Quạt hướng trục BPF-B1-Z2-03 5400 l/s @ 700 Pa, chống cháy 300°C trong 2h</t>
        </is>
      </c>
      <c r="E72" t="inlineStr">
        <is>
          <t>-</t>
        </is>
      </c>
      <c r="F72" t="inlineStr">
        <is>
          <t>Cái</t>
        </is>
      </c>
      <c r="G72" s="390" t="n">
        <v>1</v>
      </c>
      <c r="H72" s="390">
        <f>SUMIF('01_BOC_TACH_ONG'!B:B, B72, '01_BOC_TACH_ONG'!K:K)</f>
        <v/>
      </c>
      <c r="I72" s="390">
        <f>SUMIF('02_BOC_TACH_CUA'!B:B, B72, '02_BOC_TACH_CUA'!K:K)</f>
        <v/>
      </c>
      <c r="J72" s="390">
        <f>SUMIF('03_BOC_TACH_VAN'!B:B, B72, '03_BOC_TACH_VAN'!K:K)</f>
        <v/>
      </c>
      <c r="K72" s="390">
        <f>SUM(H72:J72)</f>
        <v/>
      </c>
      <c r="L72" s="390">
        <f>K72*0.00</f>
        <v/>
      </c>
      <c r="M72" s="390">
        <f>K72*0.02</f>
        <v/>
      </c>
      <c r="N72" s="390">
        <f>K72+L72+M72</f>
        <v/>
      </c>
      <c r="O72" s="390">
        <f>IF(G72&gt;0, N72/G72, 0)</f>
        <v/>
      </c>
      <c r="P72" s="391" t="n">
        <v>0.1</v>
      </c>
      <c r="Q72" s="390">
        <f>O72*(1+P72)</f>
        <v/>
      </c>
      <c r="R72" s="390">
        <f>G72*Q72</f>
        <v/>
      </c>
      <c r="S72" t="inlineStr">
        <is>
          <t>Hàng thương mại</t>
        </is>
      </c>
    </row>
    <row r="73">
      <c r="A73" t="n">
        <v>72</v>
      </c>
      <c r="B73" t="inlineStr">
        <is>
          <t>SW-TRD-072</t>
        </is>
      </c>
      <c r="C73" t="inlineStr">
        <is>
          <t>THƯƠNG MẠI</t>
        </is>
      </c>
      <c r="D73" t="inlineStr">
        <is>
          <t>HỆ THỐNG TẠO ÁP Quạt hướng trục BPF-B1-Z2-04 700 l/s @ 400 Pa, chống cháy 300°C trong 2h</t>
        </is>
      </c>
      <c r="E73" t="inlineStr">
        <is>
          <t>-</t>
        </is>
      </c>
      <c r="F73" t="inlineStr">
        <is>
          <t>Cái</t>
        </is>
      </c>
      <c r="G73" s="390" t="n">
        <v>1</v>
      </c>
      <c r="H73" s="390">
        <f>SUMIF('01_BOC_TACH_ONG'!B:B, B73, '01_BOC_TACH_ONG'!K:K)</f>
        <v/>
      </c>
      <c r="I73" s="390">
        <f>SUMIF('02_BOC_TACH_CUA'!B:B, B73, '02_BOC_TACH_CUA'!K:K)</f>
        <v/>
      </c>
      <c r="J73" s="390">
        <f>SUMIF('03_BOC_TACH_VAN'!B:B, B73, '03_BOC_TACH_VAN'!K:K)</f>
        <v/>
      </c>
      <c r="K73" s="390">
        <f>SUM(H73:J73)</f>
        <v/>
      </c>
      <c r="L73" s="390">
        <f>K73*0.00</f>
        <v/>
      </c>
      <c r="M73" s="390">
        <f>K73*0.02</f>
        <v/>
      </c>
      <c r="N73" s="390">
        <f>K73+L73+M73</f>
        <v/>
      </c>
      <c r="O73" s="390">
        <f>IF(G73&gt;0, N73/G73, 0)</f>
        <v/>
      </c>
      <c r="P73" s="391" t="n">
        <v>0.1</v>
      </c>
      <c r="Q73" s="390">
        <f>O73*(1+P73)</f>
        <v/>
      </c>
      <c r="R73" s="390">
        <f>G73*Q73</f>
        <v/>
      </c>
      <c r="S73" t="inlineStr">
        <is>
          <t>Hàng thương mại</t>
        </is>
      </c>
    </row>
    <row r="74">
      <c r="A74" t="n">
        <v>73</v>
      </c>
      <c r="B74" t="inlineStr">
        <is>
          <t>SW-TRD-073</t>
        </is>
      </c>
      <c r="C74" t="inlineStr">
        <is>
          <t>THƯƠNG MẠI</t>
        </is>
      </c>
      <c r="D74" t="inlineStr">
        <is>
          <t>HỆ THỐNG TẠO ÁP Quạt hướng trục LPF-A1.12-03F-01 1900 l/s @ 400 Pa, chống cháy 300°C trong 2h</t>
        </is>
      </c>
      <c r="E74" t="inlineStr">
        <is>
          <t>-</t>
        </is>
      </c>
      <c r="F74" t="inlineStr">
        <is>
          <t>Cái</t>
        </is>
      </c>
      <c r="G74" s="390" t="n">
        <v>1</v>
      </c>
      <c r="H74" s="390">
        <f>SUMIF('01_BOC_TACH_ONG'!B:B, B74, '01_BOC_TACH_ONG'!K:K)</f>
        <v/>
      </c>
      <c r="I74" s="390">
        <f>SUMIF('02_BOC_TACH_CUA'!B:B, B74, '02_BOC_TACH_CUA'!K:K)</f>
        <v/>
      </c>
      <c r="J74" s="390">
        <f>SUMIF('03_BOC_TACH_VAN'!B:B, B74, '03_BOC_TACH_VAN'!K:K)</f>
        <v/>
      </c>
      <c r="K74" s="390">
        <f>SUM(H74:J74)</f>
        <v/>
      </c>
      <c r="L74" s="390">
        <f>K74*0.00</f>
        <v/>
      </c>
      <c r="M74" s="390">
        <f>K74*0.02</f>
        <v/>
      </c>
      <c r="N74" s="390">
        <f>K74+L74+M74</f>
        <v/>
      </c>
      <c r="O74" s="390">
        <f>IF(G74&gt;0, N74/G74, 0)</f>
        <v/>
      </c>
      <c r="P74" s="391" t="n">
        <v>0.1</v>
      </c>
      <c r="Q74" s="390">
        <f>O74*(1+P74)</f>
        <v/>
      </c>
      <c r="R74" s="390">
        <f>G74*Q74</f>
        <v/>
      </c>
      <c r="S74" t="inlineStr">
        <is>
          <t>Hàng thương mại</t>
        </is>
      </c>
    </row>
    <row r="75">
      <c r="A75" t="n">
        <v>74</v>
      </c>
      <c r="B75" t="inlineStr">
        <is>
          <t>SW-TRD-074</t>
        </is>
      </c>
      <c r="C75" t="inlineStr">
        <is>
          <t>THƯƠNG MẠI</t>
        </is>
      </c>
      <c r="D75" t="inlineStr">
        <is>
          <t>HỆ THỐNG TẠO ÁP Quạt hướng trục LPF-A1.23-03F-01 1900 l/s @ 450 Pa, chống cháy 300°C trong 2h</t>
        </is>
      </c>
      <c r="E75" t="inlineStr">
        <is>
          <t>-</t>
        </is>
      </c>
      <c r="F75" t="inlineStr">
        <is>
          <t>Cái</t>
        </is>
      </c>
      <c r="G75" s="390" t="n">
        <v>1</v>
      </c>
      <c r="H75" s="390">
        <f>SUMIF('01_BOC_TACH_ONG'!B:B, B75, '01_BOC_TACH_ONG'!K:K)</f>
        <v/>
      </c>
      <c r="I75" s="390">
        <f>SUMIF('02_BOC_TACH_CUA'!B:B, B75, '02_BOC_TACH_CUA'!K:K)</f>
        <v/>
      </c>
      <c r="J75" s="390">
        <f>SUMIF('03_BOC_TACH_VAN'!B:B, B75, '03_BOC_TACH_VAN'!K:K)</f>
        <v/>
      </c>
      <c r="K75" s="390">
        <f>SUM(H75:J75)</f>
        <v/>
      </c>
      <c r="L75" s="390">
        <f>K75*0.00</f>
        <v/>
      </c>
      <c r="M75" s="390">
        <f>K75*0.02</f>
        <v/>
      </c>
      <c r="N75" s="390">
        <f>K75+L75+M75</f>
        <v/>
      </c>
      <c r="O75" s="390">
        <f>IF(G75&gt;0, N75/G75, 0)</f>
        <v/>
      </c>
      <c r="P75" s="391" t="n">
        <v>0.1</v>
      </c>
      <c r="Q75" s="390">
        <f>O75*(1+P75)</f>
        <v/>
      </c>
      <c r="R75" s="390">
        <f>G75*Q75</f>
        <v/>
      </c>
      <c r="S75" t="inlineStr">
        <is>
          <t>Hàng thương mại</t>
        </is>
      </c>
    </row>
    <row r="76">
      <c r="A76" t="n">
        <v>75</v>
      </c>
      <c r="B76" t="inlineStr">
        <is>
          <t>SW-TRD-075</t>
        </is>
      </c>
      <c r="C76" t="inlineStr">
        <is>
          <t>THƯƠNG MẠI</t>
        </is>
      </c>
      <c r="D76" t="inlineStr">
        <is>
          <t>HỆ THỐNG TẠO ÁP Quạt hướng trục BPF-A1.2-04F-01 9500 l/s @ 450 Pa, chống cháy 300°C trong 2h</t>
        </is>
      </c>
      <c r="E76" t="inlineStr">
        <is>
          <t>-</t>
        </is>
      </c>
      <c r="F76" t="inlineStr">
        <is>
          <t>Cái</t>
        </is>
      </c>
      <c r="G76" s="390" t="n">
        <v>1</v>
      </c>
      <c r="H76" s="390">
        <f>SUMIF('01_BOC_TACH_ONG'!B:B, B76, '01_BOC_TACH_ONG'!K:K)</f>
        <v/>
      </c>
      <c r="I76" s="390">
        <f>SUMIF('02_BOC_TACH_CUA'!B:B, B76, '02_BOC_TACH_CUA'!K:K)</f>
        <v/>
      </c>
      <c r="J76" s="390">
        <f>SUMIF('03_BOC_TACH_VAN'!B:B, B76, '03_BOC_TACH_VAN'!K:K)</f>
        <v/>
      </c>
      <c r="K76" s="390">
        <f>SUM(H76:J76)</f>
        <v/>
      </c>
      <c r="L76" s="390">
        <f>K76*0.00</f>
        <v/>
      </c>
      <c r="M76" s="390">
        <f>K76*0.02</f>
        <v/>
      </c>
      <c r="N76" s="390">
        <f>K76+L76+M76</f>
        <v/>
      </c>
      <c r="O76" s="390">
        <f>IF(G76&gt;0, N76/G76, 0)</f>
        <v/>
      </c>
      <c r="P76" s="391" t="n">
        <v>0.1</v>
      </c>
      <c r="Q76" s="390">
        <f>O76*(1+P76)</f>
        <v/>
      </c>
      <c r="R76" s="390">
        <f>G76*Q76</f>
        <v/>
      </c>
      <c r="S76" t="inlineStr">
        <is>
          <t>Hàng thương mại</t>
        </is>
      </c>
    </row>
    <row r="77">
      <c r="A77" t="n">
        <v>76</v>
      </c>
      <c r="B77" t="inlineStr">
        <is>
          <t>SW-TRD-076</t>
        </is>
      </c>
      <c r="C77" t="inlineStr">
        <is>
          <t>THƯƠNG MẠI</t>
        </is>
      </c>
      <c r="D77" t="inlineStr">
        <is>
          <t>HỆ THỐNG TẠO ÁP Quạt hướng trục LPF-A1.2-04F-01 1900 l/s @ 400 Pa, chống cháy 300°C trong 2h</t>
        </is>
      </c>
      <c r="E77" t="inlineStr">
        <is>
          <t>-</t>
        </is>
      </c>
      <c r="F77" t="inlineStr">
        <is>
          <t>Cái</t>
        </is>
      </c>
      <c r="G77" s="390" t="n">
        <v>1</v>
      </c>
      <c r="H77" s="390">
        <f>SUMIF('01_BOC_TACH_ONG'!B:B, B77, '01_BOC_TACH_ONG'!K:K)</f>
        <v/>
      </c>
      <c r="I77" s="390">
        <f>SUMIF('02_BOC_TACH_CUA'!B:B, B77, '02_BOC_TACH_CUA'!K:K)</f>
        <v/>
      </c>
      <c r="J77" s="390">
        <f>SUMIF('03_BOC_TACH_VAN'!B:B, B77, '03_BOC_TACH_VAN'!K:K)</f>
        <v/>
      </c>
      <c r="K77" s="390">
        <f>SUM(H77:J77)</f>
        <v/>
      </c>
      <c r="L77" s="390">
        <f>K77*0.00</f>
        <v/>
      </c>
      <c r="M77" s="390">
        <f>K77*0.02</f>
        <v/>
      </c>
      <c r="N77" s="390">
        <f>K77+L77+M77</f>
        <v/>
      </c>
      <c r="O77" s="390">
        <f>IF(G77&gt;0, N77/G77, 0)</f>
        <v/>
      </c>
      <c r="P77" s="391" t="n">
        <v>0.1</v>
      </c>
      <c r="Q77" s="390">
        <f>O77*(1+P77)</f>
        <v/>
      </c>
      <c r="R77" s="390">
        <f>G77*Q77</f>
        <v/>
      </c>
      <c r="S77" t="inlineStr">
        <is>
          <t>Hàng thương mại</t>
        </is>
      </c>
    </row>
    <row r="78">
      <c r="A78" t="n">
        <v>77</v>
      </c>
      <c r="B78" t="inlineStr">
        <is>
          <t>SW-TRD-077</t>
        </is>
      </c>
      <c r="C78" t="inlineStr">
        <is>
          <t>THƯƠNG MẠI</t>
        </is>
      </c>
      <c r="D78" t="inlineStr">
        <is>
          <t>HỆ THỐNG TẠO ÁP Quạt hướng trục SPF-A1.3-09F-01 4800 l/s @ 400 Pa, chống cháy 300°C trong 2h</t>
        </is>
      </c>
      <c r="E78" t="inlineStr">
        <is>
          <t>-</t>
        </is>
      </c>
      <c r="F78" t="inlineStr">
        <is>
          <t>Cái</t>
        </is>
      </c>
      <c r="G78" s="390" t="n">
        <v>1</v>
      </c>
      <c r="H78" s="390">
        <f>SUMIF('01_BOC_TACH_ONG'!B:B, B78, '01_BOC_TACH_ONG'!K:K)</f>
        <v/>
      </c>
      <c r="I78" s="390">
        <f>SUMIF('02_BOC_TACH_CUA'!B:B, B78, '02_BOC_TACH_CUA'!K:K)</f>
        <v/>
      </c>
      <c r="J78" s="390">
        <f>SUMIF('03_BOC_TACH_VAN'!B:B, B78, '03_BOC_TACH_VAN'!K:K)</f>
        <v/>
      </c>
      <c r="K78" s="390">
        <f>SUM(H78:J78)</f>
        <v/>
      </c>
      <c r="L78" s="390">
        <f>K78*0.00</f>
        <v/>
      </c>
      <c r="M78" s="390">
        <f>K78*0.02</f>
        <v/>
      </c>
      <c r="N78" s="390">
        <f>K78+L78+M78</f>
        <v/>
      </c>
      <c r="O78" s="390">
        <f>IF(G78&gt;0, N78/G78, 0)</f>
        <v/>
      </c>
      <c r="P78" s="391" t="n">
        <v>0.1</v>
      </c>
      <c r="Q78" s="390">
        <f>O78*(1+P78)</f>
        <v/>
      </c>
      <c r="R78" s="390">
        <f>G78*Q78</f>
        <v/>
      </c>
      <c r="S78" t="inlineStr">
        <is>
          <t>Hàng thương mại</t>
        </is>
      </c>
    </row>
    <row r="79">
      <c r="A79" t="n">
        <v>78</v>
      </c>
      <c r="B79" t="inlineStr">
        <is>
          <t>SW-TRD-078</t>
        </is>
      </c>
      <c r="C79" t="inlineStr">
        <is>
          <t>THƯƠNG MẠI</t>
        </is>
      </c>
      <c r="D79" t="inlineStr">
        <is>
          <t>HỆ THỐNG TẠO ÁP Quạt hướng trục SPF-A1.3-10F-01 4800 l/s @ 400 Pa, chống cháy 300°C trong 2h</t>
        </is>
      </c>
      <c r="E79" t="inlineStr">
        <is>
          <t>-</t>
        </is>
      </c>
      <c r="F79" t="inlineStr">
        <is>
          <t>Cái</t>
        </is>
      </c>
      <c r="G79" s="390" t="n">
        <v>1</v>
      </c>
      <c r="H79" s="390">
        <f>SUMIF('01_BOC_TACH_ONG'!B:B, B79, '01_BOC_TACH_ONG'!K:K)</f>
        <v/>
      </c>
      <c r="I79" s="390">
        <f>SUMIF('02_BOC_TACH_CUA'!B:B, B79, '02_BOC_TACH_CUA'!K:K)</f>
        <v/>
      </c>
      <c r="J79" s="390">
        <f>SUMIF('03_BOC_TACH_VAN'!B:B, B79, '03_BOC_TACH_VAN'!K:K)</f>
        <v/>
      </c>
      <c r="K79" s="390">
        <f>SUM(H79:J79)</f>
        <v/>
      </c>
      <c r="L79" s="390">
        <f>K79*0.00</f>
        <v/>
      </c>
      <c r="M79" s="390">
        <f>K79*0.02</f>
        <v/>
      </c>
      <c r="N79" s="390">
        <f>K79+L79+M79</f>
        <v/>
      </c>
      <c r="O79" s="390">
        <f>IF(G79&gt;0, N79/G79, 0)</f>
        <v/>
      </c>
      <c r="P79" s="391" t="n">
        <v>0.1</v>
      </c>
      <c r="Q79" s="390">
        <f>O79*(1+P79)</f>
        <v/>
      </c>
      <c r="R79" s="390">
        <f>G79*Q79</f>
        <v/>
      </c>
      <c r="S79" t="inlineStr">
        <is>
          <t>Hàng thương mại</t>
        </is>
      </c>
    </row>
    <row r="80">
      <c r="A80" t="n">
        <v>79</v>
      </c>
      <c r="B80" t="inlineStr">
        <is>
          <t>SW-TRD-079</t>
        </is>
      </c>
      <c r="C80" t="inlineStr">
        <is>
          <t>THƯƠNG MẠI</t>
        </is>
      </c>
      <c r="D80" t="inlineStr">
        <is>
          <t>HỆ THỐNG TẠO ÁP Quạt hướng trục LPF-A1.3-10F-01~02 3000 l/s @ 350 Pa, chống cháy 300°C trong 2h</t>
        </is>
      </c>
      <c r="E80" t="inlineStr">
        <is>
          <t>-</t>
        </is>
      </c>
      <c r="F80" t="inlineStr">
        <is>
          <t>Cái</t>
        </is>
      </c>
      <c r="G80" s="390" t="n">
        <v>2</v>
      </c>
      <c r="H80" s="390">
        <f>SUMIF('01_BOC_TACH_ONG'!B:B, B80, '01_BOC_TACH_ONG'!K:K)</f>
        <v/>
      </c>
      <c r="I80" s="390">
        <f>SUMIF('02_BOC_TACH_CUA'!B:B, B80, '02_BOC_TACH_CUA'!K:K)</f>
        <v/>
      </c>
      <c r="J80" s="390">
        <f>SUMIF('03_BOC_TACH_VAN'!B:B, B80, '03_BOC_TACH_VAN'!K:K)</f>
        <v/>
      </c>
      <c r="K80" s="390">
        <f>SUM(H80:J80)</f>
        <v/>
      </c>
      <c r="L80" s="390">
        <f>K80*0.00</f>
        <v/>
      </c>
      <c r="M80" s="390">
        <f>K80*0.02</f>
        <v/>
      </c>
      <c r="N80" s="390">
        <f>K80+L80+M80</f>
        <v/>
      </c>
      <c r="O80" s="390">
        <f>IF(G80&gt;0, N80/G80, 0)</f>
        <v/>
      </c>
      <c r="P80" s="391" t="n">
        <v>0.1</v>
      </c>
      <c r="Q80" s="390">
        <f>O80*(1+P80)</f>
        <v/>
      </c>
      <c r="R80" s="390">
        <f>G80*Q80</f>
        <v/>
      </c>
      <c r="S80" t="inlineStr">
        <is>
          <t>Hàng thương mại</t>
        </is>
      </c>
    </row>
    <row r="81">
      <c r="A81" t="n">
        <v>80</v>
      </c>
      <c r="B81" t="inlineStr">
        <is>
          <t>SW-TRD-080</t>
        </is>
      </c>
      <c r="C81" t="inlineStr">
        <is>
          <t>THƯƠNG MẠI</t>
        </is>
      </c>
      <c r="D81" t="inlineStr">
        <is>
          <t>HỆ THỐNG TẠO ÁP Quạt hướng trục BPF-A1.3-10F-01 5800 l/s @ 550 Pa, chống cháy 300°C trong 2h</t>
        </is>
      </c>
      <c r="E81" t="inlineStr">
        <is>
          <t>-</t>
        </is>
      </c>
      <c r="F81" t="inlineStr">
        <is>
          <t>Cái</t>
        </is>
      </c>
      <c r="G81" s="390" t="n">
        <v>1</v>
      </c>
      <c r="H81" s="390">
        <f>SUMIF('01_BOC_TACH_ONG'!B:B, B81, '01_BOC_TACH_ONG'!K:K)</f>
        <v/>
      </c>
      <c r="I81" s="390">
        <f>SUMIF('02_BOC_TACH_CUA'!B:B, B81, '02_BOC_TACH_CUA'!K:K)</f>
        <v/>
      </c>
      <c r="J81" s="390">
        <f>SUMIF('03_BOC_TACH_VAN'!B:B, B81, '03_BOC_TACH_VAN'!K:K)</f>
        <v/>
      </c>
      <c r="K81" s="390">
        <f>SUM(H81:J81)</f>
        <v/>
      </c>
      <c r="L81" s="390">
        <f>K81*0.00</f>
        <v/>
      </c>
      <c r="M81" s="390">
        <f>K81*0.02</f>
        <v/>
      </c>
      <c r="N81" s="390">
        <f>K81+L81+M81</f>
        <v/>
      </c>
      <c r="O81" s="390">
        <f>IF(G81&gt;0, N81/G81, 0)</f>
        <v/>
      </c>
      <c r="P81" s="391" t="n">
        <v>0.1</v>
      </c>
      <c r="Q81" s="390">
        <f>O81*(1+P81)</f>
        <v/>
      </c>
      <c r="R81" s="390">
        <f>G81*Q81</f>
        <v/>
      </c>
      <c r="S81" t="inlineStr">
        <is>
          <t>Hàng thương mại</t>
        </is>
      </c>
    </row>
    <row r="82">
      <c r="A82" t="n">
        <v>81</v>
      </c>
      <c r="B82" t="inlineStr">
        <is>
          <t>SW-TRD-081</t>
        </is>
      </c>
      <c r="C82" t="inlineStr">
        <is>
          <t>THƯƠNG MẠI</t>
        </is>
      </c>
      <c r="D82" t="inlineStr">
        <is>
          <t>HỆ THỐNG TẠO ÁP Quạt hướng trục LPF-A1.2-11F-01~03 3500 l/s @ 400 Pa, chống cháy 300°C trong 2h</t>
        </is>
      </c>
      <c r="E82" t="inlineStr">
        <is>
          <t>-</t>
        </is>
      </c>
      <c r="F82" t="inlineStr">
        <is>
          <t>Cái</t>
        </is>
      </c>
      <c r="G82" s="390" t="n">
        <v>3</v>
      </c>
      <c r="H82" s="390">
        <f>SUMIF('01_BOC_TACH_ONG'!B:B, B82, '01_BOC_TACH_ONG'!K:K)</f>
        <v/>
      </c>
      <c r="I82" s="390">
        <f>SUMIF('02_BOC_TACH_CUA'!B:B, B82, '02_BOC_TACH_CUA'!K:K)</f>
        <v/>
      </c>
      <c r="J82" s="390">
        <f>SUMIF('03_BOC_TACH_VAN'!B:B, B82, '03_BOC_TACH_VAN'!K:K)</f>
        <v/>
      </c>
      <c r="K82" s="390">
        <f>SUM(H82:J82)</f>
        <v/>
      </c>
      <c r="L82" s="390">
        <f>K82*0.00</f>
        <v/>
      </c>
      <c r="M82" s="390">
        <f>K82*0.02</f>
        <v/>
      </c>
      <c r="N82" s="390">
        <f>K82+L82+M82</f>
        <v/>
      </c>
      <c r="O82" s="390">
        <f>IF(G82&gt;0, N82/G82, 0)</f>
        <v/>
      </c>
      <c r="P82" s="391" t="n">
        <v>0.1</v>
      </c>
      <c r="Q82" s="390">
        <f>O82*(1+P82)</f>
        <v/>
      </c>
      <c r="R82" s="390">
        <f>G82*Q82</f>
        <v/>
      </c>
      <c r="S82" t="inlineStr">
        <is>
          <t>Hàng thương mại</t>
        </is>
      </c>
    </row>
    <row r="83">
      <c r="A83" t="n">
        <v>82</v>
      </c>
      <c r="B83" t="inlineStr">
        <is>
          <t>SW-TRD-082</t>
        </is>
      </c>
      <c r="C83" t="inlineStr">
        <is>
          <t>THƯƠNG MẠI</t>
        </is>
      </c>
      <c r="D83" t="inlineStr">
        <is>
          <t>HỆ THỐNG TẠO ÁP Quạt hướng trục SPF-A1.2-12F-01~02 3500 l/s @ 400 Pa, chống cháy 300°C trong 2h</t>
        </is>
      </c>
      <c r="E83" t="inlineStr">
        <is>
          <t>-</t>
        </is>
      </c>
      <c r="F83" t="inlineStr">
        <is>
          <t>Cái</t>
        </is>
      </c>
      <c r="G83" s="390" t="n">
        <v>2</v>
      </c>
      <c r="H83" s="390">
        <f>SUMIF('01_BOC_TACH_ONG'!B:B, B83, '01_BOC_TACH_ONG'!K:K)</f>
        <v/>
      </c>
      <c r="I83" s="390">
        <f>SUMIF('02_BOC_TACH_CUA'!B:B, B83, '02_BOC_TACH_CUA'!K:K)</f>
        <v/>
      </c>
      <c r="J83" s="390">
        <f>SUMIF('03_BOC_TACH_VAN'!B:B, B83, '03_BOC_TACH_VAN'!K:K)</f>
        <v/>
      </c>
      <c r="K83" s="390">
        <f>SUM(H83:J83)</f>
        <v/>
      </c>
      <c r="L83" s="390">
        <f>K83*0.00</f>
        <v/>
      </c>
      <c r="M83" s="390">
        <f>K83*0.02</f>
        <v/>
      </c>
      <c r="N83" s="390">
        <f>K83+L83+M83</f>
        <v/>
      </c>
      <c r="O83" s="390">
        <f>IF(G83&gt;0, N83/G83, 0)</f>
        <v/>
      </c>
      <c r="P83" s="391" t="n">
        <v>0.1</v>
      </c>
      <c r="Q83" s="390">
        <f>O83*(1+P83)</f>
        <v/>
      </c>
      <c r="R83" s="390">
        <f>G83*Q83</f>
        <v/>
      </c>
      <c r="S83" t="inlineStr">
        <is>
          <t>Hàng thương mại</t>
        </is>
      </c>
    </row>
    <row r="84">
      <c r="A84" t="n">
        <v>83</v>
      </c>
      <c r="B84" t="inlineStr">
        <is>
          <t>SW-TRD-083</t>
        </is>
      </c>
      <c r="C84" t="inlineStr">
        <is>
          <t>THƯƠNG MẠI</t>
        </is>
      </c>
      <c r="D84" t="inlineStr">
        <is>
          <t>HỆ THỐNG TẠO ÁP Quạt hướng trục BPF-A1.2-12F-01 6100 l/s @ 600 Pa, chống cháy 300°C trong 2h</t>
        </is>
      </c>
      <c r="E84" t="inlineStr">
        <is>
          <t>-</t>
        </is>
      </c>
      <c r="F84" t="inlineStr">
        <is>
          <t>Cái</t>
        </is>
      </c>
      <c r="G84" s="390" t="n">
        <v>1</v>
      </c>
      <c r="H84" s="390">
        <f>SUMIF('01_BOC_TACH_ONG'!B:B, B84, '01_BOC_TACH_ONG'!K:K)</f>
        <v/>
      </c>
      <c r="I84" s="390">
        <f>SUMIF('02_BOC_TACH_CUA'!B:B, B84, '02_BOC_TACH_CUA'!K:K)</f>
        <v/>
      </c>
      <c r="J84" s="390">
        <f>SUMIF('03_BOC_TACH_VAN'!B:B, B84, '03_BOC_TACH_VAN'!K:K)</f>
        <v/>
      </c>
      <c r="K84" s="390">
        <f>SUM(H84:J84)</f>
        <v/>
      </c>
      <c r="L84" s="390">
        <f>K84*0.00</f>
        <v/>
      </c>
      <c r="M84" s="390">
        <f>K84*0.02</f>
        <v/>
      </c>
      <c r="N84" s="390">
        <f>K84+L84+M84</f>
        <v/>
      </c>
      <c r="O84" s="390">
        <f>IF(G84&gt;0, N84/G84, 0)</f>
        <v/>
      </c>
      <c r="P84" s="391" t="n">
        <v>0.1</v>
      </c>
      <c r="Q84" s="390">
        <f>O84*(1+P84)</f>
        <v/>
      </c>
      <c r="R84" s="390">
        <f>G84*Q84</f>
        <v/>
      </c>
      <c r="S84" t="inlineStr">
        <is>
          <t>Hàng thương mại</t>
        </is>
      </c>
    </row>
    <row r="85">
      <c r="A85" t="n">
        <v>84</v>
      </c>
      <c r="B85" t="inlineStr">
        <is>
          <t>SW-TRD-084</t>
        </is>
      </c>
      <c r="C85" t="inlineStr">
        <is>
          <t>THƯƠNG MẠI</t>
        </is>
      </c>
      <c r="D85" t="inlineStr">
        <is>
          <t>HỆ THỐNG TẠO ÁP Quạt hướng trục LPF-A1.1-RF-01~03 4000 l/s @ 400 Pa, chống cháy 300°C trong 2h</t>
        </is>
      </c>
      <c r="E85" t="inlineStr">
        <is>
          <t>-</t>
        </is>
      </c>
      <c r="F85" t="inlineStr">
        <is>
          <t>Cái</t>
        </is>
      </c>
      <c r="G85" s="390" t="n">
        <v>3</v>
      </c>
      <c r="H85" s="390">
        <f>SUMIF('01_BOC_TACH_ONG'!B:B, B85, '01_BOC_TACH_ONG'!K:K)</f>
        <v/>
      </c>
      <c r="I85" s="390">
        <f>SUMIF('02_BOC_TACH_CUA'!B:B, B85, '02_BOC_TACH_CUA'!K:K)</f>
        <v/>
      </c>
      <c r="J85" s="390">
        <f>SUMIF('03_BOC_TACH_VAN'!B:B, B85, '03_BOC_TACH_VAN'!K:K)</f>
        <v/>
      </c>
      <c r="K85" s="390">
        <f>SUM(H85:J85)</f>
        <v/>
      </c>
      <c r="L85" s="390">
        <f>K85*0.00</f>
        <v/>
      </c>
      <c r="M85" s="390">
        <f>K85*0.02</f>
        <v/>
      </c>
      <c r="N85" s="390">
        <f>K85+L85+M85</f>
        <v/>
      </c>
      <c r="O85" s="390">
        <f>IF(G85&gt;0, N85/G85, 0)</f>
        <v/>
      </c>
      <c r="P85" s="391" t="n">
        <v>0.1</v>
      </c>
      <c r="Q85" s="390">
        <f>O85*(1+P85)</f>
        <v/>
      </c>
      <c r="R85" s="390">
        <f>G85*Q85</f>
        <v/>
      </c>
      <c r="S85" t="inlineStr">
        <is>
          <t>Hàng thương mại</t>
        </is>
      </c>
    </row>
    <row r="86">
      <c r="A86" t="n">
        <v>85</v>
      </c>
      <c r="B86" t="inlineStr">
        <is>
          <t>SW-TRD-085</t>
        </is>
      </c>
      <c r="C86" t="inlineStr">
        <is>
          <t>THƯƠNG MẠI</t>
        </is>
      </c>
      <c r="D86" t="inlineStr">
        <is>
          <t>HỆ THỐNG TẠO ÁP Quạt hướng trục SPF-A1.1-RF-01~02 5300 l/s @ 450 Pa, chống cháy 300°C trong 2h</t>
        </is>
      </c>
      <c r="E86" t="inlineStr">
        <is>
          <t>-</t>
        </is>
      </c>
      <c r="F86" t="inlineStr">
        <is>
          <t>Cái</t>
        </is>
      </c>
      <c r="G86" s="390" t="n">
        <v>2</v>
      </c>
      <c r="H86" s="390">
        <f>SUMIF('01_BOC_TACH_ONG'!B:B, B86, '01_BOC_TACH_ONG'!K:K)</f>
        <v/>
      </c>
      <c r="I86" s="390">
        <f>SUMIF('02_BOC_TACH_CUA'!B:B, B86, '02_BOC_TACH_CUA'!K:K)</f>
        <v/>
      </c>
      <c r="J86" s="390">
        <f>SUMIF('03_BOC_TACH_VAN'!B:B, B86, '03_BOC_TACH_VAN'!K:K)</f>
        <v/>
      </c>
      <c r="K86" s="390">
        <f>SUM(H86:J86)</f>
        <v/>
      </c>
      <c r="L86" s="390">
        <f>K86*0.00</f>
        <v/>
      </c>
      <c r="M86" s="390">
        <f>K86*0.02</f>
        <v/>
      </c>
      <c r="N86" s="390">
        <f>K86+L86+M86</f>
        <v/>
      </c>
      <c r="O86" s="390">
        <f>IF(G86&gt;0, N86/G86, 0)</f>
        <v/>
      </c>
      <c r="P86" s="391" t="n">
        <v>0.1</v>
      </c>
      <c r="Q86" s="390">
        <f>O86*(1+P86)</f>
        <v/>
      </c>
      <c r="R86" s="390">
        <f>G86*Q86</f>
        <v/>
      </c>
      <c r="S86" t="inlineStr">
        <is>
          <t>Hàng thương mại</t>
        </is>
      </c>
    </row>
    <row r="87">
      <c r="A87" t="n">
        <v>86</v>
      </c>
      <c r="B87" t="inlineStr">
        <is>
          <t>SW-TRD-086</t>
        </is>
      </c>
      <c r="C87" t="inlineStr">
        <is>
          <t>THƯƠNG MẠI</t>
        </is>
      </c>
      <c r="D87" t="inlineStr">
        <is>
          <t>HỆ THỐNG TẠO ÁP Quạt hướng trục BPF-A1.1-RF-01 6100 l/s @ 600 Pa, chống cháy 300°C trong 2h</t>
        </is>
      </c>
      <c r="E87" t="inlineStr">
        <is>
          <t>-</t>
        </is>
      </c>
      <c r="F87" t="inlineStr">
        <is>
          <t>Cái</t>
        </is>
      </c>
      <c r="G87" s="390" t="n">
        <v>1</v>
      </c>
      <c r="H87" s="390">
        <f>SUMIF('01_BOC_TACH_ONG'!B:B, B87, '01_BOC_TACH_ONG'!K:K)</f>
        <v/>
      </c>
      <c r="I87" s="390">
        <f>SUMIF('02_BOC_TACH_CUA'!B:B, B87, '02_BOC_TACH_CUA'!K:K)</f>
        <v/>
      </c>
      <c r="J87" s="390">
        <f>SUMIF('03_BOC_TACH_VAN'!B:B, B87, '03_BOC_TACH_VAN'!K:K)</f>
        <v/>
      </c>
      <c r="K87" s="390">
        <f>SUM(H87:J87)</f>
        <v/>
      </c>
      <c r="L87" s="390">
        <f>K87*0.00</f>
        <v/>
      </c>
      <c r="M87" s="390">
        <f>K87*0.02</f>
        <v/>
      </c>
      <c r="N87" s="390">
        <f>K87+L87+M87</f>
        <v/>
      </c>
      <c r="O87" s="390">
        <f>IF(G87&gt;0, N87/G87, 0)</f>
        <v/>
      </c>
      <c r="P87" s="391" t="n">
        <v>0.1</v>
      </c>
      <c r="Q87" s="390">
        <f>O87*(1+P87)</f>
        <v/>
      </c>
      <c r="R87" s="390">
        <f>G87*Q87</f>
        <v/>
      </c>
      <c r="S87" t="inlineStr">
        <is>
          <t>Hàng thương mại</t>
        </is>
      </c>
    </row>
    <row r="88">
      <c r="A88" t="n">
        <v>87</v>
      </c>
      <c r="B88" t="inlineStr">
        <is>
          <t>SW-DAMPER-087</t>
        </is>
      </c>
      <c r="C88" t="inlineStr">
        <is>
          <t>VAN GIÓ</t>
        </is>
      </c>
      <c r="D88" t="inlineStr">
        <is>
          <t>HỆ THỐNG TẠO ÁP Van 1 chiều NRD 300x200 (EI60)</t>
        </is>
      </c>
      <c r="E88" t="inlineStr">
        <is>
          <t>300x200</t>
        </is>
      </c>
      <c r="F88" t="inlineStr">
        <is>
          <t>Cái</t>
        </is>
      </c>
      <c r="G88" s="390" t="n">
        <v>1</v>
      </c>
      <c r="H88" s="390">
        <f>SUMIF('01_BOC_TACH_ONG'!B:B, B88, '01_BOC_TACH_ONG'!K:K)</f>
        <v/>
      </c>
      <c r="I88" s="390">
        <f>SUMIF('02_BOC_TACH_CUA'!B:B, B88, '02_BOC_TACH_CUA'!K:K)</f>
        <v/>
      </c>
      <c r="J88" s="390">
        <f>SUMIF('03_BOC_TACH_VAN'!B:B, B88, '03_BOC_TACH_VAN'!K:K)</f>
        <v/>
      </c>
      <c r="K88" s="390">
        <f>SUM(H88:J88)</f>
        <v/>
      </c>
      <c r="L88" s="390">
        <f>K88*0.25</f>
        <v/>
      </c>
      <c r="M88" s="390">
        <f>K88*0.10</f>
        <v/>
      </c>
      <c r="N88" s="390">
        <f>K88+L88+M88</f>
        <v/>
      </c>
      <c r="O88" s="390">
        <f>IF(G88&gt;0, N88/G88, 0)</f>
        <v/>
      </c>
      <c r="P88" s="391" t="n">
        <v>0.18</v>
      </c>
      <c r="Q88" s="390">
        <f>O88*(1+P88)</f>
        <v/>
      </c>
      <c r="R88" s="390">
        <f>G88*Q88</f>
        <v/>
      </c>
      <c r="S88" t="inlineStr"/>
    </row>
    <row r="89">
      <c r="A89" t="n">
        <v>88</v>
      </c>
      <c r="B89" t="inlineStr">
        <is>
          <t>SW-DAMPER-088</t>
        </is>
      </c>
      <c r="C89" t="inlineStr">
        <is>
          <t>VAN GIÓ</t>
        </is>
      </c>
      <c r="D89" t="inlineStr">
        <is>
          <t>HỆ THỐNG TẠO ÁP Van 1 chiều NRD 700x500 (EI60)</t>
        </is>
      </c>
      <c r="E89" t="inlineStr">
        <is>
          <t>700x500</t>
        </is>
      </c>
      <c r="F89" t="inlineStr">
        <is>
          <t>Cái</t>
        </is>
      </c>
      <c r="G89" s="390" t="n">
        <v>2</v>
      </c>
      <c r="H89" s="390">
        <f>SUMIF('01_BOC_TACH_ONG'!B:B, B89, '01_BOC_TACH_ONG'!K:K)</f>
        <v/>
      </c>
      <c r="I89" s="390">
        <f>SUMIF('02_BOC_TACH_CUA'!B:B, B89, '02_BOC_TACH_CUA'!K:K)</f>
        <v/>
      </c>
      <c r="J89" s="390">
        <f>SUMIF('03_BOC_TACH_VAN'!B:B, B89, '03_BOC_TACH_VAN'!K:K)</f>
        <v/>
      </c>
      <c r="K89" s="390">
        <f>SUM(H89:J89)</f>
        <v/>
      </c>
      <c r="L89" s="390">
        <f>K89*0.25</f>
        <v/>
      </c>
      <c r="M89" s="390">
        <f>K89*0.10</f>
        <v/>
      </c>
      <c r="N89" s="390">
        <f>K89+L89+M89</f>
        <v/>
      </c>
      <c r="O89" s="390">
        <f>IF(G89&gt;0, N89/G89, 0)</f>
        <v/>
      </c>
      <c r="P89" s="391" t="n">
        <v>0.18</v>
      </c>
      <c r="Q89" s="390">
        <f>O89*(1+P89)</f>
        <v/>
      </c>
      <c r="R89" s="390">
        <f>G89*Q89</f>
        <v/>
      </c>
      <c r="S89" t="inlineStr"/>
    </row>
    <row r="90">
      <c r="A90" t="n">
        <v>89</v>
      </c>
      <c r="B90" t="inlineStr">
        <is>
          <t>SW-DAMPER-089</t>
        </is>
      </c>
      <c r="C90" t="inlineStr">
        <is>
          <t>VAN GIÓ</t>
        </is>
      </c>
      <c r="D90" t="inlineStr">
        <is>
          <t>HỆ THỐNG TẠO ÁP Van 1 chiều NRD 700x800 (EI60)</t>
        </is>
      </c>
      <c r="E90" t="inlineStr">
        <is>
          <t>700x800</t>
        </is>
      </c>
      <c r="F90" t="inlineStr">
        <is>
          <t>Cái</t>
        </is>
      </c>
      <c r="G90" s="390" t="n">
        <v>2</v>
      </c>
      <c r="H90" s="390">
        <f>SUMIF('01_BOC_TACH_ONG'!B:B, B90, '01_BOC_TACH_ONG'!K:K)</f>
        <v/>
      </c>
      <c r="I90" s="390">
        <f>SUMIF('02_BOC_TACH_CUA'!B:B, B90, '02_BOC_TACH_CUA'!K:K)</f>
        <v/>
      </c>
      <c r="J90" s="390">
        <f>SUMIF('03_BOC_TACH_VAN'!B:B, B90, '03_BOC_TACH_VAN'!K:K)</f>
        <v/>
      </c>
      <c r="K90" s="390">
        <f>SUM(H90:J90)</f>
        <v/>
      </c>
      <c r="L90" s="390">
        <f>K90*0.25</f>
        <v/>
      </c>
      <c r="M90" s="390">
        <f>K90*0.10</f>
        <v/>
      </c>
      <c r="N90" s="390">
        <f>K90+L90+M90</f>
        <v/>
      </c>
      <c r="O90" s="390">
        <f>IF(G90&gt;0, N90/G90, 0)</f>
        <v/>
      </c>
      <c r="P90" s="391" t="n">
        <v>0.18</v>
      </c>
      <c r="Q90" s="390">
        <f>O90*(1+P90)</f>
        <v/>
      </c>
      <c r="R90" s="390">
        <f>G90*Q90</f>
        <v/>
      </c>
      <c r="S90" t="inlineStr"/>
    </row>
    <row r="91">
      <c r="A91" t="n">
        <v>90</v>
      </c>
      <c r="B91" t="inlineStr">
        <is>
          <t>SW-DAMPER-090</t>
        </is>
      </c>
      <c r="C91" t="inlineStr">
        <is>
          <t>VAN GIÓ</t>
        </is>
      </c>
      <c r="D91" t="inlineStr">
        <is>
          <t>HỆ THỐNG TẠO ÁP Van 1 chiều NRD 250X200(EI60)</t>
        </is>
      </c>
      <c r="E91" t="inlineStr">
        <is>
          <t>250x200</t>
        </is>
      </c>
      <c r="F91" t="inlineStr">
        <is>
          <t>Cái</t>
        </is>
      </c>
      <c r="G91" s="390" t="n">
        <v>1</v>
      </c>
      <c r="H91" s="390">
        <f>SUMIF('01_BOC_TACH_ONG'!B:B, B91, '01_BOC_TACH_ONG'!K:K)</f>
        <v/>
      </c>
      <c r="I91" s="390">
        <f>SUMIF('02_BOC_TACH_CUA'!B:B, B91, '02_BOC_TACH_CUA'!K:K)</f>
        <v/>
      </c>
      <c r="J91" s="390">
        <f>SUMIF('03_BOC_TACH_VAN'!B:B, B91, '03_BOC_TACH_VAN'!K:K)</f>
        <v/>
      </c>
      <c r="K91" s="390">
        <f>SUM(H91:J91)</f>
        <v/>
      </c>
      <c r="L91" s="390">
        <f>K91*0.25</f>
        <v/>
      </c>
      <c r="M91" s="390">
        <f>K91*0.10</f>
        <v/>
      </c>
      <c r="N91" s="390">
        <f>K91+L91+M91</f>
        <v/>
      </c>
      <c r="O91" s="390">
        <f>IF(G91&gt;0, N91/G91, 0)</f>
        <v/>
      </c>
      <c r="P91" s="391" t="n">
        <v>0.18</v>
      </c>
      <c r="Q91" s="390">
        <f>O91*(1+P91)</f>
        <v/>
      </c>
      <c r="R91" s="390">
        <f>G91*Q91</f>
        <v/>
      </c>
      <c r="S91" t="inlineStr"/>
    </row>
    <row r="92">
      <c r="A92" t="n">
        <v>91</v>
      </c>
      <c r="B92" t="inlineStr">
        <is>
          <t>SW-DAMPER-091</t>
        </is>
      </c>
      <c r="C92" t="inlineStr">
        <is>
          <t>VAN GIÓ</t>
        </is>
      </c>
      <c r="D92" t="inlineStr">
        <is>
          <t>HỆ THỐNG TẠO ÁP Van 1 chiều NRD 900x400 (EI60)</t>
        </is>
      </c>
      <c r="E92" t="inlineStr">
        <is>
          <t>900x400</t>
        </is>
      </c>
      <c r="F92" t="inlineStr">
        <is>
          <t>Cái</t>
        </is>
      </c>
      <c r="G92" s="390" t="n">
        <v>2</v>
      </c>
      <c r="H92" s="390">
        <f>SUMIF('01_BOC_TACH_ONG'!B:B, B92, '01_BOC_TACH_ONG'!K:K)</f>
        <v/>
      </c>
      <c r="I92" s="390">
        <f>SUMIF('02_BOC_TACH_CUA'!B:B, B92, '02_BOC_TACH_CUA'!K:K)</f>
        <v/>
      </c>
      <c r="J92" s="390">
        <f>SUMIF('03_BOC_TACH_VAN'!B:B, B92, '03_BOC_TACH_VAN'!K:K)</f>
        <v/>
      </c>
      <c r="K92" s="390">
        <f>SUM(H92:J92)</f>
        <v/>
      </c>
      <c r="L92" s="390">
        <f>K92*0.25</f>
        <v/>
      </c>
      <c r="M92" s="390">
        <f>K92*0.10</f>
        <v/>
      </c>
      <c r="N92" s="390">
        <f>K92+L92+M92</f>
        <v/>
      </c>
      <c r="O92" s="390">
        <f>IF(G92&gt;0, N92/G92, 0)</f>
        <v/>
      </c>
      <c r="P92" s="391" t="n">
        <v>0.18</v>
      </c>
      <c r="Q92" s="390">
        <f>O92*(1+P92)</f>
        <v/>
      </c>
      <c r="R92" s="390">
        <f>G92*Q92</f>
        <v/>
      </c>
      <c r="S92" t="inlineStr"/>
    </row>
    <row r="93">
      <c r="A93" t="n">
        <v>92</v>
      </c>
      <c r="B93" t="inlineStr">
        <is>
          <t>SW-DAMPER-092</t>
        </is>
      </c>
      <c r="C93" t="inlineStr">
        <is>
          <t>VAN GIÓ</t>
        </is>
      </c>
      <c r="D93" t="inlineStr">
        <is>
          <t>HỆ THỐNG TẠO ÁP Van 1 chiều NRD 300x300 (EI60)</t>
        </is>
      </c>
      <c r="E93" t="inlineStr">
        <is>
          <t>300x300</t>
        </is>
      </c>
      <c r="F93" t="inlineStr">
        <is>
          <t>Cái</t>
        </is>
      </c>
      <c r="G93" s="390" t="n">
        <v>1</v>
      </c>
      <c r="H93" s="390">
        <f>SUMIF('01_BOC_TACH_ONG'!B:B, B93, '01_BOC_TACH_ONG'!K:K)</f>
        <v/>
      </c>
      <c r="I93" s="390">
        <f>SUMIF('02_BOC_TACH_CUA'!B:B, B93, '02_BOC_TACH_CUA'!K:K)</f>
        <v/>
      </c>
      <c r="J93" s="390">
        <f>SUMIF('03_BOC_TACH_VAN'!B:B, B93, '03_BOC_TACH_VAN'!K:K)</f>
        <v/>
      </c>
      <c r="K93" s="390">
        <f>SUM(H93:J93)</f>
        <v/>
      </c>
      <c r="L93" s="390">
        <f>K93*0.25</f>
        <v/>
      </c>
      <c r="M93" s="390">
        <f>K93*0.10</f>
        <v/>
      </c>
      <c r="N93" s="390">
        <f>K93+L93+M93</f>
        <v/>
      </c>
      <c r="O93" s="390">
        <f>IF(G93&gt;0, N93/G93, 0)</f>
        <v/>
      </c>
      <c r="P93" s="391" t="n">
        <v>0.18</v>
      </c>
      <c r="Q93" s="390">
        <f>O93*(1+P93)</f>
        <v/>
      </c>
      <c r="R93" s="390">
        <f>G93*Q93</f>
        <v/>
      </c>
      <c r="S93" t="inlineStr"/>
    </row>
    <row r="94">
      <c r="A94" t="n">
        <v>93</v>
      </c>
      <c r="B94" t="inlineStr">
        <is>
          <t>SW-DAMPER-093</t>
        </is>
      </c>
      <c r="C94" t="inlineStr">
        <is>
          <t>VAN GIÓ</t>
        </is>
      </c>
      <c r="D94" t="inlineStr">
        <is>
          <t>HỆ THỐNG TẠO ÁP Van 1 chiều NRD 350x250 (EI60)</t>
        </is>
      </c>
      <c r="E94" t="inlineStr">
        <is>
          <t>350x250</t>
        </is>
      </c>
      <c r="F94" t="inlineStr">
        <is>
          <t>Cái</t>
        </is>
      </c>
      <c r="G94" s="390" t="n">
        <v>1</v>
      </c>
      <c r="H94" s="390">
        <f>SUMIF('01_BOC_TACH_ONG'!B:B, B94, '01_BOC_TACH_ONG'!K:K)</f>
        <v/>
      </c>
      <c r="I94" s="390">
        <f>SUMIF('02_BOC_TACH_CUA'!B:B, B94, '02_BOC_TACH_CUA'!K:K)</f>
        <v/>
      </c>
      <c r="J94" s="390">
        <f>SUMIF('03_BOC_TACH_VAN'!B:B, B94, '03_BOC_TACH_VAN'!K:K)</f>
        <v/>
      </c>
      <c r="K94" s="390">
        <f>SUM(H94:J94)</f>
        <v/>
      </c>
      <c r="L94" s="390">
        <f>K94*0.25</f>
        <v/>
      </c>
      <c r="M94" s="390">
        <f>K94*0.10</f>
        <v/>
      </c>
      <c r="N94" s="390">
        <f>K94+L94+M94</f>
        <v/>
      </c>
      <c r="O94" s="390">
        <f>IF(G94&gt;0, N94/G94, 0)</f>
        <v/>
      </c>
      <c r="P94" s="391" t="n">
        <v>0.18</v>
      </c>
      <c r="Q94" s="390">
        <f>O94*(1+P94)</f>
        <v/>
      </c>
      <c r="R94" s="390">
        <f>G94*Q94</f>
        <v/>
      </c>
      <c r="S94" t="inlineStr"/>
    </row>
    <row r="95">
      <c r="A95" t="n">
        <v>94</v>
      </c>
      <c r="B95" t="inlineStr">
        <is>
          <t>SW-DAMPER-094</t>
        </is>
      </c>
      <c r="C95" t="inlineStr">
        <is>
          <t>VAN GIÓ</t>
        </is>
      </c>
      <c r="D95" t="inlineStr">
        <is>
          <t>HỆ THỐNG TẠO ÁP Van 1 chiều NRD 350x150 (EI60)</t>
        </is>
      </c>
      <c r="E95" t="inlineStr">
        <is>
          <t>350x150</t>
        </is>
      </c>
      <c r="F95" t="inlineStr">
        <is>
          <t>Cái</t>
        </is>
      </c>
      <c r="G95" s="390" t="n">
        <v>1</v>
      </c>
      <c r="H95" s="390">
        <f>SUMIF('01_BOC_TACH_ONG'!B:B, B95, '01_BOC_TACH_ONG'!K:K)</f>
        <v/>
      </c>
      <c r="I95" s="390">
        <f>SUMIF('02_BOC_TACH_CUA'!B:B, B95, '02_BOC_TACH_CUA'!K:K)</f>
        <v/>
      </c>
      <c r="J95" s="390">
        <f>SUMIF('03_BOC_TACH_VAN'!B:B, B95, '03_BOC_TACH_VAN'!K:K)</f>
        <v/>
      </c>
      <c r="K95" s="390">
        <f>SUM(H95:J95)</f>
        <v/>
      </c>
      <c r="L95" s="390">
        <f>K95*0.25</f>
        <v/>
      </c>
      <c r="M95" s="390">
        <f>K95*0.10</f>
        <v/>
      </c>
      <c r="N95" s="390">
        <f>K95+L95+M95</f>
        <v/>
      </c>
      <c r="O95" s="390">
        <f>IF(G95&gt;0, N95/G95, 0)</f>
        <v/>
      </c>
      <c r="P95" s="391" t="n">
        <v>0.18</v>
      </c>
      <c r="Q95" s="390">
        <f>O95*(1+P95)</f>
        <v/>
      </c>
      <c r="R95" s="390">
        <f>G95*Q95</f>
        <v/>
      </c>
      <c r="S95" t="inlineStr"/>
    </row>
    <row r="96">
      <c r="A96" t="n">
        <v>95</v>
      </c>
      <c r="B96" t="inlineStr">
        <is>
          <t>SW-DAMPER-095</t>
        </is>
      </c>
      <c r="C96" t="inlineStr">
        <is>
          <t>VAN GIÓ</t>
        </is>
      </c>
      <c r="D96" t="inlineStr">
        <is>
          <t>HỆ THỐNG TẠO ÁP Van ngăn cháy MFD 350x200 (EI60)</t>
        </is>
      </c>
      <c r="E96" t="inlineStr">
        <is>
          <t>350x200</t>
        </is>
      </c>
      <c r="F96" t="inlineStr">
        <is>
          <t>Cái</t>
        </is>
      </c>
      <c r="G96" s="390" t="n">
        <v>1</v>
      </c>
      <c r="H96" s="390">
        <f>SUMIF('01_BOC_TACH_ONG'!B:B, B96, '01_BOC_TACH_ONG'!K:K)</f>
        <v/>
      </c>
      <c r="I96" s="390">
        <f>SUMIF('02_BOC_TACH_CUA'!B:B, B96, '02_BOC_TACH_CUA'!K:K)</f>
        <v/>
      </c>
      <c r="J96" s="390">
        <f>SUMIF('03_BOC_TACH_VAN'!B:B, B96, '03_BOC_TACH_VAN'!K:K)</f>
        <v/>
      </c>
      <c r="K96" s="390">
        <f>SUM(H96:J96)</f>
        <v/>
      </c>
      <c r="L96" s="390">
        <f>K96*0.25</f>
        <v/>
      </c>
      <c r="M96" s="390">
        <f>K96*0.10</f>
        <v/>
      </c>
      <c r="N96" s="390">
        <f>K96+L96+M96</f>
        <v/>
      </c>
      <c r="O96" s="390">
        <f>IF(G96&gt;0, N96/G96, 0)</f>
        <v/>
      </c>
      <c r="P96" s="391" t="n">
        <v>0.18</v>
      </c>
      <c r="Q96" s="390">
        <f>O96*(1+P96)</f>
        <v/>
      </c>
      <c r="R96" s="390">
        <f>G96*Q96</f>
        <v/>
      </c>
      <c r="S96" t="inlineStr"/>
    </row>
    <row r="97">
      <c r="A97" t="n">
        <v>96</v>
      </c>
      <c r="B97" t="inlineStr">
        <is>
          <t>SW-DAMPER-096</t>
        </is>
      </c>
      <c r="C97" t="inlineStr">
        <is>
          <t>VAN GIÓ</t>
        </is>
      </c>
      <c r="D97" t="inlineStr">
        <is>
          <t>HỆ THỐNG TẠO ÁP Van ngăn cháy MFD 700x500 (EI60)</t>
        </is>
      </c>
      <c r="E97" t="inlineStr">
        <is>
          <t>700x500</t>
        </is>
      </c>
      <c r="F97" t="inlineStr">
        <is>
          <t>Cái</t>
        </is>
      </c>
      <c r="G97" s="390" t="n">
        <v>2</v>
      </c>
      <c r="H97" s="390">
        <f>SUMIF('01_BOC_TACH_ONG'!B:B, B97, '01_BOC_TACH_ONG'!K:K)</f>
        <v/>
      </c>
      <c r="I97" s="390">
        <f>SUMIF('02_BOC_TACH_CUA'!B:B, B97, '02_BOC_TACH_CUA'!K:K)</f>
        <v/>
      </c>
      <c r="J97" s="390">
        <f>SUMIF('03_BOC_TACH_VAN'!B:B, B97, '03_BOC_TACH_VAN'!K:K)</f>
        <v/>
      </c>
      <c r="K97" s="390">
        <f>SUM(H97:J97)</f>
        <v/>
      </c>
      <c r="L97" s="390">
        <f>K97*0.25</f>
        <v/>
      </c>
      <c r="M97" s="390">
        <f>K97*0.10</f>
        <v/>
      </c>
      <c r="N97" s="390">
        <f>K97+L97+M97</f>
        <v/>
      </c>
      <c r="O97" s="390">
        <f>IF(G97&gt;0, N97/G97, 0)</f>
        <v/>
      </c>
      <c r="P97" s="391" t="n">
        <v>0.18</v>
      </c>
      <c r="Q97" s="390">
        <f>O97*(1+P97)</f>
        <v/>
      </c>
      <c r="R97" s="390">
        <f>G97*Q97</f>
        <v/>
      </c>
      <c r="S97" t="inlineStr"/>
    </row>
    <row r="98">
      <c r="A98" t="n">
        <v>97</v>
      </c>
      <c r="B98" t="inlineStr">
        <is>
          <t>SW-DAMPER-097</t>
        </is>
      </c>
      <c r="C98" t="inlineStr">
        <is>
          <t>VAN GIÓ</t>
        </is>
      </c>
      <c r="D98" t="inlineStr">
        <is>
          <t>HỆ THỐNG TẠO ÁP Van ngăn cháy MFD 700x800 (EI60)</t>
        </is>
      </c>
      <c r="E98" t="inlineStr">
        <is>
          <t>700x800</t>
        </is>
      </c>
      <c r="F98" t="inlineStr">
        <is>
          <t>Cái</t>
        </is>
      </c>
      <c r="G98" s="390" t="n">
        <v>2</v>
      </c>
      <c r="H98" s="390">
        <f>SUMIF('01_BOC_TACH_ONG'!B:B, B98, '01_BOC_TACH_ONG'!K:K)</f>
        <v/>
      </c>
      <c r="I98" s="390">
        <f>SUMIF('02_BOC_TACH_CUA'!B:B, B98, '02_BOC_TACH_CUA'!K:K)</f>
        <v/>
      </c>
      <c r="J98" s="390">
        <f>SUMIF('03_BOC_TACH_VAN'!B:B, B98, '03_BOC_TACH_VAN'!K:K)</f>
        <v/>
      </c>
      <c r="K98" s="390">
        <f>SUM(H98:J98)</f>
        <v/>
      </c>
      <c r="L98" s="390">
        <f>K98*0.25</f>
        <v/>
      </c>
      <c r="M98" s="390">
        <f>K98*0.10</f>
        <v/>
      </c>
      <c r="N98" s="390">
        <f>K98+L98+M98</f>
        <v/>
      </c>
      <c r="O98" s="390">
        <f>IF(G98&gt;0, N98/G98, 0)</f>
        <v/>
      </c>
      <c r="P98" s="391" t="n">
        <v>0.18</v>
      </c>
      <c r="Q98" s="390">
        <f>O98*(1+P98)</f>
        <v/>
      </c>
      <c r="R98" s="390">
        <f>G98*Q98</f>
        <v/>
      </c>
      <c r="S98" t="inlineStr"/>
    </row>
    <row r="99">
      <c r="A99" t="n">
        <v>98</v>
      </c>
      <c r="B99" t="inlineStr">
        <is>
          <t>SW-DAMPER-098</t>
        </is>
      </c>
      <c r="C99" t="inlineStr">
        <is>
          <t>VAN GIÓ</t>
        </is>
      </c>
      <c r="D99" t="inlineStr">
        <is>
          <t>HỆ THỐNG TẠO ÁP Van ngăn cháy MFD 1200x600 (EI60)</t>
        </is>
      </c>
      <c r="E99" t="inlineStr">
        <is>
          <t>1200x600</t>
        </is>
      </c>
      <c r="F99" t="inlineStr">
        <is>
          <t>Cái</t>
        </is>
      </c>
      <c r="G99" s="390" t="n">
        <v>2</v>
      </c>
      <c r="H99" s="390">
        <f>SUMIF('01_BOC_TACH_ONG'!B:B, B99, '01_BOC_TACH_ONG'!K:K)</f>
        <v/>
      </c>
      <c r="I99" s="390">
        <f>SUMIF('02_BOC_TACH_CUA'!B:B, B99, '02_BOC_TACH_CUA'!K:K)</f>
        <v/>
      </c>
      <c r="J99" s="390">
        <f>SUMIF('03_BOC_TACH_VAN'!B:B, B99, '03_BOC_TACH_VAN'!K:K)</f>
        <v/>
      </c>
      <c r="K99" s="390">
        <f>SUM(H99:J99)</f>
        <v/>
      </c>
      <c r="L99" s="390">
        <f>K99*0.25</f>
        <v/>
      </c>
      <c r="M99" s="390">
        <f>K99*0.10</f>
        <v/>
      </c>
      <c r="N99" s="390">
        <f>K99+L99+M99</f>
        <v/>
      </c>
      <c r="O99" s="390">
        <f>IF(G99&gt;0, N99/G99, 0)</f>
        <v/>
      </c>
      <c r="P99" s="391" t="n">
        <v>0.18</v>
      </c>
      <c r="Q99" s="390">
        <f>O99*(1+P99)</f>
        <v/>
      </c>
      <c r="R99" s="390">
        <f>G99*Q99</f>
        <v/>
      </c>
      <c r="S99" t="inlineStr"/>
    </row>
    <row r="100">
      <c r="A100" t="n">
        <v>99</v>
      </c>
      <c r="B100" t="inlineStr">
        <is>
          <t>SW-DAMPER-099</t>
        </is>
      </c>
      <c r="C100" t="inlineStr">
        <is>
          <t>VAN GIÓ</t>
        </is>
      </c>
      <c r="D100" t="inlineStr">
        <is>
          <t>HỆ THỐNG TẠO ÁP Van ngăn cháy MFD 250X200 (EI60)</t>
        </is>
      </c>
      <c r="E100" t="inlineStr">
        <is>
          <t>250x200</t>
        </is>
      </c>
      <c r="F100" t="inlineStr">
        <is>
          <t>Cái</t>
        </is>
      </c>
      <c r="G100" s="390" t="n">
        <v>2</v>
      </c>
      <c r="H100" s="390">
        <f>SUMIF('01_BOC_TACH_ONG'!B:B, B100, '01_BOC_TACH_ONG'!K:K)</f>
        <v/>
      </c>
      <c r="I100" s="390">
        <f>SUMIF('02_BOC_TACH_CUA'!B:B, B100, '02_BOC_TACH_CUA'!K:K)</f>
        <v/>
      </c>
      <c r="J100" s="390">
        <f>SUMIF('03_BOC_TACH_VAN'!B:B, B100, '03_BOC_TACH_VAN'!K:K)</f>
        <v/>
      </c>
      <c r="K100" s="390">
        <f>SUM(H100:J100)</f>
        <v/>
      </c>
      <c r="L100" s="390">
        <f>K100*0.25</f>
        <v/>
      </c>
      <c r="M100" s="390">
        <f>K100*0.10</f>
        <v/>
      </c>
      <c r="N100" s="390">
        <f>K100+L100+M100</f>
        <v/>
      </c>
      <c r="O100" s="390">
        <f>IF(G100&gt;0, N100/G100, 0)</f>
        <v/>
      </c>
      <c r="P100" s="391" t="n">
        <v>0.18</v>
      </c>
      <c r="Q100" s="390">
        <f>O100*(1+P100)</f>
        <v/>
      </c>
      <c r="R100" s="390">
        <f>G100*Q100</f>
        <v/>
      </c>
      <c r="S100" t="inlineStr"/>
    </row>
    <row r="101">
      <c r="A101" t="n">
        <v>100</v>
      </c>
      <c r="B101" t="inlineStr">
        <is>
          <t>SW-DAMPER-100</t>
        </is>
      </c>
      <c r="C101" t="inlineStr">
        <is>
          <t>VAN GIÓ</t>
        </is>
      </c>
      <c r="D101" t="inlineStr">
        <is>
          <t>HỆ THỐNG TẠO ÁP Van ngăn cháy MFD 900x400 (EI60)</t>
        </is>
      </c>
      <c r="E101" t="inlineStr">
        <is>
          <t>900x400</t>
        </is>
      </c>
      <c r="F101" t="inlineStr">
        <is>
          <t>Cái</t>
        </is>
      </c>
      <c r="G101" s="390" t="n">
        <v>5</v>
      </c>
      <c r="H101" s="390">
        <f>SUMIF('01_BOC_TACH_ONG'!B:B, B101, '01_BOC_TACH_ONG'!K:K)</f>
        <v/>
      </c>
      <c r="I101" s="390">
        <f>SUMIF('02_BOC_TACH_CUA'!B:B, B101, '02_BOC_TACH_CUA'!K:K)</f>
        <v/>
      </c>
      <c r="J101" s="390">
        <f>SUMIF('03_BOC_TACH_VAN'!B:B, B101, '03_BOC_TACH_VAN'!K:K)</f>
        <v/>
      </c>
      <c r="K101" s="390">
        <f>SUM(H101:J101)</f>
        <v/>
      </c>
      <c r="L101" s="390">
        <f>K101*0.25</f>
        <v/>
      </c>
      <c r="M101" s="390">
        <f>K101*0.10</f>
        <v/>
      </c>
      <c r="N101" s="390">
        <f>K101+L101+M101</f>
        <v/>
      </c>
      <c r="O101" s="390">
        <f>IF(G101&gt;0, N101/G101, 0)</f>
        <v/>
      </c>
      <c r="P101" s="391" t="n">
        <v>0.18</v>
      </c>
      <c r="Q101" s="390">
        <f>O101*(1+P101)</f>
        <v/>
      </c>
      <c r="R101" s="390">
        <f>G101*Q101</f>
        <v/>
      </c>
      <c r="S101" t="inlineStr"/>
    </row>
    <row r="102">
      <c r="A102" t="n">
        <v>101</v>
      </c>
      <c r="B102" t="inlineStr">
        <is>
          <t>SW-DAMPER-101</t>
        </is>
      </c>
      <c r="C102" t="inlineStr">
        <is>
          <t>VAN GIÓ</t>
        </is>
      </c>
      <c r="D102" t="inlineStr">
        <is>
          <t>HỆ THỐNG TẠO ÁP Van ngăn cháy MFD 900x400 (EI120)</t>
        </is>
      </c>
      <c r="E102" t="inlineStr">
        <is>
          <t>900x400</t>
        </is>
      </c>
      <c r="F102" t="inlineStr">
        <is>
          <t>Cái</t>
        </is>
      </c>
      <c r="G102" s="390" t="n">
        <v>5</v>
      </c>
      <c r="H102" s="390">
        <f>SUMIF('01_BOC_TACH_ONG'!B:B, B102, '01_BOC_TACH_ONG'!K:K)</f>
        <v/>
      </c>
      <c r="I102" s="390">
        <f>SUMIF('02_BOC_TACH_CUA'!B:B, B102, '02_BOC_TACH_CUA'!K:K)</f>
        <v/>
      </c>
      <c r="J102" s="390">
        <f>SUMIF('03_BOC_TACH_VAN'!B:B, B102, '03_BOC_TACH_VAN'!K:K)</f>
        <v/>
      </c>
      <c r="K102" s="390">
        <f>SUM(H102:J102)</f>
        <v/>
      </c>
      <c r="L102" s="390">
        <f>K102*0.25</f>
        <v/>
      </c>
      <c r="M102" s="390">
        <f>K102*0.10</f>
        <v/>
      </c>
      <c r="N102" s="390">
        <f>K102+L102+M102</f>
        <v/>
      </c>
      <c r="O102" s="390">
        <f>IF(G102&gt;0, N102/G102, 0)</f>
        <v/>
      </c>
      <c r="P102" s="391" t="n">
        <v>0.18</v>
      </c>
      <c r="Q102" s="390">
        <f>O102*(1+P102)</f>
        <v/>
      </c>
      <c r="R102" s="390">
        <f>G102*Q102</f>
        <v/>
      </c>
      <c r="S102" t="inlineStr"/>
    </row>
    <row r="103">
      <c r="A103" t="n">
        <v>102</v>
      </c>
      <c r="B103" t="inlineStr">
        <is>
          <t>SW-DAMPER-102</t>
        </is>
      </c>
      <c r="C103" t="inlineStr">
        <is>
          <t>VAN GIÓ</t>
        </is>
      </c>
      <c r="D103" t="inlineStr">
        <is>
          <t>HỆ THỐNG TẠO ÁP Van ngăn cháy MFD 300x300 (EI60)</t>
        </is>
      </c>
      <c r="E103" t="inlineStr">
        <is>
          <t>300x300</t>
        </is>
      </c>
      <c r="F103" t="inlineStr">
        <is>
          <t>Cái</t>
        </is>
      </c>
      <c r="G103" s="390" t="n">
        <v>6</v>
      </c>
      <c r="H103" s="390">
        <f>SUMIF('01_BOC_TACH_ONG'!B:B, B103, '01_BOC_TACH_ONG'!K:K)</f>
        <v/>
      </c>
      <c r="I103" s="390">
        <f>SUMIF('02_BOC_TACH_CUA'!B:B, B103, '02_BOC_TACH_CUA'!K:K)</f>
        <v/>
      </c>
      <c r="J103" s="390">
        <f>SUMIF('03_BOC_TACH_VAN'!B:B, B103, '03_BOC_TACH_VAN'!K:K)</f>
        <v/>
      </c>
      <c r="K103" s="390">
        <f>SUM(H103:J103)</f>
        <v/>
      </c>
      <c r="L103" s="390">
        <f>K103*0.25</f>
        <v/>
      </c>
      <c r="M103" s="390">
        <f>K103*0.10</f>
        <v/>
      </c>
      <c r="N103" s="390">
        <f>K103+L103+M103</f>
        <v/>
      </c>
      <c r="O103" s="390">
        <f>IF(G103&gt;0, N103/G103, 0)</f>
        <v/>
      </c>
      <c r="P103" s="391" t="n">
        <v>0.18</v>
      </c>
      <c r="Q103" s="390">
        <f>O103*(1+P103)</f>
        <v/>
      </c>
      <c r="R103" s="390">
        <f>G103*Q103</f>
        <v/>
      </c>
      <c r="S103" t="inlineStr"/>
    </row>
    <row r="104">
      <c r="A104" t="n">
        <v>103</v>
      </c>
      <c r="B104" t="inlineStr">
        <is>
          <t>SW-DAMPER-103</t>
        </is>
      </c>
      <c r="C104" t="inlineStr">
        <is>
          <t>VAN GIÓ</t>
        </is>
      </c>
      <c r="D104" t="inlineStr">
        <is>
          <t>HỆ THỐNG TẠO ÁP Van ngăn cháy MFD 250x200 (EI60)</t>
        </is>
      </c>
      <c r="E104" t="inlineStr">
        <is>
          <t>250x200</t>
        </is>
      </c>
      <c r="F104" t="inlineStr">
        <is>
          <t>Cái</t>
        </is>
      </c>
      <c r="G104" s="390" t="n">
        <v>1</v>
      </c>
      <c r="H104" s="390">
        <f>SUMIF('01_BOC_TACH_ONG'!B:B, B104, '01_BOC_TACH_ONG'!K:K)</f>
        <v/>
      </c>
      <c r="I104" s="390">
        <f>SUMIF('02_BOC_TACH_CUA'!B:B, B104, '02_BOC_TACH_CUA'!K:K)</f>
        <v/>
      </c>
      <c r="J104" s="390">
        <f>SUMIF('03_BOC_TACH_VAN'!B:B, B104, '03_BOC_TACH_VAN'!K:K)</f>
        <v/>
      </c>
      <c r="K104" s="390">
        <f>SUM(H104:J104)</f>
        <v/>
      </c>
      <c r="L104" s="390">
        <f>K104*0.25</f>
        <v/>
      </c>
      <c r="M104" s="390">
        <f>K104*0.10</f>
        <v/>
      </c>
      <c r="N104" s="390">
        <f>K104+L104+M104</f>
        <v/>
      </c>
      <c r="O104" s="390">
        <f>IF(G104&gt;0, N104/G104, 0)</f>
        <v/>
      </c>
      <c r="P104" s="391" t="n">
        <v>0.18</v>
      </c>
      <c r="Q104" s="390">
        <f>O104*(1+P104)</f>
        <v/>
      </c>
      <c r="R104" s="390">
        <f>G104*Q104</f>
        <v/>
      </c>
      <c r="S104" t="inlineStr"/>
    </row>
    <row r="105">
      <c r="A105" t="n">
        <v>104</v>
      </c>
      <c r="B105" t="inlineStr">
        <is>
          <t>SW-DAMPER-104</t>
        </is>
      </c>
      <c r="C105" t="inlineStr">
        <is>
          <t>VAN GIÓ</t>
        </is>
      </c>
      <c r="D105" t="inlineStr">
        <is>
          <t>HỆ THỐNG TẠO ÁP Van ngăn cháy MFD 350x200 (EI60)</t>
        </is>
      </c>
      <c r="E105" t="inlineStr">
        <is>
          <t>350x200</t>
        </is>
      </c>
      <c r="F105" t="inlineStr">
        <is>
          <t>Cái</t>
        </is>
      </c>
      <c r="G105" s="390" t="n">
        <v>1</v>
      </c>
      <c r="H105" s="390">
        <f>SUMIF('01_BOC_TACH_ONG'!B:B, B105, '01_BOC_TACH_ONG'!K:K)</f>
        <v/>
      </c>
      <c r="I105" s="390">
        <f>SUMIF('02_BOC_TACH_CUA'!B:B, B105, '02_BOC_TACH_CUA'!K:K)</f>
        <v/>
      </c>
      <c r="J105" s="390">
        <f>SUMIF('03_BOC_TACH_VAN'!B:B, B105, '03_BOC_TACH_VAN'!K:K)</f>
        <v/>
      </c>
      <c r="K105" s="390">
        <f>SUM(H105:J105)</f>
        <v/>
      </c>
      <c r="L105" s="390">
        <f>K105*0.25</f>
        <v/>
      </c>
      <c r="M105" s="390">
        <f>K105*0.10</f>
        <v/>
      </c>
      <c r="N105" s="390">
        <f>K105+L105+M105</f>
        <v/>
      </c>
      <c r="O105" s="390">
        <f>IF(G105&gt;0, N105/G105, 0)</f>
        <v/>
      </c>
      <c r="P105" s="391" t="n">
        <v>0.18</v>
      </c>
      <c r="Q105" s="390">
        <f>O105*(1+P105)</f>
        <v/>
      </c>
      <c r="R105" s="390">
        <f>G105*Q105</f>
        <v/>
      </c>
      <c r="S105" t="inlineStr"/>
    </row>
    <row r="106">
      <c r="A106" t="n">
        <v>105</v>
      </c>
      <c r="B106" t="inlineStr">
        <is>
          <t>SW-DAMPER-105</t>
        </is>
      </c>
      <c r="C106" t="inlineStr">
        <is>
          <t>VAN GIÓ</t>
        </is>
      </c>
      <c r="D106" t="inlineStr">
        <is>
          <t>HỆ THỐNG TẠO ÁP Van ngăn cháy MFD 350x150 (EI60)</t>
        </is>
      </c>
      <c r="E106" t="inlineStr">
        <is>
          <t>350x150</t>
        </is>
      </c>
      <c r="F106" t="inlineStr">
        <is>
          <t>Cái</t>
        </is>
      </c>
      <c r="G106" s="390" t="n">
        <v>3</v>
      </c>
      <c r="H106" s="390">
        <f>SUMIF('01_BOC_TACH_ONG'!B:B, B106, '01_BOC_TACH_ONG'!K:K)</f>
        <v/>
      </c>
      <c r="I106" s="390">
        <f>SUMIF('02_BOC_TACH_CUA'!B:B, B106, '02_BOC_TACH_CUA'!K:K)</f>
        <v/>
      </c>
      <c r="J106" s="390">
        <f>SUMIF('03_BOC_TACH_VAN'!B:B, B106, '03_BOC_TACH_VAN'!K:K)</f>
        <v/>
      </c>
      <c r="K106" s="390">
        <f>SUM(H106:J106)</f>
        <v/>
      </c>
      <c r="L106" s="390">
        <f>K106*0.25</f>
        <v/>
      </c>
      <c r="M106" s="390">
        <f>K106*0.10</f>
        <v/>
      </c>
      <c r="N106" s="390">
        <f>K106+L106+M106</f>
        <v/>
      </c>
      <c r="O106" s="390">
        <f>IF(G106&gt;0, N106/G106, 0)</f>
        <v/>
      </c>
      <c r="P106" s="391" t="n">
        <v>0.18</v>
      </c>
      <c r="Q106" s="390">
        <f>O106*(1+P106)</f>
        <v/>
      </c>
      <c r="R106" s="390">
        <f>G106*Q106</f>
        <v/>
      </c>
      <c r="S106" t="inlineStr"/>
    </row>
    <row r="107">
      <c r="A107" t="n">
        <v>106</v>
      </c>
      <c r="B107" t="inlineStr">
        <is>
          <t>SW-DAMPER-106</t>
        </is>
      </c>
      <c r="C107" t="inlineStr">
        <is>
          <t>VAN GIÓ</t>
        </is>
      </c>
      <c r="D107" t="inlineStr">
        <is>
          <t>HỆ THỐNG TẠO ÁP Van ngăn cháy MFD 1000x300 (EI60)</t>
        </is>
      </c>
      <c r="E107" t="inlineStr">
        <is>
          <t>1000x300</t>
        </is>
      </c>
      <c r="F107" t="inlineStr">
        <is>
          <t>Cái</t>
        </is>
      </c>
      <c r="G107" s="390" t="n">
        <v>2</v>
      </c>
      <c r="H107" s="390">
        <f>SUMIF('01_BOC_TACH_ONG'!B:B, B107, '01_BOC_TACH_ONG'!K:K)</f>
        <v/>
      </c>
      <c r="I107" s="390">
        <f>SUMIF('02_BOC_TACH_CUA'!B:B, B107, '02_BOC_TACH_CUA'!K:K)</f>
        <v/>
      </c>
      <c r="J107" s="390">
        <f>SUMIF('03_BOC_TACH_VAN'!B:B, B107, '03_BOC_TACH_VAN'!K:K)</f>
        <v/>
      </c>
      <c r="K107" s="390">
        <f>SUM(H107:J107)</f>
        <v/>
      </c>
      <c r="L107" s="390">
        <f>K107*0.25</f>
        <v/>
      </c>
      <c r="M107" s="390">
        <f>K107*0.10</f>
        <v/>
      </c>
      <c r="N107" s="390">
        <f>K107+L107+M107</f>
        <v/>
      </c>
      <c r="O107" s="390">
        <f>IF(G107&gt;0, N107/G107, 0)</f>
        <v/>
      </c>
      <c r="P107" s="391" t="n">
        <v>0.18</v>
      </c>
      <c r="Q107" s="390">
        <f>O107*(1+P107)</f>
        <v/>
      </c>
      <c r="R107" s="390">
        <f>G107*Q107</f>
        <v/>
      </c>
      <c r="S107" t="inlineStr"/>
    </row>
    <row r="108">
      <c r="A108" t="n">
        <v>107</v>
      </c>
      <c r="B108" t="inlineStr">
        <is>
          <t>SW-DAMPER-107</t>
        </is>
      </c>
      <c r="C108" t="inlineStr">
        <is>
          <t>VAN GIÓ</t>
        </is>
      </c>
      <c r="D108" t="inlineStr">
        <is>
          <t>HỆ THỐNG TẠO ÁP Van ngăn cháy MFD 850x300 (EI60)</t>
        </is>
      </c>
      <c r="E108" t="inlineStr">
        <is>
          <t>850x300</t>
        </is>
      </c>
      <c r="F108" t="inlineStr">
        <is>
          <t>Cái</t>
        </is>
      </c>
      <c r="G108" s="390" t="n">
        <v>2</v>
      </c>
      <c r="H108" s="390">
        <f>SUMIF('01_BOC_TACH_ONG'!B:B, B108, '01_BOC_TACH_ONG'!K:K)</f>
        <v/>
      </c>
      <c r="I108" s="390">
        <f>SUMIF('02_BOC_TACH_CUA'!B:B, B108, '02_BOC_TACH_CUA'!K:K)</f>
        <v/>
      </c>
      <c r="J108" s="390">
        <f>SUMIF('03_BOC_TACH_VAN'!B:B, B108, '03_BOC_TACH_VAN'!K:K)</f>
        <v/>
      </c>
      <c r="K108" s="390">
        <f>SUM(H108:J108)</f>
        <v/>
      </c>
      <c r="L108" s="390">
        <f>K108*0.25</f>
        <v/>
      </c>
      <c r="M108" s="390">
        <f>K108*0.10</f>
        <v/>
      </c>
      <c r="N108" s="390">
        <f>K108+L108+M108</f>
        <v/>
      </c>
      <c r="O108" s="390">
        <f>IF(G108&gt;0, N108/G108, 0)</f>
        <v/>
      </c>
      <c r="P108" s="391" t="n">
        <v>0.18</v>
      </c>
      <c r="Q108" s="390">
        <f>O108*(1+P108)</f>
        <v/>
      </c>
      <c r="R108" s="390">
        <f>G108*Q108</f>
        <v/>
      </c>
      <c r="S108" t="inlineStr"/>
    </row>
    <row r="109">
      <c r="A109" t="n">
        <v>108</v>
      </c>
      <c r="B109" t="inlineStr">
        <is>
          <t>SW-DAMPER-108</t>
        </is>
      </c>
      <c r="C109" t="inlineStr">
        <is>
          <t>VAN GIÓ</t>
        </is>
      </c>
      <c r="D109" t="inlineStr">
        <is>
          <t>HỆ THỐNG TẠO ÁP Van ngăn cháy MFD 800x350 (EI60)</t>
        </is>
      </c>
      <c r="E109" t="inlineStr">
        <is>
          <t>800x350</t>
        </is>
      </c>
      <c r="F109" t="inlineStr">
        <is>
          <t>Cái</t>
        </is>
      </c>
      <c r="G109" s="390" t="n">
        <v>3</v>
      </c>
      <c r="H109" s="390">
        <f>SUMIF('01_BOC_TACH_ONG'!B:B, B109, '01_BOC_TACH_ONG'!K:K)</f>
        <v/>
      </c>
      <c r="I109" s="390">
        <f>SUMIF('02_BOC_TACH_CUA'!B:B, B109, '02_BOC_TACH_CUA'!K:K)</f>
        <v/>
      </c>
      <c r="J109" s="390">
        <f>SUMIF('03_BOC_TACH_VAN'!B:B, B109, '03_BOC_TACH_VAN'!K:K)</f>
        <v/>
      </c>
      <c r="K109" s="390">
        <f>SUM(H109:J109)</f>
        <v/>
      </c>
      <c r="L109" s="390">
        <f>K109*0.25</f>
        <v/>
      </c>
      <c r="M109" s="390">
        <f>K109*0.10</f>
        <v/>
      </c>
      <c r="N109" s="390">
        <f>K109+L109+M109</f>
        <v/>
      </c>
      <c r="O109" s="390">
        <f>IF(G109&gt;0, N109/G109, 0)</f>
        <v/>
      </c>
      <c r="P109" s="391" t="n">
        <v>0.18</v>
      </c>
      <c r="Q109" s="390">
        <f>O109*(1+P109)</f>
        <v/>
      </c>
      <c r="R109" s="390">
        <f>G109*Q109</f>
        <v/>
      </c>
      <c r="S109" t="inlineStr"/>
    </row>
    <row r="110">
      <c r="A110" t="n">
        <v>109</v>
      </c>
      <c r="B110" t="inlineStr">
        <is>
          <t>SW-DAMPER-109</t>
        </is>
      </c>
      <c r="C110" t="inlineStr">
        <is>
          <t>VAN GIÓ</t>
        </is>
      </c>
      <c r="D110" t="inlineStr">
        <is>
          <t>HỆ THỐNG TẠO ÁP Van ngăn cháy MFD 2000x650 (EI120)</t>
        </is>
      </c>
      <c r="E110" t="inlineStr">
        <is>
          <t>2000x650</t>
        </is>
      </c>
      <c r="F110" t="inlineStr">
        <is>
          <t>Cái</t>
        </is>
      </c>
      <c r="G110" s="390" t="n">
        <v>1</v>
      </c>
      <c r="H110" s="390">
        <f>SUMIF('01_BOC_TACH_ONG'!B:B, B110, '01_BOC_TACH_ONG'!K:K)</f>
        <v/>
      </c>
      <c r="I110" s="390">
        <f>SUMIF('02_BOC_TACH_CUA'!B:B, B110, '02_BOC_TACH_CUA'!K:K)</f>
        <v/>
      </c>
      <c r="J110" s="390">
        <f>SUMIF('03_BOC_TACH_VAN'!B:B, B110, '03_BOC_TACH_VAN'!K:K)</f>
        <v/>
      </c>
      <c r="K110" s="390">
        <f>SUM(H110:J110)</f>
        <v/>
      </c>
      <c r="L110" s="390">
        <f>K110*0.25</f>
        <v/>
      </c>
      <c r="M110" s="390">
        <f>K110*0.10</f>
        <v/>
      </c>
      <c r="N110" s="390">
        <f>K110+L110+M110</f>
        <v/>
      </c>
      <c r="O110" s="390">
        <f>IF(G110&gt;0, N110/G110, 0)</f>
        <v/>
      </c>
      <c r="P110" s="391" t="n">
        <v>0.18</v>
      </c>
      <c r="Q110" s="390">
        <f>O110*(1+P110)</f>
        <v/>
      </c>
      <c r="R110" s="390">
        <f>G110*Q110</f>
        <v/>
      </c>
      <c r="S110" t="inlineStr"/>
    </row>
    <row r="111">
      <c r="A111" t="n">
        <v>110</v>
      </c>
      <c r="B111" t="inlineStr">
        <is>
          <t>SW-DAMPER-110</t>
        </is>
      </c>
      <c r="C111" t="inlineStr">
        <is>
          <t>VAN GIÓ</t>
        </is>
      </c>
      <c r="D111" t="inlineStr">
        <is>
          <t>HỆ THỐNG TẠO ÁP Van ngăn cháy MFD 1000x350 (EI120)</t>
        </is>
      </c>
      <c r="E111" t="inlineStr">
        <is>
          <t>1000x350</t>
        </is>
      </c>
      <c r="F111" t="inlineStr">
        <is>
          <t>Cái</t>
        </is>
      </c>
      <c r="G111" s="390" t="n">
        <v>2</v>
      </c>
      <c r="H111" s="390">
        <f>SUMIF('01_BOC_TACH_ONG'!B:B, B111, '01_BOC_TACH_ONG'!K:K)</f>
        <v/>
      </c>
      <c r="I111" s="390">
        <f>SUMIF('02_BOC_TACH_CUA'!B:B, B111, '02_BOC_TACH_CUA'!K:K)</f>
        <v/>
      </c>
      <c r="J111" s="390">
        <f>SUMIF('03_BOC_TACH_VAN'!B:B, B111, '03_BOC_TACH_VAN'!K:K)</f>
        <v/>
      </c>
      <c r="K111" s="390">
        <f>SUM(H111:J111)</f>
        <v/>
      </c>
      <c r="L111" s="390">
        <f>K111*0.25</f>
        <v/>
      </c>
      <c r="M111" s="390">
        <f>K111*0.10</f>
        <v/>
      </c>
      <c r="N111" s="390">
        <f>K111+L111+M111</f>
        <v/>
      </c>
      <c r="O111" s="390">
        <f>IF(G111&gt;0, N111/G111, 0)</f>
        <v/>
      </c>
      <c r="P111" s="391" t="n">
        <v>0.18</v>
      </c>
      <c r="Q111" s="390">
        <f>O111*(1+P111)</f>
        <v/>
      </c>
      <c r="R111" s="390">
        <f>G111*Q111</f>
        <v/>
      </c>
      <c r="S111" t="inlineStr"/>
    </row>
    <row r="112">
      <c r="A112" t="n">
        <v>111</v>
      </c>
      <c r="B112" t="inlineStr">
        <is>
          <t>SW-DAMPER-111</t>
        </is>
      </c>
      <c r="C112" t="inlineStr">
        <is>
          <t>VAN GIÓ</t>
        </is>
      </c>
      <c r="D112" t="inlineStr">
        <is>
          <t>HỆ THỐNG TẠO ÁP Van ngăn cháy MFD 1200x350 (EI120)</t>
        </is>
      </c>
      <c r="E112" t="inlineStr">
        <is>
          <t>1200x350</t>
        </is>
      </c>
      <c r="F112" t="inlineStr">
        <is>
          <t>Cái</t>
        </is>
      </c>
      <c r="G112" s="390" t="n">
        <v>2</v>
      </c>
      <c r="H112" s="390">
        <f>SUMIF('01_BOC_TACH_ONG'!B:B, B112, '01_BOC_TACH_ONG'!K:K)</f>
        <v/>
      </c>
      <c r="I112" s="390">
        <f>SUMIF('02_BOC_TACH_CUA'!B:B, B112, '02_BOC_TACH_CUA'!K:K)</f>
        <v/>
      </c>
      <c r="J112" s="390">
        <f>SUMIF('03_BOC_TACH_VAN'!B:B, B112, '03_BOC_TACH_VAN'!K:K)</f>
        <v/>
      </c>
      <c r="K112" s="390">
        <f>SUM(H112:J112)</f>
        <v/>
      </c>
      <c r="L112" s="390">
        <f>K112*0.25</f>
        <v/>
      </c>
      <c r="M112" s="390">
        <f>K112*0.10</f>
        <v/>
      </c>
      <c r="N112" s="390">
        <f>K112+L112+M112</f>
        <v/>
      </c>
      <c r="O112" s="390">
        <f>IF(G112&gt;0, N112/G112, 0)</f>
        <v/>
      </c>
      <c r="P112" s="391" t="n">
        <v>0.18</v>
      </c>
      <c r="Q112" s="390">
        <f>O112*(1+P112)</f>
        <v/>
      </c>
      <c r="R112" s="390">
        <f>G112*Q112</f>
        <v/>
      </c>
      <c r="S112" t="inlineStr"/>
    </row>
    <row r="113">
      <c r="A113" t="n">
        <v>112</v>
      </c>
      <c r="B113" t="inlineStr">
        <is>
          <t>SW-DAMPER-112</t>
        </is>
      </c>
      <c r="C113" t="inlineStr">
        <is>
          <t>VAN GIÓ</t>
        </is>
      </c>
      <c r="D113" t="inlineStr">
        <is>
          <t>HỆ THỐNG TẠO ÁP Van ngăn cháy MFD 1100x350 (EI120)</t>
        </is>
      </c>
      <c r="E113" t="inlineStr">
        <is>
          <t>1100x350</t>
        </is>
      </c>
      <c r="F113" t="inlineStr">
        <is>
          <t>Cái</t>
        </is>
      </c>
      <c r="G113" s="390" t="n">
        <v>1</v>
      </c>
      <c r="H113" s="390">
        <f>SUMIF('01_BOC_TACH_ONG'!B:B, B113, '01_BOC_TACH_ONG'!K:K)</f>
        <v/>
      </c>
      <c r="I113" s="390">
        <f>SUMIF('02_BOC_TACH_CUA'!B:B, B113, '02_BOC_TACH_CUA'!K:K)</f>
        <v/>
      </c>
      <c r="J113" s="390">
        <f>SUMIF('03_BOC_TACH_VAN'!B:B, B113, '03_BOC_TACH_VAN'!K:K)</f>
        <v/>
      </c>
      <c r="K113" s="390">
        <f>SUM(H113:J113)</f>
        <v/>
      </c>
      <c r="L113" s="390">
        <f>K113*0.25</f>
        <v/>
      </c>
      <c r="M113" s="390">
        <f>K113*0.10</f>
        <v/>
      </c>
      <c r="N113" s="390">
        <f>K113+L113+M113</f>
        <v/>
      </c>
      <c r="O113" s="390">
        <f>IF(G113&gt;0, N113/G113, 0)</f>
        <v/>
      </c>
      <c r="P113" s="391" t="n">
        <v>0.18</v>
      </c>
      <c r="Q113" s="390">
        <f>O113*(1+P113)</f>
        <v/>
      </c>
      <c r="R113" s="390">
        <f>G113*Q113</f>
        <v/>
      </c>
      <c r="S113" t="inlineStr"/>
    </row>
    <row r="114">
      <c r="A114" t="n">
        <v>113</v>
      </c>
      <c r="B114" t="inlineStr">
        <is>
          <t>SW-DAMPER-113</t>
        </is>
      </c>
      <c r="C114" t="inlineStr">
        <is>
          <t>VAN GIÓ</t>
        </is>
      </c>
      <c r="D114" t="inlineStr">
        <is>
          <t>HỆ THỐNG TẠO ÁP Van ngăn cháy MFD 1200x300 (EI60)</t>
        </is>
      </c>
      <c r="E114" t="inlineStr">
        <is>
          <t>1200x300</t>
        </is>
      </c>
      <c r="F114" t="inlineStr">
        <is>
          <t>Cái</t>
        </is>
      </c>
      <c r="G114" s="390" t="n">
        <v>9</v>
      </c>
      <c r="H114" s="390">
        <f>SUMIF('01_BOC_TACH_ONG'!B:B, B114, '01_BOC_TACH_ONG'!K:K)</f>
        <v/>
      </c>
      <c r="I114" s="390">
        <f>SUMIF('02_BOC_TACH_CUA'!B:B, B114, '02_BOC_TACH_CUA'!K:K)</f>
        <v/>
      </c>
      <c r="J114" s="390">
        <f>SUMIF('03_BOC_TACH_VAN'!B:B, B114, '03_BOC_TACH_VAN'!K:K)</f>
        <v/>
      </c>
      <c r="K114" s="390">
        <f>SUM(H114:J114)</f>
        <v/>
      </c>
      <c r="L114" s="390">
        <f>K114*0.25</f>
        <v/>
      </c>
      <c r="M114" s="390">
        <f>K114*0.10</f>
        <v/>
      </c>
      <c r="N114" s="390">
        <f>K114+L114+M114</f>
        <v/>
      </c>
      <c r="O114" s="390">
        <f>IF(G114&gt;0, N114/G114, 0)</f>
        <v/>
      </c>
      <c r="P114" s="391" t="n">
        <v>0.18</v>
      </c>
      <c r="Q114" s="390">
        <f>O114*(1+P114)</f>
        <v/>
      </c>
      <c r="R114" s="390">
        <f>G114*Q114</f>
        <v/>
      </c>
      <c r="S114" t="inlineStr"/>
    </row>
    <row r="115">
      <c r="A115" t="n">
        <v>114</v>
      </c>
      <c r="B115" t="inlineStr">
        <is>
          <t>SW-DAMPER-114</t>
        </is>
      </c>
      <c r="C115" t="inlineStr">
        <is>
          <t>VAN GIÓ</t>
        </is>
      </c>
      <c r="D115" t="inlineStr">
        <is>
          <t>HỆ THỐNG TẠO ÁP Van ngăn cháy MFD 1200x300 (EI120)</t>
        </is>
      </c>
      <c r="E115" t="inlineStr">
        <is>
          <t>1200x300</t>
        </is>
      </c>
      <c r="F115" t="inlineStr">
        <is>
          <t>Cái</t>
        </is>
      </c>
      <c r="G115" s="390" t="n">
        <v>1</v>
      </c>
      <c r="H115" s="390">
        <f>SUMIF('01_BOC_TACH_ONG'!B:B, B115, '01_BOC_TACH_ONG'!K:K)</f>
        <v/>
      </c>
      <c r="I115" s="390">
        <f>SUMIF('02_BOC_TACH_CUA'!B:B, B115, '02_BOC_TACH_CUA'!K:K)</f>
        <v/>
      </c>
      <c r="J115" s="390">
        <f>SUMIF('03_BOC_TACH_VAN'!B:B, B115, '03_BOC_TACH_VAN'!K:K)</f>
        <v/>
      </c>
      <c r="K115" s="390">
        <f>SUM(H115:J115)</f>
        <v/>
      </c>
      <c r="L115" s="390">
        <f>K115*0.25</f>
        <v/>
      </c>
      <c r="M115" s="390">
        <f>K115*0.10</f>
        <v/>
      </c>
      <c r="N115" s="390">
        <f>K115+L115+M115</f>
        <v/>
      </c>
      <c r="O115" s="390">
        <f>IF(G115&gt;0, N115/G115, 0)</f>
        <v/>
      </c>
      <c r="P115" s="391" t="n">
        <v>0.18</v>
      </c>
      <c r="Q115" s="390">
        <f>O115*(1+P115)</f>
        <v/>
      </c>
      <c r="R115" s="390">
        <f>G115*Q115</f>
        <v/>
      </c>
      <c r="S115" t="inlineStr"/>
    </row>
    <row r="116">
      <c r="A116" t="n">
        <v>115</v>
      </c>
      <c r="B116" t="inlineStr">
        <is>
          <t>SW-DAMPER-115</t>
        </is>
      </c>
      <c r="C116" t="inlineStr">
        <is>
          <t>VAN GIÓ</t>
        </is>
      </c>
      <c r="D116" t="inlineStr">
        <is>
          <t>HỆ THỐNG TẠO ÁP Van ngăn cháy MFD 900x350 (EI120)</t>
        </is>
      </c>
      <c r="E116" t="inlineStr">
        <is>
          <t>900x350</t>
        </is>
      </c>
      <c r="F116" t="inlineStr">
        <is>
          <t>Cái</t>
        </is>
      </c>
      <c r="G116" s="390" t="n">
        <v>13</v>
      </c>
      <c r="H116" s="390">
        <f>SUMIF('01_BOC_TACH_ONG'!B:B, B116, '01_BOC_TACH_ONG'!K:K)</f>
        <v/>
      </c>
      <c r="I116" s="390">
        <f>SUMIF('02_BOC_TACH_CUA'!B:B, B116, '02_BOC_TACH_CUA'!K:K)</f>
        <v/>
      </c>
      <c r="J116" s="390">
        <f>SUMIF('03_BOC_TACH_VAN'!B:B, B116, '03_BOC_TACH_VAN'!K:K)</f>
        <v/>
      </c>
      <c r="K116" s="390">
        <f>SUM(H116:J116)</f>
        <v/>
      </c>
      <c r="L116" s="390">
        <f>K116*0.25</f>
        <v/>
      </c>
      <c r="M116" s="390">
        <f>K116*0.10</f>
        <v/>
      </c>
      <c r="N116" s="390">
        <f>K116+L116+M116</f>
        <v/>
      </c>
      <c r="O116" s="390">
        <f>IF(G116&gt;0, N116/G116, 0)</f>
        <v/>
      </c>
      <c r="P116" s="391" t="n">
        <v>0.18</v>
      </c>
      <c r="Q116" s="390">
        <f>O116*(1+P116)</f>
        <v/>
      </c>
      <c r="R116" s="390">
        <f>G116*Q116</f>
        <v/>
      </c>
      <c r="S116" t="inlineStr"/>
    </row>
    <row r="117">
      <c r="A117" t="n">
        <v>116</v>
      </c>
      <c r="B117" t="inlineStr">
        <is>
          <t>SW-DAMPER-116</t>
        </is>
      </c>
      <c r="C117" t="inlineStr">
        <is>
          <t>VAN GIÓ</t>
        </is>
      </c>
      <c r="D117" t="inlineStr">
        <is>
          <t>HỆ THỐNG TẠO ÁP Van ngăn cháy MFD 1150x350 (EI120)</t>
        </is>
      </c>
      <c r="E117" t="inlineStr">
        <is>
          <t>1150x350</t>
        </is>
      </c>
      <c r="F117" t="inlineStr">
        <is>
          <t>Cái</t>
        </is>
      </c>
      <c r="G117" s="390" t="n">
        <v>12</v>
      </c>
      <c r="H117" s="390">
        <f>SUMIF('01_BOC_TACH_ONG'!B:B, B117, '01_BOC_TACH_ONG'!K:K)</f>
        <v/>
      </c>
      <c r="I117" s="390">
        <f>SUMIF('02_BOC_TACH_CUA'!B:B, B117, '02_BOC_TACH_CUA'!K:K)</f>
        <v/>
      </c>
      <c r="J117" s="390">
        <f>SUMIF('03_BOC_TACH_VAN'!B:B, B117, '03_BOC_TACH_VAN'!K:K)</f>
        <v/>
      </c>
      <c r="K117" s="390">
        <f>SUM(H117:J117)</f>
        <v/>
      </c>
      <c r="L117" s="390">
        <f>K117*0.25</f>
        <v/>
      </c>
      <c r="M117" s="390">
        <f>K117*0.10</f>
        <v/>
      </c>
      <c r="N117" s="390">
        <f>K117+L117+M117</f>
        <v/>
      </c>
      <c r="O117" s="390">
        <f>IF(G117&gt;0, N117/G117, 0)</f>
        <v/>
      </c>
      <c r="P117" s="391" t="n">
        <v>0.18</v>
      </c>
      <c r="Q117" s="390">
        <f>O117*(1+P117)</f>
        <v/>
      </c>
      <c r="R117" s="390">
        <f>G117*Q117</f>
        <v/>
      </c>
      <c r="S117" t="inlineStr"/>
    </row>
    <row r="118">
      <c r="A118" t="n">
        <v>117</v>
      </c>
      <c r="B118" t="inlineStr">
        <is>
          <t>SW-DAMPER-117</t>
        </is>
      </c>
      <c r="C118" t="inlineStr">
        <is>
          <t>VAN GIÓ</t>
        </is>
      </c>
      <c r="D118" t="inlineStr">
        <is>
          <t>HỆ THỐNG TẠO ÁP Van ngăn cháy MFD 1200x450 (EI120)</t>
        </is>
      </c>
      <c r="E118" t="inlineStr">
        <is>
          <t>1200x450</t>
        </is>
      </c>
      <c r="F118" t="inlineStr">
        <is>
          <t>Cái</t>
        </is>
      </c>
      <c r="G118" s="390" t="n">
        <v>1</v>
      </c>
      <c r="H118" s="390">
        <f>SUMIF('01_BOC_TACH_ONG'!B:B, B118, '01_BOC_TACH_ONG'!K:K)</f>
        <v/>
      </c>
      <c r="I118" s="390">
        <f>SUMIF('02_BOC_TACH_CUA'!B:B, B118, '02_BOC_TACH_CUA'!K:K)</f>
        <v/>
      </c>
      <c r="J118" s="390">
        <f>SUMIF('03_BOC_TACH_VAN'!B:B, B118, '03_BOC_TACH_VAN'!K:K)</f>
        <v/>
      </c>
      <c r="K118" s="390">
        <f>SUM(H118:J118)</f>
        <v/>
      </c>
      <c r="L118" s="390">
        <f>K118*0.25</f>
        <v/>
      </c>
      <c r="M118" s="390">
        <f>K118*0.10</f>
        <v/>
      </c>
      <c r="N118" s="390">
        <f>K118+L118+M118</f>
        <v/>
      </c>
      <c r="O118" s="390">
        <f>IF(G118&gt;0, N118/G118, 0)</f>
        <v/>
      </c>
      <c r="P118" s="391" t="n">
        <v>0.18</v>
      </c>
      <c r="Q118" s="390">
        <f>O118*(1+P118)</f>
        <v/>
      </c>
      <c r="R118" s="390">
        <f>G118*Q118</f>
        <v/>
      </c>
      <c r="S118" t="inlineStr"/>
    </row>
    <row r="119">
      <c r="A119" t="n">
        <v>118</v>
      </c>
      <c r="B119" t="inlineStr">
        <is>
          <t>SW-DAMPER-118</t>
        </is>
      </c>
      <c r="C119" t="inlineStr">
        <is>
          <t>VAN GIÓ</t>
        </is>
      </c>
      <c r="D119" t="inlineStr">
        <is>
          <t>HỆ THỐNG TẠO ÁP Van ngăn cháy MFD 350x600 (EI120)</t>
        </is>
      </c>
      <c r="E119" t="inlineStr">
        <is>
          <t>350x600</t>
        </is>
      </c>
      <c r="F119" t="inlineStr">
        <is>
          <t>Cái</t>
        </is>
      </c>
      <c r="G119" s="390" t="n">
        <v>10</v>
      </c>
      <c r="H119" s="390">
        <f>SUMIF('01_BOC_TACH_ONG'!B:B, B119, '01_BOC_TACH_ONG'!K:K)</f>
        <v/>
      </c>
      <c r="I119" s="390">
        <f>SUMIF('02_BOC_TACH_CUA'!B:B, B119, '02_BOC_TACH_CUA'!K:K)</f>
        <v/>
      </c>
      <c r="J119" s="390">
        <f>SUMIF('03_BOC_TACH_VAN'!B:B, B119, '03_BOC_TACH_VAN'!K:K)</f>
        <v/>
      </c>
      <c r="K119" s="390">
        <f>SUM(H119:J119)</f>
        <v/>
      </c>
      <c r="L119" s="390">
        <f>K119*0.25</f>
        <v/>
      </c>
      <c r="M119" s="390">
        <f>K119*0.10</f>
        <v/>
      </c>
      <c r="N119" s="390">
        <f>K119+L119+M119</f>
        <v/>
      </c>
      <c r="O119" s="390">
        <f>IF(G119&gt;0, N119/G119, 0)</f>
        <v/>
      </c>
      <c r="P119" s="391" t="n">
        <v>0.18</v>
      </c>
      <c r="Q119" s="390">
        <f>O119*(1+P119)</f>
        <v/>
      </c>
      <c r="R119" s="390">
        <f>G119*Q119</f>
        <v/>
      </c>
      <c r="S119" t="inlineStr"/>
    </row>
    <row r="120">
      <c r="A120" t="n">
        <v>119</v>
      </c>
      <c r="B120" t="inlineStr">
        <is>
          <t>SW-DAMPER-119</t>
        </is>
      </c>
      <c r="C120" t="inlineStr">
        <is>
          <t>VAN GIÓ</t>
        </is>
      </c>
      <c r="D120" t="inlineStr">
        <is>
          <t>HỆ THỐNG TẠO ÁP Van ngăn cháy MFD 1100x350 (EI120)</t>
        </is>
      </c>
      <c r="E120" t="inlineStr">
        <is>
          <t>1100x350</t>
        </is>
      </c>
      <c r="F120" t="inlineStr">
        <is>
          <t>Cái</t>
        </is>
      </c>
      <c r="G120" s="390" t="n">
        <v>6</v>
      </c>
      <c r="H120" s="390">
        <f>SUMIF('01_BOC_TACH_ONG'!B:B, B120, '01_BOC_TACH_ONG'!K:K)</f>
        <v/>
      </c>
      <c r="I120" s="390">
        <f>SUMIF('02_BOC_TACH_CUA'!B:B, B120, '02_BOC_TACH_CUA'!K:K)</f>
        <v/>
      </c>
      <c r="J120" s="390">
        <f>SUMIF('03_BOC_TACH_VAN'!B:B, B120, '03_BOC_TACH_VAN'!K:K)</f>
        <v/>
      </c>
      <c r="K120" s="390">
        <f>SUM(H120:J120)</f>
        <v/>
      </c>
      <c r="L120" s="390">
        <f>K120*0.25</f>
        <v/>
      </c>
      <c r="M120" s="390">
        <f>K120*0.10</f>
        <v/>
      </c>
      <c r="N120" s="390">
        <f>K120+L120+M120</f>
        <v/>
      </c>
      <c r="O120" s="390">
        <f>IF(G120&gt;0, N120/G120, 0)</f>
        <v/>
      </c>
      <c r="P120" s="391" t="n">
        <v>0.18</v>
      </c>
      <c r="Q120" s="390">
        <f>O120*(1+P120)</f>
        <v/>
      </c>
      <c r="R120" s="390">
        <f>G120*Q120</f>
        <v/>
      </c>
      <c r="S120" t="inlineStr"/>
    </row>
    <row r="121">
      <c r="A121" t="n">
        <v>120</v>
      </c>
      <c r="B121" t="inlineStr">
        <is>
          <t>SW-DAMPER-120</t>
        </is>
      </c>
      <c r="C121" t="inlineStr">
        <is>
          <t>VAN GIÓ</t>
        </is>
      </c>
      <c r="D121" t="inlineStr">
        <is>
          <t>HỆ THỐNG TẠO ÁP Van ngăn cháy MFD 1000x350 (EI120)</t>
        </is>
      </c>
      <c r="E121" t="inlineStr">
        <is>
          <t>1000x350</t>
        </is>
      </c>
      <c r="F121" t="inlineStr">
        <is>
          <t>Cái</t>
        </is>
      </c>
      <c r="G121" s="390" t="n">
        <v>6</v>
      </c>
      <c r="H121" s="390">
        <f>SUMIF('01_BOC_TACH_ONG'!B:B, B121, '01_BOC_TACH_ONG'!K:K)</f>
        <v/>
      </c>
      <c r="I121" s="390">
        <f>SUMIF('02_BOC_TACH_CUA'!B:B, B121, '02_BOC_TACH_CUA'!K:K)</f>
        <v/>
      </c>
      <c r="J121" s="390">
        <f>SUMIF('03_BOC_TACH_VAN'!B:B, B121, '03_BOC_TACH_VAN'!K:K)</f>
        <v/>
      </c>
      <c r="K121" s="390">
        <f>SUM(H121:J121)</f>
        <v/>
      </c>
      <c r="L121" s="390">
        <f>K121*0.25</f>
        <v/>
      </c>
      <c r="M121" s="390">
        <f>K121*0.10</f>
        <v/>
      </c>
      <c r="N121" s="390">
        <f>K121+L121+M121</f>
        <v/>
      </c>
      <c r="O121" s="390">
        <f>IF(G121&gt;0, N121/G121, 0)</f>
        <v/>
      </c>
      <c r="P121" s="391" t="n">
        <v>0.18</v>
      </c>
      <c r="Q121" s="390">
        <f>O121*(1+P121)</f>
        <v/>
      </c>
      <c r="R121" s="390">
        <f>G121*Q121</f>
        <v/>
      </c>
      <c r="S121" t="inlineStr"/>
    </row>
    <row r="122">
      <c r="A122" t="n">
        <v>121</v>
      </c>
      <c r="B122" t="inlineStr">
        <is>
          <t>SW-DAMPER-121</t>
        </is>
      </c>
      <c r="C122" t="inlineStr">
        <is>
          <t>VAN GIÓ</t>
        </is>
      </c>
      <c r="D122" t="inlineStr">
        <is>
          <t>HỆ THỐNG TẠO ÁP Van ngăn cháy MFD 800x300 (EI120)</t>
        </is>
      </c>
      <c r="E122" t="inlineStr">
        <is>
          <t>800x300</t>
        </is>
      </c>
      <c r="F122" t="inlineStr">
        <is>
          <t>Cái</t>
        </is>
      </c>
      <c r="G122" s="390" t="n">
        <v>8</v>
      </c>
      <c r="H122" s="390">
        <f>SUMIF('01_BOC_TACH_ONG'!B:B, B122, '01_BOC_TACH_ONG'!K:K)</f>
        <v/>
      </c>
      <c r="I122" s="390">
        <f>SUMIF('02_BOC_TACH_CUA'!B:B, B122, '02_BOC_TACH_CUA'!K:K)</f>
        <v/>
      </c>
      <c r="J122" s="390">
        <f>SUMIF('03_BOC_TACH_VAN'!B:B, B122, '03_BOC_TACH_VAN'!K:K)</f>
        <v/>
      </c>
      <c r="K122" s="390">
        <f>SUM(H122:J122)</f>
        <v/>
      </c>
      <c r="L122" s="390">
        <f>K122*0.25</f>
        <v/>
      </c>
      <c r="M122" s="390">
        <f>K122*0.10</f>
        <v/>
      </c>
      <c r="N122" s="390">
        <f>K122+L122+M122</f>
        <v/>
      </c>
      <c r="O122" s="390">
        <f>IF(G122&gt;0, N122/G122, 0)</f>
        <v/>
      </c>
      <c r="P122" s="391" t="n">
        <v>0.18</v>
      </c>
      <c r="Q122" s="390">
        <f>O122*(1+P122)</f>
        <v/>
      </c>
      <c r="R122" s="390">
        <f>G122*Q122</f>
        <v/>
      </c>
      <c r="S122" t="inlineStr"/>
    </row>
    <row r="123">
      <c r="A123" t="n">
        <v>122</v>
      </c>
      <c r="B123" t="inlineStr">
        <is>
          <t>SW-DAMPER-122</t>
        </is>
      </c>
      <c r="C123" t="inlineStr">
        <is>
          <t>VAN GIÓ</t>
        </is>
      </c>
      <c r="D123" t="inlineStr">
        <is>
          <t>HỆ THỐNG TẠO ÁP Van ngăn cháy MFD 650x400</t>
        </is>
      </c>
      <c r="E123" t="inlineStr">
        <is>
          <t>650x400</t>
        </is>
      </c>
      <c r="F123" t="inlineStr">
        <is>
          <t>Cái</t>
        </is>
      </c>
      <c r="G123" s="390" t="n">
        <v>6</v>
      </c>
      <c r="H123" s="390">
        <f>SUMIF('01_BOC_TACH_ONG'!B:B, B123, '01_BOC_TACH_ONG'!K:K)</f>
        <v/>
      </c>
      <c r="I123" s="390">
        <f>SUMIF('02_BOC_TACH_CUA'!B:B, B123, '02_BOC_TACH_CUA'!K:K)</f>
        <v/>
      </c>
      <c r="J123" s="390">
        <f>SUMIF('03_BOC_TACH_VAN'!B:B, B123, '03_BOC_TACH_VAN'!K:K)</f>
        <v/>
      </c>
      <c r="K123" s="390">
        <f>SUM(H123:J123)</f>
        <v/>
      </c>
      <c r="L123" s="390">
        <f>K123*0.25</f>
        <v/>
      </c>
      <c r="M123" s="390">
        <f>K123*0.10</f>
        <v/>
      </c>
      <c r="N123" s="390">
        <f>K123+L123+M123</f>
        <v/>
      </c>
      <c r="O123" s="390">
        <f>IF(G123&gt;0, N123/G123, 0)</f>
        <v/>
      </c>
      <c r="P123" s="391" t="n">
        <v>0.18</v>
      </c>
      <c r="Q123" s="390">
        <f>O123*(1+P123)</f>
        <v/>
      </c>
      <c r="R123" s="390">
        <f>G123*Q123</f>
        <v/>
      </c>
      <c r="S123" t="inlineStr"/>
    </row>
    <row r="124">
      <c r="A124" t="n">
        <v>123</v>
      </c>
      <c r="B124" t="inlineStr">
        <is>
          <t>SW-DAMPER-123</t>
        </is>
      </c>
      <c r="C124" t="inlineStr">
        <is>
          <t>VAN GIÓ</t>
        </is>
      </c>
      <c r="D124" t="inlineStr">
        <is>
          <t>HỆ THỐNG TẠO ÁP Van xả áp</t>
        </is>
      </c>
      <c r="E124" t="inlineStr">
        <is>
          <t>-</t>
        </is>
      </c>
      <c r="F124" t="inlineStr">
        <is>
          <t>Cái</t>
        </is>
      </c>
      <c r="G124" s="390" t="n">
        <v>6</v>
      </c>
      <c r="H124" s="390">
        <f>SUMIF('01_BOC_TACH_ONG'!B:B, B124, '01_BOC_TACH_ONG'!K:K)</f>
        <v/>
      </c>
      <c r="I124" s="390">
        <f>SUMIF('02_BOC_TACH_CUA'!B:B, B124, '02_BOC_TACH_CUA'!K:K)</f>
        <v/>
      </c>
      <c r="J124" s="390">
        <f>SUMIF('03_BOC_TACH_VAN'!B:B, B124, '03_BOC_TACH_VAN'!K:K)</f>
        <v/>
      </c>
      <c r="K124" s="390">
        <f>SUM(H124:J124)</f>
        <v/>
      </c>
      <c r="L124" s="390">
        <f>K124*0.25</f>
        <v/>
      </c>
      <c r="M124" s="390">
        <f>K124*0.10</f>
        <v/>
      </c>
      <c r="N124" s="390">
        <f>K124+L124+M124</f>
        <v/>
      </c>
      <c r="O124" s="390">
        <f>IF(G124&gt;0, N124/G124, 0)</f>
        <v/>
      </c>
      <c r="P124" s="391" t="n">
        <v>0.18</v>
      </c>
      <c r="Q124" s="390">
        <f>O124*(1+P124)</f>
        <v/>
      </c>
      <c r="R124" s="390">
        <f>G124*Q124</f>
        <v/>
      </c>
      <c r="S124" t="inlineStr"/>
    </row>
    <row r="125">
      <c r="A125" t="n">
        <v>124</v>
      </c>
      <c r="B125" t="inlineStr">
        <is>
          <t>SW-DAMPER-124</t>
        </is>
      </c>
      <c r="C125" t="inlineStr">
        <is>
          <t>VAN GIÓ</t>
        </is>
      </c>
      <c r="D125" t="inlineStr">
        <is>
          <t>HỆ THỐNG TẠO ÁP Van chỉnh lưu lượng VCD250x200 (EI60)</t>
        </is>
      </c>
      <c r="E125" t="inlineStr">
        <is>
          <t>250x200</t>
        </is>
      </c>
      <c r="F125" t="inlineStr">
        <is>
          <t>Cái</t>
        </is>
      </c>
      <c r="G125" s="390" t="n">
        <v>1</v>
      </c>
      <c r="H125" s="390">
        <f>SUMIF('01_BOC_TACH_ONG'!B:B, B125, '01_BOC_TACH_ONG'!K:K)</f>
        <v/>
      </c>
      <c r="I125" s="390">
        <f>SUMIF('02_BOC_TACH_CUA'!B:B, B125, '02_BOC_TACH_CUA'!K:K)</f>
        <v/>
      </c>
      <c r="J125" s="390">
        <f>SUMIF('03_BOC_TACH_VAN'!B:B, B125, '03_BOC_TACH_VAN'!K:K)</f>
        <v/>
      </c>
      <c r="K125" s="390">
        <f>SUM(H125:J125)</f>
        <v/>
      </c>
      <c r="L125" s="390">
        <f>K125*0.25</f>
        <v/>
      </c>
      <c r="M125" s="390">
        <f>K125*0.10</f>
        <v/>
      </c>
      <c r="N125" s="390">
        <f>K125+L125+M125</f>
        <v/>
      </c>
      <c r="O125" s="390">
        <f>IF(G125&gt;0, N125/G125, 0)</f>
        <v/>
      </c>
      <c r="P125" s="391" t="n">
        <v>0.18</v>
      </c>
      <c r="Q125" s="390">
        <f>O125*(1+P125)</f>
        <v/>
      </c>
      <c r="R125" s="390">
        <f>G125*Q125</f>
        <v/>
      </c>
      <c r="S125" t="inlineStr"/>
    </row>
    <row r="126">
      <c r="A126" t="n">
        <v>125</v>
      </c>
      <c r="B126" t="inlineStr">
        <is>
          <t>SW-DIFF-125</t>
        </is>
      </c>
      <c r="C126" t="inlineStr">
        <is>
          <t>CỬA GIÓ</t>
        </is>
      </c>
      <c r="D126" t="inlineStr">
        <is>
          <t>HỆ THỐNG TẠO ÁP Miệng gió tạo áp PAG 900x400+OBD</t>
        </is>
      </c>
      <c r="E126" t="inlineStr">
        <is>
          <t>900x400</t>
        </is>
      </c>
      <c r="F126" t="inlineStr">
        <is>
          <t>Cái</t>
        </is>
      </c>
      <c r="G126" s="390" t="n">
        <v>2</v>
      </c>
      <c r="H126" s="390">
        <f>SUMIF('01_BOC_TACH_ONG'!B:B, B126, '01_BOC_TACH_ONG'!K:K)</f>
        <v/>
      </c>
      <c r="I126" s="390">
        <f>SUMIF('02_BOC_TACH_CUA'!B:B, B126, '02_BOC_TACH_CUA'!K:K)</f>
        <v/>
      </c>
      <c r="J126" s="390">
        <f>SUMIF('03_BOC_TACH_VAN'!B:B, B126, '03_BOC_TACH_VAN'!K:K)</f>
        <v/>
      </c>
      <c r="K126" s="390">
        <f>SUM(H126:J126)</f>
        <v/>
      </c>
      <c r="L126" s="390">
        <f>K126*0.25</f>
        <v/>
      </c>
      <c r="M126" s="390">
        <f>K126*0.10</f>
        <v/>
      </c>
      <c r="N126" s="390">
        <f>K126+L126+M126</f>
        <v/>
      </c>
      <c r="O126" s="390">
        <f>IF(G126&gt;0, N126/G126, 0)</f>
        <v/>
      </c>
      <c r="P126" s="391" t="n">
        <v>0.18</v>
      </c>
      <c r="Q126" s="390">
        <f>O126*(1+P126)</f>
        <v/>
      </c>
      <c r="R126" s="390">
        <f>G126*Q126</f>
        <v/>
      </c>
      <c r="S126" t="inlineStr"/>
    </row>
    <row r="127">
      <c r="A127" t="n">
        <v>126</v>
      </c>
      <c r="B127" t="inlineStr">
        <is>
          <t>SW-DIFF-126</t>
        </is>
      </c>
      <c r="C127" t="inlineStr">
        <is>
          <t>CỬA GIÓ</t>
        </is>
      </c>
      <c r="D127" t="inlineStr">
        <is>
          <t>HỆ THỐNG TẠO ÁP Miệng gió tạo áp PAG 300x300+OBD</t>
        </is>
      </c>
      <c r="E127" t="inlineStr">
        <is>
          <t>300x300</t>
        </is>
      </c>
      <c r="F127" t="inlineStr">
        <is>
          <t>Cái</t>
        </is>
      </c>
      <c r="G127" s="390" t="n">
        <v>1</v>
      </c>
      <c r="H127" s="390">
        <f>SUMIF('01_BOC_TACH_ONG'!B:B, B127, '01_BOC_TACH_ONG'!K:K)</f>
        <v/>
      </c>
      <c r="I127" s="390">
        <f>SUMIF('02_BOC_TACH_CUA'!B:B, B127, '02_BOC_TACH_CUA'!K:K)</f>
        <v/>
      </c>
      <c r="J127" s="390">
        <f>SUMIF('03_BOC_TACH_VAN'!B:B, B127, '03_BOC_TACH_VAN'!K:K)</f>
        <v/>
      </c>
      <c r="K127" s="390">
        <f>SUM(H127:J127)</f>
        <v/>
      </c>
      <c r="L127" s="390">
        <f>K127*0.25</f>
        <v/>
      </c>
      <c r="M127" s="390">
        <f>K127*0.10</f>
        <v/>
      </c>
      <c r="N127" s="390">
        <f>K127+L127+M127</f>
        <v/>
      </c>
      <c r="O127" s="390">
        <f>IF(G127&gt;0, N127/G127, 0)</f>
        <v/>
      </c>
      <c r="P127" s="391" t="n">
        <v>0.18</v>
      </c>
      <c r="Q127" s="390">
        <f>O127*(1+P127)</f>
        <v/>
      </c>
      <c r="R127" s="390">
        <f>G127*Q127</f>
        <v/>
      </c>
      <c r="S127" t="inlineStr"/>
    </row>
    <row r="128">
      <c r="A128" t="n">
        <v>127</v>
      </c>
      <c r="B128" t="inlineStr">
        <is>
          <t>SW-DIFF-127</t>
        </is>
      </c>
      <c r="C128" t="inlineStr">
        <is>
          <t>CỬA GIÓ</t>
        </is>
      </c>
      <c r="D128" t="inlineStr">
        <is>
          <t>HỆ THỐNG TẠO ÁP Miệng gió tạo áp PAG 1200x600+OBD</t>
        </is>
      </c>
      <c r="E128" t="inlineStr">
        <is>
          <t>1200x600</t>
        </is>
      </c>
      <c r="F128" t="inlineStr">
        <is>
          <t>Cái</t>
        </is>
      </c>
      <c r="G128" s="390" t="n">
        <v>2</v>
      </c>
      <c r="H128" s="390">
        <f>SUMIF('01_BOC_TACH_ONG'!B:B, B128, '01_BOC_TACH_ONG'!K:K)</f>
        <v/>
      </c>
      <c r="I128" s="390">
        <f>SUMIF('02_BOC_TACH_CUA'!B:B, B128, '02_BOC_TACH_CUA'!K:K)</f>
        <v/>
      </c>
      <c r="J128" s="390">
        <f>SUMIF('03_BOC_TACH_VAN'!B:B, B128, '03_BOC_TACH_VAN'!K:K)</f>
        <v/>
      </c>
      <c r="K128" s="390">
        <f>SUM(H128:J128)</f>
        <v/>
      </c>
      <c r="L128" s="390">
        <f>K128*0.25</f>
        <v/>
      </c>
      <c r="M128" s="390">
        <f>K128*0.10</f>
        <v/>
      </c>
      <c r="N128" s="390">
        <f>K128+L128+M128</f>
        <v/>
      </c>
      <c r="O128" s="390">
        <f>IF(G128&gt;0, N128/G128, 0)</f>
        <v/>
      </c>
      <c r="P128" s="391" t="n">
        <v>0.18</v>
      </c>
      <c r="Q128" s="390">
        <f>O128*(1+P128)</f>
        <v/>
      </c>
      <c r="R128" s="390">
        <f>G128*Q128</f>
        <v/>
      </c>
      <c r="S128" t="inlineStr"/>
    </row>
    <row r="129">
      <c r="A129" t="n">
        <v>128</v>
      </c>
      <c r="B129" t="inlineStr">
        <is>
          <t>SW-DIFF-128</t>
        </is>
      </c>
      <c r="C129" t="inlineStr">
        <is>
          <t>CỬA GIÓ</t>
        </is>
      </c>
      <c r="D129" t="inlineStr">
        <is>
          <t>HỆ THỐNG TẠO ÁP Miệng gió tạo áp PAG 1400x800+OBD</t>
        </is>
      </c>
      <c r="E129" t="inlineStr">
        <is>
          <t>1400x800</t>
        </is>
      </c>
      <c r="F129" t="inlineStr">
        <is>
          <t>Cái</t>
        </is>
      </c>
      <c r="G129" s="390" t="n">
        <v>10</v>
      </c>
      <c r="H129" s="390">
        <f>SUMIF('01_BOC_TACH_ONG'!B:B, B129, '01_BOC_TACH_ONG'!K:K)</f>
        <v/>
      </c>
      <c r="I129" s="390">
        <f>SUMIF('02_BOC_TACH_CUA'!B:B, B129, '02_BOC_TACH_CUA'!K:K)</f>
        <v/>
      </c>
      <c r="J129" s="390">
        <f>SUMIF('03_BOC_TACH_VAN'!B:B, B129, '03_BOC_TACH_VAN'!K:K)</f>
        <v/>
      </c>
      <c r="K129" s="390">
        <f>SUM(H129:J129)</f>
        <v/>
      </c>
      <c r="L129" s="390">
        <f>K129*0.25</f>
        <v/>
      </c>
      <c r="M129" s="390">
        <f>K129*0.10</f>
        <v/>
      </c>
      <c r="N129" s="390">
        <f>K129+L129+M129</f>
        <v/>
      </c>
      <c r="O129" s="390">
        <f>IF(G129&gt;0, N129/G129, 0)</f>
        <v/>
      </c>
      <c r="P129" s="391" t="n">
        <v>0.18</v>
      </c>
      <c r="Q129" s="390">
        <f>O129*(1+P129)</f>
        <v/>
      </c>
      <c r="R129" s="390">
        <f>G129*Q129</f>
        <v/>
      </c>
      <c r="S129" t="inlineStr"/>
    </row>
    <row r="130">
      <c r="A130" t="n">
        <v>129</v>
      </c>
      <c r="B130" t="inlineStr">
        <is>
          <t>SW-DIFF-129</t>
        </is>
      </c>
      <c r="C130" t="inlineStr">
        <is>
          <t>CỬA GIÓ</t>
        </is>
      </c>
      <c r="D130" t="inlineStr">
        <is>
          <t>HỆ THỐNG TẠO ÁP Miệng gió tạo áp PAG 1200x600+OBD</t>
        </is>
      </c>
      <c r="E130" t="inlineStr">
        <is>
          <t>1200x600</t>
        </is>
      </c>
      <c r="F130" t="inlineStr">
        <is>
          <t>Cái</t>
        </is>
      </c>
      <c r="G130" s="390" t="n">
        <v>2</v>
      </c>
      <c r="H130" s="390">
        <f>SUMIF('01_BOC_TACH_ONG'!B:B, B130, '01_BOC_TACH_ONG'!K:K)</f>
        <v/>
      </c>
      <c r="I130" s="390">
        <f>SUMIF('02_BOC_TACH_CUA'!B:B, B130, '02_BOC_TACH_CUA'!K:K)</f>
        <v/>
      </c>
      <c r="J130" s="390">
        <f>SUMIF('03_BOC_TACH_VAN'!B:B, B130, '03_BOC_TACH_VAN'!K:K)</f>
        <v/>
      </c>
      <c r="K130" s="390">
        <f>SUM(H130:J130)</f>
        <v/>
      </c>
      <c r="L130" s="390">
        <f>K130*0.25</f>
        <v/>
      </c>
      <c r="M130" s="390">
        <f>K130*0.10</f>
        <v/>
      </c>
      <c r="N130" s="390">
        <f>K130+L130+M130</f>
        <v/>
      </c>
      <c r="O130" s="390">
        <f>IF(G130&gt;0, N130/G130, 0)</f>
        <v/>
      </c>
      <c r="P130" s="391" t="n">
        <v>0.18</v>
      </c>
      <c r="Q130" s="390">
        <f>O130*(1+P130)</f>
        <v/>
      </c>
      <c r="R130" s="390">
        <f>G130*Q130</f>
        <v/>
      </c>
      <c r="S130" t="inlineStr"/>
    </row>
    <row r="131">
      <c r="A131" t="n">
        <v>130</v>
      </c>
      <c r="B131" t="inlineStr">
        <is>
          <t>SW-DIFF-130</t>
        </is>
      </c>
      <c r="C131" t="inlineStr">
        <is>
          <t>CỬA GIÓ</t>
        </is>
      </c>
      <c r="D131" t="inlineStr">
        <is>
          <t>HỆ THỐNG TẠO ÁP Miệng gió tạo áp PAG 300x300+OBD</t>
        </is>
      </c>
      <c r="E131" t="inlineStr">
        <is>
          <t>300x300</t>
        </is>
      </c>
      <c r="F131" t="inlineStr">
        <is>
          <t>Cái</t>
        </is>
      </c>
      <c r="G131" s="390" t="n">
        <v>8</v>
      </c>
      <c r="H131" s="390">
        <f>SUMIF('01_BOC_TACH_ONG'!B:B, B131, '01_BOC_TACH_ONG'!K:K)</f>
        <v/>
      </c>
      <c r="I131" s="390">
        <f>SUMIF('02_BOC_TACH_CUA'!B:B, B131, '02_BOC_TACH_CUA'!K:K)</f>
        <v/>
      </c>
      <c r="J131" s="390">
        <f>SUMIF('03_BOC_TACH_VAN'!B:B, B131, '03_BOC_TACH_VAN'!K:K)</f>
        <v/>
      </c>
      <c r="K131" s="390">
        <f>SUM(H131:J131)</f>
        <v/>
      </c>
      <c r="L131" s="390">
        <f>K131*0.25</f>
        <v/>
      </c>
      <c r="M131" s="390">
        <f>K131*0.10</f>
        <v/>
      </c>
      <c r="N131" s="390">
        <f>K131+L131+M131</f>
        <v/>
      </c>
      <c r="O131" s="390">
        <f>IF(G131&gt;0, N131/G131, 0)</f>
        <v/>
      </c>
      <c r="P131" s="391" t="n">
        <v>0.18</v>
      </c>
      <c r="Q131" s="390">
        <f>O131*(1+P131)</f>
        <v/>
      </c>
      <c r="R131" s="390">
        <f>G131*Q131</f>
        <v/>
      </c>
      <c r="S131" t="inlineStr"/>
    </row>
    <row r="132">
      <c r="A132" t="n">
        <v>131</v>
      </c>
      <c r="B132" t="inlineStr">
        <is>
          <t>SW-DIFF-131</t>
        </is>
      </c>
      <c r="C132" t="inlineStr">
        <is>
          <t>CỬA GIÓ</t>
        </is>
      </c>
      <c r="D132" t="inlineStr">
        <is>
          <t>HỆ THỐNG TẠO ÁP Miệng gió tạo áp PAG 500x200+OBD</t>
        </is>
      </c>
      <c r="E132" t="inlineStr">
        <is>
          <t>500x200</t>
        </is>
      </c>
      <c r="F132" t="inlineStr">
        <is>
          <t>Cái</t>
        </is>
      </c>
      <c r="G132" s="390" t="n">
        <v>3</v>
      </c>
      <c r="H132" s="390">
        <f>SUMIF('01_BOC_TACH_ONG'!B:B, B132, '01_BOC_TACH_ONG'!K:K)</f>
        <v/>
      </c>
      <c r="I132" s="390">
        <f>SUMIF('02_BOC_TACH_CUA'!B:B, B132, '02_BOC_TACH_CUA'!K:K)</f>
        <v/>
      </c>
      <c r="J132" s="390">
        <f>SUMIF('03_BOC_TACH_VAN'!B:B, B132, '03_BOC_TACH_VAN'!K:K)</f>
        <v/>
      </c>
      <c r="K132" s="390">
        <f>SUM(H132:J132)</f>
        <v/>
      </c>
      <c r="L132" s="390">
        <f>K132*0.25</f>
        <v/>
      </c>
      <c r="M132" s="390">
        <f>K132*0.10</f>
        <v/>
      </c>
      <c r="N132" s="390">
        <f>K132+L132+M132</f>
        <v/>
      </c>
      <c r="O132" s="390">
        <f>IF(G132&gt;0, N132/G132, 0)</f>
        <v/>
      </c>
      <c r="P132" s="391" t="n">
        <v>0.18</v>
      </c>
      <c r="Q132" s="390">
        <f>O132*(1+P132)</f>
        <v/>
      </c>
      <c r="R132" s="390">
        <f>G132*Q132</f>
        <v/>
      </c>
      <c r="S132" t="inlineStr"/>
    </row>
    <row r="133">
      <c r="A133" t="n">
        <v>132</v>
      </c>
      <c r="B133" t="inlineStr">
        <is>
          <t>SW-DIFF-132</t>
        </is>
      </c>
      <c r="C133" t="inlineStr">
        <is>
          <t>CỬA GIÓ</t>
        </is>
      </c>
      <c r="D133" t="inlineStr">
        <is>
          <t>HỆ THỐNG TẠO ÁP Miệng gió tạo áp PAG1400x800+OBD</t>
        </is>
      </c>
      <c r="E133" t="inlineStr">
        <is>
          <t>1400x800</t>
        </is>
      </c>
      <c r="F133" t="inlineStr">
        <is>
          <t>Cái</t>
        </is>
      </c>
      <c r="G133" s="390" t="n">
        <v>49</v>
      </c>
      <c r="H133" s="390">
        <f>SUMIF('01_BOC_TACH_ONG'!B:B, B133, '01_BOC_TACH_ONG'!K:K)</f>
        <v/>
      </c>
      <c r="I133" s="390">
        <f>SUMIF('02_BOC_TACH_CUA'!B:B, B133, '02_BOC_TACH_CUA'!K:K)</f>
        <v/>
      </c>
      <c r="J133" s="390">
        <f>SUMIF('03_BOC_TACH_VAN'!B:B, B133, '03_BOC_TACH_VAN'!K:K)</f>
        <v/>
      </c>
      <c r="K133" s="390">
        <f>SUM(H133:J133)</f>
        <v/>
      </c>
      <c r="L133" s="390">
        <f>K133*0.25</f>
        <v/>
      </c>
      <c r="M133" s="390">
        <f>K133*0.10</f>
        <v/>
      </c>
      <c r="N133" s="390">
        <f>K133+L133+M133</f>
        <v/>
      </c>
      <c r="O133" s="390">
        <f>IF(G133&gt;0, N133/G133, 0)</f>
        <v/>
      </c>
      <c r="P133" s="391" t="n">
        <v>0.18</v>
      </c>
      <c r="Q133" s="390">
        <f>O133*(1+P133)</f>
        <v/>
      </c>
      <c r="R133" s="390">
        <f>G133*Q133</f>
        <v/>
      </c>
      <c r="S133" t="inlineStr"/>
    </row>
    <row r="134">
      <c r="A134" t="n">
        <v>133</v>
      </c>
      <c r="B134" t="inlineStr">
        <is>
          <t>SW-DIFF-133</t>
        </is>
      </c>
      <c r="C134" t="inlineStr">
        <is>
          <t>CỬA GIÓ</t>
        </is>
      </c>
      <c r="D134" t="inlineStr">
        <is>
          <t>HỆ THỐNG TẠO ÁP Miệng gió tạo áp PAG 900x350+OBD</t>
        </is>
      </c>
      <c r="E134" t="inlineStr">
        <is>
          <t>900x350</t>
        </is>
      </c>
      <c r="F134" t="inlineStr">
        <is>
          <t>Cái</t>
        </is>
      </c>
      <c r="G134" s="390" t="n">
        <v>18</v>
      </c>
      <c r="H134" s="390">
        <f>SUMIF('01_BOC_TACH_ONG'!B:B, B134, '01_BOC_TACH_ONG'!K:K)</f>
        <v/>
      </c>
      <c r="I134" s="390">
        <f>SUMIF('02_BOC_TACH_CUA'!B:B, B134, '02_BOC_TACH_CUA'!K:K)</f>
        <v/>
      </c>
      <c r="J134" s="390">
        <f>SUMIF('03_BOC_TACH_VAN'!B:B, B134, '03_BOC_TACH_VAN'!K:K)</f>
        <v/>
      </c>
      <c r="K134" s="390">
        <f>SUM(H134:J134)</f>
        <v/>
      </c>
      <c r="L134" s="390">
        <f>K134*0.25</f>
        <v/>
      </c>
      <c r="M134" s="390">
        <f>K134*0.10</f>
        <v/>
      </c>
      <c r="N134" s="390">
        <f>K134+L134+M134</f>
        <v/>
      </c>
      <c r="O134" s="390">
        <f>IF(G134&gt;0, N134/G134, 0)</f>
        <v/>
      </c>
      <c r="P134" s="391" t="n">
        <v>0.18</v>
      </c>
      <c r="Q134" s="390">
        <f>O134*(1+P134)</f>
        <v/>
      </c>
      <c r="R134" s="390">
        <f>G134*Q134</f>
        <v/>
      </c>
      <c r="S134" t="inlineStr"/>
    </row>
    <row r="135">
      <c r="A135" t="n">
        <v>134</v>
      </c>
      <c r="B135" t="inlineStr">
        <is>
          <t>SW-DIFF-134</t>
        </is>
      </c>
      <c r="C135" t="inlineStr">
        <is>
          <t>CỬA GIÓ</t>
        </is>
      </c>
      <c r="D135" t="inlineStr">
        <is>
          <t>HỆ THỐNG TẠO ÁP Miệng gió tạo áp PAG 350x600+OBD</t>
        </is>
      </c>
      <c r="E135" t="inlineStr">
        <is>
          <t>350x600</t>
        </is>
      </c>
      <c r="F135" t="inlineStr">
        <is>
          <t>Cái</t>
        </is>
      </c>
      <c r="G135" s="390" t="n">
        <v>13</v>
      </c>
      <c r="H135" s="390">
        <f>SUMIF('01_BOC_TACH_ONG'!B:B, B135, '01_BOC_TACH_ONG'!K:K)</f>
        <v/>
      </c>
      <c r="I135" s="390">
        <f>SUMIF('02_BOC_TACH_CUA'!B:B, B135, '02_BOC_TACH_CUA'!K:K)</f>
        <v/>
      </c>
      <c r="J135" s="390">
        <f>SUMIF('03_BOC_TACH_VAN'!B:B, B135, '03_BOC_TACH_VAN'!K:K)</f>
        <v/>
      </c>
      <c r="K135" s="390">
        <f>SUM(H135:J135)</f>
        <v/>
      </c>
      <c r="L135" s="390">
        <f>K135*0.25</f>
        <v/>
      </c>
      <c r="M135" s="390">
        <f>K135*0.10</f>
        <v/>
      </c>
      <c r="N135" s="390">
        <f>K135+L135+M135</f>
        <v/>
      </c>
      <c r="O135" s="390">
        <f>IF(G135&gt;0, N135/G135, 0)</f>
        <v/>
      </c>
      <c r="P135" s="391" t="n">
        <v>0.18</v>
      </c>
      <c r="Q135" s="390">
        <f>O135*(1+P135)</f>
        <v/>
      </c>
      <c r="R135" s="390">
        <f>G135*Q135</f>
        <v/>
      </c>
      <c r="S135" t="inlineStr"/>
    </row>
    <row r="136">
      <c r="A136" t="n">
        <v>135</v>
      </c>
      <c r="B136" t="inlineStr">
        <is>
          <t>SW-DIFF-135</t>
        </is>
      </c>
      <c r="C136" t="inlineStr">
        <is>
          <t>CỬA GIÓ</t>
        </is>
      </c>
      <c r="D136" t="inlineStr">
        <is>
          <t>HỆ THỐNG TẠO ÁP Miệng gió tạo áp PAG 800x400 OBD</t>
        </is>
      </c>
      <c r="E136" t="inlineStr">
        <is>
          <t>800x400</t>
        </is>
      </c>
      <c r="F136" t="inlineStr">
        <is>
          <t>Cái</t>
        </is>
      </c>
      <c r="G136" s="390" t="n">
        <v>7</v>
      </c>
      <c r="H136" s="390">
        <f>SUMIF('01_BOC_TACH_ONG'!B:B, B136, '01_BOC_TACH_ONG'!K:K)</f>
        <v/>
      </c>
      <c r="I136" s="390">
        <f>SUMIF('02_BOC_TACH_CUA'!B:B, B136, '02_BOC_TACH_CUA'!K:K)</f>
        <v/>
      </c>
      <c r="J136" s="390">
        <f>SUMIF('03_BOC_TACH_VAN'!B:B, B136, '03_BOC_TACH_VAN'!K:K)</f>
        <v/>
      </c>
      <c r="K136" s="390">
        <f>SUM(H136:J136)</f>
        <v/>
      </c>
      <c r="L136" s="390">
        <f>K136*0.25</f>
        <v/>
      </c>
      <c r="M136" s="390">
        <f>K136*0.10</f>
        <v/>
      </c>
      <c r="N136" s="390">
        <f>K136+L136+M136</f>
        <v/>
      </c>
      <c r="O136" s="390">
        <f>IF(G136&gt;0, N136/G136, 0)</f>
        <v/>
      </c>
      <c r="P136" s="391" t="n">
        <v>0.18</v>
      </c>
      <c r="Q136" s="390">
        <f>O136*(1+P136)</f>
        <v/>
      </c>
      <c r="R136" s="390">
        <f>G136*Q136</f>
        <v/>
      </c>
      <c r="S136" t="inlineStr"/>
    </row>
    <row r="137">
      <c r="A137" t="n">
        <v>136</v>
      </c>
      <c r="B137" t="inlineStr">
        <is>
          <t>SW-DIFF-136</t>
        </is>
      </c>
      <c r="C137" t="inlineStr">
        <is>
          <t>CỬA GIÓ</t>
        </is>
      </c>
      <c r="D137" t="inlineStr">
        <is>
          <t>HỆ THỐNG TẠO ÁP Miệng gió tạo áp PAG 700x400 OBD</t>
        </is>
      </c>
      <c r="E137" t="inlineStr">
        <is>
          <t>700x400</t>
        </is>
      </c>
      <c r="F137" t="inlineStr">
        <is>
          <t>Cái</t>
        </is>
      </c>
      <c r="G137" s="390" t="n">
        <v>17</v>
      </c>
      <c r="H137" s="390">
        <f>SUMIF('01_BOC_TACH_ONG'!B:B, B137, '01_BOC_TACH_ONG'!K:K)</f>
        <v/>
      </c>
      <c r="I137" s="390">
        <f>SUMIF('02_BOC_TACH_CUA'!B:B, B137, '02_BOC_TACH_CUA'!K:K)</f>
        <v/>
      </c>
      <c r="J137" s="390">
        <f>SUMIF('03_BOC_TACH_VAN'!B:B, B137, '03_BOC_TACH_VAN'!K:K)</f>
        <v/>
      </c>
      <c r="K137" s="390">
        <f>SUM(H137:J137)</f>
        <v/>
      </c>
      <c r="L137" s="390">
        <f>K137*0.25</f>
        <v/>
      </c>
      <c r="M137" s="390">
        <f>K137*0.10</f>
        <v/>
      </c>
      <c r="N137" s="390">
        <f>K137+L137+M137</f>
        <v/>
      </c>
      <c r="O137" s="390">
        <f>IF(G137&gt;0, N137/G137, 0)</f>
        <v/>
      </c>
      <c r="P137" s="391" t="n">
        <v>0.18</v>
      </c>
      <c r="Q137" s="390">
        <f>O137*(1+P137)</f>
        <v/>
      </c>
      <c r="R137" s="390">
        <f>G137*Q137</f>
        <v/>
      </c>
      <c r="S137" t="inlineStr"/>
    </row>
    <row r="138">
      <c r="A138" t="n">
        <v>137</v>
      </c>
      <c r="B138" t="inlineStr">
        <is>
          <t>SW-DIFF-137</t>
        </is>
      </c>
      <c r="C138" t="inlineStr">
        <is>
          <t>CỬA GIÓ</t>
        </is>
      </c>
      <c r="D138" t="inlineStr">
        <is>
          <t>HỆ THỐNG TẠO ÁP Louver 1750x500+IS</t>
        </is>
      </c>
      <c r="E138" t="inlineStr">
        <is>
          <t>1750x500</t>
        </is>
      </c>
      <c r="F138" t="inlineStr">
        <is>
          <t>Cái</t>
        </is>
      </c>
      <c r="G138" s="390" t="n">
        <v>3</v>
      </c>
      <c r="H138" s="390">
        <f>SUMIF('01_BOC_TACH_ONG'!B:B, B138, '01_BOC_TACH_ONG'!K:K)</f>
        <v/>
      </c>
      <c r="I138" s="390">
        <f>SUMIF('02_BOC_TACH_CUA'!B:B, B138, '02_BOC_TACH_CUA'!K:K)</f>
        <v/>
      </c>
      <c r="J138" s="390">
        <f>SUMIF('03_BOC_TACH_VAN'!B:B, B138, '03_BOC_TACH_VAN'!K:K)</f>
        <v/>
      </c>
      <c r="K138" s="390">
        <f>SUM(H138:J138)</f>
        <v/>
      </c>
      <c r="L138" s="390">
        <f>K138*0.25</f>
        <v/>
      </c>
      <c r="M138" s="390">
        <f>K138*0.10</f>
        <v/>
      </c>
      <c r="N138" s="390">
        <f>K138+L138+M138</f>
        <v/>
      </c>
      <c r="O138" s="390">
        <f>IF(G138&gt;0, N138/G138, 0)</f>
        <v/>
      </c>
      <c r="P138" s="391" t="n">
        <v>0.18</v>
      </c>
      <c r="Q138" s="390">
        <f>O138*(1+P138)</f>
        <v/>
      </c>
      <c r="R138" s="390">
        <f>G138*Q138</f>
        <v/>
      </c>
      <c r="S138" t="inlineStr"/>
    </row>
    <row r="139">
      <c r="A139" t="n">
        <v>138</v>
      </c>
      <c r="B139" t="inlineStr">
        <is>
          <t>SW-DIFF-138</t>
        </is>
      </c>
      <c r="C139" t="inlineStr">
        <is>
          <t>CỬA GIÓ</t>
        </is>
      </c>
      <c r="D139" t="inlineStr">
        <is>
          <t>HỆ THỐNG TẠO ÁP Louver 1500x1000+IS</t>
        </is>
      </c>
      <c r="E139" t="inlineStr">
        <is>
          <t>1500x1000</t>
        </is>
      </c>
      <c r="F139" t="inlineStr">
        <is>
          <t>Cái</t>
        </is>
      </c>
      <c r="G139" s="390" t="n">
        <v>2</v>
      </c>
      <c r="H139" s="390">
        <f>SUMIF('01_BOC_TACH_ONG'!B:B, B139, '01_BOC_TACH_ONG'!K:K)</f>
        <v/>
      </c>
      <c r="I139" s="390">
        <f>SUMIF('02_BOC_TACH_CUA'!B:B, B139, '02_BOC_TACH_CUA'!K:K)</f>
        <v/>
      </c>
      <c r="J139" s="390">
        <f>SUMIF('03_BOC_TACH_VAN'!B:B, B139, '03_BOC_TACH_VAN'!K:K)</f>
        <v/>
      </c>
      <c r="K139" s="390">
        <f>SUM(H139:J139)</f>
        <v/>
      </c>
      <c r="L139" s="390">
        <f>K139*0.25</f>
        <v/>
      </c>
      <c r="M139" s="390">
        <f>K139*0.10</f>
        <v/>
      </c>
      <c r="N139" s="390">
        <f>K139+L139+M139</f>
        <v/>
      </c>
      <c r="O139" s="390">
        <f>IF(G139&gt;0, N139/G139, 0)</f>
        <v/>
      </c>
      <c r="P139" s="391" t="n">
        <v>0.18</v>
      </c>
      <c r="Q139" s="390">
        <f>O139*(1+P139)</f>
        <v/>
      </c>
      <c r="R139" s="390">
        <f>G139*Q139</f>
        <v/>
      </c>
      <c r="S139" t="inlineStr"/>
    </row>
    <row r="140">
      <c r="A140" t="n">
        <v>139</v>
      </c>
      <c r="B140" t="inlineStr">
        <is>
          <t>SW-DIFF-139</t>
        </is>
      </c>
      <c r="C140" t="inlineStr">
        <is>
          <t>CỬA GIÓ</t>
        </is>
      </c>
      <c r="D140" t="inlineStr">
        <is>
          <t>HỆ THỐNG TẠO ÁP Louver 3500x1000+IS</t>
        </is>
      </c>
      <c r="E140" t="inlineStr">
        <is>
          <t>3500x1000</t>
        </is>
      </c>
      <c r="F140" t="inlineStr">
        <is>
          <t>Cái</t>
        </is>
      </c>
      <c r="G140" s="390" t="n">
        <v>1</v>
      </c>
      <c r="H140" s="390">
        <f>SUMIF('01_BOC_TACH_ONG'!B:B, B140, '01_BOC_TACH_ONG'!K:K)</f>
        <v/>
      </c>
      <c r="I140" s="390">
        <f>SUMIF('02_BOC_TACH_CUA'!B:B, B140, '02_BOC_TACH_CUA'!K:K)</f>
        <v/>
      </c>
      <c r="J140" s="390">
        <f>SUMIF('03_BOC_TACH_VAN'!B:B, B140, '03_BOC_TACH_VAN'!K:K)</f>
        <v/>
      </c>
      <c r="K140" s="390">
        <f>SUM(H140:J140)</f>
        <v/>
      </c>
      <c r="L140" s="390">
        <f>K140*0.25</f>
        <v/>
      </c>
      <c r="M140" s="390">
        <f>K140*0.10</f>
        <v/>
      </c>
      <c r="N140" s="390">
        <f>K140+L140+M140</f>
        <v/>
      </c>
      <c r="O140" s="390">
        <f>IF(G140&gt;0, N140/G140, 0)</f>
        <v/>
      </c>
      <c r="P140" s="391" t="n">
        <v>0.18</v>
      </c>
      <c r="Q140" s="390">
        <f>O140*(1+P140)</f>
        <v/>
      </c>
      <c r="R140" s="390">
        <f>G140*Q140</f>
        <v/>
      </c>
      <c r="S140" t="inlineStr"/>
    </row>
    <row r="141">
      <c r="A141" t="n">
        <v>140</v>
      </c>
      <c r="B141" t="inlineStr">
        <is>
          <t>SW-TRD-140</t>
        </is>
      </c>
      <c r="C141" t="inlineStr">
        <is>
          <t>THƯƠNG MẠI</t>
        </is>
      </c>
      <c r="D141" t="inlineStr">
        <is>
          <t>HỆ THỐNG TẠO ÁP Vật tư phụ, phụ kiện</t>
        </is>
      </c>
      <c r="E141" t="inlineStr">
        <is>
          <t>-</t>
        </is>
      </c>
      <c r="F141" t="inlineStr">
        <is>
          <t>Lô</t>
        </is>
      </c>
      <c r="G141" s="390" t="n">
        <v>1</v>
      </c>
      <c r="H141" s="390">
        <f>SUMIF('01_BOC_TACH_ONG'!B:B, B141, '01_BOC_TACH_ONG'!K:K)</f>
        <v/>
      </c>
      <c r="I141" s="390">
        <f>SUMIF('02_BOC_TACH_CUA'!B:B, B141, '02_BOC_TACH_CUA'!K:K)</f>
        <v/>
      </c>
      <c r="J141" s="390">
        <f>SUMIF('03_BOC_TACH_VAN'!B:B, B141, '03_BOC_TACH_VAN'!K:K)</f>
        <v/>
      </c>
      <c r="K141" s="390">
        <f>SUM(H141:J141)</f>
        <v/>
      </c>
      <c r="L141" s="390">
        <f>K141*0.00</f>
        <v/>
      </c>
      <c r="M141" s="390">
        <f>K141*0.02</f>
        <v/>
      </c>
      <c r="N141" s="390">
        <f>K141+L141+M141</f>
        <v/>
      </c>
      <c r="O141" s="390">
        <f>IF(G141&gt;0, N141/G141, 0)</f>
        <v/>
      </c>
      <c r="P141" s="391" t="n">
        <v>0.1</v>
      </c>
      <c r="Q141" s="390">
        <f>O141*(1+P141)</f>
        <v/>
      </c>
      <c r="R141" s="390">
        <f>G141*Q141</f>
        <v/>
      </c>
      <c r="S141" t="inlineStr">
        <is>
          <t>Hàng thương mại</t>
        </is>
      </c>
    </row>
    <row r="142">
      <c r="A142" t="n">
        <v>141</v>
      </c>
      <c r="B142" t="inlineStr">
        <is>
          <t>SW-DUCT-141</t>
        </is>
      </c>
      <c r="C142" t="inlineStr">
        <is>
          <t>ỐNG GIÓ</t>
        </is>
      </c>
      <c r="D142" t="inlineStr">
        <is>
          <t>Hệ thống ống thông gió tạo áp, box miệng gió… Tole 0.75mm phủ lớp mạ kẽm Z180</t>
        </is>
      </c>
      <c r="E142" t="inlineStr">
        <is>
          <t>0.75mm</t>
        </is>
      </c>
      <c r="F142" t="inlineStr">
        <is>
          <t>m2</t>
        </is>
      </c>
      <c r="G142" s="390" t="n">
        <v>1936.70125</v>
      </c>
      <c r="H142" s="390">
        <f>SUMIF('01_BOC_TACH_ONG'!B:B, B142, '01_BOC_TACH_ONG'!K:K)</f>
        <v/>
      </c>
      <c r="I142" s="390">
        <f>SUMIF('02_BOC_TACH_CUA'!B:B, B142, '02_BOC_TACH_CUA'!K:K)</f>
        <v/>
      </c>
      <c r="J142" s="390">
        <f>SUMIF('03_BOC_TACH_VAN'!B:B, B142, '03_BOC_TACH_VAN'!K:K)</f>
        <v/>
      </c>
      <c r="K142" s="390">
        <f>SUM(H142:J142)</f>
        <v/>
      </c>
      <c r="L142" s="390">
        <f>K142*0.25</f>
        <v/>
      </c>
      <c r="M142" s="390">
        <f>K142*0.10</f>
        <v/>
      </c>
      <c r="N142" s="390">
        <f>K142+L142+M142</f>
        <v/>
      </c>
      <c r="O142" s="390">
        <f>IF(G142&gt;0, N142/G142, 0)</f>
        <v/>
      </c>
      <c r="P142" s="391" t="n">
        <v>0.18</v>
      </c>
      <c r="Q142" s="390">
        <f>O142*(1+P142)</f>
        <v/>
      </c>
      <c r="R142" s="390">
        <f>G142*Q142</f>
        <v/>
      </c>
      <c r="S142" t="inlineStr"/>
    </row>
    <row r="143">
      <c r="A143" t="n">
        <v>142</v>
      </c>
      <c r="B143" t="inlineStr">
        <is>
          <t>SW-DUCT-142</t>
        </is>
      </c>
      <c r="C143" t="inlineStr">
        <is>
          <t>ỐNG GIÓ</t>
        </is>
      </c>
      <c r="D143" t="inlineStr">
        <is>
          <t>Hệ thống ống thông gió tạo áp, box miệng gió… Tole 0.95mm phủ lớp mạ kẽm Z180</t>
        </is>
      </c>
      <c r="E143" t="inlineStr">
        <is>
          <t>0.95mm</t>
        </is>
      </c>
      <c r="F143" t="inlineStr">
        <is>
          <t>m2</t>
        </is>
      </c>
      <c r="G143" s="390" t="n">
        <v>1588.05</v>
      </c>
      <c r="H143" s="390">
        <f>SUMIF('01_BOC_TACH_ONG'!B:B, B143, '01_BOC_TACH_ONG'!K:K)</f>
        <v/>
      </c>
      <c r="I143" s="390">
        <f>SUMIF('02_BOC_TACH_CUA'!B:B, B143, '02_BOC_TACH_CUA'!K:K)</f>
        <v/>
      </c>
      <c r="J143" s="390">
        <f>SUMIF('03_BOC_TACH_VAN'!B:B, B143, '03_BOC_TACH_VAN'!K:K)</f>
        <v/>
      </c>
      <c r="K143" s="390">
        <f>SUM(H143:J143)</f>
        <v/>
      </c>
      <c r="L143" s="390">
        <f>K143*0.25</f>
        <v/>
      </c>
      <c r="M143" s="390">
        <f>K143*0.10</f>
        <v/>
      </c>
      <c r="N143" s="390">
        <f>K143+L143+M143</f>
        <v/>
      </c>
      <c r="O143" s="390">
        <f>IF(G143&gt;0, N143/G143, 0)</f>
        <v/>
      </c>
      <c r="P143" s="391" t="n">
        <v>0.18</v>
      </c>
      <c r="Q143" s="390">
        <f>O143*(1+P143)</f>
        <v/>
      </c>
      <c r="R143" s="390">
        <f>G143*Q143</f>
        <v/>
      </c>
      <c r="S143" t="inlineStr"/>
    </row>
    <row r="144">
      <c r="A144" t="n">
        <v>143</v>
      </c>
      <c r="B144" t="inlineStr">
        <is>
          <t>SW-DUCT-143</t>
        </is>
      </c>
      <c r="C144" t="inlineStr">
        <is>
          <t>ỐNG GIÓ</t>
        </is>
      </c>
      <c r="D144" t="inlineStr">
        <is>
          <t>Hệ thống ống thông gió tạo áp, box miệng gió… Tole 1.15mm phủ lớp mạ kẽm Z180</t>
        </is>
      </c>
      <c r="E144" t="inlineStr">
        <is>
          <t>1.15mm</t>
        </is>
      </c>
      <c r="F144" t="inlineStr">
        <is>
          <t>m2</t>
        </is>
      </c>
      <c r="G144" s="390" t="n">
        <v>1681</v>
      </c>
      <c r="H144" s="390">
        <f>SUMIF('01_BOC_TACH_ONG'!B:B, B144, '01_BOC_TACH_ONG'!K:K)</f>
        <v/>
      </c>
      <c r="I144" s="390">
        <f>SUMIF('02_BOC_TACH_CUA'!B:B, B144, '02_BOC_TACH_CUA'!K:K)</f>
        <v/>
      </c>
      <c r="J144" s="390">
        <f>SUMIF('03_BOC_TACH_VAN'!B:B, B144, '03_BOC_TACH_VAN'!K:K)</f>
        <v/>
      </c>
      <c r="K144" s="390">
        <f>SUM(H144:J144)</f>
        <v/>
      </c>
      <c r="L144" s="390">
        <f>K144*0.25</f>
        <v/>
      </c>
      <c r="M144" s="390">
        <f>K144*0.10</f>
        <v/>
      </c>
      <c r="N144" s="390">
        <f>K144+L144+M144</f>
        <v/>
      </c>
      <c r="O144" s="390">
        <f>IF(G144&gt;0, N144/G144, 0)</f>
        <v/>
      </c>
      <c r="P144" s="391" t="n">
        <v>0.18</v>
      </c>
      <c r="Q144" s="390">
        <f>O144*(1+P144)</f>
        <v/>
      </c>
      <c r="R144" s="390">
        <f>G144*Q144</f>
        <v/>
      </c>
      <c r="S144" t="inlineStr"/>
    </row>
    <row r="145">
      <c r="A145" t="n">
        <v>144</v>
      </c>
      <c r="B145" t="inlineStr">
        <is>
          <t>SW-DUCT-144</t>
        </is>
      </c>
      <c r="C145" t="inlineStr">
        <is>
          <t>ỐNG GIÓ</t>
        </is>
      </c>
      <c r="D145" t="inlineStr">
        <is>
          <t>Hệ thống ống thông gió tạo áp, box miệng gió… Tole ZAM 1.15mm</t>
        </is>
      </c>
      <c r="E145" t="inlineStr">
        <is>
          <t>1.15mm</t>
        </is>
      </c>
      <c r="F145" t="inlineStr">
        <is>
          <t>m2</t>
        </is>
      </c>
      <c r="G145" s="390" t="n">
        <v>380</v>
      </c>
      <c r="H145" s="390">
        <f>SUMIF('01_BOC_TACH_ONG'!B:B, B145, '01_BOC_TACH_ONG'!K:K)</f>
        <v/>
      </c>
      <c r="I145" s="390">
        <f>SUMIF('02_BOC_TACH_CUA'!B:B, B145, '02_BOC_TACH_CUA'!K:K)</f>
        <v/>
      </c>
      <c r="J145" s="390">
        <f>SUMIF('03_BOC_TACH_VAN'!B:B, B145, '03_BOC_TACH_VAN'!K:K)</f>
        <v/>
      </c>
      <c r="K145" s="390">
        <f>SUM(H145:J145)</f>
        <v/>
      </c>
      <c r="L145" s="390">
        <f>K145*0.25</f>
        <v/>
      </c>
      <c r="M145" s="390">
        <f>K145*0.10</f>
        <v/>
      </c>
      <c r="N145" s="390">
        <f>K145+L145+M145</f>
        <v/>
      </c>
      <c r="O145" s="390">
        <f>IF(G145&gt;0, N145/G145, 0)</f>
        <v/>
      </c>
      <c r="P145" s="391" t="n">
        <v>0.18</v>
      </c>
      <c r="Q145" s="390">
        <f>O145*(1+P145)</f>
        <v/>
      </c>
      <c r="R145" s="390">
        <f>G145*Q145</f>
        <v/>
      </c>
      <c r="S145" t="inlineStr"/>
    </row>
    <row r="146">
      <c r="A146" t="n">
        <v>145</v>
      </c>
      <c r="B146" t="inlineStr">
        <is>
          <t>SW-TRD-145</t>
        </is>
      </c>
      <c r="C146" t="inlineStr">
        <is>
          <t>THƯƠNG MẠI</t>
        </is>
      </c>
      <c r="D146" t="inlineStr">
        <is>
          <t>Hệ thống ống thông gió tạo áp, box miệng gió… Lưới bảo vệ</t>
        </is>
      </c>
      <c r="E146" t="inlineStr">
        <is>
          <t>-</t>
        </is>
      </c>
      <c r="F146" t="inlineStr">
        <is>
          <t>cái</t>
        </is>
      </c>
      <c r="G146" s="390" t="n">
        <v>10</v>
      </c>
      <c r="H146" s="390">
        <f>SUMIF('01_BOC_TACH_ONG'!B:B, B146, '01_BOC_TACH_ONG'!K:K)</f>
        <v/>
      </c>
      <c r="I146" s="390">
        <f>SUMIF('02_BOC_TACH_CUA'!B:B, B146, '02_BOC_TACH_CUA'!K:K)</f>
        <v/>
      </c>
      <c r="J146" s="390">
        <f>SUMIF('03_BOC_TACH_VAN'!B:B, B146, '03_BOC_TACH_VAN'!K:K)</f>
        <v/>
      </c>
      <c r="K146" s="390">
        <f>SUM(H146:J146)</f>
        <v/>
      </c>
      <c r="L146" s="390">
        <f>K146*0.00</f>
        <v/>
      </c>
      <c r="M146" s="390">
        <f>K146*0.02</f>
        <v/>
      </c>
      <c r="N146" s="390">
        <f>K146+L146+M146</f>
        <v/>
      </c>
      <c r="O146" s="390">
        <f>IF(G146&gt;0, N146/G146, 0)</f>
        <v/>
      </c>
      <c r="P146" s="391" t="n">
        <v>0.1</v>
      </c>
      <c r="Q146" s="390">
        <f>O146*(1+P146)</f>
        <v/>
      </c>
      <c r="R146" s="390">
        <f>G146*Q146</f>
        <v/>
      </c>
      <c r="S146" t="inlineStr">
        <is>
          <t>Hàng thương mại</t>
        </is>
      </c>
    </row>
    <row r="147">
      <c r="A147" t="n">
        <v>146</v>
      </c>
      <c r="B147" t="inlineStr">
        <is>
          <t>SW-TRD-146</t>
        </is>
      </c>
      <c r="C147" t="inlineStr">
        <is>
          <t>THƯƠNG MẠI</t>
        </is>
      </c>
      <c r="D147" t="inlineStr">
        <is>
          <t>Hệ thống ống thông gió tạo áp, box miệng gió… Lớp chống cháy EI60</t>
        </is>
      </c>
      <c r="E147" t="inlineStr">
        <is>
          <t>-</t>
        </is>
      </c>
      <c r="F147" t="inlineStr">
        <is>
          <t>m2</t>
        </is>
      </c>
      <c r="G147" s="390" t="n">
        <v>1805.9</v>
      </c>
      <c r="H147" s="390">
        <f>SUMIF('01_BOC_TACH_ONG'!B:B, B147, '01_BOC_TACH_ONG'!K:K)</f>
        <v/>
      </c>
      <c r="I147" s="390">
        <f>SUMIF('02_BOC_TACH_CUA'!B:B, B147, '02_BOC_TACH_CUA'!K:K)</f>
        <v/>
      </c>
      <c r="J147" s="390">
        <f>SUMIF('03_BOC_TACH_VAN'!B:B, B147, '03_BOC_TACH_VAN'!K:K)</f>
        <v/>
      </c>
      <c r="K147" s="390">
        <f>SUM(H147:J147)</f>
        <v/>
      </c>
      <c r="L147" s="390">
        <f>K147*0.00</f>
        <v/>
      </c>
      <c r="M147" s="390">
        <f>K147*0.02</f>
        <v/>
      </c>
      <c r="N147" s="390">
        <f>K147+L147+M147</f>
        <v/>
      </c>
      <c r="O147" s="390">
        <f>IF(G147&gt;0, N147/G147, 0)</f>
        <v/>
      </c>
      <c r="P147" s="391" t="n">
        <v>0.1</v>
      </c>
      <c r="Q147" s="390">
        <f>O147*(1+P147)</f>
        <v/>
      </c>
      <c r="R147" s="390">
        <f>G147*Q147</f>
        <v/>
      </c>
      <c r="S147" t="inlineStr">
        <is>
          <t>Hàng thương mại</t>
        </is>
      </c>
    </row>
    <row r="148">
      <c r="A148" t="n">
        <v>147</v>
      </c>
      <c r="B148" t="inlineStr">
        <is>
          <t>SW-TRD-147</t>
        </is>
      </c>
      <c r="C148" t="inlineStr">
        <is>
          <t>THƯƠNG MẠI</t>
        </is>
      </c>
      <c r="D148" t="inlineStr">
        <is>
          <t>Hệ thống ống thông gió tạo áp, box miệng gió… Lớp chống cháy EI120</t>
        </is>
      </c>
      <c r="E148" t="inlineStr">
        <is>
          <t>-</t>
        </is>
      </c>
      <c r="F148" t="inlineStr">
        <is>
          <t>m2</t>
        </is>
      </c>
      <c r="G148" s="390" t="n">
        <v>1347.3</v>
      </c>
      <c r="H148" s="390">
        <f>SUMIF('01_BOC_TACH_ONG'!B:B, B148, '01_BOC_TACH_ONG'!K:K)</f>
        <v/>
      </c>
      <c r="I148" s="390">
        <f>SUMIF('02_BOC_TACH_CUA'!B:B, B148, '02_BOC_TACH_CUA'!K:K)</f>
        <v/>
      </c>
      <c r="J148" s="390">
        <f>SUMIF('03_BOC_TACH_VAN'!B:B, B148, '03_BOC_TACH_VAN'!K:K)</f>
        <v/>
      </c>
      <c r="K148" s="390">
        <f>SUM(H148:J148)</f>
        <v/>
      </c>
      <c r="L148" s="390">
        <f>K148*0.00</f>
        <v/>
      </c>
      <c r="M148" s="390">
        <f>K148*0.02</f>
        <v/>
      </c>
      <c r="N148" s="390">
        <f>K148+L148+M148</f>
        <v/>
      </c>
      <c r="O148" s="390">
        <f>IF(G148&gt;0, N148/G148, 0)</f>
        <v/>
      </c>
      <c r="P148" s="391" t="n">
        <v>0.1</v>
      </c>
      <c r="Q148" s="390">
        <f>O148*(1+P148)</f>
        <v/>
      </c>
      <c r="R148" s="390">
        <f>G148*Q148</f>
        <v/>
      </c>
      <c r="S148" t="inlineStr">
        <is>
          <t>Hàng thương mại</t>
        </is>
      </c>
    </row>
    <row r="149">
      <c r="A149" t="n">
        <v>148</v>
      </c>
      <c r="B149" t="inlineStr">
        <is>
          <t>SW-TRD-148</t>
        </is>
      </c>
      <c r="C149" t="inlineStr">
        <is>
          <t>THƯƠNG MẠI</t>
        </is>
      </c>
      <c r="D149" t="inlineStr">
        <is>
          <t>Hệ thống ống thông gió tạo áp, box miệng gió… Vật tư phụ, phụ kiện</t>
        </is>
      </c>
      <c r="E149" t="inlineStr">
        <is>
          <t>-</t>
        </is>
      </c>
      <c r="F149" t="inlineStr">
        <is>
          <t>Lô</t>
        </is>
      </c>
      <c r="G149" s="390" t="n">
        <v>1</v>
      </c>
      <c r="H149" s="390">
        <f>SUMIF('01_BOC_TACH_ONG'!B:B, B149, '01_BOC_TACH_ONG'!K:K)</f>
        <v/>
      </c>
      <c r="I149" s="390">
        <f>SUMIF('02_BOC_TACH_CUA'!B:B, B149, '02_BOC_TACH_CUA'!K:K)</f>
        <v/>
      </c>
      <c r="J149" s="390">
        <f>SUMIF('03_BOC_TACH_VAN'!B:B, B149, '03_BOC_TACH_VAN'!K:K)</f>
        <v/>
      </c>
      <c r="K149" s="390">
        <f>SUM(H149:J149)</f>
        <v/>
      </c>
      <c r="L149" s="390">
        <f>K149*0.00</f>
        <v/>
      </c>
      <c r="M149" s="390">
        <f>K149*0.02</f>
        <v/>
      </c>
      <c r="N149" s="390">
        <f>K149+L149+M149</f>
        <v/>
      </c>
      <c r="O149" s="390">
        <f>IF(G149&gt;0, N149/G149, 0)</f>
        <v/>
      </c>
      <c r="P149" s="391" t="n">
        <v>0.1</v>
      </c>
      <c r="Q149" s="390">
        <f>O149*(1+P149)</f>
        <v/>
      </c>
      <c r="R149" s="390">
        <f>G149*Q149</f>
        <v/>
      </c>
      <c r="S149" t="inlineStr">
        <is>
          <t>Hàng thương mại</t>
        </is>
      </c>
    </row>
    <row r="150">
      <c r="A150" t="n">
        <v>149</v>
      </c>
      <c r="B150" t="inlineStr">
        <is>
          <t>SW-TRD-149</t>
        </is>
      </c>
      <c r="C150" t="inlineStr">
        <is>
          <t>THƯƠNG MẠI</t>
        </is>
      </c>
      <c r="D150" t="inlineStr">
        <is>
          <t>HỆ THỐNG CẤP GIÓ TƯƠI, GIÓ BÙ PAU-A1.1-RF-01</t>
        </is>
      </c>
      <c r="E150" t="inlineStr">
        <is>
          <t>-</t>
        </is>
      </c>
      <c r="F150" t="inlineStr">
        <is>
          <t>Bộ</t>
        </is>
      </c>
      <c r="G150" s="390" t="n">
        <v>1</v>
      </c>
      <c r="H150" s="390">
        <f>SUMIF('01_BOC_TACH_ONG'!B:B, B150, '01_BOC_TACH_ONG'!K:K)</f>
        <v/>
      </c>
      <c r="I150" s="390">
        <f>SUMIF('02_BOC_TACH_CUA'!B:B, B150, '02_BOC_TACH_CUA'!K:K)</f>
        <v/>
      </c>
      <c r="J150" s="390">
        <f>SUMIF('03_BOC_TACH_VAN'!B:B, B150, '03_BOC_TACH_VAN'!K:K)</f>
        <v/>
      </c>
      <c r="K150" s="390">
        <f>SUM(H150:J150)</f>
        <v/>
      </c>
      <c r="L150" s="390">
        <f>K150*0.00</f>
        <v/>
      </c>
      <c r="M150" s="390">
        <f>K150*0.02</f>
        <v/>
      </c>
      <c r="N150" s="390">
        <f>K150+L150+M150</f>
        <v/>
      </c>
      <c r="O150" s="390">
        <f>IF(G150&gt;0, N150/G150, 0)</f>
        <v/>
      </c>
      <c r="P150" s="391" t="n">
        <v>0.1</v>
      </c>
      <c r="Q150" s="390">
        <f>O150*(1+P150)</f>
        <v/>
      </c>
      <c r="R150" s="390">
        <f>G150*Q150</f>
        <v/>
      </c>
      <c r="S150" t="inlineStr">
        <is>
          <t>Hàng thương mại</t>
        </is>
      </c>
    </row>
    <row r="151">
      <c r="A151" t="n">
        <v>150</v>
      </c>
      <c r="B151" t="inlineStr">
        <is>
          <t>SW-TRD-150</t>
        </is>
      </c>
      <c r="C151" t="inlineStr">
        <is>
          <t>THƯƠNG MẠI</t>
        </is>
      </c>
      <c r="D151" t="inlineStr">
        <is>
          <t>HỆ THỐNG CẤP GIÓ TƯƠI, GIÓ BÙ PAU-A1.2-11-01</t>
        </is>
      </c>
      <c r="E151" t="inlineStr">
        <is>
          <t>-</t>
        </is>
      </c>
      <c r="F151" t="inlineStr">
        <is>
          <t>Cái</t>
        </is>
      </c>
      <c r="G151" s="390" t="n">
        <v>1</v>
      </c>
      <c r="H151" s="390">
        <f>SUMIF('01_BOC_TACH_ONG'!B:B, B151, '01_BOC_TACH_ONG'!K:K)</f>
        <v/>
      </c>
      <c r="I151" s="390">
        <f>SUMIF('02_BOC_TACH_CUA'!B:B, B151, '02_BOC_TACH_CUA'!K:K)</f>
        <v/>
      </c>
      <c r="J151" s="390">
        <f>SUMIF('03_BOC_TACH_VAN'!B:B, B151, '03_BOC_TACH_VAN'!K:K)</f>
        <v/>
      </c>
      <c r="K151" s="390">
        <f>SUM(H151:J151)</f>
        <v/>
      </c>
      <c r="L151" s="390">
        <f>K151*0.00</f>
        <v/>
      </c>
      <c r="M151" s="390">
        <f>K151*0.02</f>
        <v/>
      </c>
      <c r="N151" s="390">
        <f>K151+L151+M151</f>
        <v/>
      </c>
      <c r="O151" s="390">
        <f>IF(G151&gt;0, N151/G151, 0)</f>
        <v/>
      </c>
      <c r="P151" s="391" t="n">
        <v>0.1</v>
      </c>
      <c r="Q151" s="390">
        <f>O151*(1+P151)</f>
        <v/>
      </c>
      <c r="R151" s="390">
        <f>G151*Q151</f>
        <v/>
      </c>
      <c r="S151" t="inlineStr">
        <is>
          <t>Hàng thương mại</t>
        </is>
      </c>
    </row>
    <row r="152">
      <c r="A152" t="n">
        <v>151</v>
      </c>
      <c r="B152" t="inlineStr">
        <is>
          <t>SW-TRD-151</t>
        </is>
      </c>
      <c r="C152" t="inlineStr">
        <is>
          <t>THƯƠNG MẠI</t>
        </is>
      </c>
      <c r="D152" t="inlineStr">
        <is>
          <t>HỆ THỐNG CẤP GIÓ TƯƠI, GIÓ BÙ PAU-A1.3-09-01</t>
        </is>
      </c>
      <c r="E152" t="inlineStr">
        <is>
          <t>-</t>
        </is>
      </c>
      <c r="F152" t="inlineStr">
        <is>
          <t>Cái</t>
        </is>
      </c>
      <c r="G152" s="390" t="n">
        <v>1</v>
      </c>
      <c r="H152" s="390">
        <f>SUMIF('01_BOC_TACH_ONG'!B:B, B152, '01_BOC_TACH_ONG'!K:K)</f>
        <v/>
      </c>
      <c r="I152" s="390">
        <f>SUMIF('02_BOC_TACH_CUA'!B:B, B152, '02_BOC_TACH_CUA'!K:K)</f>
        <v/>
      </c>
      <c r="J152" s="390">
        <f>SUMIF('03_BOC_TACH_VAN'!B:B, B152, '03_BOC_TACH_VAN'!K:K)</f>
        <v/>
      </c>
      <c r="K152" s="390">
        <f>SUM(H152:J152)</f>
        <v/>
      </c>
      <c r="L152" s="390">
        <f>K152*0.00</f>
        <v/>
      </c>
      <c r="M152" s="390">
        <f>K152*0.02</f>
        <v/>
      </c>
      <c r="N152" s="390">
        <f>K152+L152+M152</f>
        <v/>
      </c>
      <c r="O152" s="390">
        <f>IF(G152&gt;0, N152/G152, 0)</f>
        <v/>
      </c>
      <c r="P152" s="391" t="n">
        <v>0.1</v>
      </c>
      <c r="Q152" s="390">
        <f>O152*(1+P152)</f>
        <v/>
      </c>
      <c r="R152" s="390">
        <f>G152*Q152</f>
        <v/>
      </c>
      <c r="S152" t="inlineStr">
        <is>
          <t>Hàng thương mại</t>
        </is>
      </c>
    </row>
    <row r="153">
      <c r="A153" t="n">
        <v>152</v>
      </c>
      <c r="B153" t="inlineStr">
        <is>
          <t>SW-TRD-152</t>
        </is>
      </c>
      <c r="C153" t="inlineStr">
        <is>
          <t>THƯƠNG MẠI</t>
        </is>
      </c>
      <c r="D153" t="inlineStr">
        <is>
          <t>HỆ THỐNG CẤP GIÓ TƯƠI, GIÓ BÙ ODU-A1.1-RF-01</t>
        </is>
      </c>
      <c r="E153" t="inlineStr">
        <is>
          <t>-</t>
        </is>
      </c>
      <c r="F153" t="inlineStr">
        <is>
          <t>Cái</t>
        </is>
      </c>
      <c r="G153" s="390" t="n">
        <v>1</v>
      </c>
      <c r="H153" s="390">
        <f>SUMIF('01_BOC_TACH_ONG'!B:B, B153, '01_BOC_TACH_ONG'!K:K)</f>
        <v/>
      </c>
      <c r="I153" s="390">
        <f>SUMIF('02_BOC_TACH_CUA'!B:B, B153, '02_BOC_TACH_CUA'!K:K)</f>
        <v/>
      </c>
      <c r="J153" s="390">
        <f>SUMIF('03_BOC_TACH_VAN'!B:B, B153, '03_BOC_TACH_VAN'!K:K)</f>
        <v/>
      </c>
      <c r="K153" s="390">
        <f>SUM(H153:J153)</f>
        <v/>
      </c>
      <c r="L153" s="390">
        <f>K153*0.00</f>
        <v/>
      </c>
      <c r="M153" s="390">
        <f>K153*0.02</f>
        <v/>
      </c>
      <c r="N153" s="390">
        <f>K153+L153+M153</f>
        <v/>
      </c>
      <c r="O153" s="390">
        <f>IF(G153&gt;0, N153/G153, 0)</f>
        <v/>
      </c>
      <c r="P153" s="391" t="n">
        <v>0.1</v>
      </c>
      <c r="Q153" s="390">
        <f>O153*(1+P153)</f>
        <v/>
      </c>
      <c r="R153" s="390">
        <f>G153*Q153</f>
        <v/>
      </c>
      <c r="S153" t="inlineStr">
        <is>
          <t>Hàng thương mại</t>
        </is>
      </c>
    </row>
    <row r="154">
      <c r="A154" t="n">
        <v>153</v>
      </c>
      <c r="B154" t="inlineStr">
        <is>
          <t>SW-TRD-153</t>
        </is>
      </c>
      <c r="C154" t="inlineStr">
        <is>
          <t>THƯƠNG MẠI</t>
        </is>
      </c>
      <c r="D154" t="inlineStr">
        <is>
          <t>HỆ THỐNG CẤP GIÓ TƯƠI, GIÓ BÙ ODU-A1.2-RF-01</t>
        </is>
      </c>
      <c r="E154" t="inlineStr">
        <is>
          <t>-</t>
        </is>
      </c>
      <c r="F154" t="inlineStr">
        <is>
          <t>Cái</t>
        </is>
      </c>
      <c r="G154" s="390" t="n">
        <v>1</v>
      </c>
      <c r="H154" s="390">
        <f>SUMIF('01_BOC_TACH_ONG'!B:B, B154, '01_BOC_TACH_ONG'!K:K)</f>
        <v/>
      </c>
      <c r="I154" s="390">
        <f>SUMIF('02_BOC_TACH_CUA'!B:B, B154, '02_BOC_TACH_CUA'!K:K)</f>
        <v/>
      </c>
      <c r="J154" s="390">
        <f>SUMIF('03_BOC_TACH_VAN'!B:B, B154, '03_BOC_TACH_VAN'!K:K)</f>
        <v/>
      </c>
      <c r="K154" s="390">
        <f>SUM(H154:J154)</f>
        <v/>
      </c>
      <c r="L154" s="390">
        <f>K154*0.00</f>
        <v/>
      </c>
      <c r="M154" s="390">
        <f>K154*0.02</f>
        <v/>
      </c>
      <c r="N154" s="390">
        <f>K154+L154+M154</f>
        <v/>
      </c>
      <c r="O154" s="390">
        <f>IF(G154&gt;0, N154/G154, 0)</f>
        <v/>
      </c>
      <c r="P154" s="391" t="n">
        <v>0.1</v>
      </c>
      <c r="Q154" s="390">
        <f>O154*(1+P154)</f>
        <v/>
      </c>
      <c r="R154" s="390">
        <f>G154*Q154</f>
        <v/>
      </c>
      <c r="S154" t="inlineStr">
        <is>
          <t>Hàng thương mại</t>
        </is>
      </c>
    </row>
    <row r="155">
      <c r="A155" t="n">
        <v>154</v>
      </c>
      <c r="B155" t="inlineStr">
        <is>
          <t>SW-TRD-154</t>
        </is>
      </c>
      <c r="C155" t="inlineStr">
        <is>
          <t>THƯƠNG MẠI</t>
        </is>
      </c>
      <c r="D155" t="inlineStr">
        <is>
          <t>HỆ THỐNG CẤP GIÓ TƯƠI, GIÓ BÙ ODU-A1.3-RF-01</t>
        </is>
      </c>
      <c r="E155" t="inlineStr">
        <is>
          <t>-</t>
        </is>
      </c>
      <c r="F155" t="inlineStr">
        <is>
          <t>Cái</t>
        </is>
      </c>
      <c r="G155" s="390" t="n">
        <v>1</v>
      </c>
      <c r="H155" s="390">
        <f>SUMIF('01_BOC_TACH_ONG'!B:B, B155, '01_BOC_TACH_ONG'!K:K)</f>
        <v/>
      </c>
      <c r="I155" s="390">
        <f>SUMIF('02_BOC_TACH_CUA'!B:B, B155, '02_BOC_TACH_CUA'!K:K)</f>
        <v/>
      </c>
      <c r="J155" s="390">
        <f>SUMIF('03_BOC_TACH_VAN'!B:B, B155, '03_BOC_TACH_VAN'!K:K)</f>
        <v/>
      </c>
      <c r="K155" s="390">
        <f>SUM(H155:J155)</f>
        <v/>
      </c>
      <c r="L155" s="390">
        <f>K155*0.00</f>
        <v/>
      </c>
      <c r="M155" s="390">
        <f>K155*0.02</f>
        <v/>
      </c>
      <c r="N155" s="390">
        <f>K155+L155+M155</f>
        <v/>
      </c>
      <c r="O155" s="390">
        <f>IF(G155&gt;0, N155/G155, 0)</f>
        <v/>
      </c>
      <c r="P155" s="391" t="n">
        <v>0.1</v>
      </c>
      <c r="Q155" s="390">
        <f>O155*(1+P155)</f>
        <v/>
      </c>
      <c r="R155" s="390">
        <f>G155*Q155</f>
        <v/>
      </c>
      <c r="S155" t="inlineStr">
        <is>
          <t>Hàng thương mại</t>
        </is>
      </c>
    </row>
    <row r="156">
      <c r="A156" t="n">
        <v>155</v>
      </c>
      <c r="B156" t="inlineStr">
        <is>
          <t>SW-TRD-155</t>
        </is>
      </c>
      <c r="C156" t="inlineStr">
        <is>
          <t>THƯƠNG MẠI</t>
        </is>
      </c>
      <c r="D156" t="inlineStr">
        <is>
          <t>HỆ THỐNG CẤP GIÓ TƯƠI, GIÓ BÙ Quạt hướng trục CSF-B2-Z1-01~02 5350/8020 l/s @ 550/1238 Pa, chống cháy 300°C trong 2h</t>
        </is>
      </c>
      <c r="E156" t="inlineStr">
        <is>
          <t>-</t>
        </is>
      </c>
      <c r="F156" t="inlineStr">
        <is>
          <t>Cái</t>
        </is>
      </c>
      <c r="G156" s="390" t="n">
        <v>2</v>
      </c>
      <c r="H156" s="390">
        <f>SUMIF('01_BOC_TACH_ONG'!B:B, B156, '01_BOC_TACH_ONG'!K:K)</f>
        <v/>
      </c>
      <c r="I156" s="390">
        <f>SUMIF('02_BOC_TACH_CUA'!B:B, B156, '02_BOC_TACH_CUA'!K:K)</f>
        <v/>
      </c>
      <c r="J156" s="390">
        <f>SUMIF('03_BOC_TACH_VAN'!B:B, B156, '03_BOC_TACH_VAN'!K:K)</f>
        <v/>
      </c>
      <c r="K156" s="390">
        <f>SUM(H156:J156)</f>
        <v/>
      </c>
      <c r="L156" s="390">
        <f>K156*0.00</f>
        <v/>
      </c>
      <c r="M156" s="390">
        <f>K156*0.02</f>
        <v/>
      </c>
      <c r="N156" s="390">
        <f>K156+L156+M156</f>
        <v/>
      </c>
      <c r="O156" s="390">
        <f>IF(G156&gt;0, N156/G156, 0)</f>
        <v/>
      </c>
      <c r="P156" s="391" t="n">
        <v>0.1</v>
      </c>
      <c r="Q156" s="390">
        <f>O156*(1+P156)</f>
        <v/>
      </c>
      <c r="R156" s="390">
        <f>G156*Q156</f>
        <v/>
      </c>
      <c r="S156" t="inlineStr">
        <is>
          <t>Hàng thương mại</t>
        </is>
      </c>
    </row>
    <row r="157">
      <c r="A157" t="n">
        <v>156</v>
      </c>
      <c r="B157" t="inlineStr">
        <is>
          <t>SW-TRD-156</t>
        </is>
      </c>
      <c r="C157" t="inlineStr">
        <is>
          <t>THƯƠNG MẠI</t>
        </is>
      </c>
      <c r="D157" t="inlineStr">
        <is>
          <t>HỆ THỐNG CẤP GIÓ TƯƠI, GIÓ BÙ Quạt hướng trục CSF-B2-Z2-01~02 5050/7575 l/s @ 550/1238 Pa, chống cháy 300°C trong 2h</t>
        </is>
      </c>
      <c r="E157" t="inlineStr">
        <is>
          <t>-</t>
        </is>
      </c>
      <c r="F157" t="inlineStr">
        <is>
          <t>Cái</t>
        </is>
      </c>
      <c r="G157" s="390" t="n">
        <v>2</v>
      </c>
      <c r="H157" s="390">
        <f>SUMIF('01_BOC_TACH_ONG'!B:B, B157, '01_BOC_TACH_ONG'!K:K)</f>
        <v/>
      </c>
      <c r="I157" s="390">
        <f>SUMIF('02_BOC_TACH_CUA'!B:B, B157, '02_BOC_TACH_CUA'!K:K)</f>
        <v/>
      </c>
      <c r="J157" s="390">
        <f>SUMIF('03_BOC_TACH_VAN'!B:B, B157, '03_BOC_TACH_VAN'!K:K)</f>
        <v/>
      </c>
      <c r="K157" s="390">
        <f>SUM(H157:J157)</f>
        <v/>
      </c>
      <c r="L157" s="390">
        <f>K157*0.00</f>
        <v/>
      </c>
      <c r="M157" s="390">
        <f>K157*0.02</f>
        <v/>
      </c>
      <c r="N157" s="390">
        <f>K157+L157+M157</f>
        <v/>
      </c>
      <c r="O157" s="390">
        <f>IF(G157&gt;0, N157/G157, 0)</f>
        <v/>
      </c>
      <c r="P157" s="391" t="n">
        <v>0.1</v>
      </c>
      <c r="Q157" s="390">
        <f>O157*(1+P157)</f>
        <v/>
      </c>
      <c r="R157" s="390">
        <f>G157*Q157</f>
        <v/>
      </c>
      <c r="S157" t="inlineStr">
        <is>
          <t>Hàng thương mại</t>
        </is>
      </c>
    </row>
    <row r="158">
      <c r="A158" t="n">
        <v>157</v>
      </c>
      <c r="B158" t="inlineStr">
        <is>
          <t>SW-TRD-157</t>
        </is>
      </c>
      <c r="C158" t="inlineStr">
        <is>
          <t>THƯƠNG MẠI</t>
        </is>
      </c>
      <c r="D158" t="inlineStr">
        <is>
          <t>HỆ THỐNG CẤP GIÓ TƯƠI, GIÓ BÙ Quạt hướng trục CSF-B1-Z1-01~02 4750/7125 l/s @ 550/1238 Pa, chống cháy 300°C trong 2h</t>
        </is>
      </c>
      <c r="E158" t="inlineStr">
        <is>
          <t>-</t>
        </is>
      </c>
      <c r="F158" t="inlineStr">
        <is>
          <t>Cái</t>
        </is>
      </c>
      <c r="G158" s="390" t="n">
        <v>2</v>
      </c>
      <c r="H158" s="390">
        <f>SUMIF('01_BOC_TACH_ONG'!B:B, B158, '01_BOC_TACH_ONG'!K:K)</f>
        <v/>
      </c>
      <c r="I158" s="390">
        <f>SUMIF('02_BOC_TACH_CUA'!B:B, B158, '02_BOC_TACH_CUA'!K:K)</f>
        <v/>
      </c>
      <c r="J158" s="390">
        <f>SUMIF('03_BOC_TACH_VAN'!B:B, B158, '03_BOC_TACH_VAN'!K:K)</f>
        <v/>
      </c>
      <c r="K158" s="390">
        <f>SUM(H158:J158)</f>
        <v/>
      </c>
      <c r="L158" s="390">
        <f>K158*0.00</f>
        <v/>
      </c>
      <c r="M158" s="390">
        <f>K158*0.02</f>
        <v/>
      </c>
      <c r="N158" s="390">
        <f>K158+L158+M158</f>
        <v/>
      </c>
      <c r="O158" s="390">
        <f>IF(G158&gt;0, N158/G158, 0)</f>
        <v/>
      </c>
      <c r="P158" s="391" t="n">
        <v>0.1</v>
      </c>
      <c r="Q158" s="390">
        <f>O158*(1+P158)</f>
        <v/>
      </c>
      <c r="R158" s="390">
        <f>G158*Q158</f>
        <v/>
      </c>
      <c r="S158" t="inlineStr">
        <is>
          <t>Hàng thương mại</t>
        </is>
      </c>
    </row>
    <row r="159">
      <c r="A159" t="n">
        <v>158</v>
      </c>
      <c r="B159" t="inlineStr">
        <is>
          <t>SW-TRD-158</t>
        </is>
      </c>
      <c r="C159" t="inlineStr">
        <is>
          <t>THƯƠNG MẠI</t>
        </is>
      </c>
      <c r="D159" t="inlineStr">
        <is>
          <t>HỆ THỐNG CẤP GIÓ TƯƠI, GIÓ BÙ Quạt hướng trục CSF-B1-Z2-01~02 4365/6550 l/s @ 550/1238 Pa, chống cháy 300°C trong 2h</t>
        </is>
      </c>
      <c r="E159" t="inlineStr">
        <is>
          <t>-</t>
        </is>
      </c>
      <c r="F159" t="inlineStr">
        <is>
          <t>Cái</t>
        </is>
      </c>
      <c r="G159" s="390" t="n">
        <v>2</v>
      </c>
      <c r="H159" s="390">
        <f>SUMIF('01_BOC_TACH_ONG'!B:B, B159, '01_BOC_TACH_ONG'!K:K)</f>
        <v/>
      </c>
      <c r="I159" s="390">
        <f>SUMIF('02_BOC_TACH_CUA'!B:B, B159, '02_BOC_TACH_CUA'!K:K)</f>
        <v/>
      </c>
      <c r="J159" s="390">
        <f>SUMIF('03_BOC_TACH_VAN'!B:B, B159, '03_BOC_TACH_VAN'!K:K)</f>
        <v/>
      </c>
      <c r="K159" s="390">
        <f>SUM(H159:J159)</f>
        <v/>
      </c>
      <c r="L159" s="390">
        <f>K159*0.00</f>
        <v/>
      </c>
      <c r="M159" s="390">
        <f>K159*0.02</f>
        <v/>
      </c>
      <c r="N159" s="390">
        <f>K159+L159+M159</f>
        <v/>
      </c>
      <c r="O159" s="390">
        <f>IF(G159&gt;0, N159/G159, 0)</f>
        <v/>
      </c>
      <c r="P159" s="391" t="n">
        <v>0.1</v>
      </c>
      <c r="Q159" s="390">
        <f>O159*(1+P159)</f>
        <v/>
      </c>
      <c r="R159" s="390">
        <f>G159*Q159</f>
        <v/>
      </c>
      <c r="S159" t="inlineStr">
        <is>
          <t>Hàng thương mại</t>
        </is>
      </c>
    </row>
    <row r="160">
      <c r="A160" t="n">
        <v>159</v>
      </c>
      <c r="B160" t="inlineStr">
        <is>
          <t>SW-TRD-159</t>
        </is>
      </c>
      <c r="C160" t="inlineStr">
        <is>
          <t>THƯƠNG MẠI</t>
        </is>
      </c>
      <c r="D160" t="inlineStr">
        <is>
          <t>HỆ THỐNG CẤP GIÓ TƯƠI, GIÓ BÙ Quạt hướng trục MAF-B1-Z2-01 2800 l/s @ 350 Pa, chống cháy 300°C trong 2h</t>
        </is>
      </c>
      <c r="E160" t="inlineStr">
        <is>
          <t>-</t>
        </is>
      </c>
      <c r="F160" t="inlineStr">
        <is>
          <t>Cái</t>
        </is>
      </c>
      <c r="G160" s="390" t="n">
        <v>1</v>
      </c>
      <c r="H160" s="390">
        <f>SUMIF('01_BOC_TACH_ONG'!B:B, B160, '01_BOC_TACH_ONG'!K:K)</f>
        <v/>
      </c>
      <c r="I160" s="390">
        <f>SUMIF('02_BOC_TACH_CUA'!B:B, B160, '02_BOC_TACH_CUA'!K:K)</f>
        <v/>
      </c>
      <c r="J160" s="390">
        <f>SUMIF('03_BOC_TACH_VAN'!B:B, B160, '03_BOC_TACH_VAN'!K:K)</f>
        <v/>
      </c>
      <c r="K160" s="390">
        <f>SUM(H160:J160)</f>
        <v/>
      </c>
      <c r="L160" s="390">
        <f>K160*0.00</f>
        <v/>
      </c>
      <c r="M160" s="390">
        <f>K160*0.02</f>
        <v/>
      </c>
      <c r="N160" s="390">
        <f>K160+L160+M160</f>
        <v/>
      </c>
      <c r="O160" s="390">
        <f>IF(G160&gt;0, N160/G160, 0)</f>
        <v/>
      </c>
      <c r="P160" s="391" t="n">
        <v>0.1</v>
      </c>
      <c r="Q160" s="390">
        <f>O160*(1+P160)</f>
        <v/>
      </c>
      <c r="R160" s="390">
        <f>G160*Q160</f>
        <v/>
      </c>
      <c r="S160" t="inlineStr">
        <is>
          <t>Hàng thương mại</t>
        </is>
      </c>
    </row>
    <row r="161">
      <c r="A161" t="n">
        <v>160</v>
      </c>
      <c r="B161" t="inlineStr">
        <is>
          <t>SW-TRD-160</t>
        </is>
      </c>
      <c r="C161" t="inlineStr">
        <is>
          <t>THƯƠNG MẠI</t>
        </is>
      </c>
      <c r="D161" t="inlineStr">
        <is>
          <t>HỆ THỐNG CẤP GIÓ TƯƠI, GIÓ BÙ Quạt hướng trục MAF-A1.1-03F-01 3100 l/s @ 400 Pa, chống cháy 300°C trong 2h</t>
        </is>
      </c>
      <c r="E161" t="inlineStr">
        <is>
          <t>-</t>
        </is>
      </c>
      <c r="F161" t="inlineStr">
        <is>
          <t>Cái</t>
        </is>
      </c>
      <c r="G161" s="390" t="n">
        <v>1</v>
      </c>
      <c r="H161" s="390">
        <f>SUMIF('01_BOC_TACH_ONG'!B:B, B161, '01_BOC_TACH_ONG'!K:K)</f>
        <v/>
      </c>
      <c r="I161" s="390">
        <f>SUMIF('02_BOC_TACH_CUA'!B:B, B161, '02_BOC_TACH_CUA'!K:K)</f>
        <v/>
      </c>
      <c r="J161" s="390">
        <f>SUMIF('03_BOC_TACH_VAN'!B:B, B161, '03_BOC_TACH_VAN'!K:K)</f>
        <v/>
      </c>
      <c r="K161" s="390">
        <f>SUM(H161:J161)</f>
        <v/>
      </c>
      <c r="L161" s="390">
        <f>K161*0.00</f>
        <v/>
      </c>
      <c r="M161" s="390">
        <f>K161*0.02</f>
        <v/>
      </c>
      <c r="N161" s="390">
        <f>K161+L161+M161</f>
        <v/>
      </c>
      <c r="O161" s="390">
        <f>IF(G161&gt;0, N161/G161, 0)</f>
        <v/>
      </c>
      <c r="P161" s="391" t="n">
        <v>0.1</v>
      </c>
      <c r="Q161" s="390">
        <f>O161*(1+P161)</f>
        <v/>
      </c>
      <c r="R161" s="390">
        <f>G161*Q161</f>
        <v/>
      </c>
      <c r="S161" t="inlineStr">
        <is>
          <t>Hàng thương mại</t>
        </is>
      </c>
    </row>
    <row r="162">
      <c r="A162" t="n">
        <v>161</v>
      </c>
      <c r="B162" t="inlineStr">
        <is>
          <t>SW-TRD-161</t>
        </is>
      </c>
      <c r="C162" t="inlineStr">
        <is>
          <t>THƯƠNG MẠI</t>
        </is>
      </c>
      <c r="D162" t="inlineStr">
        <is>
          <t>HỆ THỐNG CẤP GIÓ TƯƠI, GIÓ BÙ Quạt hướng trục MAF-A1.3-03F-01~05 2700 l/s @ 350 Pa, chống cháy 300°C trong 2h</t>
        </is>
      </c>
      <c r="E162" t="inlineStr">
        <is>
          <t>-</t>
        </is>
      </c>
      <c r="F162" t="inlineStr">
        <is>
          <t>Cái</t>
        </is>
      </c>
      <c r="G162" s="390" t="n">
        <v>5</v>
      </c>
      <c r="H162" s="390">
        <f>SUMIF('01_BOC_TACH_ONG'!B:B, B162, '01_BOC_TACH_ONG'!K:K)</f>
        <v/>
      </c>
      <c r="I162" s="390">
        <f>SUMIF('02_BOC_TACH_CUA'!B:B, B162, '02_BOC_TACH_CUA'!K:K)</f>
        <v/>
      </c>
      <c r="J162" s="390">
        <f>SUMIF('03_BOC_TACH_VAN'!B:B, B162, '03_BOC_TACH_VAN'!K:K)</f>
        <v/>
      </c>
      <c r="K162" s="390">
        <f>SUM(H162:J162)</f>
        <v/>
      </c>
      <c r="L162" s="390">
        <f>K162*0.00</f>
        <v/>
      </c>
      <c r="M162" s="390">
        <f>K162*0.02</f>
        <v/>
      </c>
      <c r="N162" s="390">
        <f>K162+L162+M162</f>
        <v/>
      </c>
      <c r="O162" s="390">
        <f>IF(G162&gt;0, N162/G162, 0)</f>
        <v/>
      </c>
      <c r="P162" s="391" t="n">
        <v>0.1</v>
      </c>
      <c r="Q162" s="390">
        <f>O162*(1+P162)</f>
        <v/>
      </c>
      <c r="R162" s="390">
        <f>G162*Q162</f>
        <v/>
      </c>
      <c r="S162" t="inlineStr">
        <is>
          <t>Hàng thương mại</t>
        </is>
      </c>
    </row>
    <row r="163">
      <c r="A163" t="n">
        <v>162</v>
      </c>
      <c r="B163" t="inlineStr">
        <is>
          <t>SW-TRD-162</t>
        </is>
      </c>
      <c r="C163" t="inlineStr">
        <is>
          <t>THƯƠNG MẠI</t>
        </is>
      </c>
      <c r="D163" t="inlineStr">
        <is>
          <t>HỆ THỐNG CẤP GIÓ TƯƠI, GIÓ BÙ Quạt hướng trục MAF-A1.3-09F-01 3700 l/s @ 500 Pa, chống cháy 300°C trong 2h</t>
        </is>
      </c>
      <c r="E163" t="inlineStr">
        <is>
          <t>-</t>
        </is>
      </c>
      <c r="F163" t="inlineStr">
        <is>
          <t>Cái</t>
        </is>
      </c>
      <c r="G163" s="390" t="n">
        <v>1</v>
      </c>
      <c r="H163" s="390">
        <f>SUMIF('01_BOC_TACH_ONG'!B:B, B163, '01_BOC_TACH_ONG'!K:K)</f>
        <v/>
      </c>
      <c r="I163" s="390">
        <f>SUMIF('02_BOC_TACH_CUA'!B:B, B163, '02_BOC_TACH_CUA'!K:K)</f>
        <v/>
      </c>
      <c r="J163" s="390">
        <f>SUMIF('03_BOC_TACH_VAN'!B:B, B163, '03_BOC_TACH_VAN'!K:K)</f>
        <v/>
      </c>
      <c r="K163" s="390">
        <f>SUM(H163:J163)</f>
        <v/>
      </c>
      <c r="L163" s="390">
        <f>K163*0.00</f>
        <v/>
      </c>
      <c r="M163" s="390">
        <f>K163*0.02</f>
        <v/>
      </c>
      <c r="N163" s="390">
        <f>K163+L163+M163</f>
        <v/>
      </c>
      <c r="O163" s="390">
        <f>IF(G163&gt;0, N163/G163, 0)</f>
        <v/>
      </c>
      <c r="P163" s="391" t="n">
        <v>0.1</v>
      </c>
      <c r="Q163" s="390">
        <f>O163*(1+P163)</f>
        <v/>
      </c>
      <c r="R163" s="390">
        <f>G163*Q163</f>
        <v/>
      </c>
      <c r="S163" t="inlineStr">
        <is>
          <t>Hàng thương mại</t>
        </is>
      </c>
    </row>
    <row r="164">
      <c r="A164" t="n">
        <v>163</v>
      </c>
      <c r="B164" t="inlineStr">
        <is>
          <t>SW-TRD-163</t>
        </is>
      </c>
      <c r="C164" t="inlineStr">
        <is>
          <t>THƯƠNG MẠI</t>
        </is>
      </c>
      <c r="D164" t="inlineStr">
        <is>
          <t>HỆ THỐNG CẤP GIÓ TƯƠI, GIÓ BÙ Quạt hướng trục MAF-A1.2-12F-01 3900 l/s @ 400 Pa, chống cháy 300°C trong 2h</t>
        </is>
      </c>
      <c r="E164" t="inlineStr">
        <is>
          <t>-</t>
        </is>
      </c>
      <c r="F164" t="inlineStr">
        <is>
          <t>Cái</t>
        </is>
      </c>
      <c r="G164" s="390" t="n">
        <v>1</v>
      </c>
      <c r="H164" s="390">
        <f>SUMIF('01_BOC_TACH_ONG'!B:B, B164, '01_BOC_TACH_ONG'!K:K)</f>
        <v/>
      </c>
      <c r="I164" s="390">
        <f>SUMIF('02_BOC_TACH_CUA'!B:B, B164, '02_BOC_TACH_CUA'!K:K)</f>
        <v/>
      </c>
      <c r="J164" s="390">
        <f>SUMIF('03_BOC_TACH_VAN'!B:B, B164, '03_BOC_TACH_VAN'!K:K)</f>
        <v/>
      </c>
      <c r="K164" s="390">
        <f>SUM(H164:J164)</f>
        <v/>
      </c>
      <c r="L164" s="390">
        <f>K164*0.00</f>
        <v/>
      </c>
      <c r="M164" s="390">
        <f>K164*0.02</f>
        <v/>
      </c>
      <c r="N164" s="390">
        <f>K164+L164+M164</f>
        <v/>
      </c>
      <c r="O164" s="390">
        <f>IF(G164&gt;0, N164/G164, 0)</f>
        <v/>
      </c>
      <c r="P164" s="391" t="n">
        <v>0.1</v>
      </c>
      <c r="Q164" s="390">
        <f>O164*(1+P164)</f>
        <v/>
      </c>
      <c r="R164" s="390">
        <f>G164*Q164</f>
        <v/>
      </c>
      <c r="S164" t="inlineStr">
        <is>
          <t>Hàng thương mại</t>
        </is>
      </c>
    </row>
    <row r="165">
      <c r="A165" t="n">
        <v>164</v>
      </c>
      <c r="B165" t="inlineStr">
        <is>
          <t>SW-TRD-164</t>
        </is>
      </c>
      <c r="C165" t="inlineStr">
        <is>
          <t>THƯƠNG MẠI</t>
        </is>
      </c>
      <c r="D165" t="inlineStr">
        <is>
          <t>HỆ THỐNG CẤP GIÓ TƯƠI, GIÓ BÙ Quạt hướng trục MAF-A1.1-RF-01 4100 l/s @ 500 Pa, chống cháy 300°C trong 2h</t>
        </is>
      </c>
      <c r="E165" t="inlineStr">
        <is>
          <t>-</t>
        </is>
      </c>
      <c r="F165" t="inlineStr">
        <is>
          <t>Cái</t>
        </is>
      </c>
      <c r="G165" s="390" t="n">
        <v>1</v>
      </c>
      <c r="H165" s="390">
        <f>SUMIF('01_BOC_TACH_ONG'!B:B, B165, '01_BOC_TACH_ONG'!K:K)</f>
        <v/>
      </c>
      <c r="I165" s="390">
        <f>SUMIF('02_BOC_TACH_CUA'!B:B, B165, '02_BOC_TACH_CUA'!K:K)</f>
        <v/>
      </c>
      <c r="J165" s="390">
        <f>SUMIF('03_BOC_TACH_VAN'!B:B, B165, '03_BOC_TACH_VAN'!K:K)</f>
        <v/>
      </c>
      <c r="K165" s="390">
        <f>SUM(H165:J165)</f>
        <v/>
      </c>
      <c r="L165" s="390">
        <f>K165*0.00</f>
        <v/>
      </c>
      <c r="M165" s="390">
        <f>K165*0.02</f>
        <v/>
      </c>
      <c r="N165" s="390">
        <f>K165+L165+M165</f>
        <v/>
      </c>
      <c r="O165" s="390">
        <f>IF(G165&gt;0, N165/G165, 0)</f>
        <v/>
      </c>
      <c r="P165" s="391" t="n">
        <v>0.1</v>
      </c>
      <c r="Q165" s="390">
        <f>O165*(1+P165)</f>
        <v/>
      </c>
      <c r="R165" s="390">
        <f>G165*Q165</f>
        <v/>
      </c>
      <c r="S165" t="inlineStr">
        <is>
          <t>Hàng thương mại</t>
        </is>
      </c>
    </row>
    <row r="166">
      <c r="A166" t="n">
        <v>165</v>
      </c>
      <c r="B166" t="inlineStr">
        <is>
          <t>SW-TRD-165</t>
        </is>
      </c>
      <c r="C166" t="inlineStr">
        <is>
          <t>THƯƠNG MẠI</t>
        </is>
      </c>
      <c r="D166" t="inlineStr">
        <is>
          <t>HỆ THỐNG CẤP GIÓ TƯƠI, GIÓ BÙ Quạt hướng trục OAF-B2-Z2-01 1050 L/s 200Pa</t>
        </is>
      </c>
      <c r="E166" t="inlineStr">
        <is>
          <t>-</t>
        </is>
      </c>
      <c r="F166" t="inlineStr">
        <is>
          <t>bộ</t>
        </is>
      </c>
      <c r="G166" s="390" t="n">
        <v>1</v>
      </c>
      <c r="H166" s="390">
        <f>SUMIF('01_BOC_TACH_ONG'!B:B, B166, '01_BOC_TACH_ONG'!K:K)</f>
        <v/>
      </c>
      <c r="I166" s="390">
        <f>SUMIF('02_BOC_TACH_CUA'!B:B, B166, '02_BOC_TACH_CUA'!K:K)</f>
        <v/>
      </c>
      <c r="J166" s="390">
        <f>SUMIF('03_BOC_TACH_VAN'!B:B, B166, '03_BOC_TACH_VAN'!K:K)</f>
        <v/>
      </c>
      <c r="K166" s="390">
        <f>SUM(H166:J166)</f>
        <v/>
      </c>
      <c r="L166" s="390">
        <f>K166*0.00</f>
        <v/>
      </c>
      <c r="M166" s="390">
        <f>K166*0.02</f>
        <v/>
      </c>
      <c r="N166" s="390">
        <f>K166+L166+M166</f>
        <v/>
      </c>
      <c r="O166" s="390">
        <f>IF(G166&gt;0, N166/G166, 0)</f>
        <v/>
      </c>
      <c r="P166" s="391" t="n">
        <v>0.1</v>
      </c>
      <c r="Q166" s="390">
        <f>O166*(1+P166)</f>
        <v/>
      </c>
      <c r="R166" s="390">
        <f>G166*Q166</f>
        <v/>
      </c>
      <c r="S166" t="inlineStr">
        <is>
          <t>Hàng thương mại</t>
        </is>
      </c>
    </row>
    <row r="167">
      <c r="A167" t="n">
        <v>166</v>
      </c>
      <c r="B167" t="inlineStr">
        <is>
          <t>SW-TRD-166</t>
        </is>
      </c>
      <c r="C167" t="inlineStr">
        <is>
          <t>THƯƠNG MẠI</t>
        </is>
      </c>
      <c r="D167" t="inlineStr">
        <is>
          <t>HỆ THỐNG CẤP GIÓ TƯƠI, GIÓ BÙ Quạt hướng trục OAF-A1.3-10F-01~02 3536 l/s @ 450 Pa</t>
        </is>
      </c>
      <c r="E167" t="inlineStr">
        <is>
          <t>-</t>
        </is>
      </c>
      <c r="F167" t="inlineStr">
        <is>
          <t>bộ</t>
        </is>
      </c>
      <c r="G167" s="390" t="n">
        <v>2</v>
      </c>
      <c r="H167" s="390">
        <f>SUMIF('01_BOC_TACH_ONG'!B:B, B167, '01_BOC_TACH_ONG'!K:K)</f>
        <v/>
      </c>
      <c r="I167" s="390">
        <f>SUMIF('02_BOC_TACH_CUA'!B:B, B167, '02_BOC_TACH_CUA'!K:K)</f>
        <v/>
      </c>
      <c r="J167" s="390">
        <f>SUMIF('03_BOC_TACH_VAN'!B:B, B167, '03_BOC_TACH_VAN'!K:K)</f>
        <v/>
      </c>
      <c r="K167" s="390">
        <f>SUM(H167:J167)</f>
        <v/>
      </c>
      <c r="L167" s="390">
        <f>K167*0.00</f>
        <v/>
      </c>
      <c r="M167" s="390">
        <f>K167*0.02</f>
        <v/>
      </c>
      <c r="N167" s="390">
        <f>K167+L167+M167</f>
        <v/>
      </c>
      <c r="O167" s="390">
        <f>IF(G167&gt;0, N167/G167, 0)</f>
        <v/>
      </c>
      <c r="P167" s="391" t="n">
        <v>0.1</v>
      </c>
      <c r="Q167" s="390">
        <f>O167*(1+P167)</f>
        <v/>
      </c>
      <c r="R167" s="390">
        <f>G167*Q167</f>
        <v/>
      </c>
      <c r="S167" t="inlineStr">
        <is>
          <t>Hàng thương mại</t>
        </is>
      </c>
    </row>
    <row r="168">
      <c r="A168" t="n">
        <v>167</v>
      </c>
      <c r="B168" t="inlineStr">
        <is>
          <t>SW-TRD-167</t>
        </is>
      </c>
      <c r="C168" t="inlineStr">
        <is>
          <t>THƯƠNG MẠI</t>
        </is>
      </c>
      <c r="D168" t="inlineStr">
        <is>
          <t>HỆ THỐNG CẤP GIÓ TƯƠI, GIÓ BÙ Quạt hướng trục OAF-A1.2-11F-01~02 3444 l/s @ 450 Pa</t>
        </is>
      </c>
      <c r="E168" t="inlineStr">
        <is>
          <t>-</t>
        </is>
      </c>
      <c r="F168" t="inlineStr">
        <is>
          <t>Cái</t>
        </is>
      </c>
      <c r="G168" s="390" t="n">
        <v>2</v>
      </c>
      <c r="H168" s="390">
        <f>SUMIF('01_BOC_TACH_ONG'!B:B, B168, '01_BOC_TACH_ONG'!K:K)</f>
        <v/>
      </c>
      <c r="I168" s="390">
        <f>SUMIF('02_BOC_TACH_CUA'!B:B, B168, '02_BOC_TACH_CUA'!K:K)</f>
        <v/>
      </c>
      <c r="J168" s="390">
        <f>SUMIF('03_BOC_TACH_VAN'!B:B, B168, '03_BOC_TACH_VAN'!K:K)</f>
        <v/>
      </c>
      <c r="K168" s="390">
        <f>SUM(H168:J168)</f>
        <v/>
      </c>
      <c r="L168" s="390">
        <f>K168*0.00</f>
        <v/>
      </c>
      <c r="M168" s="390">
        <f>K168*0.02</f>
        <v/>
      </c>
      <c r="N168" s="390">
        <f>K168+L168+M168</f>
        <v/>
      </c>
      <c r="O168" s="390">
        <f>IF(G168&gt;0, N168/G168, 0)</f>
        <v/>
      </c>
      <c r="P168" s="391" t="n">
        <v>0.1</v>
      </c>
      <c r="Q168" s="390">
        <f>O168*(1+P168)</f>
        <v/>
      </c>
      <c r="R168" s="390">
        <f>G168*Q168</f>
        <v/>
      </c>
      <c r="S168" t="inlineStr">
        <is>
          <t>Hàng thương mại</t>
        </is>
      </c>
    </row>
    <row r="169">
      <c r="A169" t="n">
        <v>168</v>
      </c>
      <c r="B169" t="inlineStr">
        <is>
          <t>SW-TRD-168</t>
        </is>
      </c>
      <c r="C169" t="inlineStr">
        <is>
          <t>THƯƠNG MẠI</t>
        </is>
      </c>
      <c r="D169" t="inlineStr">
        <is>
          <t>HỆ THỐNG CẤP GIÓ TƯƠI, GIÓ BÙ Quạt hướng trục OAF-A1.1-RF-01~02 3450 l/s @ 450 Pa</t>
        </is>
      </c>
      <c r="E169" t="inlineStr">
        <is>
          <t>-</t>
        </is>
      </c>
      <c r="F169" t="inlineStr">
        <is>
          <t>Cái</t>
        </is>
      </c>
      <c r="G169" s="390" t="n">
        <v>2</v>
      </c>
      <c r="H169" s="390">
        <f>SUMIF('01_BOC_TACH_ONG'!B:B, B169, '01_BOC_TACH_ONG'!K:K)</f>
        <v/>
      </c>
      <c r="I169" s="390">
        <f>SUMIF('02_BOC_TACH_CUA'!B:B, B169, '02_BOC_TACH_CUA'!K:K)</f>
        <v/>
      </c>
      <c r="J169" s="390">
        <f>SUMIF('03_BOC_TACH_VAN'!B:B, B169, '03_BOC_TACH_VAN'!K:K)</f>
        <v/>
      </c>
      <c r="K169" s="390">
        <f>SUM(H169:J169)</f>
        <v/>
      </c>
      <c r="L169" s="390">
        <f>K169*0.00</f>
        <v/>
      </c>
      <c r="M169" s="390">
        <f>K169*0.02</f>
        <v/>
      </c>
      <c r="N169" s="390">
        <f>K169+L169+M169</f>
        <v/>
      </c>
      <c r="O169" s="390">
        <f>IF(G169&gt;0, N169/G169, 0)</f>
        <v/>
      </c>
      <c r="P169" s="391" t="n">
        <v>0.1</v>
      </c>
      <c r="Q169" s="390">
        <f>O169*(1+P169)</f>
        <v/>
      </c>
      <c r="R169" s="390">
        <f>G169*Q169</f>
        <v/>
      </c>
      <c r="S169" t="inlineStr">
        <is>
          <t>Hàng thương mại</t>
        </is>
      </c>
    </row>
    <row r="170">
      <c r="A170" t="n">
        <v>169</v>
      </c>
      <c r="B170" t="inlineStr">
        <is>
          <t>SW-TRD-169</t>
        </is>
      </c>
      <c r="C170" t="inlineStr">
        <is>
          <t>THƯƠNG MẠI</t>
        </is>
      </c>
      <c r="D170" t="inlineStr">
        <is>
          <t>HỆ THỐNG CẤP GIÓ TƯƠI, GIÓ BÙ Quạt hướng trục OAF-A1.1-1F.01-01 187 l/s @175Pa</t>
        </is>
      </c>
      <c r="E170" t="inlineStr">
        <is>
          <t>-</t>
        </is>
      </c>
      <c r="F170" t="inlineStr">
        <is>
          <t>Cái</t>
        </is>
      </c>
      <c r="G170" s="390" t="n">
        <v>1</v>
      </c>
      <c r="H170" s="390">
        <f>SUMIF('01_BOC_TACH_ONG'!B:B, B170, '01_BOC_TACH_ONG'!K:K)</f>
        <v/>
      </c>
      <c r="I170" s="390">
        <f>SUMIF('02_BOC_TACH_CUA'!B:B, B170, '02_BOC_TACH_CUA'!K:K)</f>
        <v/>
      </c>
      <c r="J170" s="390">
        <f>SUMIF('03_BOC_TACH_VAN'!B:B, B170, '03_BOC_TACH_VAN'!K:K)</f>
        <v/>
      </c>
      <c r="K170" s="390">
        <f>SUM(H170:J170)</f>
        <v/>
      </c>
      <c r="L170" s="390">
        <f>K170*0.00</f>
        <v/>
      </c>
      <c r="M170" s="390">
        <f>K170*0.02</f>
        <v/>
      </c>
      <c r="N170" s="390">
        <f>K170+L170+M170</f>
        <v/>
      </c>
      <c r="O170" s="390">
        <f>IF(G170&gt;0, N170/G170, 0)</f>
        <v/>
      </c>
      <c r="P170" s="391" t="n">
        <v>0.1</v>
      </c>
      <c r="Q170" s="390">
        <f>O170*(1+P170)</f>
        <v/>
      </c>
      <c r="R170" s="390">
        <f>G170*Q170</f>
        <v/>
      </c>
      <c r="S170" t="inlineStr">
        <is>
          <t>Hàng thương mại</t>
        </is>
      </c>
    </row>
    <row r="171">
      <c r="A171" t="n">
        <v>170</v>
      </c>
      <c r="B171" t="inlineStr">
        <is>
          <t>SW-TRD-170</t>
        </is>
      </c>
      <c r="C171" t="inlineStr">
        <is>
          <t>THƯƠNG MẠI</t>
        </is>
      </c>
      <c r="D171" t="inlineStr">
        <is>
          <t>HỆ THỐNG CẤP GIÓ TƯƠI, GIÓ BÙ Quạt hướng trục OAF-A1.1-1F.02-01 140 l/s @150Pa</t>
        </is>
      </c>
      <c r="E171" t="inlineStr">
        <is>
          <t>-</t>
        </is>
      </c>
      <c r="F171" t="inlineStr">
        <is>
          <t>Cái</t>
        </is>
      </c>
      <c r="G171" s="390" t="n">
        <v>1</v>
      </c>
      <c r="H171" s="390">
        <f>SUMIF('01_BOC_TACH_ONG'!B:B, B171, '01_BOC_TACH_ONG'!K:K)</f>
        <v/>
      </c>
      <c r="I171" s="390">
        <f>SUMIF('02_BOC_TACH_CUA'!B:B, B171, '02_BOC_TACH_CUA'!K:K)</f>
        <v/>
      </c>
      <c r="J171" s="390">
        <f>SUMIF('03_BOC_TACH_VAN'!B:B, B171, '03_BOC_TACH_VAN'!K:K)</f>
        <v/>
      </c>
      <c r="K171" s="390">
        <f>SUM(H171:J171)</f>
        <v/>
      </c>
      <c r="L171" s="390">
        <f>K171*0.00</f>
        <v/>
      </c>
      <c r="M171" s="390">
        <f>K171*0.02</f>
        <v/>
      </c>
      <c r="N171" s="390">
        <f>K171+L171+M171</f>
        <v/>
      </c>
      <c r="O171" s="390">
        <f>IF(G171&gt;0, N171/G171, 0)</f>
        <v/>
      </c>
      <c r="P171" s="391" t="n">
        <v>0.1</v>
      </c>
      <c r="Q171" s="390">
        <f>O171*(1+P171)</f>
        <v/>
      </c>
      <c r="R171" s="390">
        <f>G171*Q171</f>
        <v/>
      </c>
      <c r="S171" t="inlineStr">
        <is>
          <t>Hàng thương mại</t>
        </is>
      </c>
    </row>
    <row r="172">
      <c r="A172" t="n">
        <v>171</v>
      </c>
      <c r="B172" t="inlineStr">
        <is>
          <t>SW-TRD-171</t>
        </is>
      </c>
      <c r="C172" t="inlineStr">
        <is>
          <t>THƯƠNG MẠI</t>
        </is>
      </c>
      <c r="D172" t="inlineStr">
        <is>
          <t>HỆ THỐNG CẤP GIÓ TƯƠI, GIÓ BÙ Quạt hướng trục OAF-A1.1-1F.03-01 271 l/s @175Pa</t>
        </is>
      </c>
      <c r="E172" t="inlineStr">
        <is>
          <t>-</t>
        </is>
      </c>
      <c r="F172" t="inlineStr">
        <is>
          <t>Cái</t>
        </is>
      </c>
      <c r="G172" s="390" t="n">
        <v>1</v>
      </c>
      <c r="H172" s="390">
        <f>SUMIF('01_BOC_TACH_ONG'!B:B, B172, '01_BOC_TACH_ONG'!K:K)</f>
        <v/>
      </c>
      <c r="I172" s="390">
        <f>SUMIF('02_BOC_TACH_CUA'!B:B, B172, '02_BOC_TACH_CUA'!K:K)</f>
        <v/>
      </c>
      <c r="J172" s="390">
        <f>SUMIF('03_BOC_TACH_VAN'!B:B, B172, '03_BOC_TACH_VAN'!K:K)</f>
        <v/>
      </c>
      <c r="K172" s="390">
        <f>SUM(H172:J172)</f>
        <v/>
      </c>
      <c r="L172" s="390">
        <f>K172*0.00</f>
        <v/>
      </c>
      <c r="M172" s="390">
        <f>K172*0.02</f>
        <v/>
      </c>
      <c r="N172" s="390">
        <f>K172+L172+M172</f>
        <v/>
      </c>
      <c r="O172" s="390">
        <f>IF(G172&gt;0, N172/G172, 0)</f>
        <v/>
      </c>
      <c r="P172" s="391" t="n">
        <v>0.1</v>
      </c>
      <c r="Q172" s="390">
        <f>O172*(1+P172)</f>
        <v/>
      </c>
      <c r="R172" s="390">
        <f>G172*Q172</f>
        <v/>
      </c>
      <c r="S172" t="inlineStr">
        <is>
          <t>Hàng thương mại</t>
        </is>
      </c>
    </row>
    <row r="173">
      <c r="A173" t="n">
        <v>172</v>
      </c>
      <c r="B173" t="inlineStr">
        <is>
          <t>SW-TRD-172</t>
        </is>
      </c>
      <c r="C173" t="inlineStr">
        <is>
          <t>THƯƠNG MẠI</t>
        </is>
      </c>
      <c r="D173" t="inlineStr">
        <is>
          <t>HỆ THỐNG CẤP GIÓ TƯƠI, GIÓ BÙ Quạt hướng trục OAF-A1.1-1F.CR-01 188 l/s @150Pa</t>
        </is>
      </c>
      <c r="E173" t="inlineStr">
        <is>
          <t>-</t>
        </is>
      </c>
      <c r="F173" t="inlineStr">
        <is>
          <t>Cái</t>
        </is>
      </c>
      <c r="G173" s="390" t="n">
        <v>1</v>
      </c>
      <c r="H173" s="390">
        <f>SUMIF('01_BOC_TACH_ONG'!B:B, B173, '01_BOC_TACH_ONG'!K:K)</f>
        <v/>
      </c>
      <c r="I173" s="390">
        <f>SUMIF('02_BOC_TACH_CUA'!B:B, B173, '02_BOC_TACH_CUA'!K:K)</f>
        <v/>
      </c>
      <c r="J173" s="390">
        <f>SUMIF('03_BOC_TACH_VAN'!B:B, B173, '03_BOC_TACH_VAN'!K:K)</f>
        <v/>
      </c>
      <c r="K173" s="390">
        <f>SUM(H173:J173)</f>
        <v/>
      </c>
      <c r="L173" s="390">
        <f>K173*0.00</f>
        <v/>
      </c>
      <c r="M173" s="390">
        <f>K173*0.02</f>
        <v/>
      </c>
      <c r="N173" s="390">
        <f>K173+L173+M173</f>
        <v/>
      </c>
      <c r="O173" s="390">
        <f>IF(G173&gt;0, N173/G173, 0)</f>
        <v/>
      </c>
      <c r="P173" s="391" t="n">
        <v>0.1</v>
      </c>
      <c r="Q173" s="390">
        <f>O173*(1+P173)</f>
        <v/>
      </c>
      <c r="R173" s="390">
        <f>G173*Q173</f>
        <v/>
      </c>
      <c r="S173" t="inlineStr">
        <is>
          <t>Hàng thương mại</t>
        </is>
      </c>
    </row>
    <row r="174">
      <c r="A174" t="n">
        <v>173</v>
      </c>
      <c r="B174" t="inlineStr">
        <is>
          <t>SW-TRD-173</t>
        </is>
      </c>
      <c r="C174" t="inlineStr">
        <is>
          <t>THƯƠNG MẠI</t>
        </is>
      </c>
      <c r="D174" t="inlineStr">
        <is>
          <t>HỆ THỐNG CẤP GIÓ TƯƠI, GIÓ BÙ Quạt hướng trục OAF-A1.2-1F-01-01 123 l/s @150Pa</t>
        </is>
      </c>
      <c r="E174" t="inlineStr">
        <is>
          <t>-</t>
        </is>
      </c>
      <c r="F174" t="inlineStr">
        <is>
          <t>Cái</t>
        </is>
      </c>
      <c r="G174" s="390" t="n">
        <v>1</v>
      </c>
      <c r="H174" s="390">
        <f>SUMIF('01_BOC_TACH_ONG'!B:B, B174, '01_BOC_TACH_ONG'!K:K)</f>
        <v/>
      </c>
      <c r="I174" s="390">
        <f>SUMIF('02_BOC_TACH_CUA'!B:B, B174, '02_BOC_TACH_CUA'!K:K)</f>
        <v/>
      </c>
      <c r="J174" s="390">
        <f>SUMIF('03_BOC_TACH_VAN'!B:B, B174, '03_BOC_TACH_VAN'!K:K)</f>
        <v/>
      </c>
      <c r="K174" s="390">
        <f>SUM(H174:J174)</f>
        <v/>
      </c>
      <c r="L174" s="390">
        <f>K174*0.00</f>
        <v/>
      </c>
      <c r="M174" s="390">
        <f>K174*0.02</f>
        <v/>
      </c>
      <c r="N174" s="390">
        <f>K174+L174+M174</f>
        <v/>
      </c>
      <c r="O174" s="390">
        <f>IF(G174&gt;0, N174/G174, 0)</f>
        <v/>
      </c>
      <c r="P174" s="391" t="n">
        <v>0.1</v>
      </c>
      <c r="Q174" s="390">
        <f>O174*(1+P174)</f>
        <v/>
      </c>
      <c r="R174" s="390">
        <f>G174*Q174</f>
        <v/>
      </c>
      <c r="S174" t="inlineStr">
        <is>
          <t>Hàng thương mại</t>
        </is>
      </c>
    </row>
    <row r="175">
      <c r="A175" t="n">
        <v>174</v>
      </c>
      <c r="B175" t="inlineStr">
        <is>
          <t>SW-TRD-174</t>
        </is>
      </c>
      <c r="C175" t="inlineStr">
        <is>
          <t>THƯƠNG MẠI</t>
        </is>
      </c>
      <c r="D175" t="inlineStr">
        <is>
          <t>HỆ THỐNG CẤP GIÓ TƯƠI, GIÓ BÙ Quạt hướng trục OAF-A1.2-1F-02-01 193 l/s @175Pa</t>
        </is>
      </c>
      <c r="E175" t="inlineStr">
        <is>
          <t>-</t>
        </is>
      </c>
      <c r="F175" t="inlineStr">
        <is>
          <t>Cái</t>
        </is>
      </c>
      <c r="G175" s="390" t="n">
        <v>1</v>
      </c>
      <c r="H175" s="390">
        <f>SUMIF('01_BOC_TACH_ONG'!B:B, B175, '01_BOC_TACH_ONG'!K:K)</f>
        <v/>
      </c>
      <c r="I175" s="390">
        <f>SUMIF('02_BOC_TACH_CUA'!B:B, B175, '02_BOC_TACH_CUA'!K:K)</f>
        <v/>
      </c>
      <c r="J175" s="390">
        <f>SUMIF('03_BOC_TACH_VAN'!B:B, B175, '03_BOC_TACH_VAN'!K:K)</f>
        <v/>
      </c>
      <c r="K175" s="390">
        <f>SUM(H175:J175)</f>
        <v/>
      </c>
      <c r="L175" s="390">
        <f>K175*0.00</f>
        <v/>
      </c>
      <c r="M175" s="390">
        <f>K175*0.02</f>
        <v/>
      </c>
      <c r="N175" s="390">
        <f>K175+L175+M175</f>
        <v/>
      </c>
      <c r="O175" s="390">
        <f>IF(G175&gt;0, N175/G175, 0)</f>
        <v/>
      </c>
      <c r="P175" s="391" t="n">
        <v>0.1</v>
      </c>
      <c r="Q175" s="390">
        <f>O175*(1+P175)</f>
        <v/>
      </c>
      <c r="R175" s="390">
        <f>G175*Q175</f>
        <v/>
      </c>
      <c r="S175" t="inlineStr">
        <is>
          <t>Hàng thương mại</t>
        </is>
      </c>
    </row>
    <row r="176">
      <c r="A176" t="n">
        <v>175</v>
      </c>
      <c r="B176" t="inlineStr">
        <is>
          <t>SW-TRD-175</t>
        </is>
      </c>
      <c r="C176" t="inlineStr">
        <is>
          <t>THƯƠNG MẠI</t>
        </is>
      </c>
      <c r="D176" t="inlineStr">
        <is>
          <t>HỆ THỐNG CẤP GIÓ TƯƠI, GIÓ BÙ Quạt hướng trục OAF-A1.2-1F-03-01 162 l/s @150Pa</t>
        </is>
      </c>
      <c r="E176" t="inlineStr">
        <is>
          <t>-</t>
        </is>
      </c>
      <c r="F176" t="inlineStr">
        <is>
          <t>Cái</t>
        </is>
      </c>
      <c r="G176" s="390" t="n">
        <v>1</v>
      </c>
      <c r="H176" s="390">
        <f>SUMIF('01_BOC_TACH_ONG'!B:B, B176, '01_BOC_TACH_ONG'!K:K)</f>
        <v/>
      </c>
      <c r="I176" s="390">
        <f>SUMIF('02_BOC_TACH_CUA'!B:B, B176, '02_BOC_TACH_CUA'!K:K)</f>
        <v/>
      </c>
      <c r="J176" s="390">
        <f>SUMIF('03_BOC_TACH_VAN'!B:B, B176, '03_BOC_TACH_VAN'!K:K)</f>
        <v/>
      </c>
      <c r="K176" s="390">
        <f>SUM(H176:J176)</f>
        <v/>
      </c>
      <c r="L176" s="390">
        <f>K176*0.00</f>
        <v/>
      </c>
      <c r="M176" s="390">
        <f>K176*0.02</f>
        <v/>
      </c>
      <c r="N176" s="390">
        <f>K176+L176+M176</f>
        <v/>
      </c>
      <c r="O176" s="390">
        <f>IF(G176&gt;0, N176/G176, 0)</f>
        <v/>
      </c>
      <c r="P176" s="391" t="n">
        <v>0.1</v>
      </c>
      <c r="Q176" s="390">
        <f>O176*(1+P176)</f>
        <v/>
      </c>
      <c r="R176" s="390">
        <f>G176*Q176</f>
        <v/>
      </c>
      <c r="S176" t="inlineStr">
        <is>
          <t>Hàng thương mại</t>
        </is>
      </c>
    </row>
    <row r="177">
      <c r="A177" t="n">
        <v>176</v>
      </c>
      <c r="B177" t="inlineStr">
        <is>
          <t>SW-TRD-176</t>
        </is>
      </c>
      <c r="C177" t="inlineStr">
        <is>
          <t>THƯƠNG MẠI</t>
        </is>
      </c>
      <c r="D177" t="inlineStr">
        <is>
          <t>HỆ THỐNG CẤP GIÓ TƯƠI, GIÓ BÙ Quạt hướng trục OAF-A1.2-1F-05A-01 130 l/s @150Pa</t>
        </is>
      </c>
      <c r="E177" t="inlineStr">
        <is>
          <t>-</t>
        </is>
      </c>
      <c r="F177" t="inlineStr">
        <is>
          <t>Cái</t>
        </is>
      </c>
      <c r="G177" s="390" t="n">
        <v>1</v>
      </c>
      <c r="H177" s="390">
        <f>SUMIF('01_BOC_TACH_ONG'!B:B, B177, '01_BOC_TACH_ONG'!K:K)</f>
        <v/>
      </c>
      <c r="I177" s="390">
        <f>SUMIF('02_BOC_TACH_CUA'!B:B, B177, '02_BOC_TACH_CUA'!K:K)</f>
        <v/>
      </c>
      <c r="J177" s="390">
        <f>SUMIF('03_BOC_TACH_VAN'!B:B, B177, '03_BOC_TACH_VAN'!K:K)</f>
        <v/>
      </c>
      <c r="K177" s="390">
        <f>SUM(H177:J177)</f>
        <v/>
      </c>
      <c r="L177" s="390">
        <f>K177*0.00</f>
        <v/>
      </c>
      <c r="M177" s="390">
        <f>K177*0.02</f>
        <v/>
      </c>
      <c r="N177" s="390">
        <f>K177+L177+M177</f>
        <v/>
      </c>
      <c r="O177" s="390">
        <f>IF(G177&gt;0, N177/G177, 0)</f>
        <v/>
      </c>
      <c r="P177" s="391" t="n">
        <v>0.1</v>
      </c>
      <c r="Q177" s="390">
        <f>O177*(1+P177)</f>
        <v/>
      </c>
      <c r="R177" s="390">
        <f>G177*Q177</f>
        <v/>
      </c>
      <c r="S177" t="inlineStr">
        <is>
          <t>Hàng thương mại</t>
        </is>
      </c>
    </row>
    <row r="178">
      <c r="A178" t="n">
        <v>177</v>
      </c>
      <c r="B178" t="inlineStr">
        <is>
          <t>SW-TRD-177</t>
        </is>
      </c>
      <c r="C178" t="inlineStr">
        <is>
          <t>THƯƠNG MẠI</t>
        </is>
      </c>
      <c r="D178" t="inlineStr">
        <is>
          <t>HỆ THỐNG CẤP GIÓ TƯƠI, GIÓ BÙ Quạt hướng trục OAF-A1.2-1F-06-01 138 l/s @150Pa</t>
        </is>
      </c>
      <c r="E178" t="inlineStr">
        <is>
          <t>-</t>
        </is>
      </c>
      <c r="F178" t="inlineStr">
        <is>
          <t>Cái</t>
        </is>
      </c>
      <c r="G178" s="390" t="n">
        <v>1</v>
      </c>
      <c r="H178" s="390">
        <f>SUMIF('01_BOC_TACH_ONG'!B:B, B178, '01_BOC_TACH_ONG'!K:K)</f>
        <v/>
      </c>
      <c r="I178" s="390">
        <f>SUMIF('02_BOC_TACH_CUA'!B:B, B178, '02_BOC_TACH_CUA'!K:K)</f>
        <v/>
      </c>
      <c r="J178" s="390">
        <f>SUMIF('03_BOC_TACH_VAN'!B:B, B178, '03_BOC_TACH_VAN'!K:K)</f>
        <v/>
      </c>
      <c r="K178" s="390">
        <f>SUM(H178:J178)</f>
        <v/>
      </c>
      <c r="L178" s="390">
        <f>K178*0.00</f>
        <v/>
      </c>
      <c r="M178" s="390">
        <f>K178*0.02</f>
        <v/>
      </c>
      <c r="N178" s="390">
        <f>K178+L178+M178</f>
        <v/>
      </c>
      <c r="O178" s="390">
        <f>IF(G178&gt;0, N178/G178, 0)</f>
        <v/>
      </c>
      <c r="P178" s="391" t="n">
        <v>0.1</v>
      </c>
      <c r="Q178" s="390">
        <f>O178*(1+P178)</f>
        <v/>
      </c>
      <c r="R178" s="390">
        <f>G178*Q178</f>
        <v/>
      </c>
      <c r="S178" t="inlineStr">
        <is>
          <t>Hàng thương mại</t>
        </is>
      </c>
    </row>
    <row r="179">
      <c r="A179" t="n">
        <v>178</v>
      </c>
      <c r="B179" t="inlineStr">
        <is>
          <t>SW-TRD-178</t>
        </is>
      </c>
      <c r="C179" t="inlineStr">
        <is>
          <t>THƯƠNG MẠI</t>
        </is>
      </c>
      <c r="D179" t="inlineStr">
        <is>
          <t>HỆ THỐNG CẤP GIÓ TƯƠI, GIÓ BÙ Quạt hướng trục OAF-A1.2-1F-08-01 97 l/s @150Pa</t>
        </is>
      </c>
      <c r="E179" t="inlineStr">
        <is>
          <t>-</t>
        </is>
      </c>
      <c r="F179" t="inlineStr">
        <is>
          <t>Cái</t>
        </is>
      </c>
      <c r="G179" s="390" t="n">
        <v>1</v>
      </c>
      <c r="H179" s="390">
        <f>SUMIF('01_BOC_TACH_ONG'!B:B, B179, '01_BOC_TACH_ONG'!K:K)</f>
        <v/>
      </c>
      <c r="I179" s="390">
        <f>SUMIF('02_BOC_TACH_CUA'!B:B, B179, '02_BOC_TACH_CUA'!K:K)</f>
        <v/>
      </c>
      <c r="J179" s="390">
        <f>SUMIF('03_BOC_TACH_VAN'!B:B, B179, '03_BOC_TACH_VAN'!K:K)</f>
        <v/>
      </c>
      <c r="K179" s="390">
        <f>SUM(H179:J179)</f>
        <v/>
      </c>
      <c r="L179" s="390">
        <f>K179*0.00</f>
        <v/>
      </c>
      <c r="M179" s="390">
        <f>K179*0.02</f>
        <v/>
      </c>
      <c r="N179" s="390">
        <f>K179+L179+M179</f>
        <v/>
      </c>
      <c r="O179" s="390">
        <f>IF(G179&gt;0, N179/G179, 0)</f>
        <v/>
      </c>
      <c r="P179" s="391" t="n">
        <v>0.1</v>
      </c>
      <c r="Q179" s="390">
        <f>O179*(1+P179)</f>
        <v/>
      </c>
      <c r="R179" s="390">
        <f>G179*Q179</f>
        <v/>
      </c>
      <c r="S179" t="inlineStr">
        <is>
          <t>Hàng thương mại</t>
        </is>
      </c>
    </row>
    <row r="180">
      <c r="A180" t="n">
        <v>179</v>
      </c>
      <c r="B180" t="inlineStr">
        <is>
          <t>SW-TRD-179</t>
        </is>
      </c>
      <c r="C180" t="inlineStr">
        <is>
          <t>THƯƠNG MẠI</t>
        </is>
      </c>
      <c r="D180" t="inlineStr">
        <is>
          <t>HỆ THỐNG CẤP GIÓ TƯƠI, GIÓ BÙ Quạt hướng trục OAF-A1.2-1F-08A-01 89 l/s @150Pa</t>
        </is>
      </c>
      <c r="E180" t="inlineStr">
        <is>
          <t>-</t>
        </is>
      </c>
      <c r="F180" t="inlineStr">
        <is>
          <t>Cái</t>
        </is>
      </c>
      <c r="G180" s="390" t="n">
        <v>1</v>
      </c>
      <c r="H180" s="390">
        <f>SUMIF('01_BOC_TACH_ONG'!B:B, B180, '01_BOC_TACH_ONG'!K:K)</f>
        <v/>
      </c>
      <c r="I180" s="390">
        <f>SUMIF('02_BOC_TACH_CUA'!B:B, B180, '02_BOC_TACH_CUA'!K:K)</f>
        <v/>
      </c>
      <c r="J180" s="390">
        <f>SUMIF('03_BOC_TACH_VAN'!B:B, B180, '03_BOC_TACH_VAN'!K:K)</f>
        <v/>
      </c>
      <c r="K180" s="390">
        <f>SUM(H180:J180)</f>
        <v/>
      </c>
      <c r="L180" s="390">
        <f>K180*0.00</f>
        <v/>
      </c>
      <c r="M180" s="390">
        <f>K180*0.02</f>
        <v/>
      </c>
      <c r="N180" s="390">
        <f>K180+L180+M180</f>
        <v/>
      </c>
      <c r="O180" s="390">
        <f>IF(G180&gt;0, N180/G180, 0)</f>
        <v/>
      </c>
      <c r="P180" s="391" t="n">
        <v>0.1</v>
      </c>
      <c r="Q180" s="390">
        <f>O180*(1+P180)</f>
        <v/>
      </c>
      <c r="R180" s="390">
        <f>G180*Q180</f>
        <v/>
      </c>
      <c r="S180" t="inlineStr">
        <is>
          <t>Hàng thương mại</t>
        </is>
      </c>
    </row>
    <row r="181">
      <c r="A181" t="n">
        <v>180</v>
      </c>
      <c r="B181" t="inlineStr">
        <is>
          <t>SW-TRD-180</t>
        </is>
      </c>
      <c r="C181" t="inlineStr">
        <is>
          <t>THƯƠNG MẠI</t>
        </is>
      </c>
      <c r="D181" t="inlineStr">
        <is>
          <t>HỆ THỐNG CẤP GIÓ TƯƠI, GIÓ BÙ Quạt hướng trục OAF-A1.2-1F-CR-01 250 l/s @175Pa</t>
        </is>
      </c>
      <c r="E181" t="inlineStr">
        <is>
          <t>-</t>
        </is>
      </c>
      <c r="F181" t="inlineStr">
        <is>
          <t>Cái</t>
        </is>
      </c>
      <c r="G181" s="390" t="n">
        <v>1</v>
      </c>
      <c r="H181" s="390">
        <f>SUMIF('01_BOC_TACH_ONG'!B:B, B181, '01_BOC_TACH_ONG'!K:K)</f>
        <v/>
      </c>
      <c r="I181" s="390">
        <f>SUMIF('02_BOC_TACH_CUA'!B:B, B181, '02_BOC_TACH_CUA'!K:K)</f>
        <v/>
      </c>
      <c r="J181" s="390">
        <f>SUMIF('03_BOC_TACH_VAN'!B:B, B181, '03_BOC_TACH_VAN'!K:K)</f>
        <v/>
      </c>
      <c r="K181" s="390">
        <f>SUM(H181:J181)</f>
        <v/>
      </c>
      <c r="L181" s="390">
        <f>K181*0.00</f>
        <v/>
      </c>
      <c r="M181" s="390">
        <f>K181*0.02</f>
        <v/>
      </c>
      <c r="N181" s="390">
        <f>K181+L181+M181</f>
        <v/>
      </c>
      <c r="O181" s="390">
        <f>IF(G181&gt;0, N181/G181, 0)</f>
        <v/>
      </c>
      <c r="P181" s="391" t="n">
        <v>0.1</v>
      </c>
      <c r="Q181" s="390">
        <f>O181*(1+P181)</f>
        <v/>
      </c>
      <c r="R181" s="390">
        <f>G181*Q181</f>
        <v/>
      </c>
      <c r="S181" t="inlineStr">
        <is>
          <t>Hàng thương mại</t>
        </is>
      </c>
    </row>
    <row r="182">
      <c r="A182" t="n">
        <v>181</v>
      </c>
      <c r="B182" t="inlineStr">
        <is>
          <t>SW-TRD-181</t>
        </is>
      </c>
      <c r="C182" t="inlineStr">
        <is>
          <t>THƯƠNG MẠI</t>
        </is>
      </c>
      <c r="D182" t="inlineStr">
        <is>
          <t>HỆ THỐNG CẤP GIÓ TƯƠI, GIÓ BÙ Quạt hướng trục OAF-A1.3-1F-01-01 275 l/s @175Pa</t>
        </is>
      </c>
      <c r="E182" t="inlineStr">
        <is>
          <t>-</t>
        </is>
      </c>
      <c r="F182" t="inlineStr">
        <is>
          <t>Cái</t>
        </is>
      </c>
      <c r="G182" s="390" t="n">
        <v>1</v>
      </c>
      <c r="H182" s="390">
        <f>SUMIF('01_BOC_TACH_ONG'!B:B, B182, '01_BOC_TACH_ONG'!K:K)</f>
        <v/>
      </c>
      <c r="I182" s="390">
        <f>SUMIF('02_BOC_TACH_CUA'!B:B, B182, '02_BOC_TACH_CUA'!K:K)</f>
        <v/>
      </c>
      <c r="J182" s="390">
        <f>SUMIF('03_BOC_TACH_VAN'!B:B, B182, '03_BOC_TACH_VAN'!K:K)</f>
        <v/>
      </c>
      <c r="K182" s="390">
        <f>SUM(H182:J182)</f>
        <v/>
      </c>
      <c r="L182" s="390">
        <f>K182*0.00</f>
        <v/>
      </c>
      <c r="M182" s="390">
        <f>K182*0.02</f>
        <v/>
      </c>
      <c r="N182" s="390">
        <f>K182+L182+M182</f>
        <v/>
      </c>
      <c r="O182" s="390">
        <f>IF(G182&gt;0, N182/G182, 0)</f>
        <v/>
      </c>
      <c r="P182" s="391" t="n">
        <v>0.1</v>
      </c>
      <c r="Q182" s="390">
        <f>O182*(1+P182)</f>
        <v/>
      </c>
      <c r="R182" s="390">
        <f>G182*Q182</f>
        <v/>
      </c>
      <c r="S182" t="inlineStr">
        <is>
          <t>Hàng thương mại</t>
        </is>
      </c>
    </row>
    <row r="183">
      <c r="A183" t="n">
        <v>182</v>
      </c>
      <c r="B183" t="inlineStr">
        <is>
          <t>SW-TRD-182</t>
        </is>
      </c>
      <c r="C183" t="inlineStr">
        <is>
          <t>THƯƠNG MẠI</t>
        </is>
      </c>
      <c r="D183" t="inlineStr">
        <is>
          <t>HỆ THỐNG CẤP GIÓ TƯƠI, GIÓ BÙ Quạt hướng trục OAF-A1.3-1F-02-01 262 l/s @250Pa</t>
        </is>
      </c>
      <c r="E183" t="inlineStr">
        <is>
          <t>-</t>
        </is>
      </c>
      <c r="F183" t="inlineStr">
        <is>
          <t>Cái</t>
        </is>
      </c>
      <c r="G183" s="390" t="n">
        <v>1</v>
      </c>
      <c r="H183" s="390">
        <f>SUMIF('01_BOC_TACH_ONG'!B:B, B183, '01_BOC_TACH_ONG'!K:K)</f>
        <v/>
      </c>
      <c r="I183" s="390">
        <f>SUMIF('02_BOC_TACH_CUA'!B:B, B183, '02_BOC_TACH_CUA'!K:K)</f>
        <v/>
      </c>
      <c r="J183" s="390">
        <f>SUMIF('03_BOC_TACH_VAN'!B:B, B183, '03_BOC_TACH_VAN'!K:K)</f>
        <v/>
      </c>
      <c r="K183" s="390">
        <f>SUM(H183:J183)</f>
        <v/>
      </c>
      <c r="L183" s="390">
        <f>K183*0.00</f>
        <v/>
      </c>
      <c r="M183" s="390">
        <f>K183*0.02</f>
        <v/>
      </c>
      <c r="N183" s="390">
        <f>K183+L183+M183</f>
        <v/>
      </c>
      <c r="O183" s="390">
        <f>IF(G183&gt;0, N183/G183, 0)</f>
        <v/>
      </c>
      <c r="P183" s="391" t="n">
        <v>0.1</v>
      </c>
      <c r="Q183" s="390">
        <f>O183*(1+P183)</f>
        <v/>
      </c>
      <c r="R183" s="390">
        <f>G183*Q183</f>
        <v/>
      </c>
      <c r="S183" t="inlineStr">
        <is>
          <t>Hàng thương mại</t>
        </is>
      </c>
    </row>
    <row r="184">
      <c r="A184" t="n">
        <v>183</v>
      </c>
      <c r="B184" t="inlineStr">
        <is>
          <t>SW-TRD-183</t>
        </is>
      </c>
      <c r="C184" t="inlineStr">
        <is>
          <t>THƯƠNG MẠI</t>
        </is>
      </c>
      <c r="D184" t="inlineStr">
        <is>
          <t>HỆ THỐNG CẤP GIÓ TƯƠI, GIÓ BÙ Quạt hướng trục OAF-A1.3-1F-03-01 250 l/s @175Pa</t>
        </is>
      </c>
      <c r="E184" t="inlineStr">
        <is>
          <t>-</t>
        </is>
      </c>
      <c r="F184" t="inlineStr">
        <is>
          <t>Cái</t>
        </is>
      </c>
      <c r="G184" s="390" t="n">
        <v>1</v>
      </c>
      <c r="H184" s="390">
        <f>SUMIF('01_BOC_TACH_ONG'!B:B, B184, '01_BOC_TACH_ONG'!K:K)</f>
        <v/>
      </c>
      <c r="I184" s="390">
        <f>SUMIF('02_BOC_TACH_CUA'!B:B, B184, '02_BOC_TACH_CUA'!K:K)</f>
        <v/>
      </c>
      <c r="J184" s="390">
        <f>SUMIF('03_BOC_TACH_VAN'!B:B, B184, '03_BOC_TACH_VAN'!K:K)</f>
        <v/>
      </c>
      <c r="K184" s="390">
        <f>SUM(H184:J184)</f>
        <v/>
      </c>
      <c r="L184" s="390">
        <f>K184*0.00</f>
        <v/>
      </c>
      <c r="M184" s="390">
        <f>K184*0.02</f>
        <v/>
      </c>
      <c r="N184" s="390">
        <f>K184+L184+M184</f>
        <v/>
      </c>
      <c r="O184" s="390">
        <f>IF(G184&gt;0, N184/G184, 0)</f>
        <v/>
      </c>
      <c r="P184" s="391" t="n">
        <v>0.1</v>
      </c>
      <c r="Q184" s="390">
        <f>O184*(1+P184)</f>
        <v/>
      </c>
      <c r="R184" s="390">
        <f>G184*Q184</f>
        <v/>
      </c>
      <c r="S184" t="inlineStr">
        <is>
          <t>Hàng thương mại</t>
        </is>
      </c>
    </row>
    <row r="185">
      <c r="A185" t="n">
        <v>184</v>
      </c>
      <c r="B185" t="inlineStr">
        <is>
          <t>SW-TRD-184</t>
        </is>
      </c>
      <c r="C185" t="inlineStr">
        <is>
          <t>THƯƠNG MẠI</t>
        </is>
      </c>
      <c r="D185" t="inlineStr">
        <is>
          <t>HỆ THỐNG CẤP GIÓ TƯƠI, GIÓ BÙ Quạt hướng trục OAF-A1.3-1F-05-01 210 l/s @175Pa</t>
        </is>
      </c>
      <c r="E185" t="inlineStr">
        <is>
          <t>-</t>
        </is>
      </c>
      <c r="F185" t="inlineStr">
        <is>
          <t>Cái</t>
        </is>
      </c>
      <c r="G185" s="390" t="n">
        <v>1</v>
      </c>
      <c r="H185" s="390">
        <f>SUMIF('01_BOC_TACH_ONG'!B:B, B185, '01_BOC_TACH_ONG'!K:K)</f>
        <v/>
      </c>
      <c r="I185" s="390">
        <f>SUMIF('02_BOC_TACH_CUA'!B:B, B185, '02_BOC_TACH_CUA'!K:K)</f>
        <v/>
      </c>
      <c r="J185" s="390">
        <f>SUMIF('03_BOC_TACH_VAN'!B:B, B185, '03_BOC_TACH_VAN'!K:K)</f>
        <v/>
      </c>
      <c r="K185" s="390">
        <f>SUM(H185:J185)</f>
        <v/>
      </c>
      <c r="L185" s="390">
        <f>K185*0.00</f>
        <v/>
      </c>
      <c r="M185" s="390">
        <f>K185*0.02</f>
        <v/>
      </c>
      <c r="N185" s="390">
        <f>K185+L185+M185</f>
        <v/>
      </c>
      <c r="O185" s="390">
        <f>IF(G185&gt;0, N185/G185, 0)</f>
        <v/>
      </c>
      <c r="P185" s="391" t="n">
        <v>0.1</v>
      </c>
      <c r="Q185" s="390">
        <f>O185*(1+P185)</f>
        <v/>
      </c>
      <c r="R185" s="390">
        <f>G185*Q185</f>
        <v/>
      </c>
      <c r="S185" t="inlineStr">
        <is>
          <t>Hàng thương mại</t>
        </is>
      </c>
    </row>
    <row r="186">
      <c r="A186" t="n">
        <v>185</v>
      </c>
      <c r="B186" t="inlineStr">
        <is>
          <t>SW-TRD-185</t>
        </is>
      </c>
      <c r="C186" t="inlineStr">
        <is>
          <t>THƯƠNG MẠI</t>
        </is>
      </c>
      <c r="D186" t="inlineStr">
        <is>
          <t>HỆ THỐNG CẤP GIÓ TƯƠI, GIÓ BÙ Quạt hướng trục OAF-A1.3-1F-05A-01 264 l/s @175Pa</t>
        </is>
      </c>
      <c r="E186" t="inlineStr">
        <is>
          <t>-</t>
        </is>
      </c>
      <c r="F186" t="inlineStr">
        <is>
          <t>Cái</t>
        </is>
      </c>
      <c r="G186" s="390" t="n">
        <v>1</v>
      </c>
      <c r="H186" s="390">
        <f>SUMIF('01_BOC_TACH_ONG'!B:B, B186, '01_BOC_TACH_ONG'!K:K)</f>
        <v/>
      </c>
      <c r="I186" s="390">
        <f>SUMIF('02_BOC_TACH_CUA'!B:B, B186, '02_BOC_TACH_CUA'!K:K)</f>
        <v/>
      </c>
      <c r="J186" s="390">
        <f>SUMIF('03_BOC_TACH_VAN'!B:B, B186, '03_BOC_TACH_VAN'!K:K)</f>
        <v/>
      </c>
      <c r="K186" s="390">
        <f>SUM(H186:J186)</f>
        <v/>
      </c>
      <c r="L186" s="390">
        <f>K186*0.00</f>
        <v/>
      </c>
      <c r="M186" s="390">
        <f>K186*0.02</f>
        <v/>
      </c>
      <c r="N186" s="390">
        <f>K186+L186+M186</f>
        <v/>
      </c>
      <c r="O186" s="390">
        <f>IF(G186&gt;0, N186/G186, 0)</f>
        <v/>
      </c>
      <c r="P186" s="391" t="n">
        <v>0.1</v>
      </c>
      <c r="Q186" s="390">
        <f>O186*(1+P186)</f>
        <v/>
      </c>
      <c r="R186" s="390">
        <f>G186*Q186</f>
        <v/>
      </c>
      <c r="S186" t="inlineStr">
        <is>
          <t>Hàng thương mại</t>
        </is>
      </c>
    </row>
    <row r="187">
      <c r="A187" t="n">
        <v>186</v>
      </c>
      <c r="B187" t="inlineStr">
        <is>
          <t>SW-TRD-186</t>
        </is>
      </c>
      <c r="C187" t="inlineStr">
        <is>
          <t>THƯƠNG MẠI</t>
        </is>
      </c>
      <c r="D187" t="inlineStr">
        <is>
          <t>HỆ THỐNG CẤP GIÓ TƯƠI, GIÓ BÙ Quạt hướng trục OAF-A1.3-1F-CR-01 188 l/s @175Pa</t>
        </is>
      </c>
      <c r="E187" t="inlineStr">
        <is>
          <t>-</t>
        </is>
      </c>
      <c r="F187" t="inlineStr">
        <is>
          <t>Cái</t>
        </is>
      </c>
      <c r="G187" s="390" t="n">
        <v>1</v>
      </c>
      <c r="H187" s="390">
        <f>SUMIF('01_BOC_TACH_ONG'!B:B, B187, '01_BOC_TACH_ONG'!K:K)</f>
        <v/>
      </c>
      <c r="I187" s="390">
        <f>SUMIF('02_BOC_TACH_CUA'!B:B, B187, '02_BOC_TACH_CUA'!K:K)</f>
        <v/>
      </c>
      <c r="J187" s="390">
        <f>SUMIF('03_BOC_TACH_VAN'!B:B, B187, '03_BOC_TACH_VAN'!K:K)</f>
        <v/>
      </c>
      <c r="K187" s="390">
        <f>SUM(H187:J187)</f>
        <v/>
      </c>
      <c r="L187" s="390">
        <f>K187*0.00</f>
        <v/>
      </c>
      <c r="M187" s="390">
        <f>K187*0.02</f>
        <v/>
      </c>
      <c r="N187" s="390">
        <f>K187+L187+M187</f>
        <v/>
      </c>
      <c r="O187" s="390">
        <f>IF(G187&gt;0, N187/G187, 0)</f>
        <v/>
      </c>
      <c r="P187" s="391" t="n">
        <v>0.1</v>
      </c>
      <c r="Q187" s="390">
        <f>O187*(1+P187)</f>
        <v/>
      </c>
      <c r="R187" s="390">
        <f>G187*Q187</f>
        <v/>
      </c>
      <c r="S187" t="inlineStr">
        <is>
          <t>Hàng thương mại</t>
        </is>
      </c>
    </row>
    <row r="188">
      <c r="A188" t="n">
        <v>187</v>
      </c>
      <c r="B188" t="inlineStr">
        <is>
          <t>SW-TRD-187</t>
        </is>
      </c>
      <c r="C188" t="inlineStr">
        <is>
          <t>THƯƠNG MẠI</t>
        </is>
      </c>
      <c r="D188" t="inlineStr">
        <is>
          <t>HỆ THỐNG CẤP GIÓ TƯƠI, GIÓ BÙ Quạt hướng trục OAF-A1.1-2F-01-01 172 l/s @150Pa</t>
        </is>
      </c>
      <c r="E188" t="inlineStr">
        <is>
          <t>-</t>
        </is>
      </c>
      <c r="F188" t="inlineStr">
        <is>
          <t>Cái</t>
        </is>
      </c>
      <c r="G188" s="390" t="n">
        <v>1</v>
      </c>
      <c r="H188" s="390">
        <f>SUMIF('01_BOC_TACH_ONG'!B:B, B188, '01_BOC_TACH_ONG'!K:K)</f>
        <v/>
      </c>
      <c r="I188" s="390">
        <f>SUMIF('02_BOC_TACH_CUA'!B:B, B188, '02_BOC_TACH_CUA'!K:K)</f>
        <v/>
      </c>
      <c r="J188" s="390">
        <f>SUMIF('03_BOC_TACH_VAN'!B:B, B188, '03_BOC_TACH_VAN'!K:K)</f>
        <v/>
      </c>
      <c r="K188" s="390">
        <f>SUM(H188:J188)</f>
        <v/>
      </c>
      <c r="L188" s="390">
        <f>K188*0.00</f>
        <v/>
      </c>
      <c r="M188" s="390">
        <f>K188*0.02</f>
        <v/>
      </c>
      <c r="N188" s="390">
        <f>K188+L188+M188</f>
        <v/>
      </c>
      <c r="O188" s="390">
        <f>IF(G188&gt;0, N188/G188, 0)</f>
        <v/>
      </c>
      <c r="P188" s="391" t="n">
        <v>0.1</v>
      </c>
      <c r="Q188" s="390">
        <f>O188*(1+P188)</f>
        <v/>
      </c>
      <c r="R188" s="390">
        <f>G188*Q188</f>
        <v/>
      </c>
      <c r="S188" t="inlineStr">
        <is>
          <t>Hàng thương mại</t>
        </is>
      </c>
    </row>
    <row r="189">
      <c r="A189" t="n">
        <v>188</v>
      </c>
      <c r="B189" t="inlineStr">
        <is>
          <t>SW-TRD-188</t>
        </is>
      </c>
      <c r="C189" t="inlineStr">
        <is>
          <t>THƯƠNG MẠI</t>
        </is>
      </c>
      <c r="D189" t="inlineStr">
        <is>
          <t>HỆ THỐNG CẤP GIÓ TƯƠI, GIÓ BÙ Quạt hướng trục OAF-A1.1-2F-02-01 133 l/s @150Pa</t>
        </is>
      </c>
      <c r="E189" t="inlineStr">
        <is>
          <t>-</t>
        </is>
      </c>
      <c r="F189" t="inlineStr">
        <is>
          <t>Cái</t>
        </is>
      </c>
      <c r="G189" s="390" t="n">
        <v>1</v>
      </c>
      <c r="H189" s="390">
        <f>SUMIF('01_BOC_TACH_ONG'!B:B, B189, '01_BOC_TACH_ONG'!K:K)</f>
        <v/>
      </c>
      <c r="I189" s="390">
        <f>SUMIF('02_BOC_TACH_CUA'!B:B, B189, '02_BOC_TACH_CUA'!K:K)</f>
        <v/>
      </c>
      <c r="J189" s="390">
        <f>SUMIF('03_BOC_TACH_VAN'!B:B, B189, '03_BOC_TACH_VAN'!K:K)</f>
        <v/>
      </c>
      <c r="K189" s="390">
        <f>SUM(H189:J189)</f>
        <v/>
      </c>
      <c r="L189" s="390">
        <f>K189*0.00</f>
        <v/>
      </c>
      <c r="M189" s="390">
        <f>K189*0.02</f>
        <v/>
      </c>
      <c r="N189" s="390">
        <f>K189+L189+M189</f>
        <v/>
      </c>
      <c r="O189" s="390">
        <f>IF(G189&gt;0, N189/G189, 0)</f>
        <v/>
      </c>
      <c r="P189" s="391" t="n">
        <v>0.1</v>
      </c>
      <c r="Q189" s="390">
        <f>O189*(1+P189)</f>
        <v/>
      </c>
      <c r="R189" s="390">
        <f>G189*Q189</f>
        <v/>
      </c>
      <c r="S189" t="inlineStr">
        <is>
          <t>Hàng thương mại</t>
        </is>
      </c>
    </row>
    <row r="190">
      <c r="A190" t="n">
        <v>189</v>
      </c>
      <c r="B190" t="inlineStr">
        <is>
          <t>SW-TRD-189</t>
        </is>
      </c>
      <c r="C190" t="inlineStr">
        <is>
          <t>THƯƠNG MẠI</t>
        </is>
      </c>
      <c r="D190" t="inlineStr">
        <is>
          <t>HỆ THỐNG CẤP GIÓ TƯƠI, GIÓ BÙ Quạt hướng trục OAF-A1.1-2F-03-01 136 l/s @150Pa</t>
        </is>
      </c>
      <c r="E190" t="inlineStr">
        <is>
          <t>-</t>
        </is>
      </c>
      <c r="F190" t="inlineStr">
        <is>
          <t>Cái</t>
        </is>
      </c>
      <c r="G190" s="390" t="n">
        <v>1</v>
      </c>
      <c r="H190" s="390">
        <f>SUMIF('01_BOC_TACH_ONG'!B:B, B190, '01_BOC_TACH_ONG'!K:K)</f>
        <v/>
      </c>
      <c r="I190" s="390">
        <f>SUMIF('02_BOC_TACH_CUA'!B:B, B190, '02_BOC_TACH_CUA'!K:K)</f>
        <v/>
      </c>
      <c r="J190" s="390">
        <f>SUMIF('03_BOC_TACH_VAN'!B:B, B190, '03_BOC_TACH_VAN'!K:K)</f>
        <v/>
      </c>
      <c r="K190" s="390">
        <f>SUM(H190:J190)</f>
        <v/>
      </c>
      <c r="L190" s="390">
        <f>K190*0.00</f>
        <v/>
      </c>
      <c r="M190" s="390">
        <f>K190*0.02</f>
        <v/>
      </c>
      <c r="N190" s="390">
        <f>K190+L190+M190</f>
        <v/>
      </c>
      <c r="O190" s="390">
        <f>IF(G190&gt;0, N190/G190, 0)</f>
        <v/>
      </c>
      <c r="P190" s="391" t="n">
        <v>0.1</v>
      </c>
      <c r="Q190" s="390">
        <f>O190*(1+P190)</f>
        <v/>
      </c>
      <c r="R190" s="390">
        <f>G190*Q190</f>
        <v/>
      </c>
      <c r="S190" t="inlineStr">
        <is>
          <t>Hàng thương mại</t>
        </is>
      </c>
    </row>
    <row r="191">
      <c r="A191" t="n">
        <v>190</v>
      </c>
      <c r="B191" t="inlineStr">
        <is>
          <t>SW-TRD-190</t>
        </is>
      </c>
      <c r="C191" t="inlineStr">
        <is>
          <t>THƯƠNG MẠI</t>
        </is>
      </c>
      <c r="D191" t="inlineStr">
        <is>
          <t>HỆ THỐNG CẤP GIÓ TƯƠI, GIÓ BÙ Quạt hướng trục OAF-A1.1-2F-05A-01 35 l/s @75Pa</t>
        </is>
      </c>
      <c r="E191" t="inlineStr">
        <is>
          <t>-</t>
        </is>
      </c>
      <c r="F191" t="inlineStr">
        <is>
          <t>Cái</t>
        </is>
      </c>
      <c r="G191" s="390" t="n">
        <v>1</v>
      </c>
      <c r="H191" s="390">
        <f>SUMIF('01_BOC_TACH_ONG'!B:B, B191, '01_BOC_TACH_ONG'!K:K)</f>
        <v/>
      </c>
      <c r="I191" s="390">
        <f>SUMIF('02_BOC_TACH_CUA'!B:B, B191, '02_BOC_TACH_CUA'!K:K)</f>
        <v/>
      </c>
      <c r="J191" s="390">
        <f>SUMIF('03_BOC_TACH_VAN'!B:B, B191, '03_BOC_TACH_VAN'!K:K)</f>
        <v/>
      </c>
      <c r="K191" s="390">
        <f>SUM(H191:J191)</f>
        <v/>
      </c>
      <c r="L191" s="390">
        <f>K191*0.00</f>
        <v/>
      </c>
      <c r="M191" s="390">
        <f>K191*0.02</f>
        <v/>
      </c>
      <c r="N191" s="390">
        <f>K191+L191+M191</f>
        <v/>
      </c>
      <c r="O191" s="390">
        <f>IF(G191&gt;0, N191/G191, 0)</f>
        <v/>
      </c>
      <c r="P191" s="391" t="n">
        <v>0.1</v>
      </c>
      <c r="Q191" s="390">
        <f>O191*(1+P191)</f>
        <v/>
      </c>
      <c r="R191" s="390">
        <f>G191*Q191</f>
        <v/>
      </c>
      <c r="S191" t="inlineStr">
        <is>
          <t>Hàng thương mại</t>
        </is>
      </c>
    </row>
    <row r="192">
      <c r="A192" t="n">
        <v>191</v>
      </c>
      <c r="B192" t="inlineStr">
        <is>
          <t>SW-TRD-191</t>
        </is>
      </c>
      <c r="C192" t="inlineStr">
        <is>
          <t>THƯƠNG MẠI</t>
        </is>
      </c>
      <c r="D192" t="inlineStr">
        <is>
          <t>HỆ THỐNG CẤP GIÓ TƯƠI, GIÓ BÙ Quạt hướng trục OAF-A1.1-2F-05-01 117 l/s @150Pa</t>
        </is>
      </c>
      <c r="E192" t="inlineStr">
        <is>
          <t>-</t>
        </is>
      </c>
      <c r="F192" t="inlineStr">
        <is>
          <t>Cái</t>
        </is>
      </c>
      <c r="G192" s="390" t="n">
        <v>1</v>
      </c>
      <c r="H192" s="390">
        <f>SUMIF('01_BOC_TACH_ONG'!B:B, B192, '01_BOC_TACH_ONG'!K:K)</f>
        <v/>
      </c>
      <c r="I192" s="390">
        <f>SUMIF('02_BOC_TACH_CUA'!B:B, B192, '02_BOC_TACH_CUA'!K:K)</f>
        <v/>
      </c>
      <c r="J192" s="390">
        <f>SUMIF('03_BOC_TACH_VAN'!B:B, B192, '03_BOC_TACH_VAN'!K:K)</f>
        <v/>
      </c>
      <c r="K192" s="390">
        <f>SUM(H192:J192)</f>
        <v/>
      </c>
      <c r="L192" s="390">
        <f>K192*0.00</f>
        <v/>
      </c>
      <c r="M192" s="390">
        <f>K192*0.02</f>
        <v/>
      </c>
      <c r="N192" s="390">
        <f>K192+L192+M192</f>
        <v/>
      </c>
      <c r="O192" s="390">
        <f>IF(G192&gt;0, N192/G192, 0)</f>
        <v/>
      </c>
      <c r="P192" s="391" t="n">
        <v>0.1</v>
      </c>
      <c r="Q192" s="390">
        <f>O192*(1+P192)</f>
        <v/>
      </c>
      <c r="R192" s="390">
        <f>G192*Q192</f>
        <v/>
      </c>
      <c r="S192" t="inlineStr">
        <is>
          <t>Hàng thương mại</t>
        </is>
      </c>
    </row>
    <row r="193">
      <c r="A193" t="n">
        <v>192</v>
      </c>
      <c r="B193" t="inlineStr">
        <is>
          <t>SW-TRD-192</t>
        </is>
      </c>
      <c r="C193" t="inlineStr">
        <is>
          <t>THƯƠNG MẠI</t>
        </is>
      </c>
      <c r="D193" t="inlineStr">
        <is>
          <t>HỆ THỐNG CẤP GIÓ TƯƠI, GIÓ BÙ Quạt hướng trục OAF-A1.1-2F-09-01 83 l/s @150Pa</t>
        </is>
      </c>
      <c r="E193" t="inlineStr">
        <is>
          <t>-</t>
        </is>
      </c>
      <c r="F193" t="inlineStr">
        <is>
          <t>Cái</t>
        </is>
      </c>
      <c r="G193" s="390" t="n">
        <v>1</v>
      </c>
      <c r="H193" s="390">
        <f>SUMIF('01_BOC_TACH_ONG'!B:B, B193, '01_BOC_TACH_ONG'!K:K)</f>
        <v/>
      </c>
      <c r="I193" s="390">
        <f>SUMIF('02_BOC_TACH_CUA'!B:B, B193, '02_BOC_TACH_CUA'!K:K)</f>
        <v/>
      </c>
      <c r="J193" s="390">
        <f>SUMIF('03_BOC_TACH_VAN'!B:B, B193, '03_BOC_TACH_VAN'!K:K)</f>
        <v/>
      </c>
      <c r="K193" s="390">
        <f>SUM(H193:J193)</f>
        <v/>
      </c>
      <c r="L193" s="390">
        <f>K193*0.00</f>
        <v/>
      </c>
      <c r="M193" s="390">
        <f>K193*0.02</f>
        <v/>
      </c>
      <c r="N193" s="390">
        <f>K193+L193+M193</f>
        <v/>
      </c>
      <c r="O193" s="390">
        <f>IF(G193&gt;0, N193/G193, 0)</f>
        <v/>
      </c>
      <c r="P193" s="391" t="n">
        <v>0.1</v>
      </c>
      <c r="Q193" s="390">
        <f>O193*(1+P193)</f>
        <v/>
      </c>
      <c r="R193" s="390">
        <f>G193*Q193</f>
        <v/>
      </c>
      <c r="S193" t="inlineStr">
        <is>
          <t>Hàng thương mại</t>
        </is>
      </c>
    </row>
    <row r="194">
      <c r="A194" t="n">
        <v>193</v>
      </c>
      <c r="B194" t="inlineStr">
        <is>
          <t>SW-TRD-193</t>
        </is>
      </c>
      <c r="C194" t="inlineStr">
        <is>
          <t>THƯƠNG MẠI</t>
        </is>
      </c>
      <c r="D194" t="inlineStr">
        <is>
          <t>HỆ THỐNG CẤP GIÓ TƯƠI, GIÓ BÙ Quạt hướng trục OAF-A1.2-2F-01-01 136 l/s @150Pa</t>
        </is>
      </c>
      <c r="E194" t="inlineStr">
        <is>
          <t>-</t>
        </is>
      </c>
      <c r="F194" t="inlineStr">
        <is>
          <t>Cái</t>
        </is>
      </c>
      <c r="G194" s="390" t="n">
        <v>1</v>
      </c>
      <c r="H194" s="390">
        <f>SUMIF('01_BOC_TACH_ONG'!B:B, B194, '01_BOC_TACH_ONG'!K:K)</f>
        <v/>
      </c>
      <c r="I194" s="390">
        <f>SUMIF('02_BOC_TACH_CUA'!B:B, B194, '02_BOC_TACH_CUA'!K:K)</f>
        <v/>
      </c>
      <c r="J194" s="390">
        <f>SUMIF('03_BOC_TACH_VAN'!B:B, B194, '03_BOC_TACH_VAN'!K:K)</f>
        <v/>
      </c>
      <c r="K194" s="390">
        <f>SUM(H194:J194)</f>
        <v/>
      </c>
      <c r="L194" s="390">
        <f>K194*0.00</f>
        <v/>
      </c>
      <c r="M194" s="390">
        <f>K194*0.02</f>
        <v/>
      </c>
      <c r="N194" s="390">
        <f>K194+L194+M194</f>
        <v/>
      </c>
      <c r="O194" s="390">
        <f>IF(G194&gt;0, N194/G194, 0)</f>
        <v/>
      </c>
      <c r="P194" s="391" t="n">
        <v>0.1</v>
      </c>
      <c r="Q194" s="390">
        <f>O194*(1+P194)</f>
        <v/>
      </c>
      <c r="R194" s="390">
        <f>G194*Q194</f>
        <v/>
      </c>
      <c r="S194" t="inlineStr">
        <is>
          <t>Hàng thương mại</t>
        </is>
      </c>
    </row>
    <row r="195">
      <c r="A195" t="n">
        <v>194</v>
      </c>
      <c r="B195" t="inlineStr">
        <is>
          <t>SW-TRD-194</t>
        </is>
      </c>
      <c r="C195" t="inlineStr">
        <is>
          <t>THƯƠNG MẠI</t>
        </is>
      </c>
      <c r="D195" t="inlineStr">
        <is>
          <t>HỆ THỐNG CẤP GIÓ TƯƠI, GIÓ BÙ Quạt hướng trục OAF-A1.2-2F-02-01 180 l/s @150Pa</t>
        </is>
      </c>
      <c r="E195" t="inlineStr">
        <is>
          <t>-</t>
        </is>
      </c>
      <c r="F195" t="inlineStr">
        <is>
          <t>Cái</t>
        </is>
      </c>
      <c r="G195" s="390" t="n">
        <v>1</v>
      </c>
      <c r="H195" s="390">
        <f>SUMIF('01_BOC_TACH_ONG'!B:B, B195, '01_BOC_TACH_ONG'!K:K)</f>
        <v/>
      </c>
      <c r="I195" s="390">
        <f>SUMIF('02_BOC_TACH_CUA'!B:B, B195, '02_BOC_TACH_CUA'!K:K)</f>
        <v/>
      </c>
      <c r="J195" s="390">
        <f>SUMIF('03_BOC_TACH_VAN'!B:B, B195, '03_BOC_TACH_VAN'!K:K)</f>
        <v/>
      </c>
      <c r="K195" s="390">
        <f>SUM(H195:J195)</f>
        <v/>
      </c>
      <c r="L195" s="390">
        <f>K195*0.00</f>
        <v/>
      </c>
      <c r="M195" s="390">
        <f>K195*0.02</f>
        <v/>
      </c>
      <c r="N195" s="390">
        <f>K195+L195+M195</f>
        <v/>
      </c>
      <c r="O195" s="390">
        <f>IF(G195&gt;0, N195/G195, 0)</f>
        <v/>
      </c>
      <c r="P195" s="391" t="n">
        <v>0.1</v>
      </c>
      <c r="Q195" s="390">
        <f>O195*(1+P195)</f>
        <v/>
      </c>
      <c r="R195" s="390">
        <f>G195*Q195</f>
        <v/>
      </c>
      <c r="S195" t="inlineStr">
        <is>
          <t>Hàng thương mại</t>
        </is>
      </c>
    </row>
    <row r="196">
      <c r="A196" t="n">
        <v>195</v>
      </c>
      <c r="B196" t="inlineStr">
        <is>
          <t>SW-TRD-195</t>
        </is>
      </c>
      <c r="C196" t="inlineStr">
        <is>
          <t>THƯƠNG MẠI</t>
        </is>
      </c>
      <c r="D196" t="inlineStr">
        <is>
          <t>HỆ THỐNG CẤP GIÓ TƯƠI, GIÓ BÙ Quạt hướng trục OAF-A1.2-2F-03-01 160 l/s @150Pa</t>
        </is>
      </c>
      <c r="E196" t="inlineStr">
        <is>
          <t>-</t>
        </is>
      </c>
      <c r="F196" t="inlineStr">
        <is>
          <t>Cái</t>
        </is>
      </c>
      <c r="G196" s="390" t="n">
        <v>1</v>
      </c>
      <c r="H196" s="390">
        <f>SUMIF('01_BOC_TACH_ONG'!B:B, B196, '01_BOC_TACH_ONG'!K:K)</f>
        <v/>
      </c>
      <c r="I196" s="390">
        <f>SUMIF('02_BOC_TACH_CUA'!B:B, B196, '02_BOC_TACH_CUA'!K:K)</f>
        <v/>
      </c>
      <c r="J196" s="390">
        <f>SUMIF('03_BOC_TACH_VAN'!B:B, B196, '03_BOC_TACH_VAN'!K:K)</f>
        <v/>
      </c>
      <c r="K196" s="390">
        <f>SUM(H196:J196)</f>
        <v/>
      </c>
      <c r="L196" s="390">
        <f>K196*0.00</f>
        <v/>
      </c>
      <c r="M196" s="390">
        <f>K196*0.02</f>
        <v/>
      </c>
      <c r="N196" s="390">
        <f>K196+L196+M196</f>
        <v/>
      </c>
      <c r="O196" s="390">
        <f>IF(G196&gt;0, N196/G196, 0)</f>
        <v/>
      </c>
      <c r="P196" s="391" t="n">
        <v>0.1</v>
      </c>
      <c r="Q196" s="390">
        <f>O196*(1+P196)</f>
        <v/>
      </c>
      <c r="R196" s="390">
        <f>G196*Q196</f>
        <v/>
      </c>
      <c r="S196" t="inlineStr">
        <is>
          <t>Hàng thương mại</t>
        </is>
      </c>
    </row>
    <row r="197">
      <c r="A197" t="n">
        <v>196</v>
      </c>
      <c r="B197" t="inlineStr">
        <is>
          <t>SW-TRD-196</t>
        </is>
      </c>
      <c r="C197" t="inlineStr">
        <is>
          <t>THƯƠNG MẠI</t>
        </is>
      </c>
      <c r="D197" t="inlineStr">
        <is>
          <t>HỆ THỐNG CẤP GIÓ TƯƠI, GIÓ BÙ Quạt hướng trục OAF-A1.2-2F-04-01 157 l/s @150Pa</t>
        </is>
      </c>
      <c r="E197" t="inlineStr">
        <is>
          <t>-</t>
        </is>
      </c>
      <c r="F197" t="inlineStr">
        <is>
          <t>Cái</t>
        </is>
      </c>
      <c r="G197" s="390" t="n">
        <v>1</v>
      </c>
      <c r="H197" s="390">
        <f>SUMIF('01_BOC_TACH_ONG'!B:B, B197, '01_BOC_TACH_ONG'!K:K)</f>
        <v/>
      </c>
      <c r="I197" s="390">
        <f>SUMIF('02_BOC_TACH_CUA'!B:B, B197, '02_BOC_TACH_CUA'!K:K)</f>
        <v/>
      </c>
      <c r="J197" s="390">
        <f>SUMIF('03_BOC_TACH_VAN'!B:B, B197, '03_BOC_TACH_VAN'!K:K)</f>
        <v/>
      </c>
      <c r="K197" s="390">
        <f>SUM(H197:J197)</f>
        <v/>
      </c>
      <c r="L197" s="390">
        <f>K197*0.00</f>
        <v/>
      </c>
      <c r="M197" s="390">
        <f>K197*0.02</f>
        <v/>
      </c>
      <c r="N197" s="390">
        <f>K197+L197+M197</f>
        <v/>
      </c>
      <c r="O197" s="390">
        <f>IF(G197&gt;0, N197/G197, 0)</f>
        <v/>
      </c>
      <c r="P197" s="391" t="n">
        <v>0.1</v>
      </c>
      <c r="Q197" s="390">
        <f>O197*(1+P197)</f>
        <v/>
      </c>
      <c r="R197" s="390">
        <f>G197*Q197</f>
        <v/>
      </c>
      <c r="S197" t="inlineStr">
        <is>
          <t>Hàng thương mại</t>
        </is>
      </c>
    </row>
    <row r="198">
      <c r="A198" t="n">
        <v>197</v>
      </c>
      <c r="B198" t="inlineStr">
        <is>
          <t>SW-TRD-197</t>
        </is>
      </c>
      <c r="C198" t="inlineStr">
        <is>
          <t>THƯƠNG MẠI</t>
        </is>
      </c>
      <c r="D198" t="inlineStr">
        <is>
          <t>HỆ THỐNG CẤP GIÓ TƯƠI, GIÓ BÙ Quạt hướng trục OAF-A1.2-2F-05-01 151 l/s @150Pa</t>
        </is>
      </c>
      <c r="E198" t="inlineStr">
        <is>
          <t>-</t>
        </is>
      </c>
      <c r="F198" t="inlineStr">
        <is>
          <t>Cái</t>
        </is>
      </c>
      <c r="G198" s="390" t="n">
        <v>1</v>
      </c>
      <c r="H198" s="390">
        <f>SUMIF('01_BOC_TACH_ONG'!B:B, B198, '01_BOC_TACH_ONG'!K:K)</f>
        <v/>
      </c>
      <c r="I198" s="390">
        <f>SUMIF('02_BOC_TACH_CUA'!B:B, B198, '02_BOC_TACH_CUA'!K:K)</f>
        <v/>
      </c>
      <c r="J198" s="390">
        <f>SUMIF('03_BOC_TACH_VAN'!B:B, B198, '03_BOC_TACH_VAN'!K:K)</f>
        <v/>
      </c>
      <c r="K198" s="390">
        <f>SUM(H198:J198)</f>
        <v/>
      </c>
      <c r="L198" s="390">
        <f>K198*0.00</f>
        <v/>
      </c>
      <c r="M198" s="390">
        <f>K198*0.02</f>
        <v/>
      </c>
      <c r="N198" s="390">
        <f>K198+L198+M198</f>
        <v/>
      </c>
      <c r="O198" s="390">
        <f>IF(G198&gt;0, N198/G198, 0)</f>
        <v/>
      </c>
      <c r="P198" s="391" t="n">
        <v>0.1</v>
      </c>
      <c r="Q198" s="390">
        <f>O198*(1+P198)</f>
        <v/>
      </c>
      <c r="R198" s="390">
        <f>G198*Q198</f>
        <v/>
      </c>
      <c r="S198" t="inlineStr">
        <is>
          <t>Hàng thương mại</t>
        </is>
      </c>
    </row>
    <row r="199">
      <c r="A199" t="n">
        <v>198</v>
      </c>
      <c r="B199" t="inlineStr">
        <is>
          <t>SW-TRD-198</t>
        </is>
      </c>
      <c r="C199" t="inlineStr">
        <is>
          <t>THƯƠNG MẠI</t>
        </is>
      </c>
      <c r="D199" t="inlineStr">
        <is>
          <t>HỆ THỐNG CẤP GIÓ TƯƠI, GIÓ BÙ Quạt hướng trục OAF-A1.2-2F-06-01 159 l/s @150Pa</t>
        </is>
      </c>
      <c r="E199" t="inlineStr">
        <is>
          <t>-</t>
        </is>
      </c>
      <c r="F199" t="inlineStr">
        <is>
          <t>Cái</t>
        </is>
      </c>
      <c r="G199" s="390" t="n">
        <v>1</v>
      </c>
      <c r="H199" s="390">
        <f>SUMIF('01_BOC_TACH_ONG'!B:B, B199, '01_BOC_TACH_ONG'!K:K)</f>
        <v/>
      </c>
      <c r="I199" s="390">
        <f>SUMIF('02_BOC_TACH_CUA'!B:B, B199, '02_BOC_TACH_CUA'!K:K)</f>
        <v/>
      </c>
      <c r="J199" s="390">
        <f>SUMIF('03_BOC_TACH_VAN'!B:B, B199, '03_BOC_TACH_VAN'!K:K)</f>
        <v/>
      </c>
      <c r="K199" s="390">
        <f>SUM(H199:J199)</f>
        <v/>
      </c>
      <c r="L199" s="390">
        <f>K199*0.00</f>
        <v/>
      </c>
      <c r="M199" s="390">
        <f>K199*0.02</f>
        <v/>
      </c>
      <c r="N199" s="390">
        <f>K199+L199+M199</f>
        <v/>
      </c>
      <c r="O199" s="390">
        <f>IF(G199&gt;0, N199/G199, 0)</f>
        <v/>
      </c>
      <c r="P199" s="391" t="n">
        <v>0.1</v>
      </c>
      <c r="Q199" s="390">
        <f>O199*(1+P199)</f>
        <v/>
      </c>
      <c r="R199" s="390">
        <f>G199*Q199</f>
        <v/>
      </c>
      <c r="S199" t="inlineStr">
        <is>
          <t>Hàng thương mại</t>
        </is>
      </c>
    </row>
    <row r="200">
      <c r="A200" t="n">
        <v>199</v>
      </c>
      <c r="B200" t="inlineStr">
        <is>
          <t>SW-TRD-199</t>
        </is>
      </c>
      <c r="C200" t="inlineStr">
        <is>
          <t>THƯƠNG MẠI</t>
        </is>
      </c>
      <c r="D200" t="inlineStr">
        <is>
          <t>HỆ THỐNG CẤP GIÓ TƯƠI, GIÓ BÙ Quạt hướng trục OAF-A1.2-2F-12-01 240 l/s @150Pa</t>
        </is>
      </c>
      <c r="E200" t="inlineStr">
        <is>
          <t>-</t>
        </is>
      </c>
      <c r="F200" t="inlineStr">
        <is>
          <t>Cái</t>
        </is>
      </c>
      <c r="G200" s="390" t="n">
        <v>1</v>
      </c>
      <c r="H200" s="390">
        <f>SUMIF('01_BOC_TACH_ONG'!B:B, B200, '01_BOC_TACH_ONG'!K:K)</f>
        <v/>
      </c>
      <c r="I200" s="390">
        <f>SUMIF('02_BOC_TACH_CUA'!B:B, B200, '02_BOC_TACH_CUA'!K:K)</f>
        <v/>
      </c>
      <c r="J200" s="390">
        <f>SUMIF('03_BOC_TACH_VAN'!B:B, B200, '03_BOC_TACH_VAN'!K:K)</f>
        <v/>
      </c>
      <c r="K200" s="390">
        <f>SUM(H200:J200)</f>
        <v/>
      </c>
      <c r="L200" s="390">
        <f>K200*0.00</f>
        <v/>
      </c>
      <c r="M200" s="390">
        <f>K200*0.02</f>
        <v/>
      </c>
      <c r="N200" s="390">
        <f>K200+L200+M200</f>
        <v/>
      </c>
      <c r="O200" s="390">
        <f>IF(G200&gt;0, N200/G200, 0)</f>
        <v/>
      </c>
      <c r="P200" s="391" t="n">
        <v>0.1</v>
      </c>
      <c r="Q200" s="390">
        <f>O200*(1+P200)</f>
        <v/>
      </c>
      <c r="R200" s="390">
        <f>G200*Q200</f>
        <v/>
      </c>
      <c r="S200" t="inlineStr">
        <is>
          <t>Hàng thương mại</t>
        </is>
      </c>
    </row>
    <row r="201">
      <c r="A201" t="n">
        <v>200</v>
      </c>
      <c r="B201" t="inlineStr">
        <is>
          <t>SW-TRD-200</t>
        </is>
      </c>
      <c r="C201" t="inlineStr">
        <is>
          <t>THƯƠNG MẠI</t>
        </is>
      </c>
      <c r="D201" t="inlineStr">
        <is>
          <t>HỆ THỐNG CẤP GIÓ TƯƠI, GIÓ BÙ Quạt hướng trục OAF-A1.3-2F-01-01 164 l/s @150Pa</t>
        </is>
      </c>
      <c r="E201" t="inlineStr">
        <is>
          <t>-</t>
        </is>
      </c>
      <c r="F201" t="inlineStr">
        <is>
          <t>Cái</t>
        </is>
      </c>
      <c r="G201" s="390" t="n">
        <v>1</v>
      </c>
      <c r="H201" s="390">
        <f>SUMIF('01_BOC_TACH_ONG'!B:B, B201, '01_BOC_TACH_ONG'!K:K)</f>
        <v/>
      </c>
      <c r="I201" s="390">
        <f>SUMIF('02_BOC_TACH_CUA'!B:B, B201, '02_BOC_TACH_CUA'!K:K)</f>
        <v/>
      </c>
      <c r="J201" s="390">
        <f>SUMIF('03_BOC_TACH_VAN'!B:B, B201, '03_BOC_TACH_VAN'!K:K)</f>
        <v/>
      </c>
      <c r="K201" s="390">
        <f>SUM(H201:J201)</f>
        <v/>
      </c>
      <c r="L201" s="390">
        <f>K201*0.00</f>
        <v/>
      </c>
      <c r="M201" s="390">
        <f>K201*0.02</f>
        <v/>
      </c>
      <c r="N201" s="390">
        <f>K201+L201+M201</f>
        <v/>
      </c>
      <c r="O201" s="390">
        <f>IF(G201&gt;0, N201/G201, 0)</f>
        <v/>
      </c>
      <c r="P201" s="391" t="n">
        <v>0.1</v>
      </c>
      <c r="Q201" s="390">
        <f>O201*(1+P201)</f>
        <v/>
      </c>
      <c r="R201" s="390">
        <f>G201*Q201</f>
        <v/>
      </c>
      <c r="S201" t="inlineStr">
        <is>
          <t>Hàng thương mại</t>
        </is>
      </c>
    </row>
    <row r="202">
      <c r="A202" t="n">
        <v>201</v>
      </c>
      <c r="B202" t="inlineStr">
        <is>
          <t>SW-TRD-201</t>
        </is>
      </c>
      <c r="C202" t="inlineStr">
        <is>
          <t>THƯƠNG MẠI</t>
        </is>
      </c>
      <c r="D202" t="inlineStr">
        <is>
          <t>HỆ THỐNG CẤP GIÓ TƯƠI, GIÓ BÙ Quạt hướng trục OAF-A1.3-2F-02-01 142 l/s @150Pa</t>
        </is>
      </c>
      <c r="E202" t="inlineStr">
        <is>
          <t>-</t>
        </is>
      </c>
      <c r="F202" t="inlineStr">
        <is>
          <t>Cái</t>
        </is>
      </c>
      <c r="G202" s="390" t="n">
        <v>1</v>
      </c>
      <c r="H202" s="390">
        <f>SUMIF('01_BOC_TACH_ONG'!B:B, B202, '01_BOC_TACH_ONG'!K:K)</f>
        <v/>
      </c>
      <c r="I202" s="390">
        <f>SUMIF('02_BOC_TACH_CUA'!B:B, B202, '02_BOC_TACH_CUA'!K:K)</f>
        <v/>
      </c>
      <c r="J202" s="390">
        <f>SUMIF('03_BOC_TACH_VAN'!B:B, B202, '03_BOC_TACH_VAN'!K:K)</f>
        <v/>
      </c>
      <c r="K202" s="390">
        <f>SUM(H202:J202)</f>
        <v/>
      </c>
      <c r="L202" s="390">
        <f>K202*0.00</f>
        <v/>
      </c>
      <c r="M202" s="390">
        <f>K202*0.02</f>
        <v/>
      </c>
      <c r="N202" s="390">
        <f>K202+L202+M202</f>
        <v/>
      </c>
      <c r="O202" s="390">
        <f>IF(G202&gt;0, N202/G202, 0)</f>
        <v/>
      </c>
      <c r="P202" s="391" t="n">
        <v>0.1</v>
      </c>
      <c r="Q202" s="390">
        <f>O202*(1+P202)</f>
        <v/>
      </c>
      <c r="R202" s="390">
        <f>G202*Q202</f>
        <v/>
      </c>
      <c r="S202" t="inlineStr">
        <is>
          <t>Hàng thương mại</t>
        </is>
      </c>
    </row>
    <row r="203">
      <c r="A203" t="n">
        <v>202</v>
      </c>
      <c r="B203" t="inlineStr">
        <is>
          <t>SW-TRD-202</t>
        </is>
      </c>
      <c r="C203" t="inlineStr">
        <is>
          <t>THƯƠNG MẠI</t>
        </is>
      </c>
      <c r="D203" t="inlineStr">
        <is>
          <t>HỆ THỐNG CẤP GIÓ TƯƠI, GIÓ BÙ Quạt hướng trục OAF-A1.3-2F-03-01 268 l/s @150Pa</t>
        </is>
      </c>
      <c r="E203" t="inlineStr">
        <is>
          <t>-</t>
        </is>
      </c>
      <c r="F203" t="inlineStr">
        <is>
          <t>Cái</t>
        </is>
      </c>
      <c r="G203" s="390" t="n">
        <v>1</v>
      </c>
      <c r="H203" s="390">
        <f>SUMIF('01_BOC_TACH_ONG'!B:B, B203, '01_BOC_TACH_ONG'!K:K)</f>
        <v/>
      </c>
      <c r="I203" s="390">
        <f>SUMIF('02_BOC_TACH_CUA'!B:B, B203, '02_BOC_TACH_CUA'!K:K)</f>
        <v/>
      </c>
      <c r="J203" s="390">
        <f>SUMIF('03_BOC_TACH_VAN'!B:B, B203, '03_BOC_TACH_VAN'!K:K)</f>
        <v/>
      </c>
      <c r="K203" s="390">
        <f>SUM(H203:J203)</f>
        <v/>
      </c>
      <c r="L203" s="390">
        <f>K203*0.00</f>
        <v/>
      </c>
      <c r="M203" s="390">
        <f>K203*0.02</f>
        <v/>
      </c>
      <c r="N203" s="390">
        <f>K203+L203+M203</f>
        <v/>
      </c>
      <c r="O203" s="390">
        <f>IF(G203&gt;0, N203/G203, 0)</f>
        <v/>
      </c>
      <c r="P203" s="391" t="n">
        <v>0.1</v>
      </c>
      <c r="Q203" s="390">
        <f>O203*(1+P203)</f>
        <v/>
      </c>
      <c r="R203" s="390">
        <f>G203*Q203</f>
        <v/>
      </c>
      <c r="S203" t="inlineStr">
        <is>
          <t>Hàng thương mại</t>
        </is>
      </c>
    </row>
    <row r="204">
      <c r="A204" t="n">
        <v>203</v>
      </c>
      <c r="B204" t="inlineStr">
        <is>
          <t>SW-TRD-203</t>
        </is>
      </c>
      <c r="C204" t="inlineStr">
        <is>
          <t>THƯƠNG MẠI</t>
        </is>
      </c>
      <c r="D204" t="inlineStr">
        <is>
          <t>HỆ THỐNG CẤP GIÓ TƯƠI, GIÓ BÙ Quạt hướng trục OAF-A1.3-2F-05A-01 167 l/s @150Pa</t>
        </is>
      </c>
      <c r="E204" t="inlineStr">
        <is>
          <t>-</t>
        </is>
      </c>
      <c r="F204" t="inlineStr">
        <is>
          <t>Cái</t>
        </is>
      </c>
      <c r="G204" s="390" t="n">
        <v>1</v>
      </c>
      <c r="H204" s="390">
        <f>SUMIF('01_BOC_TACH_ONG'!B:B, B204, '01_BOC_TACH_ONG'!K:K)</f>
        <v/>
      </c>
      <c r="I204" s="390">
        <f>SUMIF('02_BOC_TACH_CUA'!B:B, B204, '02_BOC_TACH_CUA'!K:K)</f>
        <v/>
      </c>
      <c r="J204" s="390">
        <f>SUMIF('03_BOC_TACH_VAN'!B:B, B204, '03_BOC_TACH_VAN'!K:K)</f>
        <v/>
      </c>
      <c r="K204" s="390">
        <f>SUM(H204:J204)</f>
        <v/>
      </c>
      <c r="L204" s="390">
        <f>K204*0.00</f>
        <v/>
      </c>
      <c r="M204" s="390">
        <f>K204*0.02</f>
        <v/>
      </c>
      <c r="N204" s="390">
        <f>K204+L204+M204</f>
        <v/>
      </c>
      <c r="O204" s="390">
        <f>IF(G204&gt;0, N204/G204, 0)</f>
        <v/>
      </c>
      <c r="P204" s="391" t="n">
        <v>0.1</v>
      </c>
      <c r="Q204" s="390">
        <f>O204*(1+P204)</f>
        <v/>
      </c>
      <c r="R204" s="390">
        <f>G204*Q204</f>
        <v/>
      </c>
      <c r="S204" t="inlineStr">
        <is>
          <t>Hàng thương mại</t>
        </is>
      </c>
    </row>
    <row r="205">
      <c r="A205" t="n">
        <v>204</v>
      </c>
      <c r="B205" t="inlineStr">
        <is>
          <t>SW-TRD-204</t>
        </is>
      </c>
      <c r="C205" t="inlineStr">
        <is>
          <t>THƯƠNG MẠI</t>
        </is>
      </c>
      <c r="D205" t="inlineStr">
        <is>
          <t>HỆ THỐNG CẤP GIÓ TƯƠI, GIÓ BÙ Quạt hướng trục OAF-A1.3-2F-05-01 82 l/s @150Pa</t>
        </is>
      </c>
      <c r="E205" t="inlineStr">
        <is>
          <t>-</t>
        </is>
      </c>
      <c r="F205" t="inlineStr">
        <is>
          <t>Cái</t>
        </is>
      </c>
      <c r="G205" s="390" t="n">
        <v>1</v>
      </c>
      <c r="H205" s="390">
        <f>SUMIF('01_BOC_TACH_ONG'!B:B, B205, '01_BOC_TACH_ONG'!K:K)</f>
        <v/>
      </c>
      <c r="I205" s="390">
        <f>SUMIF('02_BOC_TACH_CUA'!B:B, B205, '02_BOC_TACH_CUA'!K:K)</f>
        <v/>
      </c>
      <c r="J205" s="390">
        <f>SUMIF('03_BOC_TACH_VAN'!B:B, B205, '03_BOC_TACH_VAN'!K:K)</f>
        <v/>
      </c>
      <c r="K205" s="390">
        <f>SUM(H205:J205)</f>
        <v/>
      </c>
      <c r="L205" s="390">
        <f>K205*0.00</f>
        <v/>
      </c>
      <c r="M205" s="390">
        <f>K205*0.02</f>
        <v/>
      </c>
      <c r="N205" s="390">
        <f>K205+L205+M205</f>
        <v/>
      </c>
      <c r="O205" s="390">
        <f>IF(G205&gt;0, N205/G205, 0)</f>
        <v/>
      </c>
      <c r="P205" s="391" t="n">
        <v>0.1</v>
      </c>
      <c r="Q205" s="390">
        <f>O205*(1+P205)</f>
        <v/>
      </c>
      <c r="R205" s="390">
        <f>G205*Q205</f>
        <v/>
      </c>
      <c r="S205" t="inlineStr">
        <is>
          <t>Hàng thương mại</t>
        </is>
      </c>
    </row>
    <row r="206">
      <c r="A206" t="n">
        <v>205</v>
      </c>
      <c r="B206" t="inlineStr">
        <is>
          <t>SW-TRD-205</t>
        </is>
      </c>
      <c r="C206" t="inlineStr">
        <is>
          <t>THƯƠNG MẠI</t>
        </is>
      </c>
      <c r="D206" t="inlineStr">
        <is>
          <t>HỆ THỐNG CẤP GIÓ TƯƠI, GIÓ BÙ Quạt hướng trục OAF-A1.3-2F-06-01 47 l/s @150Pa</t>
        </is>
      </c>
      <c r="E206" t="inlineStr">
        <is>
          <t>-</t>
        </is>
      </c>
      <c r="F206" t="inlineStr">
        <is>
          <t>Cái</t>
        </is>
      </c>
      <c r="G206" s="390" t="n">
        <v>1</v>
      </c>
      <c r="H206" s="390">
        <f>SUMIF('01_BOC_TACH_ONG'!B:B, B206, '01_BOC_TACH_ONG'!K:K)</f>
        <v/>
      </c>
      <c r="I206" s="390">
        <f>SUMIF('02_BOC_TACH_CUA'!B:B, B206, '02_BOC_TACH_CUA'!K:K)</f>
        <v/>
      </c>
      <c r="J206" s="390">
        <f>SUMIF('03_BOC_TACH_VAN'!B:B, B206, '03_BOC_TACH_VAN'!K:K)</f>
        <v/>
      </c>
      <c r="K206" s="390">
        <f>SUM(H206:J206)</f>
        <v/>
      </c>
      <c r="L206" s="390">
        <f>K206*0.00</f>
        <v/>
      </c>
      <c r="M206" s="390">
        <f>K206*0.02</f>
        <v/>
      </c>
      <c r="N206" s="390">
        <f>K206+L206+M206</f>
        <v/>
      </c>
      <c r="O206" s="390">
        <f>IF(G206&gt;0, N206/G206, 0)</f>
        <v/>
      </c>
      <c r="P206" s="391" t="n">
        <v>0.1</v>
      </c>
      <c r="Q206" s="390">
        <f>O206*(1+P206)</f>
        <v/>
      </c>
      <c r="R206" s="390">
        <f>G206*Q206</f>
        <v/>
      </c>
      <c r="S206" t="inlineStr">
        <is>
          <t>Hàng thương mại</t>
        </is>
      </c>
    </row>
    <row r="207">
      <c r="A207" t="n">
        <v>206</v>
      </c>
      <c r="B207" t="inlineStr">
        <is>
          <t>SW-TRD-206</t>
        </is>
      </c>
      <c r="C207" t="inlineStr">
        <is>
          <t>THƯƠNG MẠI</t>
        </is>
      </c>
      <c r="D207" t="inlineStr">
        <is>
          <t>HỆ THỐNG CẤP GIÓ TƯƠI, GIÓ BÙ Quạt hướng trục OAF-A1.3-2F-08A-01 147 l/s @150Pa</t>
        </is>
      </c>
      <c r="E207" t="inlineStr">
        <is>
          <t>-</t>
        </is>
      </c>
      <c r="F207" t="inlineStr">
        <is>
          <t>Cái</t>
        </is>
      </c>
      <c r="G207" s="390" t="n">
        <v>1</v>
      </c>
      <c r="H207" s="390">
        <f>SUMIF('01_BOC_TACH_ONG'!B:B, B207, '01_BOC_TACH_ONG'!K:K)</f>
        <v/>
      </c>
      <c r="I207" s="390">
        <f>SUMIF('02_BOC_TACH_CUA'!B:B, B207, '02_BOC_TACH_CUA'!K:K)</f>
        <v/>
      </c>
      <c r="J207" s="390">
        <f>SUMIF('03_BOC_TACH_VAN'!B:B, B207, '03_BOC_TACH_VAN'!K:K)</f>
        <v/>
      </c>
      <c r="K207" s="390">
        <f>SUM(H207:J207)</f>
        <v/>
      </c>
      <c r="L207" s="390">
        <f>K207*0.00</f>
        <v/>
      </c>
      <c r="M207" s="390">
        <f>K207*0.02</f>
        <v/>
      </c>
      <c r="N207" s="390">
        <f>K207+L207+M207</f>
        <v/>
      </c>
      <c r="O207" s="390">
        <f>IF(G207&gt;0, N207/G207, 0)</f>
        <v/>
      </c>
      <c r="P207" s="391" t="n">
        <v>0.1</v>
      </c>
      <c r="Q207" s="390">
        <f>O207*(1+P207)</f>
        <v/>
      </c>
      <c r="R207" s="390">
        <f>G207*Q207</f>
        <v/>
      </c>
      <c r="S207" t="inlineStr">
        <is>
          <t>Hàng thương mại</t>
        </is>
      </c>
    </row>
    <row r="208">
      <c r="A208" t="n">
        <v>207</v>
      </c>
      <c r="B208" t="inlineStr">
        <is>
          <t>SW-ACST-207</t>
        </is>
      </c>
      <c r="C208" t="inlineStr">
        <is>
          <t>VÁCH NGĂN / HỘP TIÊU ÂM</t>
        </is>
      </c>
      <c r="D208" t="inlineStr">
        <is>
          <t>HỆ THỐNG CẤP GIÓ TƯƠI, GIÓ BÙ Tiêu âm quạt</t>
        </is>
      </c>
      <c r="E208" t="inlineStr">
        <is>
          <t>-</t>
        </is>
      </c>
      <c r="F208" t="inlineStr">
        <is>
          <t>Bộ</t>
        </is>
      </c>
      <c r="G208" s="390" t="n">
        <v>8</v>
      </c>
      <c r="H208" s="390">
        <f>SUMIF('01_BOC_TACH_ONG'!B:B, B208, '01_BOC_TACH_ONG'!K:K)</f>
        <v/>
      </c>
      <c r="I208" s="390">
        <f>SUMIF('02_BOC_TACH_CUA'!B:B, B208, '02_BOC_TACH_CUA'!K:K)</f>
        <v/>
      </c>
      <c r="J208" s="390">
        <f>SUMIF('03_BOC_TACH_VAN'!B:B, B208, '03_BOC_TACH_VAN'!K:K)</f>
        <v/>
      </c>
      <c r="K208" s="390">
        <f>SUM(H208:J208)</f>
        <v/>
      </c>
      <c r="L208" s="390">
        <f>K208*0.25</f>
        <v/>
      </c>
      <c r="M208" s="390">
        <f>K208*0.10</f>
        <v/>
      </c>
      <c r="N208" s="390">
        <f>K208+L208+M208</f>
        <v/>
      </c>
      <c r="O208" s="390">
        <f>IF(G208&gt;0, N208/G208, 0)</f>
        <v/>
      </c>
      <c r="P208" s="391" t="n">
        <v>0.18</v>
      </c>
      <c r="Q208" s="390">
        <f>O208*(1+P208)</f>
        <v/>
      </c>
      <c r="R208" s="390">
        <f>G208*Q208</f>
        <v/>
      </c>
      <c r="S208" t="inlineStr"/>
    </row>
    <row r="209">
      <c r="A209" t="n">
        <v>208</v>
      </c>
      <c r="B209" t="inlineStr">
        <is>
          <t>SW-DAMPER-208</t>
        </is>
      </c>
      <c r="C209" t="inlineStr">
        <is>
          <t>VAN GIÓ</t>
        </is>
      </c>
      <c r="D209" t="inlineStr">
        <is>
          <t>HỆ THỐNG CẤP GIÓ TƯƠI, GIÓ BÙ Van 1 chiều NRD 1350x1250 (EI60)</t>
        </is>
      </c>
      <c r="E209" t="inlineStr">
        <is>
          <t>1350x1250</t>
        </is>
      </c>
      <c r="F209" t="inlineStr">
        <is>
          <t>Cái</t>
        </is>
      </c>
      <c r="G209" s="390" t="n">
        <v>4</v>
      </c>
      <c r="H209" s="390">
        <f>SUMIF('01_BOC_TACH_ONG'!B:B, B209, '01_BOC_TACH_ONG'!K:K)</f>
        <v/>
      </c>
      <c r="I209" s="390">
        <f>SUMIF('02_BOC_TACH_CUA'!B:B, B209, '02_BOC_TACH_CUA'!K:K)</f>
        <v/>
      </c>
      <c r="J209" s="390">
        <f>SUMIF('03_BOC_TACH_VAN'!B:B, B209, '03_BOC_TACH_VAN'!K:K)</f>
        <v/>
      </c>
      <c r="K209" s="390">
        <f>SUM(H209:J209)</f>
        <v/>
      </c>
      <c r="L209" s="390">
        <f>K209*0.25</f>
        <v/>
      </c>
      <c r="M209" s="390">
        <f>K209*0.10</f>
        <v/>
      </c>
      <c r="N209" s="390">
        <f>K209+L209+M209</f>
        <v/>
      </c>
      <c r="O209" s="390">
        <f>IF(G209&gt;0, N209/G209, 0)</f>
        <v/>
      </c>
      <c r="P209" s="391" t="n">
        <v>0.18</v>
      </c>
      <c r="Q209" s="390">
        <f>O209*(1+P209)</f>
        <v/>
      </c>
      <c r="R209" s="390">
        <f>G209*Q209</f>
        <v/>
      </c>
      <c r="S209" t="inlineStr"/>
    </row>
    <row r="210">
      <c r="A210" t="n">
        <v>209</v>
      </c>
      <c r="B210" t="inlineStr">
        <is>
          <t>SW-DAMPER-209</t>
        </is>
      </c>
      <c r="C210" t="inlineStr">
        <is>
          <t>VAN GIÓ</t>
        </is>
      </c>
      <c r="D210" t="inlineStr">
        <is>
          <t>HỆ THỐNG CẤP GIÓ TƯƠI, GIÓ BÙ Van 1 chiều NRD1250x600 (EI60)</t>
        </is>
      </c>
      <c r="E210" t="inlineStr">
        <is>
          <t>1250x600</t>
        </is>
      </c>
      <c r="F210" t="inlineStr">
        <is>
          <t>Cái</t>
        </is>
      </c>
      <c r="G210" s="390" t="n">
        <v>4</v>
      </c>
      <c r="H210" s="390">
        <f>SUMIF('01_BOC_TACH_ONG'!B:B, B210, '01_BOC_TACH_ONG'!K:K)</f>
        <v/>
      </c>
      <c r="I210" s="390">
        <f>SUMIF('02_BOC_TACH_CUA'!B:B, B210, '02_BOC_TACH_CUA'!K:K)</f>
        <v/>
      </c>
      <c r="J210" s="390">
        <f>SUMIF('03_BOC_TACH_VAN'!B:B, B210, '03_BOC_TACH_VAN'!K:K)</f>
        <v/>
      </c>
      <c r="K210" s="390">
        <f>SUM(H210:J210)</f>
        <v/>
      </c>
      <c r="L210" s="390">
        <f>K210*0.25</f>
        <v/>
      </c>
      <c r="M210" s="390">
        <f>K210*0.10</f>
        <v/>
      </c>
      <c r="N210" s="390">
        <f>K210+L210+M210</f>
        <v/>
      </c>
      <c r="O210" s="390">
        <f>IF(G210&gt;0, N210/G210, 0)</f>
        <v/>
      </c>
      <c r="P210" s="391" t="n">
        <v>0.18</v>
      </c>
      <c r="Q210" s="390">
        <f>O210*(1+P210)</f>
        <v/>
      </c>
      <c r="R210" s="390">
        <f>G210*Q210</f>
        <v/>
      </c>
      <c r="S210" t="inlineStr"/>
    </row>
    <row r="211">
      <c r="A211" t="n">
        <v>210</v>
      </c>
      <c r="B211" t="inlineStr">
        <is>
          <t>SW-DAMPER-210</t>
        </is>
      </c>
      <c r="C211" t="inlineStr">
        <is>
          <t>VAN GIÓ</t>
        </is>
      </c>
      <c r="D211" t="inlineStr">
        <is>
          <t>HỆ THỐNG CẤP GIÓ TƯƠI, GIÓ BÙ Van 1 chiều NRD 800x250</t>
        </is>
      </c>
      <c r="E211" t="inlineStr">
        <is>
          <t>800x250</t>
        </is>
      </c>
      <c r="F211" t="inlineStr">
        <is>
          <t>Cái</t>
        </is>
      </c>
      <c r="G211" s="390" t="n">
        <v>1</v>
      </c>
      <c r="H211" s="390">
        <f>SUMIF('01_BOC_TACH_ONG'!B:B, B211, '01_BOC_TACH_ONG'!K:K)</f>
        <v/>
      </c>
      <c r="I211" s="390">
        <f>SUMIF('02_BOC_TACH_CUA'!B:B, B211, '02_BOC_TACH_CUA'!K:K)</f>
        <v/>
      </c>
      <c r="J211" s="390">
        <f>SUMIF('03_BOC_TACH_VAN'!B:B, B211, '03_BOC_TACH_VAN'!K:K)</f>
        <v/>
      </c>
      <c r="K211" s="390">
        <f>SUM(H211:J211)</f>
        <v/>
      </c>
      <c r="L211" s="390">
        <f>K211*0.25</f>
        <v/>
      </c>
      <c r="M211" s="390">
        <f>K211*0.10</f>
        <v/>
      </c>
      <c r="N211" s="390">
        <f>K211+L211+M211</f>
        <v/>
      </c>
      <c r="O211" s="390">
        <f>IF(G211&gt;0, N211/G211, 0)</f>
        <v/>
      </c>
      <c r="P211" s="391" t="n">
        <v>0.18</v>
      </c>
      <c r="Q211" s="390">
        <f>O211*(1+P211)</f>
        <v/>
      </c>
      <c r="R211" s="390">
        <f>G211*Q211</f>
        <v/>
      </c>
      <c r="S211" t="inlineStr"/>
    </row>
    <row r="212">
      <c r="A212" t="n">
        <v>211</v>
      </c>
      <c r="B212" t="inlineStr">
        <is>
          <t>SW-DAMPER-211</t>
        </is>
      </c>
      <c r="C212" t="inlineStr">
        <is>
          <t>VAN GIÓ</t>
        </is>
      </c>
      <c r="D212" t="inlineStr">
        <is>
          <t>HỆ THỐNG CẤP GIÓ TƯƠI, GIÓ BÙ Van 1 chiều NRD 800x450</t>
        </is>
      </c>
      <c r="E212" t="inlineStr">
        <is>
          <t>800x450</t>
        </is>
      </c>
      <c r="F212" t="inlineStr">
        <is>
          <t>Cái</t>
        </is>
      </c>
      <c r="G212" s="390" t="n">
        <v>6</v>
      </c>
      <c r="H212" s="390">
        <f>SUMIF('01_BOC_TACH_ONG'!B:B, B212, '01_BOC_TACH_ONG'!K:K)</f>
        <v/>
      </c>
      <c r="I212" s="390">
        <f>SUMIF('02_BOC_TACH_CUA'!B:B, B212, '02_BOC_TACH_CUA'!K:K)</f>
        <v/>
      </c>
      <c r="J212" s="390">
        <f>SUMIF('03_BOC_TACH_VAN'!B:B, B212, '03_BOC_TACH_VAN'!K:K)</f>
        <v/>
      </c>
      <c r="K212" s="390">
        <f>SUM(H212:J212)</f>
        <v/>
      </c>
      <c r="L212" s="390">
        <f>K212*0.25</f>
        <v/>
      </c>
      <c r="M212" s="390">
        <f>K212*0.10</f>
        <v/>
      </c>
      <c r="N212" s="390">
        <f>K212+L212+M212</f>
        <v/>
      </c>
      <c r="O212" s="390">
        <f>IF(G212&gt;0, N212/G212, 0)</f>
        <v/>
      </c>
      <c r="P212" s="391" t="n">
        <v>0.18</v>
      </c>
      <c r="Q212" s="390">
        <f>O212*(1+P212)</f>
        <v/>
      </c>
      <c r="R212" s="390">
        <f>G212*Q212</f>
        <v/>
      </c>
      <c r="S212" t="inlineStr"/>
    </row>
    <row r="213">
      <c r="A213" t="n">
        <v>212</v>
      </c>
      <c r="B213" t="inlineStr">
        <is>
          <t>SW-DAMPER-212</t>
        </is>
      </c>
      <c r="C213" t="inlineStr">
        <is>
          <t>VAN GIÓ</t>
        </is>
      </c>
      <c r="D213" t="inlineStr">
        <is>
          <t>HỆ THỐNG CẤP GIÓ TƯƠI, GIÓ BÙ Van ngăn cháy MFD 1350x1250 (EI60)</t>
        </is>
      </c>
      <c r="E213" t="inlineStr">
        <is>
          <t>1350x1250</t>
        </is>
      </c>
      <c r="F213" t="inlineStr">
        <is>
          <t>Cái</t>
        </is>
      </c>
      <c r="G213" s="390" t="n">
        <v>4</v>
      </c>
      <c r="H213" s="390">
        <f>SUMIF('01_BOC_TACH_ONG'!B:B, B213, '01_BOC_TACH_ONG'!K:K)</f>
        <v/>
      </c>
      <c r="I213" s="390">
        <f>SUMIF('02_BOC_TACH_CUA'!B:B, B213, '02_BOC_TACH_CUA'!K:K)</f>
        <v/>
      </c>
      <c r="J213" s="390">
        <f>SUMIF('03_BOC_TACH_VAN'!B:B, B213, '03_BOC_TACH_VAN'!K:K)</f>
        <v/>
      </c>
      <c r="K213" s="390">
        <f>SUM(H213:J213)</f>
        <v/>
      </c>
      <c r="L213" s="390">
        <f>K213*0.25</f>
        <v/>
      </c>
      <c r="M213" s="390">
        <f>K213*0.10</f>
        <v/>
      </c>
      <c r="N213" s="390">
        <f>K213+L213+M213</f>
        <v/>
      </c>
      <c r="O213" s="390">
        <f>IF(G213&gt;0, N213/G213, 0)</f>
        <v/>
      </c>
      <c r="P213" s="391" t="n">
        <v>0.18</v>
      </c>
      <c r="Q213" s="390">
        <f>O213*(1+P213)</f>
        <v/>
      </c>
      <c r="R213" s="390">
        <f>G213*Q213</f>
        <v/>
      </c>
      <c r="S213" t="inlineStr"/>
    </row>
    <row r="214">
      <c r="A214" t="n">
        <v>213</v>
      </c>
      <c r="B214" t="inlineStr">
        <is>
          <t>SW-DAMPER-213</t>
        </is>
      </c>
      <c r="C214" t="inlineStr">
        <is>
          <t>VAN GIÓ</t>
        </is>
      </c>
      <c r="D214" t="inlineStr">
        <is>
          <t>HỆ THỐNG CẤP GIÓ TƯƠI, GIÓ BÙ Van ngăn cháy MFD 1250x600 (EI60)</t>
        </is>
      </c>
      <c r="E214" t="inlineStr">
        <is>
          <t>1250x600</t>
        </is>
      </c>
      <c r="F214" t="inlineStr">
        <is>
          <t>Cái</t>
        </is>
      </c>
      <c r="G214" s="390" t="n">
        <v>4</v>
      </c>
      <c r="H214" s="390">
        <f>SUMIF('01_BOC_TACH_ONG'!B:B, B214, '01_BOC_TACH_ONG'!K:K)</f>
        <v/>
      </c>
      <c r="I214" s="390">
        <f>SUMIF('02_BOC_TACH_CUA'!B:B, B214, '02_BOC_TACH_CUA'!K:K)</f>
        <v/>
      </c>
      <c r="J214" s="390">
        <f>SUMIF('03_BOC_TACH_VAN'!B:B, B214, '03_BOC_TACH_VAN'!K:K)</f>
        <v/>
      </c>
      <c r="K214" s="390">
        <f>SUM(H214:J214)</f>
        <v/>
      </c>
      <c r="L214" s="390">
        <f>K214*0.25</f>
        <v/>
      </c>
      <c r="M214" s="390">
        <f>K214*0.10</f>
        <v/>
      </c>
      <c r="N214" s="390">
        <f>K214+L214+M214</f>
        <v/>
      </c>
      <c r="O214" s="390">
        <f>IF(G214&gt;0, N214/G214, 0)</f>
        <v/>
      </c>
      <c r="P214" s="391" t="n">
        <v>0.18</v>
      </c>
      <c r="Q214" s="390">
        <f>O214*(1+P214)</f>
        <v/>
      </c>
      <c r="R214" s="390">
        <f>G214*Q214</f>
        <v/>
      </c>
      <c r="S214" t="inlineStr"/>
    </row>
    <row r="215">
      <c r="A215" t="n">
        <v>214</v>
      </c>
      <c r="B215" t="inlineStr">
        <is>
          <t>SW-DAMPER-214</t>
        </is>
      </c>
      <c r="C215" t="inlineStr">
        <is>
          <t>VAN GIÓ</t>
        </is>
      </c>
      <c r="D215" t="inlineStr">
        <is>
          <t>HỆ THỐNG CẤP GIÓ TƯƠI, GIÓ BÙ Van ngăn cháy MFD 1050x350 (EI120)</t>
        </is>
      </c>
      <c r="E215" t="inlineStr">
        <is>
          <t>1050x350</t>
        </is>
      </c>
      <c r="F215" t="inlineStr">
        <is>
          <t>Cái</t>
        </is>
      </c>
      <c r="G215" s="390" t="n">
        <v>3</v>
      </c>
      <c r="H215" s="390">
        <f>SUMIF('01_BOC_TACH_ONG'!B:B, B215, '01_BOC_TACH_ONG'!K:K)</f>
        <v/>
      </c>
      <c r="I215" s="390">
        <f>SUMIF('02_BOC_TACH_CUA'!B:B, B215, '02_BOC_TACH_CUA'!K:K)</f>
        <v/>
      </c>
      <c r="J215" s="390">
        <f>SUMIF('03_BOC_TACH_VAN'!B:B, B215, '03_BOC_TACH_VAN'!K:K)</f>
        <v/>
      </c>
      <c r="K215" s="390">
        <f>SUM(H215:J215)</f>
        <v/>
      </c>
      <c r="L215" s="390">
        <f>K215*0.25</f>
        <v/>
      </c>
      <c r="M215" s="390">
        <f>K215*0.10</f>
        <v/>
      </c>
      <c r="N215" s="390">
        <f>K215+L215+M215</f>
        <v/>
      </c>
      <c r="O215" s="390">
        <f>IF(G215&gt;0, N215/G215, 0)</f>
        <v/>
      </c>
      <c r="P215" s="391" t="n">
        <v>0.18</v>
      </c>
      <c r="Q215" s="390">
        <f>O215*(1+P215)</f>
        <v/>
      </c>
      <c r="R215" s="390">
        <f>G215*Q215</f>
        <v/>
      </c>
      <c r="S215" t="inlineStr"/>
    </row>
    <row r="216">
      <c r="A216" t="n">
        <v>215</v>
      </c>
      <c r="B216" t="inlineStr">
        <is>
          <t>SW-DAMPER-215</t>
        </is>
      </c>
      <c r="C216" t="inlineStr">
        <is>
          <t>VAN GIÓ</t>
        </is>
      </c>
      <c r="D216" t="inlineStr">
        <is>
          <t>HỆ THỐNG CẤP GIÓ TƯƠI, GIÓ BÙ Van ngăn cháy MFD 800x350 (EI30)</t>
        </is>
      </c>
      <c r="E216" t="inlineStr">
        <is>
          <t>800x350</t>
        </is>
      </c>
      <c r="F216" t="inlineStr">
        <is>
          <t>Cái</t>
        </is>
      </c>
      <c r="G216" s="390" t="n">
        <v>7</v>
      </c>
      <c r="H216" s="390">
        <f>SUMIF('01_BOC_TACH_ONG'!B:B, B216, '01_BOC_TACH_ONG'!K:K)</f>
        <v/>
      </c>
      <c r="I216" s="390">
        <f>SUMIF('02_BOC_TACH_CUA'!B:B, B216, '02_BOC_TACH_CUA'!K:K)</f>
        <v/>
      </c>
      <c r="J216" s="390">
        <f>SUMIF('03_BOC_TACH_VAN'!B:B, B216, '03_BOC_TACH_VAN'!K:K)</f>
        <v/>
      </c>
      <c r="K216" s="390">
        <f>SUM(H216:J216)</f>
        <v/>
      </c>
      <c r="L216" s="390">
        <f>K216*0.25</f>
        <v/>
      </c>
      <c r="M216" s="390">
        <f>K216*0.10</f>
        <v/>
      </c>
      <c r="N216" s="390">
        <f>K216+L216+M216</f>
        <v/>
      </c>
      <c r="O216" s="390">
        <f>IF(G216&gt;0, N216/G216, 0)</f>
        <v/>
      </c>
      <c r="P216" s="391" t="n">
        <v>0.18</v>
      </c>
      <c r="Q216" s="390">
        <f>O216*(1+P216)</f>
        <v/>
      </c>
      <c r="R216" s="390">
        <f>G216*Q216</f>
        <v/>
      </c>
      <c r="S216" t="inlineStr"/>
    </row>
    <row r="217">
      <c r="A217" t="n">
        <v>216</v>
      </c>
      <c r="B217" t="inlineStr">
        <is>
          <t>SW-DAMPER-216</t>
        </is>
      </c>
      <c r="C217" t="inlineStr">
        <is>
          <t>VAN GIÓ</t>
        </is>
      </c>
      <c r="D217" t="inlineStr">
        <is>
          <t>HỆ THỐNG CẤP GIÓ TƯƠI, GIÓ BÙ Van ngăn cháy MFD 900x350 (EI120)</t>
        </is>
      </c>
      <c r="E217" t="inlineStr">
        <is>
          <t>900x350</t>
        </is>
      </c>
      <c r="F217" t="inlineStr">
        <is>
          <t>Cái</t>
        </is>
      </c>
      <c r="G217" s="390" t="n">
        <v>2</v>
      </c>
      <c r="H217" s="390">
        <f>SUMIF('01_BOC_TACH_ONG'!B:B, B217, '01_BOC_TACH_ONG'!K:K)</f>
        <v/>
      </c>
      <c r="I217" s="390">
        <f>SUMIF('02_BOC_TACH_CUA'!B:B, B217, '02_BOC_TACH_CUA'!K:K)</f>
        <v/>
      </c>
      <c r="J217" s="390">
        <f>SUMIF('03_BOC_TACH_VAN'!B:B, B217, '03_BOC_TACH_VAN'!K:K)</f>
        <v/>
      </c>
      <c r="K217" s="390">
        <f>SUM(H217:J217)</f>
        <v/>
      </c>
      <c r="L217" s="390">
        <f>K217*0.25</f>
        <v/>
      </c>
      <c r="M217" s="390">
        <f>K217*0.10</f>
        <v/>
      </c>
      <c r="N217" s="390">
        <f>K217+L217+M217</f>
        <v/>
      </c>
      <c r="O217" s="390">
        <f>IF(G217&gt;0, N217/G217, 0)</f>
        <v/>
      </c>
      <c r="P217" s="391" t="n">
        <v>0.18</v>
      </c>
      <c r="Q217" s="390">
        <f>O217*(1+P217)</f>
        <v/>
      </c>
      <c r="R217" s="390">
        <f>G217*Q217</f>
        <v/>
      </c>
      <c r="S217" t="inlineStr"/>
    </row>
    <row r="218">
      <c r="A218" t="n">
        <v>217</v>
      </c>
      <c r="B218" t="inlineStr">
        <is>
          <t>SW-DAMPER-217</t>
        </is>
      </c>
      <c r="C218" t="inlineStr">
        <is>
          <t>VAN GIÓ</t>
        </is>
      </c>
      <c r="D218" t="inlineStr">
        <is>
          <t>HỆ THỐNG CẤP GIÓ TƯƠI, GIÓ BÙ Van ngăn cháy MFD 900x350 (EI30)</t>
        </is>
      </c>
      <c r="E218" t="inlineStr">
        <is>
          <t>900x350</t>
        </is>
      </c>
      <c r="F218" t="inlineStr">
        <is>
          <t>Cái</t>
        </is>
      </c>
      <c r="G218" s="390" t="n">
        <v>2</v>
      </c>
      <c r="H218" s="390">
        <f>SUMIF('01_BOC_TACH_ONG'!B:B, B218, '01_BOC_TACH_ONG'!K:K)</f>
        <v/>
      </c>
      <c r="I218" s="390">
        <f>SUMIF('02_BOC_TACH_CUA'!B:B, B218, '02_BOC_TACH_CUA'!K:K)</f>
        <v/>
      </c>
      <c r="J218" s="390">
        <f>SUMIF('03_BOC_TACH_VAN'!B:B, B218, '03_BOC_TACH_VAN'!K:K)</f>
        <v/>
      </c>
      <c r="K218" s="390">
        <f>SUM(H218:J218)</f>
        <v/>
      </c>
      <c r="L218" s="390">
        <f>K218*0.25</f>
        <v/>
      </c>
      <c r="M218" s="390">
        <f>K218*0.10</f>
        <v/>
      </c>
      <c r="N218" s="390">
        <f>K218+L218+M218</f>
        <v/>
      </c>
      <c r="O218" s="390">
        <f>IF(G218&gt;0, N218/G218, 0)</f>
        <v/>
      </c>
      <c r="P218" s="391" t="n">
        <v>0.18</v>
      </c>
      <c r="Q218" s="390">
        <f>O218*(1+P218)</f>
        <v/>
      </c>
      <c r="R218" s="390">
        <f>G218*Q218</f>
        <v/>
      </c>
      <c r="S218" t="inlineStr"/>
    </row>
    <row r="219">
      <c r="A219" t="n">
        <v>218</v>
      </c>
      <c r="B219" t="inlineStr">
        <is>
          <t>SW-DAMPER-218</t>
        </is>
      </c>
      <c r="C219" t="inlineStr">
        <is>
          <t>VAN GIÓ</t>
        </is>
      </c>
      <c r="D219" t="inlineStr">
        <is>
          <t>HỆ THỐNG CẤP GIÓ TƯƠI, GIÓ BÙ Van ngăn cháy MFD 110x350 (EI30)</t>
        </is>
      </c>
      <c r="E219" t="inlineStr">
        <is>
          <t>110x350</t>
        </is>
      </c>
      <c r="F219" t="inlineStr">
        <is>
          <t>Cái</t>
        </is>
      </c>
      <c r="G219" s="390" t="n">
        <v>1</v>
      </c>
      <c r="H219" s="390">
        <f>SUMIF('01_BOC_TACH_ONG'!B:B, B219, '01_BOC_TACH_ONG'!K:K)</f>
        <v/>
      </c>
      <c r="I219" s="390">
        <f>SUMIF('02_BOC_TACH_CUA'!B:B, B219, '02_BOC_TACH_CUA'!K:K)</f>
        <v/>
      </c>
      <c r="J219" s="390">
        <f>SUMIF('03_BOC_TACH_VAN'!B:B, B219, '03_BOC_TACH_VAN'!K:K)</f>
        <v/>
      </c>
      <c r="K219" s="390">
        <f>SUM(H219:J219)</f>
        <v/>
      </c>
      <c r="L219" s="390">
        <f>K219*0.25</f>
        <v/>
      </c>
      <c r="M219" s="390">
        <f>K219*0.10</f>
        <v/>
      </c>
      <c r="N219" s="390">
        <f>K219+L219+M219</f>
        <v/>
      </c>
      <c r="O219" s="390">
        <f>IF(G219&gt;0, N219/G219, 0)</f>
        <v/>
      </c>
      <c r="P219" s="391" t="n">
        <v>0.18</v>
      </c>
      <c r="Q219" s="390">
        <f>O219*(1+P219)</f>
        <v/>
      </c>
      <c r="R219" s="390">
        <f>G219*Q219</f>
        <v/>
      </c>
      <c r="S219" t="inlineStr"/>
    </row>
    <row r="220">
      <c r="A220" t="n">
        <v>219</v>
      </c>
      <c r="B220" t="inlineStr">
        <is>
          <t>SW-DAMPER-219</t>
        </is>
      </c>
      <c r="C220" t="inlineStr">
        <is>
          <t>VAN GIÓ</t>
        </is>
      </c>
      <c r="D220" t="inlineStr">
        <is>
          <t>HỆ THỐNG CẤP GIÓ TƯƠI, GIÓ BÙ Van ngăn cháy MFD 1100x350 (EI120)</t>
        </is>
      </c>
      <c r="E220" t="inlineStr">
        <is>
          <t>1100x350</t>
        </is>
      </c>
      <c r="F220" t="inlineStr">
        <is>
          <t>Cái</t>
        </is>
      </c>
      <c r="G220" s="390" t="n">
        <v>4</v>
      </c>
      <c r="H220" s="390">
        <f>SUMIF('01_BOC_TACH_ONG'!B:B, B220, '01_BOC_TACH_ONG'!K:K)</f>
        <v/>
      </c>
      <c r="I220" s="390">
        <f>SUMIF('02_BOC_TACH_CUA'!B:B, B220, '02_BOC_TACH_CUA'!K:K)</f>
        <v/>
      </c>
      <c r="J220" s="390">
        <f>SUMIF('03_BOC_TACH_VAN'!B:B, B220, '03_BOC_TACH_VAN'!K:K)</f>
        <v/>
      </c>
      <c r="K220" s="390">
        <f>SUM(H220:J220)</f>
        <v/>
      </c>
      <c r="L220" s="390">
        <f>K220*0.25</f>
        <v/>
      </c>
      <c r="M220" s="390">
        <f>K220*0.10</f>
        <v/>
      </c>
      <c r="N220" s="390">
        <f>K220+L220+M220</f>
        <v/>
      </c>
      <c r="O220" s="390">
        <f>IF(G220&gt;0, N220/G220, 0)</f>
        <v/>
      </c>
      <c r="P220" s="391" t="n">
        <v>0.18</v>
      </c>
      <c r="Q220" s="390">
        <f>O220*(1+P220)</f>
        <v/>
      </c>
      <c r="R220" s="390">
        <f>G220*Q220</f>
        <v/>
      </c>
      <c r="S220" t="inlineStr"/>
    </row>
    <row r="221">
      <c r="A221" t="n">
        <v>220</v>
      </c>
      <c r="B221" t="inlineStr">
        <is>
          <t>SW-DAMPER-220</t>
        </is>
      </c>
      <c r="C221" t="inlineStr">
        <is>
          <t>VAN GIÓ</t>
        </is>
      </c>
      <c r="D221" t="inlineStr">
        <is>
          <t>HỆ THỐNG CẤP GIÓ TƯƠI, GIÓ BÙ Van ngăn cháy MFD 800x300 (EI120)</t>
        </is>
      </c>
      <c r="E221" t="inlineStr">
        <is>
          <t>800x300</t>
        </is>
      </c>
      <c r="F221" t="inlineStr">
        <is>
          <t>Cái</t>
        </is>
      </c>
      <c r="G221" s="390" t="n">
        <v>2</v>
      </c>
      <c r="H221" s="390">
        <f>SUMIF('01_BOC_TACH_ONG'!B:B, B221, '01_BOC_TACH_ONG'!K:K)</f>
        <v/>
      </c>
      <c r="I221" s="390">
        <f>SUMIF('02_BOC_TACH_CUA'!B:B, B221, '02_BOC_TACH_CUA'!K:K)</f>
        <v/>
      </c>
      <c r="J221" s="390">
        <f>SUMIF('03_BOC_TACH_VAN'!B:B, B221, '03_BOC_TACH_VAN'!K:K)</f>
        <v/>
      </c>
      <c r="K221" s="390">
        <f>SUM(H221:J221)</f>
        <v/>
      </c>
      <c r="L221" s="390">
        <f>K221*0.25</f>
        <v/>
      </c>
      <c r="M221" s="390">
        <f>K221*0.10</f>
        <v/>
      </c>
      <c r="N221" s="390">
        <f>K221+L221+M221</f>
        <v/>
      </c>
      <c r="O221" s="390">
        <f>IF(G221&gt;0, N221/G221, 0)</f>
        <v/>
      </c>
      <c r="P221" s="391" t="n">
        <v>0.18</v>
      </c>
      <c r="Q221" s="390">
        <f>O221*(1+P221)</f>
        <v/>
      </c>
      <c r="R221" s="390">
        <f>G221*Q221</f>
        <v/>
      </c>
      <c r="S221" t="inlineStr"/>
    </row>
    <row r="222">
      <c r="A222" t="n">
        <v>221</v>
      </c>
      <c r="B222" t="inlineStr">
        <is>
          <t>SW-DAMPER-221</t>
        </is>
      </c>
      <c r="C222" t="inlineStr">
        <is>
          <t>VAN GIÓ</t>
        </is>
      </c>
      <c r="D222" t="inlineStr">
        <is>
          <t>HỆ THỐNG CẤP GIÓ TƯƠI, GIÓ BÙ Van ngăn cháy MFD 900x350 (E120)</t>
        </is>
      </c>
      <c r="E222" t="inlineStr">
        <is>
          <t>900x350</t>
        </is>
      </c>
      <c r="F222" t="inlineStr">
        <is>
          <t>Cái</t>
        </is>
      </c>
      <c r="G222" s="390" t="n">
        <v>1</v>
      </c>
      <c r="H222" s="390">
        <f>SUMIF('01_BOC_TACH_ONG'!B:B, B222, '01_BOC_TACH_ONG'!K:K)</f>
        <v/>
      </c>
      <c r="I222" s="390">
        <f>SUMIF('02_BOC_TACH_CUA'!B:B, B222, '02_BOC_TACH_CUA'!K:K)</f>
        <v/>
      </c>
      <c r="J222" s="390">
        <f>SUMIF('03_BOC_TACH_VAN'!B:B, B222, '03_BOC_TACH_VAN'!K:K)</f>
        <v/>
      </c>
      <c r="K222" s="390">
        <f>SUM(H222:J222)</f>
        <v/>
      </c>
      <c r="L222" s="390">
        <f>K222*0.25</f>
        <v/>
      </c>
      <c r="M222" s="390">
        <f>K222*0.10</f>
        <v/>
      </c>
      <c r="N222" s="390">
        <f>K222+L222+M222</f>
        <v/>
      </c>
      <c r="O222" s="390">
        <f>IF(G222&gt;0, N222/G222, 0)</f>
        <v/>
      </c>
      <c r="P222" s="391" t="n">
        <v>0.18</v>
      </c>
      <c r="Q222" s="390">
        <f>O222*(1+P222)</f>
        <v/>
      </c>
      <c r="R222" s="390">
        <f>G222*Q222</f>
        <v/>
      </c>
      <c r="S222" t="inlineStr"/>
    </row>
    <row r="223">
      <c r="A223" t="n">
        <v>222</v>
      </c>
      <c r="B223" t="inlineStr">
        <is>
          <t>SW-DAMPER-222</t>
        </is>
      </c>
      <c r="C223" t="inlineStr">
        <is>
          <t>VAN GIÓ</t>
        </is>
      </c>
      <c r="D223" t="inlineStr">
        <is>
          <t>HỆ THỐNG CẤP GIÓ TƯƠI, GIÓ BÙ Van ngăn cháy MFD1400x350 (EI45)</t>
        </is>
      </c>
      <c r="E223" t="inlineStr">
        <is>
          <t>1400x350</t>
        </is>
      </c>
      <c r="F223" t="inlineStr">
        <is>
          <t>Cái</t>
        </is>
      </c>
      <c r="G223" s="390" t="n">
        <v>1</v>
      </c>
      <c r="H223" s="390">
        <f>SUMIF('01_BOC_TACH_ONG'!B:B, B223, '01_BOC_TACH_ONG'!K:K)</f>
        <v/>
      </c>
      <c r="I223" s="390">
        <f>SUMIF('02_BOC_TACH_CUA'!B:B, B223, '02_BOC_TACH_CUA'!K:K)</f>
        <v/>
      </c>
      <c r="J223" s="390">
        <f>SUMIF('03_BOC_TACH_VAN'!B:B, B223, '03_BOC_TACH_VAN'!K:K)</f>
        <v/>
      </c>
      <c r="K223" s="390">
        <f>SUM(H223:J223)</f>
        <v/>
      </c>
      <c r="L223" s="390">
        <f>K223*0.25</f>
        <v/>
      </c>
      <c r="M223" s="390">
        <f>K223*0.10</f>
        <v/>
      </c>
      <c r="N223" s="390">
        <f>K223+L223+M223</f>
        <v/>
      </c>
      <c r="O223" s="390">
        <f>IF(G223&gt;0, N223/G223, 0)</f>
        <v/>
      </c>
      <c r="P223" s="391" t="n">
        <v>0.18</v>
      </c>
      <c r="Q223" s="390">
        <f>O223*(1+P223)</f>
        <v/>
      </c>
      <c r="R223" s="390">
        <f>G223*Q223</f>
        <v/>
      </c>
      <c r="S223" t="inlineStr"/>
    </row>
    <row r="224">
      <c r="A224" t="n">
        <v>223</v>
      </c>
      <c r="B224" t="inlineStr">
        <is>
          <t>SW-DAMPER-223</t>
        </is>
      </c>
      <c r="C224" t="inlineStr">
        <is>
          <t>VAN GIÓ</t>
        </is>
      </c>
      <c r="D224" t="inlineStr">
        <is>
          <t>HỆ THỐNG CẤP GIÓ TƯƠI, GIÓ BÙ Van ngăn cháy MFD 100x100</t>
        </is>
      </c>
      <c r="E224" t="inlineStr">
        <is>
          <t>100x100</t>
        </is>
      </c>
      <c r="F224" t="inlineStr">
        <is>
          <t>Cái</t>
        </is>
      </c>
      <c r="G224" s="390" t="n">
        <v>11</v>
      </c>
      <c r="H224" s="390">
        <f>SUMIF('01_BOC_TACH_ONG'!B:B, B224, '01_BOC_TACH_ONG'!K:K)</f>
        <v/>
      </c>
      <c r="I224" s="390">
        <f>SUMIF('02_BOC_TACH_CUA'!B:B, B224, '02_BOC_TACH_CUA'!K:K)</f>
        <v/>
      </c>
      <c r="J224" s="390">
        <f>SUMIF('03_BOC_TACH_VAN'!B:B, B224, '03_BOC_TACH_VAN'!K:K)</f>
        <v/>
      </c>
      <c r="K224" s="390">
        <f>SUM(H224:J224)</f>
        <v/>
      </c>
      <c r="L224" s="390">
        <f>K224*0.25</f>
        <v/>
      </c>
      <c r="M224" s="390">
        <f>K224*0.10</f>
        <v/>
      </c>
      <c r="N224" s="390">
        <f>K224+L224+M224</f>
        <v/>
      </c>
      <c r="O224" s="390">
        <f>IF(G224&gt;0, N224/G224, 0)</f>
        <v/>
      </c>
      <c r="P224" s="391" t="n">
        <v>0.18</v>
      </c>
      <c r="Q224" s="390">
        <f>O224*(1+P224)</f>
        <v/>
      </c>
      <c r="R224" s="390">
        <f>G224*Q224</f>
        <v/>
      </c>
      <c r="S224" t="inlineStr"/>
    </row>
    <row r="225">
      <c r="A225" t="n">
        <v>224</v>
      </c>
      <c r="B225" t="inlineStr">
        <is>
          <t>SW-DAMPER-224</t>
        </is>
      </c>
      <c r="C225" t="inlineStr">
        <is>
          <t>VAN GIÓ</t>
        </is>
      </c>
      <c r="D225" t="inlineStr">
        <is>
          <t>HỆ THỐNG CẤP GIÓ TƯƠI, GIÓ BÙ Van ngăn cháy MFD 150x150</t>
        </is>
      </c>
      <c r="E225" t="inlineStr">
        <is>
          <t>150x150</t>
        </is>
      </c>
      <c r="F225" t="inlineStr">
        <is>
          <t>Cái</t>
        </is>
      </c>
      <c r="G225" s="390" t="n">
        <v>9</v>
      </c>
      <c r="H225" s="390">
        <f>SUMIF('01_BOC_TACH_ONG'!B:B, B225, '01_BOC_TACH_ONG'!K:K)</f>
        <v/>
      </c>
      <c r="I225" s="390">
        <f>SUMIF('02_BOC_TACH_CUA'!B:B, B225, '02_BOC_TACH_CUA'!K:K)</f>
        <v/>
      </c>
      <c r="J225" s="390">
        <f>SUMIF('03_BOC_TACH_VAN'!B:B, B225, '03_BOC_TACH_VAN'!K:K)</f>
        <v/>
      </c>
      <c r="K225" s="390">
        <f>SUM(H225:J225)</f>
        <v/>
      </c>
      <c r="L225" s="390">
        <f>K225*0.25</f>
        <v/>
      </c>
      <c r="M225" s="390">
        <f>K225*0.10</f>
        <v/>
      </c>
      <c r="N225" s="390">
        <f>K225+L225+M225</f>
        <v/>
      </c>
      <c r="O225" s="390">
        <f>IF(G225&gt;0, N225/G225, 0)</f>
        <v/>
      </c>
      <c r="P225" s="391" t="n">
        <v>0.18</v>
      </c>
      <c r="Q225" s="390">
        <f>O225*(1+P225)</f>
        <v/>
      </c>
      <c r="R225" s="390">
        <f>G225*Q225</f>
        <v/>
      </c>
      <c r="S225" t="inlineStr"/>
    </row>
    <row r="226">
      <c r="A226" t="n">
        <v>225</v>
      </c>
      <c r="B226" t="inlineStr">
        <is>
          <t>SW-DAMPER-225</t>
        </is>
      </c>
      <c r="C226" t="inlineStr">
        <is>
          <t>VAN GIÓ</t>
        </is>
      </c>
      <c r="D226" t="inlineStr">
        <is>
          <t>HỆ THỐNG CẤP GIÓ TƯƠI, GIÓ BÙ Van ngăn cháy MFD 450x300</t>
        </is>
      </c>
      <c r="E226" t="inlineStr">
        <is>
          <t>450x300</t>
        </is>
      </c>
      <c r="F226" t="inlineStr">
        <is>
          <t>Cái</t>
        </is>
      </c>
      <c r="G226" s="390" t="n">
        <v>3</v>
      </c>
      <c r="H226" s="390">
        <f>SUMIF('01_BOC_TACH_ONG'!B:B, B226, '01_BOC_TACH_ONG'!K:K)</f>
        <v/>
      </c>
      <c r="I226" s="390">
        <f>SUMIF('02_BOC_TACH_CUA'!B:B, B226, '02_BOC_TACH_CUA'!K:K)</f>
        <v/>
      </c>
      <c r="J226" s="390">
        <f>SUMIF('03_BOC_TACH_VAN'!B:B, B226, '03_BOC_TACH_VAN'!K:K)</f>
        <v/>
      </c>
      <c r="K226" s="390">
        <f>SUM(H226:J226)</f>
        <v/>
      </c>
      <c r="L226" s="390">
        <f>K226*0.25</f>
        <v/>
      </c>
      <c r="M226" s="390">
        <f>K226*0.10</f>
        <v/>
      </c>
      <c r="N226" s="390">
        <f>K226+L226+M226</f>
        <v/>
      </c>
      <c r="O226" s="390">
        <f>IF(G226&gt;0, N226/G226, 0)</f>
        <v/>
      </c>
      <c r="P226" s="391" t="n">
        <v>0.18</v>
      </c>
      <c r="Q226" s="390">
        <f>O226*(1+P226)</f>
        <v/>
      </c>
      <c r="R226" s="390">
        <f>G226*Q226</f>
        <v/>
      </c>
      <c r="S226" t="inlineStr"/>
    </row>
    <row r="227">
      <c r="A227" t="n">
        <v>226</v>
      </c>
      <c r="B227" t="inlineStr">
        <is>
          <t>SW-DAMPER-226</t>
        </is>
      </c>
      <c r="C227" t="inlineStr">
        <is>
          <t>VAN GIÓ</t>
        </is>
      </c>
      <c r="D227" t="inlineStr">
        <is>
          <t>HỆ THỐNG CẤP GIÓ TƯƠI, GIÓ BÙ Van ngăn cháy FD800x250</t>
        </is>
      </c>
      <c r="E227" t="inlineStr">
        <is>
          <t>800x250</t>
        </is>
      </c>
      <c r="F227" t="inlineStr">
        <is>
          <t>Cái</t>
        </is>
      </c>
      <c r="G227" s="390" t="n">
        <v>1</v>
      </c>
      <c r="H227" s="390">
        <f>SUMIF('01_BOC_TACH_ONG'!B:B, B227, '01_BOC_TACH_ONG'!K:K)</f>
        <v/>
      </c>
      <c r="I227" s="390">
        <f>SUMIF('02_BOC_TACH_CUA'!B:B, B227, '02_BOC_TACH_CUA'!K:K)</f>
        <v/>
      </c>
      <c r="J227" s="390">
        <f>SUMIF('03_BOC_TACH_VAN'!B:B, B227, '03_BOC_TACH_VAN'!K:K)</f>
        <v/>
      </c>
      <c r="K227" s="390">
        <f>SUM(H227:J227)</f>
        <v/>
      </c>
      <c r="L227" s="390">
        <f>K227*0.25</f>
        <v/>
      </c>
      <c r="M227" s="390">
        <f>K227*0.10</f>
        <v/>
      </c>
      <c r="N227" s="390">
        <f>K227+L227+M227</f>
        <v/>
      </c>
      <c r="O227" s="390">
        <f>IF(G227&gt;0, N227/G227, 0)</f>
        <v/>
      </c>
      <c r="P227" s="391" t="n">
        <v>0.18</v>
      </c>
      <c r="Q227" s="390">
        <f>O227*(1+P227)</f>
        <v/>
      </c>
      <c r="R227" s="390">
        <f>G227*Q227</f>
        <v/>
      </c>
      <c r="S227" t="inlineStr"/>
    </row>
    <row r="228">
      <c r="A228" t="n">
        <v>227</v>
      </c>
      <c r="B228" t="inlineStr">
        <is>
          <t>SW-DAMPER-227</t>
        </is>
      </c>
      <c r="C228" t="inlineStr">
        <is>
          <t>VAN GIÓ</t>
        </is>
      </c>
      <c r="D228" t="inlineStr">
        <is>
          <t>HỆ THỐNG CẤP GIÓ TƯƠI, GIÓ BÙ Van ngăn cháy FD300x200</t>
        </is>
      </c>
      <c r="E228" t="inlineStr">
        <is>
          <t>300x200</t>
        </is>
      </c>
      <c r="F228" t="inlineStr">
        <is>
          <t>Cái</t>
        </is>
      </c>
      <c r="G228" s="390" t="n">
        <v>6</v>
      </c>
      <c r="H228" s="390">
        <f>SUMIF('01_BOC_TACH_ONG'!B:B, B228, '01_BOC_TACH_ONG'!K:K)</f>
        <v/>
      </c>
      <c r="I228" s="390">
        <f>SUMIF('02_BOC_TACH_CUA'!B:B, B228, '02_BOC_TACH_CUA'!K:K)</f>
        <v/>
      </c>
      <c r="J228" s="390">
        <f>SUMIF('03_BOC_TACH_VAN'!B:B, B228, '03_BOC_TACH_VAN'!K:K)</f>
        <v/>
      </c>
      <c r="K228" s="390">
        <f>SUM(H228:J228)</f>
        <v/>
      </c>
      <c r="L228" s="390">
        <f>K228*0.25</f>
        <v/>
      </c>
      <c r="M228" s="390">
        <f>K228*0.10</f>
        <v/>
      </c>
      <c r="N228" s="390">
        <f>K228+L228+M228</f>
        <v/>
      </c>
      <c r="O228" s="390">
        <f>IF(G228&gt;0, N228/G228, 0)</f>
        <v/>
      </c>
      <c r="P228" s="391" t="n">
        <v>0.18</v>
      </c>
      <c r="Q228" s="390">
        <f>O228*(1+P228)</f>
        <v/>
      </c>
      <c r="R228" s="390">
        <f>G228*Q228</f>
        <v/>
      </c>
      <c r="S228" t="inlineStr"/>
    </row>
    <row r="229">
      <c r="A229" t="n">
        <v>228</v>
      </c>
      <c r="B229" t="inlineStr">
        <is>
          <t>SW-DAMPER-228</t>
        </is>
      </c>
      <c r="C229" t="inlineStr">
        <is>
          <t>VAN GIÓ</t>
        </is>
      </c>
      <c r="D229" t="inlineStr">
        <is>
          <t>HỆ THỐNG CẤP GIÓ TƯƠI, GIÓ BÙ Van ngăn cháy FD200x200</t>
        </is>
      </c>
      <c r="E229" t="inlineStr">
        <is>
          <t>200x200</t>
        </is>
      </c>
      <c r="F229" t="inlineStr">
        <is>
          <t>Cái</t>
        </is>
      </c>
      <c r="G229" s="390" t="n">
        <v>6</v>
      </c>
      <c r="H229" s="390">
        <f>SUMIF('01_BOC_TACH_ONG'!B:B, B229, '01_BOC_TACH_ONG'!K:K)</f>
        <v/>
      </c>
      <c r="I229" s="390">
        <f>SUMIF('02_BOC_TACH_CUA'!B:B, B229, '02_BOC_TACH_CUA'!K:K)</f>
        <v/>
      </c>
      <c r="J229" s="390">
        <f>SUMIF('03_BOC_TACH_VAN'!B:B, B229, '03_BOC_TACH_VAN'!K:K)</f>
        <v/>
      </c>
      <c r="K229" s="390">
        <f>SUM(H229:J229)</f>
        <v/>
      </c>
      <c r="L229" s="390">
        <f>K229*0.25</f>
        <v/>
      </c>
      <c r="M229" s="390">
        <f>K229*0.10</f>
        <v/>
      </c>
      <c r="N229" s="390">
        <f>K229+L229+M229</f>
        <v/>
      </c>
      <c r="O229" s="390">
        <f>IF(G229&gt;0, N229/G229, 0)</f>
        <v/>
      </c>
      <c r="P229" s="391" t="n">
        <v>0.18</v>
      </c>
      <c r="Q229" s="390">
        <f>O229*(1+P229)</f>
        <v/>
      </c>
      <c r="R229" s="390">
        <f>G229*Q229</f>
        <v/>
      </c>
      <c r="S229" t="inlineStr"/>
    </row>
    <row r="230">
      <c r="A230" t="n">
        <v>229</v>
      </c>
      <c r="B230" t="inlineStr">
        <is>
          <t>SW-DAMPER-229</t>
        </is>
      </c>
      <c r="C230" t="inlineStr">
        <is>
          <t>VAN GIÓ</t>
        </is>
      </c>
      <c r="D230" t="inlineStr">
        <is>
          <t>HỆ THỐNG CẤP GIÓ TƯƠI, GIÓ BÙ Van ngăn cháy FD350x200</t>
        </is>
      </c>
      <c r="E230" t="inlineStr">
        <is>
          <t>350x200</t>
        </is>
      </c>
      <c r="F230" t="inlineStr">
        <is>
          <t>Cái</t>
        </is>
      </c>
      <c r="G230" s="390" t="n">
        <v>6</v>
      </c>
      <c r="H230" s="390">
        <f>SUMIF('01_BOC_TACH_ONG'!B:B, B230, '01_BOC_TACH_ONG'!K:K)</f>
        <v/>
      </c>
      <c r="I230" s="390">
        <f>SUMIF('02_BOC_TACH_CUA'!B:B, B230, '02_BOC_TACH_CUA'!K:K)</f>
        <v/>
      </c>
      <c r="J230" s="390">
        <f>SUMIF('03_BOC_TACH_VAN'!B:B, B230, '03_BOC_TACH_VAN'!K:K)</f>
        <v/>
      </c>
      <c r="K230" s="390">
        <f>SUM(H230:J230)</f>
        <v/>
      </c>
      <c r="L230" s="390">
        <f>K230*0.25</f>
        <v/>
      </c>
      <c r="M230" s="390">
        <f>K230*0.10</f>
        <v/>
      </c>
      <c r="N230" s="390">
        <f>K230+L230+M230</f>
        <v/>
      </c>
      <c r="O230" s="390">
        <f>IF(G230&gt;0, N230/G230, 0)</f>
        <v/>
      </c>
      <c r="P230" s="391" t="n">
        <v>0.18</v>
      </c>
      <c r="Q230" s="390">
        <f>O230*(1+P230)</f>
        <v/>
      </c>
      <c r="R230" s="390">
        <f>G230*Q230</f>
        <v/>
      </c>
      <c r="S230" t="inlineStr"/>
    </row>
    <row r="231">
      <c r="A231" t="n">
        <v>230</v>
      </c>
      <c r="B231" t="inlineStr">
        <is>
          <t>SW-DAMPER-230</t>
        </is>
      </c>
      <c r="C231" t="inlineStr">
        <is>
          <t>VAN GIÓ</t>
        </is>
      </c>
      <c r="D231" t="inlineStr">
        <is>
          <t>HỆ THỐNG CẤP GIÓ TƯƠI, GIÓ BÙ Van ngăn cháy FD450x200</t>
        </is>
      </c>
      <c r="E231" t="inlineStr">
        <is>
          <t>450x200</t>
        </is>
      </c>
      <c r="F231" t="inlineStr">
        <is>
          <t>Cái</t>
        </is>
      </c>
      <c r="G231" s="390" t="n">
        <v>14</v>
      </c>
      <c r="H231" s="390">
        <f>SUMIF('01_BOC_TACH_ONG'!B:B, B231, '01_BOC_TACH_ONG'!K:K)</f>
        <v/>
      </c>
      <c r="I231" s="390">
        <f>SUMIF('02_BOC_TACH_CUA'!B:B, B231, '02_BOC_TACH_CUA'!K:K)</f>
        <v/>
      </c>
      <c r="J231" s="390">
        <f>SUMIF('03_BOC_TACH_VAN'!B:B, B231, '03_BOC_TACH_VAN'!K:K)</f>
        <v/>
      </c>
      <c r="K231" s="390">
        <f>SUM(H231:J231)</f>
        <v/>
      </c>
      <c r="L231" s="390">
        <f>K231*0.25</f>
        <v/>
      </c>
      <c r="M231" s="390">
        <f>K231*0.10</f>
        <v/>
      </c>
      <c r="N231" s="390">
        <f>K231+L231+M231</f>
        <v/>
      </c>
      <c r="O231" s="390">
        <f>IF(G231&gt;0, N231/G231, 0)</f>
        <v/>
      </c>
      <c r="P231" s="391" t="n">
        <v>0.18</v>
      </c>
      <c r="Q231" s="390">
        <f>O231*(1+P231)</f>
        <v/>
      </c>
      <c r="R231" s="390">
        <f>G231*Q231</f>
        <v/>
      </c>
      <c r="S231" t="inlineStr"/>
    </row>
    <row r="232">
      <c r="A232" t="n">
        <v>231</v>
      </c>
      <c r="B232" t="inlineStr">
        <is>
          <t>SW-DAMPER-231</t>
        </is>
      </c>
      <c r="C232" t="inlineStr">
        <is>
          <t>VAN GIÓ</t>
        </is>
      </c>
      <c r="D232" t="inlineStr">
        <is>
          <t>HỆ THỐNG CẤP GIÓ TƯƠI, GIÓ BÙ Van động cơ MD 300x150</t>
        </is>
      </c>
      <c r="E232" t="inlineStr">
        <is>
          <t>300x150</t>
        </is>
      </c>
      <c r="F232" t="inlineStr">
        <is>
          <t>Cái</t>
        </is>
      </c>
      <c r="G232" s="390" t="n">
        <v>78</v>
      </c>
      <c r="H232" s="390">
        <f>SUMIF('01_BOC_TACH_ONG'!B:B, B232, '01_BOC_TACH_ONG'!K:K)</f>
        <v/>
      </c>
      <c r="I232" s="390">
        <f>SUMIF('02_BOC_TACH_CUA'!B:B, B232, '02_BOC_TACH_CUA'!K:K)</f>
        <v/>
      </c>
      <c r="J232" s="390">
        <f>SUMIF('03_BOC_TACH_VAN'!B:B, B232, '03_BOC_TACH_VAN'!K:K)</f>
        <v/>
      </c>
      <c r="K232" s="390">
        <f>SUM(H232:J232)</f>
        <v/>
      </c>
      <c r="L232" s="390">
        <f>K232*0.25</f>
        <v/>
      </c>
      <c r="M232" s="390">
        <f>K232*0.10</f>
        <v/>
      </c>
      <c r="N232" s="390">
        <f>K232+L232+M232</f>
        <v/>
      </c>
      <c r="O232" s="390">
        <f>IF(G232&gt;0, N232/G232, 0)</f>
        <v/>
      </c>
      <c r="P232" s="391" t="n">
        <v>0.18</v>
      </c>
      <c r="Q232" s="390">
        <f>O232*(1+P232)</f>
        <v/>
      </c>
      <c r="R232" s="390">
        <f>G232*Q232</f>
        <v/>
      </c>
      <c r="S232" t="inlineStr"/>
    </row>
    <row r="233">
      <c r="A233" t="n">
        <v>232</v>
      </c>
      <c r="B233" t="inlineStr">
        <is>
          <t>SW-DAMPER-232</t>
        </is>
      </c>
      <c r="C233" t="inlineStr">
        <is>
          <t>VAN GIÓ</t>
        </is>
      </c>
      <c r="D233" t="inlineStr">
        <is>
          <t>HỆ THỐNG CẤP GIÓ TƯƠI, GIÓ BÙ Van chỉnh gió lưu lượng không đổi</t>
        </is>
      </c>
      <c r="E233" t="inlineStr">
        <is>
          <t>-</t>
        </is>
      </c>
      <c r="F233" t="inlineStr">
        <is>
          <t>Cái</t>
        </is>
      </c>
      <c r="G233" s="390" t="n">
        <v>78</v>
      </c>
      <c r="H233" s="390">
        <f>SUMIF('01_BOC_TACH_ONG'!B:B, B233, '01_BOC_TACH_ONG'!K:K)</f>
        <v/>
      </c>
      <c r="I233" s="390">
        <f>SUMIF('02_BOC_TACH_CUA'!B:B, B233, '02_BOC_TACH_CUA'!K:K)</f>
        <v/>
      </c>
      <c r="J233" s="390">
        <f>SUMIF('03_BOC_TACH_VAN'!B:B, B233, '03_BOC_TACH_VAN'!K:K)</f>
        <v/>
      </c>
      <c r="K233" s="390">
        <f>SUM(H233:J233)</f>
        <v/>
      </c>
      <c r="L233" s="390">
        <f>K233*0.25</f>
        <v/>
      </c>
      <c r="M233" s="390">
        <f>K233*0.10</f>
        <v/>
      </c>
      <c r="N233" s="390">
        <f>K233+L233+M233</f>
        <v/>
      </c>
      <c r="O233" s="390">
        <f>IF(G233&gt;0, N233/G233, 0)</f>
        <v/>
      </c>
      <c r="P233" s="391" t="n">
        <v>0.18</v>
      </c>
      <c r="Q233" s="390">
        <f>O233*(1+P233)</f>
        <v/>
      </c>
      <c r="R233" s="390">
        <f>G233*Q233</f>
        <v/>
      </c>
      <c r="S233" t="inlineStr"/>
    </row>
    <row r="234">
      <c r="A234" t="n">
        <v>233</v>
      </c>
      <c r="B234" t="inlineStr">
        <is>
          <t>SW-DAMPER-233</t>
        </is>
      </c>
      <c r="C234" t="inlineStr">
        <is>
          <t>VAN GIÓ</t>
        </is>
      </c>
      <c r="D234" t="inlineStr">
        <is>
          <t>HỆ THỐNG CẤP GIÓ TƯƠI, GIÓ BÙ Van chỉnh lưu lượng VCD 1300x300 (EI60)</t>
        </is>
      </c>
      <c r="E234" t="inlineStr">
        <is>
          <t>1300x300</t>
        </is>
      </c>
      <c r="F234" t="inlineStr">
        <is>
          <t>Cái</t>
        </is>
      </c>
      <c r="G234" s="390" t="n">
        <v>26</v>
      </c>
      <c r="H234" s="390">
        <f>SUMIF('01_BOC_TACH_ONG'!B:B, B234, '01_BOC_TACH_ONG'!K:K)</f>
        <v/>
      </c>
      <c r="I234" s="390">
        <f>SUMIF('02_BOC_TACH_CUA'!B:B, B234, '02_BOC_TACH_CUA'!K:K)</f>
        <v/>
      </c>
      <c r="J234" s="390">
        <f>SUMIF('03_BOC_TACH_VAN'!B:B, B234, '03_BOC_TACH_VAN'!K:K)</f>
        <v/>
      </c>
      <c r="K234" s="390">
        <f>SUM(H234:J234)</f>
        <v/>
      </c>
      <c r="L234" s="390">
        <f>K234*0.25</f>
        <v/>
      </c>
      <c r="M234" s="390">
        <f>K234*0.10</f>
        <v/>
      </c>
      <c r="N234" s="390">
        <f>K234+L234+M234</f>
        <v/>
      </c>
      <c r="O234" s="390">
        <f>IF(G234&gt;0, N234/G234, 0)</f>
        <v/>
      </c>
      <c r="P234" s="391" t="n">
        <v>0.18</v>
      </c>
      <c r="Q234" s="390">
        <f>O234*(1+P234)</f>
        <v/>
      </c>
      <c r="R234" s="390">
        <f>G234*Q234</f>
        <v/>
      </c>
      <c r="S234" t="inlineStr"/>
    </row>
    <row r="235">
      <c r="A235" t="n">
        <v>234</v>
      </c>
      <c r="B235" t="inlineStr">
        <is>
          <t>SW-DAMPER-234</t>
        </is>
      </c>
      <c r="C235" t="inlineStr">
        <is>
          <t>VAN GIÓ</t>
        </is>
      </c>
      <c r="D235" t="inlineStr">
        <is>
          <t>HỆ THỐNG CẤP GIÓ TƯƠI, GIÓ BÙ Van chỉnh lưu lượng VCD 150x150</t>
        </is>
      </c>
      <c r="E235" t="inlineStr">
        <is>
          <t>150x150</t>
        </is>
      </c>
      <c r="F235" t="inlineStr">
        <is>
          <t>Cái</t>
        </is>
      </c>
      <c r="G235" s="390" t="n">
        <v>413</v>
      </c>
      <c r="H235" s="390">
        <f>SUMIF('01_BOC_TACH_ONG'!B:B, B235, '01_BOC_TACH_ONG'!K:K)</f>
        <v/>
      </c>
      <c r="I235" s="390">
        <f>SUMIF('02_BOC_TACH_CUA'!B:B, B235, '02_BOC_TACH_CUA'!K:K)</f>
        <v/>
      </c>
      <c r="J235" s="390">
        <f>SUMIF('03_BOC_TACH_VAN'!B:B, B235, '03_BOC_TACH_VAN'!K:K)</f>
        <v/>
      </c>
      <c r="K235" s="390">
        <f>SUM(H235:J235)</f>
        <v/>
      </c>
      <c r="L235" s="390">
        <f>K235*0.25</f>
        <v/>
      </c>
      <c r="M235" s="390">
        <f>K235*0.10</f>
        <v/>
      </c>
      <c r="N235" s="390">
        <f>K235+L235+M235</f>
        <v/>
      </c>
      <c r="O235" s="390">
        <f>IF(G235&gt;0, N235/G235, 0)</f>
        <v/>
      </c>
      <c r="P235" s="391" t="n">
        <v>0.18</v>
      </c>
      <c r="Q235" s="390">
        <f>O235*(1+P235)</f>
        <v/>
      </c>
      <c r="R235" s="390">
        <f>G235*Q235</f>
        <v/>
      </c>
      <c r="S235" t="inlineStr"/>
    </row>
    <row r="236">
      <c r="A236" t="n">
        <v>235</v>
      </c>
      <c r="B236" t="inlineStr">
        <is>
          <t>SW-DAMPER-235</t>
        </is>
      </c>
      <c r="C236" t="inlineStr">
        <is>
          <t>VAN GIÓ</t>
        </is>
      </c>
      <c r="D236" t="inlineStr">
        <is>
          <t>HỆ THỐNG CẤP GIÓ TƯƠI, GIÓ BÙ Van chỉnh lưu lượng VCD D150</t>
        </is>
      </c>
      <c r="E236" t="inlineStr">
        <is>
          <t>-</t>
        </is>
      </c>
      <c r="F236" t="inlineStr">
        <is>
          <t>Cái</t>
        </is>
      </c>
      <c r="G236" s="390" t="n">
        <v>35</v>
      </c>
      <c r="H236" s="390">
        <f>SUMIF('01_BOC_TACH_ONG'!B:B, B236, '01_BOC_TACH_ONG'!K:K)</f>
        <v/>
      </c>
      <c r="I236" s="390">
        <f>SUMIF('02_BOC_TACH_CUA'!B:B, B236, '02_BOC_TACH_CUA'!K:K)</f>
        <v/>
      </c>
      <c r="J236" s="390">
        <f>SUMIF('03_BOC_TACH_VAN'!B:B, B236, '03_BOC_TACH_VAN'!K:K)</f>
        <v/>
      </c>
      <c r="K236" s="390">
        <f>SUM(H236:J236)</f>
        <v/>
      </c>
      <c r="L236" s="390">
        <f>K236*0.25</f>
        <v/>
      </c>
      <c r="M236" s="390">
        <f>K236*0.10</f>
        <v/>
      </c>
      <c r="N236" s="390">
        <f>K236+L236+M236</f>
        <v/>
      </c>
      <c r="O236" s="390">
        <f>IF(G236&gt;0, N236/G236, 0)</f>
        <v/>
      </c>
      <c r="P236" s="391" t="n">
        <v>0.18</v>
      </c>
      <c r="Q236" s="390">
        <f>O236*(1+P236)</f>
        <v/>
      </c>
      <c r="R236" s="390">
        <f>G236*Q236</f>
        <v/>
      </c>
      <c r="S236" t="inlineStr"/>
    </row>
    <row r="237">
      <c r="A237" t="n">
        <v>236</v>
      </c>
      <c r="B237" t="inlineStr">
        <is>
          <t>SW-DAMPER-236</t>
        </is>
      </c>
      <c r="C237" t="inlineStr">
        <is>
          <t>VAN GIÓ</t>
        </is>
      </c>
      <c r="D237" t="inlineStr">
        <is>
          <t>HỆ THỐNG CẤP GIÓ TƯƠI, GIÓ BÙ Van chỉnh lưu lượng VCD D200</t>
        </is>
      </c>
      <c r="E237" t="inlineStr">
        <is>
          <t>-</t>
        </is>
      </c>
      <c r="F237" t="inlineStr">
        <is>
          <t>Cái</t>
        </is>
      </c>
      <c r="G237" s="390" t="n">
        <v>70</v>
      </c>
      <c r="H237" s="390">
        <f>SUMIF('01_BOC_TACH_ONG'!B:B, B237, '01_BOC_TACH_ONG'!K:K)</f>
        <v/>
      </c>
      <c r="I237" s="390">
        <f>SUMIF('02_BOC_TACH_CUA'!B:B, B237, '02_BOC_TACH_CUA'!K:K)</f>
        <v/>
      </c>
      <c r="J237" s="390">
        <f>SUMIF('03_BOC_TACH_VAN'!B:B, B237, '03_BOC_TACH_VAN'!K:K)</f>
        <v/>
      </c>
      <c r="K237" s="390">
        <f>SUM(H237:J237)</f>
        <v/>
      </c>
      <c r="L237" s="390">
        <f>K237*0.25</f>
        <v/>
      </c>
      <c r="M237" s="390">
        <f>K237*0.10</f>
        <v/>
      </c>
      <c r="N237" s="390">
        <f>K237+L237+M237</f>
        <v/>
      </c>
      <c r="O237" s="390">
        <f>IF(G237&gt;0, N237/G237, 0)</f>
        <v/>
      </c>
      <c r="P237" s="391" t="n">
        <v>0.18</v>
      </c>
      <c r="Q237" s="390">
        <f>O237*(1+P237)</f>
        <v/>
      </c>
      <c r="R237" s="390">
        <f>G237*Q237</f>
        <v/>
      </c>
      <c r="S237" t="inlineStr"/>
    </row>
    <row r="238">
      <c r="A238" t="n">
        <v>237</v>
      </c>
      <c r="B238" t="inlineStr">
        <is>
          <t>SW-DIFF-237</t>
        </is>
      </c>
      <c r="C238" t="inlineStr">
        <is>
          <t>CỬA GIÓ</t>
        </is>
      </c>
      <c r="D238" t="inlineStr">
        <is>
          <t>HỆ THỐNG CẤP GIÓ TƯƠI, GIÓ BÙ Miệng gió OAG 1000x600+OBD</t>
        </is>
      </c>
      <c r="E238" t="inlineStr">
        <is>
          <t>1000x600</t>
        </is>
      </c>
      <c r="F238" t="inlineStr">
        <is>
          <t>Cái</t>
        </is>
      </c>
      <c r="G238" s="390" t="n">
        <v>1</v>
      </c>
      <c r="H238" s="390">
        <f>SUMIF('01_BOC_TACH_ONG'!B:B, B238, '01_BOC_TACH_ONG'!K:K)</f>
        <v/>
      </c>
      <c r="I238" s="390">
        <f>SUMIF('02_BOC_TACH_CUA'!B:B, B238, '02_BOC_TACH_CUA'!K:K)</f>
        <v/>
      </c>
      <c r="J238" s="390">
        <f>SUMIF('03_BOC_TACH_VAN'!B:B, B238, '03_BOC_TACH_VAN'!K:K)</f>
        <v/>
      </c>
      <c r="K238" s="390">
        <f>SUM(H238:J238)</f>
        <v/>
      </c>
      <c r="L238" s="390">
        <f>K238*0.25</f>
        <v/>
      </c>
      <c r="M238" s="390">
        <f>K238*0.10</f>
        <v/>
      </c>
      <c r="N238" s="390">
        <f>K238+L238+M238</f>
        <v/>
      </c>
      <c r="O238" s="390">
        <f>IF(G238&gt;0, N238/G238, 0)</f>
        <v/>
      </c>
      <c r="P238" s="391" t="n">
        <v>0.18</v>
      </c>
      <c r="Q238" s="390">
        <f>O238*(1+P238)</f>
        <v/>
      </c>
      <c r="R238" s="390">
        <f>G238*Q238</f>
        <v/>
      </c>
      <c r="S238" t="inlineStr"/>
    </row>
    <row r="239">
      <c r="A239" t="n">
        <v>238</v>
      </c>
      <c r="B239" t="inlineStr">
        <is>
          <t>SW-DIFF-238</t>
        </is>
      </c>
      <c r="C239" t="inlineStr">
        <is>
          <t>CỬA GIÓ</t>
        </is>
      </c>
      <c r="D239" t="inlineStr">
        <is>
          <t>HỆ THỐNG CẤP GIÓ TƯƠI, GIÓ BÙ Miệng gió OAG 1200x600+OBD</t>
        </is>
      </c>
      <c r="E239" t="inlineStr">
        <is>
          <t>1200x600</t>
        </is>
      </c>
      <c r="F239" t="inlineStr">
        <is>
          <t>Cái</t>
        </is>
      </c>
      <c r="G239" s="390" t="n">
        <v>2</v>
      </c>
      <c r="H239" s="390">
        <f>SUMIF('01_BOC_TACH_ONG'!B:B, B239, '01_BOC_TACH_ONG'!K:K)</f>
        <v/>
      </c>
      <c r="I239" s="390">
        <f>SUMIF('02_BOC_TACH_CUA'!B:B, B239, '02_BOC_TACH_CUA'!K:K)</f>
        <v/>
      </c>
      <c r="J239" s="390">
        <f>SUMIF('03_BOC_TACH_VAN'!B:B, B239, '03_BOC_TACH_VAN'!K:K)</f>
        <v/>
      </c>
      <c r="K239" s="390">
        <f>SUM(H239:J239)</f>
        <v/>
      </c>
      <c r="L239" s="390">
        <f>K239*0.25</f>
        <v/>
      </c>
      <c r="M239" s="390">
        <f>K239*0.10</f>
        <v/>
      </c>
      <c r="N239" s="390">
        <f>K239+L239+M239</f>
        <v/>
      </c>
      <c r="O239" s="390">
        <f>IF(G239&gt;0, N239/G239, 0)</f>
        <v/>
      </c>
      <c r="P239" s="391" t="n">
        <v>0.18</v>
      </c>
      <c r="Q239" s="390">
        <f>O239*(1+P239)</f>
        <v/>
      </c>
      <c r="R239" s="390">
        <f>G239*Q239</f>
        <v/>
      </c>
      <c r="S239" t="inlineStr"/>
    </row>
    <row r="240">
      <c r="A240" t="n">
        <v>239</v>
      </c>
      <c r="B240" t="inlineStr">
        <is>
          <t>SW-DIFF-239</t>
        </is>
      </c>
      <c r="C240" t="inlineStr">
        <is>
          <t>CỬA GIÓ</t>
        </is>
      </c>
      <c r="D240" t="inlineStr">
        <is>
          <t>HỆ THỐNG CẤP GIÓ TƯƠI, GIÓ BÙ Miệng gió OAG 600x600+OBD</t>
        </is>
      </c>
      <c r="E240" t="inlineStr">
        <is>
          <t>600x600</t>
        </is>
      </c>
      <c r="F240" t="inlineStr">
        <is>
          <t>Cái</t>
        </is>
      </c>
      <c r="G240" s="390" t="n">
        <v>48</v>
      </c>
      <c r="H240" s="390">
        <f>SUMIF('01_BOC_TACH_ONG'!B:B, B240, '01_BOC_TACH_ONG'!K:K)</f>
        <v/>
      </c>
      <c r="I240" s="390">
        <f>SUMIF('02_BOC_TACH_CUA'!B:B, B240, '02_BOC_TACH_CUA'!K:K)</f>
        <v/>
      </c>
      <c r="J240" s="390">
        <f>SUMIF('03_BOC_TACH_VAN'!B:B, B240, '03_BOC_TACH_VAN'!K:K)</f>
        <v/>
      </c>
      <c r="K240" s="390">
        <f>SUM(H240:J240)</f>
        <v/>
      </c>
      <c r="L240" s="390">
        <f>K240*0.25</f>
        <v/>
      </c>
      <c r="M240" s="390">
        <f>K240*0.10</f>
        <v/>
      </c>
      <c r="N240" s="390">
        <f>K240+L240+M240</f>
        <v/>
      </c>
      <c r="O240" s="390">
        <f>IF(G240&gt;0, N240/G240, 0)</f>
        <v/>
      </c>
      <c r="P240" s="391" t="n">
        <v>0.18</v>
      </c>
      <c r="Q240" s="390">
        <f>O240*(1+P240)</f>
        <v/>
      </c>
      <c r="R240" s="390">
        <f>G240*Q240</f>
        <v/>
      </c>
      <c r="S240" t="inlineStr"/>
    </row>
    <row r="241">
      <c r="A241" t="n">
        <v>240</v>
      </c>
      <c r="B241" t="inlineStr">
        <is>
          <t>SW-DIFF-240</t>
        </is>
      </c>
      <c r="C241" t="inlineStr">
        <is>
          <t>CỬA GIÓ</t>
        </is>
      </c>
      <c r="D241" t="inlineStr">
        <is>
          <t>HỆ THỐNG CẤP GIÓ TƯƠI, GIÓ BÙ Miệng gió OAG 900x600+OBD</t>
        </is>
      </c>
      <c r="E241" t="inlineStr">
        <is>
          <t>900x600</t>
        </is>
      </c>
      <c r="F241" t="inlineStr">
        <is>
          <t>Cái</t>
        </is>
      </c>
      <c r="G241" s="390" t="n">
        <v>2</v>
      </c>
      <c r="H241" s="390">
        <f>SUMIF('01_BOC_TACH_ONG'!B:B, B241, '01_BOC_TACH_ONG'!K:K)</f>
        <v/>
      </c>
      <c r="I241" s="390">
        <f>SUMIF('02_BOC_TACH_CUA'!B:B, B241, '02_BOC_TACH_CUA'!K:K)</f>
        <v/>
      </c>
      <c r="J241" s="390">
        <f>SUMIF('03_BOC_TACH_VAN'!B:B, B241, '03_BOC_TACH_VAN'!K:K)</f>
        <v/>
      </c>
      <c r="K241" s="390">
        <f>SUM(H241:J241)</f>
        <v/>
      </c>
      <c r="L241" s="390">
        <f>K241*0.25</f>
        <v/>
      </c>
      <c r="M241" s="390">
        <f>K241*0.10</f>
        <v/>
      </c>
      <c r="N241" s="390">
        <f>K241+L241+M241</f>
        <v/>
      </c>
      <c r="O241" s="390">
        <f>IF(G241&gt;0, N241/G241, 0)</f>
        <v/>
      </c>
      <c r="P241" s="391" t="n">
        <v>0.18</v>
      </c>
      <c r="Q241" s="390">
        <f>O241*(1+P241)</f>
        <v/>
      </c>
      <c r="R241" s="390">
        <f>G241*Q241</f>
        <v/>
      </c>
      <c r="S241" t="inlineStr"/>
    </row>
    <row r="242">
      <c r="A242" t="n">
        <v>241</v>
      </c>
      <c r="B242" t="inlineStr">
        <is>
          <t>SW-DIFF-241</t>
        </is>
      </c>
      <c r="C242" t="inlineStr">
        <is>
          <t>CỬA GIÓ</t>
        </is>
      </c>
      <c r="D242" t="inlineStr">
        <is>
          <t>HỆ THỐNG CẤP GIÓ TƯƠI, GIÓ BÙ Miệng gió MAG 850x850+OBD</t>
        </is>
      </c>
      <c r="E242" t="inlineStr">
        <is>
          <t>850x850</t>
        </is>
      </c>
      <c r="F242" t="inlineStr">
        <is>
          <t>Cái</t>
        </is>
      </c>
      <c r="G242" s="390" t="n">
        <v>1</v>
      </c>
      <c r="H242" s="390">
        <f>SUMIF('01_BOC_TACH_ONG'!B:B, B242, '01_BOC_TACH_ONG'!K:K)</f>
        <v/>
      </c>
      <c r="I242" s="390">
        <f>SUMIF('02_BOC_TACH_CUA'!B:B, B242, '02_BOC_TACH_CUA'!K:K)</f>
        <v/>
      </c>
      <c r="J242" s="390">
        <f>SUMIF('03_BOC_TACH_VAN'!B:B, B242, '03_BOC_TACH_VAN'!K:K)</f>
        <v/>
      </c>
      <c r="K242" s="390">
        <f>SUM(H242:J242)</f>
        <v/>
      </c>
      <c r="L242" s="390">
        <f>K242*0.25</f>
        <v/>
      </c>
      <c r="M242" s="390">
        <f>K242*0.10</f>
        <v/>
      </c>
      <c r="N242" s="390">
        <f>K242+L242+M242</f>
        <v/>
      </c>
      <c r="O242" s="390">
        <f>IF(G242&gt;0, N242/G242, 0)</f>
        <v/>
      </c>
      <c r="P242" s="391" t="n">
        <v>0.18</v>
      </c>
      <c r="Q242" s="390">
        <f>O242*(1+P242)</f>
        <v/>
      </c>
      <c r="R242" s="390">
        <f>G242*Q242</f>
        <v/>
      </c>
      <c r="S242" t="inlineStr"/>
    </row>
    <row r="243">
      <c r="A243" t="n">
        <v>242</v>
      </c>
      <c r="B243" t="inlineStr">
        <is>
          <t>SW-DIFF-242</t>
        </is>
      </c>
      <c r="C243" t="inlineStr">
        <is>
          <t>CỬA GIÓ</t>
        </is>
      </c>
      <c r="D243" t="inlineStr">
        <is>
          <t>HỆ THỐNG CẤP GIÓ TƯƠI, GIÓ BÙ Miệng gió MAG 1050x800+OBD</t>
        </is>
      </c>
      <c r="E243" t="inlineStr">
        <is>
          <t>1050x800</t>
        </is>
      </c>
      <c r="F243" t="inlineStr">
        <is>
          <t>Cái</t>
        </is>
      </c>
      <c r="G243" s="390" t="n">
        <v>2</v>
      </c>
      <c r="H243" s="390">
        <f>SUMIF('01_BOC_TACH_ONG'!B:B, B243, '01_BOC_TACH_ONG'!K:K)</f>
        <v/>
      </c>
      <c r="I243" s="390">
        <f>SUMIF('02_BOC_TACH_CUA'!B:B, B243, '02_BOC_TACH_CUA'!K:K)</f>
        <v/>
      </c>
      <c r="J243" s="390">
        <f>SUMIF('03_BOC_TACH_VAN'!B:B, B243, '03_BOC_TACH_VAN'!K:K)</f>
        <v/>
      </c>
      <c r="K243" s="390">
        <f>SUM(H243:J243)</f>
        <v/>
      </c>
      <c r="L243" s="390">
        <f>K243*0.25</f>
        <v/>
      </c>
      <c r="M243" s="390">
        <f>K243*0.10</f>
        <v/>
      </c>
      <c r="N243" s="390">
        <f>K243+L243+M243</f>
        <v/>
      </c>
      <c r="O243" s="390">
        <f>IF(G243&gt;0, N243/G243, 0)</f>
        <v/>
      </c>
      <c r="P243" s="391" t="n">
        <v>0.18</v>
      </c>
      <c r="Q243" s="390">
        <f>O243*(1+P243)</f>
        <v/>
      </c>
      <c r="R243" s="390">
        <f>G243*Q243</f>
        <v/>
      </c>
      <c r="S243" t="inlineStr"/>
    </row>
    <row r="244">
      <c r="A244" t="n">
        <v>243</v>
      </c>
      <c r="B244" t="inlineStr">
        <is>
          <t>SW-DIFF-243</t>
        </is>
      </c>
      <c r="C244" t="inlineStr">
        <is>
          <t>CỬA GIÓ</t>
        </is>
      </c>
      <c r="D244" t="inlineStr">
        <is>
          <t>HỆ THỐNG CẤP GIÓ TƯƠI, GIÓ BÙ Miệng gió MAG 850x850+OBD</t>
        </is>
      </c>
      <c r="E244" t="inlineStr">
        <is>
          <t>850x850</t>
        </is>
      </c>
      <c r="F244" t="inlineStr">
        <is>
          <t>Cái</t>
        </is>
      </c>
      <c r="G244" s="390" t="n">
        <v>1</v>
      </c>
      <c r="H244" s="390">
        <f>SUMIF('01_BOC_TACH_ONG'!B:B, B244, '01_BOC_TACH_ONG'!K:K)</f>
        <v/>
      </c>
      <c r="I244" s="390">
        <f>SUMIF('02_BOC_TACH_CUA'!B:B, B244, '02_BOC_TACH_CUA'!K:K)</f>
        <v/>
      </c>
      <c r="J244" s="390">
        <f>SUMIF('03_BOC_TACH_VAN'!B:B, B244, '03_BOC_TACH_VAN'!K:K)</f>
        <v/>
      </c>
      <c r="K244" s="390">
        <f>SUM(H244:J244)</f>
        <v/>
      </c>
      <c r="L244" s="390">
        <f>K244*0.25</f>
        <v/>
      </c>
      <c r="M244" s="390">
        <f>K244*0.10</f>
        <v/>
      </c>
      <c r="N244" s="390">
        <f>K244+L244+M244</f>
        <v/>
      </c>
      <c r="O244" s="390">
        <f>IF(G244&gt;0, N244/G244, 0)</f>
        <v/>
      </c>
      <c r="P244" s="391" t="n">
        <v>0.18</v>
      </c>
      <c r="Q244" s="390">
        <f>O244*(1+P244)</f>
        <v/>
      </c>
      <c r="R244" s="390">
        <f>G244*Q244</f>
        <v/>
      </c>
      <c r="S244" t="inlineStr"/>
    </row>
    <row r="245">
      <c r="A245" t="n">
        <v>244</v>
      </c>
      <c r="B245" t="inlineStr">
        <is>
          <t>SW-DIFF-244</t>
        </is>
      </c>
      <c r="C245" t="inlineStr">
        <is>
          <t>CỬA GIÓ</t>
        </is>
      </c>
      <c r="D245" t="inlineStr">
        <is>
          <t>HỆ THỐNG CẤP GIÓ TƯƠI, GIÓ BÙ Miệng gió MAG 850x850+OBD</t>
        </is>
      </c>
      <c r="E245" t="inlineStr">
        <is>
          <t>850x850</t>
        </is>
      </c>
      <c r="F245" t="inlineStr">
        <is>
          <t>Cái</t>
        </is>
      </c>
      <c r="G245" s="390" t="n">
        <v>2</v>
      </c>
      <c r="H245" s="390">
        <f>SUMIF('01_BOC_TACH_ONG'!B:B, B245, '01_BOC_TACH_ONG'!K:K)</f>
        <v/>
      </c>
      <c r="I245" s="390">
        <f>SUMIF('02_BOC_TACH_CUA'!B:B, B245, '02_BOC_TACH_CUA'!K:K)</f>
        <v/>
      </c>
      <c r="J245" s="390">
        <f>SUMIF('03_BOC_TACH_VAN'!B:B, B245, '03_BOC_TACH_VAN'!K:K)</f>
        <v/>
      </c>
      <c r="K245" s="390">
        <f>SUM(H245:J245)</f>
        <v/>
      </c>
      <c r="L245" s="390">
        <f>K245*0.25</f>
        <v/>
      </c>
      <c r="M245" s="390">
        <f>K245*0.10</f>
        <v/>
      </c>
      <c r="N245" s="390">
        <f>K245+L245+M245</f>
        <v/>
      </c>
      <c r="O245" s="390">
        <f>IF(G245&gt;0, N245/G245, 0)</f>
        <v/>
      </c>
      <c r="P245" s="391" t="n">
        <v>0.18</v>
      </c>
      <c r="Q245" s="390">
        <f>O245*(1+P245)</f>
        <v/>
      </c>
      <c r="R245" s="390">
        <f>G245*Q245</f>
        <v/>
      </c>
      <c r="S245" t="inlineStr"/>
    </row>
    <row r="246">
      <c r="A246" t="n">
        <v>245</v>
      </c>
      <c r="B246" t="inlineStr">
        <is>
          <t>SW-DIFF-245</t>
        </is>
      </c>
      <c r="C246" t="inlineStr">
        <is>
          <t>CỬA GIÓ</t>
        </is>
      </c>
      <c r="D246" t="inlineStr">
        <is>
          <t>HỆ THỐNG CẤP GIÓ TƯƠI, GIÓ BÙ Miệng gió MAG 250x250+OBD</t>
        </is>
      </c>
      <c r="E246" t="inlineStr">
        <is>
          <t>250x250</t>
        </is>
      </c>
      <c r="F246" t="inlineStr">
        <is>
          <t>Cái</t>
        </is>
      </c>
      <c r="G246" s="390" t="n">
        <v>35</v>
      </c>
      <c r="H246" s="390">
        <f>SUMIF('01_BOC_TACH_ONG'!B:B, B246, '01_BOC_TACH_ONG'!K:K)</f>
        <v/>
      </c>
      <c r="I246" s="390">
        <f>SUMIF('02_BOC_TACH_CUA'!B:B, B246, '02_BOC_TACH_CUA'!K:K)</f>
        <v/>
      </c>
      <c r="J246" s="390">
        <f>SUMIF('03_BOC_TACH_VAN'!B:B, B246, '03_BOC_TACH_VAN'!K:K)</f>
        <v/>
      </c>
      <c r="K246" s="390">
        <f>SUM(H246:J246)</f>
        <v/>
      </c>
      <c r="L246" s="390">
        <f>K246*0.25</f>
        <v/>
      </c>
      <c r="M246" s="390">
        <f>K246*0.10</f>
        <v/>
      </c>
      <c r="N246" s="390">
        <f>K246+L246+M246</f>
        <v/>
      </c>
      <c r="O246" s="390">
        <f>IF(G246&gt;0, N246/G246, 0)</f>
        <v/>
      </c>
      <c r="P246" s="391" t="n">
        <v>0.18</v>
      </c>
      <c r="Q246" s="390">
        <f>O246*(1+P246)</f>
        <v/>
      </c>
      <c r="R246" s="390">
        <f>G246*Q246</f>
        <v/>
      </c>
      <c r="S246" t="inlineStr"/>
    </row>
    <row r="247">
      <c r="A247" t="n">
        <v>246</v>
      </c>
      <c r="B247" t="inlineStr">
        <is>
          <t>SW-DIFF-246</t>
        </is>
      </c>
      <c r="C247" t="inlineStr">
        <is>
          <t>CỬA GIÓ</t>
        </is>
      </c>
      <c r="D247" t="inlineStr">
        <is>
          <t>HỆ THỐNG CẤP GIÓ TƯƠI, GIÓ BÙ Cửa sổ cấp bù gió khi có cháy 1.5m2</t>
        </is>
      </c>
      <c r="E247" t="inlineStr">
        <is>
          <t>-</t>
        </is>
      </c>
      <c r="F247" t="inlineStr">
        <is>
          <t>Cái</t>
        </is>
      </c>
      <c r="G247" s="390" t="n">
        <v>3</v>
      </c>
      <c r="H247" s="390">
        <f>SUMIF('01_BOC_TACH_ONG'!B:B, B247, '01_BOC_TACH_ONG'!K:K)</f>
        <v/>
      </c>
      <c r="I247" s="390">
        <f>SUMIF('02_BOC_TACH_CUA'!B:B, B247, '02_BOC_TACH_CUA'!K:K)</f>
        <v/>
      </c>
      <c r="J247" s="390">
        <f>SUMIF('03_BOC_TACH_VAN'!B:B, B247, '03_BOC_TACH_VAN'!K:K)</f>
        <v/>
      </c>
      <c r="K247" s="390">
        <f>SUM(H247:J247)</f>
        <v/>
      </c>
      <c r="L247" s="390">
        <f>K247*0.25</f>
        <v/>
      </c>
      <c r="M247" s="390">
        <f>K247*0.10</f>
        <v/>
      </c>
      <c r="N247" s="390">
        <f>K247+L247+M247</f>
        <v/>
      </c>
      <c r="O247" s="390">
        <f>IF(G247&gt;0, N247/G247, 0)</f>
        <v/>
      </c>
      <c r="P247" s="391" t="n">
        <v>0.18</v>
      </c>
      <c r="Q247" s="390">
        <f>O247*(1+P247)</f>
        <v/>
      </c>
      <c r="R247" s="390">
        <f>G247*Q247</f>
        <v/>
      </c>
      <c r="S247" t="inlineStr"/>
    </row>
    <row r="248">
      <c r="A248" t="n">
        <v>247</v>
      </c>
      <c r="B248" t="inlineStr">
        <is>
          <t>SW-DIFF-247</t>
        </is>
      </c>
      <c r="C248" t="inlineStr">
        <is>
          <t>CỬA GIÓ</t>
        </is>
      </c>
      <c r="D248" t="inlineStr">
        <is>
          <t>HỆ THỐNG CẤP GIÓ TƯƠI, GIÓ BÙ Cửa sổ cấp bù gió khi có cháy 0.8m2</t>
        </is>
      </c>
      <c r="E248" t="inlineStr">
        <is>
          <t>-</t>
        </is>
      </c>
      <c r="F248" t="inlineStr">
        <is>
          <t>Cái</t>
        </is>
      </c>
      <c r="G248" s="390" t="n">
        <v>4</v>
      </c>
      <c r="H248" s="390">
        <f>SUMIF('01_BOC_TACH_ONG'!B:B, B248, '01_BOC_TACH_ONG'!K:K)</f>
        <v/>
      </c>
      <c r="I248" s="390">
        <f>SUMIF('02_BOC_TACH_CUA'!B:B, B248, '02_BOC_TACH_CUA'!K:K)</f>
        <v/>
      </c>
      <c r="J248" s="390">
        <f>SUMIF('03_BOC_TACH_VAN'!B:B, B248, '03_BOC_TACH_VAN'!K:K)</f>
        <v/>
      </c>
      <c r="K248" s="390">
        <f>SUM(H248:J248)</f>
        <v/>
      </c>
      <c r="L248" s="390">
        <f>K248*0.25</f>
        <v/>
      </c>
      <c r="M248" s="390">
        <f>K248*0.10</f>
        <v/>
      </c>
      <c r="N248" s="390">
        <f>K248+L248+M248</f>
        <v/>
      </c>
      <c r="O248" s="390">
        <f>IF(G248&gt;0, N248/G248, 0)</f>
        <v/>
      </c>
      <c r="P248" s="391" t="n">
        <v>0.18</v>
      </c>
      <c r="Q248" s="390">
        <f>O248*(1+P248)</f>
        <v/>
      </c>
      <c r="R248" s="390">
        <f>G248*Q248</f>
        <v/>
      </c>
      <c r="S248" t="inlineStr"/>
    </row>
    <row r="249">
      <c r="A249" t="n">
        <v>248</v>
      </c>
      <c r="B249" t="inlineStr">
        <is>
          <t>SW-DIFF-248</t>
        </is>
      </c>
      <c r="C249" t="inlineStr">
        <is>
          <t>CỬA GIÓ</t>
        </is>
      </c>
      <c r="D249" t="inlineStr">
        <is>
          <t>HỆ THỐNG CẤP GIÓ TƯƠI, GIÓ BÙ Cửa sổ cấp bù gió khi có cháy 0.75m2</t>
        </is>
      </c>
      <c r="E249" t="inlineStr">
        <is>
          <t>-</t>
        </is>
      </c>
      <c r="F249" t="inlineStr">
        <is>
          <t>Cái</t>
        </is>
      </c>
      <c r="G249" s="390" t="n">
        <v>1</v>
      </c>
      <c r="H249" s="390">
        <f>SUMIF('01_BOC_TACH_ONG'!B:B, B249, '01_BOC_TACH_ONG'!K:K)</f>
        <v/>
      </c>
      <c r="I249" s="390">
        <f>SUMIF('02_BOC_TACH_CUA'!B:B, B249, '02_BOC_TACH_CUA'!K:K)</f>
        <v/>
      </c>
      <c r="J249" s="390">
        <f>SUMIF('03_BOC_TACH_VAN'!B:B, B249, '03_BOC_TACH_VAN'!K:K)</f>
        <v/>
      </c>
      <c r="K249" s="390">
        <f>SUM(H249:J249)</f>
        <v/>
      </c>
      <c r="L249" s="390">
        <f>K249*0.25</f>
        <v/>
      </c>
      <c r="M249" s="390">
        <f>K249*0.10</f>
        <v/>
      </c>
      <c r="N249" s="390">
        <f>K249+L249+M249</f>
        <v/>
      </c>
      <c r="O249" s="390">
        <f>IF(G249&gt;0, N249/G249, 0)</f>
        <v/>
      </c>
      <c r="P249" s="391" t="n">
        <v>0.18</v>
      </c>
      <c r="Q249" s="390">
        <f>O249*(1+P249)</f>
        <v/>
      </c>
      <c r="R249" s="390">
        <f>G249*Q249</f>
        <v/>
      </c>
      <c r="S249" t="inlineStr"/>
    </row>
    <row r="250">
      <c r="A250" t="n">
        <v>249</v>
      </c>
      <c r="B250" t="inlineStr">
        <is>
          <t>SW-DIFF-249</t>
        </is>
      </c>
      <c r="C250" t="inlineStr">
        <is>
          <t>CỬA GIÓ</t>
        </is>
      </c>
      <c r="D250" t="inlineStr">
        <is>
          <t>HỆ THỐNG CẤP GIÓ TƯƠI, GIÓ BÙ Louver FAL 300x300 + IS + Filter</t>
        </is>
      </c>
      <c r="E250" t="inlineStr">
        <is>
          <t>300x300</t>
        </is>
      </c>
      <c r="F250" t="inlineStr">
        <is>
          <t>cái</t>
        </is>
      </c>
      <c r="G250" s="390" t="n">
        <v>6</v>
      </c>
      <c r="H250" s="390">
        <f>SUMIF('01_BOC_TACH_ONG'!B:B, B250, '01_BOC_TACH_ONG'!K:K)</f>
        <v/>
      </c>
      <c r="I250" s="390">
        <f>SUMIF('02_BOC_TACH_CUA'!B:B, B250, '02_BOC_TACH_CUA'!K:K)</f>
        <v/>
      </c>
      <c r="J250" s="390">
        <f>SUMIF('03_BOC_TACH_VAN'!B:B, B250, '03_BOC_TACH_VAN'!K:K)</f>
        <v/>
      </c>
      <c r="K250" s="390">
        <f>SUM(H250:J250)</f>
        <v/>
      </c>
      <c r="L250" s="390">
        <f>K250*0.25</f>
        <v/>
      </c>
      <c r="M250" s="390">
        <f>K250*0.10</f>
        <v/>
      </c>
      <c r="N250" s="390">
        <f>K250+L250+M250</f>
        <v/>
      </c>
      <c r="O250" s="390">
        <f>IF(G250&gt;0, N250/G250, 0)</f>
        <v/>
      </c>
      <c r="P250" s="391" t="n">
        <v>0.18</v>
      </c>
      <c r="Q250" s="390">
        <f>O250*(1+P250)</f>
        <v/>
      </c>
      <c r="R250" s="390">
        <f>G250*Q250</f>
        <v/>
      </c>
      <c r="S250" t="inlineStr"/>
    </row>
    <row r="251">
      <c r="A251" t="n">
        <v>250</v>
      </c>
      <c r="B251" t="inlineStr">
        <is>
          <t>SW-DIFF-250</t>
        </is>
      </c>
      <c r="C251" t="inlineStr">
        <is>
          <t>CỬA GIÓ</t>
        </is>
      </c>
      <c r="D251" t="inlineStr">
        <is>
          <t>HỆ THỐNG CẤP GIÓ TƯƠI, GIÓ BÙ Louver FAL 400x300 + IS + Filter</t>
        </is>
      </c>
      <c r="E251" t="inlineStr">
        <is>
          <t>400x300</t>
        </is>
      </c>
      <c r="F251" t="inlineStr">
        <is>
          <t>cái</t>
        </is>
      </c>
      <c r="G251" s="390" t="n">
        <v>15</v>
      </c>
      <c r="H251" s="390">
        <f>SUMIF('01_BOC_TACH_ONG'!B:B, B251, '01_BOC_TACH_ONG'!K:K)</f>
        <v/>
      </c>
      <c r="I251" s="390">
        <f>SUMIF('02_BOC_TACH_CUA'!B:B, B251, '02_BOC_TACH_CUA'!K:K)</f>
        <v/>
      </c>
      <c r="J251" s="390">
        <f>SUMIF('03_BOC_TACH_VAN'!B:B, B251, '03_BOC_TACH_VAN'!K:K)</f>
        <v/>
      </c>
      <c r="K251" s="390">
        <f>SUM(H251:J251)</f>
        <v/>
      </c>
      <c r="L251" s="390">
        <f>K251*0.25</f>
        <v/>
      </c>
      <c r="M251" s="390">
        <f>K251*0.10</f>
        <v/>
      </c>
      <c r="N251" s="390">
        <f>K251+L251+M251</f>
        <v/>
      </c>
      <c r="O251" s="390">
        <f>IF(G251&gt;0, N251/G251, 0)</f>
        <v/>
      </c>
      <c r="P251" s="391" t="n">
        <v>0.18</v>
      </c>
      <c r="Q251" s="390">
        <f>O251*(1+P251)</f>
        <v/>
      </c>
      <c r="R251" s="390">
        <f>G251*Q251</f>
        <v/>
      </c>
      <c r="S251" t="inlineStr"/>
    </row>
    <row r="252">
      <c r="A252" t="n">
        <v>251</v>
      </c>
      <c r="B252" t="inlineStr">
        <is>
          <t>SW-DIFF-251</t>
        </is>
      </c>
      <c r="C252" t="inlineStr">
        <is>
          <t>CỬA GIÓ</t>
        </is>
      </c>
      <c r="D252" t="inlineStr">
        <is>
          <t>HỆ THỐNG CẤP GIÓ TƯƠI, GIÓ BÙ Louver FAL 500x300 + IS + Filter</t>
        </is>
      </c>
      <c r="E252" t="inlineStr">
        <is>
          <t>500x300</t>
        </is>
      </c>
      <c r="F252" t="inlineStr">
        <is>
          <t>cái</t>
        </is>
      </c>
      <c r="G252" s="390" t="n">
        <v>6</v>
      </c>
      <c r="H252" s="390">
        <f>SUMIF('01_BOC_TACH_ONG'!B:B, B252, '01_BOC_TACH_ONG'!K:K)</f>
        <v/>
      </c>
      <c r="I252" s="390">
        <f>SUMIF('02_BOC_TACH_CUA'!B:B, B252, '02_BOC_TACH_CUA'!K:K)</f>
        <v/>
      </c>
      <c r="J252" s="390">
        <f>SUMIF('03_BOC_TACH_VAN'!B:B, B252, '03_BOC_TACH_VAN'!K:K)</f>
        <v/>
      </c>
      <c r="K252" s="390">
        <f>SUM(H252:J252)</f>
        <v/>
      </c>
      <c r="L252" s="390">
        <f>K252*0.25</f>
        <v/>
      </c>
      <c r="M252" s="390">
        <f>K252*0.10</f>
        <v/>
      </c>
      <c r="N252" s="390">
        <f>K252+L252+M252</f>
        <v/>
      </c>
      <c r="O252" s="390">
        <f>IF(G252&gt;0, N252/G252, 0)</f>
        <v/>
      </c>
      <c r="P252" s="391" t="n">
        <v>0.18</v>
      </c>
      <c r="Q252" s="390">
        <f>O252*(1+P252)</f>
        <v/>
      </c>
      <c r="R252" s="390">
        <f>G252*Q252</f>
        <v/>
      </c>
      <c r="S252" t="inlineStr"/>
    </row>
    <row r="253">
      <c r="A253" t="n">
        <v>252</v>
      </c>
      <c r="B253" t="inlineStr">
        <is>
          <t>SW-DIFF-252</t>
        </is>
      </c>
      <c r="C253" t="inlineStr">
        <is>
          <t>CỬA GIÓ</t>
        </is>
      </c>
      <c r="D253" t="inlineStr">
        <is>
          <t>HỆ THỐNG CẤP GIÓ TƯƠI, GIÓ BÙ Louver FAL 600x400 + IS + Filter</t>
        </is>
      </c>
      <c r="E253" t="inlineStr">
        <is>
          <t>600x400</t>
        </is>
      </c>
      <c r="F253" t="inlineStr">
        <is>
          <t>cái</t>
        </is>
      </c>
      <c r="G253" s="390" t="n">
        <v>8</v>
      </c>
      <c r="H253" s="390">
        <f>SUMIF('01_BOC_TACH_ONG'!B:B, B253, '01_BOC_TACH_ONG'!K:K)</f>
        <v/>
      </c>
      <c r="I253" s="390">
        <f>SUMIF('02_BOC_TACH_CUA'!B:B, B253, '02_BOC_TACH_CUA'!K:K)</f>
        <v/>
      </c>
      <c r="J253" s="390">
        <f>SUMIF('03_BOC_TACH_VAN'!B:B, B253, '03_BOC_TACH_VAN'!K:K)</f>
        <v/>
      </c>
      <c r="K253" s="390">
        <f>SUM(H253:J253)</f>
        <v/>
      </c>
      <c r="L253" s="390">
        <f>K253*0.25</f>
        <v/>
      </c>
      <c r="M253" s="390">
        <f>K253*0.10</f>
        <v/>
      </c>
      <c r="N253" s="390">
        <f>K253+L253+M253</f>
        <v/>
      </c>
      <c r="O253" s="390">
        <f>IF(G253&gt;0, N253/G253, 0)</f>
        <v/>
      </c>
      <c r="P253" s="391" t="n">
        <v>0.18</v>
      </c>
      <c r="Q253" s="390">
        <f>O253*(1+P253)</f>
        <v/>
      </c>
      <c r="R253" s="390">
        <f>G253*Q253</f>
        <v/>
      </c>
      <c r="S253" t="inlineStr"/>
    </row>
    <row r="254">
      <c r="A254" t="n">
        <v>253</v>
      </c>
      <c r="B254" t="inlineStr">
        <is>
          <t>SW-DIFF-253</t>
        </is>
      </c>
      <c r="C254" t="inlineStr">
        <is>
          <t>CỬA GIÓ</t>
        </is>
      </c>
      <c r="D254" t="inlineStr">
        <is>
          <t>HỆ THỐNG CẤP GIÓ TƯƠI, GIÓ BÙ Louver FAL 600x600 + IS + Filter</t>
        </is>
      </c>
      <c r="E254" t="inlineStr">
        <is>
          <t>600x600</t>
        </is>
      </c>
      <c r="F254" t="inlineStr">
        <is>
          <t>cái</t>
        </is>
      </c>
      <c r="G254" s="390" t="n">
        <v>2</v>
      </c>
      <c r="H254" s="390">
        <f>SUMIF('01_BOC_TACH_ONG'!B:B, B254, '01_BOC_TACH_ONG'!K:K)</f>
        <v/>
      </c>
      <c r="I254" s="390">
        <f>SUMIF('02_BOC_TACH_CUA'!B:B, B254, '02_BOC_TACH_CUA'!K:K)</f>
        <v/>
      </c>
      <c r="J254" s="390">
        <f>SUMIF('03_BOC_TACH_VAN'!B:B, B254, '03_BOC_TACH_VAN'!K:K)</f>
        <v/>
      </c>
      <c r="K254" s="390">
        <f>SUM(H254:J254)</f>
        <v/>
      </c>
      <c r="L254" s="390">
        <f>K254*0.25</f>
        <v/>
      </c>
      <c r="M254" s="390">
        <f>K254*0.10</f>
        <v/>
      </c>
      <c r="N254" s="390">
        <f>K254+L254+M254</f>
        <v/>
      </c>
      <c r="O254" s="390">
        <f>IF(G254&gt;0, N254/G254, 0)</f>
        <v/>
      </c>
      <c r="P254" s="391" t="n">
        <v>0.18</v>
      </c>
      <c r="Q254" s="390">
        <f>O254*(1+P254)</f>
        <v/>
      </c>
      <c r="R254" s="390">
        <f>G254*Q254</f>
        <v/>
      </c>
      <c r="S254" t="inlineStr"/>
    </row>
    <row r="255">
      <c r="A255" t="n">
        <v>254</v>
      </c>
      <c r="B255" t="inlineStr">
        <is>
          <t>SW-DIFF-254</t>
        </is>
      </c>
      <c r="C255" t="inlineStr">
        <is>
          <t>CỬA GIÓ</t>
        </is>
      </c>
      <c r="D255" t="inlineStr">
        <is>
          <t>HỆ THỐNG CẤP GIÓ TƯƠI, GIÓ BÙ Louver FAL 900x600 + IS + Filter</t>
        </is>
      </c>
      <c r="E255" t="inlineStr">
        <is>
          <t>900x600</t>
        </is>
      </c>
      <c r="F255" t="inlineStr">
        <is>
          <t>cái</t>
        </is>
      </c>
      <c r="G255" s="390" t="n">
        <v>1</v>
      </c>
      <c r="H255" s="390">
        <f>SUMIF('01_BOC_TACH_ONG'!B:B, B255, '01_BOC_TACH_ONG'!K:K)</f>
        <v/>
      </c>
      <c r="I255" s="390">
        <f>SUMIF('02_BOC_TACH_CUA'!B:B, B255, '02_BOC_TACH_CUA'!K:K)</f>
        <v/>
      </c>
      <c r="J255" s="390">
        <f>SUMIF('03_BOC_TACH_VAN'!B:B, B255, '03_BOC_TACH_VAN'!K:K)</f>
        <v/>
      </c>
      <c r="K255" s="390">
        <f>SUM(H255:J255)</f>
        <v/>
      </c>
      <c r="L255" s="390">
        <f>K255*0.25</f>
        <v/>
      </c>
      <c r="M255" s="390">
        <f>K255*0.10</f>
        <v/>
      </c>
      <c r="N255" s="390">
        <f>K255+L255+M255</f>
        <v/>
      </c>
      <c r="O255" s="390">
        <f>IF(G255&gt;0, N255/G255, 0)</f>
        <v/>
      </c>
      <c r="P255" s="391" t="n">
        <v>0.18</v>
      </c>
      <c r="Q255" s="390">
        <f>O255*(1+P255)</f>
        <v/>
      </c>
      <c r="R255" s="390">
        <f>G255*Q255</f>
        <v/>
      </c>
      <c r="S255" t="inlineStr"/>
    </row>
    <row r="256">
      <c r="A256" t="n">
        <v>255</v>
      </c>
      <c r="B256" t="inlineStr">
        <is>
          <t>SW-DIFF-255</t>
        </is>
      </c>
      <c r="C256" t="inlineStr">
        <is>
          <t>CỬA GIÓ</t>
        </is>
      </c>
      <c r="D256" t="inlineStr">
        <is>
          <t>HỆ THỐNG CẤP GIÓ TƯƠI, GIÓ BÙ Louver 2500x500+IS</t>
        </is>
      </c>
      <c r="E256" t="inlineStr">
        <is>
          <t>2500x500</t>
        </is>
      </c>
      <c r="F256" t="inlineStr">
        <is>
          <t>cái</t>
        </is>
      </c>
      <c r="G256" s="390" t="n">
        <v>2</v>
      </c>
      <c r="H256" s="390">
        <f>SUMIF('01_BOC_TACH_ONG'!B:B, B256, '01_BOC_TACH_ONG'!K:K)</f>
        <v/>
      </c>
      <c r="I256" s="390">
        <f>SUMIF('02_BOC_TACH_CUA'!B:B, B256, '02_BOC_TACH_CUA'!K:K)</f>
        <v/>
      </c>
      <c r="J256" s="390">
        <f>SUMIF('03_BOC_TACH_VAN'!B:B, B256, '03_BOC_TACH_VAN'!K:K)</f>
        <v/>
      </c>
      <c r="K256" s="390">
        <f>SUM(H256:J256)</f>
        <v/>
      </c>
      <c r="L256" s="390">
        <f>K256*0.25</f>
        <v/>
      </c>
      <c r="M256" s="390">
        <f>K256*0.10</f>
        <v/>
      </c>
      <c r="N256" s="390">
        <f>K256+L256+M256</f>
        <v/>
      </c>
      <c r="O256" s="390">
        <f>IF(G256&gt;0, N256/G256, 0)</f>
        <v/>
      </c>
      <c r="P256" s="391" t="n">
        <v>0.18</v>
      </c>
      <c r="Q256" s="390">
        <f>O256*(1+P256)</f>
        <v/>
      </c>
      <c r="R256" s="390">
        <f>G256*Q256</f>
        <v/>
      </c>
      <c r="S256" t="inlineStr"/>
    </row>
    <row r="257">
      <c r="A257" t="n">
        <v>256</v>
      </c>
      <c r="B257" t="inlineStr">
        <is>
          <t>SW-DIFF-256</t>
        </is>
      </c>
      <c r="C257" t="inlineStr">
        <is>
          <t>CỬA GIÓ</t>
        </is>
      </c>
      <c r="D257" t="inlineStr">
        <is>
          <t>HỆ THỐNG CẤP GIÓ TƯƠI, GIÓ BÙ Louver 1750x500+IS</t>
        </is>
      </c>
      <c r="E257" t="inlineStr">
        <is>
          <t>1750x500</t>
        </is>
      </c>
      <c r="F257" t="inlineStr">
        <is>
          <t>cái</t>
        </is>
      </c>
      <c r="G257" s="390" t="n">
        <v>2</v>
      </c>
      <c r="H257" s="390">
        <f>SUMIF('01_BOC_TACH_ONG'!B:B, B257, '01_BOC_TACH_ONG'!K:K)</f>
        <v/>
      </c>
      <c r="I257" s="390">
        <f>SUMIF('02_BOC_TACH_CUA'!B:B, B257, '02_BOC_TACH_CUA'!K:K)</f>
        <v/>
      </c>
      <c r="J257" s="390">
        <f>SUMIF('03_BOC_TACH_VAN'!B:B, B257, '03_BOC_TACH_VAN'!K:K)</f>
        <v/>
      </c>
      <c r="K257" s="390">
        <f>SUM(H257:J257)</f>
        <v/>
      </c>
      <c r="L257" s="390">
        <f>K257*0.25</f>
        <v/>
      </c>
      <c r="M257" s="390">
        <f>K257*0.10</f>
        <v/>
      </c>
      <c r="N257" s="390">
        <f>K257+L257+M257</f>
        <v/>
      </c>
      <c r="O257" s="390">
        <f>IF(G257&gt;0, N257/G257, 0)</f>
        <v/>
      </c>
      <c r="P257" s="391" t="n">
        <v>0.18</v>
      </c>
      <c r="Q257" s="390">
        <f>O257*(1+P257)</f>
        <v/>
      </c>
      <c r="R257" s="390">
        <f>G257*Q257</f>
        <v/>
      </c>
      <c r="S257" t="inlineStr"/>
    </row>
    <row r="258">
      <c r="A258" t="n">
        <v>257</v>
      </c>
      <c r="B258" t="inlineStr">
        <is>
          <t>SW-DIFF-257</t>
        </is>
      </c>
      <c r="C258" t="inlineStr">
        <is>
          <t>CỬA GIÓ</t>
        </is>
      </c>
      <c r="D258" t="inlineStr">
        <is>
          <t>HỆ THỐNG CẤP GIÓ TƯƠI, GIÓ BÙ Louver 2500x500+IS</t>
        </is>
      </c>
      <c r="E258" t="inlineStr">
        <is>
          <t>2500x500</t>
        </is>
      </c>
      <c r="F258" t="inlineStr">
        <is>
          <t>cái</t>
        </is>
      </c>
      <c r="G258" s="390" t="n">
        <v>5</v>
      </c>
      <c r="H258" s="390">
        <f>SUMIF('01_BOC_TACH_ONG'!B:B, B258, '01_BOC_TACH_ONG'!K:K)</f>
        <v/>
      </c>
      <c r="I258" s="390">
        <f>SUMIF('02_BOC_TACH_CUA'!B:B, B258, '02_BOC_TACH_CUA'!K:K)</f>
        <v/>
      </c>
      <c r="J258" s="390">
        <f>SUMIF('03_BOC_TACH_VAN'!B:B, B258, '03_BOC_TACH_VAN'!K:K)</f>
        <v/>
      </c>
      <c r="K258" s="390">
        <f>SUM(H258:J258)</f>
        <v/>
      </c>
      <c r="L258" s="390">
        <f>K258*0.25</f>
        <v/>
      </c>
      <c r="M258" s="390">
        <f>K258*0.10</f>
        <v/>
      </c>
      <c r="N258" s="390">
        <f>K258+L258+M258</f>
        <v/>
      </c>
      <c r="O258" s="390">
        <f>IF(G258&gt;0, N258/G258, 0)</f>
        <v/>
      </c>
      <c r="P258" s="391" t="n">
        <v>0.18</v>
      </c>
      <c r="Q258" s="390">
        <f>O258*(1+P258)</f>
        <v/>
      </c>
      <c r="R258" s="390">
        <f>G258*Q258</f>
        <v/>
      </c>
      <c r="S258" t="inlineStr"/>
    </row>
    <row r="259">
      <c r="A259" t="n">
        <v>258</v>
      </c>
      <c r="B259" t="inlineStr">
        <is>
          <t>SW-DIFF-258</t>
        </is>
      </c>
      <c r="C259" t="inlineStr">
        <is>
          <t>CỬA GIÓ</t>
        </is>
      </c>
      <c r="D259" t="inlineStr">
        <is>
          <t>HỆ THỐNG CẤP GIÓ TƯƠI, GIÓ BÙ Louver 3000x500+IS</t>
        </is>
      </c>
      <c r="E259" t="inlineStr">
        <is>
          <t>3000x500</t>
        </is>
      </c>
      <c r="F259" t="inlineStr">
        <is>
          <t>cái</t>
        </is>
      </c>
      <c r="G259" s="390" t="n">
        <v>1</v>
      </c>
      <c r="H259" s="390">
        <f>SUMIF('01_BOC_TACH_ONG'!B:B, B259, '01_BOC_TACH_ONG'!K:K)</f>
        <v/>
      </c>
      <c r="I259" s="390">
        <f>SUMIF('02_BOC_TACH_CUA'!B:B, B259, '02_BOC_TACH_CUA'!K:K)</f>
        <v/>
      </c>
      <c r="J259" s="390">
        <f>SUMIF('03_BOC_TACH_VAN'!B:B, B259, '03_BOC_TACH_VAN'!K:K)</f>
        <v/>
      </c>
      <c r="K259" s="390">
        <f>SUM(H259:J259)</f>
        <v/>
      </c>
      <c r="L259" s="390">
        <f>K259*0.25</f>
        <v/>
      </c>
      <c r="M259" s="390">
        <f>K259*0.10</f>
        <v/>
      </c>
      <c r="N259" s="390">
        <f>K259+L259+M259</f>
        <v/>
      </c>
      <c r="O259" s="390">
        <f>IF(G259&gt;0, N259/G259, 0)</f>
        <v/>
      </c>
      <c r="P259" s="391" t="n">
        <v>0.18</v>
      </c>
      <c r="Q259" s="390">
        <f>O259*(1+P259)</f>
        <v/>
      </c>
      <c r="R259" s="390">
        <f>G259*Q259</f>
        <v/>
      </c>
      <c r="S259" t="inlineStr"/>
    </row>
    <row r="260">
      <c r="A260" t="n">
        <v>259</v>
      </c>
      <c r="B260" t="inlineStr">
        <is>
          <t>SW-DUCT-259</t>
        </is>
      </c>
      <c r="C260" t="inlineStr">
        <is>
          <t>ỐNG GIÓ</t>
        </is>
      </c>
      <c r="D260" t="inlineStr">
        <is>
          <t>Hệ thống ống thông cấp gió tươi, gió bù, box miệng gió Tole 0.58 mm phủ lớp mạ kẽm Z180 kèm cách nhiệt 19mm</t>
        </is>
      </c>
      <c r="E260" t="inlineStr">
        <is>
          <t>0.58mm</t>
        </is>
      </c>
      <c r="F260" t="inlineStr">
        <is>
          <t>m2</t>
        </is>
      </c>
      <c r="G260" s="390" t="n">
        <v>2259.95</v>
      </c>
      <c r="H260" s="390">
        <f>SUMIF('01_BOC_TACH_ONG'!B:B, B260, '01_BOC_TACH_ONG'!K:K)</f>
        <v/>
      </c>
      <c r="I260" s="390">
        <f>SUMIF('02_BOC_TACH_CUA'!B:B, B260, '02_BOC_TACH_CUA'!K:K)</f>
        <v/>
      </c>
      <c r="J260" s="390">
        <f>SUMIF('03_BOC_TACH_VAN'!B:B, B260, '03_BOC_TACH_VAN'!K:K)</f>
        <v/>
      </c>
      <c r="K260" s="390">
        <f>SUM(H260:J260)</f>
        <v/>
      </c>
      <c r="L260" s="390">
        <f>K260*0.25</f>
        <v/>
      </c>
      <c r="M260" s="390">
        <f>K260*0.10</f>
        <v/>
      </c>
      <c r="N260" s="390">
        <f>K260+L260+M260</f>
        <v/>
      </c>
      <c r="O260" s="390">
        <f>IF(G260&gt;0, N260/G260, 0)</f>
        <v/>
      </c>
      <c r="P260" s="391" t="n">
        <v>0.18</v>
      </c>
      <c r="Q260" s="390">
        <f>O260*(1+P260)</f>
        <v/>
      </c>
      <c r="R260" s="390">
        <f>G260*Q260</f>
        <v/>
      </c>
      <c r="S260" t="inlineStr"/>
    </row>
    <row r="261">
      <c r="A261" t="n">
        <v>260</v>
      </c>
      <c r="B261" t="inlineStr">
        <is>
          <t>SW-DUCT-260</t>
        </is>
      </c>
      <c r="C261" t="inlineStr">
        <is>
          <t>ỐNG GIÓ</t>
        </is>
      </c>
      <c r="D261" t="inlineStr">
        <is>
          <t>Hệ thống ống thông cấp gió tươi, gió bù, box miệng gió Tole 0.75mm phủ lớp mạ kẽm Z180 kèm cách nhiệt 19mm</t>
        </is>
      </c>
      <c r="E261" t="inlineStr">
        <is>
          <t>0.75mm</t>
        </is>
      </c>
      <c r="F261" t="inlineStr">
        <is>
          <t>m2</t>
        </is>
      </c>
      <c r="G261" s="390" t="n">
        <v>677.3</v>
      </c>
      <c r="H261" s="390">
        <f>SUMIF('01_BOC_TACH_ONG'!B:B, B261, '01_BOC_TACH_ONG'!K:K)</f>
        <v/>
      </c>
      <c r="I261" s="390">
        <f>SUMIF('02_BOC_TACH_CUA'!B:B, B261, '02_BOC_TACH_CUA'!K:K)</f>
        <v/>
      </c>
      <c r="J261" s="390">
        <f>SUMIF('03_BOC_TACH_VAN'!B:B, B261, '03_BOC_TACH_VAN'!K:K)</f>
        <v/>
      </c>
      <c r="K261" s="390">
        <f>SUM(H261:J261)</f>
        <v/>
      </c>
      <c r="L261" s="390">
        <f>K261*0.25</f>
        <v/>
      </c>
      <c r="M261" s="390">
        <f>K261*0.10</f>
        <v/>
      </c>
      <c r="N261" s="390">
        <f>K261+L261+M261</f>
        <v/>
      </c>
      <c r="O261" s="390">
        <f>IF(G261&gt;0, N261/G261, 0)</f>
        <v/>
      </c>
      <c r="P261" s="391" t="n">
        <v>0.18</v>
      </c>
      <c r="Q261" s="390">
        <f>O261*(1+P261)</f>
        <v/>
      </c>
      <c r="R261" s="390">
        <f>G261*Q261</f>
        <v/>
      </c>
      <c r="S261" t="inlineStr"/>
    </row>
    <row r="262">
      <c r="A262" t="n">
        <v>261</v>
      </c>
      <c r="B262" t="inlineStr">
        <is>
          <t>SW-DUCT-261</t>
        </is>
      </c>
      <c r="C262" t="inlineStr">
        <is>
          <t>ỐNG GIÓ</t>
        </is>
      </c>
      <c r="D262" t="inlineStr">
        <is>
          <t>Hệ thống ống thông cấp gió tươi, gió bù, box miệng gió Tole 0.95mm phủ lớp mạ kẽm Z180 kèm cách nhiệt 19mm</t>
        </is>
      </c>
      <c r="E262" t="inlineStr">
        <is>
          <t>0.95mm</t>
        </is>
      </c>
      <c r="F262" t="inlineStr">
        <is>
          <t>m2</t>
        </is>
      </c>
      <c r="G262" s="390" t="n">
        <v>320.75</v>
      </c>
      <c r="H262" s="390">
        <f>SUMIF('01_BOC_TACH_ONG'!B:B, B262, '01_BOC_TACH_ONG'!K:K)</f>
        <v/>
      </c>
      <c r="I262" s="390">
        <f>SUMIF('02_BOC_TACH_CUA'!B:B, B262, '02_BOC_TACH_CUA'!K:K)</f>
        <v/>
      </c>
      <c r="J262" s="390">
        <f>SUMIF('03_BOC_TACH_VAN'!B:B, B262, '03_BOC_TACH_VAN'!K:K)</f>
        <v/>
      </c>
      <c r="K262" s="390">
        <f>SUM(H262:J262)</f>
        <v/>
      </c>
      <c r="L262" s="390">
        <f>K262*0.25</f>
        <v/>
      </c>
      <c r="M262" s="390">
        <f>K262*0.10</f>
        <v/>
      </c>
      <c r="N262" s="390">
        <f>K262+L262+M262</f>
        <v/>
      </c>
      <c r="O262" s="390">
        <f>IF(G262&gt;0, N262/G262, 0)</f>
        <v/>
      </c>
      <c r="P262" s="391" t="n">
        <v>0.18</v>
      </c>
      <c r="Q262" s="390">
        <f>O262*(1+P262)</f>
        <v/>
      </c>
      <c r="R262" s="390">
        <f>G262*Q262</f>
        <v/>
      </c>
      <c r="S262" t="inlineStr"/>
    </row>
    <row r="263">
      <c r="A263" t="n">
        <v>262</v>
      </c>
      <c r="B263" t="inlineStr">
        <is>
          <t>SW-DUCT-262</t>
        </is>
      </c>
      <c r="C263" t="inlineStr">
        <is>
          <t>ỐNG GIÓ</t>
        </is>
      </c>
      <c r="D263" t="inlineStr">
        <is>
          <t>Hệ thống ống thông cấp gió tươi, gió bù, box miệng gió Tole 1.15mm phủ lớp mạ kẽm Z180</t>
        </is>
      </c>
      <c r="E263" t="inlineStr">
        <is>
          <t>1.15mm</t>
        </is>
      </c>
      <c r="F263" t="inlineStr">
        <is>
          <t>m2</t>
        </is>
      </c>
      <c r="G263" s="390" t="n">
        <v>3375</v>
      </c>
      <c r="H263" s="390">
        <f>SUMIF('01_BOC_TACH_ONG'!B:B, B263, '01_BOC_TACH_ONG'!K:K)</f>
        <v/>
      </c>
      <c r="I263" s="390">
        <f>SUMIF('02_BOC_TACH_CUA'!B:B, B263, '02_BOC_TACH_CUA'!K:K)</f>
        <v/>
      </c>
      <c r="J263" s="390">
        <f>SUMIF('03_BOC_TACH_VAN'!B:B, B263, '03_BOC_TACH_VAN'!K:K)</f>
        <v/>
      </c>
      <c r="K263" s="390">
        <f>SUM(H263:J263)</f>
        <v/>
      </c>
      <c r="L263" s="390">
        <f>K263*0.25</f>
        <v/>
      </c>
      <c r="M263" s="390">
        <f>K263*0.10</f>
        <v/>
      </c>
      <c r="N263" s="390">
        <f>K263+L263+M263</f>
        <v/>
      </c>
      <c r="O263" s="390">
        <f>IF(G263&gt;0, N263/G263, 0)</f>
        <v/>
      </c>
      <c r="P263" s="391" t="n">
        <v>0.18</v>
      </c>
      <c r="Q263" s="390">
        <f>O263*(1+P263)</f>
        <v/>
      </c>
      <c r="R263" s="390">
        <f>G263*Q263</f>
        <v/>
      </c>
      <c r="S263" t="inlineStr"/>
    </row>
    <row r="264">
      <c r="A264" t="n">
        <v>263</v>
      </c>
      <c r="B264" t="inlineStr">
        <is>
          <t>SW-DUCT-263</t>
        </is>
      </c>
      <c r="C264" t="inlineStr">
        <is>
          <t>ỐNG GIÓ</t>
        </is>
      </c>
      <c r="D264" t="inlineStr">
        <is>
          <t>Hệ thống ống thông cấp gió tươi, gió bù, box miệng gió Tole ZAM 0.75mm</t>
        </is>
      </c>
      <c r="E264" t="inlineStr">
        <is>
          <t>0.75mm</t>
        </is>
      </c>
      <c r="F264" t="inlineStr">
        <is>
          <t>m2</t>
        </is>
      </c>
      <c r="G264" s="390" t="n">
        <v>136</v>
      </c>
      <c r="H264" s="390">
        <f>SUMIF('01_BOC_TACH_ONG'!B:B, B264, '01_BOC_TACH_ONG'!K:K)</f>
        <v/>
      </c>
      <c r="I264" s="390">
        <f>SUMIF('02_BOC_TACH_CUA'!B:B, B264, '02_BOC_TACH_CUA'!K:K)</f>
        <v/>
      </c>
      <c r="J264" s="390">
        <f>SUMIF('03_BOC_TACH_VAN'!B:B, B264, '03_BOC_TACH_VAN'!K:K)</f>
        <v/>
      </c>
      <c r="K264" s="390">
        <f>SUM(H264:J264)</f>
        <v/>
      </c>
      <c r="L264" s="390">
        <f>K264*0.25</f>
        <v/>
      </c>
      <c r="M264" s="390">
        <f>K264*0.10</f>
        <v/>
      </c>
      <c r="N264" s="390">
        <f>K264+L264+M264</f>
        <v/>
      </c>
      <c r="O264" s="390">
        <f>IF(G264&gt;0, N264/G264, 0)</f>
        <v/>
      </c>
      <c r="P264" s="391" t="n">
        <v>0.18</v>
      </c>
      <c r="Q264" s="390">
        <f>O264*(1+P264)</f>
        <v/>
      </c>
      <c r="R264" s="390">
        <f>G264*Q264</f>
        <v/>
      </c>
      <c r="S264" t="inlineStr"/>
    </row>
    <row r="265">
      <c r="A265" t="n">
        <v>264</v>
      </c>
      <c r="B265" t="inlineStr">
        <is>
          <t>SW-TRD-264</t>
        </is>
      </c>
      <c r="C265" t="inlineStr">
        <is>
          <t>THƯƠNG MẠI</t>
        </is>
      </c>
      <c r="D265" t="inlineStr">
        <is>
          <t>Hệ thống ống thông cấp gió tươi, gió bù, box miệng gió Lớp chống cháy EI30</t>
        </is>
      </c>
      <c r="E265" t="inlineStr">
        <is>
          <t>-</t>
        </is>
      </c>
      <c r="F265" t="inlineStr">
        <is>
          <t>m2</t>
        </is>
      </c>
      <c r="G265" s="390" t="n">
        <v>364.55</v>
      </c>
      <c r="H265" s="390">
        <f>SUMIF('01_BOC_TACH_ONG'!B:B, B265, '01_BOC_TACH_ONG'!K:K)</f>
        <v/>
      </c>
      <c r="I265" s="390">
        <f>SUMIF('02_BOC_TACH_CUA'!B:B, B265, '02_BOC_TACH_CUA'!K:K)</f>
        <v/>
      </c>
      <c r="J265" s="390">
        <f>SUMIF('03_BOC_TACH_VAN'!B:B, B265, '03_BOC_TACH_VAN'!K:K)</f>
        <v/>
      </c>
      <c r="K265" s="390">
        <f>SUM(H265:J265)</f>
        <v/>
      </c>
      <c r="L265" s="390">
        <f>K265*0.00</f>
        <v/>
      </c>
      <c r="M265" s="390">
        <f>K265*0.02</f>
        <v/>
      </c>
      <c r="N265" s="390">
        <f>K265+L265+M265</f>
        <v/>
      </c>
      <c r="O265" s="390">
        <f>IF(G265&gt;0, N265/G265, 0)</f>
        <v/>
      </c>
      <c r="P265" s="391" t="n">
        <v>0.1</v>
      </c>
      <c r="Q265" s="390">
        <f>O265*(1+P265)</f>
        <v/>
      </c>
      <c r="R265" s="390">
        <f>G265*Q265</f>
        <v/>
      </c>
      <c r="S265" t="inlineStr">
        <is>
          <t>Hàng thương mại</t>
        </is>
      </c>
    </row>
    <row r="266">
      <c r="A266" t="n">
        <v>265</v>
      </c>
      <c r="B266" t="inlineStr">
        <is>
          <t>SW-TRD-265</t>
        </is>
      </c>
      <c r="C266" t="inlineStr">
        <is>
          <t>THƯƠNG MẠI</t>
        </is>
      </c>
      <c r="D266" t="inlineStr">
        <is>
          <t>Hệ thống ống thông cấp gió tươi, gió bù, box miệng gió Lớp chống cháy EI60</t>
        </is>
      </c>
      <c r="E266" t="inlineStr">
        <is>
          <t>-</t>
        </is>
      </c>
      <c r="F266" t="inlineStr">
        <is>
          <t>m2</t>
        </is>
      </c>
      <c r="G266" s="390" t="n">
        <v>3334</v>
      </c>
      <c r="H266" s="390">
        <f>SUMIF('01_BOC_TACH_ONG'!B:B, B266, '01_BOC_TACH_ONG'!K:K)</f>
        <v/>
      </c>
      <c r="I266" s="390">
        <f>SUMIF('02_BOC_TACH_CUA'!B:B, B266, '02_BOC_TACH_CUA'!K:K)</f>
        <v/>
      </c>
      <c r="J266" s="390">
        <f>SUMIF('03_BOC_TACH_VAN'!B:B, B266, '03_BOC_TACH_VAN'!K:K)</f>
        <v/>
      </c>
      <c r="K266" s="390">
        <f>SUM(H266:J266)</f>
        <v/>
      </c>
      <c r="L266" s="390">
        <f>K266*0.00</f>
        <v/>
      </c>
      <c r="M266" s="390">
        <f>K266*0.02</f>
        <v/>
      </c>
      <c r="N266" s="390">
        <f>K266+L266+M266</f>
        <v/>
      </c>
      <c r="O266" s="390">
        <f>IF(G266&gt;0, N266/G266, 0)</f>
        <v/>
      </c>
      <c r="P266" s="391" t="n">
        <v>0.1</v>
      </c>
      <c r="Q266" s="390">
        <f>O266*(1+P266)</f>
        <v/>
      </c>
      <c r="R266" s="390">
        <f>G266*Q266</f>
        <v/>
      </c>
      <c r="S266" t="inlineStr">
        <is>
          <t>Hàng thương mại</t>
        </is>
      </c>
    </row>
    <row r="267">
      <c r="A267" t="n">
        <v>266</v>
      </c>
      <c r="B267" t="inlineStr">
        <is>
          <t>SW-TRD-266</t>
        </is>
      </c>
      <c r="C267" t="inlineStr">
        <is>
          <t>THƯƠNG MẠI</t>
        </is>
      </c>
      <c r="D267" t="inlineStr">
        <is>
          <t>Hệ thống ống thông cấp gió tươi, gió bù, box miệng gió Lớp chống cháy EI120</t>
        </is>
      </c>
      <c r="E267" t="inlineStr">
        <is>
          <t>-</t>
        </is>
      </c>
      <c r="F267" t="inlineStr">
        <is>
          <t>m2</t>
        </is>
      </c>
      <c r="G267" s="390" t="n">
        <v>109.365</v>
      </c>
      <c r="H267" s="390">
        <f>SUMIF('01_BOC_TACH_ONG'!B:B, B267, '01_BOC_TACH_ONG'!K:K)</f>
        <v/>
      </c>
      <c r="I267" s="390">
        <f>SUMIF('02_BOC_TACH_CUA'!B:B, B267, '02_BOC_TACH_CUA'!K:K)</f>
        <v/>
      </c>
      <c r="J267" s="390">
        <f>SUMIF('03_BOC_TACH_VAN'!B:B, B267, '03_BOC_TACH_VAN'!K:K)</f>
        <v/>
      </c>
      <c r="K267" s="390">
        <f>SUM(H267:J267)</f>
        <v/>
      </c>
      <c r="L267" s="390">
        <f>K267*0.00</f>
        <v/>
      </c>
      <c r="M267" s="390">
        <f>K267*0.02</f>
        <v/>
      </c>
      <c r="N267" s="390">
        <f>K267+L267+M267</f>
        <v/>
      </c>
      <c r="O267" s="390">
        <f>IF(G267&gt;0, N267/G267, 0)</f>
        <v/>
      </c>
      <c r="P267" s="391" t="n">
        <v>0.1</v>
      </c>
      <c r="Q267" s="390">
        <f>O267*(1+P267)</f>
        <v/>
      </c>
      <c r="R267" s="390">
        <f>G267*Q267</f>
        <v/>
      </c>
      <c r="S267" t="inlineStr">
        <is>
          <t>Hàng thương mại</t>
        </is>
      </c>
    </row>
    <row r="268">
      <c r="A268" t="n">
        <v>267</v>
      </c>
      <c r="B268" t="inlineStr">
        <is>
          <t>SW-TRD-267</t>
        </is>
      </c>
      <c r="C268" t="inlineStr">
        <is>
          <t>THƯƠNG MẠI</t>
        </is>
      </c>
      <c r="D268" t="inlineStr">
        <is>
          <t>Hệ thống ống thông cấp gió tươi, gió bù, box miệng gió Vật tư phụ, phụ kiện</t>
        </is>
      </c>
      <c r="E268" t="inlineStr">
        <is>
          <t>-</t>
        </is>
      </c>
      <c r="F268" t="inlineStr">
        <is>
          <t>Lô</t>
        </is>
      </c>
      <c r="G268" s="390" t="n">
        <v>1</v>
      </c>
      <c r="H268" s="390">
        <f>SUMIF('01_BOC_TACH_ONG'!B:B, B268, '01_BOC_TACH_ONG'!K:K)</f>
        <v/>
      </c>
      <c r="I268" s="390">
        <f>SUMIF('02_BOC_TACH_CUA'!B:B, B268, '02_BOC_TACH_CUA'!K:K)</f>
        <v/>
      </c>
      <c r="J268" s="390">
        <f>SUMIF('03_BOC_TACH_VAN'!B:B, B268, '03_BOC_TACH_VAN'!K:K)</f>
        <v/>
      </c>
      <c r="K268" s="390">
        <f>SUM(H268:J268)</f>
        <v/>
      </c>
      <c r="L268" s="390">
        <f>K268*0.00</f>
        <v/>
      </c>
      <c r="M268" s="390">
        <f>K268*0.02</f>
        <v/>
      </c>
      <c r="N268" s="390">
        <f>K268+L268+M268</f>
        <v/>
      </c>
      <c r="O268" s="390">
        <f>IF(G268&gt;0, N268/G268, 0)</f>
        <v/>
      </c>
      <c r="P268" s="391" t="n">
        <v>0.1</v>
      </c>
      <c r="Q268" s="390">
        <f>O268*(1+P268)</f>
        <v/>
      </c>
      <c r="R268" s="390">
        <f>G268*Q268</f>
        <v/>
      </c>
      <c r="S268" t="inlineStr">
        <is>
          <t>Hàng thương mại</t>
        </is>
      </c>
    </row>
    <row r="269">
      <c r="A269" t="n">
        <v>268</v>
      </c>
      <c r="B269" t="inlineStr">
        <is>
          <t>SW-DAMPER-268</t>
        </is>
      </c>
      <c r="C269" t="inlineStr">
        <is>
          <t>VAN GIÓ</t>
        </is>
      </c>
      <c r="D269" t="inlineStr">
        <is>
          <t>Hệ thống hút gió thải, hút gió bếp Quạt gắn tường gió thải cho phòng Quạt gió tươi 60 l/s @ 50Pa kèm FD</t>
        </is>
      </c>
      <c r="E269" t="inlineStr">
        <is>
          <t>-</t>
        </is>
      </c>
      <c r="F269" t="inlineStr">
        <is>
          <t>Cái</t>
        </is>
      </c>
      <c r="G269" s="390" t="n">
        <v>1</v>
      </c>
      <c r="H269" s="390">
        <f>SUMIF('01_BOC_TACH_ONG'!B:B, B269, '01_BOC_TACH_ONG'!K:K)</f>
        <v/>
      </c>
      <c r="I269" s="390">
        <f>SUMIF('02_BOC_TACH_CUA'!B:B, B269, '02_BOC_TACH_CUA'!K:K)</f>
        <v/>
      </c>
      <c r="J269" s="390">
        <f>SUMIF('03_BOC_TACH_VAN'!B:B, B269, '03_BOC_TACH_VAN'!K:K)</f>
        <v/>
      </c>
      <c r="K269" s="390">
        <f>SUM(H269:J269)</f>
        <v/>
      </c>
      <c r="L269" s="390">
        <f>K269*0.25</f>
        <v/>
      </c>
      <c r="M269" s="390">
        <f>K269*0.10</f>
        <v/>
      </c>
      <c r="N269" s="390">
        <f>K269+L269+M269</f>
        <v/>
      </c>
      <c r="O269" s="390">
        <f>IF(G269&gt;0, N269/G269, 0)</f>
        <v/>
      </c>
      <c r="P269" s="391" t="n">
        <v>0.18</v>
      </c>
      <c r="Q269" s="390">
        <f>O269*(1+P269)</f>
        <v/>
      </c>
      <c r="R269" s="390">
        <f>G269*Q269</f>
        <v/>
      </c>
      <c r="S269" t="inlineStr"/>
    </row>
    <row r="270">
      <c r="A270" t="n">
        <v>269</v>
      </c>
      <c r="B270" t="inlineStr">
        <is>
          <t>SW-DAMPER-269</t>
        </is>
      </c>
      <c r="C270" t="inlineStr">
        <is>
          <t>VAN GIÓ</t>
        </is>
      </c>
      <c r="D270" t="inlineStr">
        <is>
          <t>Hệ thống hút gió thải, hút gió bếp Quạt gắn tường gió thải cho phòng Quạt gió thải 60 l/s @ 50Pa kèm FD</t>
        </is>
      </c>
      <c r="E270" t="inlineStr">
        <is>
          <t>-</t>
        </is>
      </c>
      <c r="F270" t="inlineStr">
        <is>
          <t>Cái</t>
        </is>
      </c>
      <c r="G270" s="390" t="n">
        <v>1</v>
      </c>
      <c r="H270" s="390">
        <f>SUMIF('01_BOC_TACH_ONG'!B:B, B270, '01_BOC_TACH_ONG'!K:K)</f>
        <v/>
      </c>
      <c r="I270" s="390">
        <f>SUMIF('02_BOC_TACH_CUA'!B:B, B270, '02_BOC_TACH_CUA'!K:K)</f>
        <v/>
      </c>
      <c r="J270" s="390">
        <f>SUMIF('03_BOC_TACH_VAN'!B:B, B270, '03_BOC_TACH_VAN'!K:K)</f>
        <v/>
      </c>
      <c r="K270" s="390">
        <f>SUM(H270:J270)</f>
        <v/>
      </c>
      <c r="L270" s="390">
        <f>K270*0.25</f>
        <v/>
      </c>
      <c r="M270" s="390">
        <f>K270*0.10</f>
        <v/>
      </c>
      <c r="N270" s="390">
        <f>K270+L270+M270</f>
        <v/>
      </c>
      <c r="O270" s="390">
        <f>IF(G270&gt;0, N270/G270, 0)</f>
        <v/>
      </c>
      <c r="P270" s="391" t="n">
        <v>0.18</v>
      </c>
      <c r="Q270" s="390">
        <f>O270*(1+P270)</f>
        <v/>
      </c>
      <c r="R270" s="390">
        <f>G270*Q270</f>
        <v/>
      </c>
      <c r="S270" t="inlineStr"/>
    </row>
    <row r="271">
      <c r="A271" t="n">
        <v>270</v>
      </c>
      <c r="B271" t="inlineStr">
        <is>
          <t>SW-DAMPER-270</t>
        </is>
      </c>
      <c r="C271" t="inlineStr">
        <is>
          <t>VAN GIÓ</t>
        </is>
      </c>
      <c r="D271" t="inlineStr">
        <is>
          <t>Hệ thống hút gió thải, hút gió bếp Quạt gắn tường EAF-B2-Z1-01,02,03 50 l/s 50Pa kèm FD</t>
        </is>
      </c>
      <c r="E271" t="inlineStr">
        <is>
          <t>-</t>
        </is>
      </c>
      <c r="F271" t="inlineStr">
        <is>
          <t>Bộ</t>
        </is>
      </c>
      <c r="G271" s="390" t="n">
        <v>3</v>
      </c>
      <c r="H271" s="390">
        <f>SUMIF('01_BOC_TACH_ONG'!B:B, B271, '01_BOC_TACH_ONG'!K:K)</f>
        <v/>
      </c>
      <c r="I271" s="390">
        <f>SUMIF('02_BOC_TACH_CUA'!B:B, B271, '02_BOC_TACH_CUA'!K:K)</f>
        <v/>
      </c>
      <c r="J271" s="390">
        <f>SUMIF('03_BOC_TACH_VAN'!B:B, B271, '03_BOC_TACH_VAN'!K:K)</f>
        <v/>
      </c>
      <c r="K271" s="390">
        <f>SUM(H271:J271)</f>
        <v/>
      </c>
      <c r="L271" s="390">
        <f>K271*0.25</f>
        <v/>
      </c>
      <c r="M271" s="390">
        <f>K271*0.10</f>
        <v/>
      </c>
      <c r="N271" s="390">
        <f>K271+L271+M271</f>
        <v/>
      </c>
      <c r="O271" s="390">
        <f>IF(G271&gt;0, N271/G271, 0)</f>
        <v/>
      </c>
      <c r="P271" s="391" t="n">
        <v>0.18</v>
      </c>
      <c r="Q271" s="390">
        <f>O271*(1+P271)</f>
        <v/>
      </c>
      <c r="R271" s="390">
        <f>G271*Q271</f>
        <v/>
      </c>
      <c r="S271" t="inlineStr"/>
    </row>
    <row r="272">
      <c r="A272" t="n">
        <v>271</v>
      </c>
      <c r="B272" t="inlineStr">
        <is>
          <t>SW-DAMPER-271</t>
        </is>
      </c>
      <c r="C272" t="inlineStr">
        <is>
          <t>VAN GIÓ</t>
        </is>
      </c>
      <c r="D272" t="inlineStr">
        <is>
          <t>Hệ thống hút gió thải, hút gió bếp Quạt gắn tường EAF-B2-Z1-02 50 l/s 50Pa kèm FD</t>
        </is>
      </c>
      <c r="E272" t="inlineStr">
        <is>
          <t>-</t>
        </is>
      </c>
      <c r="F272" t="inlineStr">
        <is>
          <t>Bộ</t>
        </is>
      </c>
      <c r="G272" s="390" t="n">
        <v>1</v>
      </c>
      <c r="H272" s="390">
        <f>SUMIF('01_BOC_TACH_ONG'!B:B, B272, '01_BOC_TACH_ONG'!K:K)</f>
        <v/>
      </c>
      <c r="I272" s="390">
        <f>SUMIF('02_BOC_TACH_CUA'!B:B, B272, '02_BOC_TACH_CUA'!K:K)</f>
        <v/>
      </c>
      <c r="J272" s="390">
        <f>SUMIF('03_BOC_TACH_VAN'!B:B, B272, '03_BOC_TACH_VAN'!K:K)</f>
        <v/>
      </c>
      <c r="K272" s="390">
        <f>SUM(H272:J272)</f>
        <v/>
      </c>
      <c r="L272" s="390">
        <f>K272*0.25</f>
        <v/>
      </c>
      <c r="M272" s="390">
        <f>K272*0.10</f>
        <v/>
      </c>
      <c r="N272" s="390">
        <f>K272+L272+M272</f>
        <v/>
      </c>
      <c r="O272" s="390">
        <f>IF(G272&gt;0, N272/G272, 0)</f>
        <v/>
      </c>
      <c r="P272" s="391" t="n">
        <v>0.18</v>
      </c>
      <c r="Q272" s="390">
        <f>O272*(1+P272)</f>
        <v/>
      </c>
      <c r="R272" s="390">
        <f>G272*Q272</f>
        <v/>
      </c>
      <c r="S272" t="inlineStr"/>
    </row>
    <row r="273">
      <c r="A273" t="n">
        <v>272</v>
      </c>
      <c r="B273" t="inlineStr">
        <is>
          <t>SW-DAMPER-272</t>
        </is>
      </c>
      <c r="C273" t="inlineStr">
        <is>
          <t>VAN GIÓ</t>
        </is>
      </c>
      <c r="D273" t="inlineStr">
        <is>
          <t>Hệ thống hút gió thải, hút gió bếp Quạt gắn tường EAF-B2-Z2-01 80 l/s 50Pa kèm FD</t>
        </is>
      </c>
      <c r="E273" t="inlineStr">
        <is>
          <t>-</t>
        </is>
      </c>
      <c r="F273" t="inlineStr">
        <is>
          <t>Bộ</t>
        </is>
      </c>
      <c r="G273" s="390" t="n">
        <v>1</v>
      </c>
      <c r="H273" s="390">
        <f>SUMIF('01_BOC_TACH_ONG'!B:B, B273, '01_BOC_TACH_ONG'!K:K)</f>
        <v/>
      </c>
      <c r="I273" s="390">
        <f>SUMIF('02_BOC_TACH_CUA'!B:B, B273, '02_BOC_TACH_CUA'!K:K)</f>
        <v/>
      </c>
      <c r="J273" s="390">
        <f>SUMIF('03_BOC_TACH_VAN'!B:B, B273, '03_BOC_TACH_VAN'!K:K)</f>
        <v/>
      </c>
      <c r="K273" s="390">
        <f>SUM(H273:J273)</f>
        <v/>
      </c>
      <c r="L273" s="390">
        <f>K273*0.25</f>
        <v/>
      </c>
      <c r="M273" s="390">
        <f>K273*0.10</f>
        <v/>
      </c>
      <c r="N273" s="390">
        <f>K273+L273+M273</f>
        <v/>
      </c>
      <c r="O273" s="390">
        <f>IF(G273&gt;0, N273/G273, 0)</f>
        <v/>
      </c>
      <c r="P273" s="391" t="n">
        <v>0.18</v>
      </c>
      <c r="Q273" s="390">
        <f>O273*(1+P273)</f>
        <v/>
      </c>
      <c r="R273" s="390">
        <f>G273*Q273</f>
        <v/>
      </c>
      <c r="S273" t="inlineStr"/>
    </row>
    <row r="274">
      <c r="A274" t="n">
        <v>273</v>
      </c>
      <c r="B274" t="inlineStr">
        <is>
          <t>SW-DAMPER-273</t>
        </is>
      </c>
      <c r="C274" t="inlineStr">
        <is>
          <t>VAN GIÓ</t>
        </is>
      </c>
      <c r="D274" t="inlineStr">
        <is>
          <t>Hệ thống hút gió thải, hút gió bếp Quạt gắn tường EAF-B2-Z2-02 50 l/s 50Pa kèm FD</t>
        </is>
      </c>
      <c r="E274" t="inlineStr">
        <is>
          <t>-</t>
        </is>
      </c>
      <c r="F274" t="inlineStr">
        <is>
          <t>Bộ</t>
        </is>
      </c>
      <c r="G274" s="390" t="n">
        <v>1</v>
      </c>
      <c r="H274" s="390">
        <f>SUMIF('01_BOC_TACH_ONG'!B:B, B274, '01_BOC_TACH_ONG'!K:K)</f>
        <v/>
      </c>
      <c r="I274" s="390">
        <f>SUMIF('02_BOC_TACH_CUA'!B:B, B274, '02_BOC_TACH_CUA'!K:K)</f>
        <v/>
      </c>
      <c r="J274" s="390">
        <f>SUMIF('03_BOC_TACH_VAN'!B:B, B274, '03_BOC_TACH_VAN'!K:K)</f>
        <v/>
      </c>
      <c r="K274" s="390">
        <f>SUM(H274:J274)</f>
        <v/>
      </c>
      <c r="L274" s="390">
        <f>K274*0.25</f>
        <v/>
      </c>
      <c r="M274" s="390">
        <f>K274*0.10</f>
        <v/>
      </c>
      <c r="N274" s="390">
        <f>K274+L274+M274</f>
        <v/>
      </c>
      <c r="O274" s="390">
        <f>IF(G274&gt;0, N274/G274, 0)</f>
        <v/>
      </c>
      <c r="P274" s="391" t="n">
        <v>0.18</v>
      </c>
      <c r="Q274" s="390">
        <f>O274*(1+P274)</f>
        <v/>
      </c>
      <c r="R274" s="390">
        <f>G274*Q274</f>
        <v/>
      </c>
      <c r="S274" t="inlineStr"/>
    </row>
    <row r="275">
      <c r="A275" t="n">
        <v>274</v>
      </c>
      <c r="B275" t="inlineStr">
        <is>
          <t>SW-TRD-274</t>
        </is>
      </c>
      <c r="C275" t="inlineStr">
        <is>
          <t>THƯƠNG MẠI</t>
        </is>
      </c>
      <c r="D275" t="inlineStr">
        <is>
          <t>Hệ thống hút gió thải, hút gió bếp Quạt hướng trục EAF-B2-Z2-03 260 l/s 200Pa</t>
        </is>
      </c>
      <c r="E275" t="inlineStr">
        <is>
          <t>-</t>
        </is>
      </c>
      <c r="F275" t="inlineStr">
        <is>
          <t>Bộ</t>
        </is>
      </c>
      <c r="G275" s="390" t="n">
        <v>1</v>
      </c>
      <c r="H275" s="390">
        <f>SUMIF('01_BOC_TACH_ONG'!B:B, B275, '01_BOC_TACH_ONG'!K:K)</f>
        <v/>
      </c>
      <c r="I275" s="390">
        <f>SUMIF('02_BOC_TACH_CUA'!B:B, B275, '02_BOC_TACH_CUA'!K:K)</f>
        <v/>
      </c>
      <c r="J275" s="390">
        <f>SUMIF('03_BOC_TACH_VAN'!B:B, B275, '03_BOC_TACH_VAN'!K:K)</f>
        <v/>
      </c>
      <c r="K275" s="390">
        <f>SUM(H275:J275)</f>
        <v/>
      </c>
      <c r="L275" s="390">
        <f>K275*0.00</f>
        <v/>
      </c>
      <c r="M275" s="390">
        <f>K275*0.02</f>
        <v/>
      </c>
      <c r="N275" s="390">
        <f>K275+L275+M275</f>
        <v/>
      </c>
      <c r="O275" s="390">
        <f>IF(G275&gt;0, N275/G275, 0)</f>
        <v/>
      </c>
      <c r="P275" s="391" t="n">
        <v>0.1</v>
      </c>
      <c r="Q275" s="390">
        <f>O275*(1+P275)</f>
        <v/>
      </c>
      <c r="R275" s="390">
        <f>G275*Q275</f>
        <v/>
      </c>
      <c r="S275" t="inlineStr">
        <is>
          <t>Hàng thương mại</t>
        </is>
      </c>
    </row>
    <row r="276">
      <c r="A276" t="n">
        <v>275</v>
      </c>
      <c r="B276" t="inlineStr">
        <is>
          <t>SW-TRD-275</t>
        </is>
      </c>
      <c r="C276" t="inlineStr">
        <is>
          <t>THƯƠNG MẠI</t>
        </is>
      </c>
      <c r="D276" t="inlineStr">
        <is>
          <t>Hệ thống hút gió thải, hút gió bếp Quạt hướng trục EAF-B2-Z2-04 600 l/s 200Pa</t>
        </is>
      </c>
      <c r="E276" t="inlineStr">
        <is>
          <t>-</t>
        </is>
      </c>
      <c r="F276" t="inlineStr">
        <is>
          <t>Bộ</t>
        </is>
      </c>
      <c r="G276" s="390" t="n">
        <v>1</v>
      </c>
      <c r="H276" s="390">
        <f>SUMIF('01_BOC_TACH_ONG'!B:B, B276, '01_BOC_TACH_ONG'!K:K)</f>
        <v/>
      </c>
      <c r="I276" s="390">
        <f>SUMIF('02_BOC_TACH_CUA'!B:B, B276, '02_BOC_TACH_CUA'!K:K)</f>
        <v/>
      </c>
      <c r="J276" s="390">
        <f>SUMIF('03_BOC_TACH_VAN'!B:B, B276, '03_BOC_TACH_VAN'!K:K)</f>
        <v/>
      </c>
      <c r="K276" s="390">
        <f>SUM(H276:J276)</f>
        <v/>
      </c>
      <c r="L276" s="390">
        <f>K276*0.00</f>
        <v/>
      </c>
      <c r="M276" s="390">
        <f>K276*0.02</f>
        <v/>
      </c>
      <c r="N276" s="390">
        <f>K276+L276+M276</f>
        <v/>
      </c>
      <c r="O276" s="390">
        <f>IF(G276&gt;0, N276/G276, 0)</f>
        <v/>
      </c>
      <c r="P276" s="391" t="n">
        <v>0.1</v>
      </c>
      <c r="Q276" s="390">
        <f>O276*(1+P276)</f>
        <v/>
      </c>
      <c r="R276" s="390">
        <f>G276*Q276</f>
        <v/>
      </c>
      <c r="S276" t="inlineStr">
        <is>
          <t>Hàng thương mại</t>
        </is>
      </c>
    </row>
    <row r="277">
      <c r="A277" t="n">
        <v>276</v>
      </c>
      <c r="B277" t="inlineStr">
        <is>
          <t>SW-TRD-276</t>
        </is>
      </c>
      <c r="C277" t="inlineStr">
        <is>
          <t>THƯƠNG MẠI</t>
        </is>
      </c>
      <c r="D277" t="inlineStr">
        <is>
          <t>Hệ thống hút gió thải, hút gió bếp Quạt hướng trục EAF-B2-Z2-06 320 l/s 200Pa</t>
        </is>
      </c>
      <c r="E277" t="inlineStr">
        <is>
          <t>-</t>
        </is>
      </c>
      <c r="F277" t="inlineStr">
        <is>
          <t>Bộ</t>
        </is>
      </c>
      <c r="G277" s="390" t="n">
        <v>1</v>
      </c>
      <c r="H277" s="390">
        <f>SUMIF('01_BOC_TACH_ONG'!B:B, B277, '01_BOC_TACH_ONG'!K:K)</f>
        <v/>
      </c>
      <c r="I277" s="390">
        <f>SUMIF('02_BOC_TACH_CUA'!B:B, B277, '02_BOC_TACH_CUA'!K:K)</f>
        <v/>
      </c>
      <c r="J277" s="390">
        <f>SUMIF('03_BOC_TACH_VAN'!B:B, B277, '03_BOC_TACH_VAN'!K:K)</f>
        <v/>
      </c>
      <c r="K277" s="390">
        <f>SUM(H277:J277)</f>
        <v/>
      </c>
      <c r="L277" s="390">
        <f>K277*0.00</f>
        <v/>
      </c>
      <c r="M277" s="390">
        <f>K277*0.02</f>
        <v/>
      </c>
      <c r="N277" s="390">
        <f>K277+L277+M277</f>
        <v/>
      </c>
      <c r="O277" s="390">
        <f>IF(G277&gt;0, N277/G277, 0)</f>
        <v/>
      </c>
      <c r="P277" s="391" t="n">
        <v>0.1</v>
      </c>
      <c r="Q277" s="390">
        <f>O277*(1+P277)</f>
        <v/>
      </c>
      <c r="R277" s="390">
        <f>G277*Q277</f>
        <v/>
      </c>
      <c r="S277" t="inlineStr">
        <is>
          <t>Hàng thương mại</t>
        </is>
      </c>
    </row>
    <row r="278">
      <c r="A278" t="n">
        <v>277</v>
      </c>
      <c r="B278" t="inlineStr">
        <is>
          <t>SW-DAMPER-277</t>
        </is>
      </c>
      <c r="C278" t="inlineStr">
        <is>
          <t>VAN GIÓ</t>
        </is>
      </c>
      <c r="D278" t="inlineStr">
        <is>
          <t>Hệ thống hút gió thải, hút gió bếp Quạt gắn tường EAF-B1-Z1-01 110 l/s 50Pa kèm FD</t>
        </is>
      </c>
      <c r="E278" t="inlineStr">
        <is>
          <t>-</t>
        </is>
      </c>
      <c r="F278" t="inlineStr">
        <is>
          <t>Bộ</t>
        </is>
      </c>
      <c r="G278" s="390" t="n">
        <v>1</v>
      </c>
      <c r="H278" s="390">
        <f>SUMIF('01_BOC_TACH_ONG'!B:B, B278, '01_BOC_TACH_ONG'!K:K)</f>
        <v/>
      </c>
      <c r="I278" s="390">
        <f>SUMIF('02_BOC_TACH_CUA'!B:B, B278, '02_BOC_TACH_CUA'!K:K)</f>
        <v/>
      </c>
      <c r="J278" s="390">
        <f>SUMIF('03_BOC_TACH_VAN'!B:B, B278, '03_BOC_TACH_VAN'!K:K)</f>
        <v/>
      </c>
      <c r="K278" s="390">
        <f>SUM(H278:J278)</f>
        <v/>
      </c>
      <c r="L278" s="390">
        <f>K278*0.25</f>
        <v/>
      </c>
      <c r="M278" s="390">
        <f>K278*0.10</f>
        <v/>
      </c>
      <c r="N278" s="390">
        <f>K278+L278+M278</f>
        <v/>
      </c>
      <c r="O278" s="390">
        <f>IF(G278&gt;0, N278/G278, 0)</f>
        <v/>
      </c>
      <c r="P278" s="391" t="n">
        <v>0.18</v>
      </c>
      <c r="Q278" s="390">
        <f>O278*(1+P278)</f>
        <v/>
      </c>
      <c r="R278" s="390">
        <f>G278*Q278</f>
        <v/>
      </c>
      <c r="S278" t="inlineStr"/>
    </row>
    <row r="279">
      <c r="A279" t="n">
        <v>278</v>
      </c>
      <c r="B279" t="inlineStr">
        <is>
          <t>SW-DAMPER-278</t>
        </is>
      </c>
      <c r="C279" t="inlineStr">
        <is>
          <t>VAN GIÓ</t>
        </is>
      </c>
      <c r="D279" t="inlineStr">
        <is>
          <t>Hệ thống hút gió thải, hút gió bếp Quạt gắn tường EAF-B1-Z1-02 80 l/s 50Pa kèm FD</t>
        </is>
      </c>
      <c r="E279" t="inlineStr">
        <is>
          <t>-</t>
        </is>
      </c>
      <c r="F279" t="inlineStr">
        <is>
          <t>Bộ</t>
        </is>
      </c>
      <c r="G279" s="390" t="n">
        <v>1</v>
      </c>
      <c r="H279" s="390">
        <f>SUMIF('01_BOC_TACH_ONG'!B:B, B279, '01_BOC_TACH_ONG'!K:K)</f>
        <v/>
      </c>
      <c r="I279" s="390">
        <f>SUMIF('02_BOC_TACH_CUA'!B:B, B279, '02_BOC_TACH_CUA'!K:K)</f>
        <v/>
      </c>
      <c r="J279" s="390">
        <f>SUMIF('03_BOC_TACH_VAN'!B:B, B279, '03_BOC_TACH_VAN'!K:K)</f>
        <v/>
      </c>
      <c r="K279" s="390">
        <f>SUM(H279:J279)</f>
        <v/>
      </c>
      <c r="L279" s="390">
        <f>K279*0.25</f>
        <v/>
      </c>
      <c r="M279" s="390">
        <f>K279*0.10</f>
        <v/>
      </c>
      <c r="N279" s="390">
        <f>K279+L279+M279</f>
        <v/>
      </c>
      <c r="O279" s="390">
        <f>IF(G279&gt;0, N279/G279, 0)</f>
        <v/>
      </c>
      <c r="P279" s="391" t="n">
        <v>0.18</v>
      </c>
      <c r="Q279" s="390">
        <f>O279*(1+P279)</f>
        <v/>
      </c>
      <c r="R279" s="390">
        <f>G279*Q279</f>
        <v/>
      </c>
      <c r="S279" t="inlineStr"/>
    </row>
    <row r="280">
      <c r="A280" t="n">
        <v>279</v>
      </c>
      <c r="B280" t="inlineStr">
        <is>
          <t>SW-TRD-279</t>
        </is>
      </c>
      <c r="C280" t="inlineStr">
        <is>
          <t>THƯƠNG MẠI</t>
        </is>
      </c>
      <c r="D280" t="inlineStr">
        <is>
          <t>Hệ thống hút gió thải, hút gió bếp Quạt hướng trục EAF-B1-Z1-03 6670 l/s 350Pa</t>
        </is>
      </c>
      <c r="E280" t="inlineStr">
        <is>
          <t>-</t>
        </is>
      </c>
      <c r="F280" t="inlineStr">
        <is>
          <t>Bộ</t>
        </is>
      </c>
      <c r="G280" s="390" t="n">
        <v>1</v>
      </c>
      <c r="H280" s="390">
        <f>SUMIF('01_BOC_TACH_ONG'!B:B, B280, '01_BOC_TACH_ONG'!K:K)</f>
        <v/>
      </c>
      <c r="I280" s="390">
        <f>SUMIF('02_BOC_TACH_CUA'!B:B, B280, '02_BOC_TACH_CUA'!K:K)</f>
        <v/>
      </c>
      <c r="J280" s="390">
        <f>SUMIF('03_BOC_TACH_VAN'!B:B, B280, '03_BOC_TACH_VAN'!K:K)</f>
        <v/>
      </c>
      <c r="K280" s="390">
        <f>SUM(H280:J280)</f>
        <v/>
      </c>
      <c r="L280" s="390">
        <f>K280*0.00</f>
        <v/>
      </c>
      <c r="M280" s="390">
        <f>K280*0.02</f>
        <v/>
      </c>
      <c r="N280" s="390">
        <f>K280+L280+M280</f>
        <v/>
      </c>
      <c r="O280" s="390">
        <f>IF(G280&gt;0, N280/G280, 0)</f>
        <v/>
      </c>
      <c r="P280" s="391" t="n">
        <v>0.1</v>
      </c>
      <c r="Q280" s="390">
        <f>O280*(1+P280)</f>
        <v/>
      </c>
      <c r="R280" s="390">
        <f>G280*Q280</f>
        <v/>
      </c>
      <c r="S280" t="inlineStr">
        <is>
          <t>Hàng thương mại</t>
        </is>
      </c>
    </row>
    <row r="281">
      <c r="A281" t="n">
        <v>280</v>
      </c>
      <c r="B281" t="inlineStr">
        <is>
          <t>SW-TRD-280</t>
        </is>
      </c>
      <c r="C281" t="inlineStr">
        <is>
          <t>THƯƠNG MẠI</t>
        </is>
      </c>
      <c r="D281" t="inlineStr">
        <is>
          <t>Hệ thống hút gió thải, hút gió bếp Quạt hướng trục EAF-B1-Z1-04 4690 l/s 400Pa</t>
        </is>
      </c>
      <c r="E281" t="inlineStr">
        <is>
          <t>-</t>
        </is>
      </c>
      <c r="F281" t="inlineStr">
        <is>
          <t>Bộ</t>
        </is>
      </c>
      <c r="G281" s="390" t="n">
        <v>1</v>
      </c>
      <c r="H281" s="390">
        <f>SUMIF('01_BOC_TACH_ONG'!B:B, B281, '01_BOC_TACH_ONG'!K:K)</f>
        <v/>
      </c>
      <c r="I281" s="390">
        <f>SUMIF('02_BOC_TACH_CUA'!B:B, B281, '02_BOC_TACH_CUA'!K:K)</f>
        <v/>
      </c>
      <c r="J281" s="390">
        <f>SUMIF('03_BOC_TACH_VAN'!B:B, B281, '03_BOC_TACH_VAN'!K:K)</f>
        <v/>
      </c>
      <c r="K281" s="390">
        <f>SUM(H281:J281)</f>
        <v/>
      </c>
      <c r="L281" s="390">
        <f>K281*0.00</f>
        <v/>
      </c>
      <c r="M281" s="390">
        <f>K281*0.02</f>
        <v/>
      </c>
      <c r="N281" s="390">
        <f>K281+L281+M281</f>
        <v/>
      </c>
      <c r="O281" s="390">
        <f>IF(G281&gt;0, N281/G281, 0)</f>
        <v/>
      </c>
      <c r="P281" s="391" t="n">
        <v>0.1</v>
      </c>
      <c r="Q281" s="390">
        <f>O281*(1+P281)</f>
        <v/>
      </c>
      <c r="R281" s="390">
        <f>G281*Q281</f>
        <v/>
      </c>
      <c r="S281" t="inlineStr">
        <is>
          <t>Hàng thương mại</t>
        </is>
      </c>
    </row>
    <row r="282">
      <c r="A282" t="n">
        <v>281</v>
      </c>
      <c r="B282" t="inlineStr">
        <is>
          <t>SW-DAMPER-281</t>
        </is>
      </c>
      <c r="C282" t="inlineStr">
        <is>
          <t>VAN GIÓ</t>
        </is>
      </c>
      <c r="D282" t="inlineStr">
        <is>
          <t>Hệ thống hút gió thải, hút gió bếp Quạt gắn tường EAF-B1-Z2-05 36 l/s 50Pa kèm FD</t>
        </is>
      </c>
      <c r="E282" t="inlineStr">
        <is>
          <t>-</t>
        </is>
      </c>
      <c r="F282" t="inlineStr">
        <is>
          <t>Bộ</t>
        </is>
      </c>
      <c r="G282" s="390" t="n">
        <v>1</v>
      </c>
      <c r="H282" s="390">
        <f>SUMIF('01_BOC_TACH_ONG'!B:B, B282, '01_BOC_TACH_ONG'!K:K)</f>
        <v/>
      </c>
      <c r="I282" s="390">
        <f>SUMIF('02_BOC_TACH_CUA'!B:B, B282, '02_BOC_TACH_CUA'!K:K)</f>
        <v/>
      </c>
      <c r="J282" s="390">
        <f>SUMIF('03_BOC_TACH_VAN'!B:B, B282, '03_BOC_TACH_VAN'!K:K)</f>
        <v/>
      </c>
      <c r="K282" s="390">
        <f>SUM(H282:J282)</f>
        <v/>
      </c>
      <c r="L282" s="390">
        <f>K282*0.25</f>
        <v/>
      </c>
      <c r="M282" s="390">
        <f>K282*0.10</f>
        <v/>
      </c>
      <c r="N282" s="390">
        <f>K282+L282+M282</f>
        <v/>
      </c>
      <c r="O282" s="390">
        <f>IF(G282&gt;0, N282/G282, 0)</f>
        <v/>
      </c>
      <c r="P282" s="391" t="n">
        <v>0.18</v>
      </c>
      <c r="Q282" s="390">
        <f>O282*(1+P282)</f>
        <v/>
      </c>
      <c r="R282" s="390">
        <f>G282*Q282</f>
        <v/>
      </c>
      <c r="S282" t="inlineStr"/>
    </row>
    <row r="283">
      <c r="A283" t="n">
        <v>282</v>
      </c>
      <c r="B283" t="inlineStr">
        <is>
          <t>SW-DAMPER-282</t>
        </is>
      </c>
      <c r="C283" t="inlineStr">
        <is>
          <t>VAN GIÓ</t>
        </is>
      </c>
      <c r="D283" t="inlineStr">
        <is>
          <t>Hệ thống hút gió thải, hút gió bếp Quạt gắn tường EAF-B1-Z2-01 70 l/s 50Pa kèm FD</t>
        </is>
      </c>
      <c r="E283" t="inlineStr">
        <is>
          <t>-</t>
        </is>
      </c>
      <c r="F283" t="inlineStr">
        <is>
          <t>Bộ</t>
        </is>
      </c>
      <c r="G283" s="390" t="n">
        <v>1</v>
      </c>
      <c r="H283" s="390">
        <f>SUMIF('01_BOC_TACH_ONG'!B:B, B283, '01_BOC_TACH_ONG'!K:K)</f>
        <v/>
      </c>
      <c r="I283" s="390">
        <f>SUMIF('02_BOC_TACH_CUA'!B:B, B283, '02_BOC_TACH_CUA'!K:K)</f>
        <v/>
      </c>
      <c r="J283" s="390">
        <f>SUMIF('03_BOC_TACH_VAN'!B:B, B283, '03_BOC_TACH_VAN'!K:K)</f>
        <v/>
      </c>
      <c r="K283" s="390">
        <f>SUM(H283:J283)</f>
        <v/>
      </c>
      <c r="L283" s="390">
        <f>K283*0.25</f>
        <v/>
      </c>
      <c r="M283" s="390">
        <f>K283*0.10</f>
        <v/>
      </c>
      <c r="N283" s="390">
        <f>K283+L283+M283</f>
        <v/>
      </c>
      <c r="O283" s="390">
        <f>IF(G283&gt;0, N283/G283, 0)</f>
        <v/>
      </c>
      <c r="P283" s="391" t="n">
        <v>0.18</v>
      </c>
      <c r="Q283" s="390">
        <f>O283*(1+P283)</f>
        <v/>
      </c>
      <c r="R283" s="390">
        <f>G283*Q283</f>
        <v/>
      </c>
      <c r="S283" t="inlineStr"/>
    </row>
    <row r="284">
      <c r="A284" t="n">
        <v>283</v>
      </c>
      <c r="B284" t="inlineStr">
        <is>
          <t>SW-DAMPER-283</t>
        </is>
      </c>
      <c r="C284" t="inlineStr">
        <is>
          <t>VAN GIÓ</t>
        </is>
      </c>
      <c r="D284" t="inlineStr">
        <is>
          <t>Hệ thống hút gió thải, hút gió bếp Quạt gắn tường EAF-B1-Z2-02 80 l/s 50Pa kèm FD</t>
        </is>
      </c>
      <c r="E284" t="inlineStr">
        <is>
          <t>-</t>
        </is>
      </c>
      <c r="F284" t="inlineStr">
        <is>
          <t>Bộ</t>
        </is>
      </c>
      <c r="G284" s="390" t="n">
        <v>1</v>
      </c>
      <c r="H284" s="390">
        <f>SUMIF('01_BOC_TACH_ONG'!B:B, B284, '01_BOC_TACH_ONG'!K:K)</f>
        <v/>
      </c>
      <c r="I284" s="390">
        <f>SUMIF('02_BOC_TACH_CUA'!B:B, B284, '02_BOC_TACH_CUA'!K:K)</f>
        <v/>
      </c>
      <c r="J284" s="390">
        <f>SUMIF('03_BOC_TACH_VAN'!B:B, B284, '03_BOC_TACH_VAN'!K:K)</f>
        <v/>
      </c>
      <c r="K284" s="390">
        <f>SUM(H284:J284)</f>
        <v/>
      </c>
      <c r="L284" s="390">
        <f>K284*0.25</f>
        <v/>
      </c>
      <c r="M284" s="390">
        <f>K284*0.10</f>
        <v/>
      </c>
      <c r="N284" s="390">
        <f>K284+L284+M284</f>
        <v/>
      </c>
      <c r="O284" s="390">
        <f>IF(G284&gt;0, N284/G284, 0)</f>
        <v/>
      </c>
      <c r="P284" s="391" t="n">
        <v>0.18</v>
      </c>
      <c r="Q284" s="390">
        <f>O284*(1+P284)</f>
        <v/>
      </c>
      <c r="R284" s="390">
        <f>G284*Q284</f>
        <v/>
      </c>
      <c r="S284" t="inlineStr"/>
    </row>
    <row r="285">
      <c r="A285" t="n">
        <v>284</v>
      </c>
      <c r="B285" t="inlineStr">
        <is>
          <t>SW-DAMPER-284</t>
        </is>
      </c>
      <c r="C285" t="inlineStr">
        <is>
          <t>VAN GIÓ</t>
        </is>
      </c>
      <c r="D285" t="inlineStr">
        <is>
          <t>Hệ thống hút gió thải, hút gió bếp Quạt gắn tường EAF-B1-Z2-03 1300 l/s 650Pa kèm FD</t>
        </is>
      </c>
      <c r="E285" t="inlineStr">
        <is>
          <t>-</t>
        </is>
      </c>
      <c r="F285" t="inlineStr">
        <is>
          <t>Bộ</t>
        </is>
      </c>
      <c r="G285" s="390" t="n">
        <v>1</v>
      </c>
      <c r="H285" s="390">
        <f>SUMIF('01_BOC_TACH_ONG'!B:B, B285, '01_BOC_TACH_ONG'!K:K)</f>
        <v/>
      </c>
      <c r="I285" s="390">
        <f>SUMIF('02_BOC_TACH_CUA'!B:B, B285, '02_BOC_TACH_CUA'!K:K)</f>
        <v/>
      </c>
      <c r="J285" s="390">
        <f>SUMIF('03_BOC_TACH_VAN'!B:B, B285, '03_BOC_TACH_VAN'!K:K)</f>
        <v/>
      </c>
      <c r="K285" s="390">
        <f>SUM(H285:J285)</f>
        <v/>
      </c>
      <c r="L285" s="390">
        <f>K285*0.25</f>
        <v/>
      </c>
      <c r="M285" s="390">
        <f>K285*0.10</f>
        <v/>
      </c>
      <c r="N285" s="390">
        <f>K285+L285+M285</f>
        <v/>
      </c>
      <c r="O285" s="390">
        <f>IF(G285&gt;0, N285/G285, 0)</f>
        <v/>
      </c>
      <c r="P285" s="391" t="n">
        <v>0.18</v>
      </c>
      <c r="Q285" s="390">
        <f>O285*(1+P285)</f>
        <v/>
      </c>
      <c r="R285" s="390">
        <f>G285*Q285</f>
        <v/>
      </c>
      <c r="S285" t="inlineStr"/>
    </row>
    <row r="286">
      <c r="A286" t="n">
        <v>285</v>
      </c>
      <c r="B286" t="inlineStr">
        <is>
          <t>SW-TRD-285</t>
        </is>
      </c>
      <c r="C286" t="inlineStr">
        <is>
          <t>THƯƠNG MẠI</t>
        </is>
      </c>
      <c r="D286" t="inlineStr">
        <is>
          <t>Hệ thống hút gió thải, hút gió bếp Quạt hướng trục EAF-A1.3-10F-01~02 130 l/s @ 350 Pa</t>
        </is>
      </c>
      <c r="E286" t="inlineStr">
        <is>
          <t>-</t>
        </is>
      </c>
      <c r="F286" t="inlineStr">
        <is>
          <t>Cái</t>
        </is>
      </c>
      <c r="G286" s="390" t="n">
        <v>2</v>
      </c>
      <c r="H286" s="390">
        <f>SUMIF('01_BOC_TACH_ONG'!B:B, B286, '01_BOC_TACH_ONG'!K:K)</f>
        <v/>
      </c>
      <c r="I286" s="390">
        <f>SUMIF('02_BOC_TACH_CUA'!B:B, B286, '02_BOC_TACH_CUA'!K:K)</f>
        <v/>
      </c>
      <c r="J286" s="390">
        <f>SUMIF('03_BOC_TACH_VAN'!B:B, B286, '03_BOC_TACH_VAN'!K:K)</f>
        <v/>
      </c>
      <c r="K286" s="390">
        <f>SUM(H286:J286)</f>
        <v/>
      </c>
      <c r="L286" s="390">
        <f>K286*0.00</f>
        <v/>
      </c>
      <c r="M286" s="390">
        <f>K286*0.02</f>
        <v/>
      </c>
      <c r="N286" s="390">
        <f>K286+L286+M286</f>
        <v/>
      </c>
      <c r="O286" s="390">
        <f>IF(G286&gt;0, N286/G286, 0)</f>
        <v/>
      </c>
      <c r="P286" s="391" t="n">
        <v>0.1</v>
      </c>
      <c r="Q286" s="390">
        <f>O286*(1+P286)</f>
        <v/>
      </c>
      <c r="R286" s="390">
        <f>G286*Q286</f>
        <v/>
      </c>
      <c r="S286" t="inlineStr">
        <is>
          <t>Hàng thương mại</t>
        </is>
      </c>
    </row>
    <row r="287">
      <c r="A287" t="n">
        <v>286</v>
      </c>
      <c r="B287" t="inlineStr">
        <is>
          <t>SW-TRD-286</t>
        </is>
      </c>
      <c r="C287" t="inlineStr">
        <is>
          <t>THƯƠNG MẠI</t>
        </is>
      </c>
      <c r="D287" t="inlineStr">
        <is>
          <t>Hệ thống hút gió thải, hút gió bếp Quạt hướng trục EAF-A1.3-10F-03~04 140 l/s @ 350 Pa</t>
        </is>
      </c>
      <c r="E287" t="inlineStr">
        <is>
          <t>-</t>
        </is>
      </c>
      <c r="F287" t="inlineStr">
        <is>
          <t>Cái</t>
        </is>
      </c>
      <c r="G287" s="390" t="n">
        <v>2</v>
      </c>
      <c r="H287" s="390">
        <f>SUMIF('01_BOC_TACH_ONG'!B:B, B287, '01_BOC_TACH_ONG'!K:K)</f>
        <v/>
      </c>
      <c r="I287" s="390">
        <f>SUMIF('02_BOC_TACH_CUA'!B:B, B287, '02_BOC_TACH_CUA'!K:K)</f>
        <v/>
      </c>
      <c r="J287" s="390">
        <f>SUMIF('03_BOC_TACH_VAN'!B:B, B287, '03_BOC_TACH_VAN'!K:K)</f>
        <v/>
      </c>
      <c r="K287" s="390">
        <f>SUM(H287:J287)</f>
        <v/>
      </c>
      <c r="L287" s="390">
        <f>K287*0.00</f>
        <v/>
      </c>
      <c r="M287" s="390">
        <f>K287*0.02</f>
        <v/>
      </c>
      <c r="N287" s="390">
        <f>K287+L287+M287</f>
        <v/>
      </c>
      <c r="O287" s="390">
        <f>IF(G287&gt;0, N287/G287, 0)</f>
        <v/>
      </c>
      <c r="P287" s="391" t="n">
        <v>0.1</v>
      </c>
      <c r="Q287" s="390">
        <f>O287*(1+P287)</f>
        <v/>
      </c>
      <c r="R287" s="390">
        <f>G287*Q287</f>
        <v/>
      </c>
      <c r="S287" t="inlineStr">
        <is>
          <t>Hàng thương mại</t>
        </is>
      </c>
    </row>
    <row r="288">
      <c r="A288" t="n">
        <v>287</v>
      </c>
      <c r="B288" t="inlineStr">
        <is>
          <t>SW-TRD-287</t>
        </is>
      </c>
      <c r="C288" t="inlineStr">
        <is>
          <t>THƯƠNG MẠI</t>
        </is>
      </c>
      <c r="D288" t="inlineStr">
        <is>
          <t>Hệ thống hút gió thải, hút gió bếp Quạt hướng trục EAF-A1.3-10F-05~06 3210 l/s @ 450 Pa</t>
        </is>
      </c>
      <c r="E288" t="inlineStr">
        <is>
          <t>-</t>
        </is>
      </c>
      <c r="F288" t="inlineStr">
        <is>
          <t>Cái</t>
        </is>
      </c>
      <c r="G288" s="390" t="n">
        <v>2</v>
      </c>
      <c r="H288" s="390">
        <f>SUMIF('01_BOC_TACH_ONG'!B:B, B288, '01_BOC_TACH_ONG'!K:K)</f>
        <v/>
      </c>
      <c r="I288" s="390">
        <f>SUMIF('02_BOC_TACH_CUA'!B:B, B288, '02_BOC_TACH_CUA'!K:K)</f>
        <v/>
      </c>
      <c r="J288" s="390">
        <f>SUMIF('03_BOC_TACH_VAN'!B:B, B288, '03_BOC_TACH_VAN'!K:K)</f>
        <v/>
      </c>
      <c r="K288" s="390">
        <f>SUM(H288:J288)</f>
        <v/>
      </c>
      <c r="L288" s="390">
        <f>K288*0.00</f>
        <v/>
      </c>
      <c r="M288" s="390">
        <f>K288*0.02</f>
        <v/>
      </c>
      <c r="N288" s="390">
        <f>K288+L288+M288</f>
        <v/>
      </c>
      <c r="O288" s="390">
        <f>IF(G288&gt;0, N288/G288, 0)</f>
        <v/>
      </c>
      <c r="P288" s="391" t="n">
        <v>0.1</v>
      </c>
      <c r="Q288" s="390">
        <f>O288*(1+P288)</f>
        <v/>
      </c>
      <c r="R288" s="390">
        <f>G288*Q288</f>
        <v/>
      </c>
      <c r="S288" t="inlineStr">
        <is>
          <t>Hàng thương mại</t>
        </is>
      </c>
    </row>
    <row r="289">
      <c r="A289" t="n">
        <v>288</v>
      </c>
      <c r="B289" t="inlineStr">
        <is>
          <t>SW-TRD-288</t>
        </is>
      </c>
      <c r="C289" t="inlineStr">
        <is>
          <t>THƯƠNG MẠI</t>
        </is>
      </c>
      <c r="D289" t="inlineStr">
        <is>
          <t>Hệ thống hút gió thải, hút gió bếp Quạt hướng trục KEAF-A1.3-10F-01~02 3900 l/s @ 500 Pa</t>
        </is>
      </c>
      <c r="E289" t="inlineStr">
        <is>
          <t>-</t>
        </is>
      </c>
      <c r="F289" t="inlineStr">
        <is>
          <t>Cái</t>
        </is>
      </c>
      <c r="G289" s="390" t="n">
        <v>2</v>
      </c>
      <c r="H289" s="390">
        <f>SUMIF('01_BOC_TACH_ONG'!B:B, B289, '01_BOC_TACH_ONG'!K:K)</f>
        <v/>
      </c>
      <c r="I289" s="390">
        <f>SUMIF('02_BOC_TACH_CUA'!B:B, B289, '02_BOC_TACH_CUA'!K:K)</f>
        <v/>
      </c>
      <c r="J289" s="390">
        <f>SUMIF('03_BOC_TACH_VAN'!B:B, B289, '03_BOC_TACH_VAN'!K:K)</f>
        <v/>
      </c>
      <c r="K289" s="390">
        <f>SUM(H289:J289)</f>
        <v/>
      </c>
      <c r="L289" s="390">
        <f>K289*0.00</f>
        <v/>
      </c>
      <c r="M289" s="390">
        <f>K289*0.02</f>
        <v/>
      </c>
      <c r="N289" s="390">
        <f>K289+L289+M289</f>
        <v/>
      </c>
      <c r="O289" s="390">
        <f>IF(G289&gt;0, N289/G289, 0)</f>
        <v/>
      </c>
      <c r="P289" s="391" t="n">
        <v>0.1</v>
      </c>
      <c r="Q289" s="390">
        <f>O289*(1+P289)</f>
        <v/>
      </c>
      <c r="R289" s="390">
        <f>G289*Q289</f>
        <v/>
      </c>
      <c r="S289" t="inlineStr">
        <is>
          <t>Hàng thương mại</t>
        </is>
      </c>
    </row>
    <row r="290">
      <c r="A290" t="n">
        <v>289</v>
      </c>
      <c r="B290" t="inlineStr">
        <is>
          <t>SW-TRD-289</t>
        </is>
      </c>
      <c r="C290" t="inlineStr">
        <is>
          <t>THƯƠNG MẠI</t>
        </is>
      </c>
      <c r="D290" t="inlineStr">
        <is>
          <t>Hệ thống hút gió thải, hút gió bếp Quạt hướng trục EAF-A1.3-10F-01~02 150 l/s @ 350 Pa</t>
        </is>
      </c>
      <c r="E290" t="inlineStr">
        <is>
          <t>-</t>
        </is>
      </c>
      <c r="F290" t="inlineStr">
        <is>
          <t>Cái</t>
        </is>
      </c>
      <c r="G290" s="390" t="n">
        <v>2</v>
      </c>
      <c r="H290" s="390">
        <f>SUMIF('01_BOC_TACH_ONG'!B:B, B290, '01_BOC_TACH_ONG'!K:K)</f>
        <v/>
      </c>
      <c r="I290" s="390">
        <f>SUMIF('02_BOC_TACH_CUA'!B:B, B290, '02_BOC_TACH_CUA'!K:K)</f>
        <v/>
      </c>
      <c r="J290" s="390">
        <f>SUMIF('03_BOC_TACH_VAN'!B:B, B290, '03_BOC_TACH_VAN'!K:K)</f>
        <v/>
      </c>
      <c r="K290" s="390">
        <f>SUM(H290:J290)</f>
        <v/>
      </c>
      <c r="L290" s="390">
        <f>K290*0.00</f>
        <v/>
      </c>
      <c r="M290" s="390">
        <f>K290*0.02</f>
        <v/>
      </c>
      <c r="N290" s="390">
        <f>K290+L290+M290</f>
        <v/>
      </c>
      <c r="O290" s="390">
        <f>IF(G290&gt;0, N290/G290, 0)</f>
        <v/>
      </c>
      <c r="P290" s="391" t="n">
        <v>0.1</v>
      </c>
      <c r="Q290" s="390">
        <f>O290*(1+P290)</f>
        <v/>
      </c>
      <c r="R290" s="390">
        <f>G290*Q290</f>
        <v/>
      </c>
      <c r="S290" t="inlineStr">
        <is>
          <t>Hàng thương mại</t>
        </is>
      </c>
    </row>
    <row r="291">
      <c r="A291" t="n">
        <v>290</v>
      </c>
      <c r="B291" t="inlineStr">
        <is>
          <t>SW-TRD-290</t>
        </is>
      </c>
      <c r="C291" t="inlineStr">
        <is>
          <t>THƯƠNG MẠI</t>
        </is>
      </c>
      <c r="D291" t="inlineStr">
        <is>
          <t>Hệ thống hút gió thải, hút gió bếp Quạt hướng trục EAF-A1.2-12F-03, 04 180 l/s @ 350 Pa</t>
        </is>
      </c>
      <c r="E291" t="inlineStr">
        <is>
          <t>-</t>
        </is>
      </c>
      <c r="F291" t="inlineStr">
        <is>
          <t>Cái</t>
        </is>
      </c>
      <c r="G291" s="390" t="n">
        <v>2</v>
      </c>
      <c r="H291" s="390">
        <f>SUMIF('01_BOC_TACH_ONG'!B:B, B291, '01_BOC_TACH_ONG'!K:K)</f>
        <v/>
      </c>
      <c r="I291" s="390">
        <f>SUMIF('02_BOC_TACH_CUA'!B:B, B291, '02_BOC_TACH_CUA'!K:K)</f>
        <v/>
      </c>
      <c r="J291" s="390">
        <f>SUMIF('03_BOC_TACH_VAN'!B:B, B291, '03_BOC_TACH_VAN'!K:K)</f>
        <v/>
      </c>
      <c r="K291" s="390">
        <f>SUM(H291:J291)</f>
        <v/>
      </c>
      <c r="L291" s="390">
        <f>K291*0.00</f>
        <v/>
      </c>
      <c r="M291" s="390">
        <f>K291*0.02</f>
        <v/>
      </c>
      <c r="N291" s="390">
        <f>K291+L291+M291</f>
        <v/>
      </c>
      <c r="O291" s="390">
        <f>IF(G291&gt;0, N291/G291, 0)</f>
        <v/>
      </c>
      <c r="P291" s="391" t="n">
        <v>0.1</v>
      </c>
      <c r="Q291" s="390">
        <f>O291*(1+P291)</f>
        <v/>
      </c>
      <c r="R291" s="390">
        <f>G291*Q291</f>
        <v/>
      </c>
      <c r="S291" t="inlineStr">
        <is>
          <t>Hàng thương mại</t>
        </is>
      </c>
    </row>
    <row r="292">
      <c r="A292" t="n">
        <v>291</v>
      </c>
      <c r="B292" t="inlineStr">
        <is>
          <t>SW-TRD-291</t>
        </is>
      </c>
      <c r="C292" t="inlineStr">
        <is>
          <t>THƯƠNG MẠI</t>
        </is>
      </c>
      <c r="D292" t="inlineStr">
        <is>
          <t>Hệ thống hút gió thải, hút gió bếp Quạt hướng trục EAF-A1.2-12F-05~06 3300 l/s @ 450 Pa</t>
        </is>
      </c>
      <c r="E292" t="inlineStr">
        <is>
          <t>-</t>
        </is>
      </c>
      <c r="F292" t="inlineStr">
        <is>
          <t>Cái</t>
        </is>
      </c>
      <c r="G292" s="390" t="n">
        <v>2</v>
      </c>
      <c r="H292" s="390">
        <f>SUMIF('01_BOC_TACH_ONG'!B:B, B292, '01_BOC_TACH_ONG'!K:K)</f>
        <v/>
      </c>
      <c r="I292" s="390">
        <f>SUMIF('02_BOC_TACH_CUA'!B:B, B292, '02_BOC_TACH_CUA'!K:K)</f>
        <v/>
      </c>
      <c r="J292" s="390">
        <f>SUMIF('03_BOC_TACH_VAN'!B:B, B292, '03_BOC_TACH_VAN'!K:K)</f>
        <v/>
      </c>
      <c r="K292" s="390">
        <f>SUM(H292:J292)</f>
        <v/>
      </c>
      <c r="L292" s="390">
        <f>K292*0.00</f>
        <v/>
      </c>
      <c r="M292" s="390">
        <f>K292*0.02</f>
        <v/>
      </c>
      <c r="N292" s="390">
        <f>K292+L292+M292</f>
        <v/>
      </c>
      <c r="O292" s="390">
        <f>IF(G292&gt;0, N292/G292, 0)</f>
        <v/>
      </c>
      <c r="P292" s="391" t="n">
        <v>0.1</v>
      </c>
      <c r="Q292" s="390">
        <f>O292*(1+P292)</f>
        <v/>
      </c>
      <c r="R292" s="390">
        <f>G292*Q292</f>
        <v/>
      </c>
      <c r="S292" t="inlineStr">
        <is>
          <t>Hàng thương mại</t>
        </is>
      </c>
    </row>
    <row r="293">
      <c r="A293" t="n">
        <v>292</v>
      </c>
      <c r="B293" t="inlineStr">
        <is>
          <t>SW-TRD-292</t>
        </is>
      </c>
      <c r="C293" t="inlineStr">
        <is>
          <t>THƯƠNG MẠI</t>
        </is>
      </c>
      <c r="D293" t="inlineStr">
        <is>
          <t>Hệ thống hút gió thải, hút gió bếp Quạt hướng trục KEAF-A1.2-12F-01~02 4800 l/s @ 500 Pa</t>
        </is>
      </c>
      <c r="E293" t="inlineStr">
        <is>
          <t>-</t>
        </is>
      </c>
      <c r="F293" t="inlineStr">
        <is>
          <t>Cái</t>
        </is>
      </c>
      <c r="G293" s="390" t="n">
        <v>2</v>
      </c>
      <c r="H293" s="390">
        <f>SUMIF('01_BOC_TACH_ONG'!B:B, B293, '01_BOC_TACH_ONG'!K:K)</f>
        <v/>
      </c>
      <c r="I293" s="390">
        <f>SUMIF('02_BOC_TACH_CUA'!B:B, B293, '02_BOC_TACH_CUA'!K:K)</f>
        <v/>
      </c>
      <c r="J293" s="390">
        <f>SUMIF('03_BOC_TACH_VAN'!B:B, B293, '03_BOC_TACH_VAN'!K:K)</f>
        <v/>
      </c>
      <c r="K293" s="390">
        <f>SUM(H293:J293)</f>
        <v/>
      </c>
      <c r="L293" s="390">
        <f>K293*0.00</f>
        <v/>
      </c>
      <c r="M293" s="390">
        <f>K293*0.02</f>
        <v/>
      </c>
      <c r="N293" s="390">
        <f>K293+L293+M293</f>
        <v/>
      </c>
      <c r="O293" s="390">
        <f>IF(G293&gt;0, N293/G293, 0)</f>
        <v/>
      </c>
      <c r="P293" s="391" t="n">
        <v>0.1</v>
      </c>
      <c r="Q293" s="390">
        <f>O293*(1+P293)</f>
        <v/>
      </c>
      <c r="R293" s="390">
        <f>G293*Q293</f>
        <v/>
      </c>
      <c r="S293" t="inlineStr">
        <is>
          <t>Hàng thương mại</t>
        </is>
      </c>
    </row>
    <row r="294">
      <c r="A294" t="n">
        <v>293</v>
      </c>
      <c r="B294" t="inlineStr">
        <is>
          <t>SW-TRD-293</t>
        </is>
      </c>
      <c r="C294" t="inlineStr">
        <is>
          <t>THƯƠNG MẠI</t>
        </is>
      </c>
      <c r="D294" t="inlineStr">
        <is>
          <t>Hệ thống hút gió thải, hút gió bếp Quạt hướng trục EAF-A1.1-RF-01, 240 l/s @ 350 Pa</t>
        </is>
      </c>
      <c r="E294" t="inlineStr">
        <is>
          <t>-</t>
        </is>
      </c>
      <c r="F294" t="inlineStr">
        <is>
          <t>Cái</t>
        </is>
      </c>
      <c r="G294" s="390" t="n">
        <v>2</v>
      </c>
      <c r="H294" s="390">
        <f>SUMIF('01_BOC_TACH_ONG'!B:B, B294, '01_BOC_TACH_ONG'!K:K)</f>
        <v/>
      </c>
      <c r="I294" s="390">
        <f>SUMIF('02_BOC_TACH_CUA'!B:B, B294, '02_BOC_TACH_CUA'!K:K)</f>
        <v/>
      </c>
      <c r="J294" s="390">
        <f>SUMIF('03_BOC_TACH_VAN'!B:B, B294, '03_BOC_TACH_VAN'!K:K)</f>
        <v/>
      </c>
      <c r="K294" s="390">
        <f>SUM(H294:J294)</f>
        <v/>
      </c>
      <c r="L294" s="390">
        <f>K294*0.00</f>
        <v/>
      </c>
      <c r="M294" s="390">
        <f>K294*0.02</f>
        <v/>
      </c>
      <c r="N294" s="390">
        <f>K294+L294+M294</f>
        <v/>
      </c>
      <c r="O294" s="390">
        <f>IF(G294&gt;0, N294/G294, 0)</f>
        <v/>
      </c>
      <c r="P294" s="391" t="n">
        <v>0.1</v>
      </c>
      <c r="Q294" s="390">
        <f>O294*(1+P294)</f>
        <v/>
      </c>
      <c r="R294" s="390">
        <f>G294*Q294</f>
        <v/>
      </c>
      <c r="S294" t="inlineStr">
        <is>
          <t>Hàng thương mại</t>
        </is>
      </c>
    </row>
    <row r="295">
      <c r="A295" t="n">
        <v>294</v>
      </c>
      <c r="B295" t="inlineStr">
        <is>
          <t>SW-TRD-294</t>
        </is>
      </c>
      <c r="C295" t="inlineStr">
        <is>
          <t>THƯƠNG MẠI</t>
        </is>
      </c>
      <c r="D295" t="inlineStr">
        <is>
          <t>Hệ thống hút gió thải, hút gió bếp Quạt hướng trục EAF-A1.1-RF-03, 04 180 l/s @ 350 Pa</t>
        </is>
      </c>
      <c r="E295" t="inlineStr">
        <is>
          <t>-</t>
        </is>
      </c>
      <c r="F295" t="inlineStr">
        <is>
          <t>Cái</t>
        </is>
      </c>
      <c r="G295" s="390" t="n">
        <v>2</v>
      </c>
      <c r="H295" s="390">
        <f>SUMIF('01_BOC_TACH_ONG'!B:B, B295, '01_BOC_TACH_ONG'!K:K)</f>
        <v/>
      </c>
      <c r="I295" s="390">
        <f>SUMIF('02_BOC_TACH_CUA'!B:B, B295, '02_BOC_TACH_CUA'!K:K)</f>
        <v/>
      </c>
      <c r="J295" s="390">
        <f>SUMIF('03_BOC_TACH_VAN'!B:B, B295, '03_BOC_TACH_VAN'!K:K)</f>
        <v/>
      </c>
      <c r="K295" s="390">
        <f>SUM(H295:J295)</f>
        <v/>
      </c>
      <c r="L295" s="390">
        <f>K295*0.00</f>
        <v/>
      </c>
      <c r="M295" s="390">
        <f>K295*0.02</f>
        <v/>
      </c>
      <c r="N295" s="390">
        <f>K295+L295+M295</f>
        <v/>
      </c>
      <c r="O295" s="390">
        <f>IF(G295&gt;0, N295/G295, 0)</f>
        <v/>
      </c>
      <c r="P295" s="391" t="n">
        <v>0.1</v>
      </c>
      <c r="Q295" s="390">
        <f>O295*(1+P295)</f>
        <v/>
      </c>
      <c r="R295" s="390">
        <f>G295*Q295</f>
        <v/>
      </c>
      <c r="S295" t="inlineStr">
        <is>
          <t>Hàng thương mại</t>
        </is>
      </c>
    </row>
    <row r="296">
      <c r="A296" t="n">
        <v>295</v>
      </c>
      <c r="B296" t="inlineStr">
        <is>
          <t>SW-TRD-295</t>
        </is>
      </c>
      <c r="C296" t="inlineStr">
        <is>
          <t>THƯƠNG MẠI</t>
        </is>
      </c>
      <c r="D296" t="inlineStr">
        <is>
          <t>Hệ thống hút gió thải, hút gió bếp Quạt hướng trục EAF-A1.1-RF-05~06 2363 l/s @ 400 Pa</t>
        </is>
      </c>
      <c r="E296" t="inlineStr">
        <is>
          <t>-</t>
        </is>
      </c>
      <c r="F296" t="inlineStr">
        <is>
          <t>Cái</t>
        </is>
      </c>
      <c r="G296" s="390" t="n">
        <v>2</v>
      </c>
      <c r="H296" s="390">
        <f>SUMIF('01_BOC_TACH_ONG'!B:B, B296, '01_BOC_TACH_ONG'!K:K)</f>
        <v/>
      </c>
      <c r="I296" s="390">
        <f>SUMIF('02_BOC_TACH_CUA'!B:B, B296, '02_BOC_TACH_CUA'!K:K)</f>
        <v/>
      </c>
      <c r="J296" s="390">
        <f>SUMIF('03_BOC_TACH_VAN'!B:B, B296, '03_BOC_TACH_VAN'!K:K)</f>
        <v/>
      </c>
      <c r="K296" s="390">
        <f>SUM(H296:J296)</f>
        <v/>
      </c>
      <c r="L296" s="390">
        <f>K296*0.00</f>
        <v/>
      </c>
      <c r="M296" s="390">
        <f>K296*0.02</f>
        <v/>
      </c>
      <c r="N296" s="390">
        <f>K296+L296+M296</f>
        <v/>
      </c>
      <c r="O296" s="390">
        <f>IF(G296&gt;0, N296/G296, 0)</f>
        <v/>
      </c>
      <c r="P296" s="391" t="n">
        <v>0.1</v>
      </c>
      <c r="Q296" s="390">
        <f>O296*(1+P296)</f>
        <v/>
      </c>
      <c r="R296" s="390">
        <f>G296*Q296</f>
        <v/>
      </c>
      <c r="S296" t="inlineStr">
        <is>
          <t>Hàng thương mại</t>
        </is>
      </c>
    </row>
    <row r="297">
      <c r="A297" t="n">
        <v>296</v>
      </c>
      <c r="B297" t="inlineStr">
        <is>
          <t>SW-TRD-296</t>
        </is>
      </c>
      <c r="C297" t="inlineStr">
        <is>
          <t>THƯƠNG MẠI</t>
        </is>
      </c>
      <c r="D297" t="inlineStr">
        <is>
          <t>Hệ thống hút gió thải, hút gió bếp Quạt hướng trục KEAF-A1.1-RF-01~02 3450 l/s @ 450 Pa</t>
        </is>
      </c>
      <c r="E297" t="inlineStr">
        <is>
          <t>-</t>
        </is>
      </c>
      <c r="F297" t="inlineStr">
        <is>
          <t>Cái</t>
        </is>
      </c>
      <c r="G297" s="390" t="n">
        <v>2</v>
      </c>
      <c r="H297" s="390">
        <f>SUMIF('01_BOC_TACH_ONG'!B:B, B297, '01_BOC_TACH_ONG'!K:K)</f>
        <v/>
      </c>
      <c r="I297" s="390">
        <f>SUMIF('02_BOC_TACH_CUA'!B:B, B297, '02_BOC_TACH_CUA'!K:K)</f>
        <v/>
      </c>
      <c r="J297" s="390">
        <f>SUMIF('03_BOC_TACH_VAN'!B:B, B297, '03_BOC_TACH_VAN'!K:K)</f>
        <v/>
      </c>
      <c r="K297" s="390">
        <f>SUM(H297:J297)</f>
        <v/>
      </c>
      <c r="L297" s="390">
        <f>K297*0.00</f>
        <v/>
      </c>
      <c r="M297" s="390">
        <f>K297*0.02</f>
        <v/>
      </c>
      <c r="N297" s="390">
        <f>K297+L297+M297</f>
        <v/>
      </c>
      <c r="O297" s="390">
        <f>IF(G297&gt;0, N297/G297, 0)</f>
        <v/>
      </c>
      <c r="P297" s="391" t="n">
        <v>0.1</v>
      </c>
      <c r="Q297" s="390">
        <f>O297*(1+P297)</f>
        <v/>
      </c>
      <c r="R297" s="390">
        <f>G297*Q297</f>
        <v/>
      </c>
      <c r="S297" t="inlineStr">
        <is>
          <t>Hàng thương mại</t>
        </is>
      </c>
    </row>
    <row r="298">
      <c r="A298" t="n">
        <v>297</v>
      </c>
      <c r="B298" t="inlineStr">
        <is>
          <t>SW-TRD-297</t>
        </is>
      </c>
      <c r="C298" t="inlineStr">
        <is>
          <t>THƯƠNG MẠI</t>
        </is>
      </c>
      <c r="D298" t="inlineStr">
        <is>
          <t>Hệ thống hút gió thải, hút gió bếp Quạt gắn trần EAF-A1.1-1F.01~04, EAF-A1.2-1F.01~08, EAF-A1.3-1F.01~04 35l/s @ 75Pa</t>
        </is>
      </c>
      <c r="E298" t="inlineStr">
        <is>
          <t>-</t>
        </is>
      </c>
      <c r="F298" t="inlineStr">
        <is>
          <t>Cái</t>
        </is>
      </c>
      <c r="G298" s="390" t="n">
        <v>16</v>
      </c>
      <c r="H298" s="390">
        <f>SUMIF('01_BOC_TACH_ONG'!B:B, B298, '01_BOC_TACH_ONG'!K:K)</f>
        <v/>
      </c>
      <c r="I298" s="390">
        <f>SUMIF('02_BOC_TACH_CUA'!B:B, B298, '02_BOC_TACH_CUA'!K:K)</f>
        <v/>
      </c>
      <c r="J298" s="390">
        <f>SUMIF('03_BOC_TACH_VAN'!B:B, B298, '03_BOC_TACH_VAN'!K:K)</f>
        <v/>
      </c>
      <c r="K298" s="390">
        <f>SUM(H298:J298)</f>
        <v/>
      </c>
      <c r="L298" s="390">
        <f>K298*0.00</f>
        <v/>
      </c>
      <c r="M298" s="390">
        <f>K298*0.02</f>
        <v/>
      </c>
      <c r="N298" s="390">
        <f>K298+L298+M298</f>
        <v/>
      </c>
      <c r="O298" s="390">
        <f>IF(G298&gt;0, N298/G298, 0)</f>
        <v/>
      </c>
      <c r="P298" s="391" t="n">
        <v>0.1</v>
      </c>
      <c r="Q298" s="390">
        <f>O298*(1+P298)</f>
        <v/>
      </c>
      <c r="R298" s="390">
        <f>G298*Q298</f>
        <v/>
      </c>
      <c r="S298" t="inlineStr">
        <is>
          <t>Hàng thương mại</t>
        </is>
      </c>
    </row>
    <row r="299">
      <c r="A299" t="n">
        <v>298</v>
      </c>
      <c r="B299" t="inlineStr">
        <is>
          <t>SW-TRD-298</t>
        </is>
      </c>
      <c r="C299" t="inlineStr">
        <is>
          <t>THƯƠNG MẠI</t>
        </is>
      </c>
      <c r="D299" t="inlineStr">
        <is>
          <t>Hệ thống hút gió thải, hút gió bếp Quạt gắn trần EAF-A1.3-1F.05 140l/s @ 150Pa</t>
        </is>
      </c>
      <c r="E299" t="inlineStr">
        <is>
          <t>-</t>
        </is>
      </c>
      <c r="F299" t="inlineStr">
        <is>
          <t>Cái</t>
        </is>
      </c>
      <c r="G299" s="390" t="n">
        <v>1</v>
      </c>
      <c r="H299" s="390">
        <f>SUMIF('01_BOC_TACH_ONG'!B:B, B299, '01_BOC_TACH_ONG'!K:K)</f>
        <v/>
      </c>
      <c r="I299" s="390">
        <f>SUMIF('02_BOC_TACH_CUA'!B:B, B299, '02_BOC_TACH_CUA'!K:K)</f>
        <v/>
      </c>
      <c r="J299" s="390">
        <f>SUMIF('03_BOC_TACH_VAN'!B:B, B299, '03_BOC_TACH_VAN'!K:K)</f>
        <v/>
      </c>
      <c r="K299" s="390">
        <f>SUM(H299:J299)</f>
        <v/>
      </c>
      <c r="L299" s="390">
        <f>K299*0.00</f>
        <v/>
      </c>
      <c r="M299" s="390">
        <f>K299*0.02</f>
        <v/>
      </c>
      <c r="N299" s="390">
        <f>K299+L299+M299</f>
        <v/>
      </c>
      <c r="O299" s="390">
        <f>IF(G299&gt;0, N299/G299, 0)</f>
        <v/>
      </c>
      <c r="P299" s="391" t="n">
        <v>0.1</v>
      </c>
      <c r="Q299" s="390">
        <f>O299*(1+P299)</f>
        <v/>
      </c>
      <c r="R299" s="390">
        <f>G299*Q299</f>
        <v/>
      </c>
      <c r="S299" t="inlineStr">
        <is>
          <t>Hàng thương mại</t>
        </is>
      </c>
    </row>
    <row r="300">
      <c r="A300" t="n">
        <v>299</v>
      </c>
      <c r="B300" t="inlineStr">
        <is>
          <t>SW-TRD-299</t>
        </is>
      </c>
      <c r="C300" t="inlineStr">
        <is>
          <t>THƯƠNG MẠI</t>
        </is>
      </c>
      <c r="D300" t="inlineStr">
        <is>
          <t>Hệ thống hút gió thải, hút gió bếp Quạt gắn trần EAF-A1.1-2F.01~09, EAF-A1.2-1F.01~13, EAF-A1.3-1F.01~08 35l/s @ 75Pa</t>
        </is>
      </c>
      <c r="E300" t="inlineStr">
        <is>
          <t>-</t>
        </is>
      </c>
      <c r="F300" t="inlineStr">
        <is>
          <t>Cái</t>
        </is>
      </c>
      <c r="G300" s="390" t="n">
        <v>28</v>
      </c>
      <c r="H300" s="390">
        <f>SUMIF('01_BOC_TACH_ONG'!B:B, B300, '01_BOC_TACH_ONG'!K:K)</f>
        <v/>
      </c>
      <c r="I300" s="390">
        <f>SUMIF('02_BOC_TACH_CUA'!B:B, B300, '02_BOC_TACH_CUA'!K:K)</f>
        <v/>
      </c>
      <c r="J300" s="390">
        <f>SUMIF('03_BOC_TACH_VAN'!B:B, B300, '03_BOC_TACH_VAN'!K:K)</f>
        <v/>
      </c>
      <c r="K300" s="390">
        <f>SUM(H300:J300)</f>
        <v/>
      </c>
      <c r="L300" s="390">
        <f>K300*0.00</f>
        <v/>
      </c>
      <c r="M300" s="390">
        <f>K300*0.02</f>
        <v/>
      </c>
      <c r="N300" s="390">
        <f>K300+L300+M300</f>
        <v/>
      </c>
      <c r="O300" s="390">
        <f>IF(G300&gt;0, N300/G300, 0)</f>
        <v/>
      </c>
      <c r="P300" s="391" t="n">
        <v>0.1</v>
      </c>
      <c r="Q300" s="390">
        <f>O300*(1+P300)</f>
        <v/>
      </c>
      <c r="R300" s="390">
        <f>G300*Q300</f>
        <v/>
      </c>
      <c r="S300" t="inlineStr">
        <is>
          <t>Hàng thương mại</t>
        </is>
      </c>
    </row>
    <row r="301">
      <c r="A301" t="n">
        <v>300</v>
      </c>
      <c r="B301" t="inlineStr">
        <is>
          <t>SW-TRD-300</t>
        </is>
      </c>
      <c r="C301" t="inlineStr">
        <is>
          <t>THƯƠNG MẠI</t>
        </is>
      </c>
      <c r="D301" t="inlineStr">
        <is>
          <t>Hệ thống hút gió thải, hút gió bếp Quạt hướng trục EAF-A1.1-2F-08 140 l/s @ 200 Pa</t>
        </is>
      </c>
      <c r="E301" t="inlineStr">
        <is>
          <t>-</t>
        </is>
      </c>
      <c r="F301" t="inlineStr">
        <is>
          <t>Cái</t>
        </is>
      </c>
      <c r="G301" s="390" t="n">
        <v>1</v>
      </c>
      <c r="H301" s="390">
        <f>SUMIF('01_BOC_TACH_ONG'!B:B, B301, '01_BOC_TACH_ONG'!K:K)</f>
        <v/>
      </c>
      <c r="I301" s="390">
        <f>SUMIF('02_BOC_TACH_CUA'!B:B, B301, '02_BOC_TACH_CUA'!K:K)</f>
        <v/>
      </c>
      <c r="J301" s="390">
        <f>SUMIF('03_BOC_TACH_VAN'!B:B, B301, '03_BOC_TACH_VAN'!K:K)</f>
        <v/>
      </c>
      <c r="K301" s="390">
        <f>SUM(H301:J301)</f>
        <v/>
      </c>
      <c r="L301" s="390">
        <f>K301*0.00</f>
        <v/>
      </c>
      <c r="M301" s="390">
        <f>K301*0.02</f>
        <v/>
      </c>
      <c r="N301" s="390">
        <f>K301+L301+M301</f>
        <v/>
      </c>
      <c r="O301" s="390">
        <f>IF(G301&gt;0, N301/G301, 0)</f>
        <v/>
      </c>
      <c r="P301" s="391" t="n">
        <v>0.1</v>
      </c>
      <c r="Q301" s="390">
        <f>O301*(1+P301)</f>
        <v/>
      </c>
      <c r="R301" s="390">
        <f>G301*Q301</f>
        <v/>
      </c>
      <c r="S301" t="inlineStr">
        <is>
          <t>Hàng thương mại</t>
        </is>
      </c>
    </row>
    <row r="302">
      <c r="A302" t="n">
        <v>301</v>
      </c>
      <c r="B302" t="inlineStr">
        <is>
          <t>SW-TRD-301</t>
        </is>
      </c>
      <c r="C302" t="inlineStr">
        <is>
          <t>THƯƠNG MẠI</t>
        </is>
      </c>
      <c r="D302" t="inlineStr">
        <is>
          <t>Hệ thống hút gió thải, hút gió bếp Quạt hướng trục EAF-A1.1-2F-09 350 l/s @ 250 Pa</t>
        </is>
      </c>
      <c r="E302" t="inlineStr">
        <is>
          <t>-</t>
        </is>
      </c>
      <c r="F302" t="inlineStr">
        <is>
          <t>Cái</t>
        </is>
      </c>
      <c r="G302" s="390" t="n">
        <v>1</v>
      </c>
      <c r="H302" s="390">
        <f>SUMIF('01_BOC_TACH_ONG'!B:B, B302, '01_BOC_TACH_ONG'!K:K)</f>
        <v/>
      </c>
      <c r="I302" s="390">
        <f>SUMIF('02_BOC_TACH_CUA'!B:B, B302, '02_BOC_TACH_CUA'!K:K)</f>
        <v/>
      </c>
      <c r="J302" s="390">
        <f>SUMIF('03_BOC_TACH_VAN'!B:B, B302, '03_BOC_TACH_VAN'!K:K)</f>
        <v/>
      </c>
      <c r="K302" s="390">
        <f>SUM(H302:J302)</f>
        <v/>
      </c>
      <c r="L302" s="390">
        <f>K302*0.00</f>
        <v/>
      </c>
      <c r="M302" s="390">
        <f>K302*0.02</f>
        <v/>
      </c>
      <c r="N302" s="390">
        <f>K302+L302+M302</f>
        <v/>
      </c>
      <c r="O302" s="390">
        <f>IF(G302&gt;0, N302/G302, 0)</f>
        <v/>
      </c>
      <c r="P302" s="391" t="n">
        <v>0.1</v>
      </c>
      <c r="Q302" s="390">
        <f>O302*(1+P302)</f>
        <v/>
      </c>
      <c r="R302" s="390">
        <f>G302*Q302</f>
        <v/>
      </c>
      <c r="S302" t="inlineStr">
        <is>
          <t>Hàng thương mại</t>
        </is>
      </c>
    </row>
    <row r="303">
      <c r="A303" t="n">
        <v>302</v>
      </c>
      <c r="B303" t="inlineStr">
        <is>
          <t>SW-TRD-302</t>
        </is>
      </c>
      <c r="C303" t="inlineStr">
        <is>
          <t>THƯƠNG MẠI</t>
        </is>
      </c>
      <c r="D303" t="inlineStr">
        <is>
          <t>Hệ thống hút gió thải, hút gió bếp Quạt hướng trục EAF-A1.1-2F-07 245 l/s @ 75 Pa</t>
        </is>
      </c>
      <c r="E303" t="inlineStr">
        <is>
          <t>-</t>
        </is>
      </c>
      <c r="F303" t="inlineStr">
        <is>
          <t>Cái</t>
        </is>
      </c>
      <c r="G303" s="390" t="n">
        <v>1</v>
      </c>
      <c r="H303" s="390">
        <f>SUMIF('01_BOC_TACH_ONG'!B:B, B303, '01_BOC_TACH_ONG'!K:K)</f>
        <v/>
      </c>
      <c r="I303" s="390">
        <f>SUMIF('02_BOC_TACH_CUA'!B:B, B303, '02_BOC_TACH_CUA'!K:K)</f>
        <v/>
      </c>
      <c r="J303" s="390">
        <f>SUMIF('03_BOC_TACH_VAN'!B:B, B303, '03_BOC_TACH_VAN'!K:K)</f>
        <v/>
      </c>
      <c r="K303" s="390">
        <f>SUM(H303:J303)</f>
        <v/>
      </c>
      <c r="L303" s="390">
        <f>K303*0.00</f>
        <v/>
      </c>
      <c r="M303" s="390">
        <f>K303*0.02</f>
        <v/>
      </c>
      <c r="N303" s="390">
        <f>K303+L303+M303</f>
        <v/>
      </c>
      <c r="O303" s="390">
        <f>IF(G303&gt;0, N303/G303, 0)</f>
        <v/>
      </c>
      <c r="P303" s="391" t="n">
        <v>0.1</v>
      </c>
      <c r="Q303" s="390">
        <f>O303*(1+P303)</f>
        <v/>
      </c>
      <c r="R303" s="390">
        <f>G303*Q303</f>
        <v/>
      </c>
      <c r="S303" t="inlineStr">
        <is>
          <t>Hàng thương mại</t>
        </is>
      </c>
    </row>
    <row r="304">
      <c r="A304" t="n">
        <v>303</v>
      </c>
      <c r="B304" t="inlineStr">
        <is>
          <t>SW-DAMPER-303</t>
        </is>
      </c>
      <c r="C304" t="inlineStr">
        <is>
          <t>VAN GIÓ</t>
        </is>
      </c>
      <c r="D304" t="inlineStr">
        <is>
          <t>Hệ thống hút gió thải, hút gió bếp Van FD 150x150 (EI60)</t>
        </is>
      </c>
      <c r="E304" t="inlineStr">
        <is>
          <t>150x150</t>
        </is>
      </c>
      <c r="F304" t="inlineStr">
        <is>
          <t>Cái</t>
        </is>
      </c>
      <c r="G304" s="390" t="n">
        <v>62</v>
      </c>
      <c r="H304" s="390">
        <f>SUMIF('01_BOC_TACH_ONG'!B:B, B304, '01_BOC_TACH_ONG'!K:K)</f>
        <v/>
      </c>
      <c r="I304" s="390">
        <f>SUMIF('02_BOC_TACH_CUA'!B:B, B304, '02_BOC_TACH_CUA'!K:K)</f>
        <v/>
      </c>
      <c r="J304" s="390">
        <f>SUMIF('03_BOC_TACH_VAN'!B:B, B304, '03_BOC_TACH_VAN'!K:K)</f>
        <v/>
      </c>
      <c r="K304" s="390">
        <f>SUM(H304:J304)</f>
        <v/>
      </c>
      <c r="L304" s="390">
        <f>K304*0.25</f>
        <v/>
      </c>
      <c r="M304" s="390">
        <f>K304*0.10</f>
        <v/>
      </c>
      <c r="N304" s="390">
        <f>K304+L304+M304</f>
        <v/>
      </c>
      <c r="O304" s="390">
        <f>IF(G304&gt;0, N304/G304, 0)</f>
        <v/>
      </c>
      <c r="P304" s="391" t="n">
        <v>0.18</v>
      </c>
      <c r="Q304" s="390">
        <f>O304*(1+P304)</f>
        <v/>
      </c>
      <c r="R304" s="390">
        <f>G304*Q304</f>
        <v/>
      </c>
      <c r="S304" t="inlineStr"/>
    </row>
    <row r="305">
      <c r="A305" t="n">
        <v>304</v>
      </c>
      <c r="B305" t="inlineStr">
        <is>
          <t>SW-DAMPER-304</t>
        </is>
      </c>
      <c r="C305" t="inlineStr">
        <is>
          <t>VAN GIÓ</t>
        </is>
      </c>
      <c r="D305" t="inlineStr">
        <is>
          <t>Hệ thống hút gió thải, hút gió bếp Van FD 400x150</t>
        </is>
      </c>
      <c r="E305" t="inlineStr">
        <is>
          <t>400x150</t>
        </is>
      </c>
      <c r="F305" t="inlineStr">
        <is>
          <t>Cái</t>
        </is>
      </c>
      <c r="G305" s="390" t="n">
        <v>2</v>
      </c>
      <c r="H305" s="390">
        <f>SUMIF('01_BOC_TACH_ONG'!B:B, B305, '01_BOC_TACH_ONG'!K:K)</f>
        <v/>
      </c>
      <c r="I305" s="390">
        <f>SUMIF('02_BOC_TACH_CUA'!B:B, B305, '02_BOC_TACH_CUA'!K:K)</f>
        <v/>
      </c>
      <c r="J305" s="390">
        <f>SUMIF('03_BOC_TACH_VAN'!B:B, B305, '03_BOC_TACH_VAN'!K:K)</f>
        <v/>
      </c>
      <c r="K305" s="390">
        <f>SUM(H305:J305)</f>
        <v/>
      </c>
      <c r="L305" s="390">
        <f>K305*0.25</f>
        <v/>
      </c>
      <c r="M305" s="390">
        <f>K305*0.10</f>
        <v/>
      </c>
      <c r="N305" s="390">
        <f>K305+L305+M305</f>
        <v/>
      </c>
      <c r="O305" s="390">
        <f>IF(G305&gt;0, N305/G305, 0)</f>
        <v/>
      </c>
      <c r="P305" s="391" t="n">
        <v>0.18</v>
      </c>
      <c r="Q305" s="390">
        <f>O305*(1+P305)</f>
        <v/>
      </c>
      <c r="R305" s="390">
        <f>G305*Q305</f>
        <v/>
      </c>
      <c r="S305" t="inlineStr"/>
    </row>
    <row r="306">
      <c r="A306" t="n">
        <v>305</v>
      </c>
      <c r="B306" t="inlineStr">
        <is>
          <t>SW-DAMPER-305</t>
        </is>
      </c>
      <c r="C306" t="inlineStr">
        <is>
          <t>VAN GIÓ</t>
        </is>
      </c>
      <c r="D306" t="inlineStr">
        <is>
          <t>Hệ thống hút gió thải, hút gió bếp Van FD 400x200</t>
        </is>
      </c>
      <c r="E306" t="inlineStr">
        <is>
          <t>400x200</t>
        </is>
      </c>
      <c r="F306" t="inlineStr">
        <is>
          <t>Cái</t>
        </is>
      </c>
      <c r="G306" s="390" t="n">
        <v>2</v>
      </c>
      <c r="H306" s="390">
        <f>SUMIF('01_BOC_TACH_ONG'!B:B, B306, '01_BOC_TACH_ONG'!K:K)</f>
        <v/>
      </c>
      <c r="I306" s="390">
        <f>SUMIF('02_BOC_TACH_CUA'!B:B, B306, '02_BOC_TACH_CUA'!K:K)</f>
        <v/>
      </c>
      <c r="J306" s="390">
        <f>SUMIF('03_BOC_TACH_VAN'!B:B, B306, '03_BOC_TACH_VAN'!K:K)</f>
        <v/>
      </c>
      <c r="K306" s="390">
        <f>SUM(H306:J306)</f>
        <v/>
      </c>
      <c r="L306" s="390">
        <f>K306*0.25</f>
        <v/>
      </c>
      <c r="M306" s="390">
        <f>K306*0.10</f>
        <v/>
      </c>
      <c r="N306" s="390">
        <f>K306+L306+M306</f>
        <v/>
      </c>
      <c r="O306" s="390">
        <f>IF(G306&gt;0, N306/G306, 0)</f>
        <v/>
      </c>
      <c r="P306" s="391" t="n">
        <v>0.18</v>
      </c>
      <c r="Q306" s="390">
        <f>O306*(1+P306)</f>
        <v/>
      </c>
      <c r="R306" s="390">
        <f>G306*Q306</f>
        <v/>
      </c>
      <c r="S306" t="inlineStr"/>
    </row>
    <row r="307">
      <c r="A307" t="n">
        <v>306</v>
      </c>
      <c r="B307" t="inlineStr">
        <is>
          <t>SW-DAMPER-306</t>
        </is>
      </c>
      <c r="C307" t="inlineStr">
        <is>
          <t>VAN GIÓ</t>
        </is>
      </c>
      <c r="D307" t="inlineStr">
        <is>
          <t>Hệ thống hút gió thải, hút gió bếp Van FD 300x150</t>
        </is>
      </c>
      <c r="E307" t="inlineStr">
        <is>
          <t>300x150</t>
        </is>
      </c>
      <c r="F307" t="inlineStr">
        <is>
          <t>Cái</t>
        </is>
      </c>
      <c r="G307" s="390" t="n">
        <v>4</v>
      </c>
      <c r="H307" s="390">
        <f>SUMIF('01_BOC_TACH_ONG'!B:B, B307, '01_BOC_TACH_ONG'!K:K)</f>
        <v/>
      </c>
      <c r="I307" s="390">
        <f>SUMIF('02_BOC_TACH_CUA'!B:B, B307, '02_BOC_TACH_CUA'!K:K)</f>
        <v/>
      </c>
      <c r="J307" s="390">
        <f>SUMIF('03_BOC_TACH_VAN'!B:B, B307, '03_BOC_TACH_VAN'!K:K)</f>
        <v/>
      </c>
      <c r="K307" s="390">
        <f>SUM(H307:J307)</f>
        <v/>
      </c>
      <c r="L307" s="390">
        <f>K307*0.25</f>
        <v/>
      </c>
      <c r="M307" s="390">
        <f>K307*0.10</f>
        <v/>
      </c>
      <c r="N307" s="390">
        <f>K307+L307+M307</f>
        <v/>
      </c>
      <c r="O307" s="390">
        <f>IF(G307&gt;0, N307/G307, 0)</f>
        <v/>
      </c>
      <c r="P307" s="391" t="n">
        <v>0.18</v>
      </c>
      <c r="Q307" s="390">
        <f>O307*(1+P307)</f>
        <v/>
      </c>
      <c r="R307" s="390">
        <f>G307*Q307</f>
        <v/>
      </c>
      <c r="S307" t="inlineStr"/>
    </row>
    <row r="308">
      <c r="A308" t="n">
        <v>307</v>
      </c>
      <c r="B308" t="inlineStr">
        <is>
          <t>SW-DAMPER-307</t>
        </is>
      </c>
      <c r="C308" t="inlineStr">
        <is>
          <t>VAN GIÓ</t>
        </is>
      </c>
      <c r="D308" t="inlineStr">
        <is>
          <t>Hệ thống hút gió thải, hút gió bếp Van FD 300x200</t>
        </is>
      </c>
      <c r="E308" t="inlineStr">
        <is>
          <t>300x200</t>
        </is>
      </c>
      <c r="F308" t="inlineStr">
        <is>
          <t>Cái</t>
        </is>
      </c>
      <c r="G308" s="390" t="n">
        <v>2</v>
      </c>
      <c r="H308" s="390">
        <f>SUMIF('01_BOC_TACH_ONG'!B:B, B308, '01_BOC_TACH_ONG'!K:K)</f>
        <v/>
      </c>
      <c r="I308" s="390">
        <f>SUMIF('02_BOC_TACH_CUA'!B:B, B308, '02_BOC_TACH_CUA'!K:K)</f>
        <v/>
      </c>
      <c r="J308" s="390">
        <f>SUMIF('03_BOC_TACH_VAN'!B:B, B308, '03_BOC_TACH_VAN'!K:K)</f>
        <v/>
      </c>
      <c r="K308" s="390">
        <f>SUM(H308:J308)</f>
        <v/>
      </c>
      <c r="L308" s="390">
        <f>K308*0.25</f>
        <v/>
      </c>
      <c r="M308" s="390">
        <f>K308*0.10</f>
        <v/>
      </c>
      <c r="N308" s="390">
        <f>K308+L308+M308</f>
        <v/>
      </c>
      <c r="O308" s="390">
        <f>IF(G308&gt;0, N308/G308, 0)</f>
        <v/>
      </c>
      <c r="P308" s="391" t="n">
        <v>0.18</v>
      </c>
      <c r="Q308" s="390">
        <f>O308*(1+P308)</f>
        <v/>
      </c>
      <c r="R308" s="390">
        <f>G308*Q308</f>
        <v/>
      </c>
      <c r="S308" t="inlineStr"/>
    </row>
    <row r="309">
      <c r="A309" t="n">
        <v>308</v>
      </c>
      <c r="B309" t="inlineStr">
        <is>
          <t>SW-DAMPER-308</t>
        </is>
      </c>
      <c r="C309" t="inlineStr">
        <is>
          <t>VAN GIÓ</t>
        </is>
      </c>
      <c r="D309" t="inlineStr">
        <is>
          <t>Hệ thống hút gió thải, hút gió bếp Van FD 400x150</t>
        </is>
      </c>
      <c r="E309" t="inlineStr">
        <is>
          <t>400x150</t>
        </is>
      </c>
      <c r="F309" t="inlineStr">
        <is>
          <t>Cái</t>
        </is>
      </c>
      <c r="G309" s="390" t="n">
        <v>1</v>
      </c>
      <c r="H309" s="390">
        <f>SUMIF('01_BOC_TACH_ONG'!B:B, B309, '01_BOC_TACH_ONG'!K:K)</f>
        <v/>
      </c>
      <c r="I309" s="390">
        <f>SUMIF('02_BOC_TACH_CUA'!B:B, B309, '02_BOC_TACH_CUA'!K:K)</f>
        <v/>
      </c>
      <c r="J309" s="390">
        <f>SUMIF('03_BOC_TACH_VAN'!B:B, B309, '03_BOC_TACH_VAN'!K:K)</f>
        <v/>
      </c>
      <c r="K309" s="390">
        <f>SUM(H309:J309)</f>
        <v/>
      </c>
      <c r="L309" s="390">
        <f>K309*0.25</f>
        <v/>
      </c>
      <c r="M309" s="390">
        <f>K309*0.10</f>
        <v/>
      </c>
      <c r="N309" s="390">
        <f>K309+L309+M309</f>
        <v/>
      </c>
      <c r="O309" s="390">
        <f>IF(G309&gt;0, N309/G309, 0)</f>
        <v/>
      </c>
      <c r="P309" s="391" t="n">
        <v>0.18</v>
      </c>
      <c r="Q309" s="390">
        <f>O309*(1+P309)</f>
        <v/>
      </c>
      <c r="R309" s="390">
        <f>G309*Q309</f>
        <v/>
      </c>
      <c r="S309" t="inlineStr"/>
    </row>
    <row r="310">
      <c r="A310" t="n">
        <v>309</v>
      </c>
      <c r="B310" t="inlineStr">
        <is>
          <t>SW-DAMPER-309</t>
        </is>
      </c>
      <c r="C310" t="inlineStr">
        <is>
          <t>VAN GIÓ</t>
        </is>
      </c>
      <c r="D310" t="inlineStr">
        <is>
          <t>Hệ thống hút gió thải, hút gió bếp Van FD 800x250</t>
        </is>
      </c>
      <c r="E310" t="inlineStr">
        <is>
          <t>800x250</t>
        </is>
      </c>
      <c r="F310" t="inlineStr">
        <is>
          <t>Cái</t>
        </is>
      </c>
      <c r="G310" s="390" t="n">
        <v>1</v>
      </c>
      <c r="H310" s="390">
        <f>SUMIF('01_BOC_TACH_ONG'!B:B, B310, '01_BOC_TACH_ONG'!K:K)</f>
        <v/>
      </c>
      <c r="I310" s="390">
        <f>SUMIF('02_BOC_TACH_CUA'!B:B, B310, '02_BOC_TACH_CUA'!K:K)</f>
        <v/>
      </c>
      <c r="J310" s="390">
        <f>SUMIF('03_BOC_TACH_VAN'!B:B, B310, '03_BOC_TACH_VAN'!K:K)</f>
        <v/>
      </c>
      <c r="K310" s="390">
        <f>SUM(H310:J310)</f>
        <v/>
      </c>
      <c r="L310" s="390">
        <f>K310*0.25</f>
        <v/>
      </c>
      <c r="M310" s="390">
        <f>K310*0.10</f>
        <v/>
      </c>
      <c r="N310" s="390">
        <f>K310+L310+M310</f>
        <v/>
      </c>
      <c r="O310" s="390">
        <f>IF(G310&gt;0, N310/G310, 0)</f>
        <v/>
      </c>
      <c r="P310" s="391" t="n">
        <v>0.18</v>
      </c>
      <c r="Q310" s="390">
        <f>O310*(1+P310)</f>
        <v/>
      </c>
      <c r="R310" s="390">
        <f>G310*Q310</f>
        <v/>
      </c>
      <c r="S310" t="inlineStr"/>
    </row>
    <row r="311">
      <c r="A311" t="n">
        <v>310</v>
      </c>
      <c r="B311" t="inlineStr">
        <is>
          <t>SW-DAMPER-310</t>
        </is>
      </c>
      <c r="C311" t="inlineStr">
        <is>
          <t>VAN GIÓ</t>
        </is>
      </c>
      <c r="D311" t="inlineStr">
        <is>
          <t>Hệ thống hút gió thải, hút gió bếp Van FD 1200x350</t>
        </is>
      </c>
      <c r="E311" t="inlineStr">
        <is>
          <t>1200x350</t>
        </is>
      </c>
      <c r="F311" t="inlineStr">
        <is>
          <t>Cái</t>
        </is>
      </c>
      <c r="G311" s="390" t="n">
        <v>1</v>
      </c>
      <c r="H311" s="390">
        <f>SUMIF('01_BOC_TACH_ONG'!B:B, B311, '01_BOC_TACH_ONG'!K:K)</f>
        <v/>
      </c>
      <c r="I311" s="390">
        <f>SUMIF('02_BOC_TACH_CUA'!B:B, B311, '02_BOC_TACH_CUA'!K:K)</f>
        <v/>
      </c>
      <c r="J311" s="390">
        <f>SUMIF('03_BOC_TACH_VAN'!B:B, B311, '03_BOC_TACH_VAN'!K:K)</f>
        <v/>
      </c>
      <c r="K311" s="390">
        <f>SUM(H311:J311)</f>
        <v/>
      </c>
      <c r="L311" s="390">
        <f>K311*0.25</f>
        <v/>
      </c>
      <c r="M311" s="390">
        <f>K311*0.10</f>
        <v/>
      </c>
      <c r="N311" s="390">
        <f>K311+L311+M311</f>
        <v/>
      </c>
      <c r="O311" s="390">
        <f>IF(G311&gt;0, N311/G311, 0)</f>
        <v/>
      </c>
      <c r="P311" s="391" t="n">
        <v>0.18</v>
      </c>
      <c r="Q311" s="390">
        <f>O311*(1+P311)</f>
        <v/>
      </c>
      <c r="R311" s="390">
        <f>G311*Q311</f>
        <v/>
      </c>
      <c r="S311" t="inlineStr"/>
    </row>
    <row r="312">
      <c r="A312" t="n">
        <v>311</v>
      </c>
      <c r="B312" t="inlineStr">
        <is>
          <t>SW-DAMPER-311</t>
        </is>
      </c>
      <c r="C312" t="inlineStr">
        <is>
          <t>VAN GIÓ</t>
        </is>
      </c>
      <c r="D312" t="inlineStr">
        <is>
          <t>Hệ thống hút gió thải, hút gió bếp Van FD 1000x300</t>
        </is>
      </c>
      <c r="E312" t="inlineStr">
        <is>
          <t>1000x300</t>
        </is>
      </c>
      <c r="F312" t="inlineStr">
        <is>
          <t>Cái</t>
        </is>
      </c>
      <c r="G312" s="390" t="n">
        <v>1</v>
      </c>
      <c r="H312" s="390">
        <f>SUMIF('01_BOC_TACH_ONG'!B:B, B312, '01_BOC_TACH_ONG'!K:K)</f>
        <v/>
      </c>
      <c r="I312" s="390">
        <f>SUMIF('02_BOC_TACH_CUA'!B:B, B312, '02_BOC_TACH_CUA'!K:K)</f>
        <v/>
      </c>
      <c r="J312" s="390">
        <f>SUMIF('03_BOC_TACH_VAN'!B:B, B312, '03_BOC_TACH_VAN'!K:K)</f>
        <v/>
      </c>
      <c r="K312" s="390">
        <f>SUM(H312:J312)</f>
        <v/>
      </c>
      <c r="L312" s="390">
        <f>K312*0.25</f>
        <v/>
      </c>
      <c r="M312" s="390">
        <f>K312*0.10</f>
        <v/>
      </c>
      <c r="N312" s="390">
        <f>K312+L312+M312</f>
        <v/>
      </c>
      <c r="O312" s="390">
        <f>IF(G312&gt;0, N312/G312, 0)</f>
        <v/>
      </c>
      <c r="P312" s="391" t="n">
        <v>0.18</v>
      </c>
      <c r="Q312" s="390">
        <f>O312*(1+P312)</f>
        <v/>
      </c>
      <c r="R312" s="390">
        <f>G312*Q312</f>
        <v/>
      </c>
      <c r="S312" t="inlineStr"/>
    </row>
    <row r="313">
      <c r="A313" t="n">
        <v>312</v>
      </c>
      <c r="B313" t="inlineStr">
        <is>
          <t>SW-DAMPER-312</t>
        </is>
      </c>
      <c r="C313" t="inlineStr">
        <is>
          <t>VAN GIÓ</t>
        </is>
      </c>
      <c r="D313" t="inlineStr">
        <is>
          <t>Hệ thống hút gió thải, hút gió bếp Van FD 600x300</t>
        </is>
      </c>
      <c r="E313" t="inlineStr">
        <is>
          <t>600x300</t>
        </is>
      </c>
      <c r="F313" t="inlineStr">
        <is>
          <t>Cái</t>
        </is>
      </c>
      <c r="G313" s="390" t="n">
        <v>1</v>
      </c>
      <c r="H313" s="390">
        <f>SUMIF('01_BOC_TACH_ONG'!B:B, B313, '01_BOC_TACH_ONG'!K:K)</f>
        <v/>
      </c>
      <c r="I313" s="390">
        <f>SUMIF('02_BOC_TACH_CUA'!B:B, B313, '02_BOC_TACH_CUA'!K:K)</f>
        <v/>
      </c>
      <c r="J313" s="390">
        <f>SUMIF('03_BOC_TACH_VAN'!B:B, B313, '03_BOC_TACH_VAN'!K:K)</f>
        <v/>
      </c>
      <c r="K313" s="390">
        <f>SUM(H313:J313)</f>
        <v/>
      </c>
      <c r="L313" s="390">
        <f>K313*0.25</f>
        <v/>
      </c>
      <c r="M313" s="390">
        <f>K313*0.10</f>
        <v/>
      </c>
      <c r="N313" s="390">
        <f>K313+L313+M313</f>
        <v/>
      </c>
      <c r="O313" s="390">
        <f>IF(G313&gt;0, N313/G313, 0)</f>
        <v/>
      </c>
      <c r="P313" s="391" t="n">
        <v>0.18</v>
      </c>
      <c r="Q313" s="390">
        <f>O313*(1+P313)</f>
        <v/>
      </c>
      <c r="R313" s="390">
        <f>G313*Q313</f>
        <v/>
      </c>
      <c r="S313" t="inlineStr"/>
    </row>
    <row r="314">
      <c r="A314" t="n">
        <v>313</v>
      </c>
      <c r="B314" t="inlineStr">
        <is>
          <t>SW-DAMPER-313</t>
        </is>
      </c>
      <c r="C314" t="inlineStr">
        <is>
          <t>VAN GIÓ</t>
        </is>
      </c>
      <c r="D314" t="inlineStr">
        <is>
          <t>Hệ thống hút gió thải, hút gió bếp Van FD 400x200</t>
        </is>
      </c>
      <c r="E314" t="inlineStr">
        <is>
          <t>400x200</t>
        </is>
      </c>
      <c r="F314" t="inlineStr">
        <is>
          <t>cái</t>
        </is>
      </c>
      <c r="G314" s="390" t="n">
        <v>9</v>
      </c>
      <c r="H314" s="390">
        <f>SUMIF('01_BOC_TACH_ONG'!B:B, B314, '01_BOC_TACH_ONG'!K:K)</f>
        <v/>
      </c>
      <c r="I314" s="390">
        <f>SUMIF('02_BOC_TACH_CUA'!B:B, B314, '02_BOC_TACH_CUA'!K:K)</f>
        <v/>
      </c>
      <c r="J314" s="390">
        <f>SUMIF('03_BOC_TACH_VAN'!B:B, B314, '03_BOC_TACH_VAN'!K:K)</f>
        <v/>
      </c>
      <c r="K314" s="390">
        <f>SUM(H314:J314)</f>
        <v/>
      </c>
      <c r="L314" s="390">
        <f>K314*0.25</f>
        <v/>
      </c>
      <c r="M314" s="390">
        <f>K314*0.10</f>
        <v/>
      </c>
      <c r="N314" s="390">
        <f>K314+L314+M314</f>
        <v/>
      </c>
      <c r="O314" s="390">
        <f>IF(G314&gt;0, N314/G314, 0)</f>
        <v/>
      </c>
      <c r="P314" s="391" t="n">
        <v>0.18</v>
      </c>
      <c r="Q314" s="390">
        <f>O314*(1+P314)</f>
        <v/>
      </c>
      <c r="R314" s="390">
        <f>G314*Q314</f>
        <v/>
      </c>
      <c r="S314" t="inlineStr"/>
    </row>
    <row r="315">
      <c r="A315" t="n">
        <v>314</v>
      </c>
      <c r="B315" t="inlineStr">
        <is>
          <t>SW-DAMPER-314</t>
        </is>
      </c>
      <c r="C315" t="inlineStr">
        <is>
          <t>VAN GIÓ</t>
        </is>
      </c>
      <c r="D315" t="inlineStr">
        <is>
          <t>Hệ thống hút gió thải, hút gió bếp Van FD 300x200</t>
        </is>
      </c>
      <c r="E315" t="inlineStr">
        <is>
          <t>300x200</t>
        </is>
      </c>
      <c r="F315" t="inlineStr">
        <is>
          <t>cái</t>
        </is>
      </c>
      <c r="G315" s="390" t="n">
        <v>7</v>
      </c>
      <c r="H315" s="390">
        <f>SUMIF('01_BOC_TACH_ONG'!B:B, B315, '01_BOC_TACH_ONG'!K:K)</f>
        <v/>
      </c>
      <c r="I315" s="390">
        <f>SUMIF('02_BOC_TACH_CUA'!B:B, B315, '02_BOC_TACH_CUA'!K:K)</f>
        <v/>
      </c>
      <c r="J315" s="390">
        <f>SUMIF('03_BOC_TACH_VAN'!B:B, B315, '03_BOC_TACH_VAN'!K:K)</f>
        <v/>
      </c>
      <c r="K315" s="390">
        <f>SUM(H315:J315)</f>
        <v/>
      </c>
      <c r="L315" s="390">
        <f>K315*0.25</f>
        <v/>
      </c>
      <c r="M315" s="390">
        <f>K315*0.10</f>
        <v/>
      </c>
      <c r="N315" s="390">
        <f>K315+L315+M315</f>
        <v/>
      </c>
      <c r="O315" s="390">
        <f>IF(G315&gt;0, N315/G315, 0)</f>
        <v/>
      </c>
      <c r="P315" s="391" t="n">
        <v>0.18</v>
      </c>
      <c r="Q315" s="390">
        <f>O315*(1+P315)</f>
        <v/>
      </c>
      <c r="R315" s="390">
        <f>G315*Q315</f>
        <v/>
      </c>
      <c r="S315" t="inlineStr"/>
    </row>
    <row r="316">
      <c r="A316" t="n">
        <v>315</v>
      </c>
      <c r="B316" t="inlineStr">
        <is>
          <t>SW-DAMPER-315</t>
        </is>
      </c>
      <c r="C316" t="inlineStr">
        <is>
          <t>VAN GIÓ</t>
        </is>
      </c>
      <c r="D316" t="inlineStr">
        <is>
          <t>Hệ thống hút gió thải, hút gió bếp Van FD 350x200</t>
        </is>
      </c>
      <c r="E316" t="inlineStr">
        <is>
          <t>350x200</t>
        </is>
      </c>
      <c r="F316" t="inlineStr">
        <is>
          <t>cái</t>
        </is>
      </c>
      <c r="G316" s="390" t="n">
        <v>7</v>
      </c>
      <c r="H316" s="390">
        <f>SUMIF('01_BOC_TACH_ONG'!B:B, B316, '01_BOC_TACH_ONG'!K:K)</f>
        <v/>
      </c>
      <c r="I316" s="390">
        <f>SUMIF('02_BOC_TACH_CUA'!B:B, B316, '02_BOC_TACH_CUA'!K:K)</f>
        <v/>
      </c>
      <c r="J316" s="390">
        <f>SUMIF('03_BOC_TACH_VAN'!B:B, B316, '03_BOC_TACH_VAN'!K:K)</f>
        <v/>
      </c>
      <c r="K316" s="390">
        <f>SUM(H316:J316)</f>
        <v/>
      </c>
      <c r="L316" s="390">
        <f>K316*0.25</f>
        <v/>
      </c>
      <c r="M316" s="390">
        <f>K316*0.10</f>
        <v/>
      </c>
      <c r="N316" s="390">
        <f>K316+L316+M316</f>
        <v/>
      </c>
      <c r="O316" s="390">
        <f>IF(G316&gt;0, N316/G316, 0)</f>
        <v/>
      </c>
      <c r="P316" s="391" t="n">
        <v>0.18</v>
      </c>
      <c r="Q316" s="390">
        <f>O316*(1+P316)</f>
        <v/>
      </c>
      <c r="R316" s="390">
        <f>G316*Q316</f>
        <v/>
      </c>
      <c r="S316" t="inlineStr"/>
    </row>
    <row r="317">
      <c r="A317" t="n">
        <v>316</v>
      </c>
      <c r="B317" t="inlineStr">
        <is>
          <t>SW-DAMPER-316</t>
        </is>
      </c>
      <c r="C317" t="inlineStr">
        <is>
          <t>VAN GIÓ</t>
        </is>
      </c>
      <c r="D317" t="inlineStr">
        <is>
          <t>Hệ thống hút gió thải, hút gió bếp Van FD 500x200</t>
        </is>
      </c>
      <c r="E317" t="inlineStr">
        <is>
          <t>500x200</t>
        </is>
      </c>
      <c r="F317" t="inlineStr">
        <is>
          <t>cái</t>
        </is>
      </c>
      <c r="G317" s="390" t="n">
        <v>5</v>
      </c>
      <c r="H317" s="390">
        <f>SUMIF('01_BOC_TACH_ONG'!B:B, B317, '01_BOC_TACH_ONG'!K:K)</f>
        <v/>
      </c>
      <c r="I317" s="390">
        <f>SUMIF('02_BOC_TACH_CUA'!B:B, B317, '02_BOC_TACH_CUA'!K:K)</f>
        <v/>
      </c>
      <c r="J317" s="390">
        <f>SUMIF('03_BOC_TACH_VAN'!B:B, B317, '03_BOC_TACH_VAN'!K:K)</f>
        <v/>
      </c>
      <c r="K317" s="390">
        <f>SUM(H317:J317)</f>
        <v/>
      </c>
      <c r="L317" s="390">
        <f>K317*0.25</f>
        <v/>
      </c>
      <c r="M317" s="390">
        <f>K317*0.10</f>
        <v/>
      </c>
      <c r="N317" s="390">
        <f>K317+L317+M317</f>
        <v/>
      </c>
      <c r="O317" s="390">
        <f>IF(G317&gt;0, N317/G317, 0)</f>
        <v/>
      </c>
      <c r="P317" s="391" t="n">
        <v>0.18</v>
      </c>
      <c r="Q317" s="390">
        <f>O317*(1+P317)</f>
        <v/>
      </c>
      <c r="R317" s="390">
        <f>G317*Q317</f>
        <v/>
      </c>
      <c r="S317" t="inlineStr"/>
    </row>
    <row r="318">
      <c r="A318" t="n">
        <v>317</v>
      </c>
      <c r="B318" t="inlineStr">
        <is>
          <t>SW-DAMPER-317</t>
        </is>
      </c>
      <c r="C318" t="inlineStr">
        <is>
          <t>VAN GIÓ</t>
        </is>
      </c>
      <c r="D318" t="inlineStr">
        <is>
          <t>Hệ thống hút gió thải, hút gió bếp Van MFD 1250x350</t>
        </is>
      </c>
      <c r="E318" t="inlineStr">
        <is>
          <t>1250x350</t>
        </is>
      </c>
      <c r="F318" t="inlineStr">
        <is>
          <t>Cái</t>
        </is>
      </c>
      <c r="G318" s="390" t="n">
        <v>2</v>
      </c>
      <c r="H318" s="390">
        <f>SUMIF('01_BOC_TACH_ONG'!B:B, B318, '01_BOC_TACH_ONG'!K:K)</f>
        <v/>
      </c>
      <c r="I318" s="390">
        <f>SUMIF('02_BOC_TACH_CUA'!B:B, B318, '02_BOC_TACH_CUA'!K:K)</f>
        <v/>
      </c>
      <c r="J318" s="390">
        <f>SUMIF('03_BOC_TACH_VAN'!B:B, B318, '03_BOC_TACH_VAN'!K:K)</f>
        <v/>
      </c>
      <c r="K318" s="390">
        <f>SUM(H318:J318)</f>
        <v/>
      </c>
      <c r="L318" s="390">
        <f>K318*0.25</f>
        <v/>
      </c>
      <c r="M318" s="390">
        <f>K318*0.10</f>
        <v/>
      </c>
      <c r="N318" s="390">
        <f>K318+L318+M318</f>
        <v/>
      </c>
      <c r="O318" s="390">
        <f>IF(G318&gt;0, N318/G318, 0)</f>
        <v/>
      </c>
      <c r="P318" s="391" t="n">
        <v>0.18</v>
      </c>
      <c r="Q318" s="390">
        <f>O318*(1+P318)</f>
        <v/>
      </c>
      <c r="R318" s="390">
        <f>G318*Q318</f>
        <v/>
      </c>
      <c r="S318" t="inlineStr"/>
    </row>
    <row r="319">
      <c r="A319" t="n">
        <v>318</v>
      </c>
      <c r="B319" t="inlineStr">
        <is>
          <t>SW-DAMPER-318</t>
        </is>
      </c>
      <c r="C319" t="inlineStr">
        <is>
          <t>VAN GIÓ</t>
        </is>
      </c>
      <c r="D319" t="inlineStr">
        <is>
          <t>Hệ thống hút gió thải, hút gió bếp Van MFD 1000x550</t>
        </is>
      </c>
      <c r="E319" t="inlineStr">
        <is>
          <t>1000x550</t>
        </is>
      </c>
      <c r="F319" t="inlineStr">
        <is>
          <t>Cái</t>
        </is>
      </c>
      <c r="G319" s="390" t="n">
        <v>2</v>
      </c>
      <c r="H319" s="390">
        <f>SUMIF('01_BOC_TACH_ONG'!B:B, B319, '01_BOC_TACH_ONG'!K:K)</f>
        <v/>
      </c>
      <c r="I319" s="390">
        <f>SUMIF('02_BOC_TACH_CUA'!B:B, B319, '02_BOC_TACH_CUA'!K:K)</f>
        <v/>
      </c>
      <c r="J319" s="390">
        <f>SUMIF('03_BOC_TACH_VAN'!B:B, B319, '03_BOC_TACH_VAN'!K:K)</f>
        <v/>
      </c>
      <c r="K319" s="390">
        <f>SUM(H319:J319)</f>
        <v/>
      </c>
      <c r="L319" s="390">
        <f>K319*0.25</f>
        <v/>
      </c>
      <c r="M319" s="390">
        <f>K319*0.10</f>
        <v/>
      </c>
      <c r="N319" s="390">
        <f>K319+L319+M319</f>
        <v/>
      </c>
      <c r="O319" s="390">
        <f>IF(G319&gt;0, N319/G319, 0)</f>
        <v/>
      </c>
      <c r="P319" s="391" t="n">
        <v>0.18</v>
      </c>
      <c r="Q319" s="390">
        <f>O319*(1+P319)</f>
        <v/>
      </c>
      <c r="R319" s="390">
        <f>G319*Q319</f>
        <v/>
      </c>
      <c r="S319" t="inlineStr"/>
    </row>
    <row r="320">
      <c r="A320" t="n">
        <v>319</v>
      </c>
      <c r="B320" t="inlineStr">
        <is>
          <t>SW-DAMPER-319</t>
        </is>
      </c>
      <c r="C320" t="inlineStr">
        <is>
          <t>VAN GIÓ</t>
        </is>
      </c>
      <c r="D320" t="inlineStr">
        <is>
          <t>Hệ thống hút gió thải, hút gió bếp Van MFD 500x200</t>
        </is>
      </c>
      <c r="E320" t="inlineStr">
        <is>
          <t>500x200</t>
        </is>
      </c>
      <c r="F320" t="inlineStr">
        <is>
          <t>Cái</t>
        </is>
      </c>
      <c r="G320" s="390" t="n">
        <v>1</v>
      </c>
      <c r="H320" s="390">
        <f>SUMIF('01_BOC_TACH_ONG'!B:B, B320, '01_BOC_TACH_ONG'!K:K)</f>
        <v/>
      </c>
      <c r="I320" s="390">
        <f>SUMIF('02_BOC_TACH_CUA'!B:B, B320, '02_BOC_TACH_CUA'!K:K)</f>
        <v/>
      </c>
      <c r="J320" s="390">
        <f>SUMIF('03_BOC_TACH_VAN'!B:B, B320, '03_BOC_TACH_VAN'!K:K)</f>
        <v/>
      </c>
      <c r="K320" s="390">
        <f>SUM(H320:J320)</f>
        <v/>
      </c>
      <c r="L320" s="390">
        <f>K320*0.25</f>
        <v/>
      </c>
      <c r="M320" s="390">
        <f>K320*0.10</f>
        <v/>
      </c>
      <c r="N320" s="390">
        <f>K320+L320+M320</f>
        <v/>
      </c>
      <c r="O320" s="390">
        <f>IF(G320&gt;0, N320/G320, 0)</f>
        <v/>
      </c>
      <c r="P320" s="391" t="n">
        <v>0.18</v>
      </c>
      <c r="Q320" s="390">
        <f>O320*(1+P320)</f>
        <v/>
      </c>
      <c r="R320" s="390">
        <f>G320*Q320</f>
        <v/>
      </c>
      <c r="S320" t="inlineStr"/>
    </row>
    <row r="321">
      <c r="A321" t="n">
        <v>320</v>
      </c>
      <c r="B321" t="inlineStr">
        <is>
          <t>SW-DAMPER-320</t>
        </is>
      </c>
      <c r="C321" t="inlineStr">
        <is>
          <t>VAN GIÓ</t>
        </is>
      </c>
      <c r="D321" t="inlineStr">
        <is>
          <t>Hệ thống hút gió thải, hút gió bếp Van MFD 800x300</t>
        </is>
      </c>
      <c r="E321" t="inlineStr">
        <is>
          <t>800x300</t>
        </is>
      </c>
      <c r="F321" t="inlineStr">
        <is>
          <t>Cái</t>
        </is>
      </c>
      <c r="G321" s="390" t="n">
        <v>1</v>
      </c>
      <c r="H321" s="390">
        <f>SUMIF('01_BOC_TACH_ONG'!B:B, B321, '01_BOC_TACH_ONG'!K:K)</f>
        <v/>
      </c>
      <c r="I321" s="390">
        <f>SUMIF('02_BOC_TACH_CUA'!B:B, B321, '02_BOC_TACH_CUA'!K:K)</f>
        <v/>
      </c>
      <c r="J321" s="390">
        <f>SUMIF('03_BOC_TACH_VAN'!B:B, B321, '03_BOC_TACH_VAN'!K:K)</f>
        <v/>
      </c>
      <c r="K321" s="390">
        <f>SUM(H321:J321)</f>
        <v/>
      </c>
      <c r="L321" s="390">
        <f>K321*0.25</f>
        <v/>
      </c>
      <c r="M321" s="390">
        <f>K321*0.10</f>
        <v/>
      </c>
      <c r="N321" s="390">
        <f>K321+L321+M321</f>
        <v/>
      </c>
      <c r="O321" s="390">
        <f>IF(G321&gt;0, N321/G321, 0)</f>
        <v/>
      </c>
      <c r="P321" s="391" t="n">
        <v>0.18</v>
      </c>
      <c r="Q321" s="390">
        <f>O321*(1+P321)</f>
        <v/>
      </c>
      <c r="R321" s="390">
        <f>G321*Q321</f>
        <v/>
      </c>
      <c r="S321" t="inlineStr"/>
    </row>
    <row r="322">
      <c r="A322" t="n">
        <v>321</v>
      </c>
      <c r="B322" t="inlineStr">
        <is>
          <t>SW-DAMPER-321</t>
        </is>
      </c>
      <c r="C322" t="inlineStr">
        <is>
          <t>VAN GIÓ</t>
        </is>
      </c>
      <c r="D322" t="inlineStr">
        <is>
          <t>Hệ thống hút gió thải, hút gió bếp Van MFD 1200x650</t>
        </is>
      </c>
      <c r="E322" t="inlineStr">
        <is>
          <t>1200x650</t>
        </is>
      </c>
      <c r="F322" t="inlineStr">
        <is>
          <t>Cái</t>
        </is>
      </c>
      <c r="G322" s="390" t="n">
        <v>1</v>
      </c>
      <c r="H322" s="390">
        <f>SUMIF('01_BOC_TACH_ONG'!B:B, B322, '01_BOC_TACH_ONG'!K:K)</f>
        <v/>
      </c>
      <c r="I322" s="390">
        <f>SUMIF('02_BOC_TACH_CUA'!B:B, B322, '02_BOC_TACH_CUA'!K:K)</f>
        <v/>
      </c>
      <c r="J322" s="390">
        <f>SUMIF('03_BOC_TACH_VAN'!B:B, B322, '03_BOC_TACH_VAN'!K:K)</f>
        <v/>
      </c>
      <c r="K322" s="390">
        <f>SUM(H322:J322)</f>
        <v/>
      </c>
      <c r="L322" s="390">
        <f>K322*0.25</f>
        <v/>
      </c>
      <c r="M322" s="390">
        <f>K322*0.10</f>
        <v/>
      </c>
      <c r="N322" s="390">
        <f>K322+L322+M322</f>
        <v/>
      </c>
      <c r="O322" s="390">
        <f>IF(G322&gt;0, N322/G322, 0)</f>
        <v/>
      </c>
      <c r="P322" s="391" t="n">
        <v>0.18</v>
      </c>
      <c r="Q322" s="390">
        <f>O322*(1+P322)</f>
        <v/>
      </c>
      <c r="R322" s="390">
        <f>G322*Q322</f>
        <v/>
      </c>
      <c r="S322" t="inlineStr"/>
    </row>
    <row r="323">
      <c r="A323" t="n">
        <v>322</v>
      </c>
      <c r="B323" t="inlineStr">
        <is>
          <t>SW-DAMPER-322</t>
        </is>
      </c>
      <c r="C323" t="inlineStr">
        <is>
          <t>VAN GIÓ</t>
        </is>
      </c>
      <c r="D323" t="inlineStr">
        <is>
          <t>Hệ thống hút gió thải, hút gió bếp Van chỉnh lưu lượng VCD 150x150 (EI60)</t>
        </is>
      </c>
      <c r="E323" t="inlineStr">
        <is>
          <t>150x150</t>
        </is>
      </c>
      <c r="F323" t="inlineStr">
        <is>
          <t>Cái</t>
        </is>
      </c>
      <c r="G323" s="390" t="n">
        <v>61</v>
      </c>
      <c r="H323" s="390">
        <f>SUMIF('01_BOC_TACH_ONG'!B:B, B323, '01_BOC_TACH_ONG'!K:K)</f>
        <v/>
      </c>
      <c r="I323" s="390">
        <f>SUMIF('02_BOC_TACH_CUA'!B:B, B323, '02_BOC_TACH_CUA'!K:K)</f>
        <v/>
      </c>
      <c r="J323" s="390">
        <f>SUMIF('03_BOC_TACH_VAN'!B:B, B323, '03_BOC_TACH_VAN'!K:K)</f>
        <v/>
      </c>
      <c r="K323" s="390">
        <f>SUM(H323:J323)</f>
        <v/>
      </c>
      <c r="L323" s="390">
        <f>K323*0.25</f>
        <v/>
      </c>
      <c r="M323" s="390">
        <f>K323*0.10</f>
        <v/>
      </c>
      <c r="N323" s="390">
        <f>K323+L323+M323</f>
        <v/>
      </c>
      <c r="O323" s="390">
        <f>IF(G323&gt;0, N323/G323, 0)</f>
        <v/>
      </c>
      <c r="P323" s="391" t="n">
        <v>0.18</v>
      </c>
      <c r="Q323" s="390">
        <f>O323*(1+P323)</f>
        <v/>
      </c>
      <c r="R323" s="390">
        <f>G323*Q323</f>
        <v/>
      </c>
      <c r="S323" t="inlineStr"/>
    </row>
    <row r="324">
      <c r="A324" t="n">
        <v>323</v>
      </c>
      <c r="B324" t="inlineStr">
        <is>
          <t>SW-DAMPER-323</t>
        </is>
      </c>
      <c r="C324" t="inlineStr">
        <is>
          <t>VAN GIÓ</t>
        </is>
      </c>
      <c r="D324" t="inlineStr">
        <is>
          <t>Hệ thống hút gió thải, hút gió bếp Van chỉnh lưu lượng VCD 300x150</t>
        </is>
      </c>
      <c r="E324" t="inlineStr">
        <is>
          <t>300x150</t>
        </is>
      </c>
      <c r="F324" t="inlineStr">
        <is>
          <t>Cái</t>
        </is>
      </c>
      <c r="G324" s="390" t="n">
        <v>78</v>
      </c>
      <c r="H324" s="390">
        <f>SUMIF('01_BOC_TACH_ONG'!B:B, B324, '01_BOC_TACH_ONG'!K:K)</f>
        <v/>
      </c>
      <c r="I324" s="390">
        <f>SUMIF('02_BOC_TACH_CUA'!B:B, B324, '02_BOC_TACH_CUA'!K:K)</f>
        <v/>
      </c>
      <c r="J324" s="390">
        <f>SUMIF('03_BOC_TACH_VAN'!B:B, B324, '03_BOC_TACH_VAN'!K:K)</f>
        <v/>
      </c>
      <c r="K324" s="390">
        <f>SUM(H324:J324)</f>
        <v/>
      </c>
      <c r="L324" s="390">
        <f>K324*0.25</f>
        <v/>
      </c>
      <c r="M324" s="390">
        <f>K324*0.10</f>
        <v/>
      </c>
      <c r="N324" s="390">
        <f>K324+L324+M324</f>
        <v/>
      </c>
      <c r="O324" s="390">
        <f>IF(G324&gt;0, N324/G324, 0)</f>
        <v/>
      </c>
      <c r="P324" s="391" t="n">
        <v>0.18</v>
      </c>
      <c r="Q324" s="390">
        <f>O324*(1+P324)</f>
        <v/>
      </c>
      <c r="R324" s="390">
        <f>G324*Q324</f>
        <v/>
      </c>
      <c r="S324" t="inlineStr"/>
    </row>
    <row r="325">
      <c r="A325" t="n">
        <v>324</v>
      </c>
      <c r="B325" t="inlineStr">
        <is>
          <t>SW-DAMPER-324</t>
        </is>
      </c>
      <c r="C325" t="inlineStr">
        <is>
          <t>VAN GIÓ</t>
        </is>
      </c>
      <c r="D325" t="inlineStr">
        <is>
          <t>Hệ thống hút gió thải, hút gió bếp Van động cơ MD 300x150</t>
        </is>
      </c>
      <c r="E325" t="inlineStr">
        <is>
          <t>300x150</t>
        </is>
      </c>
      <c r="F325" t="inlineStr">
        <is>
          <t>Cái</t>
        </is>
      </c>
      <c r="G325" s="390" t="n">
        <v>78</v>
      </c>
      <c r="H325" s="390">
        <f>SUMIF('01_BOC_TACH_ONG'!B:B, B325, '01_BOC_TACH_ONG'!K:K)</f>
        <v/>
      </c>
      <c r="I325" s="390">
        <f>SUMIF('02_BOC_TACH_CUA'!B:B, B325, '02_BOC_TACH_CUA'!K:K)</f>
        <v/>
      </c>
      <c r="J325" s="390">
        <f>SUMIF('03_BOC_TACH_VAN'!B:B, B325, '03_BOC_TACH_VAN'!K:K)</f>
        <v/>
      </c>
      <c r="K325" s="390">
        <f>SUM(H325:J325)</f>
        <v/>
      </c>
      <c r="L325" s="390">
        <f>K325*0.25</f>
        <v/>
      </c>
      <c r="M325" s="390">
        <f>K325*0.10</f>
        <v/>
      </c>
      <c r="N325" s="390">
        <f>K325+L325+M325</f>
        <v/>
      </c>
      <c r="O325" s="390">
        <f>IF(G325&gt;0, N325/G325, 0)</f>
        <v/>
      </c>
      <c r="P325" s="391" t="n">
        <v>0.18</v>
      </c>
      <c r="Q325" s="390">
        <f>O325*(1+P325)</f>
        <v/>
      </c>
      <c r="R325" s="390">
        <f>G325*Q325</f>
        <v/>
      </c>
      <c r="S325" t="inlineStr"/>
    </row>
    <row r="326">
      <c r="A326" t="n">
        <v>325</v>
      </c>
      <c r="B326" t="inlineStr">
        <is>
          <t>SW-DAMPER-325</t>
        </is>
      </c>
      <c r="C326" t="inlineStr">
        <is>
          <t>VAN GIÓ</t>
        </is>
      </c>
      <c r="D326" t="inlineStr">
        <is>
          <t>Hệ thống hút gió thải, hút gió bếp Van chỉnh gió lưu lượng không đổi</t>
        </is>
      </c>
      <c r="E326" t="inlineStr">
        <is>
          <t>-</t>
        </is>
      </c>
      <c r="F326" t="inlineStr">
        <is>
          <t>Cái</t>
        </is>
      </c>
      <c r="G326" s="390" t="n">
        <v>78</v>
      </c>
      <c r="H326" s="390">
        <f>SUMIF('01_BOC_TACH_ONG'!B:B, B326, '01_BOC_TACH_ONG'!K:K)</f>
        <v/>
      </c>
      <c r="I326" s="390">
        <f>SUMIF('02_BOC_TACH_CUA'!B:B, B326, '02_BOC_TACH_CUA'!K:K)</f>
        <v/>
      </c>
      <c r="J326" s="390">
        <f>SUMIF('03_BOC_TACH_VAN'!B:B, B326, '03_BOC_TACH_VAN'!K:K)</f>
        <v/>
      </c>
      <c r="K326" s="390">
        <f>SUM(H326:J326)</f>
        <v/>
      </c>
      <c r="L326" s="390">
        <f>K326*0.25</f>
        <v/>
      </c>
      <c r="M326" s="390">
        <f>K326*0.10</f>
        <v/>
      </c>
      <c r="N326" s="390">
        <f>K326+L326+M326</f>
        <v/>
      </c>
      <c r="O326" s="390">
        <f>IF(G326&gt;0, N326/G326, 0)</f>
        <v/>
      </c>
      <c r="P326" s="391" t="n">
        <v>0.18</v>
      </c>
      <c r="Q326" s="390">
        <f>O326*(1+P326)</f>
        <v/>
      </c>
      <c r="R326" s="390">
        <f>G326*Q326</f>
        <v/>
      </c>
      <c r="S326" t="inlineStr"/>
    </row>
    <row r="327">
      <c r="A327" t="n">
        <v>326</v>
      </c>
      <c r="B327" t="inlineStr">
        <is>
          <t>SW-DAMPER-326</t>
        </is>
      </c>
      <c r="C327" t="inlineStr">
        <is>
          <t>VAN GIÓ</t>
        </is>
      </c>
      <c r="D327" t="inlineStr">
        <is>
          <t>Hệ thống hút gió thải, hút gió bếp Van 1 chiều NRD 350x200</t>
        </is>
      </c>
      <c r="E327" t="inlineStr">
        <is>
          <t>350x200</t>
        </is>
      </c>
      <c r="F327" t="inlineStr">
        <is>
          <t>Cái</t>
        </is>
      </c>
      <c r="G327" s="390" t="n">
        <v>38</v>
      </c>
      <c r="H327" s="390">
        <f>SUMIF('01_BOC_TACH_ONG'!B:B, B327, '01_BOC_TACH_ONG'!K:K)</f>
        <v/>
      </c>
      <c r="I327" s="390">
        <f>SUMIF('02_BOC_TACH_CUA'!B:B, B327, '02_BOC_TACH_CUA'!K:K)</f>
        <v/>
      </c>
      <c r="J327" s="390">
        <f>SUMIF('03_BOC_TACH_VAN'!B:B, B327, '03_BOC_TACH_VAN'!K:K)</f>
        <v/>
      </c>
      <c r="K327" s="390">
        <f>SUM(H327:J327)</f>
        <v/>
      </c>
      <c r="L327" s="390">
        <f>K327*0.25</f>
        <v/>
      </c>
      <c r="M327" s="390">
        <f>K327*0.10</f>
        <v/>
      </c>
      <c r="N327" s="390">
        <f>K327+L327+M327</f>
        <v/>
      </c>
      <c r="O327" s="390">
        <f>IF(G327&gt;0, N327/G327, 0)</f>
        <v/>
      </c>
      <c r="P327" s="391" t="n">
        <v>0.18</v>
      </c>
      <c r="Q327" s="390">
        <f>O327*(1+P327)</f>
        <v/>
      </c>
      <c r="R327" s="390">
        <f>G327*Q327</f>
        <v/>
      </c>
      <c r="S327" t="inlineStr"/>
    </row>
    <row r="328">
      <c r="A328" t="n">
        <v>327</v>
      </c>
      <c r="B328" t="inlineStr">
        <is>
          <t>SW-DAMPER-327</t>
        </is>
      </c>
      <c r="C328" t="inlineStr">
        <is>
          <t>VAN GIÓ</t>
        </is>
      </c>
      <c r="D328" t="inlineStr">
        <is>
          <t>Hệ thống hút gió thải, hút gió bếp Van 1 chiều NRD 400x400</t>
        </is>
      </c>
      <c r="E328" t="inlineStr">
        <is>
          <t>400x400</t>
        </is>
      </c>
      <c r="F328" t="inlineStr">
        <is>
          <t>Cái</t>
        </is>
      </c>
      <c r="G328" s="390" t="n">
        <v>20</v>
      </c>
      <c r="H328" s="390">
        <f>SUMIF('01_BOC_TACH_ONG'!B:B, B328, '01_BOC_TACH_ONG'!K:K)</f>
        <v/>
      </c>
      <c r="I328" s="390">
        <f>SUMIF('02_BOC_TACH_CUA'!B:B, B328, '02_BOC_TACH_CUA'!K:K)</f>
        <v/>
      </c>
      <c r="J328" s="390">
        <f>SUMIF('03_BOC_TACH_VAN'!B:B, B328, '03_BOC_TACH_VAN'!K:K)</f>
        <v/>
      </c>
      <c r="K328" s="390">
        <f>SUM(H328:J328)</f>
        <v/>
      </c>
      <c r="L328" s="390">
        <f>K328*0.25</f>
        <v/>
      </c>
      <c r="M328" s="390">
        <f>K328*0.10</f>
        <v/>
      </c>
      <c r="N328" s="390">
        <f>K328+L328+M328</f>
        <v/>
      </c>
      <c r="O328" s="390">
        <f>IF(G328&gt;0, N328/G328, 0)</f>
        <v/>
      </c>
      <c r="P328" s="391" t="n">
        <v>0.18</v>
      </c>
      <c r="Q328" s="390">
        <f>O328*(1+P328)</f>
        <v/>
      </c>
      <c r="R328" s="390">
        <f>G328*Q328</f>
        <v/>
      </c>
      <c r="S328" t="inlineStr"/>
    </row>
    <row r="329">
      <c r="A329" t="n">
        <v>328</v>
      </c>
      <c r="B329" t="inlineStr">
        <is>
          <t>SW-DAMPER-328</t>
        </is>
      </c>
      <c r="C329" t="inlineStr">
        <is>
          <t>VAN GIÓ</t>
        </is>
      </c>
      <c r="D329" t="inlineStr">
        <is>
          <t>Hệ thống hút gió thải, hút gió bếp Van 1 chiều NRD 250x250</t>
        </is>
      </c>
      <c r="E329" t="inlineStr">
        <is>
          <t>250x250</t>
        </is>
      </c>
      <c r="F329" t="inlineStr">
        <is>
          <t>Cái</t>
        </is>
      </c>
      <c r="G329" s="390" t="n">
        <v>6</v>
      </c>
      <c r="H329" s="390">
        <f>SUMIF('01_BOC_TACH_ONG'!B:B, B329, '01_BOC_TACH_ONG'!K:K)</f>
        <v/>
      </c>
      <c r="I329" s="390">
        <f>SUMIF('02_BOC_TACH_CUA'!B:B, B329, '02_BOC_TACH_CUA'!K:K)</f>
        <v/>
      </c>
      <c r="J329" s="390">
        <f>SUMIF('03_BOC_TACH_VAN'!B:B, B329, '03_BOC_TACH_VAN'!K:K)</f>
        <v/>
      </c>
      <c r="K329" s="390">
        <f>SUM(H329:J329)</f>
        <v/>
      </c>
      <c r="L329" s="390">
        <f>K329*0.25</f>
        <v/>
      </c>
      <c r="M329" s="390">
        <f>K329*0.10</f>
        <v/>
      </c>
      <c r="N329" s="390">
        <f>K329+L329+M329</f>
        <v/>
      </c>
      <c r="O329" s="390">
        <f>IF(G329&gt;0, N329/G329, 0)</f>
        <v/>
      </c>
      <c r="P329" s="391" t="n">
        <v>0.18</v>
      </c>
      <c r="Q329" s="390">
        <f>O329*(1+P329)</f>
        <v/>
      </c>
      <c r="R329" s="390">
        <f>G329*Q329</f>
        <v/>
      </c>
      <c r="S329" t="inlineStr"/>
    </row>
    <row r="330">
      <c r="A330" t="n">
        <v>329</v>
      </c>
      <c r="B330" t="inlineStr">
        <is>
          <t>SW-DAMPER-329</t>
        </is>
      </c>
      <c r="C330" t="inlineStr">
        <is>
          <t>VAN GIÓ</t>
        </is>
      </c>
      <c r="D330" t="inlineStr">
        <is>
          <t>Hệ thống hút gió thải, hút gió bếp Van 1 chiều NRD 1250x350</t>
        </is>
      </c>
      <c r="E330" t="inlineStr">
        <is>
          <t>1250x350</t>
        </is>
      </c>
      <c r="F330" t="inlineStr">
        <is>
          <t>Cái</t>
        </is>
      </c>
      <c r="G330" s="390" t="n">
        <v>1</v>
      </c>
      <c r="H330" s="390">
        <f>SUMIF('01_BOC_TACH_ONG'!B:B, B330, '01_BOC_TACH_ONG'!K:K)</f>
        <v/>
      </c>
      <c r="I330" s="390">
        <f>SUMIF('02_BOC_TACH_CUA'!B:B, B330, '02_BOC_TACH_CUA'!K:K)</f>
        <v/>
      </c>
      <c r="J330" s="390">
        <f>SUMIF('03_BOC_TACH_VAN'!B:B, B330, '03_BOC_TACH_VAN'!K:K)</f>
        <v/>
      </c>
      <c r="K330" s="390">
        <f>SUM(H330:J330)</f>
        <v/>
      </c>
      <c r="L330" s="390">
        <f>K330*0.25</f>
        <v/>
      </c>
      <c r="M330" s="390">
        <f>K330*0.10</f>
        <v/>
      </c>
      <c r="N330" s="390">
        <f>K330+L330+M330</f>
        <v/>
      </c>
      <c r="O330" s="390">
        <f>IF(G330&gt;0, N330/G330, 0)</f>
        <v/>
      </c>
      <c r="P330" s="391" t="n">
        <v>0.18</v>
      </c>
      <c r="Q330" s="390">
        <f>O330*(1+P330)</f>
        <v/>
      </c>
      <c r="R330" s="390">
        <f>G330*Q330</f>
        <v/>
      </c>
      <c r="S330" t="inlineStr"/>
    </row>
    <row r="331">
      <c r="A331" t="n">
        <v>330</v>
      </c>
      <c r="B331" t="inlineStr">
        <is>
          <t>SW-DAMPER-330</t>
        </is>
      </c>
      <c r="C331" t="inlineStr">
        <is>
          <t>VAN GIÓ</t>
        </is>
      </c>
      <c r="D331" t="inlineStr">
        <is>
          <t>Hệ thống hút gió thải, hút gió bếp Van 1 chiều NRD 1000x550</t>
        </is>
      </c>
      <c r="E331" t="inlineStr">
        <is>
          <t>1000x550</t>
        </is>
      </c>
      <c r="F331" t="inlineStr">
        <is>
          <t>Cái</t>
        </is>
      </c>
      <c r="G331" s="390" t="n">
        <v>1</v>
      </c>
      <c r="H331" s="390">
        <f>SUMIF('01_BOC_TACH_ONG'!B:B, B331, '01_BOC_TACH_ONG'!K:K)</f>
        <v/>
      </c>
      <c r="I331" s="390">
        <f>SUMIF('02_BOC_TACH_CUA'!B:B, B331, '02_BOC_TACH_CUA'!K:K)</f>
        <v/>
      </c>
      <c r="J331" s="390">
        <f>SUMIF('03_BOC_TACH_VAN'!B:B, B331, '03_BOC_TACH_VAN'!K:K)</f>
        <v/>
      </c>
      <c r="K331" s="390">
        <f>SUM(H331:J331)</f>
        <v/>
      </c>
      <c r="L331" s="390">
        <f>K331*0.25</f>
        <v/>
      </c>
      <c r="M331" s="390">
        <f>K331*0.10</f>
        <v/>
      </c>
      <c r="N331" s="390">
        <f>K331+L331+M331</f>
        <v/>
      </c>
      <c r="O331" s="390">
        <f>IF(G331&gt;0, N331/G331, 0)</f>
        <v/>
      </c>
      <c r="P331" s="391" t="n">
        <v>0.18</v>
      </c>
      <c r="Q331" s="390">
        <f>O331*(1+P331)</f>
        <v/>
      </c>
      <c r="R331" s="390">
        <f>G331*Q331</f>
        <v/>
      </c>
      <c r="S331" t="inlineStr"/>
    </row>
    <row r="332">
      <c r="A332" t="n">
        <v>331</v>
      </c>
      <c r="B332" t="inlineStr">
        <is>
          <t>SW-DAMPER-331</t>
        </is>
      </c>
      <c r="C332" t="inlineStr">
        <is>
          <t>VAN GIÓ</t>
        </is>
      </c>
      <c r="D332" t="inlineStr">
        <is>
          <t>Hệ thống hút gió thải, hút gió bếp Van 1 chiều NRD 400x200</t>
        </is>
      </c>
      <c r="E332" t="inlineStr">
        <is>
          <t>400x200</t>
        </is>
      </c>
      <c r="F332" t="inlineStr">
        <is>
          <t>Cái</t>
        </is>
      </c>
      <c r="G332" s="390" t="n">
        <v>10</v>
      </c>
      <c r="H332" s="390">
        <f>SUMIF('01_BOC_TACH_ONG'!B:B, B332, '01_BOC_TACH_ONG'!K:K)</f>
        <v/>
      </c>
      <c r="I332" s="390">
        <f>SUMIF('02_BOC_TACH_CUA'!B:B, B332, '02_BOC_TACH_CUA'!K:K)</f>
        <v/>
      </c>
      <c r="J332" s="390">
        <f>SUMIF('03_BOC_TACH_VAN'!B:B, B332, '03_BOC_TACH_VAN'!K:K)</f>
        <v/>
      </c>
      <c r="K332" s="390">
        <f>SUM(H332:J332)</f>
        <v/>
      </c>
      <c r="L332" s="390">
        <f>K332*0.25</f>
        <v/>
      </c>
      <c r="M332" s="390">
        <f>K332*0.10</f>
        <v/>
      </c>
      <c r="N332" s="390">
        <f>K332+L332+M332</f>
        <v/>
      </c>
      <c r="O332" s="390">
        <f>IF(G332&gt;0, N332/G332, 0)</f>
        <v/>
      </c>
      <c r="P332" s="391" t="n">
        <v>0.18</v>
      </c>
      <c r="Q332" s="390">
        <f>O332*(1+P332)</f>
        <v/>
      </c>
      <c r="R332" s="390">
        <f>G332*Q332</f>
        <v/>
      </c>
      <c r="S332" t="inlineStr"/>
    </row>
    <row r="333">
      <c r="A333" t="n">
        <v>332</v>
      </c>
      <c r="B333" t="inlineStr">
        <is>
          <t>SW-DAMPER-332</t>
        </is>
      </c>
      <c r="C333" t="inlineStr">
        <is>
          <t>VAN GIÓ</t>
        </is>
      </c>
      <c r="D333" t="inlineStr">
        <is>
          <t>Hệ thống hút gió thải, hút gió bếp Van 1 chiều NRD 800x450</t>
        </is>
      </c>
      <c r="E333" t="inlineStr">
        <is>
          <t>800x450</t>
        </is>
      </c>
      <c r="F333" t="inlineStr">
        <is>
          <t>Cái</t>
        </is>
      </c>
      <c r="G333" s="390" t="n">
        <v>12</v>
      </c>
      <c r="H333" s="390">
        <f>SUMIF('01_BOC_TACH_ONG'!B:B, B333, '01_BOC_TACH_ONG'!K:K)</f>
        <v/>
      </c>
      <c r="I333" s="390">
        <f>SUMIF('02_BOC_TACH_CUA'!B:B, B333, '02_BOC_TACH_CUA'!K:K)</f>
        <v/>
      </c>
      <c r="J333" s="390">
        <f>SUMIF('03_BOC_TACH_VAN'!B:B, B333, '03_BOC_TACH_VAN'!K:K)</f>
        <v/>
      </c>
      <c r="K333" s="390">
        <f>SUM(H333:J333)</f>
        <v/>
      </c>
      <c r="L333" s="390">
        <f>K333*0.25</f>
        <v/>
      </c>
      <c r="M333" s="390">
        <f>K333*0.10</f>
        <v/>
      </c>
      <c r="N333" s="390">
        <f>K333+L333+M333</f>
        <v/>
      </c>
      <c r="O333" s="390">
        <f>IF(G333&gt;0, N333/G333, 0)</f>
        <v/>
      </c>
      <c r="P333" s="391" t="n">
        <v>0.18</v>
      </c>
      <c r="Q333" s="390">
        <f>O333*(1+P333)</f>
        <v/>
      </c>
      <c r="R333" s="390">
        <f>G333*Q333</f>
        <v/>
      </c>
      <c r="S333" t="inlineStr"/>
    </row>
    <row r="334">
      <c r="A334" t="n">
        <v>333</v>
      </c>
      <c r="B334" t="inlineStr">
        <is>
          <t>SW-DIFF-333</t>
        </is>
      </c>
      <c r="C334" t="inlineStr">
        <is>
          <t>CỬA GIÓ</t>
        </is>
      </c>
      <c r="D334" t="inlineStr">
        <is>
          <t>Hệ thống hút gió thải, hút gió bếp Miệng gió thải EAG 150x150+OBD+box miệng gió</t>
        </is>
      </c>
      <c r="E334" t="inlineStr">
        <is>
          <t>150x150</t>
        </is>
      </c>
      <c r="F334" t="inlineStr">
        <is>
          <t>Cái</t>
        </is>
      </c>
      <c r="G334" s="390" t="n">
        <v>62</v>
      </c>
      <c r="H334" s="390">
        <f>SUMIF('01_BOC_TACH_ONG'!B:B, B334, '01_BOC_TACH_ONG'!K:K)</f>
        <v/>
      </c>
      <c r="I334" s="390">
        <f>SUMIF('02_BOC_TACH_CUA'!B:B, B334, '02_BOC_TACH_CUA'!K:K)</f>
        <v/>
      </c>
      <c r="J334" s="390">
        <f>SUMIF('03_BOC_TACH_VAN'!B:B, B334, '03_BOC_TACH_VAN'!K:K)</f>
        <v/>
      </c>
      <c r="K334" s="390">
        <f>SUM(H334:J334)</f>
        <v/>
      </c>
      <c r="L334" s="390">
        <f>K334*0.25</f>
        <v/>
      </c>
      <c r="M334" s="390">
        <f>K334*0.10</f>
        <v/>
      </c>
      <c r="N334" s="390">
        <f>K334+L334+M334</f>
        <v/>
      </c>
      <c r="O334" s="390">
        <f>IF(G334&gt;0, N334/G334, 0)</f>
        <v/>
      </c>
      <c r="P334" s="391" t="n">
        <v>0.18</v>
      </c>
      <c r="Q334" s="390">
        <f>O334*(1+P334)</f>
        <v/>
      </c>
      <c r="R334" s="390">
        <f>G334*Q334</f>
        <v/>
      </c>
      <c r="S334" t="inlineStr"/>
    </row>
    <row r="335">
      <c r="A335" t="n">
        <v>334</v>
      </c>
      <c r="B335" t="inlineStr">
        <is>
          <t>SW-DIFF-334</t>
        </is>
      </c>
      <c r="C335" t="inlineStr">
        <is>
          <t>CỬA GIÓ</t>
        </is>
      </c>
      <c r="D335" t="inlineStr">
        <is>
          <t>Hệ thống hút gió thải, hút gió bếp Miệng gió thải EAG 300X300+OBD+box miệng gió</t>
        </is>
      </c>
      <c r="E335" t="inlineStr">
        <is>
          <t>300x300</t>
        </is>
      </c>
      <c r="F335" t="inlineStr">
        <is>
          <t>Cái</t>
        </is>
      </c>
      <c r="G335" s="390" t="n">
        <v>2</v>
      </c>
      <c r="H335" s="390">
        <f>SUMIF('01_BOC_TACH_ONG'!B:B, B335, '01_BOC_TACH_ONG'!K:K)</f>
        <v/>
      </c>
      <c r="I335" s="390">
        <f>SUMIF('02_BOC_TACH_CUA'!B:B, B335, '02_BOC_TACH_CUA'!K:K)</f>
        <v/>
      </c>
      <c r="J335" s="390">
        <f>SUMIF('03_BOC_TACH_VAN'!B:B, B335, '03_BOC_TACH_VAN'!K:K)</f>
        <v/>
      </c>
      <c r="K335" s="390">
        <f>SUM(H335:J335)</f>
        <v/>
      </c>
      <c r="L335" s="390">
        <f>K335*0.25</f>
        <v/>
      </c>
      <c r="M335" s="390">
        <f>K335*0.10</f>
        <v/>
      </c>
      <c r="N335" s="390">
        <f>K335+L335+M335</f>
        <v/>
      </c>
      <c r="O335" s="390">
        <f>IF(G335&gt;0, N335/G335, 0)</f>
        <v/>
      </c>
      <c r="P335" s="391" t="n">
        <v>0.18</v>
      </c>
      <c r="Q335" s="390">
        <f>O335*(1+P335)</f>
        <v/>
      </c>
      <c r="R335" s="390">
        <f>G335*Q335</f>
        <v/>
      </c>
      <c r="S335" t="inlineStr"/>
    </row>
    <row r="336">
      <c r="A336" t="n">
        <v>335</v>
      </c>
      <c r="B336" t="inlineStr">
        <is>
          <t>SW-DIFF-335</t>
        </is>
      </c>
      <c r="C336" t="inlineStr">
        <is>
          <t>CỬA GIÓ</t>
        </is>
      </c>
      <c r="D336" t="inlineStr">
        <is>
          <t>Hệ thống hút gió thải, hút gió bếp Miệng gió thải EAG 400x300+OBD+box miệng gió</t>
        </is>
      </c>
      <c r="E336" t="inlineStr">
        <is>
          <t>400x300</t>
        </is>
      </c>
      <c r="F336" t="inlineStr">
        <is>
          <t>Cái</t>
        </is>
      </c>
      <c r="G336" s="390" t="n">
        <v>5</v>
      </c>
      <c r="H336" s="390">
        <f>SUMIF('01_BOC_TACH_ONG'!B:B, B336, '01_BOC_TACH_ONG'!K:K)</f>
        <v/>
      </c>
      <c r="I336" s="390">
        <f>SUMIF('02_BOC_TACH_CUA'!B:B, B336, '02_BOC_TACH_CUA'!K:K)</f>
        <v/>
      </c>
      <c r="J336" s="390">
        <f>SUMIF('03_BOC_TACH_VAN'!B:B, B336, '03_BOC_TACH_VAN'!K:K)</f>
        <v/>
      </c>
      <c r="K336" s="390">
        <f>SUM(H336:J336)</f>
        <v/>
      </c>
      <c r="L336" s="390">
        <f>K336*0.25</f>
        <v/>
      </c>
      <c r="M336" s="390">
        <f>K336*0.10</f>
        <v/>
      </c>
      <c r="N336" s="390">
        <f>K336+L336+M336</f>
        <v/>
      </c>
      <c r="O336" s="390">
        <f>IF(G336&gt;0, N336/G336, 0)</f>
        <v/>
      </c>
      <c r="P336" s="391" t="n">
        <v>0.18</v>
      </c>
      <c r="Q336" s="390">
        <f>O336*(1+P336)</f>
        <v/>
      </c>
      <c r="R336" s="390">
        <f>G336*Q336</f>
        <v/>
      </c>
      <c r="S336" t="inlineStr"/>
    </row>
    <row r="337">
      <c r="A337" t="n">
        <v>336</v>
      </c>
      <c r="B337" t="inlineStr">
        <is>
          <t>SW-DIFF-336</t>
        </is>
      </c>
      <c r="C337" t="inlineStr">
        <is>
          <t>CỬA GIÓ</t>
        </is>
      </c>
      <c r="D337" t="inlineStr">
        <is>
          <t>Hệ thống hút gió thải, hút gió bếp Miệng gió thải EAG 1200x800+OBD+box miệng gió</t>
        </is>
      </c>
      <c r="E337" t="inlineStr">
        <is>
          <t>1200x800</t>
        </is>
      </c>
      <c r="F337" t="inlineStr">
        <is>
          <t>Cái</t>
        </is>
      </c>
      <c r="G337" s="390" t="n">
        <v>3</v>
      </c>
      <c r="H337" s="390">
        <f>SUMIF('01_BOC_TACH_ONG'!B:B, B337, '01_BOC_TACH_ONG'!K:K)</f>
        <v/>
      </c>
      <c r="I337" s="390">
        <f>SUMIF('02_BOC_TACH_CUA'!B:B, B337, '02_BOC_TACH_CUA'!K:K)</f>
        <v/>
      </c>
      <c r="J337" s="390">
        <f>SUMIF('03_BOC_TACH_VAN'!B:B, B337, '03_BOC_TACH_VAN'!K:K)</f>
        <v/>
      </c>
      <c r="K337" s="390">
        <f>SUM(H337:J337)</f>
        <v/>
      </c>
      <c r="L337" s="390">
        <f>K337*0.25</f>
        <v/>
      </c>
      <c r="M337" s="390">
        <f>K337*0.10</f>
        <v/>
      </c>
      <c r="N337" s="390">
        <f>K337+L337+M337</f>
        <v/>
      </c>
      <c r="O337" s="390">
        <f>IF(G337&gt;0, N337/G337, 0)</f>
        <v/>
      </c>
      <c r="P337" s="391" t="n">
        <v>0.18</v>
      </c>
      <c r="Q337" s="390">
        <f>O337*(1+P337)</f>
        <v/>
      </c>
      <c r="R337" s="390">
        <f>G337*Q337</f>
        <v/>
      </c>
      <c r="S337" t="inlineStr"/>
    </row>
    <row r="338">
      <c r="A338" t="n">
        <v>337</v>
      </c>
      <c r="B338" t="inlineStr">
        <is>
          <t>SW-DIFF-337</t>
        </is>
      </c>
      <c r="C338" t="inlineStr">
        <is>
          <t>CỬA GIÓ</t>
        </is>
      </c>
      <c r="D338" t="inlineStr">
        <is>
          <t>Hệ thống hút gió thải, hút gió bếp Miệng gió thải EAG 1000x400+OBD+box miệng gió</t>
        </is>
      </c>
      <c r="E338" t="inlineStr">
        <is>
          <t>1000x400</t>
        </is>
      </c>
      <c r="F338" t="inlineStr">
        <is>
          <t>Cái</t>
        </is>
      </c>
      <c r="G338" s="390" t="n">
        <v>1</v>
      </c>
      <c r="H338" s="390">
        <f>SUMIF('01_BOC_TACH_ONG'!B:B, B338, '01_BOC_TACH_ONG'!K:K)</f>
        <v/>
      </c>
      <c r="I338" s="390">
        <f>SUMIF('02_BOC_TACH_CUA'!B:B, B338, '02_BOC_TACH_CUA'!K:K)</f>
        <v/>
      </c>
      <c r="J338" s="390">
        <f>SUMIF('03_BOC_TACH_VAN'!B:B, B338, '03_BOC_TACH_VAN'!K:K)</f>
        <v/>
      </c>
      <c r="K338" s="390">
        <f>SUM(H338:J338)</f>
        <v/>
      </c>
      <c r="L338" s="390">
        <f>K338*0.25</f>
        <v/>
      </c>
      <c r="M338" s="390">
        <f>K338*0.10</f>
        <v/>
      </c>
      <c r="N338" s="390">
        <f>K338+L338+M338</f>
        <v/>
      </c>
      <c r="O338" s="390">
        <f>IF(G338&gt;0, N338/G338, 0)</f>
        <v/>
      </c>
      <c r="P338" s="391" t="n">
        <v>0.18</v>
      </c>
      <c r="Q338" s="390">
        <f>O338*(1+P338)</f>
        <v/>
      </c>
      <c r="R338" s="390">
        <f>G338*Q338</f>
        <v/>
      </c>
      <c r="S338" t="inlineStr"/>
    </row>
    <row r="339">
      <c r="A339" t="n">
        <v>338</v>
      </c>
      <c r="B339" t="inlineStr">
        <is>
          <t>SW-DIFF-338</t>
        </is>
      </c>
      <c r="C339" t="inlineStr">
        <is>
          <t>CỬA GIÓ</t>
        </is>
      </c>
      <c r="D339" t="inlineStr">
        <is>
          <t>Hệ thống hút gió thải, hút gió bếp Miệng gió thải EAG 600x400+OBD+box miệng gió</t>
        </is>
      </c>
      <c r="E339" t="inlineStr">
        <is>
          <t>600x400</t>
        </is>
      </c>
      <c r="F339" t="inlineStr">
        <is>
          <t>Cái</t>
        </is>
      </c>
      <c r="G339" s="390" t="n">
        <v>3</v>
      </c>
      <c r="H339" s="390">
        <f>SUMIF('01_BOC_TACH_ONG'!B:B, B339, '01_BOC_TACH_ONG'!K:K)</f>
        <v/>
      </c>
      <c r="I339" s="390">
        <f>SUMIF('02_BOC_TACH_CUA'!B:B, B339, '02_BOC_TACH_CUA'!K:K)</f>
        <v/>
      </c>
      <c r="J339" s="390">
        <f>SUMIF('03_BOC_TACH_VAN'!B:B, B339, '03_BOC_TACH_VAN'!K:K)</f>
        <v/>
      </c>
      <c r="K339" s="390">
        <f>SUM(H339:J339)</f>
        <v/>
      </c>
      <c r="L339" s="390">
        <f>K339*0.25</f>
        <v/>
      </c>
      <c r="M339" s="390">
        <f>K339*0.10</f>
        <v/>
      </c>
      <c r="N339" s="390">
        <f>K339+L339+M339</f>
        <v/>
      </c>
      <c r="O339" s="390">
        <f>IF(G339&gt;0, N339/G339, 0)</f>
        <v/>
      </c>
      <c r="P339" s="391" t="n">
        <v>0.18</v>
      </c>
      <c r="Q339" s="390">
        <f>O339*(1+P339)</f>
        <v/>
      </c>
      <c r="R339" s="390">
        <f>G339*Q339</f>
        <v/>
      </c>
      <c r="S339" t="inlineStr"/>
    </row>
    <row r="340">
      <c r="A340" t="n">
        <v>339</v>
      </c>
      <c r="B340" t="inlineStr">
        <is>
          <t>SW-DIFF-339</t>
        </is>
      </c>
      <c r="C340" t="inlineStr">
        <is>
          <t>CỬA GIÓ</t>
        </is>
      </c>
      <c r="D340" t="inlineStr">
        <is>
          <t>Hệ thống hút gió thải, hút gió bếp Miệng gió thải EAG 300x300+OBD+box miệng gió</t>
        </is>
      </c>
      <c r="E340" t="inlineStr">
        <is>
          <t>300x300</t>
        </is>
      </c>
      <c r="F340" t="inlineStr">
        <is>
          <t>Cái</t>
        </is>
      </c>
      <c r="G340" s="390" t="n">
        <v>44</v>
      </c>
      <c r="H340" s="390">
        <f>SUMIF('01_BOC_TACH_ONG'!B:B, B340, '01_BOC_TACH_ONG'!K:K)</f>
        <v/>
      </c>
      <c r="I340" s="390">
        <f>SUMIF('02_BOC_TACH_CUA'!B:B, B340, '02_BOC_TACH_CUA'!K:K)</f>
        <v/>
      </c>
      <c r="J340" s="390">
        <f>SUMIF('03_BOC_TACH_VAN'!B:B, B340, '03_BOC_TACH_VAN'!K:K)</f>
        <v/>
      </c>
      <c r="K340" s="390">
        <f>SUM(H340:J340)</f>
        <v/>
      </c>
      <c r="L340" s="390">
        <f>K340*0.25</f>
        <v/>
      </c>
      <c r="M340" s="390">
        <f>K340*0.10</f>
        <v/>
      </c>
      <c r="N340" s="390">
        <f>K340+L340+M340</f>
        <v/>
      </c>
      <c r="O340" s="390">
        <f>IF(G340&gt;0, N340/G340, 0)</f>
        <v/>
      </c>
      <c r="P340" s="391" t="n">
        <v>0.18</v>
      </c>
      <c r="Q340" s="390">
        <f>O340*(1+P340)</f>
        <v/>
      </c>
      <c r="R340" s="390">
        <f>G340*Q340</f>
        <v/>
      </c>
      <c r="S340" t="inlineStr"/>
    </row>
    <row r="341">
      <c r="A341" t="n">
        <v>340</v>
      </c>
      <c r="B341" t="inlineStr">
        <is>
          <t>SW-DIFF-340</t>
        </is>
      </c>
      <c r="C341" t="inlineStr">
        <is>
          <t>CỬA GIÓ</t>
        </is>
      </c>
      <c r="D341" t="inlineStr">
        <is>
          <t>Hệ thống hút gió thải, hút gió bếp Louver 300x150 + IS</t>
        </is>
      </c>
      <c r="E341" t="inlineStr">
        <is>
          <t>300x150</t>
        </is>
      </c>
      <c r="F341" t="inlineStr">
        <is>
          <t>cáI</t>
        </is>
      </c>
      <c r="G341" s="390" t="n">
        <v>4</v>
      </c>
      <c r="H341" s="390">
        <f>SUMIF('01_BOC_TACH_ONG'!B:B, B341, '01_BOC_TACH_ONG'!K:K)</f>
        <v/>
      </c>
      <c r="I341" s="390">
        <f>SUMIF('02_BOC_TACH_CUA'!B:B, B341, '02_BOC_TACH_CUA'!K:K)</f>
        <v/>
      </c>
      <c r="J341" s="390">
        <f>SUMIF('03_BOC_TACH_VAN'!B:B, B341, '03_BOC_TACH_VAN'!K:K)</f>
        <v/>
      </c>
      <c r="K341" s="390">
        <f>SUM(H341:J341)</f>
        <v/>
      </c>
      <c r="L341" s="390">
        <f>K341*0.25</f>
        <v/>
      </c>
      <c r="M341" s="390">
        <f>K341*0.10</f>
        <v/>
      </c>
      <c r="N341" s="390">
        <f>K341+L341+M341</f>
        <v/>
      </c>
      <c r="O341" s="390">
        <f>IF(G341&gt;0, N341/G341, 0)</f>
        <v/>
      </c>
      <c r="P341" s="391" t="n">
        <v>0.18</v>
      </c>
      <c r="Q341" s="390">
        <f>O341*(1+P341)</f>
        <v/>
      </c>
      <c r="R341" s="390">
        <f>G341*Q341</f>
        <v/>
      </c>
      <c r="S341" t="inlineStr"/>
    </row>
    <row r="342">
      <c r="A342" t="n">
        <v>341</v>
      </c>
      <c r="B342" t="inlineStr">
        <is>
          <t>SW-DIFF-341</t>
        </is>
      </c>
      <c r="C342" t="inlineStr">
        <is>
          <t>CỬA GIÓ</t>
        </is>
      </c>
      <c r="D342" t="inlineStr">
        <is>
          <t>Hệ thống hút gió thải, hút gió bếp Louver 400x150 + IS</t>
        </is>
      </c>
      <c r="E342" t="inlineStr">
        <is>
          <t>400x150</t>
        </is>
      </c>
      <c r="F342" t="inlineStr">
        <is>
          <t>cáI</t>
        </is>
      </c>
      <c r="G342" s="390" t="n">
        <v>2</v>
      </c>
      <c r="H342" s="390">
        <f>SUMIF('01_BOC_TACH_ONG'!B:B, B342, '01_BOC_TACH_ONG'!K:K)</f>
        <v/>
      </c>
      <c r="I342" s="390">
        <f>SUMIF('02_BOC_TACH_CUA'!B:B, B342, '02_BOC_TACH_CUA'!K:K)</f>
        <v/>
      </c>
      <c r="J342" s="390">
        <f>SUMIF('03_BOC_TACH_VAN'!B:B, B342, '03_BOC_TACH_VAN'!K:K)</f>
        <v/>
      </c>
      <c r="K342" s="390">
        <f>SUM(H342:J342)</f>
        <v/>
      </c>
      <c r="L342" s="390">
        <f>K342*0.25</f>
        <v/>
      </c>
      <c r="M342" s="390">
        <f>K342*0.10</f>
        <v/>
      </c>
      <c r="N342" s="390">
        <f>K342+L342+M342</f>
        <v/>
      </c>
      <c r="O342" s="390">
        <f>IF(G342&gt;0, N342/G342, 0)</f>
        <v/>
      </c>
      <c r="P342" s="391" t="n">
        <v>0.18</v>
      </c>
      <c r="Q342" s="390">
        <f>O342*(1+P342)</f>
        <v/>
      </c>
      <c r="R342" s="390">
        <f>G342*Q342</f>
        <v/>
      </c>
      <c r="S342" t="inlineStr"/>
    </row>
    <row r="343">
      <c r="A343" t="n">
        <v>342</v>
      </c>
      <c r="B343" t="inlineStr">
        <is>
          <t>SW-DIFF-342</t>
        </is>
      </c>
      <c r="C343" t="inlineStr">
        <is>
          <t>CỬA GIÓ</t>
        </is>
      </c>
      <c r="D343" t="inlineStr">
        <is>
          <t>Hệ thống hút gió thải, hút gió bếp Louver 800x250 + IS</t>
        </is>
      </c>
      <c r="E343" t="inlineStr">
        <is>
          <t>800x250</t>
        </is>
      </c>
      <c r="F343" t="inlineStr">
        <is>
          <t>cáI</t>
        </is>
      </c>
      <c r="G343" s="390" t="n">
        <v>1</v>
      </c>
      <c r="H343" s="390">
        <f>SUMIF('01_BOC_TACH_ONG'!B:B, B343, '01_BOC_TACH_ONG'!K:K)</f>
        <v/>
      </c>
      <c r="I343" s="390">
        <f>SUMIF('02_BOC_TACH_CUA'!B:B, B343, '02_BOC_TACH_CUA'!K:K)</f>
        <v/>
      </c>
      <c r="J343" s="390">
        <f>SUMIF('03_BOC_TACH_VAN'!B:B, B343, '03_BOC_TACH_VAN'!K:K)</f>
        <v/>
      </c>
      <c r="K343" s="390">
        <f>SUM(H343:J343)</f>
        <v/>
      </c>
      <c r="L343" s="390">
        <f>K343*0.25</f>
        <v/>
      </c>
      <c r="M343" s="390">
        <f>K343*0.10</f>
        <v/>
      </c>
      <c r="N343" s="390">
        <f>K343+L343+M343</f>
        <v/>
      </c>
      <c r="O343" s="390">
        <f>IF(G343&gt;0, N343/G343, 0)</f>
        <v/>
      </c>
      <c r="P343" s="391" t="n">
        <v>0.18</v>
      </c>
      <c r="Q343" s="390">
        <f>O343*(1+P343)</f>
        <v/>
      </c>
      <c r="R343" s="390">
        <f>G343*Q343</f>
        <v/>
      </c>
      <c r="S343" t="inlineStr"/>
    </row>
    <row r="344">
      <c r="A344" t="n">
        <v>343</v>
      </c>
      <c r="B344" t="inlineStr">
        <is>
          <t>SW-DIFF-343</t>
        </is>
      </c>
      <c r="C344" t="inlineStr">
        <is>
          <t>CỬA GIÓ</t>
        </is>
      </c>
      <c r="D344" t="inlineStr">
        <is>
          <t>Hệ thống hút gió thải, hút gió bếp Louver 1200x350 + IS</t>
        </is>
      </c>
      <c r="E344" t="inlineStr">
        <is>
          <t>1200x350</t>
        </is>
      </c>
      <c r="F344" t="inlineStr">
        <is>
          <t>cáI</t>
        </is>
      </c>
      <c r="G344" s="390" t="n">
        <v>1</v>
      </c>
      <c r="H344" s="390">
        <f>SUMIF('01_BOC_TACH_ONG'!B:B, B344, '01_BOC_TACH_ONG'!K:K)</f>
        <v/>
      </c>
      <c r="I344" s="390">
        <f>SUMIF('02_BOC_TACH_CUA'!B:B, B344, '02_BOC_TACH_CUA'!K:K)</f>
        <v/>
      </c>
      <c r="J344" s="390">
        <f>SUMIF('03_BOC_TACH_VAN'!B:B, B344, '03_BOC_TACH_VAN'!K:K)</f>
        <v/>
      </c>
      <c r="K344" s="390">
        <f>SUM(H344:J344)</f>
        <v/>
      </c>
      <c r="L344" s="390">
        <f>K344*0.25</f>
        <v/>
      </c>
      <c r="M344" s="390">
        <f>K344*0.10</f>
        <v/>
      </c>
      <c r="N344" s="390">
        <f>K344+L344+M344</f>
        <v/>
      </c>
      <c r="O344" s="390">
        <f>IF(G344&gt;0, N344/G344, 0)</f>
        <v/>
      </c>
      <c r="P344" s="391" t="n">
        <v>0.18</v>
      </c>
      <c r="Q344" s="390">
        <f>O344*(1+P344)</f>
        <v/>
      </c>
      <c r="R344" s="390">
        <f>G344*Q344</f>
        <v/>
      </c>
      <c r="S344" t="inlineStr"/>
    </row>
    <row r="345">
      <c r="A345" t="n">
        <v>344</v>
      </c>
      <c r="B345" t="inlineStr">
        <is>
          <t>SW-DIFF-344</t>
        </is>
      </c>
      <c r="C345" t="inlineStr">
        <is>
          <t>CỬA GIÓ</t>
        </is>
      </c>
      <c r="D345" t="inlineStr">
        <is>
          <t>Hệ thống hút gió thải, hút gió bếp Louver 1000x300 + IS</t>
        </is>
      </c>
      <c r="E345" t="inlineStr">
        <is>
          <t>1000x300</t>
        </is>
      </c>
      <c r="F345" t="inlineStr">
        <is>
          <t>cáI</t>
        </is>
      </c>
      <c r="G345" s="390" t="n">
        <v>1</v>
      </c>
      <c r="H345" s="390">
        <f>SUMIF('01_BOC_TACH_ONG'!B:B, B345, '01_BOC_TACH_ONG'!K:K)</f>
        <v/>
      </c>
      <c r="I345" s="390">
        <f>SUMIF('02_BOC_TACH_CUA'!B:B, B345, '02_BOC_TACH_CUA'!K:K)</f>
        <v/>
      </c>
      <c r="J345" s="390">
        <f>SUMIF('03_BOC_TACH_VAN'!B:B, B345, '03_BOC_TACH_VAN'!K:K)</f>
        <v/>
      </c>
      <c r="K345" s="390">
        <f>SUM(H345:J345)</f>
        <v/>
      </c>
      <c r="L345" s="390">
        <f>K345*0.25</f>
        <v/>
      </c>
      <c r="M345" s="390">
        <f>K345*0.10</f>
        <v/>
      </c>
      <c r="N345" s="390">
        <f>K345+L345+M345</f>
        <v/>
      </c>
      <c r="O345" s="390">
        <f>IF(G345&gt;0, N345/G345, 0)</f>
        <v/>
      </c>
      <c r="P345" s="391" t="n">
        <v>0.18</v>
      </c>
      <c r="Q345" s="390">
        <f>O345*(1+P345)</f>
        <v/>
      </c>
      <c r="R345" s="390">
        <f>G345*Q345</f>
        <v/>
      </c>
      <c r="S345" t="inlineStr"/>
    </row>
    <row r="346">
      <c r="A346" t="n">
        <v>345</v>
      </c>
      <c r="B346" t="inlineStr">
        <is>
          <t>SW-DIFF-345</t>
        </is>
      </c>
      <c r="C346" t="inlineStr">
        <is>
          <t>CỬA GIÓ</t>
        </is>
      </c>
      <c r="D346" t="inlineStr">
        <is>
          <t>Hệ thống hút gió thải, hút gió bếp Louver 800x300 + IS</t>
        </is>
      </c>
      <c r="E346" t="inlineStr">
        <is>
          <t>800x300</t>
        </is>
      </c>
      <c r="F346" t="inlineStr">
        <is>
          <t>cáI</t>
        </is>
      </c>
      <c r="G346" s="390" t="n">
        <v>1</v>
      </c>
      <c r="H346" s="390">
        <f>SUMIF('01_BOC_TACH_ONG'!B:B, B346, '01_BOC_TACH_ONG'!K:K)</f>
        <v/>
      </c>
      <c r="I346" s="390">
        <f>SUMIF('02_BOC_TACH_CUA'!B:B, B346, '02_BOC_TACH_CUA'!K:K)</f>
        <v/>
      </c>
      <c r="J346" s="390">
        <f>SUMIF('03_BOC_TACH_VAN'!B:B, B346, '03_BOC_TACH_VAN'!K:K)</f>
        <v/>
      </c>
      <c r="K346" s="390">
        <f>SUM(H346:J346)</f>
        <v/>
      </c>
      <c r="L346" s="390">
        <f>K346*0.25</f>
        <v/>
      </c>
      <c r="M346" s="390">
        <f>K346*0.10</f>
        <v/>
      </c>
      <c r="N346" s="390">
        <f>K346+L346+M346</f>
        <v/>
      </c>
      <c r="O346" s="390">
        <f>IF(G346&gt;0, N346/G346, 0)</f>
        <v/>
      </c>
      <c r="P346" s="391" t="n">
        <v>0.18</v>
      </c>
      <c r="Q346" s="390">
        <f>O346*(1+P346)</f>
        <v/>
      </c>
      <c r="R346" s="390">
        <f>G346*Q346</f>
        <v/>
      </c>
      <c r="S346" t="inlineStr"/>
    </row>
    <row r="347">
      <c r="A347" t="n">
        <v>346</v>
      </c>
      <c r="B347" t="inlineStr">
        <is>
          <t>SW-DIFF-346</t>
        </is>
      </c>
      <c r="C347" t="inlineStr">
        <is>
          <t>CỬA GIÓ</t>
        </is>
      </c>
      <c r="D347" t="inlineStr">
        <is>
          <t>Hệ thống hút gió thải, hút gió bếp Louver 400x200 + IS</t>
        </is>
      </c>
      <c r="E347" t="inlineStr">
        <is>
          <t>400x200</t>
        </is>
      </c>
      <c r="F347" t="inlineStr">
        <is>
          <t>cáI</t>
        </is>
      </c>
      <c r="G347" s="390" t="n">
        <v>1</v>
      </c>
      <c r="H347" s="390">
        <f>SUMIF('01_BOC_TACH_ONG'!B:B, B347, '01_BOC_TACH_ONG'!K:K)</f>
        <v/>
      </c>
      <c r="I347" s="390">
        <f>SUMIF('02_BOC_TACH_CUA'!B:B, B347, '02_BOC_TACH_CUA'!K:K)</f>
        <v/>
      </c>
      <c r="J347" s="390">
        <f>SUMIF('03_BOC_TACH_VAN'!B:B, B347, '03_BOC_TACH_VAN'!K:K)</f>
        <v/>
      </c>
      <c r="K347" s="390">
        <f>SUM(H347:J347)</f>
        <v/>
      </c>
      <c r="L347" s="390">
        <f>K347*0.25</f>
        <v/>
      </c>
      <c r="M347" s="390">
        <f>K347*0.10</f>
        <v/>
      </c>
      <c r="N347" s="390">
        <f>K347+L347+M347</f>
        <v/>
      </c>
      <c r="O347" s="390">
        <f>IF(G347&gt;0, N347/G347, 0)</f>
        <v/>
      </c>
      <c r="P347" s="391" t="n">
        <v>0.18</v>
      </c>
      <c r="Q347" s="390">
        <f>O347*(1+P347)</f>
        <v/>
      </c>
      <c r="R347" s="390">
        <f>G347*Q347</f>
        <v/>
      </c>
      <c r="S347" t="inlineStr"/>
    </row>
    <row r="348">
      <c r="A348" t="n">
        <v>347</v>
      </c>
      <c r="B348" t="inlineStr">
        <is>
          <t>SW-DIFF-347</t>
        </is>
      </c>
      <c r="C348" t="inlineStr">
        <is>
          <t>CỬA GIÓ</t>
        </is>
      </c>
      <c r="D348" t="inlineStr">
        <is>
          <t>Hệ thống hút gió thải, hút gió bếp Louver 300x200 + IS</t>
        </is>
      </c>
      <c r="E348" t="inlineStr">
        <is>
          <t>300x200</t>
        </is>
      </c>
      <c r="F348" t="inlineStr">
        <is>
          <t>cáI</t>
        </is>
      </c>
      <c r="G348" s="390" t="n">
        <v>2</v>
      </c>
      <c r="H348" s="390">
        <f>SUMIF('01_BOC_TACH_ONG'!B:B, B348, '01_BOC_TACH_ONG'!K:K)</f>
        <v/>
      </c>
      <c r="I348" s="390">
        <f>SUMIF('02_BOC_TACH_CUA'!B:B, B348, '02_BOC_TACH_CUA'!K:K)</f>
        <v/>
      </c>
      <c r="J348" s="390">
        <f>SUMIF('03_BOC_TACH_VAN'!B:B, B348, '03_BOC_TACH_VAN'!K:K)</f>
        <v/>
      </c>
      <c r="K348" s="390">
        <f>SUM(H348:J348)</f>
        <v/>
      </c>
      <c r="L348" s="390">
        <f>K348*0.25</f>
        <v/>
      </c>
      <c r="M348" s="390">
        <f>K348*0.10</f>
        <v/>
      </c>
      <c r="N348" s="390">
        <f>K348+L348+M348</f>
        <v/>
      </c>
      <c r="O348" s="390">
        <f>IF(G348&gt;0, N348/G348, 0)</f>
        <v/>
      </c>
      <c r="P348" s="391" t="n">
        <v>0.18</v>
      </c>
      <c r="Q348" s="390">
        <f>O348*(1+P348)</f>
        <v/>
      </c>
      <c r="R348" s="390">
        <f>G348*Q348</f>
        <v/>
      </c>
      <c r="S348" t="inlineStr"/>
    </row>
    <row r="349">
      <c r="A349" t="n">
        <v>348</v>
      </c>
      <c r="B349" t="inlineStr">
        <is>
          <t>SW-DIFF-348</t>
        </is>
      </c>
      <c r="C349" t="inlineStr">
        <is>
          <t>CỬA GIÓ</t>
        </is>
      </c>
      <c r="D349" t="inlineStr">
        <is>
          <t>Hệ thống hút gió thải, hút gió bếp Louver 1200x650 + IS</t>
        </is>
      </c>
      <c r="E349" t="inlineStr">
        <is>
          <t>1200x650</t>
        </is>
      </c>
      <c r="F349" t="inlineStr">
        <is>
          <t>cáI</t>
        </is>
      </c>
      <c r="G349" s="390" t="n">
        <v>2</v>
      </c>
      <c r="H349" s="390">
        <f>SUMIF('01_BOC_TACH_ONG'!B:B, B349, '01_BOC_TACH_ONG'!K:K)</f>
        <v/>
      </c>
      <c r="I349" s="390">
        <f>SUMIF('02_BOC_TACH_CUA'!B:B, B349, '02_BOC_TACH_CUA'!K:K)</f>
        <v/>
      </c>
      <c r="J349" s="390">
        <f>SUMIF('03_BOC_TACH_VAN'!B:B, B349, '03_BOC_TACH_VAN'!K:K)</f>
        <v/>
      </c>
      <c r="K349" s="390">
        <f>SUM(H349:J349)</f>
        <v/>
      </c>
      <c r="L349" s="390">
        <f>K349*0.25</f>
        <v/>
      </c>
      <c r="M349" s="390">
        <f>K349*0.10</f>
        <v/>
      </c>
      <c r="N349" s="390">
        <f>K349+L349+M349</f>
        <v/>
      </c>
      <c r="O349" s="390">
        <f>IF(G349&gt;0, N349/G349, 0)</f>
        <v/>
      </c>
      <c r="P349" s="391" t="n">
        <v>0.18</v>
      </c>
      <c r="Q349" s="390">
        <f>O349*(1+P349)</f>
        <v/>
      </c>
      <c r="R349" s="390">
        <f>G349*Q349</f>
        <v/>
      </c>
      <c r="S349" t="inlineStr"/>
    </row>
    <row r="350">
      <c r="A350" t="n">
        <v>349</v>
      </c>
      <c r="B350" t="inlineStr">
        <is>
          <t>SW-DUCT-349</t>
        </is>
      </c>
      <c r="C350" t="inlineStr">
        <is>
          <t>ỐNG GIÓ</t>
        </is>
      </c>
      <c r="D350" t="inlineStr">
        <is>
          <t>Hệ thống ống thông gió hút gió thải Tole 0.58mm phủ lớp mạ kẽm Z180</t>
        </is>
      </c>
      <c r="E350" t="inlineStr">
        <is>
          <t>0.58mm</t>
        </is>
      </c>
      <c r="F350" t="inlineStr">
        <is>
          <t>m2</t>
        </is>
      </c>
      <c r="G350" s="390" t="n">
        <v>3490.998</v>
      </c>
      <c r="H350" s="390">
        <f>SUMIF('01_BOC_TACH_ONG'!B:B, B350, '01_BOC_TACH_ONG'!K:K)</f>
        <v/>
      </c>
      <c r="I350" s="390">
        <f>SUMIF('02_BOC_TACH_CUA'!B:B, B350, '02_BOC_TACH_CUA'!K:K)</f>
        <v/>
      </c>
      <c r="J350" s="390">
        <f>SUMIF('03_BOC_TACH_VAN'!B:B, B350, '03_BOC_TACH_VAN'!K:K)</f>
        <v/>
      </c>
      <c r="K350" s="390">
        <f>SUM(H350:J350)</f>
        <v/>
      </c>
      <c r="L350" s="390">
        <f>K350*0.25</f>
        <v/>
      </c>
      <c r="M350" s="390">
        <f>K350*0.10</f>
        <v/>
      </c>
      <c r="N350" s="390">
        <f>K350+L350+M350</f>
        <v/>
      </c>
      <c r="O350" s="390">
        <f>IF(G350&gt;0, N350/G350, 0)</f>
        <v/>
      </c>
      <c r="P350" s="391" t="n">
        <v>0.18</v>
      </c>
      <c r="Q350" s="390">
        <f>O350*(1+P350)</f>
        <v/>
      </c>
      <c r="R350" s="390">
        <f>G350*Q350</f>
        <v/>
      </c>
      <c r="S350" t="inlineStr"/>
    </row>
    <row r="351">
      <c r="A351" t="n">
        <v>350</v>
      </c>
      <c r="B351" t="inlineStr">
        <is>
          <t>SW-DUCT-350</t>
        </is>
      </c>
      <c r="C351" t="inlineStr">
        <is>
          <t>ỐNG GIÓ</t>
        </is>
      </c>
      <c r="D351" t="inlineStr">
        <is>
          <t>Hệ thống ống thông gió hút gió thải Tole 0.75mm phủ lớp mạ kẽm Z180</t>
        </is>
      </c>
      <c r="E351" t="inlineStr">
        <is>
          <t>0.75mm</t>
        </is>
      </c>
      <c r="F351" t="inlineStr">
        <is>
          <t>m2</t>
        </is>
      </c>
      <c r="G351" s="390" t="n">
        <v>724.48</v>
      </c>
      <c r="H351" s="390">
        <f>SUMIF('01_BOC_TACH_ONG'!B:B, B351, '01_BOC_TACH_ONG'!K:K)</f>
        <v/>
      </c>
      <c r="I351" s="390">
        <f>SUMIF('02_BOC_TACH_CUA'!B:B, B351, '02_BOC_TACH_CUA'!K:K)</f>
        <v/>
      </c>
      <c r="J351" s="390">
        <f>SUMIF('03_BOC_TACH_VAN'!B:B, B351, '03_BOC_TACH_VAN'!K:K)</f>
        <v/>
      </c>
      <c r="K351" s="390">
        <f>SUM(H351:J351)</f>
        <v/>
      </c>
      <c r="L351" s="390">
        <f>K351*0.25</f>
        <v/>
      </c>
      <c r="M351" s="390">
        <f>K351*0.10</f>
        <v/>
      </c>
      <c r="N351" s="390">
        <f>K351+L351+M351</f>
        <v/>
      </c>
      <c r="O351" s="390">
        <f>IF(G351&gt;0, N351/G351, 0)</f>
        <v/>
      </c>
      <c r="P351" s="391" t="n">
        <v>0.18</v>
      </c>
      <c r="Q351" s="390">
        <f>O351*(1+P351)</f>
        <v/>
      </c>
      <c r="R351" s="390">
        <f>G351*Q351</f>
        <v/>
      </c>
      <c r="S351" t="inlineStr"/>
    </row>
    <row r="352">
      <c r="A352" t="n">
        <v>351</v>
      </c>
      <c r="B352" t="inlineStr">
        <is>
          <t>SW-DUCT-351</t>
        </is>
      </c>
      <c r="C352" t="inlineStr">
        <is>
          <t>ỐNG GIÓ</t>
        </is>
      </c>
      <c r="D352" t="inlineStr">
        <is>
          <t>Hệ thống ống thông gió hút gió thải Tole ZAM 0.58mm</t>
        </is>
      </c>
      <c r="E352" t="inlineStr">
        <is>
          <t>0.58mm</t>
        </is>
      </c>
      <c r="F352" t="inlineStr">
        <is>
          <t>m2</t>
        </is>
      </c>
      <c r="G352" s="390" t="n">
        <v>134</v>
      </c>
      <c r="H352" s="390">
        <f>SUMIF('01_BOC_TACH_ONG'!B:B, B352, '01_BOC_TACH_ONG'!K:K)</f>
        <v/>
      </c>
      <c r="I352" s="390">
        <f>SUMIF('02_BOC_TACH_CUA'!B:B, B352, '02_BOC_TACH_CUA'!K:K)</f>
        <v/>
      </c>
      <c r="J352" s="390">
        <f>SUMIF('03_BOC_TACH_VAN'!B:B, B352, '03_BOC_TACH_VAN'!K:K)</f>
        <v/>
      </c>
      <c r="K352" s="390">
        <f>SUM(H352:J352)</f>
        <v/>
      </c>
      <c r="L352" s="390">
        <f>K352*0.25</f>
        <v/>
      </c>
      <c r="M352" s="390">
        <f>K352*0.10</f>
        <v/>
      </c>
      <c r="N352" s="390">
        <f>K352+L352+M352</f>
        <v/>
      </c>
      <c r="O352" s="390">
        <f>IF(G352&gt;0, N352/G352, 0)</f>
        <v/>
      </c>
      <c r="P352" s="391" t="n">
        <v>0.18</v>
      </c>
      <c r="Q352" s="390">
        <f>O352*(1+P352)</f>
        <v/>
      </c>
      <c r="R352" s="390">
        <f>G352*Q352</f>
        <v/>
      </c>
      <c r="S352" t="inlineStr"/>
    </row>
    <row r="353">
      <c r="A353" t="n">
        <v>352</v>
      </c>
      <c r="B353" t="inlineStr">
        <is>
          <t>SW-FLEX-352</t>
        </is>
      </c>
      <c r="C353" t="inlineStr">
        <is>
          <t>ỐNG GIÓ MỀM</t>
        </is>
      </c>
      <c r="D353" t="inlineStr">
        <is>
          <t>Hệ thống ống thông gió hút gió thải Ống gió mềm D100 không cách nhiệt</t>
        </is>
      </c>
      <c r="E353" t="inlineStr">
        <is>
          <t>-</t>
        </is>
      </c>
      <c r="F353" t="inlineStr">
        <is>
          <t>m</t>
        </is>
      </c>
      <c r="G353" s="390" t="n">
        <v>42.5</v>
      </c>
      <c r="H353" s="390">
        <f>SUMIF('01_BOC_TACH_ONG'!B:B, B353, '01_BOC_TACH_ONG'!K:K)</f>
        <v/>
      </c>
      <c r="I353" s="390">
        <f>SUMIF('02_BOC_TACH_CUA'!B:B, B353, '02_BOC_TACH_CUA'!K:K)</f>
        <v/>
      </c>
      <c r="J353" s="390">
        <f>SUMIF('03_BOC_TACH_VAN'!B:B, B353, '03_BOC_TACH_VAN'!K:K)</f>
        <v/>
      </c>
      <c r="K353" s="390">
        <f>SUM(H353:J353)</f>
        <v/>
      </c>
      <c r="L353" s="390">
        <f>K353*0.00</f>
        <v/>
      </c>
      <c r="M353" s="390">
        <f>K353*0.02</f>
        <v/>
      </c>
      <c r="N353" s="390">
        <f>K353+L353+M353</f>
        <v/>
      </c>
      <c r="O353" s="390">
        <f>IF(G353&gt;0, N353/G353, 0)</f>
        <v/>
      </c>
      <c r="P353" s="391" t="n">
        <v>0.1</v>
      </c>
      <c r="Q353" s="390">
        <f>O353*(1+P353)</f>
        <v/>
      </c>
      <c r="R353" s="390">
        <f>G353*Q353</f>
        <v/>
      </c>
      <c r="S353" t="inlineStr">
        <is>
          <t>Ống mềm</t>
        </is>
      </c>
    </row>
    <row r="354">
      <c r="A354" t="n">
        <v>353</v>
      </c>
      <c r="B354" t="inlineStr">
        <is>
          <t>SW-FLEX-353</t>
        </is>
      </c>
      <c r="C354" t="inlineStr">
        <is>
          <t>ỐNG GIÓ MỀM</t>
        </is>
      </c>
      <c r="D354" t="inlineStr">
        <is>
          <t>Hệ thống ống thông gió hút gió thải Ống gió mềm D150 không cách nhiệt</t>
        </is>
      </c>
      <c r="E354" t="inlineStr">
        <is>
          <t>-</t>
        </is>
      </c>
      <c r="F354" t="inlineStr">
        <is>
          <t>m</t>
        </is>
      </c>
      <c r="G354" s="390" t="n">
        <v>150</v>
      </c>
      <c r="H354" s="390">
        <f>SUMIF('01_BOC_TACH_ONG'!B:B, B354, '01_BOC_TACH_ONG'!K:K)</f>
        <v/>
      </c>
      <c r="I354" s="390">
        <f>SUMIF('02_BOC_TACH_CUA'!B:B, B354, '02_BOC_TACH_CUA'!K:K)</f>
        <v/>
      </c>
      <c r="J354" s="390">
        <f>SUMIF('03_BOC_TACH_VAN'!B:B, B354, '03_BOC_TACH_VAN'!K:K)</f>
        <v/>
      </c>
      <c r="K354" s="390">
        <f>SUM(H354:J354)</f>
        <v/>
      </c>
      <c r="L354" s="390">
        <f>K354*0.00</f>
        <v/>
      </c>
      <c r="M354" s="390">
        <f>K354*0.02</f>
        <v/>
      </c>
      <c r="N354" s="390">
        <f>K354+L354+M354</f>
        <v/>
      </c>
      <c r="O354" s="390">
        <f>IF(G354&gt;0, N354/G354, 0)</f>
        <v/>
      </c>
      <c r="P354" s="391" t="n">
        <v>0.1</v>
      </c>
      <c r="Q354" s="390">
        <f>O354*(1+P354)</f>
        <v/>
      </c>
      <c r="R354" s="390">
        <f>G354*Q354</f>
        <v/>
      </c>
      <c r="S354" t="inlineStr">
        <is>
          <t>Ống mềm</t>
        </is>
      </c>
    </row>
    <row r="355">
      <c r="A355" t="n">
        <v>354</v>
      </c>
      <c r="B355" t="inlineStr">
        <is>
          <t>SW-TRD-354</t>
        </is>
      </c>
      <c r="C355" t="inlineStr">
        <is>
          <t>THƯƠNG MẠI</t>
        </is>
      </c>
      <c r="D355" t="inlineStr">
        <is>
          <t>Ống gió mềm D200 không cách nhiệt Vật tư phụ, phụ kiện</t>
        </is>
      </c>
      <c r="E355" t="inlineStr">
        <is>
          <t>-</t>
        </is>
      </c>
      <c r="F355" t="inlineStr">
        <is>
          <t>Lô</t>
        </is>
      </c>
      <c r="G355" s="390" t="n">
        <v>1</v>
      </c>
      <c r="H355" s="390">
        <f>SUMIF('01_BOC_TACH_ONG'!B:B, B355, '01_BOC_TACH_ONG'!K:K)</f>
        <v/>
      </c>
      <c r="I355" s="390">
        <f>SUMIF('02_BOC_TACH_CUA'!B:B, B355, '02_BOC_TACH_CUA'!K:K)</f>
        <v/>
      </c>
      <c r="J355" s="390">
        <f>SUMIF('03_BOC_TACH_VAN'!B:B, B355, '03_BOC_TACH_VAN'!K:K)</f>
        <v/>
      </c>
      <c r="K355" s="390">
        <f>SUM(H355:J355)</f>
        <v/>
      </c>
      <c r="L355" s="390">
        <f>K355*0.00</f>
        <v/>
      </c>
      <c r="M355" s="390">
        <f>K355*0.02</f>
        <v/>
      </c>
      <c r="N355" s="390">
        <f>K355+L355+M355</f>
        <v/>
      </c>
      <c r="O355" s="390">
        <f>IF(G355&gt;0, N355/G355, 0)</f>
        <v/>
      </c>
      <c r="P355" s="391" t="n">
        <v>0.1</v>
      </c>
      <c r="Q355" s="390">
        <f>O355*(1+P355)</f>
        <v/>
      </c>
      <c r="R355" s="390">
        <f>G355*Q355</f>
        <v/>
      </c>
      <c r="S355" t="inlineStr">
        <is>
          <t>Hàng thương mại</t>
        </is>
      </c>
    </row>
    <row r="356">
      <c r="A356" t="n">
        <v>355</v>
      </c>
      <c r="B356" t="inlineStr">
        <is>
          <t>SW-DUCT-355</t>
        </is>
      </c>
      <c r="C356" t="inlineStr">
        <is>
          <t>ỐNG GIÓ</t>
        </is>
      </c>
      <c r="D356" t="inlineStr">
        <is>
          <t>Hệ thống ống thông gió hút bếp Tole 0.58mm phủ lớp mạ kẽm Z180</t>
        </is>
      </c>
      <c r="E356" t="inlineStr">
        <is>
          <t>0.58mm</t>
        </is>
      </c>
      <c r="F356" t="inlineStr">
        <is>
          <t>m2</t>
        </is>
      </c>
      <c r="G356" s="390" t="n">
        <v>1630.01</v>
      </c>
      <c r="H356" s="390">
        <f>SUMIF('01_BOC_TACH_ONG'!B:B, B356, '01_BOC_TACH_ONG'!K:K)</f>
        <v/>
      </c>
      <c r="I356" s="390">
        <f>SUMIF('02_BOC_TACH_CUA'!B:B, B356, '02_BOC_TACH_CUA'!K:K)</f>
        <v/>
      </c>
      <c r="J356" s="390">
        <f>SUMIF('03_BOC_TACH_VAN'!B:B, B356, '03_BOC_TACH_VAN'!K:K)</f>
        <v/>
      </c>
      <c r="K356" s="390">
        <f>SUM(H356:J356)</f>
        <v/>
      </c>
      <c r="L356" s="390">
        <f>K356*0.25</f>
        <v/>
      </c>
      <c r="M356" s="390">
        <f>K356*0.10</f>
        <v/>
      </c>
      <c r="N356" s="390">
        <f>K356+L356+M356</f>
        <v/>
      </c>
      <c r="O356" s="390">
        <f>IF(G356&gt;0, N356/G356, 0)</f>
        <v/>
      </c>
      <c r="P356" s="391" t="n">
        <v>0.18</v>
      </c>
      <c r="Q356" s="390">
        <f>O356*(1+P356)</f>
        <v/>
      </c>
      <c r="R356" s="390">
        <f>G356*Q356</f>
        <v/>
      </c>
      <c r="S356" t="inlineStr"/>
    </row>
    <row r="357">
      <c r="A357" t="n">
        <v>356</v>
      </c>
      <c r="B357" t="inlineStr">
        <is>
          <t>SW-DUCT-356</t>
        </is>
      </c>
      <c r="C357" t="inlineStr">
        <is>
          <t>ỐNG GIÓ</t>
        </is>
      </c>
      <c r="D357" t="inlineStr">
        <is>
          <t>Hệ thống ống thông gió hút bếp Tole 0.75mm phủ lớp mạ kẽm Z180</t>
        </is>
      </c>
      <c r="E357" t="inlineStr">
        <is>
          <t>0.75mm</t>
        </is>
      </c>
      <c r="F357" t="inlineStr">
        <is>
          <t>m2</t>
        </is>
      </c>
      <c r="G357" s="390" t="n">
        <v>153.35</v>
      </c>
      <c r="H357" s="390">
        <f>SUMIF('01_BOC_TACH_ONG'!B:B, B357, '01_BOC_TACH_ONG'!K:K)</f>
        <v/>
      </c>
      <c r="I357" s="390">
        <f>SUMIF('02_BOC_TACH_CUA'!B:B, B357, '02_BOC_TACH_CUA'!K:K)</f>
        <v/>
      </c>
      <c r="J357" s="390">
        <f>SUMIF('03_BOC_TACH_VAN'!B:B, B357, '03_BOC_TACH_VAN'!K:K)</f>
        <v/>
      </c>
      <c r="K357" s="390">
        <f>SUM(H357:J357)</f>
        <v/>
      </c>
      <c r="L357" s="390">
        <f>K357*0.25</f>
        <v/>
      </c>
      <c r="M357" s="390">
        <f>K357*0.10</f>
        <v/>
      </c>
      <c r="N357" s="390">
        <f>K357+L357+M357</f>
        <v/>
      </c>
      <c r="O357" s="390">
        <f>IF(G357&gt;0, N357/G357, 0)</f>
        <v/>
      </c>
      <c r="P357" s="391" t="n">
        <v>0.18</v>
      </c>
      <c r="Q357" s="390">
        <f>O357*(1+P357)</f>
        <v/>
      </c>
      <c r="R357" s="390">
        <f>G357*Q357</f>
        <v/>
      </c>
      <c r="S357" t="inlineStr"/>
    </row>
    <row r="358">
      <c r="A358" t="n">
        <v>357</v>
      </c>
      <c r="B358" t="inlineStr">
        <is>
          <t>SW-DUCT-357</t>
        </is>
      </c>
      <c r="C358" t="inlineStr">
        <is>
          <t>ỐNG GIÓ</t>
        </is>
      </c>
      <c r="D358" t="inlineStr">
        <is>
          <t>Hệ thống ống thông gió hút bếp Tole 0.95mm phủ lớp mạ kẽm Z180</t>
        </is>
      </c>
      <c r="E358" t="inlineStr">
        <is>
          <t>0.95mm</t>
        </is>
      </c>
      <c r="F358" t="inlineStr">
        <is>
          <t>m2</t>
        </is>
      </c>
      <c r="G358" s="390" t="n">
        <v>200</v>
      </c>
      <c r="H358" s="390">
        <f>SUMIF('01_BOC_TACH_ONG'!B:B, B358, '01_BOC_TACH_ONG'!K:K)</f>
        <v/>
      </c>
      <c r="I358" s="390">
        <f>SUMIF('02_BOC_TACH_CUA'!B:B, B358, '02_BOC_TACH_CUA'!K:K)</f>
        <v/>
      </c>
      <c r="J358" s="390">
        <f>SUMIF('03_BOC_TACH_VAN'!B:B, B358, '03_BOC_TACH_VAN'!K:K)</f>
        <v/>
      </c>
      <c r="K358" s="390">
        <f>SUM(H358:J358)</f>
        <v/>
      </c>
      <c r="L358" s="390">
        <f>K358*0.25</f>
        <v/>
      </c>
      <c r="M358" s="390">
        <f>K358*0.10</f>
        <v/>
      </c>
      <c r="N358" s="390">
        <f>K358+L358+M358</f>
        <v/>
      </c>
      <c r="O358" s="390">
        <f>IF(G358&gt;0, N358/G358, 0)</f>
        <v/>
      </c>
      <c r="P358" s="391" t="n">
        <v>0.18</v>
      </c>
      <c r="Q358" s="390">
        <f>O358*(1+P358)</f>
        <v/>
      </c>
      <c r="R358" s="390">
        <f>G358*Q358</f>
        <v/>
      </c>
      <c r="S358" t="inlineStr"/>
    </row>
    <row r="359">
      <c r="A359" t="n">
        <v>358</v>
      </c>
      <c r="B359" t="inlineStr">
        <is>
          <t>SW-DUCT-358</t>
        </is>
      </c>
      <c r="C359" t="inlineStr">
        <is>
          <t>ỐNG GIÓ</t>
        </is>
      </c>
      <c r="D359" t="inlineStr">
        <is>
          <t>Hệ thống ống thông gió hút bếp Tole ZAM 0.75mm</t>
        </is>
      </c>
      <c r="E359" t="inlineStr">
        <is>
          <t>0.75mm</t>
        </is>
      </c>
      <c r="F359" t="inlineStr">
        <is>
          <t>m2</t>
        </is>
      </c>
      <c r="G359" s="390" t="n">
        <v>133</v>
      </c>
      <c r="H359" s="390">
        <f>SUMIF('01_BOC_TACH_ONG'!B:B, B359, '01_BOC_TACH_ONG'!K:K)</f>
        <v/>
      </c>
      <c r="I359" s="390">
        <f>SUMIF('02_BOC_TACH_CUA'!B:B, B359, '02_BOC_TACH_CUA'!K:K)</f>
        <v/>
      </c>
      <c r="J359" s="390">
        <f>SUMIF('03_BOC_TACH_VAN'!B:B, B359, '03_BOC_TACH_VAN'!K:K)</f>
        <v/>
      </c>
      <c r="K359" s="390">
        <f>SUM(H359:J359)</f>
        <v/>
      </c>
      <c r="L359" s="390">
        <f>K359*0.25</f>
        <v/>
      </c>
      <c r="M359" s="390">
        <f>K359*0.10</f>
        <v/>
      </c>
      <c r="N359" s="390">
        <f>K359+L359+M359</f>
        <v/>
      </c>
      <c r="O359" s="390">
        <f>IF(G359&gt;0, N359/G359, 0)</f>
        <v/>
      </c>
      <c r="P359" s="391" t="n">
        <v>0.18</v>
      </c>
      <c r="Q359" s="390">
        <f>O359*(1+P359)</f>
        <v/>
      </c>
      <c r="R359" s="390">
        <f>G359*Q359</f>
        <v/>
      </c>
      <c r="S359" t="inlineStr"/>
    </row>
    <row r="360">
      <c r="A360" t="n">
        <v>359</v>
      </c>
      <c r="B360" t="inlineStr">
        <is>
          <t>SW-TRD-359</t>
        </is>
      </c>
      <c r="C360" t="inlineStr">
        <is>
          <t>THƯƠNG MẠI</t>
        </is>
      </c>
      <c r="D360" t="inlineStr">
        <is>
          <t>Hệ thống ống thông gió hút bếp Vật tư phụ, phụ kiện</t>
        </is>
      </c>
      <c r="E360" t="inlineStr">
        <is>
          <t>-</t>
        </is>
      </c>
      <c r="F360" t="inlineStr">
        <is>
          <t>Lô</t>
        </is>
      </c>
      <c r="G360" s="390" t="n">
        <v>1</v>
      </c>
      <c r="H360" s="390">
        <f>SUMIF('01_BOC_TACH_ONG'!B:B, B360, '01_BOC_TACH_ONG'!K:K)</f>
        <v/>
      </c>
      <c r="I360" s="390">
        <f>SUMIF('02_BOC_TACH_CUA'!B:B, B360, '02_BOC_TACH_CUA'!K:K)</f>
        <v/>
      </c>
      <c r="J360" s="390">
        <f>SUMIF('03_BOC_TACH_VAN'!B:B, B360, '03_BOC_TACH_VAN'!K:K)</f>
        <v/>
      </c>
      <c r="K360" s="390">
        <f>SUM(H360:J360)</f>
        <v/>
      </c>
      <c r="L360" s="390">
        <f>K360*0.00</f>
        <v/>
      </c>
      <c r="M360" s="390">
        <f>K360*0.02</f>
        <v/>
      </c>
      <c r="N360" s="390">
        <f>K360+L360+M360</f>
        <v/>
      </c>
      <c r="O360" s="390">
        <f>IF(G360&gt;0, N360/G360, 0)</f>
        <v/>
      </c>
      <c r="P360" s="391" t="n">
        <v>0.1</v>
      </c>
      <c r="Q360" s="390">
        <f>O360*(1+P360)</f>
        <v/>
      </c>
      <c r="R360" s="390">
        <f>G360*Q360</f>
        <v/>
      </c>
      <c r="S360" t="inlineStr">
        <is>
          <t>Hàng thương mại</t>
        </is>
      </c>
    </row>
    <row r="361">
      <c r="A361" t="n">
        <v>360</v>
      </c>
      <c r="B361" t="inlineStr">
        <is>
          <t>SW-TRD-360</t>
        </is>
      </c>
      <c r="C361" t="inlineStr">
        <is>
          <t>THƯƠNG MẠI</t>
        </is>
      </c>
      <c r="D361" t="inlineStr">
        <is>
          <t>Phần chung Cảm biến chất lượng không khí (CO)</t>
        </is>
      </c>
      <c r="E361" t="inlineStr">
        <is>
          <t>-</t>
        </is>
      </c>
      <c r="F361" t="inlineStr">
        <is>
          <t>Cái</t>
        </is>
      </c>
      <c r="G361" s="390" t="n">
        <v>27</v>
      </c>
      <c r="H361" s="390">
        <f>SUMIF('01_BOC_TACH_ONG'!B:B, B361, '01_BOC_TACH_ONG'!K:K)</f>
        <v/>
      </c>
      <c r="I361" s="390">
        <f>SUMIF('02_BOC_TACH_CUA'!B:B, B361, '02_BOC_TACH_CUA'!K:K)</f>
        <v/>
      </c>
      <c r="J361" s="390">
        <f>SUMIF('03_BOC_TACH_VAN'!B:B, B361, '03_BOC_TACH_VAN'!K:K)</f>
        <v/>
      </c>
      <c r="K361" s="390">
        <f>SUM(H361:J361)</f>
        <v/>
      </c>
      <c r="L361" s="390">
        <f>K361*0.00</f>
        <v/>
      </c>
      <c r="M361" s="390">
        <f>K361*0.02</f>
        <v/>
      </c>
      <c r="N361" s="390">
        <f>K361+L361+M361</f>
        <v/>
      </c>
      <c r="O361" s="390">
        <f>IF(G361&gt;0, N361/G361, 0)</f>
        <v/>
      </c>
      <c r="P361" s="391" t="n">
        <v>0.1</v>
      </c>
      <c r="Q361" s="390">
        <f>O361*(1+P361)</f>
        <v/>
      </c>
      <c r="R361" s="390">
        <f>G361*Q361</f>
        <v/>
      </c>
      <c r="S361" t="inlineStr">
        <is>
          <t>Hàng thương mại</t>
        </is>
      </c>
    </row>
    <row r="362">
      <c r="A362" t="n">
        <v>361</v>
      </c>
      <c r="B362" t="inlineStr">
        <is>
          <t>SW-TRD-361</t>
        </is>
      </c>
      <c r="C362" t="inlineStr">
        <is>
          <t>THƯƠNG MẠI</t>
        </is>
      </c>
      <c r="D362" t="inlineStr">
        <is>
          <t>Phần chung Cảm biến chênh áp</t>
        </is>
      </c>
      <c r="E362" t="inlineStr">
        <is>
          <t>-</t>
        </is>
      </c>
      <c r="F362" t="inlineStr">
        <is>
          <t>Cái</t>
        </is>
      </c>
      <c r="G362" s="390" t="n">
        <v>65</v>
      </c>
      <c r="H362" s="390">
        <f>SUMIF('01_BOC_TACH_ONG'!B:B, B362, '01_BOC_TACH_ONG'!K:K)</f>
        <v/>
      </c>
      <c r="I362" s="390">
        <f>SUMIF('02_BOC_TACH_CUA'!B:B, B362, '02_BOC_TACH_CUA'!K:K)</f>
        <v/>
      </c>
      <c r="J362" s="390">
        <f>SUMIF('03_BOC_TACH_VAN'!B:B, B362, '03_BOC_TACH_VAN'!K:K)</f>
        <v/>
      </c>
      <c r="K362" s="390">
        <f>SUM(H362:J362)</f>
        <v/>
      </c>
      <c r="L362" s="390">
        <f>K362*0.00</f>
        <v/>
      </c>
      <c r="M362" s="390">
        <f>K362*0.02</f>
        <v/>
      </c>
      <c r="N362" s="390">
        <f>K362+L362+M362</f>
        <v/>
      </c>
      <c r="O362" s="390">
        <f>IF(G362&gt;0, N362/G362, 0)</f>
        <v/>
      </c>
      <c r="P362" s="391" t="n">
        <v>0.1</v>
      </c>
      <c r="Q362" s="390">
        <f>O362*(1+P362)</f>
        <v/>
      </c>
      <c r="R362" s="390">
        <f>G362*Q362</f>
        <v/>
      </c>
      <c r="S362" t="inlineStr">
        <is>
          <t>Hàng thương mại</t>
        </is>
      </c>
    </row>
    <row r="363">
      <c r="A363" t="n">
        <v>362</v>
      </c>
      <c r="B363" t="inlineStr">
        <is>
          <t>SW-TRD-362</t>
        </is>
      </c>
      <c r="C363" t="inlineStr">
        <is>
          <t>THƯƠNG MẠI</t>
        </is>
      </c>
      <c r="D363" t="inlineStr">
        <is>
          <t>Phần chung Cảm biến khói</t>
        </is>
      </c>
      <c r="E363" t="inlineStr">
        <is>
          <t>-</t>
        </is>
      </c>
      <c r="F363" t="inlineStr">
        <is>
          <t>Cái</t>
        </is>
      </c>
      <c r="G363" s="390" t="n">
        <v>48</v>
      </c>
      <c r="H363" s="390">
        <f>SUMIF('01_BOC_TACH_ONG'!B:B, B363, '01_BOC_TACH_ONG'!K:K)</f>
        <v/>
      </c>
      <c r="I363" s="390">
        <f>SUMIF('02_BOC_TACH_CUA'!B:B, B363, '02_BOC_TACH_CUA'!K:K)</f>
        <v/>
      </c>
      <c r="J363" s="390">
        <f>SUMIF('03_BOC_TACH_VAN'!B:B, B363, '03_BOC_TACH_VAN'!K:K)</f>
        <v/>
      </c>
      <c r="K363" s="390">
        <f>SUM(H363:J363)</f>
        <v/>
      </c>
      <c r="L363" s="390">
        <f>K363*0.00</f>
        <v/>
      </c>
      <c r="M363" s="390">
        <f>K363*0.02</f>
        <v/>
      </c>
      <c r="N363" s="390">
        <f>K363+L363+M363</f>
        <v/>
      </c>
      <c r="O363" s="390">
        <f>IF(G363&gt;0, N363/G363, 0)</f>
        <v/>
      </c>
      <c r="P363" s="391" t="n">
        <v>0.1</v>
      </c>
      <c r="Q363" s="390">
        <f>O363*(1+P363)</f>
        <v/>
      </c>
      <c r="R363" s="390">
        <f>G363*Q363</f>
        <v/>
      </c>
      <c r="S363" t="inlineStr">
        <is>
          <t>Hàng thương mại</t>
        </is>
      </c>
    </row>
    <row r="364">
      <c r="A364" t="n">
        <v>363</v>
      </c>
      <c r="B364" t="inlineStr">
        <is>
          <t>SW-TRD-363</t>
        </is>
      </c>
      <c r="C364" t="inlineStr">
        <is>
          <t>THƯƠNG MẠI</t>
        </is>
      </c>
      <c r="D364" t="inlineStr">
        <is>
          <t>Phần chung Cảm biến nhiệt</t>
        </is>
      </c>
      <c r="E364" t="inlineStr">
        <is>
          <t>-</t>
        </is>
      </c>
      <c r="F364" t="inlineStr">
        <is>
          <t>Cái</t>
        </is>
      </c>
      <c r="G364" s="390" t="n">
        <v>2</v>
      </c>
      <c r="H364" s="390">
        <f>SUMIF('01_BOC_TACH_ONG'!B:B, B364, '01_BOC_TACH_ONG'!K:K)</f>
        <v/>
      </c>
      <c r="I364" s="390">
        <f>SUMIF('02_BOC_TACH_CUA'!B:B, B364, '02_BOC_TACH_CUA'!K:K)</f>
        <v/>
      </c>
      <c r="J364" s="390">
        <f>SUMIF('03_BOC_TACH_VAN'!B:B, B364, '03_BOC_TACH_VAN'!K:K)</f>
        <v/>
      </c>
      <c r="K364" s="390">
        <f>SUM(H364:J364)</f>
        <v/>
      </c>
      <c r="L364" s="390">
        <f>K364*0.00</f>
        <v/>
      </c>
      <c r="M364" s="390">
        <f>K364*0.02</f>
        <v/>
      </c>
      <c r="N364" s="390">
        <f>K364+L364+M364</f>
        <v/>
      </c>
      <c r="O364" s="390">
        <f>IF(G364&gt;0, N364/G364, 0)</f>
        <v/>
      </c>
      <c r="P364" s="391" t="n">
        <v>0.1</v>
      </c>
      <c r="Q364" s="390">
        <f>O364*(1+P364)</f>
        <v/>
      </c>
      <c r="R364" s="390">
        <f>G364*Q364</f>
        <v/>
      </c>
      <c r="S364" t="inlineStr">
        <is>
          <t>Hàng thương mại</t>
        </is>
      </c>
    </row>
    <row r="365">
      <c r="A365" t="n">
        <v>364</v>
      </c>
      <c r="B365" t="inlineStr">
        <is>
          <t>SW-TRD-364</t>
        </is>
      </c>
      <c r="C365" t="inlineStr">
        <is>
          <t>THƯƠNG MẠI</t>
        </is>
      </c>
      <c r="D365" t="inlineStr">
        <is>
          <t>Phần chung Vật tư phụ, phụ kiện</t>
        </is>
      </c>
      <c r="E365" t="inlineStr">
        <is>
          <t>-</t>
        </is>
      </c>
      <c r="F365" t="inlineStr">
        <is>
          <t>Lô</t>
        </is>
      </c>
      <c r="G365" s="390" t="n">
        <v>1</v>
      </c>
      <c r="H365" s="390">
        <f>SUMIF('01_BOC_TACH_ONG'!B:B, B365, '01_BOC_TACH_ONG'!K:K)</f>
        <v/>
      </c>
      <c r="I365" s="390">
        <f>SUMIF('02_BOC_TACH_CUA'!B:B, B365, '02_BOC_TACH_CUA'!K:K)</f>
        <v/>
      </c>
      <c r="J365" s="390">
        <f>SUMIF('03_BOC_TACH_VAN'!B:B, B365, '03_BOC_TACH_VAN'!K:K)</f>
        <v/>
      </c>
      <c r="K365" s="390">
        <f>SUM(H365:J365)</f>
        <v/>
      </c>
      <c r="L365" s="390">
        <f>K365*0.00</f>
        <v/>
      </c>
      <c r="M365" s="390">
        <f>K365*0.02</f>
        <v/>
      </c>
      <c r="N365" s="390">
        <f>K365+L365+M365</f>
        <v/>
      </c>
      <c r="O365" s="390">
        <f>IF(G365&gt;0, N365/G365, 0)</f>
        <v/>
      </c>
      <c r="P365" s="391" t="n">
        <v>0.1</v>
      </c>
      <c r="Q365" s="390">
        <f>O365*(1+P365)</f>
        <v/>
      </c>
      <c r="R365" s="390">
        <f>G365*Q365</f>
        <v/>
      </c>
      <c r="S365" t="inlineStr">
        <is>
          <t>Hàng thương mại</t>
        </is>
      </c>
    </row>
    <row r="366">
      <c r="A366" t="n">
        <v>365</v>
      </c>
      <c r="B366" t="inlineStr">
        <is>
          <t>SW-TRD-365</t>
        </is>
      </c>
      <c r="C366" t="inlineStr">
        <is>
          <t>THƯƠNG MẠI</t>
        </is>
      </c>
      <c r="D366" t="inlineStr">
        <is>
          <t>DÀN NÓNG ODU-A1.1-CR 14kW</t>
        </is>
      </c>
      <c r="E366" t="inlineStr">
        <is>
          <t>-</t>
        </is>
      </c>
      <c r="F366" t="inlineStr">
        <is>
          <t>Bộ</t>
        </is>
      </c>
      <c r="G366" s="390" t="n">
        <v>1</v>
      </c>
      <c r="H366" s="390">
        <f>SUMIF('01_BOC_TACH_ONG'!B:B, B366, '01_BOC_TACH_ONG'!K:K)</f>
        <v/>
      </c>
      <c r="I366" s="390">
        <f>SUMIF('02_BOC_TACH_CUA'!B:B, B366, '02_BOC_TACH_CUA'!K:K)</f>
        <v/>
      </c>
      <c r="J366" s="390">
        <f>SUMIF('03_BOC_TACH_VAN'!B:B, B366, '03_BOC_TACH_VAN'!K:K)</f>
        <v/>
      </c>
      <c r="K366" s="390">
        <f>SUM(H366:J366)</f>
        <v/>
      </c>
      <c r="L366" s="390">
        <f>K366*0.00</f>
        <v/>
      </c>
      <c r="M366" s="390">
        <f>K366*0.02</f>
        <v/>
      </c>
      <c r="N366" s="390">
        <f>K366+L366+M366</f>
        <v/>
      </c>
      <c r="O366" s="390">
        <f>IF(G366&gt;0, N366/G366, 0)</f>
        <v/>
      </c>
      <c r="P366" s="391" t="n">
        <v>0.1</v>
      </c>
      <c r="Q366" s="390">
        <f>O366*(1+P366)</f>
        <v/>
      </c>
      <c r="R366" s="390">
        <f>G366*Q366</f>
        <v/>
      </c>
      <c r="S366" t="inlineStr">
        <is>
          <t>Hàng thương mại</t>
        </is>
      </c>
    </row>
    <row r="367">
      <c r="A367" t="n">
        <v>366</v>
      </c>
      <c r="B367" t="inlineStr">
        <is>
          <t>SW-TRD-366</t>
        </is>
      </c>
      <c r="C367" t="inlineStr">
        <is>
          <t>THƯƠNG MẠI</t>
        </is>
      </c>
      <c r="D367" t="inlineStr">
        <is>
          <t>DÀN NÓNG ODU-A1.1-0101 33.5kW</t>
        </is>
      </c>
      <c r="E367" t="inlineStr">
        <is>
          <t>-</t>
        </is>
      </c>
      <c r="F367" t="inlineStr">
        <is>
          <t>Bộ</t>
        </is>
      </c>
      <c r="G367" s="390" t="n">
        <v>1</v>
      </c>
      <c r="H367" s="390">
        <f>SUMIF('01_BOC_TACH_ONG'!B:B, B367, '01_BOC_TACH_ONG'!K:K)</f>
        <v/>
      </c>
      <c r="I367" s="390">
        <f>SUMIF('02_BOC_TACH_CUA'!B:B, B367, '02_BOC_TACH_CUA'!K:K)</f>
        <v/>
      </c>
      <c r="J367" s="390">
        <f>SUMIF('03_BOC_TACH_VAN'!B:B, B367, '03_BOC_TACH_VAN'!K:K)</f>
        <v/>
      </c>
      <c r="K367" s="390">
        <f>SUM(H367:J367)</f>
        <v/>
      </c>
      <c r="L367" s="390">
        <f>K367*0.00</f>
        <v/>
      </c>
      <c r="M367" s="390">
        <f>K367*0.02</f>
        <v/>
      </c>
      <c r="N367" s="390">
        <f>K367+L367+M367</f>
        <v/>
      </c>
      <c r="O367" s="390">
        <f>IF(G367&gt;0, N367/G367, 0)</f>
        <v/>
      </c>
      <c r="P367" s="391" t="n">
        <v>0.1</v>
      </c>
      <c r="Q367" s="390">
        <f>O367*(1+P367)</f>
        <v/>
      </c>
      <c r="R367" s="390">
        <f>G367*Q367</f>
        <v/>
      </c>
      <c r="S367" t="inlineStr">
        <is>
          <t>Hàng thương mại</t>
        </is>
      </c>
    </row>
    <row r="368">
      <c r="A368" t="n">
        <v>367</v>
      </c>
      <c r="B368" t="inlineStr">
        <is>
          <t>SW-TRD-367</t>
        </is>
      </c>
      <c r="C368" t="inlineStr">
        <is>
          <t>THƯƠNG MẠI</t>
        </is>
      </c>
      <c r="D368" t="inlineStr">
        <is>
          <t>DÀN NÓNG ODU-A1.1-0102 22.4kW</t>
        </is>
      </c>
      <c r="E368" t="inlineStr">
        <is>
          <t>-</t>
        </is>
      </c>
      <c r="F368" t="inlineStr">
        <is>
          <t>Bộ</t>
        </is>
      </c>
      <c r="G368" s="390" t="n">
        <v>1</v>
      </c>
      <c r="H368" s="390">
        <f>SUMIF('01_BOC_TACH_ONG'!B:B, B368, '01_BOC_TACH_ONG'!K:K)</f>
        <v/>
      </c>
      <c r="I368" s="390">
        <f>SUMIF('02_BOC_TACH_CUA'!B:B, B368, '02_BOC_TACH_CUA'!K:K)</f>
        <v/>
      </c>
      <c r="J368" s="390">
        <f>SUMIF('03_BOC_TACH_VAN'!B:B, B368, '03_BOC_TACH_VAN'!K:K)</f>
        <v/>
      </c>
      <c r="K368" s="390">
        <f>SUM(H368:J368)</f>
        <v/>
      </c>
      <c r="L368" s="390">
        <f>K368*0.00</f>
        <v/>
      </c>
      <c r="M368" s="390">
        <f>K368*0.02</f>
        <v/>
      </c>
      <c r="N368" s="390">
        <f>K368+L368+M368</f>
        <v/>
      </c>
      <c r="O368" s="390">
        <f>IF(G368&gt;0, N368/G368, 0)</f>
        <v/>
      </c>
      <c r="P368" s="391" t="n">
        <v>0.1</v>
      </c>
      <c r="Q368" s="390">
        <f>O368*(1+P368)</f>
        <v/>
      </c>
      <c r="R368" s="390">
        <f>G368*Q368</f>
        <v/>
      </c>
      <c r="S368" t="inlineStr">
        <is>
          <t>Hàng thương mại</t>
        </is>
      </c>
    </row>
    <row r="369">
      <c r="A369" t="n">
        <v>368</v>
      </c>
      <c r="B369" t="inlineStr">
        <is>
          <t>SW-TRD-368</t>
        </is>
      </c>
      <c r="C369" t="inlineStr">
        <is>
          <t>THƯƠNG MẠI</t>
        </is>
      </c>
      <c r="D369" t="inlineStr">
        <is>
          <t>DÀN NÓNG ODU-A1.1-0103 50kW</t>
        </is>
      </c>
      <c r="E369" t="inlineStr">
        <is>
          <t>-</t>
        </is>
      </c>
      <c r="F369" t="inlineStr">
        <is>
          <t>Bộ</t>
        </is>
      </c>
      <c r="G369" s="390" t="n">
        <v>1</v>
      </c>
      <c r="H369" s="390">
        <f>SUMIF('01_BOC_TACH_ONG'!B:B, B369, '01_BOC_TACH_ONG'!K:K)</f>
        <v/>
      </c>
      <c r="I369" s="390">
        <f>SUMIF('02_BOC_TACH_CUA'!B:B, B369, '02_BOC_TACH_CUA'!K:K)</f>
        <v/>
      </c>
      <c r="J369" s="390">
        <f>SUMIF('03_BOC_TACH_VAN'!B:B, B369, '03_BOC_TACH_VAN'!K:K)</f>
        <v/>
      </c>
      <c r="K369" s="390">
        <f>SUM(H369:J369)</f>
        <v/>
      </c>
      <c r="L369" s="390">
        <f>K369*0.00</f>
        <v/>
      </c>
      <c r="M369" s="390">
        <f>K369*0.02</f>
        <v/>
      </c>
      <c r="N369" s="390">
        <f>K369+L369+M369</f>
        <v/>
      </c>
      <c r="O369" s="390">
        <f>IF(G369&gt;0, N369/G369, 0)</f>
        <v/>
      </c>
      <c r="P369" s="391" t="n">
        <v>0.1</v>
      </c>
      <c r="Q369" s="390">
        <f>O369*(1+P369)</f>
        <v/>
      </c>
      <c r="R369" s="390">
        <f>G369*Q369</f>
        <v/>
      </c>
      <c r="S369" t="inlineStr">
        <is>
          <t>Hàng thương mại</t>
        </is>
      </c>
    </row>
    <row r="370">
      <c r="A370" t="n">
        <v>369</v>
      </c>
      <c r="B370" t="inlineStr">
        <is>
          <t>SW-TRD-369</t>
        </is>
      </c>
      <c r="C370" t="inlineStr">
        <is>
          <t>THƯƠNG MẠI</t>
        </is>
      </c>
      <c r="D370" t="inlineStr">
        <is>
          <t>DÀN NÓNG ODU-A1.1-0201 33.5kW</t>
        </is>
      </c>
      <c r="E370" t="inlineStr">
        <is>
          <t>-</t>
        </is>
      </c>
      <c r="F370" t="inlineStr">
        <is>
          <t>Bộ</t>
        </is>
      </c>
      <c r="G370" s="390" t="n">
        <v>1</v>
      </c>
      <c r="H370" s="390">
        <f>SUMIF('01_BOC_TACH_ONG'!B:B, B370, '01_BOC_TACH_ONG'!K:K)</f>
        <v/>
      </c>
      <c r="I370" s="390">
        <f>SUMIF('02_BOC_TACH_CUA'!B:B, B370, '02_BOC_TACH_CUA'!K:K)</f>
        <v/>
      </c>
      <c r="J370" s="390">
        <f>SUMIF('03_BOC_TACH_VAN'!B:B, B370, '03_BOC_TACH_VAN'!K:K)</f>
        <v/>
      </c>
      <c r="K370" s="390">
        <f>SUM(H370:J370)</f>
        <v/>
      </c>
      <c r="L370" s="390">
        <f>K370*0.00</f>
        <v/>
      </c>
      <c r="M370" s="390">
        <f>K370*0.02</f>
        <v/>
      </c>
      <c r="N370" s="390">
        <f>K370+L370+M370</f>
        <v/>
      </c>
      <c r="O370" s="390">
        <f>IF(G370&gt;0, N370/G370, 0)</f>
        <v/>
      </c>
      <c r="P370" s="391" t="n">
        <v>0.1</v>
      </c>
      <c r="Q370" s="390">
        <f>O370*(1+P370)</f>
        <v/>
      </c>
      <c r="R370" s="390">
        <f>G370*Q370</f>
        <v/>
      </c>
      <c r="S370" t="inlineStr">
        <is>
          <t>Hàng thương mại</t>
        </is>
      </c>
    </row>
    <row r="371">
      <c r="A371" t="n">
        <v>370</v>
      </c>
      <c r="B371" t="inlineStr">
        <is>
          <t>SW-TRD-370</t>
        </is>
      </c>
      <c r="C371" t="inlineStr">
        <is>
          <t>THƯƠNG MẠI</t>
        </is>
      </c>
      <c r="D371" t="inlineStr">
        <is>
          <t>DÀN NÓNG ODU-A1.1-0202 28kW</t>
        </is>
      </c>
      <c r="E371" t="inlineStr">
        <is>
          <t>-</t>
        </is>
      </c>
      <c r="F371" t="inlineStr">
        <is>
          <t>Bộ</t>
        </is>
      </c>
      <c r="G371" s="390" t="n">
        <v>1</v>
      </c>
      <c r="H371" s="390">
        <f>SUMIF('01_BOC_TACH_ONG'!B:B, B371, '01_BOC_TACH_ONG'!K:K)</f>
        <v/>
      </c>
      <c r="I371" s="390">
        <f>SUMIF('02_BOC_TACH_CUA'!B:B, B371, '02_BOC_TACH_CUA'!K:K)</f>
        <v/>
      </c>
      <c r="J371" s="390">
        <f>SUMIF('03_BOC_TACH_VAN'!B:B, B371, '03_BOC_TACH_VAN'!K:K)</f>
        <v/>
      </c>
      <c r="K371" s="390">
        <f>SUM(H371:J371)</f>
        <v/>
      </c>
      <c r="L371" s="390">
        <f>K371*0.00</f>
        <v/>
      </c>
      <c r="M371" s="390">
        <f>K371*0.02</f>
        <v/>
      </c>
      <c r="N371" s="390">
        <f>K371+L371+M371</f>
        <v/>
      </c>
      <c r="O371" s="390">
        <f>IF(G371&gt;0, N371/G371, 0)</f>
        <v/>
      </c>
      <c r="P371" s="391" t="n">
        <v>0.1</v>
      </c>
      <c r="Q371" s="390">
        <f>O371*(1+P371)</f>
        <v/>
      </c>
      <c r="R371" s="390">
        <f>G371*Q371</f>
        <v/>
      </c>
      <c r="S371" t="inlineStr">
        <is>
          <t>Hàng thương mại</t>
        </is>
      </c>
    </row>
    <row r="372">
      <c r="A372" t="n">
        <v>371</v>
      </c>
      <c r="B372" t="inlineStr">
        <is>
          <t>SW-TRD-371</t>
        </is>
      </c>
      <c r="C372" t="inlineStr">
        <is>
          <t>THƯƠNG MẠI</t>
        </is>
      </c>
      <c r="D372" t="inlineStr">
        <is>
          <t>DÀN NÓNG ODU-A1.1-0203 28kW</t>
        </is>
      </c>
      <c r="E372" t="inlineStr">
        <is>
          <t>-</t>
        </is>
      </c>
      <c r="F372" t="inlineStr">
        <is>
          <t>Bộ</t>
        </is>
      </c>
      <c r="G372" s="390" t="n">
        <v>1</v>
      </c>
      <c r="H372" s="390">
        <f>SUMIF('01_BOC_TACH_ONG'!B:B, B372, '01_BOC_TACH_ONG'!K:K)</f>
        <v/>
      </c>
      <c r="I372" s="390">
        <f>SUMIF('02_BOC_TACH_CUA'!B:B, B372, '02_BOC_TACH_CUA'!K:K)</f>
        <v/>
      </c>
      <c r="J372" s="390">
        <f>SUMIF('03_BOC_TACH_VAN'!B:B, B372, '03_BOC_TACH_VAN'!K:K)</f>
        <v/>
      </c>
      <c r="K372" s="390">
        <f>SUM(H372:J372)</f>
        <v/>
      </c>
      <c r="L372" s="390">
        <f>K372*0.00</f>
        <v/>
      </c>
      <c r="M372" s="390">
        <f>K372*0.02</f>
        <v/>
      </c>
      <c r="N372" s="390">
        <f>K372+L372+M372</f>
        <v/>
      </c>
      <c r="O372" s="390">
        <f>IF(G372&gt;0, N372/G372, 0)</f>
        <v/>
      </c>
      <c r="P372" s="391" t="n">
        <v>0.1</v>
      </c>
      <c r="Q372" s="390">
        <f>O372*(1+P372)</f>
        <v/>
      </c>
      <c r="R372" s="390">
        <f>G372*Q372</f>
        <v/>
      </c>
      <c r="S372" t="inlineStr">
        <is>
          <t>Hàng thương mại</t>
        </is>
      </c>
    </row>
    <row r="373">
      <c r="A373" t="n">
        <v>372</v>
      </c>
      <c r="B373" t="inlineStr">
        <is>
          <t>SW-TRD-372</t>
        </is>
      </c>
      <c r="C373" t="inlineStr">
        <is>
          <t>THƯƠNG MẠI</t>
        </is>
      </c>
      <c r="D373" t="inlineStr">
        <is>
          <t>DÀN NÓNG ODU-A1.1-0205A 22.4kW</t>
        </is>
      </c>
      <c r="E373" t="inlineStr">
        <is>
          <t>-</t>
        </is>
      </c>
      <c r="F373" t="inlineStr">
        <is>
          <t>Bộ</t>
        </is>
      </c>
      <c r="G373" s="390" t="n">
        <v>1</v>
      </c>
      <c r="H373" s="390">
        <f>SUMIF('01_BOC_TACH_ONG'!B:B, B373, '01_BOC_TACH_ONG'!K:K)</f>
        <v/>
      </c>
      <c r="I373" s="390">
        <f>SUMIF('02_BOC_TACH_CUA'!B:B, B373, '02_BOC_TACH_CUA'!K:K)</f>
        <v/>
      </c>
      <c r="J373" s="390">
        <f>SUMIF('03_BOC_TACH_VAN'!B:B, B373, '03_BOC_TACH_VAN'!K:K)</f>
        <v/>
      </c>
      <c r="K373" s="390">
        <f>SUM(H373:J373)</f>
        <v/>
      </c>
      <c r="L373" s="390">
        <f>K373*0.00</f>
        <v/>
      </c>
      <c r="M373" s="390">
        <f>K373*0.02</f>
        <v/>
      </c>
      <c r="N373" s="390">
        <f>K373+L373+M373</f>
        <v/>
      </c>
      <c r="O373" s="390">
        <f>IF(G373&gt;0, N373/G373, 0)</f>
        <v/>
      </c>
      <c r="P373" s="391" t="n">
        <v>0.1</v>
      </c>
      <c r="Q373" s="390">
        <f>O373*(1+P373)</f>
        <v/>
      </c>
      <c r="R373" s="390">
        <f>G373*Q373</f>
        <v/>
      </c>
      <c r="S373" t="inlineStr">
        <is>
          <t>Hàng thương mại</t>
        </is>
      </c>
    </row>
    <row r="374">
      <c r="A374" t="n">
        <v>373</v>
      </c>
      <c r="B374" t="inlineStr">
        <is>
          <t>SW-TRD-373</t>
        </is>
      </c>
      <c r="C374" t="inlineStr">
        <is>
          <t>THƯƠNG MẠI</t>
        </is>
      </c>
      <c r="D374" t="inlineStr">
        <is>
          <t>DÀN NÓNG ODU-A1.2-0105A2 28kW</t>
        </is>
      </c>
      <c r="E374" t="inlineStr">
        <is>
          <t>-</t>
        </is>
      </c>
      <c r="F374" t="inlineStr">
        <is>
          <t>Bộ</t>
        </is>
      </c>
      <c r="G374" s="390" t="n">
        <v>1</v>
      </c>
      <c r="H374" s="390">
        <f>SUMIF('01_BOC_TACH_ONG'!B:B, B374, '01_BOC_TACH_ONG'!K:K)</f>
        <v/>
      </c>
      <c r="I374" s="390">
        <f>SUMIF('02_BOC_TACH_CUA'!B:B, B374, '02_BOC_TACH_CUA'!K:K)</f>
        <v/>
      </c>
      <c r="J374" s="390">
        <f>SUMIF('03_BOC_TACH_VAN'!B:B, B374, '03_BOC_TACH_VAN'!K:K)</f>
        <v/>
      </c>
      <c r="K374" s="390">
        <f>SUM(H374:J374)</f>
        <v/>
      </c>
      <c r="L374" s="390">
        <f>K374*0.00</f>
        <v/>
      </c>
      <c r="M374" s="390">
        <f>K374*0.02</f>
        <v/>
      </c>
      <c r="N374" s="390">
        <f>K374+L374+M374</f>
        <v/>
      </c>
      <c r="O374" s="390">
        <f>IF(G374&gt;0, N374/G374, 0)</f>
        <v/>
      </c>
      <c r="P374" s="391" t="n">
        <v>0.1</v>
      </c>
      <c r="Q374" s="390">
        <f>O374*(1+P374)</f>
        <v/>
      </c>
      <c r="R374" s="390">
        <f>G374*Q374</f>
        <v/>
      </c>
      <c r="S374" t="inlineStr">
        <is>
          <t>Hàng thương mại</t>
        </is>
      </c>
    </row>
    <row r="375">
      <c r="A375" t="n">
        <v>374</v>
      </c>
      <c r="B375" t="inlineStr">
        <is>
          <t>SW-TRD-374</t>
        </is>
      </c>
      <c r="C375" t="inlineStr">
        <is>
          <t>THƯƠNG MẠI</t>
        </is>
      </c>
      <c r="D375" t="inlineStr">
        <is>
          <t>DÀN NÓNG ODU-A1.2-0105 50kW</t>
        </is>
      </c>
      <c r="E375" t="inlineStr">
        <is>
          <t>-</t>
        </is>
      </c>
      <c r="F375" t="inlineStr">
        <is>
          <t>Bộ</t>
        </is>
      </c>
      <c r="G375" s="390" t="n">
        <v>1</v>
      </c>
      <c r="H375" s="390">
        <f>SUMIF('01_BOC_TACH_ONG'!B:B, B375, '01_BOC_TACH_ONG'!K:K)</f>
        <v/>
      </c>
      <c r="I375" s="390">
        <f>SUMIF('02_BOC_TACH_CUA'!B:B, B375, '02_BOC_TACH_CUA'!K:K)</f>
        <v/>
      </c>
      <c r="J375" s="390">
        <f>SUMIF('03_BOC_TACH_VAN'!B:B, B375, '03_BOC_TACH_VAN'!K:K)</f>
        <v/>
      </c>
      <c r="K375" s="390">
        <f>SUM(H375:J375)</f>
        <v/>
      </c>
      <c r="L375" s="390">
        <f>K375*0.00</f>
        <v/>
      </c>
      <c r="M375" s="390">
        <f>K375*0.02</f>
        <v/>
      </c>
      <c r="N375" s="390">
        <f>K375+L375+M375</f>
        <v/>
      </c>
      <c r="O375" s="390">
        <f>IF(G375&gt;0, N375/G375, 0)</f>
        <v/>
      </c>
      <c r="P375" s="391" t="n">
        <v>0.1</v>
      </c>
      <c r="Q375" s="390">
        <f>O375*(1+P375)</f>
        <v/>
      </c>
      <c r="R375" s="390">
        <f>G375*Q375</f>
        <v/>
      </c>
      <c r="S375" t="inlineStr">
        <is>
          <t>Hàng thương mại</t>
        </is>
      </c>
    </row>
    <row r="376">
      <c r="A376" t="n">
        <v>375</v>
      </c>
      <c r="B376" t="inlineStr">
        <is>
          <t>SW-TRD-375</t>
        </is>
      </c>
      <c r="C376" t="inlineStr">
        <is>
          <t>THƯƠNG MẠI</t>
        </is>
      </c>
      <c r="D376" t="inlineStr">
        <is>
          <t>DÀN NÓNG ODU-A1.1-0206 14kW</t>
        </is>
      </c>
      <c r="E376" t="inlineStr">
        <is>
          <t>-</t>
        </is>
      </c>
      <c r="F376" t="inlineStr">
        <is>
          <t>Bộ</t>
        </is>
      </c>
      <c r="G376" s="390" t="n">
        <v>1</v>
      </c>
      <c r="H376" s="390">
        <f>SUMIF('01_BOC_TACH_ONG'!B:B, B376, '01_BOC_TACH_ONG'!K:K)</f>
        <v/>
      </c>
      <c r="I376" s="390">
        <f>SUMIF('02_BOC_TACH_CUA'!B:B, B376, '02_BOC_TACH_CUA'!K:K)</f>
        <v/>
      </c>
      <c r="J376" s="390">
        <f>SUMIF('03_BOC_TACH_VAN'!B:B, B376, '03_BOC_TACH_VAN'!K:K)</f>
        <v/>
      </c>
      <c r="K376" s="390">
        <f>SUM(H376:J376)</f>
        <v/>
      </c>
      <c r="L376" s="390">
        <f>K376*0.00</f>
        <v/>
      </c>
      <c r="M376" s="390">
        <f>K376*0.02</f>
        <v/>
      </c>
      <c r="N376" s="390">
        <f>K376+L376+M376</f>
        <v/>
      </c>
      <c r="O376" s="390">
        <f>IF(G376&gt;0, N376/G376, 0)</f>
        <v/>
      </c>
      <c r="P376" s="391" t="n">
        <v>0.1</v>
      </c>
      <c r="Q376" s="390">
        <f>O376*(1+P376)</f>
        <v/>
      </c>
      <c r="R376" s="390">
        <f>G376*Q376</f>
        <v/>
      </c>
      <c r="S376" t="inlineStr">
        <is>
          <t>Hàng thương mại</t>
        </is>
      </c>
    </row>
    <row r="377">
      <c r="A377" t="n">
        <v>376</v>
      </c>
      <c r="B377" t="inlineStr">
        <is>
          <t>SW-TRD-376</t>
        </is>
      </c>
      <c r="C377" t="inlineStr">
        <is>
          <t>THƯƠNG MẠI</t>
        </is>
      </c>
      <c r="D377" t="inlineStr">
        <is>
          <t>DÀN NÓNG ODU-A1.1-0208A 11.2kW</t>
        </is>
      </c>
      <c r="E377" t="inlineStr">
        <is>
          <t>-</t>
        </is>
      </c>
      <c r="F377" t="inlineStr">
        <is>
          <t>Bộ</t>
        </is>
      </c>
      <c r="G377" s="390" t="n">
        <v>1</v>
      </c>
      <c r="H377" s="390">
        <f>SUMIF('01_BOC_TACH_ONG'!B:B, B377, '01_BOC_TACH_ONG'!K:K)</f>
        <v/>
      </c>
      <c r="I377" s="390">
        <f>SUMIF('02_BOC_TACH_CUA'!B:B, B377, '02_BOC_TACH_CUA'!K:K)</f>
        <v/>
      </c>
      <c r="J377" s="390">
        <f>SUMIF('03_BOC_TACH_VAN'!B:B, B377, '03_BOC_TACH_VAN'!K:K)</f>
        <v/>
      </c>
      <c r="K377" s="390">
        <f>SUM(H377:J377)</f>
        <v/>
      </c>
      <c r="L377" s="390">
        <f>K377*0.00</f>
        <v/>
      </c>
      <c r="M377" s="390">
        <f>K377*0.02</f>
        <v/>
      </c>
      <c r="N377" s="390">
        <f>K377+L377+M377</f>
        <v/>
      </c>
      <c r="O377" s="390">
        <f>IF(G377&gt;0, N377/G377, 0)</f>
        <v/>
      </c>
      <c r="P377" s="391" t="n">
        <v>0.1</v>
      </c>
      <c r="Q377" s="390">
        <f>O377*(1+P377)</f>
        <v/>
      </c>
      <c r="R377" s="390">
        <f>G377*Q377</f>
        <v/>
      </c>
      <c r="S377" t="inlineStr">
        <is>
          <t>Hàng thương mại</t>
        </is>
      </c>
    </row>
    <row r="378">
      <c r="A378" t="n">
        <v>377</v>
      </c>
      <c r="B378" t="inlineStr">
        <is>
          <t>SW-TRD-377</t>
        </is>
      </c>
      <c r="C378" t="inlineStr">
        <is>
          <t>THƯƠNG MẠI</t>
        </is>
      </c>
      <c r="D378" t="inlineStr">
        <is>
          <t>DÀN NÓNG ODU-A1.1-0208 11.2kW</t>
        </is>
      </c>
      <c r="E378" t="inlineStr">
        <is>
          <t>-</t>
        </is>
      </c>
      <c r="F378" t="inlineStr">
        <is>
          <t>Bộ</t>
        </is>
      </c>
      <c r="G378" s="390" t="n">
        <v>1</v>
      </c>
      <c r="H378" s="390">
        <f>SUMIF('01_BOC_TACH_ONG'!B:B, B378, '01_BOC_TACH_ONG'!K:K)</f>
        <v/>
      </c>
      <c r="I378" s="390">
        <f>SUMIF('02_BOC_TACH_CUA'!B:B, B378, '02_BOC_TACH_CUA'!K:K)</f>
        <v/>
      </c>
      <c r="J378" s="390">
        <f>SUMIF('03_BOC_TACH_VAN'!B:B, B378, '03_BOC_TACH_VAN'!K:K)</f>
        <v/>
      </c>
      <c r="K378" s="390">
        <f>SUM(H378:J378)</f>
        <v/>
      </c>
      <c r="L378" s="390">
        <f>K378*0.00</f>
        <v/>
      </c>
      <c r="M378" s="390">
        <f>K378*0.02</f>
        <v/>
      </c>
      <c r="N378" s="390">
        <f>K378+L378+M378</f>
        <v/>
      </c>
      <c r="O378" s="390">
        <f>IF(G378&gt;0, N378/G378, 0)</f>
        <v/>
      </c>
      <c r="P378" s="391" t="n">
        <v>0.1</v>
      </c>
      <c r="Q378" s="390">
        <f>O378*(1+P378)</f>
        <v/>
      </c>
      <c r="R378" s="390">
        <f>G378*Q378</f>
        <v/>
      </c>
      <c r="S378" t="inlineStr">
        <is>
          <t>Hàng thương mại</t>
        </is>
      </c>
    </row>
    <row r="379">
      <c r="A379" t="n">
        <v>378</v>
      </c>
      <c r="B379" t="inlineStr">
        <is>
          <t>SW-TRD-378</t>
        </is>
      </c>
      <c r="C379" t="inlineStr">
        <is>
          <t>THƯƠNG MẠI</t>
        </is>
      </c>
      <c r="D379" t="inlineStr">
        <is>
          <t>DÀN NÓNG ODU-A1.1-0209 16kW</t>
        </is>
      </c>
      <c r="E379" t="inlineStr">
        <is>
          <t>-</t>
        </is>
      </c>
      <c r="F379" t="inlineStr">
        <is>
          <t>Bộ</t>
        </is>
      </c>
      <c r="G379" s="390" t="n">
        <v>1</v>
      </c>
      <c r="H379" s="390">
        <f>SUMIF('01_BOC_TACH_ONG'!B:B, B379, '01_BOC_TACH_ONG'!K:K)</f>
        <v/>
      </c>
      <c r="I379" s="390">
        <f>SUMIF('02_BOC_TACH_CUA'!B:B, B379, '02_BOC_TACH_CUA'!K:K)</f>
        <v/>
      </c>
      <c r="J379" s="390">
        <f>SUMIF('03_BOC_TACH_VAN'!B:B, B379, '03_BOC_TACH_VAN'!K:K)</f>
        <v/>
      </c>
      <c r="K379" s="390">
        <f>SUM(H379:J379)</f>
        <v/>
      </c>
      <c r="L379" s="390">
        <f>K379*0.00</f>
        <v/>
      </c>
      <c r="M379" s="390">
        <f>K379*0.02</f>
        <v/>
      </c>
      <c r="N379" s="390">
        <f>K379+L379+M379</f>
        <v/>
      </c>
      <c r="O379" s="390">
        <f>IF(G379&gt;0, N379/G379, 0)</f>
        <v/>
      </c>
      <c r="P379" s="391" t="n">
        <v>0.1</v>
      </c>
      <c r="Q379" s="390">
        <f>O379*(1+P379)</f>
        <v/>
      </c>
      <c r="R379" s="390">
        <f>G379*Q379</f>
        <v/>
      </c>
      <c r="S379" t="inlineStr">
        <is>
          <t>Hàng thương mại</t>
        </is>
      </c>
    </row>
    <row r="380">
      <c r="A380" t="n">
        <v>379</v>
      </c>
      <c r="B380" t="inlineStr">
        <is>
          <t>SW-TRD-379</t>
        </is>
      </c>
      <c r="C380" t="inlineStr">
        <is>
          <t>THƯƠNG MẠI</t>
        </is>
      </c>
      <c r="D380" t="inlineStr">
        <is>
          <t>DÀN NÓNG ODU-A1.2-CR 16kW</t>
        </is>
      </c>
      <c r="E380" t="inlineStr">
        <is>
          <t>-</t>
        </is>
      </c>
      <c r="F380" t="inlineStr">
        <is>
          <t>Bộ</t>
        </is>
      </c>
      <c r="G380" s="390" t="n">
        <v>1</v>
      </c>
      <c r="H380" s="390">
        <f>SUMIF('01_BOC_TACH_ONG'!B:B, B380, '01_BOC_TACH_ONG'!K:K)</f>
        <v/>
      </c>
      <c r="I380" s="390">
        <f>SUMIF('02_BOC_TACH_CUA'!B:B, B380, '02_BOC_TACH_CUA'!K:K)</f>
        <v/>
      </c>
      <c r="J380" s="390">
        <f>SUMIF('03_BOC_TACH_VAN'!B:B, B380, '03_BOC_TACH_VAN'!K:K)</f>
        <v/>
      </c>
      <c r="K380" s="390">
        <f>SUM(H380:J380)</f>
        <v/>
      </c>
      <c r="L380" s="390">
        <f>K380*0.00</f>
        <v/>
      </c>
      <c r="M380" s="390">
        <f>K380*0.02</f>
        <v/>
      </c>
      <c r="N380" s="390">
        <f>K380+L380+M380</f>
        <v/>
      </c>
      <c r="O380" s="390">
        <f>IF(G380&gt;0, N380/G380, 0)</f>
        <v/>
      </c>
      <c r="P380" s="391" t="n">
        <v>0.1</v>
      </c>
      <c r="Q380" s="390">
        <f>O380*(1+P380)</f>
        <v/>
      </c>
      <c r="R380" s="390">
        <f>G380*Q380</f>
        <v/>
      </c>
      <c r="S380" t="inlineStr">
        <is>
          <t>Hàng thương mại</t>
        </is>
      </c>
    </row>
    <row r="381">
      <c r="A381" t="n">
        <v>380</v>
      </c>
      <c r="B381" t="inlineStr">
        <is>
          <t>SW-TRD-380</t>
        </is>
      </c>
      <c r="C381" t="inlineStr">
        <is>
          <t>THƯƠNG MẠI</t>
        </is>
      </c>
      <c r="D381" t="inlineStr">
        <is>
          <t>DÀN NÓNG ODU-A1.2-0101 33.5kW</t>
        </is>
      </c>
      <c r="E381" t="inlineStr">
        <is>
          <t>-</t>
        </is>
      </c>
      <c r="F381" t="inlineStr">
        <is>
          <t>Bộ</t>
        </is>
      </c>
      <c r="G381" s="390" t="n">
        <v>1</v>
      </c>
      <c r="H381" s="390">
        <f>SUMIF('01_BOC_TACH_ONG'!B:B, B381, '01_BOC_TACH_ONG'!K:K)</f>
        <v/>
      </c>
      <c r="I381" s="390">
        <f>SUMIF('02_BOC_TACH_CUA'!B:B, B381, '02_BOC_TACH_CUA'!K:K)</f>
        <v/>
      </c>
      <c r="J381" s="390">
        <f>SUMIF('03_BOC_TACH_VAN'!B:B, B381, '03_BOC_TACH_VAN'!K:K)</f>
        <v/>
      </c>
      <c r="K381" s="390">
        <f>SUM(H381:J381)</f>
        <v/>
      </c>
      <c r="L381" s="390">
        <f>K381*0.00</f>
        <v/>
      </c>
      <c r="M381" s="390">
        <f>K381*0.02</f>
        <v/>
      </c>
      <c r="N381" s="390">
        <f>K381+L381+M381</f>
        <v/>
      </c>
      <c r="O381" s="390">
        <f>IF(G381&gt;0, N381/G381, 0)</f>
        <v/>
      </c>
      <c r="P381" s="391" t="n">
        <v>0.1</v>
      </c>
      <c r="Q381" s="390">
        <f>O381*(1+P381)</f>
        <v/>
      </c>
      <c r="R381" s="390">
        <f>G381*Q381</f>
        <v/>
      </c>
      <c r="S381" t="inlineStr">
        <is>
          <t>Hàng thương mại</t>
        </is>
      </c>
    </row>
    <row r="382">
      <c r="A382" t="n">
        <v>381</v>
      </c>
      <c r="B382" t="inlineStr">
        <is>
          <t>SW-TRD-381</t>
        </is>
      </c>
      <c r="C382" t="inlineStr">
        <is>
          <t>THƯƠNG MẠI</t>
        </is>
      </c>
      <c r="D382" t="inlineStr">
        <is>
          <t>DÀN NÓNG ODU-A1.2-0102 33.5kW</t>
        </is>
      </c>
      <c r="E382" t="inlineStr">
        <is>
          <t>-</t>
        </is>
      </c>
      <c r="F382" t="inlineStr">
        <is>
          <t>Bộ</t>
        </is>
      </c>
      <c r="G382" s="390" t="n">
        <v>1</v>
      </c>
      <c r="H382" s="390">
        <f>SUMIF('01_BOC_TACH_ONG'!B:B, B382, '01_BOC_TACH_ONG'!K:K)</f>
        <v/>
      </c>
      <c r="I382" s="390">
        <f>SUMIF('02_BOC_TACH_CUA'!B:B, B382, '02_BOC_TACH_CUA'!K:K)</f>
        <v/>
      </c>
      <c r="J382" s="390">
        <f>SUMIF('03_BOC_TACH_VAN'!B:B, B382, '03_BOC_TACH_VAN'!K:K)</f>
        <v/>
      </c>
      <c r="K382" s="390">
        <f>SUM(H382:J382)</f>
        <v/>
      </c>
      <c r="L382" s="390">
        <f>K382*0.00</f>
        <v/>
      </c>
      <c r="M382" s="390">
        <f>K382*0.02</f>
        <v/>
      </c>
      <c r="N382" s="390">
        <f>K382+L382+M382</f>
        <v/>
      </c>
      <c r="O382" s="390">
        <f>IF(G382&gt;0, N382/G382, 0)</f>
        <v/>
      </c>
      <c r="P382" s="391" t="n">
        <v>0.1</v>
      </c>
      <c r="Q382" s="390">
        <f>O382*(1+P382)</f>
        <v/>
      </c>
      <c r="R382" s="390">
        <f>G382*Q382</f>
        <v/>
      </c>
      <c r="S382" t="inlineStr">
        <is>
          <t>Hàng thương mại</t>
        </is>
      </c>
    </row>
    <row r="383">
      <c r="A383" t="n">
        <v>382</v>
      </c>
      <c r="B383" t="inlineStr">
        <is>
          <t>SW-TRD-382</t>
        </is>
      </c>
      <c r="C383" t="inlineStr">
        <is>
          <t>THƯƠNG MẠI</t>
        </is>
      </c>
      <c r="D383" t="inlineStr">
        <is>
          <t>DÀN NÓNG ODU-A1.2-0103 33.5kW</t>
        </is>
      </c>
      <c r="E383" t="inlineStr">
        <is>
          <t>-</t>
        </is>
      </c>
      <c r="F383" t="inlineStr">
        <is>
          <t>Bộ</t>
        </is>
      </c>
      <c r="G383" s="390" t="n">
        <v>1</v>
      </c>
      <c r="H383" s="390">
        <f>SUMIF('01_BOC_TACH_ONG'!B:B, B383, '01_BOC_TACH_ONG'!K:K)</f>
        <v/>
      </c>
      <c r="I383" s="390">
        <f>SUMIF('02_BOC_TACH_CUA'!B:B, B383, '02_BOC_TACH_CUA'!K:K)</f>
        <v/>
      </c>
      <c r="J383" s="390">
        <f>SUMIF('03_BOC_TACH_VAN'!B:B, B383, '03_BOC_TACH_VAN'!K:K)</f>
        <v/>
      </c>
      <c r="K383" s="390">
        <f>SUM(H383:J383)</f>
        <v/>
      </c>
      <c r="L383" s="390">
        <f>K383*0.00</f>
        <v/>
      </c>
      <c r="M383" s="390">
        <f>K383*0.02</f>
        <v/>
      </c>
      <c r="N383" s="390">
        <f>K383+L383+M383</f>
        <v/>
      </c>
      <c r="O383" s="390">
        <f>IF(G383&gt;0, N383/G383, 0)</f>
        <v/>
      </c>
      <c r="P383" s="391" t="n">
        <v>0.1</v>
      </c>
      <c r="Q383" s="390">
        <f>O383*(1+P383)</f>
        <v/>
      </c>
      <c r="R383" s="390">
        <f>G383*Q383</f>
        <v/>
      </c>
      <c r="S383" t="inlineStr">
        <is>
          <t>Hàng thương mại</t>
        </is>
      </c>
    </row>
    <row r="384">
      <c r="A384" t="n">
        <v>383</v>
      </c>
      <c r="B384" t="inlineStr">
        <is>
          <t>SW-TRD-383</t>
        </is>
      </c>
      <c r="C384" t="inlineStr">
        <is>
          <t>THƯƠNG MẠI</t>
        </is>
      </c>
      <c r="D384" t="inlineStr">
        <is>
          <t>DÀN NÓNG ODU-A1.2-0105A2 28kW</t>
        </is>
      </c>
      <c r="E384" t="inlineStr">
        <is>
          <t>-</t>
        </is>
      </c>
      <c r="F384" t="inlineStr">
        <is>
          <t>Bộ</t>
        </is>
      </c>
      <c r="G384" s="390" t="n">
        <v>1</v>
      </c>
      <c r="H384" s="390">
        <f>SUMIF('01_BOC_TACH_ONG'!B:B, B384, '01_BOC_TACH_ONG'!K:K)</f>
        <v/>
      </c>
      <c r="I384" s="390">
        <f>SUMIF('02_BOC_TACH_CUA'!B:B, B384, '02_BOC_TACH_CUA'!K:K)</f>
        <v/>
      </c>
      <c r="J384" s="390">
        <f>SUMIF('03_BOC_TACH_VAN'!B:B, B384, '03_BOC_TACH_VAN'!K:K)</f>
        <v/>
      </c>
      <c r="K384" s="390">
        <f>SUM(H384:J384)</f>
        <v/>
      </c>
      <c r="L384" s="390">
        <f>K384*0.00</f>
        <v/>
      </c>
      <c r="M384" s="390">
        <f>K384*0.02</f>
        <v/>
      </c>
      <c r="N384" s="390">
        <f>K384+L384+M384</f>
        <v/>
      </c>
      <c r="O384" s="390">
        <f>IF(G384&gt;0, N384/G384, 0)</f>
        <v/>
      </c>
      <c r="P384" s="391" t="n">
        <v>0.1</v>
      </c>
      <c r="Q384" s="390">
        <f>O384*(1+P384)</f>
        <v/>
      </c>
      <c r="R384" s="390">
        <f>G384*Q384</f>
        <v/>
      </c>
      <c r="S384" t="inlineStr">
        <is>
          <t>Hàng thương mại</t>
        </is>
      </c>
    </row>
    <row r="385">
      <c r="A385" t="n">
        <v>384</v>
      </c>
      <c r="B385" t="inlineStr">
        <is>
          <t>SW-TRD-384</t>
        </is>
      </c>
      <c r="C385" t="inlineStr">
        <is>
          <t>THƯƠNG MẠI</t>
        </is>
      </c>
      <c r="D385" t="inlineStr">
        <is>
          <t>DÀN NÓNG ODU-A1.2-0105 50kW</t>
        </is>
      </c>
      <c r="E385" t="inlineStr">
        <is>
          <t>-</t>
        </is>
      </c>
      <c r="F385" t="inlineStr">
        <is>
          <t>Bộ</t>
        </is>
      </c>
      <c r="G385" s="390" t="n">
        <v>1</v>
      </c>
      <c r="H385" s="390">
        <f>SUMIF('01_BOC_TACH_ONG'!B:B, B385, '01_BOC_TACH_ONG'!K:K)</f>
        <v/>
      </c>
      <c r="I385" s="390">
        <f>SUMIF('02_BOC_TACH_CUA'!B:B, B385, '02_BOC_TACH_CUA'!K:K)</f>
        <v/>
      </c>
      <c r="J385" s="390">
        <f>SUMIF('03_BOC_TACH_VAN'!B:B, B385, '03_BOC_TACH_VAN'!K:K)</f>
        <v/>
      </c>
      <c r="K385" s="390">
        <f>SUM(H385:J385)</f>
        <v/>
      </c>
      <c r="L385" s="390">
        <f>K385*0.00</f>
        <v/>
      </c>
      <c r="M385" s="390">
        <f>K385*0.02</f>
        <v/>
      </c>
      <c r="N385" s="390">
        <f>K385+L385+M385</f>
        <v/>
      </c>
      <c r="O385" s="390">
        <f>IF(G385&gt;0, N385/G385, 0)</f>
        <v/>
      </c>
      <c r="P385" s="391" t="n">
        <v>0.1</v>
      </c>
      <c r="Q385" s="390">
        <f>O385*(1+P385)</f>
        <v/>
      </c>
      <c r="R385" s="390">
        <f>G385*Q385</f>
        <v/>
      </c>
      <c r="S385" t="inlineStr">
        <is>
          <t>Hàng thương mại</t>
        </is>
      </c>
    </row>
    <row r="386">
      <c r="A386" t="n">
        <v>385</v>
      </c>
      <c r="B386" t="inlineStr">
        <is>
          <t>SW-TRD-385</t>
        </is>
      </c>
      <c r="C386" t="inlineStr">
        <is>
          <t>THƯƠNG MẠI</t>
        </is>
      </c>
      <c r="D386" t="inlineStr">
        <is>
          <t>DÀN NÓNG ODU-A1.2-0106 28kW</t>
        </is>
      </c>
      <c r="E386" t="inlineStr">
        <is>
          <t>-</t>
        </is>
      </c>
      <c r="F386" t="inlineStr">
        <is>
          <t>Bộ</t>
        </is>
      </c>
      <c r="G386" s="390" t="n">
        <v>1</v>
      </c>
      <c r="H386" s="390">
        <f>SUMIF('01_BOC_TACH_ONG'!B:B, B386, '01_BOC_TACH_ONG'!K:K)</f>
        <v/>
      </c>
      <c r="I386" s="390">
        <f>SUMIF('02_BOC_TACH_CUA'!B:B, B386, '02_BOC_TACH_CUA'!K:K)</f>
        <v/>
      </c>
      <c r="J386" s="390">
        <f>SUMIF('03_BOC_TACH_VAN'!B:B, B386, '03_BOC_TACH_VAN'!K:K)</f>
        <v/>
      </c>
      <c r="K386" s="390">
        <f>SUM(H386:J386)</f>
        <v/>
      </c>
      <c r="L386" s="390">
        <f>K386*0.00</f>
        <v/>
      </c>
      <c r="M386" s="390">
        <f>K386*0.02</f>
        <v/>
      </c>
      <c r="N386" s="390">
        <f>K386+L386+M386</f>
        <v/>
      </c>
      <c r="O386" s="390">
        <f>IF(G386&gt;0, N386/G386, 0)</f>
        <v/>
      </c>
      <c r="P386" s="391" t="n">
        <v>0.1</v>
      </c>
      <c r="Q386" s="390">
        <f>O386*(1+P386)</f>
        <v/>
      </c>
      <c r="R386" s="390">
        <f>G386*Q386</f>
        <v/>
      </c>
      <c r="S386" t="inlineStr">
        <is>
          <t>Hàng thương mại</t>
        </is>
      </c>
    </row>
    <row r="387">
      <c r="A387" t="n">
        <v>386</v>
      </c>
      <c r="B387" t="inlineStr">
        <is>
          <t>SW-TRD-386</t>
        </is>
      </c>
      <c r="C387" t="inlineStr">
        <is>
          <t>THƯƠNG MẠI</t>
        </is>
      </c>
      <c r="D387" t="inlineStr">
        <is>
          <t>DÀN NÓNG ODU-A1.2-0108A 22.4kW</t>
        </is>
      </c>
      <c r="E387" t="inlineStr">
        <is>
          <t>-</t>
        </is>
      </c>
      <c r="F387" t="inlineStr">
        <is>
          <t>Bộ</t>
        </is>
      </c>
      <c r="G387" s="390" t="n">
        <v>1</v>
      </c>
      <c r="H387" s="390">
        <f>SUMIF('01_BOC_TACH_ONG'!B:B, B387, '01_BOC_TACH_ONG'!K:K)</f>
        <v/>
      </c>
      <c r="I387" s="390">
        <f>SUMIF('02_BOC_TACH_CUA'!B:B, B387, '02_BOC_TACH_CUA'!K:K)</f>
        <v/>
      </c>
      <c r="J387" s="390">
        <f>SUMIF('03_BOC_TACH_VAN'!B:B, B387, '03_BOC_TACH_VAN'!K:K)</f>
        <v/>
      </c>
      <c r="K387" s="390">
        <f>SUM(H387:J387)</f>
        <v/>
      </c>
      <c r="L387" s="390">
        <f>K387*0.00</f>
        <v/>
      </c>
      <c r="M387" s="390">
        <f>K387*0.02</f>
        <v/>
      </c>
      <c r="N387" s="390">
        <f>K387+L387+M387</f>
        <v/>
      </c>
      <c r="O387" s="390">
        <f>IF(G387&gt;0, N387/G387, 0)</f>
        <v/>
      </c>
      <c r="P387" s="391" t="n">
        <v>0.1</v>
      </c>
      <c r="Q387" s="390">
        <f>O387*(1+P387)</f>
        <v/>
      </c>
      <c r="R387" s="390">
        <f>G387*Q387</f>
        <v/>
      </c>
      <c r="S387" t="inlineStr">
        <is>
          <t>Hàng thương mại</t>
        </is>
      </c>
    </row>
    <row r="388">
      <c r="A388" t="n">
        <v>387</v>
      </c>
      <c r="B388" t="inlineStr">
        <is>
          <t>SW-TRD-387</t>
        </is>
      </c>
      <c r="C388" t="inlineStr">
        <is>
          <t>THƯƠNG MẠI</t>
        </is>
      </c>
      <c r="D388" t="inlineStr">
        <is>
          <t>DÀN NÓNG ODU-A1.2-0201 28kW</t>
        </is>
      </c>
      <c r="E388" t="inlineStr">
        <is>
          <t>-</t>
        </is>
      </c>
      <c r="F388" t="inlineStr">
        <is>
          <t>Bộ</t>
        </is>
      </c>
      <c r="G388" s="390" t="n">
        <v>1</v>
      </c>
      <c r="H388" s="390">
        <f>SUMIF('01_BOC_TACH_ONG'!B:B, B388, '01_BOC_TACH_ONG'!K:K)</f>
        <v/>
      </c>
      <c r="I388" s="390">
        <f>SUMIF('02_BOC_TACH_CUA'!B:B, B388, '02_BOC_TACH_CUA'!K:K)</f>
        <v/>
      </c>
      <c r="J388" s="390">
        <f>SUMIF('03_BOC_TACH_VAN'!B:B, B388, '03_BOC_TACH_VAN'!K:K)</f>
        <v/>
      </c>
      <c r="K388" s="390">
        <f>SUM(H388:J388)</f>
        <v/>
      </c>
      <c r="L388" s="390">
        <f>K388*0.00</f>
        <v/>
      </c>
      <c r="M388" s="390">
        <f>K388*0.02</f>
        <v/>
      </c>
      <c r="N388" s="390">
        <f>K388+L388+M388</f>
        <v/>
      </c>
      <c r="O388" s="390">
        <f>IF(G388&gt;0, N388/G388, 0)</f>
        <v/>
      </c>
      <c r="P388" s="391" t="n">
        <v>0.1</v>
      </c>
      <c r="Q388" s="390">
        <f>O388*(1+P388)</f>
        <v/>
      </c>
      <c r="R388" s="390">
        <f>G388*Q388</f>
        <v/>
      </c>
      <c r="S388" t="inlineStr">
        <is>
          <t>Hàng thương mại</t>
        </is>
      </c>
    </row>
    <row r="389">
      <c r="A389" t="n">
        <v>388</v>
      </c>
      <c r="B389" t="inlineStr">
        <is>
          <t>SW-TRD-388</t>
        </is>
      </c>
      <c r="C389" t="inlineStr">
        <is>
          <t>THƯƠNG MẠI</t>
        </is>
      </c>
      <c r="D389" t="inlineStr">
        <is>
          <t>DÀN NÓNG ODU-A1.2-0202 33.5kW</t>
        </is>
      </c>
      <c r="E389" t="inlineStr">
        <is>
          <t>-</t>
        </is>
      </c>
      <c r="F389" t="inlineStr">
        <is>
          <t>Bộ</t>
        </is>
      </c>
      <c r="G389" s="390" t="n">
        <v>1</v>
      </c>
      <c r="H389" s="390">
        <f>SUMIF('01_BOC_TACH_ONG'!B:B, B389, '01_BOC_TACH_ONG'!K:K)</f>
        <v/>
      </c>
      <c r="I389" s="390">
        <f>SUMIF('02_BOC_TACH_CUA'!B:B, B389, '02_BOC_TACH_CUA'!K:K)</f>
        <v/>
      </c>
      <c r="J389" s="390">
        <f>SUMIF('03_BOC_TACH_VAN'!B:B, B389, '03_BOC_TACH_VAN'!K:K)</f>
        <v/>
      </c>
      <c r="K389" s="390">
        <f>SUM(H389:J389)</f>
        <v/>
      </c>
      <c r="L389" s="390">
        <f>K389*0.00</f>
        <v/>
      </c>
      <c r="M389" s="390">
        <f>K389*0.02</f>
        <v/>
      </c>
      <c r="N389" s="390">
        <f>K389+L389+M389</f>
        <v/>
      </c>
      <c r="O389" s="390">
        <f>IF(G389&gt;0, N389/G389, 0)</f>
        <v/>
      </c>
      <c r="P389" s="391" t="n">
        <v>0.1</v>
      </c>
      <c r="Q389" s="390">
        <f>O389*(1+P389)</f>
        <v/>
      </c>
      <c r="R389" s="390">
        <f>G389*Q389</f>
        <v/>
      </c>
      <c r="S389" t="inlineStr">
        <is>
          <t>Hàng thương mại</t>
        </is>
      </c>
    </row>
    <row r="390">
      <c r="A390" t="n">
        <v>389</v>
      </c>
      <c r="B390" t="inlineStr">
        <is>
          <t>SW-TRD-389</t>
        </is>
      </c>
      <c r="C390" t="inlineStr">
        <is>
          <t>THƯƠNG MẠI</t>
        </is>
      </c>
      <c r="D390" t="inlineStr">
        <is>
          <t>DÀN NÓNG ODU-A1.2-0203 33.5kW</t>
        </is>
      </c>
      <c r="E390" t="inlineStr">
        <is>
          <t>-</t>
        </is>
      </c>
      <c r="F390" t="inlineStr">
        <is>
          <t>Bộ</t>
        </is>
      </c>
      <c r="G390" s="390" t="n">
        <v>1</v>
      </c>
      <c r="H390" s="390">
        <f>SUMIF('01_BOC_TACH_ONG'!B:B, B390, '01_BOC_TACH_ONG'!K:K)</f>
        <v/>
      </c>
      <c r="I390" s="390">
        <f>SUMIF('02_BOC_TACH_CUA'!B:B, B390, '02_BOC_TACH_CUA'!K:K)</f>
        <v/>
      </c>
      <c r="J390" s="390">
        <f>SUMIF('03_BOC_TACH_VAN'!B:B, B390, '03_BOC_TACH_VAN'!K:K)</f>
        <v/>
      </c>
      <c r="K390" s="390">
        <f>SUM(H390:J390)</f>
        <v/>
      </c>
      <c r="L390" s="390">
        <f>K390*0.00</f>
        <v/>
      </c>
      <c r="M390" s="390">
        <f>K390*0.02</f>
        <v/>
      </c>
      <c r="N390" s="390">
        <f>K390+L390+M390</f>
        <v/>
      </c>
      <c r="O390" s="390">
        <f>IF(G390&gt;0, N390/G390, 0)</f>
        <v/>
      </c>
      <c r="P390" s="391" t="n">
        <v>0.1</v>
      </c>
      <c r="Q390" s="390">
        <f>O390*(1+P390)</f>
        <v/>
      </c>
      <c r="R390" s="390">
        <f>G390*Q390</f>
        <v/>
      </c>
      <c r="S390" t="inlineStr">
        <is>
          <t>Hàng thương mại</t>
        </is>
      </c>
    </row>
    <row r="391">
      <c r="A391" t="n">
        <v>390</v>
      </c>
      <c r="B391" t="inlineStr">
        <is>
          <t>SW-TRD-390</t>
        </is>
      </c>
      <c r="C391" t="inlineStr">
        <is>
          <t>THƯƠNG MẠI</t>
        </is>
      </c>
      <c r="D391" t="inlineStr">
        <is>
          <t>DÀN NÓNG ODU-A1.2-0205A 33.5kW</t>
        </is>
      </c>
      <c r="E391" t="inlineStr">
        <is>
          <t>-</t>
        </is>
      </c>
      <c r="F391" t="inlineStr">
        <is>
          <t>Bộ</t>
        </is>
      </c>
      <c r="G391" s="390" t="n">
        <v>1</v>
      </c>
      <c r="H391" s="390">
        <f>SUMIF('01_BOC_TACH_ONG'!B:B, B391, '01_BOC_TACH_ONG'!K:K)</f>
        <v/>
      </c>
      <c r="I391" s="390">
        <f>SUMIF('02_BOC_TACH_CUA'!B:B, B391, '02_BOC_TACH_CUA'!K:K)</f>
        <v/>
      </c>
      <c r="J391" s="390">
        <f>SUMIF('03_BOC_TACH_VAN'!B:B, B391, '03_BOC_TACH_VAN'!K:K)</f>
        <v/>
      </c>
      <c r="K391" s="390">
        <f>SUM(H391:J391)</f>
        <v/>
      </c>
      <c r="L391" s="390">
        <f>K391*0.00</f>
        <v/>
      </c>
      <c r="M391" s="390">
        <f>K391*0.02</f>
        <v/>
      </c>
      <c r="N391" s="390">
        <f>K391+L391+M391</f>
        <v/>
      </c>
      <c r="O391" s="390">
        <f>IF(G391&gt;0, N391/G391, 0)</f>
        <v/>
      </c>
      <c r="P391" s="391" t="n">
        <v>0.1</v>
      </c>
      <c r="Q391" s="390">
        <f>O391*(1+P391)</f>
        <v/>
      </c>
      <c r="R391" s="390">
        <f>G391*Q391</f>
        <v/>
      </c>
      <c r="S391" t="inlineStr">
        <is>
          <t>Hàng thương mại</t>
        </is>
      </c>
    </row>
    <row r="392">
      <c r="A392" t="n">
        <v>391</v>
      </c>
      <c r="B392" t="inlineStr">
        <is>
          <t>SW-TRD-391</t>
        </is>
      </c>
      <c r="C392" t="inlineStr">
        <is>
          <t>THƯƠNG MẠI</t>
        </is>
      </c>
      <c r="D392" t="inlineStr">
        <is>
          <t>DÀN NÓNG ODU-A1.2-0205 28kW</t>
        </is>
      </c>
      <c r="E392" t="inlineStr">
        <is>
          <t>-</t>
        </is>
      </c>
      <c r="F392" t="inlineStr">
        <is>
          <t>Bộ</t>
        </is>
      </c>
      <c r="G392" s="390" t="n">
        <v>1</v>
      </c>
      <c r="H392" s="390">
        <f>SUMIF('01_BOC_TACH_ONG'!B:B, B392, '01_BOC_TACH_ONG'!K:K)</f>
        <v/>
      </c>
      <c r="I392" s="390">
        <f>SUMIF('02_BOC_TACH_CUA'!B:B, B392, '02_BOC_TACH_CUA'!K:K)</f>
        <v/>
      </c>
      <c r="J392" s="390">
        <f>SUMIF('03_BOC_TACH_VAN'!B:B, B392, '03_BOC_TACH_VAN'!K:K)</f>
        <v/>
      </c>
      <c r="K392" s="390">
        <f>SUM(H392:J392)</f>
        <v/>
      </c>
      <c r="L392" s="390">
        <f>K392*0.00</f>
        <v/>
      </c>
      <c r="M392" s="390">
        <f>K392*0.02</f>
        <v/>
      </c>
      <c r="N392" s="390">
        <f>K392+L392+M392</f>
        <v/>
      </c>
      <c r="O392" s="390">
        <f>IF(G392&gt;0, N392/G392, 0)</f>
        <v/>
      </c>
      <c r="P392" s="391" t="n">
        <v>0.1</v>
      </c>
      <c r="Q392" s="390">
        <f>O392*(1+P392)</f>
        <v/>
      </c>
      <c r="R392" s="390">
        <f>G392*Q392</f>
        <v/>
      </c>
      <c r="S392" t="inlineStr">
        <is>
          <t>Hàng thương mại</t>
        </is>
      </c>
    </row>
    <row r="393">
      <c r="A393" t="n">
        <v>392</v>
      </c>
      <c r="B393" t="inlineStr">
        <is>
          <t>SW-TRD-392</t>
        </is>
      </c>
      <c r="C393" t="inlineStr">
        <is>
          <t>THƯƠNG MẠI</t>
        </is>
      </c>
      <c r="D393" t="inlineStr">
        <is>
          <t>DÀN NÓNG ODU-A1.2-0206 20kW</t>
        </is>
      </c>
      <c r="E393" t="inlineStr">
        <is>
          <t>-</t>
        </is>
      </c>
      <c r="F393" t="inlineStr">
        <is>
          <t>Bộ</t>
        </is>
      </c>
      <c r="G393" s="390" t="n">
        <v>1</v>
      </c>
      <c r="H393" s="390">
        <f>SUMIF('01_BOC_TACH_ONG'!B:B, B393, '01_BOC_TACH_ONG'!K:K)</f>
        <v/>
      </c>
      <c r="I393" s="390">
        <f>SUMIF('02_BOC_TACH_CUA'!B:B, B393, '02_BOC_TACH_CUA'!K:K)</f>
        <v/>
      </c>
      <c r="J393" s="390">
        <f>SUMIF('03_BOC_TACH_VAN'!B:B, B393, '03_BOC_TACH_VAN'!K:K)</f>
        <v/>
      </c>
      <c r="K393" s="390">
        <f>SUM(H393:J393)</f>
        <v/>
      </c>
      <c r="L393" s="390">
        <f>K393*0.00</f>
        <v/>
      </c>
      <c r="M393" s="390">
        <f>K393*0.02</f>
        <v/>
      </c>
      <c r="N393" s="390">
        <f>K393+L393+M393</f>
        <v/>
      </c>
      <c r="O393" s="390">
        <f>IF(G393&gt;0, N393/G393, 0)</f>
        <v/>
      </c>
      <c r="P393" s="391" t="n">
        <v>0.1</v>
      </c>
      <c r="Q393" s="390">
        <f>O393*(1+P393)</f>
        <v/>
      </c>
      <c r="R393" s="390">
        <f>G393*Q393</f>
        <v/>
      </c>
      <c r="S393" t="inlineStr">
        <is>
          <t>Hàng thương mại</t>
        </is>
      </c>
    </row>
    <row r="394">
      <c r="A394" t="n">
        <v>393</v>
      </c>
      <c r="B394" t="inlineStr">
        <is>
          <t>SW-TRD-393</t>
        </is>
      </c>
      <c r="C394" t="inlineStr">
        <is>
          <t>THƯƠNG MẠI</t>
        </is>
      </c>
      <c r="D394" t="inlineStr">
        <is>
          <t>DÀN NÓNG ODU-A1.2-0208A 14kW</t>
        </is>
      </c>
      <c r="E394" t="inlineStr">
        <is>
          <t>-</t>
        </is>
      </c>
      <c r="F394" t="inlineStr">
        <is>
          <t>Bộ</t>
        </is>
      </c>
      <c r="G394" s="390" t="n">
        <v>1</v>
      </c>
      <c r="H394" s="390">
        <f>SUMIF('01_BOC_TACH_ONG'!B:B, B394, '01_BOC_TACH_ONG'!K:K)</f>
        <v/>
      </c>
      <c r="I394" s="390">
        <f>SUMIF('02_BOC_TACH_CUA'!B:B, B394, '02_BOC_TACH_CUA'!K:K)</f>
        <v/>
      </c>
      <c r="J394" s="390">
        <f>SUMIF('03_BOC_TACH_VAN'!B:B, B394, '03_BOC_TACH_VAN'!K:K)</f>
        <v/>
      </c>
      <c r="K394" s="390">
        <f>SUM(H394:J394)</f>
        <v/>
      </c>
      <c r="L394" s="390">
        <f>K394*0.00</f>
        <v/>
      </c>
      <c r="M394" s="390">
        <f>K394*0.02</f>
        <v/>
      </c>
      <c r="N394" s="390">
        <f>K394+L394+M394</f>
        <v/>
      </c>
      <c r="O394" s="390">
        <f>IF(G394&gt;0, N394/G394, 0)</f>
        <v/>
      </c>
      <c r="P394" s="391" t="n">
        <v>0.1</v>
      </c>
      <c r="Q394" s="390">
        <f>O394*(1+P394)</f>
        <v/>
      </c>
      <c r="R394" s="390">
        <f>G394*Q394</f>
        <v/>
      </c>
      <c r="S394" t="inlineStr">
        <is>
          <t>Hàng thương mại</t>
        </is>
      </c>
    </row>
    <row r="395">
      <c r="A395" t="n">
        <v>394</v>
      </c>
      <c r="B395" t="inlineStr">
        <is>
          <t>SW-TRD-394</t>
        </is>
      </c>
      <c r="C395" t="inlineStr">
        <is>
          <t>THƯƠNG MẠI</t>
        </is>
      </c>
      <c r="D395" t="inlineStr">
        <is>
          <t>DÀN NÓNG ODU-A1.2-0208 14kW</t>
        </is>
      </c>
      <c r="E395" t="inlineStr">
        <is>
          <t>-</t>
        </is>
      </c>
      <c r="F395" t="inlineStr">
        <is>
          <t>Bộ</t>
        </is>
      </c>
      <c r="G395" s="390" t="n">
        <v>1</v>
      </c>
      <c r="H395" s="390">
        <f>SUMIF('01_BOC_TACH_ONG'!B:B, B395, '01_BOC_TACH_ONG'!K:K)</f>
        <v/>
      </c>
      <c r="I395" s="390">
        <f>SUMIF('02_BOC_TACH_CUA'!B:B, B395, '02_BOC_TACH_CUA'!K:K)</f>
        <v/>
      </c>
      <c r="J395" s="390">
        <f>SUMIF('03_BOC_TACH_VAN'!B:B, B395, '03_BOC_TACH_VAN'!K:K)</f>
        <v/>
      </c>
      <c r="K395" s="390">
        <f>SUM(H395:J395)</f>
        <v/>
      </c>
      <c r="L395" s="390">
        <f>K395*0.00</f>
        <v/>
      </c>
      <c r="M395" s="390">
        <f>K395*0.02</f>
        <v/>
      </c>
      <c r="N395" s="390">
        <f>K395+L395+M395</f>
        <v/>
      </c>
      <c r="O395" s="390">
        <f>IF(G395&gt;0, N395/G395, 0)</f>
        <v/>
      </c>
      <c r="P395" s="391" t="n">
        <v>0.1</v>
      </c>
      <c r="Q395" s="390">
        <f>O395*(1+P395)</f>
        <v/>
      </c>
      <c r="R395" s="390">
        <f>G395*Q395</f>
        <v/>
      </c>
      <c r="S395" t="inlineStr">
        <is>
          <t>Hàng thương mại</t>
        </is>
      </c>
    </row>
    <row r="396">
      <c r="A396" t="n">
        <v>395</v>
      </c>
      <c r="B396" t="inlineStr">
        <is>
          <t>SW-TRD-395</t>
        </is>
      </c>
      <c r="C396" t="inlineStr">
        <is>
          <t>THƯƠNG MẠI</t>
        </is>
      </c>
      <c r="D396" t="inlineStr">
        <is>
          <t>DÀN NÓNG ODU-A1.2-0209 14kW</t>
        </is>
      </c>
      <c r="E396" t="inlineStr">
        <is>
          <t>-</t>
        </is>
      </c>
      <c r="F396" t="inlineStr">
        <is>
          <t>Bộ</t>
        </is>
      </c>
      <c r="G396" s="390" t="n">
        <v>1</v>
      </c>
      <c r="H396" s="390">
        <f>SUMIF('01_BOC_TACH_ONG'!B:B, B396, '01_BOC_TACH_ONG'!K:K)</f>
        <v/>
      </c>
      <c r="I396" s="390">
        <f>SUMIF('02_BOC_TACH_CUA'!B:B, B396, '02_BOC_TACH_CUA'!K:K)</f>
        <v/>
      </c>
      <c r="J396" s="390">
        <f>SUMIF('03_BOC_TACH_VAN'!B:B, B396, '03_BOC_TACH_VAN'!K:K)</f>
        <v/>
      </c>
      <c r="K396" s="390">
        <f>SUM(H396:J396)</f>
        <v/>
      </c>
      <c r="L396" s="390">
        <f>K396*0.00</f>
        <v/>
      </c>
      <c r="M396" s="390">
        <f>K396*0.02</f>
        <v/>
      </c>
      <c r="N396" s="390">
        <f>K396+L396+M396</f>
        <v/>
      </c>
      <c r="O396" s="390">
        <f>IF(G396&gt;0, N396/G396, 0)</f>
        <v/>
      </c>
      <c r="P396" s="391" t="n">
        <v>0.1</v>
      </c>
      <c r="Q396" s="390">
        <f>O396*(1+P396)</f>
        <v/>
      </c>
      <c r="R396" s="390">
        <f>G396*Q396</f>
        <v/>
      </c>
      <c r="S396" t="inlineStr">
        <is>
          <t>Hàng thương mại</t>
        </is>
      </c>
    </row>
    <row r="397">
      <c r="A397" t="n">
        <v>396</v>
      </c>
      <c r="B397" t="inlineStr">
        <is>
          <t>SW-TRD-396</t>
        </is>
      </c>
      <c r="C397" t="inlineStr">
        <is>
          <t>THƯƠNG MẠI</t>
        </is>
      </c>
      <c r="D397" t="inlineStr">
        <is>
          <t>DÀN NÓNG ODU-A1.2-0210 11.2kW</t>
        </is>
      </c>
      <c r="E397" t="inlineStr">
        <is>
          <t>-</t>
        </is>
      </c>
      <c r="F397" t="inlineStr">
        <is>
          <t>Bộ</t>
        </is>
      </c>
      <c r="G397" s="390" t="n">
        <v>1</v>
      </c>
      <c r="H397" s="390">
        <f>SUMIF('01_BOC_TACH_ONG'!B:B, B397, '01_BOC_TACH_ONG'!K:K)</f>
        <v/>
      </c>
      <c r="I397" s="390">
        <f>SUMIF('02_BOC_TACH_CUA'!B:B, B397, '02_BOC_TACH_CUA'!K:K)</f>
        <v/>
      </c>
      <c r="J397" s="390">
        <f>SUMIF('03_BOC_TACH_VAN'!B:B, B397, '03_BOC_TACH_VAN'!K:K)</f>
        <v/>
      </c>
      <c r="K397" s="390">
        <f>SUM(H397:J397)</f>
        <v/>
      </c>
      <c r="L397" s="390">
        <f>K397*0.00</f>
        <v/>
      </c>
      <c r="M397" s="390">
        <f>K397*0.02</f>
        <v/>
      </c>
      <c r="N397" s="390">
        <f>K397+L397+M397</f>
        <v/>
      </c>
      <c r="O397" s="390">
        <f>IF(G397&gt;0, N397/G397, 0)</f>
        <v/>
      </c>
      <c r="P397" s="391" t="n">
        <v>0.1</v>
      </c>
      <c r="Q397" s="390">
        <f>O397*(1+P397)</f>
        <v/>
      </c>
      <c r="R397" s="390">
        <f>G397*Q397</f>
        <v/>
      </c>
      <c r="S397" t="inlineStr">
        <is>
          <t>Hàng thương mại</t>
        </is>
      </c>
    </row>
    <row r="398">
      <c r="A398" t="n">
        <v>397</v>
      </c>
      <c r="B398" t="inlineStr">
        <is>
          <t>SW-TRD-397</t>
        </is>
      </c>
      <c r="C398" t="inlineStr">
        <is>
          <t>THƯƠNG MẠI</t>
        </is>
      </c>
      <c r="D398" t="inlineStr">
        <is>
          <t>DÀN NÓNG ODU-A1.2-0211 14kW</t>
        </is>
      </c>
      <c r="E398" t="inlineStr">
        <is>
          <t>-</t>
        </is>
      </c>
      <c r="F398" t="inlineStr">
        <is>
          <t>Bộ</t>
        </is>
      </c>
      <c r="G398" s="390" t="n">
        <v>1</v>
      </c>
      <c r="H398" s="390">
        <f>SUMIF('01_BOC_TACH_ONG'!B:B, B398, '01_BOC_TACH_ONG'!K:K)</f>
        <v/>
      </c>
      <c r="I398" s="390">
        <f>SUMIF('02_BOC_TACH_CUA'!B:B, B398, '02_BOC_TACH_CUA'!K:K)</f>
        <v/>
      </c>
      <c r="J398" s="390">
        <f>SUMIF('03_BOC_TACH_VAN'!B:B, B398, '03_BOC_TACH_VAN'!K:K)</f>
        <v/>
      </c>
      <c r="K398" s="390">
        <f>SUM(H398:J398)</f>
        <v/>
      </c>
      <c r="L398" s="390">
        <f>K398*0.00</f>
        <v/>
      </c>
      <c r="M398" s="390">
        <f>K398*0.02</f>
        <v/>
      </c>
      <c r="N398" s="390">
        <f>K398+L398+M398</f>
        <v/>
      </c>
      <c r="O398" s="390">
        <f>IF(G398&gt;0, N398/G398, 0)</f>
        <v/>
      </c>
      <c r="P398" s="391" t="n">
        <v>0.1</v>
      </c>
      <c r="Q398" s="390">
        <f>O398*(1+P398)</f>
        <v/>
      </c>
      <c r="R398" s="390">
        <f>G398*Q398</f>
        <v/>
      </c>
      <c r="S398" t="inlineStr">
        <is>
          <t>Hàng thương mại</t>
        </is>
      </c>
    </row>
    <row r="399">
      <c r="A399" t="n">
        <v>398</v>
      </c>
      <c r="B399" t="inlineStr">
        <is>
          <t>SW-TRD-398</t>
        </is>
      </c>
      <c r="C399" t="inlineStr">
        <is>
          <t>THƯƠNG MẠI</t>
        </is>
      </c>
      <c r="D399" t="inlineStr">
        <is>
          <t>DÀN NÓNG ODU-A1.2-0212 16kW</t>
        </is>
      </c>
      <c r="E399" t="inlineStr">
        <is>
          <t>-</t>
        </is>
      </c>
      <c r="F399" t="inlineStr">
        <is>
          <t>Bộ</t>
        </is>
      </c>
      <c r="G399" s="390" t="n">
        <v>1</v>
      </c>
      <c r="H399" s="390">
        <f>SUMIF('01_BOC_TACH_ONG'!B:B, B399, '01_BOC_TACH_ONG'!K:K)</f>
        <v/>
      </c>
      <c r="I399" s="390">
        <f>SUMIF('02_BOC_TACH_CUA'!B:B, B399, '02_BOC_TACH_CUA'!K:K)</f>
        <v/>
      </c>
      <c r="J399" s="390">
        <f>SUMIF('03_BOC_TACH_VAN'!B:B, B399, '03_BOC_TACH_VAN'!K:K)</f>
        <v/>
      </c>
      <c r="K399" s="390">
        <f>SUM(H399:J399)</f>
        <v/>
      </c>
      <c r="L399" s="390">
        <f>K399*0.00</f>
        <v/>
      </c>
      <c r="M399" s="390">
        <f>K399*0.02</f>
        <v/>
      </c>
      <c r="N399" s="390">
        <f>K399+L399+M399</f>
        <v/>
      </c>
      <c r="O399" s="390">
        <f>IF(G399&gt;0, N399/G399, 0)</f>
        <v/>
      </c>
      <c r="P399" s="391" t="n">
        <v>0.1</v>
      </c>
      <c r="Q399" s="390">
        <f>O399*(1+P399)</f>
        <v/>
      </c>
      <c r="R399" s="390">
        <f>G399*Q399</f>
        <v/>
      </c>
      <c r="S399" t="inlineStr">
        <is>
          <t>Hàng thương mại</t>
        </is>
      </c>
    </row>
    <row r="400">
      <c r="A400" t="n">
        <v>399</v>
      </c>
      <c r="B400" t="inlineStr">
        <is>
          <t>SW-TRD-399</t>
        </is>
      </c>
      <c r="C400" t="inlineStr">
        <is>
          <t>THƯƠNG MẠI</t>
        </is>
      </c>
      <c r="D400" t="inlineStr">
        <is>
          <t>DÀN NÓNG ODU-A1.3-CR 16</t>
        </is>
      </c>
      <c r="E400" t="inlineStr">
        <is>
          <t>-</t>
        </is>
      </c>
      <c r="F400" t="inlineStr">
        <is>
          <t>Bộ</t>
        </is>
      </c>
      <c r="G400" s="390" t="n">
        <v>1</v>
      </c>
      <c r="H400" s="390">
        <f>SUMIF('01_BOC_TACH_ONG'!B:B, B400, '01_BOC_TACH_ONG'!K:K)</f>
        <v/>
      </c>
      <c r="I400" s="390">
        <f>SUMIF('02_BOC_TACH_CUA'!B:B, B400, '02_BOC_TACH_CUA'!K:K)</f>
        <v/>
      </c>
      <c r="J400" s="390">
        <f>SUMIF('03_BOC_TACH_VAN'!B:B, B400, '03_BOC_TACH_VAN'!K:K)</f>
        <v/>
      </c>
      <c r="K400" s="390">
        <f>SUM(H400:J400)</f>
        <v/>
      </c>
      <c r="L400" s="390">
        <f>K400*0.00</f>
        <v/>
      </c>
      <c r="M400" s="390">
        <f>K400*0.02</f>
        <v/>
      </c>
      <c r="N400" s="390">
        <f>K400+L400+M400</f>
        <v/>
      </c>
      <c r="O400" s="390">
        <f>IF(G400&gt;0, N400/G400, 0)</f>
        <v/>
      </c>
      <c r="P400" s="391" t="n">
        <v>0.1</v>
      </c>
      <c r="Q400" s="390">
        <f>O400*(1+P400)</f>
        <v/>
      </c>
      <c r="R400" s="390">
        <f>G400*Q400</f>
        <v/>
      </c>
      <c r="S400" t="inlineStr">
        <is>
          <t>Hàng thương mại</t>
        </is>
      </c>
    </row>
    <row r="401">
      <c r="A401" t="n">
        <v>400</v>
      </c>
      <c r="B401" t="inlineStr">
        <is>
          <t>SW-TRD-400</t>
        </is>
      </c>
      <c r="C401" t="inlineStr">
        <is>
          <t>THƯƠNG MẠI</t>
        </is>
      </c>
      <c r="D401" t="inlineStr">
        <is>
          <t>DÀN NÓNG ODU-A1.3-0101 56kW</t>
        </is>
      </c>
      <c r="E401" t="inlineStr">
        <is>
          <t>-</t>
        </is>
      </c>
      <c r="F401" t="inlineStr">
        <is>
          <t>Bộ</t>
        </is>
      </c>
      <c r="G401" s="390" t="n">
        <v>1</v>
      </c>
      <c r="H401" s="390">
        <f>SUMIF('01_BOC_TACH_ONG'!B:B, B401, '01_BOC_TACH_ONG'!K:K)</f>
        <v/>
      </c>
      <c r="I401" s="390">
        <f>SUMIF('02_BOC_TACH_CUA'!B:B, B401, '02_BOC_TACH_CUA'!K:K)</f>
        <v/>
      </c>
      <c r="J401" s="390">
        <f>SUMIF('03_BOC_TACH_VAN'!B:B, B401, '03_BOC_TACH_VAN'!K:K)</f>
        <v/>
      </c>
      <c r="K401" s="390">
        <f>SUM(H401:J401)</f>
        <v/>
      </c>
      <c r="L401" s="390">
        <f>K401*0.00</f>
        <v/>
      </c>
      <c r="M401" s="390">
        <f>K401*0.02</f>
        <v/>
      </c>
      <c r="N401" s="390">
        <f>K401+L401+M401</f>
        <v/>
      </c>
      <c r="O401" s="390">
        <f>IF(G401&gt;0, N401/G401, 0)</f>
        <v/>
      </c>
      <c r="P401" s="391" t="n">
        <v>0.1</v>
      </c>
      <c r="Q401" s="390">
        <f>O401*(1+P401)</f>
        <v/>
      </c>
      <c r="R401" s="390">
        <f>G401*Q401</f>
        <v/>
      </c>
      <c r="S401" t="inlineStr">
        <is>
          <t>Hàng thương mại</t>
        </is>
      </c>
    </row>
    <row r="402">
      <c r="A402" t="n">
        <v>401</v>
      </c>
      <c r="B402" t="inlineStr">
        <is>
          <t>SW-TRD-401</t>
        </is>
      </c>
      <c r="C402" t="inlineStr">
        <is>
          <t>THƯƠNG MẠI</t>
        </is>
      </c>
      <c r="D402" t="inlineStr">
        <is>
          <t>DÀN NÓNG ODU-A1.3-0102 50kW</t>
        </is>
      </c>
      <c r="E402" t="inlineStr">
        <is>
          <t>-</t>
        </is>
      </c>
      <c r="F402" t="inlineStr">
        <is>
          <t>Bộ</t>
        </is>
      </c>
      <c r="G402" s="390" t="n">
        <v>1</v>
      </c>
      <c r="H402" s="390">
        <f>SUMIF('01_BOC_TACH_ONG'!B:B, B402, '01_BOC_TACH_ONG'!K:K)</f>
        <v/>
      </c>
      <c r="I402" s="390">
        <f>SUMIF('02_BOC_TACH_CUA'!B:B, B402, '02_BOC_TACH_CUA'!K:K)</f>
        <v/>
      </c>
      <c r="J402" s="390">
        <f>SUMIF('03_BOC_TACH_VAN'!B:B, B402, '03_BOC_TACH_VAN'!K:K)</f>
        <v/>
      </c>
      <c r="K402" s="390">
        <f>SUM(H402:J402)</f>
        <v/>
      </c>
      <c r="L402" s="390">
        <f>K402*0.00</f>
        <v/>
      </c>
      <c r="M402" s="390">
        <f>K402*0.02</f>
        <v/>
      </c>
      <c r="N402" s="390">
        <f>K402+L402+M402</f>
        <v/>
      </c>
      <c r="O402" s="390">
        <f>IF(G402&gt;0, N402/G402, 0)</f>
        <v/>
      </c>
      <c r="P402" s="391" t="n">
        <v>0.1</v>
      </c>
      <c r="Q402" s="390">
        <f>O402*(1+P402)</f>
        <v/>
      </c>
      <c r="R402" s="390">
        <f>G402*Q402</f>
        <v/>
      </c>
      <c r="S402" t="inlineStr">
        <is>
          <t>Hàng thương mại</t>
        </is>
      </c>
    </row>
    <row r="403">
      <c r="A403" t="n">
        <v>402</v>
      </c>
      <c r="B403" t="inlineStr">
        <is>
          <t>SW-TRD-402</t>
        </is>
      </c>
      <c r="C403" t="inlineStr">
        <is>
          <t>THƯƠNG MẠI</t>
        </is>
      </c>
      <c r="D403" t="inlineStr">
        <is>
          <t>DÀN NÓNG ODU-A1.3-0103 33.5kW</t>
        </is>
      </c>
      <c r="E403" t="inlineStr">
        <is>
          <t>-</t>
        </is>
      </c>
      <c r="F403" t="inlineStr">
        <is>
          <t>Bộ</t>
        </is>
      </c>
      <c r="G403" s="390" t="n">
        <v>1</v>
      </c>
      <c r="H403" s="390">
        <f>SUMIF('01_BOC_TACH_ONG'!B:B, B403, '01_BOC_TACH_ONG'!K:K)</f>
        <v/>
      </c>
      <c r="I403" s="390">
        <f>SUMIF('02_BOC_TACH_CUA'!B:B, B403, '02_BOC_TACH_CUA'!K:K)</f>
        <v/>
      </c>
      <c r="J403" s="390">
        <f>SUMIF('03_BOC_TACH_VAN'!B:B, B403, '03_BOC_TACH_VAN'!K:K)</f>
        <v/>
      </c>
      <c r="K403" s="390">
        <f>SUM(H403:J403)</f>
        <v/>
      </c>
      <c r="L403" s="390">
        <f>K403*0.00</f>
        <v/>
      </c>
      <c r="M403" s="390">
        <f>K403*0.02</f>
        <v/>
      </c>
      <c r="N403" s="390">
        <f>K403+L403+M403</f>
        <v/>
      </c>
      <c r="O403" s="390">
        <f>IF(G403&gt;0, N403/G403, 0)</f>
        <v/>
      </c>
      <c r="P403" s="391" t="n">
        <v>0.1</v>
      </c>
      <c r="Q403" s="390">
        <f>O403*(1+P403)</f>
        <v/>
      </c>
      <c r="R403" s="390">
        <f>G403*Q403</f>
        <v/>
      </c>
      <c r="S403" t="inlineStr">
        <is>
          <t>Hàng thương mại</t>
        </is>
      </c>
    </row>
    <row r="404">
      <c r="A404" t="n">
        <v>403</v>
      </c>
      <c r="B404" t="inlineStr">
        <is>
          <t>SW-TRD-403</t>
        </is>
      </c>
      <c r="C404" t="inlineStr">
        <is>
          <t>THƯƠNG MẠI</t>
        </is>
      </c>
      <c r="D404" t="inlineStr">
        <is>
          <t>DÀN NÓNG ODU-A1.3-0105A 40kW</t>
        </is>
      </c>
      <c r="E404" t="inlineStr">
        <is>
          <t>-</t>
        </is>
      </c>
      <c r="F404" t="inlineStr">
        <is>
          <t>Bộ</t>
        </is>
      </c>
      <c r="G404" s="390" t="n">
        <v>1</v>
      </c>
      <c r="H404" s="390">
        <f>SUMIF('01_BOC_TACH_ONG'!B:B, B404, '01_BOC_TACH_ONG'!K:K)</f>
        <v/>
      </c>
      <c r="I404" s="390">
        <f>SUMIF('02_BOC_TACH_CUA'!B:B, B404, '02_BOC_TACH_CUA'!K:K)</f>
        <v/>
      </c>
      <c r="J404" s="390">
        <f>SUMIF('03_BOC_TACH_VAN'!B:B, B404, '03_BOC_TACH_VAN'!K:K)</f>
        <v/>
      </c>
      <c r="K404" s="390">
        <f>SUM(H404:J404)</f>
        <v/>
      </c>
      <c r="L404" s="390">
        <f>K404*0.00</f>
        <v/>
      </c>
      <c r="M404" s="390">
        <f>K404*0.02</f>
        <v/>
      </c>
      <c r="N404" s="390">
        <f>K404+L404+M404</f>
        <v/>
      </c>
      <c r="O404" s="390">
        <f>IF(G404&gt;0, N404/G404, 0)</f>
        <v/>
      </c>
      <c r="P404" s="391" t="n">
        <v>0.1</v>
      </c>
      <c r="Q404" s="390">
        <f>O404*(1+P404)</f>
        <v/>
      </c>
      <c r="R404" s="390">
        <f>G404*Q404</f>
        <v/>
      </c>
      <c r="S404" t="inlineStr">
        <is>
          <t>Hàng thương mại</t>
        </is>
      </c>
    </row>
    <row r="405">
      <c r="A405" t="n">
        <v>404</v>
      </c>
      <c r="B405" t="inlineStr">
        <is>
          <t>SW-TRD-404</t>
        </is>
      </c>
      <c r="C405" t="inlineStr">
        <is>
          <t>THƯƠNG MẠI</t>
        </is>
      </c>
      <c r="D405" t="inlineStr">
        <is>
          <t>DÀN NÓNG ODU-A1.3-0105 45kW</t>
        </is>
      </c>
      <c r="E405" t="inlineStr">
        <is>
          <t>-</t>
        </is>
      </c>
      <c r="F405" t="inlineStr">
        <is>
          <t>Bộ</t>
        </is>
      </c>
      <c r="G405" s="390" t="n">
        <v>1</v>
      </c>
      <c r="H405" s="390">
        <f>SUMIF('01_BOC_TACH_ONG'!B:B, B405, '01_BOC_TACH_ONG'!K:K)</f>
        <v/>
      </c>
      <c r="I405" s="390">
        <f>SUMIF('02_BOC_TACH_CUA'!B:B, B405, '02_BOC_TACH_CUA'!K:K)</f>
        <v/>
      </c>
      <c r="J405" s="390">
        <f>SUMIF('03_BOC_TACH_VAN'!B:B, B405, '03_BOC_TACH_VAN'!K:K)</f>
        <v/>
      </c>
      <c r="K405" s="390">
        <f>SUM(H405:J405)</f>
        <v/>
      </c>
      <c r="L405" s="390">
        <f>K405*0.00</f>
        <v/>
      </c>
      <c r="M405" s="390">
        <f>K405*0.02</f>
        <v/>
      </c>
      <c r="N405" s="390">
        <f>K405+L405+M405</f>
        <v/>
      </c>
      <c r="O405" s="390">
        <f>IF(G405&gt;0, N405/G405, 0)</f>
        <v/>
      </c>
      <c r="P405" s="391" t="n">
        <v>0.1</v>
      </c>
      <c r="Q405" s="390">
        <f>O405*(1+P405)</f>
        <v/>
      </c>
      <c r="R405" s="390">
        <f>G405*Q405</f>
        <v/>
      </c>
      <c r="S405" t="inlineStr">
        <is>
          <t>Hàng thương mại</t>
        </is>
      </c>
    </row>
    <row r="406">
      <c r="A406" t="n">
        <v>405</v>
      </c>
      <c r="B406" t="inlineStr">
        <is>
          <t>SW-TRD-405</t>
        </is>
      </c>
      <c r="C406" t="inlineStr">
        <is>
          <t>THƯƠNG MẠI</t>
        </is>
      </c>
      <c r="D406" t="inlineStr">
        <is>
          <t>DÀN NÓNG ODU-A1.3-0201 50kW</t>
        </is>
      </c>
      <c r="E406" t="inlineStr">
        <is>
          <t>-</t>
        </is>
      </c>
      <c r="F406" t="inlineStr">
        <is>
          <t>Bộ</t>
        </is>
      </c>
      <c r="G406" s="390" t="n">
        <v>1</v>
      </c>
      <c r="H406" s="390">
        <f>SUMIF('01_BOC_TACH_ONG'!B:B, B406, '01_BOC_TACH_ONG'!K:K)</f>
        <v/>
      </c>
      <c r="I406" s="390">
        <f>SUMIF('02_BOC_TACH_CUA'!B:B, B406, '02_BOC_TACH_CUA'!K:K)</f>
        <v/>
      </c>
      <c r="J406" s="390">
        <f>SUMIF('03_BOC_TACH_VAN'!B:B, B406, '03_BOC_TACH_VAN'!K:K)</f>
        <v/>
      </c>
      <c r="K406" s="390">
        <f>SUM(H406:J406)</f>
        <v/>
      </c>
      <c r="L406" s="390">
        <f>K406*0.00</f>
        <v/>
      </c>
      <c r="M406" s="390">
        <f>K406*0.02</f>
        <v/>
      </c>
      <c r="N406" s="390">
        <f>K406+L406+M406</f>
        <v/>
      </c>
      <c r="O406" s="390">
        <f>IF(G406&gt;0, N406/G406, 0)</f>
        <v/>
      </c>
      <c r="P406" s="391" t="n">
        <v>0.1</v>
      </c>
      <c r="Q406" s="390">
        <f>O406*(1+P406)</f>
        <v/>
      </c>
      <c r="R406" s="390">
        <f>G406*Q406</f>
        <v/>
      </c>
      <c r="S406" t="inlineStr">
        <is>
          <t>Hàng thương mại</t>
        </is>
      </c>
    </row>
    <row r="407">
      <c r="A407" t="n">
        <v>406</v>
      </c>
      <c r="B407" t="inlineStr">
        <is>
          <t>SW-TRD-406</t>
        </is>
      </c>
      <c r="C407" t="inlineStr">
        <is>
          <t>THƯƠNG MẠI</t>
        </is>
      </c>
      <c r="D407" t="inlineStr">
        <is>
          <t>DÀN NÓNG ODU-A1.3-0202 33.5kW</t>
        </is>
      </c>
      <c r="E407" t="inlineStr">
        <is>
          <t>-</t>
        </is>
      </c>
      <c r="F407" t="inlineStr">
        <is>
          <t>Bộ</t>
        </is>
      </c>
      <c r="G407" s="390" t="n">
        <v>1</v>
      </c>
      <c r="H407" s="390">
        <f>SUMIF('01_BOC_TACH_ONG'!B:B, B407, '01_BOC_TACH_ONG'!K:K)</f>
        <v/>
      </c>
      <c r="I407" s="390">
        <f>SUMIF('02_BOC_TACH_CUA'!B:B, B407, '02_BOC_TACH_CUA'!K:K)</f>
        <v/>
      </c>
      <c r="J407" s="390">
        <f>SUMIF('03_BOC_TACH_VAN'!B:B, B407, '03_BOC_TACH_VAN'!K:K)</f>
        <v/>
      </c>
      <c r="K407" s="390">
        <f>SUM(H407:J407)</f>
        <v/>
      </c>
      <c r="L407" s="390">
        <f>K407*0.00</f>
        <v/>
      </c>
      <c r="M407" s="390">
        <f>K407*0.02</f>
        <v/>
      </c>
      <c r="N407" s="390">
        <f>K407+L407+M407</f>
        <v/>
      </c>
      <c r="O407" s="390">
        <f>IF(G407&gt;0, N407/G407, 0)</f>
        <v/>
      </c>
      <c r="P407" s="391" t="n">
        <v>0.1</v>
      </c>
      <c r="Q407" s="390">
        <f>O407*(1+P407)</f>
        <v/>
      </c>
      <c r="R407" s="390">
        <f>G407*Q407</f>
        <v/>
      </c>
      <c r="S407" t="inlineStr">
        <is>
          <t>Hàng thương mại</t>
        </is>
      </c>
    </row>
    <row r="408">
      <c r="A408" t="n">
        <v>407</v>
      </c>
      <c r="B408" t="inlineStr">
        <is>
          <t>SW-TRD-407</t>
        </is>
      </c>
      <c r="C408" t="inlineStr">
        <is>
          <t>THƯƠNG MẠI</t>
        </is>
      </c>
      <c r="D408" t="inlineStr">
        <is>
          <t>DÀN NÓNG ODU-A1.3-0203 50kW</t>
        </is>
      </c>
      <c r="E408" t="inlineStr">
        <is>
          <t>-</t>
        </is>
      </c>
      <c r="F408" t="inlineStr">
        <is>
          <t>Bộ</t>
        </is>
      </c>
      <c r="G408" s="390" t="n">
        <v>1</v>
      </c>
      <c r="H408" s="390">
        <f>SUMIF('01_BOC_TACH_ONG'!B:B, B408, '01_BOC_TACH_ONG'!K:K)</f>
        <v/>
      </c>
      <c r="I408" s="390">
        <f>SUMIF('02_BOC_TACH_CUA'!B:B, B408, '02_BOC_TACH_CUA'!K:K)</f>
        <v/>
      </c>
      <c r="J408" s="390">
        <f>SUMIF('03_BOC_TACH_VAN'!B:B, B408, '03_BOC_TACH_VAN'!K:K)</f>
        <v/>
      </c>
      <c r="K408" s="390">
        <f>SUM(H408:J408)</f>
        <v/>
      </c>
      <c r="L408" s="390">
        <f>K408*0.00</f>
        <v/>
      </c>
      <c r="M408" s="390">
        <f>K408*0.02</f>
        <v/>
      </c>
      <c r="N408" s="390">
        <f>K408+L408+M408</f>
        <v/>
      </c>
      <c r="O408" s="390">
        <f>IF(G408&gt;0, N408/G408, 0)</f>
        <v/>
      </c>
      <c r="P408" s="391" t="n">
        <v>0.1</v>
      </c>
      <c r="Q408" s="390">
        <f>O408*(1+P408)</f>
        <v/>
      </c>
      <c r="R408" s="390">
        <f>G408*Q408</f>
        <v/>
      </c>
      <c r="S408" t="inlineStr">
        <is>
          <t>Hàng thương mại</t>
        </is>
      </c>
    </row>
    <row r="409">
      <c r="A409" t="n">
        <v>408</v>
      </c>
      <c r="B409" t="inlineStr">
        <is>
          <t>SW-TRD-408</t>
        </is>
      </c>
      <c r="C409" t="inlineStr">
        <is>
          <t>THƯƠNG MẠI</t>
        </is>
      </c>
      <c r="D409" t="inlineStr">
        <is>
          <t>DÀN NÓNG ODU-A1.3-0205A 33.5kW</t>
        </is>
      </c>
      <c r="E409" t="inlineStr">
        <is>
          <t>-</t>
        </is>
      </c>
      <c r="F409" t="inlineStr">
        <is>
          <t>Bộ</t>
        </is>
      </c>
      <c r="G409" s="390" t="n">
        <v>1</v>
      </c>
      <c r="H409" s="390">
        <f>SUMIF('01_BOC_TACH_ONG'!B:B, B409, '01_BOC_TACH_ONG'!K:K)</f>
        <v/>
      </c>
      <c r="I409" s="390">
        <f>SUMIF('02_BOC_TACH_CUA'!B:B, B409, '02_BOC_TACH_CUA'!K:K)</f>
        <v/>
      </c>
      <c r="J409" s="390">
        <f>SUMIF('03_BOC_TACH_VAN'!B:B, B409, '03_BOC_TACH_VAN'!K:K)</f>
        <v/>
      </c>
      <c r="K409" s="390">
        <f>SUM(H409:J409)</f>
        <v/>
      </c>
      <c r="L409" s="390">
        <f>K409*0.00</f>
        <v/>
      </c>
      <c r="M409" s="390">
        <f>K409*0.02</f>
        <v/>
      </c>
      <c r="N409" s="390">
        <f>K409+L409+M409</f>
        <v/>
      </c>
      <c r="O409" s="390">
        <f>IF(G409&gt;0, N409/G409, 0)</f>
        <v/>
      </c>
      <c r="P409" s="391" t="n">
        <v>0.1</v>
      </c>
      <c r="Q409" s="390">
        <f>O409*(1+P409)</f>
        <v/>
      </c>
      <c r="R409" s="390">
        <f>G409*Q409</f>
        <v/>
      </c>
      <c r="S409" t="inlineStr">
        <is>
          <t>Hàng thương mại</t>
        </is>
      </c>
    </row>
    <row r="410">
      <c r="A410" t="n">
        <v>409</v>
      </c>
      <c r="B410" t="inlineStr">
        <is>
          <t>SW-TRD-409</t>
        </is>
      </c>
      <c r="C410" t="inlineStr">
        <is>
          <t>THƯƠNG MẠI</t>
        </is>
      </c>
      <c r="D410" t="inlineStr">
        <is>
          <t>DÀN NÓNG ODU-A1.3-0205 16kW</t>
        </is>
      </c>
      <c r="E410" t="inlineStr">
        <is>
          <t>-</t>
        </is>
      </c>
      <c r="F410" t="inlineStr">
        <is>
          <t>Bộ</t>
        </is>
      </c>
      <c r="G410" s="390" t="n">
        <v>1</v>
      </c>
      <c r="H410" s="390">
        <f>SUMIF('01_BOC_TACH_ONG'!B:B, B410, '01_BOC_TACH_ONG'!K:K)</f>
        <v/>
      </c>
      <c r="I410" s="390">
        <f>SUMIF('02_BOC_TACH_CUA'!B:B, B410, '02_BOC_TACH_CUA'!K:K)</f>
        <v/>
      </c>
      <c r="J410" s="390">
        <f>SUMIF('03_BOC_TACH_VAN'!B:B, B410, '03_BOC_TACH_VAN'!K:K)</f>
        <v/>
      </c>
      <c r="K410" s="390">
        <f>SUM(H410:J410)</f>
        <v/>
      </c>
      <c r="L410" s="390">
        <f>K410*0.00</f>
        <v/>
      </c>
      <c r="M410" s="390">
        <f>K410*0.02</f>
        <v/>
      </c>
      <c r="N410" s="390">
        <f>K410+L410+M410</f>
        <v/>
      </c>
      <c r="O410" s="390">
        <f>IF(G410&gt;0, N410/G410, 0)</f>
        <v/>
      </c>
      <c r="P410" s="391" t="n">
        <v>0.1</v>
      </c>
      <c r="Q410" s="390">
        <f>O410*(1+P410)</f>
        <v/>
      </c>
      <c r="R410" s="390">
        <f>G410*Q410</f>
        <v/>
      </c>
      <c r="S410" t="inlineStr">
        <is>
          <t>Hàng thương mại</t>
        </is>
      </c>
    </row>
    <row r="411">
      <c r="A411" t="n">
        <v>410</v>
      </c>
      <c r="B411" t="inlineStr">
        <is>
          <t>SW-TRD-410</t>
        </is>
      </c>
      <c r="C411" t="inlineStr">
        <is>
          <t>THƯƠNG MẠI</t>
        </is>
      </c>
      <c r="D411" t="inlineStr">
        <is>
          <t>DÀN NÓNG ODU-A1.3-0206 11.2kW</t>
        </is>
      </c>
      <c r="E411" t="inlineStr">
        <is>
          <t>-</t>
        </is>
      </c>
      <c r="F411" t="inlineStr">
        <is>
          <t>Bộ</t>
        </is>
      </c>
      <c r="G411" s="390" t="n">
        <v>1</v>
      </c>
      <c r="H411" s="390">
        <f>SUMIF('01_BOC_TACH_ONG'!B:B, B411, '01_BOC_TACH_ONG'!K:K)</f>
        <v/>
      </c>
      <c r="I411" s="390">
        <f>SUMIF('02_BOC_TACH_CUA'!B:B, B411, '02_BOC_TACH_CUA'!K:K)</f>
        <v/>
      </c>
      <c r="J411" s="390">
        <f>SUMIF('03_BOC_TACH_VAN'!B:B, B411, '03_BOC_TACH_VAN'!K:K)</f>
        <v/>
      </c>
      <c r="K411" s="390">
        <f>SUM(H411:J411)</f>
        <v/>
      </c>
      <c r="L411" s="390">
        <f>K411*0.00</f>
        <v/>
      </c>
      <c r="M411" s="390">
        <f>K411*0.02</f>
        <v/>
      </c>
      <c r="N411" s="390">
        <f>K411+L411+M411</f>
        <v/>
      </c>
      <c r="O411" s="390">
        <f>IF(G411&gt;0, N411/G411, 0)</f>
        <v/>
      </c>
      <c r="P411" s="391" t="n">
        <v>0.1</v>
      </c>
      <c r="Q411" s="390">
        <f>O411*(1+P411)</f>
        <v/>
      </c>
      <c r="R411" s="390">
        <f>G411*Q411</f>
        <v/>
      </c>
      <c r="S411" t="inlineStr">
        <is>
          <t>Hàng thương mại</t>
        </is>
      </c>
    </row>
    <row r="412">
      <c r="A412" t="n">
        <v>411</v>
      </c>
      <c r="B412" t="inlineStr">
        <is>
          <t>SW-TRD-411</t>
        </is>
      </c>
      <c r="C412" t="inlineStr">
        <is>
          <t>THƯƠNG MẠI</t>
        </is>
      </c>
      <c r="D412" t="inlineStr">
        <is>
          <t>DÀN NÓNG ODU-A1.3-0208A 14kW</t>
        </is>
      </c>
      <c r="E412" t="inlineStr">
        <is>
          <t>-</t>
        </is>
      </c>
      <c r="F412" t="inlineStr">
        <is>
          <t>Bộ</t>
        </is>
      </c>
      <c r="G412" s="390" t="n">
        <v>1</v>
      </c>
      <c r="H412" s="390">
        <f>SUMIF('01_BOC_TACH_ONG'!B:B, B412, '01_BOC_TACH_ONG'!K:K)</f>
        <v/>
      </c>
      <c r="I412" s="390">
        <f>SUMIF('02_BOC_TACH_CUA'!B:B, B412, '02_BOC_TACH_CUA'!K:K)</f>
        <v/>
      </c>
      <c r="J412" s="390">
        <f>SUMIF('03_BOC_TACH_VAN'!B:B, B412, '03_BOC_TACH_VAN'!K:K)</f>
        <v/>
      </c>
      <c r="K412" s="390">
        <f>SUM(H412:J412)</f>
        <v/>
      </c>
      <c r="L412" s="390">
        <f>K412*0.00</f>
        <v/>
      </c>
      <c r="M412" s="390">
        <f>K412*0.02</f>
        <v/>
      </c>
      <c r="N412" s="390">
        <f>K412+L412+M412</f>
        <v/>
      </c>
      <c r="O412" s="390">
        <f>IF(G412&gt;0, N412/G412, 0)</f>
        <v/>
      </c>
      <c r="P412" s="391" t="n">
        <v>0.1</v>
      </c>
      <c r="Q412" s="390">
        <f>O412*(1+P412)</f>
        <v/>
      </c>
      <c r="R412" s="390">
        <f>G412*Q412</f>
        <v/>
      </c>
      <c r="S412" t="inlineStr">
        <is>
          <t>Hàng thương mại</t>
        </is>
      </c>
    </row>
    <row r="413">
      <c r="A413" t="n">
        <v>412</v>
      </c>
      <c r="B413" t="inlineStr">
        <is>
          <t>SW-TRD-412</t>
        </is>
      </c>
      <c r="C413" t="inlineStr">
        <is>
          <t>THƯƠNG MẠI</t>
        </is>
      </c>
      <c r="D413" t="inlineStr">
        <is>
          <t>DÀN NÓNG Vật tư phụ, phụ kiện</t>
        </is>
      </c>
      <c r="E413" t="inlineStr">
        <is>
          <t>-</t>
        </is>
      </c>
      <c r="F413" t="inlineStr">
        <is>
          <t>Lô</t>
        </is>
      </c>
      <c r="G413" s="390" t="n">
        <v>1</v>
      </c>
      <c r="H413" s="390">
        <f>SUMIF('01_BOC_TACH_ONG'!B:B, B413, '01_BOC_TACH_ONG'!K:K)</f>
        <v/>
      </c>
      <c r="I413" s="390">
        <f>SUMIF('02_BOC_TACH_CUA'!B:B, B413, '02_BOC_TACH_CUA'!K:K)</f>
        <v/>
      </c>
      <c r="J413" s="390">
        <f>SUMIF('03_BOC_TACH_VAN'!B:B, B413, '03_BOC_TACH_VAN'!K:K)</f>
        <v/>
      </c>
      <c r="K413" s="390">
        <f>SUM(H413:J413)</f>
        <v/>
      </c>
      <c r="L413" s="390">
        <f>K413*0.00</f>
        <v/>
      </c>
      <c r="M413" s="390">
        <f>K413*0.02</f>
        <v/>
      </c>
      <c r="N413" s="390">
        <f>K413+L413+M413</f>
        <v/>
      </c>
      <c r="O413" s="390">
        <f>IF(G413&gt;0, N413/G413, 0)</f>
        <v/>
      </c>
      <c r="P413" s="391" t="n">
        <v>0.1</v>
      </c>
      <c r="Q413" s="390">
        <f>O413*(1+P413)</f>
        <v/>
      </c>
      <c r="R413" s="390">
        <f>G413*Q413</f>
        <v/>
      </c>
      <c r="S413" t="inlineStr">
        <is>
          <t>Hàng thương mại</t>
        </is>
      </c>
    </row>
    <row r="414">
      <c r="A414" t="n">
        <v>413</v>
      </c>
      <c r="B414" t="inlineStr">
        <is>
          <t>SW-TRD-413</t>
        </is>
      </c>
      <c r="C414" t="inlineStr">
        <is>
          <t>THƯƠNG MẠI</t>
        </is>
      </c>
      <c r="D414" t="inlineStr">
        <is>
          <t>DÀN LẠNH IDU-A1.1-1F-01~03 11.2kW</t>
        </is>
      </c>
      <c r="E414" t="inlineStr">
        <is>
          <t>-</t>
        </is>
      </c>
      <c r="F414" t="inlineStr">
        <is>
          <t>Bộ</t>
        </is>
      </c>
      <c r="G414" s="390" t="n">
        <v>3</v>
      </c>
      <c r="H414" s="390">
        <f>SUMIF('01_BOC_TACH_ONG'!B:B, B414, '01_BOC_TACH_ONG'!K:K)</f>
        <v/>
      </c>
      <c r="I414" s="390">
        <f>SUMIF('02_BOC_TACH_CUA'!B:B, B414, '02_BOC_TACH_CUA'!K:K)</f>
        <v/>
      </c>
      <c r="J414" s="390">
        <f>SUMIF('03_BOC_TACH_VAN'!B:B, B414, '03_BOC_TACH_VAN'!K:K)</f>
        <v/>
      </c>
      <c r="K414" s="390">
        <f>SUM(H414:J414)</f>
        <v/>
      </c>
      <c r="L414" s="390">
        <f>K414*0.00</f>
        <v/>
      </c>
      <c r="M414" s="390">
        <f>K414*0.02</f>
        <v/>
      </c>
      <c r="N414" s="390">
        <f>K414+L414+M414</f>
        <v/>
      </c>
      <c r="O414" s="390">
        <f>IF(G414&gt;0, N414/G414, 0)</f>
        <v/>
      </c>
      <c r="P414" s="391" t="n">
        <v>0.1</v>
      </c>
      <c r="Q414" s="390">
        <f>O414*(1+P414)</f>
        <v/>
      </c>
      <c r="R414" s="390">
        <f>G414*Q414</f>
        <v/>
      </c>
      <c r="S414" t="inlineStr">
        <is>
          <t>Hàng thương mại</t>
        </is>
      </c>
    </row>
    <row r="415">
      <c r="A415" t="n">
        <v>414</v>
      </c>
      <c r="B415" t="inlineStr">
        <is>
          <t>SW-TRD-414</t>
        </is>
      </c>
      <c r="C415" t="inlineStr">
        <is>
          <t>THƯƠNG MẠI</t>
        </is>
      </c>
      <c r="D415" t="inlineStr">
        <is>
          <t>DÀN LẠNH IDU-A1.1-1F-04 11.2kW</t>
        </is>
      </c>
      <c r="E415" t="inlineStr">
        <is>
          <t>-</t>
        </is>
      </c>
      <c r="F415" t="inlineStr">
        <is>
          <t>Bộ</t>
        </is>
      </c>
      <c r="G415" s="390" t="n">
        <v>1</v>
      </c>
      <c r="H415" s="390">
        <f>SUMIF('01_BOC_TACH_ONG'!B:B, B415, '01_BOC_TACH_ONG'!K:K)</f>
        <v/>
      </c>
      <c r="I415" s="390">
        <f>SUMIF('02_BOC_TACH_CUA'!B:B, B415, '02_BOC_TACH_CUA'!K:K)</f>
        <v/>
      </c>
      <c r="J415" s="390">
        <f>SUMIF('03_BOC_TACH_VAN'!B:B, B415, '03_BOC_TACH_VAN'!K:K)</f>
        <v/>
      </c>
      <c r="K415" s="390">
        <f>SUM(H415:J415)</f>
        <v/>
      </c>
      <c r="L415" s="390">
        <f>K415*0.00</f>
        <v/>
      </c>
      <c r="M415" s="390">
        <f>K415*0.02</f>
        <v/>
      </c>
      <c r="N415" s="390">
        <f>K415+L415+M415</f>
        <v/>
      </c>
      <c r="O415" s="390">
        <f>IF(G415&gt;0, N415/G415, 0)</f>
        <v/>
      </c>
      <c r="P415" s="391" t="n">
        <v>0.1</v>
      </c>
      <c r="Q415" s="390">
        <f>O415*(1+P415)</f>
        <v/>
      </c>
      <c r="R415" s="390">
        <f>G415*Q415</f>
        <v/>
      </c>
      <c r="S415" t="inlineStr">
        <is>
          <t>Hàng thương mại</t>
        </is>
      </c>
    </row>
    <row r="416">
      <c r="A416" t="n">
        <v>415</v>
      </c>
      <c r="B416" t="inlineStr">
        <is>
          <t>SW-TRD-415</t>
        </is>
      </c>
      <c r="C416" t="inlineStr">
        <is>
          <t>THƯƠNG MẠI</t>
        </is>
      </c>
      <c r="D416" t="inlineStr">
        <is>
          <t>DÀN LẠNH IDU-A1.1-1F-05 7.1kW</t>
        </is>
      </c>
      <c r="E416" t="inlineStr">
        <is>
          <t>-</t>
        </is>
      </c>
      <c r="F416" t="inlineStr">
        <is>
          <t>Bộ</t>
        </is>
      </c>
      <c r="G416" s="390" t="n">
        <v>1</v>
      </c>
      <c r="H416" s="390">
        <f>SUMIF('01_BOC_TACH_ONG'!B:B, B416, '01_BOC_TACH_ONG'!K:K)</f>
        <v/>
      </c>
      <c r="I416" s="390">
        <f>SUMIF('02_BOC_TACH_CUA'!B:B, B416, '02_BOC_TACH_CUA'!K:K)</f>
        <v/>
      </c>
      <c r="J416" s="390">
        <f>SUMIF('03_BOC_TACH_VAN'!B:B, B416, '03_BOC_TACH_VAN'!K:K)</f>
        <v/>
      </c>
      <c r="K416" s="390">
        <f>SUM(H416:J416)</f>
        <v/>
      </c>
      <c r="L416" s="390">
        <f>K416*0.00</f>
        <v/>
      </c>
      <c r="M416" s="390">
        <f>K416*0.02</f>
        <v/>
      </c>
      <c r="N416" s="390">
        <f>K416+L416+M416</f>
        <v/>
      </c>
      <c r="O416" s="390">
        <f>IF(G416&gt;0, N416/G416, 0)</f>
        <v/>
      </c>
      <c r="P416" s="391" t="n">
        <v>0.1</v>
      </c>
      <c r="Q416" s="390">
        <f>O416*(1+P416)</f>
        <v/>
      </c>
      <c r="R416" s="390">
        <f>G416*Q416</f>
        <v/>
      </c>
      <c r="S416" t="inlineStr">
        <is>
          <t>Hàng thương mại</t>
        </is>
      </c>
    </row>
    <row r="417">
      <c r="A417" t="n">
        <v>416</v>
      </c>
      <c r="B417" t="inlineStr">
        <is>
          <t>SW-TRD-416</t>
        </is>
      </c>
      <c r="C417" t="inlineStr">
        <is>
          <t>THƯƠNG MẠI</t>
        </is>
      </c>
      <c r="D417" t="inlineStr">
        <is>
          <t>DÀN LẠNH IDU-A1.1-1F-06 14kW</t>
        </is>
      </c>
      <c r="E417" t="inlineStr">
        <is>
          <t>-</t>
        </is>
      </c>
      <c r="F417" t="inlineStr">
        <is>
          <t>Bộ</t>
        </is>
      </c>
      <c r="G417" s="390" t="n">
        <v>1</v>
      </c>
      <c r="H417" s="390">
        <f>SUMIF('01_BOC_TACH_ONG'!B:B, B417, '01_BOC_TACH_ONG'!K:K)</f>
        <v/>
      </c>
      <c r="I417" s="390">
        <f>SUMIF('02_BOC_TACH_CUA'!B:B, B417, '02_BOC_TACH_CUA'!K:K)</f>
        <v/>
      </c>
      <c r="J417" s="390">
        <f>SUMIF('03_BOC_TACH_VAN'!B:B, B417, '03_BOC_TACH_VAN'!K:K)</f>
        <v/>
      </c>
      <c r="K417" s="390">
        <f>SUM(H417:J417)</f>
        <v/>
      </c>
      <c r="L417" s="390">
        <f>K417*0.00</f>
        <v/>
      </c>
      <c r="M417" s="390">
        <f>K417*0.02</f>
        <v/>
      </c>
      <c r="N417" s="390">
        <f>K417+L417+M417</f>
        <v/>
      </c>
      <c r="O417" s="390">
        <f>IF(G417&gt;0, N417/G417, 0)</f>
        <v/>
      </c>
      <c r="P417" s="391" t="n">
        <v>0.1</v>
      </c>
      <c r="Q417" s="390">
        <f>O417*(1+P417)</f>
        <v/>
      </c>
      <c r="R417" s="390">
        <f>G417*Q417</f>
        <v/>
      </c>
      <c r="S417" t="inlineStr">
        <is>
          <t>Hàng thương mại</t>
        </is>
      </c>
    </row>
    <row r="418">
      <c r="A418" t="n">
        <v>417</v>
      </c>
      <c r="B418" t="inlineStr">
        <is>
          <t>SW-TRD-417</t>
        </is>
      </c>
      <c r="C418" t="inlineStr">
        <is>
          <t>THƯƠNG MẠI</t>
        </is>
      </c>
      <c r="D418" t="inlineStr">
        <is>
          <t>DÀN LẠNH IDU-A1.1-1F-07~09 11.2kW</t>
        </is>
      </c>
      <c r="E418" t="inlineStr">
        <is>
          <t>-</t>
        </is>
      </c>
      <c r="F418" t="inlineStr">
        <is>
          <t>Bộ</t>
        </is>
      </c>
      <c r="G418" s="390" t="n">
        <v>3</v>
      </c>
      <c r="H418" s="390">
        <f>SUMIF('01_BOC_TACH_ONG'!B:B, B418, '01_BOC_TACH_ONG'!K:K)</f>
        <v/>
      </c>
      <c r="I418" s="390">
        <f>SUMIF('02_BOC_TACH_CUA'!B:B, B418, '02_BOC_TACH_CUA'!K:K)</f>
        <v/>
      </c>
      <c r="J418" s="390">
        <f>SUMIF('03_BOC_TACH_VAN'!B:B, B418, '03_BOC_TACH_VAN'!K:K)</f>
        <v/>
      </c>
      <c r="K418" s="390">
        <f>SUM(H418:J418)</f>
        <v/>
      </c>
      <c r="L418" s="390">
        <f>K418*0.00</f>
        <v/>
      </c>
      <c r="M418" s="390">
        <f>K418*0.02</f>
        <v/>
      </c>
      <c r="N418" s="390">
        <f>K418+L418+M418</f>
        <v/>
      </c>
      <c r="O418" s="390">
        <f>IF(G418&gt;0, N418/G418, 0)</f>
        <v/>
      </c>
      <c r="P418" s="391" t="n">
        <v>0.1</v>
      </c>
      <c r="Q418" s="390">
        <f>O418*(1+P418)</f>
        <v/>
      </c>
      <c r="R418" s="390">
        <f>G418*Q418</f>
        <v/>
      </c>
      <c r="S418" t="inlineStr">
        <is>
          <t>Hàng thương mại</t>
        </is>
      </c>
    </row>
    <row r="419">
      <c r="A419" t="n">
        <v>418</v>
      </c>
      <c r="B419" t="inlineStr">
        <is>
          <t>SW-TRD-418</t>
        </is>
      </c>
      <c r="C419" t="inlineStr">
        <is>
          <t>THƯƠNG MẠI</t>
        </is>
      </c>
      <c r="D419" t="inlineStr">
        <is>
          <t>DÀN LẠNH IDU-A1.1-1F-10, 11 5.6kW</t>
        </is>
      </c>
      <c r="E419" t="inlineStr">
        <is>
          <t>-</t>
        </is>
      </c>
      <c r="F419" t="inlineStr">
        <is>
          <t>Bộ</t>
        </is>
      </c>
      <c r="G419" s="390" t="n">
        <v>2</v>
      </c>
      <c r="H419" s="390">
        <f>SUMIF('01_BOC_TACH_ONG'!B:B, B419, '01_BOC_TACH_ONG'!K:K)</f>
        <v/>
      </c>
      <c r="I419" s="390">
        <f>SUMIF('02_BOC_TACH_CUA'!B:B, B419, '02_BOC_TACH_CUA'!K:K)</f>
        <v/>
      </c>
      <c r="J419" s="390">
        <f>SUMIF('03_BOC_TACH_VAN'!B:B, B419, '03_BOC_TACH_VAN'!K:K)</f>
        <v/>
      </c>
      <c r="K419" s="390">
        <f>SUM(H419:J419)</f>
        <v/>
      </c>
      <c r="L419" s="390">
        <f>K419*0.00</f>
        <v/>
      </c>
      <c r="M419" s="390">
        <f>K419*0.02</f>
        <v/>
      </c>
      <c r="N419" s="390">
        <f>K419+L419+M419</f>
        <v/>
      </c>
      <c r="O419" s="390">
        <f>IF(G419&gt;0, N419/G419, 0)</f>
        <v/>
      </c>
      <c r="P419" s="391" t="n">
        <v>0.1</v>
      </c>
      <c r="Q419" s="390">
        <f>O419*(1+P419)</f>
        <v/>
      </c>
      <c r="R419" s="390">
        <f>G419*Q419</f>
        <v/>
      </c>
      <c r="S419" t="inlineStr">
        <is>
          <t>Hàng thương mại</t>
        </is>
      </c>
    </row>
    <row r="420">
      <c r="A420" t="n">
        <v>419</v>
      </c>
      <c r="B420" t="inlineStr">
        <is>
          <t>SW-TRD-419</t>
        </is>
      </c>
      <c r="C420" t="inlineStr">
        <is>
          <t>THƯƠNG MẠI</t>
        </is>
      </c>
      <c r="D420" t="inlineStr">
        <is>
          <t>DÀN LẠNH IDU-A1.1-2F-01 11.2kW</t>
        </is>
      </c>
      <c r="E420" t="inlineStr">
        <is>
          <t>-</t>
        </is>
      </c>
      <c r="F420" t="inlineStr">
        <is>
          <t>Bộ</t>
        </is>
      </c>
      <c r="G420" s="390" t="n">
        <v>1</v>
      </c>
      <c r="H420" s="390">
        <f>SUMIF('01_BOC_TACH_ONG'!B:B, B420, '01_BOC_TACH_ONG'!K:K)</f>
        <v/>
      </c>
      <c r="I420" s="390">
        <f>SUMIF('02_BOC_TACH_CUA'!B:B, B420, '02_BOC_TACH_CUA'!K:K)</f>
        <v/>
      </c>
      <c r="J420" s="390">
        <f>SUMIF('03_BOC_TACH_VAN'!B:B, B420, '03_BOC_TACH_VAN'!K:K)</f>
        <v/>
      </c>
      <c r="K420" s="390">
        <f>SUM(H420:J420)</f>
        <v/>
      </c>
      <c r="L420" s="390">
        <f>K420*0.00</f>
        <v/>
      </c>
      <c r="M420" s="390">
        <f>K420*0.02</f>
        <v/>
      </c>
      <c r="N420" s="390">
        <f>K420+L420+M420</f>
        <v/>
      </c>
      <c r="O420" s="390">
        <f>IF(G420&gt;0, N420/G420, 0)</f>
        <v/>
      </c>
      <c r="P420" s="391" t="n">
        <v>0.1</v>
      </c>
      <c r="Q420" s="390">
        <f>O420*(1+P420)</f>
        <v/>
      </c>
      <c r="R420" s="390">
        <f>G420*Q420</f>
        <v/>
      </c>
      <c r="S420" t="inlineStr">
        <is>
          <t>Hàng thương mại</t>
        </is>
      </c>
    </row>
    <row r="421">
      <c r="A421" t="n">
        <v>420</v>
      </c>
      <c r="B421" t="inlineStr">
        <is>
          <t>SW-TRD-420</t>
        </is>
      </c>
      <c r="C421" t="inlineStr">
        <is>
          <t>THƯƠNG MẠI</t>
        </is>
      </c>
      <c r="D421" t="inlineStr">
        <is>
          <t>DÀN LẠNH IDU-A1.1-2F-02, 03 9kW</t>
        </is>
      </c>
      <c r="E421" t="inlineStr">
        <is>
          <t>-</t>
        </is>
      </c>
      <c r="F421" t="inlineStr">
        <is>
          <t>Bộ</t>
        </is>
      </c>
      <c r="G421" s="390" t="n">
        <v>2</v>
      </c>
      <c r="H421" s="390">
        <f>SUMIF('01_BOC_TACH_ONG'!B:B, B421, '01_BOC_TACH_ONG'!K:K)</f>
        <v/>
      </c>
      <c r="I421" s="390">
        <f>SUMIF('02_BOC_TACH_CUA'!B:B, B421, '02_BOC_TACH_CUA'!K:K)</f>
        <v/>
      </c>
      <c r="J421" s="390">
        <f>SUMIF('03_BOC_TACH_VAN'!B:B, B421, '03_BOC_TACH_VAN'!K:K)</f>
        <v/>
      </c>
      <c r="K421" s="390">
        <f>SUM(H421:J421)</f>
        <v/>
      </c>
      <c r="L421" s="390">
        <f>K421*0.00</f>
        <v/>
      </c>
      <c r="M421" s="390">
        <f>K421*0.02</f>
        <v/>
      </c>
      <c r="N421" s="390">
        <f>K421+L421+M421</f>
        <v/>
      </c>
      <c r="O421" s="390">
        <f>IF(G421&gt;0, N421/G421, 0)</f>
        <v/>
      </c>
      <c r="P421" s="391" t="n">
        <v>0.1</v>
      </c>
      <c r="Q421" s="390">
        <f>O421*(1+P421)</f>
        <v/>
      </c>
      <c r="R421" s="390">
        <f>G421*Q421</f>
        <v/>
      </c>
      <c r="S421" t="inlineStr">
        <is>
          <t>Hàng thương mại</t>
        </is>
      </c>
    </row>
    <row r="422">
      <c r="A422" t="n">
        <v>421</v>
      </c>
      <c r="B422" t="inlineStr">
        <is>
          <t>SW-TRD-421</t>
        </is>
      </c>
      <c r="C422" t="inlineStr">
        <is>
          <t>THƯƠNG MẠI</t>
        </is>
      </c>
      <c r="D422" t="inlineStr">
        <is>
          <t>DÀN LẠNH IDU-A1.1-2F-04, 05 11.2kW</t>
        </is>
      </c>
      <c r="E422" t="inlineStr">
        <is>
          <t>-</t>
        </is>
      </c>
      <c r="F422" t="inlineStr">
        <is>
          <t>Bộ</t>
        </is>
      </c>
      <c r="G422" s="390" t="n">
        <v>2</v>
      </c>
      <c r="H422" s="390">
        <f>SUMIF('01_BOC_TACH_ONG'!B:B, B422, '01_BOC_TACH_ONG'!K:K)</f>
        <v/>
      </c>
      <c r="I422" s="390">
        <f>SUMIF('02_BOC_TACH_CUA'!B:B, B422, '02_BOC_TACH_CUA'!K:K)</f>
        <v/>
      </c>
      <c r="J422" s="390">
        <f>SUMIF('03_BOC_TACH_VAN'!B:B, B422, '03_BOC_TACH_VAN'!K:K)</f>
        <v/>
      </c>
      <c r="K422" s="390">
        <f>SUM(H422:J422)</f>
        <v/>
      </c>
      <c r="L422" s="390">
        <f>K422*0.00</f>
        <v/>
      </c>
      <c r="M422" s="390">
        <f>K422*0.02</f>
        <v/>
      </c>
      <c r="N422" s="390">
        <f>K422+L422+M422</f>
        <v/>
      </c>
      <c r="O422" s="390">
        <f>IF(G422&gt;0, N422/G422, 0)</f>
        <v/>
      </c>
      <c r="P422" s="391" t="n">
        <v>0.1</v>
      </c>
      <c r="Q422" s="390">
        <f>O422*(1+P422)</f>
        <v/>
      </c>
      <c r="R422" s="390">
        <f>G422*Q422</f>
        <v/>
      </c>
      <c r="S422" t="inlineStr">
        <is>
          <t>Hàng thương mại</t>
        </is>
      </c>
    </row>
    <row r="423">
      <c r="A423" t="n">
        <v>422</v>
      </c>
      <c r="B423" t="inlineStr">
        <is>
          <t>SW-TRD-422</t>
        </is>
      </c>
      <c r="C423" t="inlineStr">
        <is>
          <t>THƯƠNG MẠI</t>
        </is>
      </c>
      <c r="D423" t="inlineStr">
        <is>
          <t>DÀN LẠNH IDU-A1.1-2F-06, 07 11.2kW</t>
        </is>
      </c>
      <c r="E423" t="inlineStr">
        <is>
          <t>-</t>
        </is>
      </c>
      <c r="F423" t="inlineStr">
        <is>
          <t>Bộ</t>
        </is>
      </c>
      <c r="G423" s="390" t="n">
        <v>2</v>
      </c>
      <c r="H423" s="390">
        <f>SUMIF('01_BOC_TACH_ONG'!B:B, B423, '01_BOC_TACH_ONG'!K:K)</f>
        <v/>
      </c>
      <c r="I423" s="390">
        <f>SUMIF('02_BOC_TACH_CUA'!B:B, B423, '02_BOC_TACH_CUA'!K:K)</f>
        <v/>
      </c>
      <c r="J423" s="390">
        <f>SUMIF('03_BOC_TACH_VAN'!B:B, B423, '03_BOC_TACH_VAN'!K:K)</f>
        <v/>
      </c>
      <c r="K423" s="390">
        <f>SUM(H423:J423)</f>
        <v/>
      </c>
      <c r="L423" s="390">
        <f>K423*0.00</f>
        <v/>
      </c>
      <c r="M423" s="390">
        <f>K423*0.02</f>
        <v/>
      </c>
      <c r="N423" s="390">
        <f>K423+L423+M423</f>
        <v/>
      </c>
      <c r="O423" s="390">
        <f>IF(G423&gt;0, N423/G423, 0)</f>
        <v/>
      </c>
      <c r="P423" s="391" t="n">
        <v>0.1</v>
      </c>
      <c r="Q423" s="390">
        <f>O423*(1+P423)</f>
        <v/>
      </c>
      <c r="R423" s="390">
        <f>G423*Q423</f>
        <v/>
      </c>
      <c r="S423" t="inlineStr">
        <is>
          <t>Hàng thương mại</t>
        </is>
      </c>
    </row>
    <row r="424">
      <c r="A424" t="n">
        <v>423</v>
      </c>
      <c r="B424" t="inlineStr">
        <is>
          <t>SW-TRD-423</t>
        </is>
      </c>
      <c r="C424" t="inlineStr">
        <is>
          <t>THƯƠNG MẠI</t>
        </is>
      </c>
      <c r="D424" t="inlineStr">
        <is>
          <t>DÀN LẠNH IDU-A1.1-2F-08, 09 9kW</t>
        </is>
      </c>
      <c r="E424" t="inlineStr">
        <is>
          <t>-</t>
        </is>
      </c>
      <c r="F424" t="inlineStr">
        <is>
          <t>Bộ</t>
        </is>
      </c>
      <c r="G424" s="390" t="n">
        <v>2</v>
      </c>
      <c r="H424" s="390">
        <f>SUMIF('01_BOC_TACH_ONG'!B:B, B424, '01_BOC_TACH_ONG'!K:K)</f>
        <v/>
      </c>
      <c r="I424" s="390">
        <f>SUMIF('02_BOC_TACH_CUA'!B:B, B424, '02_BOC_TACH_CUA'!K:K)</f>
        <v/>
      </c>
      <c r="J424" s="390">
        <f>SUMIF('03_BOC_TACH_VAN'!B:B, B424, '03_BOC_TACH_VAN'!K:K)</f>
        <v/>
      </c>
      <c r="K424" s="390">
        <f>SUM(H424:J424)</f>
        <v/>
      </c>
      <c r="L424" s="390">
        <f>K424*0.00</f>
        <v/>
      </c>
      <c r="M424" s="390">
        <f>K424*0.02</f>
        <v/>
      </c>
      <c r="N424" s="390">
        <f>K424+L424+M424</f>
        <v/>
      </c>
      <c r="O424" s="390">
        <f>IF(G424&gt;0, N424/G424, 0)</f>
        <v/>
      </c>
      <c r="P424" s="391" t="n">
        <v>0.1</v>
      </c>
      <c r="Q424" s="390">
        <f>O424*(1+P424)</f>
        <v/>
      </c>
      <c r="R424" s="390">
        <f>G424*Q424</f>
        <v/>
      </c>
      <c r="S424" t="inlineStr">
        <is>
          <t>Hàng thương mại</t>
        </is>
      </c>
    </row>
    <row r="425">
      <c r="A425" t="n">
        <v>424</v>
      </c>
      <c r="B425" t="inlineStr">
        <is>
          <t>SW-TRD-424</t>
        </is>
      </c>
      <c r="C425" t="inlineStr">
        <is>
          <t>THƯƠNG MẠI</t>
        </is>
      </c>
      <c r="D425" t="inlineStr">
        <is>
          <t>DÀN LẠNH IDU-A1.1-2F-10, 11 4.5kW</t>
        </is>
      </c>
      <c r="E425" t="inlineStr">
        <is>
          <t>-</t>
        </is>
      </c>
      <c r="F425" t="inlineStr">
        <is>
          <t>Bộ</t>
        </is>
      </c>
      <c r="G425" s="390" t="n">
        <v>2</v>
      </c>
      <c r="H425" s="390">
        <f>SUMIF('01_BOC_TACH_ONG'!B:B, B425, '01_BOC_TACH_ONG'!K:K)</f>
        <v/>
      </c>
      <c r="I425" s="390">
        <f>SUMIF('02_BOC_TACH_CUA'!B:B, B425, '02_BOC_TACH_CUA'!K:K)</f>
        <v/>
      </c>
      <c r="J425" s="390">
        <f>SUMIF('03_BOC_TACH_VAN'!B:B, B425, '03_BOC_TACH_VAN'!K:K)</f>
        <v/>
      </c>
      <c r="K425" s="390">
        <f>SUM(H425:J425)</f>
        <v/>
      </c>
      <c r="L425" s="390">
        <f>K425*0.00</f>
        <v/>
      </c>
      <c r="M425" s="390">
        <f>K425*0.02</f>
        <v/>
      </c>
      <c r="N425" s="390">
        <f>K425+L425+M425</f>
        <v/>
      </c>
      <c r="O425" s="390">
        <f>IF(G425&gt;0, N425/G425, 0)</f>
        <v/>
      </c>
      <c r="P425" s="391" t="n">
        <v>0.1</v>
      </c>
      <c r="Q425" s="390">
        <f>O425*(1+P425)</f>
        <v/>
      </c>
      <c r="R425" s="390">
        <f>G425*Q425</f>
        <v/>
      </c>
      <c r="S425" t="inlineStr">
        <is>
          <t>Hàng thương mại</t>
        </is>
      </c>
    </row>
    <row r="426">
      <c r="A426" t="n">
        <v>425</v>
      </c>
      <c r="B426" t="inlineStr">
        <is>
          <t>SW-TRD-425</t>
        </is>
      </c>
      <c r="C426" t="inlineStr">
        <is>
          <t>THƯƠNG MẠI</t>
        </is>
      </c>
      <c r="D426" t="inlineStr">
        <is>
          <t>DÀN LẠNH IDU-A1.1-2F-12, 13 5.6kW</t>
        </is>
      </c>
      <c r="E426" t="inlineStr">
        <is>
          <t>-</t>
        </is>
      </c>
      <c r="F426" t="inlineStr">
        <is>
          <t>Bộ</t>
        </is>
      </c>
      <c r="G426" s="390" t="n">
        <v>2</v>
      </c>
      <c r="H426" s="390">
        <f>SUMIF('01_BOC_TACH_ONG'!B:B, B426, '01_BOC_TACH_ONG'!K:K)</f>
        <v/>
      </c>
      <c r="I426" s="390">
        <f>SUMIF('02_BOC_TACH_CUA'!B:B, B426, '02_BOC_TACH_CUA'!K:K)</f>
        <v/>
      </c>
      <c r="J426" s="390">
        <f>SUMIF('03_BOC_TACH_VAN'!B:B, B426, '03_BOC_TACH_VAN'!K:K)</f>
        <v/>
      </c>
      <c r="K426" s="390">
        <f>SUM(H426:J426)</f>
        <v/>
      </c>
      <c r="L426" s="390">
        <f>K426*0.00</f>
        <v/>
      </c>
      <c r="M426" s="390">
        <f>K426*0.02</f>
        <v/>
      </c>
      <c r="N426" s="390">
        <f>K426+L426+M426</f>
        <v/>
      </c>
      <c r="O426" s="390">
        <f>IF(G426&gt;0, N426/G426, 0)</f>
        <v/>
      </c>
      <c r="P426" s="391" t="n">
        <v>0.1</v>
      </c>
      <c r="Q426" s="390">
        <f>O426*(1+P426)</f>
        <v/>
      </c>
      <c r="R426" s="390">
        <f>G426*Q426</f>
        <v/>
      </c>
      <c r="S426" t="inlineStr">
        <is>
          <t>Hàng thương mại</t>
        </is>
      </c>
    </row>
    <row r="427">
      <c r="A427" t="n">
        <v>426</v>
      </c>
      <c r="B427" t="inlineStr">
        <is>
          <t>SW-TRD-426</t>
        </is>
      </c>
      <c r="C427" t="inlineStr">
        <is>
          <t>THƯƠNG MẠI</t>
        </is>
      </c>
      <c r="D427" t="inlineStr">
        <is>
          <t>DÀN LẠNH IDU-A1.1-2F-14, 15 4.5kW</t>
        </is>
      </c>
      <c r="E427" t="inlineStr">
        <is>
          <t>-</t>
        </is>
      </c>
      <c r="F427" t="inlineStr">
        <is>
          <t>Bộ</t>
        </is>
      </c>
      <c r="G427" s="390" t="n">
        <v>2</v>
      </c>
      <c r="H427" s="390">
        <f>SUMIF('01_BOC_TACH_ONG'!B:B, B427, '01_BOC_TACH_ONG'!K:K)</f>
        <v/>
      </c>
      <c r="I427" s="390">
        <f>SUMIF('02_BOC_TACH_CUA'!B:B, B427, '02_BOC_TACH_CUA'!K:K)</f>
        <v/>
      </c>
      <c r="J427" s="390">
        <f>SUMIF('03_BOC_TACH_VAN'!B:B, B427, '03_BOC_TACH_VAN'!K:K)</f>
        <v/>
      </c>
      <c r="K427" s="390">
        <f>SUM(H427:J427)</f>
        <v/>
      </c>
      <c r="L427" s="390">
        <f>K427*0.00</f>
        <v/>
      </c>
      <c r="M427" s="390">
        <f>K427*0.02</f>
        <v/>
      </c>
      <c r="N427" s="390">
        <f>K427+L427+M427</f>
        <v/>
      </c>
      <c r="O427" s="390">
        <f>IF(G427&gt;0, N427/G427, 0)</f>
        <v/>
      </c>
      <c r="P427" s="391" t="n">
        <v>0.1</v>
      </c>
      <c r="Q427" s="390">
        <f>O427*(1+P427)</f>
        <v/>
      </c>
      <c r="R427" s="390">
        <f>G427*Q427</f>
        <v/>
      </c>
      <c r="S427" t="inlineStr">
        <is>
          <t>Hàng thương mại</t>
        </is>
      </c>
    </row>
    <row r="428">
      <c r="A428" t="n">
        <v>427</v>
      </c>
      <c r="B428" t="inlineStr">
        <is>
          <t>SW-TRD-427</t>
        </is>
      </c>
      <c r="C428" t="inlineStr">
        <is>
          <t>THƯƠNG MẠI</t>
        </is>
      </c>
      <c r="D428" t="inlineStr">
        <is>
          <t>DÀN LẠNH IDU-A1.1-2F-16, 17 4.5kW</t>
        </is>
      </c>
      <c r="E428" t="inlineStr">
        <is>
          <t>-</t>
        </is>
      </c>
      <c r="F428" t="inlineStr">
        <is>
          <t>Bộ</t>
        </is>
      </c>
      <c r="G428" s="390" t="n">
        <v>2</v>
      </c>
      <c r="H428" s="390">
        <f>SUMIF('01_BOC_TACH_ONG'!B:B, B428, '01_BOC_TACH_ONG'!K:K)</f>
        <v/>
      </c>
      <c r="I428" s="390">
        <f>SUMIF('02_BOC_TACH_CUA'!B:B, B428, '02_BOC_TACH_CUA'!K:K)</f>
        <v/>
      </c>
      <c r="J428" s="390">
        <f>SUMIF('03_BOC_TACH_VAN'!B:B, B428, '03_BOC_TACH_VAN'!K:K)</f>
        <v/>
      </c>
      <c r="K428" s="390">
        <f>SUM(H428:J428)</f>
        <v/>
      </c>
      <c r="L428" s="390">
        <f>K428*0.00</f>
        <v/>
      </c>
      <c r="M428" s="390">
        <f>K428*0.02</f>
        <v/>
      </c>
      <c r="N428" s="390">
        <f>K428+L428+M428</f>
        <v/>
      </c>
      <c r="O428" s="390">
        <f>IF(G428&gt;0, N428/G428, 0)</f>
        <v/>
      </c>
      <c r="P428" s="391" t="n">
        <v>0.1</v>
      </c>
      <c r="Q428" s="390">
        <f>O428*(1+P428)</f>
        <v/>
      </c>
      <c r="R428" s="390">
        <f>G428*Q428</f>
        <v/>
      </c>
      <c r="S428" t="inlineStr">
        <is>
          <t>Hàng thương mại</t>
        </is>
      </c>
    </row>
    <row r="429">
      <c r="A429" t="n">
        <v>428</v>
      </c>
      <c r="B429" t="inlineStr">
        <is>
          <t>SW-TRD-428</t>
        </is>
      </c>
      <c r="C429" t="inlineStr">
        <is>
          <t>THƯƠNG MẠI</t>
        </is>
      </c>
      <c r="D429" t="inlineStr">
        <is>
          <t>DÀN LẠNH IDU-A1.1-2F-18, 19 7.1kW</t>
        </is>
      </c>
      <c r="E429" t="inlineStr">
        <is>
          <t>-</t>
        </is>
      </c>
      <c r="F429" t="inlineStr">
        <is>
          <t>Bộ</t>
        </is>
      </c>
      <c r="G429" s="390" t="n">
        <v>2</v>
      </c>
      <c r="H429" s="390">
        <f>SUMIF('01_BOC_TACH_ONG'!B:B, B429, '01_BOC_TACH_ONG'!K:K)</f>
        <v/>
      </c>
      <c r="I429" s="390">
        <f>SUMIF('02_BOC_TACH_CUA'!B:B, B429, '02_BOC_TACH_CUA'!K:K)</f>
        <v/>
      </c>
      <c r="J429" s="390">
        <f>SUMIF('03_BOC_TACH_VAN'!B:B, B429, '03_BOC_TACH_VAN'!K:K)</f>
        <v/>
      </c>
      <c r="K429" s="390">
        <f>SUM(H429:J429)</f>
        <v/>
      </c>
      <c r="L429" s="390">
        <f>K429*0.00</f>
        <v/>
      </c>
      <c r="M429" s="390">
        <f>K429*0.02</f>
        <v/>
      </c>
      <c r="N429" s="390">
        <f>K429+L429+M429</f>
        <v/>
      </c>
      <c r="O429" s="390">
        <f>IF(G429&gt;0, N429/G429, 0)</f>
        <v/>
      </c>
      <c r="P429" s="391" t="n">
        <v>0.1</v>
      </c>
      <c r="Q429" s="390">
        <f>O429*(1+P429)</f>
        <v/>
      </c>
      <c r="R429" s="390">
        <f>G429*Q429</f>
        <v/>
      </c>
      <c r="S429" t="inlineStr">
        <is>
          <t>Hàng thương mại</t>
        </is>
      </c>
    </row>
    <row r="430">
      <c r="A430" t="n">
        <v>429</v>
      </c>
      <c r="B430" t="inlineStr">
        <is>
          <t>SW-TRD-429</t>
        </is>
      </c>
      <c r="C430" t="inlineStr">
        <is>
          <t>THƯƠNG MẠI</t>
        </is>
      </c>
      <c r="D430" t="inlineStr">
        <is>
          <t>DÀN LẠNH IDU-A1.2-1F-01, 02 14kW</t>
        </is>
      </c>
      <c r="E430" t="inlineStr">
        <is>
          <t>-</t>
        </is>
      </c>
      <c r="F430" t="inlineStr">
        <is>
          <t>Bộ</t>
        </is>
      </c>
      <c r="G430" s="390" t="n">
        <v>2</v>
      </c>
      <c r="H430" s="390">
        <f>SUMIF('01_BOC_TACH_ONG'!B:B, B430, '01_BOC_TACH_ONG'!K:K)</f>
        <v/>
      </c>
      <c r="I430" s="390">
        <f>SUMIF('02_BOC_TACH_CUA'!B:B, B430, '02_BOC_TACH_CUA'!K:K)</f>
        <v/>
      </c>
      <c r="J430" s="390">
        <f>SUMIF('03_BOC_TACH_VAN'!B:B, B430, '03_BOC_TACH_VAN'!K:K)</f>
        <v/>
      </c>
      <c r="K430" s="390">
        <f>SUM(H430:J430)</f>
        <v/>
      </c>
      <c r="L430" s="390">
        <f>K430*0.00</f>
        <v/>
      </c>
      <c r="M430" s="390">
        <f>K430*0.02</f>
        <v/>
      </c>
      <c r="N430" s="390">
        <f>K430+L430+M430</f>
        <v/>
      </c>
      <c r="O430" s="390">
        <f>IF(G430&gt;0, N430/G430, 0)</f>
        <v/>
      </c>
      <c r="P430" s="391" t="n">
        <v>0.1</v>
      </c>
      <c r="Q430" s="390">
        <f>O430*(1+P430)</f>
        <v/>
      </c>
      <c r="R430" s="390">
        <f>G430*Q430</f>
        <v/>
      </c>
      <c r="S430" t="inlineStr">
        <is>
          <t>Hàng thương mại</t>
        </is>
      </c>
    </row>
    <row r="431">
      <c r="A431" t="n">
        <v>430</v>
      </c>
      <c r="B431" t="inlineStr">
        <is>
          <t>SW-TRD-430</t>
        </is>
      </c>
      <c r="C431" t="inlineStr">
        <is>
          <t>THƯƠNG MẠI</t>
        </is>
      </c>
      <c r="D431" t="inlineStr">
        <is>
          <t>DÀN LẠNH IDU-A1.2-1F-03 14kW</t>
        </is>
      </c>
      <c r="E431" t="inlineStr">
        <is>
          <t>-</t>
        </is>
      </c>
      <c r="F431" t="inlineStr">
        <is>
          <t>Bộ</t>
        </is>
      </c>
      <c r="G431" s="390" t="n">
        <v>1</v>
      </c>
      <c r="H431" s="390">
        <f>SUMIF('01_BOC_TACH_ONG'!B:B, B431, '01_BOC_TACH_ONG'!K:K)</f>
        <v/>
      </c>
      <c r="I431" s="390">
        <f>SUMIF('02_BOC_TACH_CUA'!B:B, B431, '02_BOC_TACH_CUA'!K:K)</f>
        <v/>
      </c>
      <c r="J431" s="390">
        <f>SUMIF('03_BOC_TACH_VAN'!B:B, B431, '03_BOC_TACH_VAN'!K:K)</f>
        <v/>
      </c>
      <c r="K431" s="390">
        <f>SUM(H431:J431)</f>
        <v/>
      </c>
      <c r="L431" s="390">
        <f>K431*0.00</f>
        <v/>
      </c>
      <c r="M431" s="390">
        <f>K431*0.02</f>
        <v/>
      </c>
      <c r="N431" s="390">
        <f>K431+L431+M431</f>
        <v/>
      </c>
      <c r="O431" s="390">
        <f>IF(G431&gt;0, N431/G431, 0)</f>
        <v/>
      </c>
      <c r="P431" s="391" t="n">
        <v>0.1</v>
      </c>
      <c r="Q431" s="390">
        <f>O431*(1+P431)</f>
        <v/>
      </c>
      <c r="R431" s="390">
        <f>G431*Q431</f>
        <v/>
      </c>
      <c r="S431" t="inlineStr">
        <is>
          <t>Hàng thương mại</t>
        </is>
      </c>
    </row>
    <row r="432">
      <c r="A432" t="n">
        <v>431</v>
      </c>
      <c r="B432" t="inlineStr">
        <is>
          <t>SW-TRD-431</t>
        </is>
      </c>
      <c r="C432" t="inlineStr">
        <is>
          <t>THƯƠNG MẠI</t>
        </is>
      </c>
      <c r="D432" t="inlineStr">
        <is>
          <t>DÀN LẠNH IDU-A1.2-1F-04, 05 9kW</t>
        </is>
      </c>
      <c r="E432" t="inlineStr">
        <is>
          <t>-</t>
        </is>
      </c>
      <c r="F432" t="inlineStr">
        <is>
          <t>Bộ</t>
        </is>
      </c>
      <c r="G432" s="390" t="n">
        <v>1</v>
      </c>
      <c r="H432" s="390">
        <f>SUMIF('01_BOC_TACH_ONG'!B:B, B432, '01_BOC_TACH_ONG'!K:K)</f>
        <v/>
      </c>
      <c r="I432" s="390">
        <f>SUMIF('02_BOC_TACH_CUA'!B:B, B432, '02_BOC_TACH_CUA'!K:K)</f>
        <v/>
      </c>
      <c r="J432" s="390">
        <f>SUMIF('03_BOC_TACH_VAN'!B:B, B432, '03_BOC_TACH_VAN'!K:K)</f>
        <v/>
      </c>
      <c r="K432" s="390">
        <f>SUM(H432:J432)</f>
        <v/>
      </c>
      <c r="L432" s="390">
        <f>K432*0.00</f>
        <v/>
      </c>
      <c r="M432" s="390">
        <f>K432*0.02</f>
        <v/>
      </c>
      <c r="N432" s="390">
        <f>K432+L432+M432</f>
        <v/>
      </c>
      <c r="O432" s="390">
        <f>IF(G432&gt;0, N432/G432, 0)</f>
        <v/>
      </c>
      <c r="P432" s="391" t="n">
        <v>0.1</v>
      </c>
      <c r="Q432" s="390">
        <f>O432*(1+P432)</f>
        <v/>
      </c>
      <c r="R432" s="390">
        <f>G432*Q432</f>
        <v/>
      </c>
      <c r="S432" t="inlineStr">
        <is>
          <t>Hàng thương mại</t>
        </is>
      </c>
    </row>
    <row r="433">
      <c r="A433" t="n">
        <v>432</v>
      </c>
      <c r="B433" t="inlineStr">
        <is>
          <t>SW-TRD-432</t>
        </is>
      </c>
      <c r="C433" t="inlineStr">
        <is>
          <t>THƯƠNG MẠI</t>
        </is>
      </c>
      <c r="D433" t="inlineStr">
        <is>
          <t>DÀN LẠNH IDU-A1.2-1F-06, 07 14kW</t>
        </is>
      </c>
      <c r="E433" t="inlineStr">
        <is>
          <t>-</t>
        </is>
      </c>
      <c r="F433" t="inlineStr">
        <is>
          <t>Bộ</t>
        </is>
      </c>
      <c r="G433" s="390" t="n">
        <v>2</v>
      </c>
      <c r="H433" s="390">
        <f>SUMIF('01_BOC_TACH_ONG'!B:B, B433, '01_BOC_TACH_ONG'!K:K)</f>
        <v/>
      </c>
      <c r="I433" s="390">
        <f>SUMIF('02_BOC_TACH_CUA'!B:B, B433, '02_BOC_TACH_CUA'!K:K)</f>
        <v/>
      </c>
      <c r="J433" s="390">
        <f>SUMIF('03_BOC_TACH_VAN'!B:B, B433, '03_BOC_TACH_VAN'!K:K)</f>
        <v/>
      </c>
      <c r="K433" s="390">
        <f>SUM(H433:J433)</f>
        <v/>
      </c>
      <c r="L433" s="390">
        <f>K433*0.00</f>
        <v/>
      </c>
      <c r="M433" s="390">
        <f>K433*0.02</f>
        <v/>
      </c>
      <c r="N433" s="390">
        <f>K433+L433+M433</f>
        <v/>
      </c>
      <c r="O433" s="390">
        <f>IF(G433&gt;0, N433/G433, 0)</f>
        <v/>
      </c>
      <c r="P433" s="391" t="n">
        <v>0.1</v>
      </c>
      <c r="Q433" s="390">
        <f>O433*(1+P433)</f>
        <v/>
      </c>
      <c r="R433" s="390">
        <f>G433*Q433</f>
        <v/>
      </c>
      <c r="S433" t="inlineStr">
        <is>
          <t>Hàng thương mại</t>
        </is>
      </c>
    </row>
    <row r="434">
      <c r="A434" t="n">
        <v>433</v>
      </c>
      <c r="B434" t="inlineStr">
        <is>
          <t>SW-TRD-433</t>
        </is>
      </c>
      <c r="C434" t="inlineStr">
        <is>
          <t>THƯƠNG MẠI</t>
        </is>
      </c>
      <c r="D434" t="inlineStr">
        <is>
          <t>DÀN LẠNH IDU-A1.2-1F-08, 09 11.2kW</t>
        </is>
      </c>
      <c r="E434" t="inlineStr">
        <is>
          <t>-</t>
        </is>
      </c>
      <c r="F434" t="inlineStr">
        <is>
          <t>Bộ</t>
        </is>
      </c>
      <c r="G434" s="390" t="n">
        <v>2</v>
      </c>
      <c r="H434" s="390">
        <f>SUMIF('01_BOC_TACH_ONG'!B:B, B434, '01_BOC_TACH_ONG'!K:K)</f>
        <v/>
      </c>
      <c r="I434" s="390">
        <f>SUMIF('02_BOC_TACH_CUA'!B:B, B434, '02_BOC_TACH_CUA'!K:K)</f>
        <v/>
      </c>
      <c r="J434" s="390">
        <f>SUMIF('03_BOC_TACH_VAN'!B:B, B434, '03_BOC_TACH_VAN'!K:K)</f>
        <v/>
      </c>
      <c r="K434" s="390">
        <f>SUM(H434:J434)</f>
        <v/>
      </c>
      <c r="L434" s="390">
        <f>K434*0.00</f>
        <v/>
      </c>
      <c r="M434" s="390">
        <f>K434*0.02</f>
        <v/>
      </c>
      <c r="N434" s="390">
        <f>K434+L434+M434</f>
        <v/>
      </c>
      <c r="O434" s="390">
        <f>IF(G434&gt;0, N434/G434, 0)</f>
        <v/>
      </c>
      <c r="P434" s="391" t="n">
        <v>0.1</v>
      </c>
      <c r="Q434" s="390">
        <f>O434*(1+P434)</f>
        <v/>
      </c>
      <c r="R434" s="390">
        <f>G434*Q434</f>
        <v/>
      </c>
      <c r="S434" t="inlineStr">
        <is>
          <t>Hàng thương mại</t>
        </is>
      </c>
    </row>
    <row r="435">
      <c r="A435" t="n">
        <v>434</v>
      </c>
      <c r="B435" t="inlineStr">
        <is>
          <t>SW-TRD-434</t>
        </is>
      </c>
      <c r="C435" t="inlineStr">
        <is>
          <t>THƯƠNG MẠI</t>
        </is>
      </c>
      <c r="D435" t="inlineStr">
        <is>
          <t>DÀN LẠNH IDU-A1.2-1F-10, 11 11.2kW</t>
        </is>
      </c>
      <c r="E435" t="inlineStr">
        <is>
          <t>-</t>
        </is>
      </c>
      <c r="F435" t="inlineStr">
        <is>
          <t>Bộ</t>
        </is>
      </c>
      <c r="G435" s="390" t="n">
        <v>2</v>
      </c>
      <c r="H435" s="390">
        <f>SUMIF('01_BOC_TACH_ONG'!B:B, B435, '01_BOC_TACH_ONG'!K:K)</f>
        <v/>
      </c>
      <c r="I435" s="390">
        <f>SUMIF('02_BOC_TACH_CUA'!B:B, B435, '02_BOC_TACH_CUA'!K:K)</f>
        <v/>
      </c>
      <c r="J435" s="390">
        <f>SUMIF('03_BOC_TACH_VAN'!B:B, B435, '03_BOC_TACH_VAN'!K:K)</f>
        <v/>
      </c>
      <c r="K435" s="390">
        <f>SUM(H435:J435)</f>
        <v/>
      </c>
      <c r="L435" s="390">
        <f>K435*0.00</f>
        <v/>
      </c>
      <c r="M435" s="390">
        <f>K435*0.02</f>
        <v/>
      </c>
      <c r="N435" s="390">
        <f>K435+L435+M435</f>
        <v/>
      </c>
      <c r="O435" s="390">
        <f>IF(G435&gt;0, N435/G435, 0)</f>
        <v/>
      </c>
      <c r="P435" s="391" t="n">
        <v>0.1</v>
      </c>
      <c r="Q435" s="390">
        <f>O435*(1+P435)</f>
        <v/>
      </c>
      <c r="R435" s="390">
        <f>G435*Q435</f>
        <v/>
      </c>
      <c r="S435" t="inlineStr">
        <is>
          <t>Hàng thương mại</t>
        </is>
      </c>
    </row>
    <row r="436">
      <c r="A436" t="n">
        <v>435</v>
      </c>
      <c r="B436" t="inlineStr">
        <is>
          <t>SW-TRD-435</t>
        </is>
      </c>
      <c r="C436" t="inlineStr">
        <is>
          <t>THƯƠNG MẠI</t>
        </is>
      </c>
      <c r="D436" t="inlineStr">
        <is>
          <t>DÀN LẠNH IDU-A1.2-1F-12, 13 7.1kW</t>
        </is>
      </c>
      <c r="E436" t="inlineStr">
        <is>
          <t>-</t>
        </is>
      </c>
      <c r="F436" t="inlineStr">
        <is>
          <t>Bộ</t>
        </is>
      </c>
      <c r="G436" s="390" t="n">
        <v>2</v>
      </c>
      <c r="H436" s="390">
        <f>SUMIF('01_BOC_TACH_ONG'!B:B, B436, '01_BOC_TACH_ONG'!K:K)</f>
        <v/>
      </c>
      <c r="I436" s="390">
        <f>SUMIF('02_BOC_TACH_CUA'!B:B, B436, '02_BOC_TACH_CUA'!K:K)</f>
        <v/>
      </c>
      <c r="J436" s="390">
        <f>SUMIF('03_BOC_TACH_VAN'!B:B, B436, '03_BOC_TACH_VAN'!K:K)</f>
        <v/>
      </c>
      <c r="K436" s="390">
        <f>SUM(H436:J436)</f>
        <v/>
      </c>
      <c r="L436" s="390">
        <f>K436*0.00</f>
        <v/>
      </c>
      <c r="M436" s="390">
        <f>K436*0.02</f>
        <v/>
      </c>
      <c r="N436" s="390">
        <f>K436+L436+M436</f>
        <v/>
      </c>
      <c r="O436" s="390">
        <f>IF(G436&gt;0, N436/G436, 0)</f>
        <v/>
      </c>
      <c r="P436" s="391" t="n">
        <v>0.1</v>
      </c>
      <c r="Q436" s="390">
        <f>O436*(1+P436)</f>
        <v/>
      </c>
      <c r="R436" s="390">
        <f>G436*Q436</f>
        <v/>
      </c>
      <c r="S436" t="inlineStr">
        <is>
          <t>Hàng thương mại</t>
        </is>
      </c>
    </row>
    <row r="437">
      <c r="A437" t="n">
        <v>436</v>
      </c>
      <c r="B437" t="inlineStr">
        <is>
          <t>SW-TRD-436</t>
        </is>
      </c>
      <c r="C437" t="inlineStr">
        <is>
          <t>THƯƠNG MẠI</t>
        </is>
      </c>
      <c r="D437" t="inlineStr">
        <is>
          <t>DÀN LẠNH IDU-A1.2-1F-14, 15 11.2kW</t>
        </is>
      </c>
      <c r="E437" t="inlineStr">
        <is>
          <t>-</t>
        </is>
      </c>
      <c r="F437" t="inlineStr">
        <is>
          <t>Bộ</t>
        </is>
      </c>
      <c r="G437" s="390" t="n">
        <v>2</v>
      </c>
      <c r="H437" s="390">
        <f>SUMIF('01_BOC_TACH_ONG'!B:B, B437, '01_BOC_TACH_ONG'!K:K)</f>
        <v/>
      </c>
      <c r="I437" s="390">
        <f>SUMIF('02_BOC_TACH_CUA'!B:B, B437, '02_BOC_TACH_CUA'!K:K)</f>
        <v/>
      </c>
      <c r="J437" s="390">
        <f>SUMIF('03_BOC_TACH_VAN'!B:B, B437, '03_BOC_TACH_VAN'!K:K)</f>
        <v/>
      </c>
      <c r="K437" s="390">
        <f>SUM(H437:J437)</f>
        <v/>
      </c>
      <c r="L437" s="390">
        <f>K437*0.00</f>
        <v/>
      </c>
      <c r="M437" s="390">
        <f>K437*0.02</f>
        <v/>
      </c>
      <c r="N437" s="390">
        <f>K437+L437+M437</f>
        <v/>
      </c>
      <c r="O437" s="390">
        <f>IF(G437&gt;0, N437/G437, 0)</f>
        <v/>
      </c>
      <c r="P437" s="391" t="n">
        <v>0.1</v>
      </c>
      <c r="Q437" s="390">
        <f>O437*(1+P437)</f>
        <v/>
      </c>
      <c r="R437" s="390">
        <f>G437*Q437</f>
        <v/>
      </c>
      <c r="S437" t="inlineStr">
        <is>
          <t>Hàng thương mại</t>
        </is>
      </c>
    </row>
    <row r="438">
      <c r="A438" t="n">
        <v>437</v>
      </c>
      <c r="B438" t="inlineStr">
        <is>
          <t>SW-TRD-437</t>
        </is>
      </c>
      <c r="C438" t="inlineStr">
        <is>
          <t>THƯƠNG MẠI</t>
        </is>
      </c>
      <c r="D438" t="inlineStr">
        <is>
          <t>DÀN LẠNH IDU-A1.2-1F-16, 17 9kW</t>
        </is>
      </c>
      <c r="E438" t="inlineStr">
        <is>
          <t>-</t>
        </is>
      </c>
      <c r="F438" t="inlineStr">
        <is>
          <t>Bộ</t>
        </is>
      </c>
      <c r="G438" s="390" t="n">
        <v>2</v>
      </c>
      <c r="H438" s="390">
        <f>SUMIF('01_BOC_TACH_ONG'!B:B, B438, '01_BOC_TACH_ONG'!K:K)</f>
        <v/>
      </c>
      <c r="I438" s="390">
        <f>SUMIF('02_BOC_TACH_CUA'!B:B, B438, '02_BOC_TACH_CUA'!K:K)</f>
        <v/>
      </c>
      <c r="J438" s="390">
        <f>SUMIF('03_BOC_TACH_VAN'!B:B, B438, '03_BOC_TACH_VAN'!K:K)</f>
        <v/>
      </c>
      <c r="K438" s="390">
        <f>SUM(H438:J438)</f>
        <v/>
      </c>
      <c r="L438" s="390">
        <f>K438*0.00</f>
        <v/>
      </c>
      <c r="M438" s="390">
        <f>K438*0.02</f>
        <v/>
      </c>
      <c r="N438" s="390">
        <f>K438+L438+M438</f>
        <v/>
      </c>
      <c r="O438" s="390">
        <f>IF(G438&gt;0, N438/G438, 0)</f>
        <v/>
      </c>
      <c r="P438" s="391" t="n">
        <v>0.1</v>
      </c>
      <c r="Q438" s="390">
        <f>O438*(1+P438)</f>
        <v/>
      </c>
      <c r="R438" s="390">
        <f>G438*Q438</f>
        <v/>
      </c>
      <c r="S438" t="inlineStr">
        <is>
          <t>Hàng thương mại</t>
        </is>
      </c>
    </row>
    <row r="439">
      <c r="A439" t="n">
        <v>438</v>
      </c>
      <c r="B439" t="inlineStr">
        <is>
          <t>SW-TRD-438</t>
        </is>
      </c>
      <c r="C439" t="inlineStr">
        <is>
          <t>THƯƠNG MẠI</t>
        </is>
      </c>
      <c r="D439" t="inlineStr">
        <is>
          <t>DÀN LẠNH IDU-A1.2-2F-01, 02 11.2kW</t>
        </is>
      </c>
      <c r="E439" t="inlineStr">
        <is>
          <t>-</t>
        </is>
      </c>
      <c r="F439" t="inlineStr">
        <is>
          <t>Bộ</t>
        </is>
      </c>
      <c r="G439" s="390" t="n">
        <v>2</v>
      </c>
      <c r="H439" s="390">
        <f>SUMIF('01_BOC_TACH_ONG'!B:B, B439, '01_BOC_TACH_ONG'!K:K)</f>
        <v/>
      </c>
      <c r="I439" s="390">
        <f>SUMIF('02_BOC_TACH_CUA'!B:B, B439, '02_BOC_TACH_CUA'!K:K)</f>
        <v/>
      </c>
      <c r="J439" s="390">
        <f>SUMIF('03_BOC_TACH_VAN'!B:B, B439, '03_BOC_TACH_VAN'!K:K)</f>
        <v/>
      </c>
      <c r="K439" s="390">
        <f>SUM(H439:J439)</f>
        <v/>
      </c>
      <c r="L439" s="390">
        <f>K439*0.00</f>
        <v/>
      </c>
      <c r="M439" s="390">
        <f>K439*0.02</f>
        <v/>
      </c>
      <c r="N439" s="390">
        <f>K439+L439+M439</f>
        <v/>
      </c>
      <c r="O439" s="390">
        <f>IF(G439&gt;0, N439/G439, 0)</f>
        <v/>
      </c>
      <c r="P439" s="391" t="n">
        <v>0.1</v>
      </c>
      <c r="Q439" s="390">
        <f>O439*(1+P439)</f>
        <v/>
      </c>
      <c r="R439" s="390">
        <f>G439*Q439</f>
        <v/>
      </c>
      <c r="S439" t="inlineStr">
        <is>
          <t>Hàng thương mại</t>
        </is>
      </c>
    </row>
    <row r="440">
      <c r="A440" t="n">
        <v>439</v>
      </c>
      <c r="B440" t="inlineStr">
        <is>
          <t>SW-TRD-439</t>
        </is>
      </c>
      <c r="C440" t="inlineStr">
        <is>
          <t>THƯƠNG MẠI</t>
        </is>
      </c>
      <c r="D440" t="inlineStr">
        <is>
          <t>DÀN LẠNH IDU-A1.2-2F-03, 04 11.2kW</t>
        </is>
      </c>
      <c r="E440" t="inlineStr">
        <is>
          <t>-</t>
        </is>
      </c>
      <c r="F440" t="inlineStr">
        <is>
          <t>Bộ</t>
        </is>
      </c>
      <c r="G440" s="390" t="n">
        <v>2</v>
      </c>
      <c r="H440" s="390">
        <f>SUMIF('01_BOC_TACH_ONG'!B:B, B440, '01_BOC_TACH_ONG'!K:K)</f>
        <v/>
      </c>
      <c r="I440" s="390">
        <f>SUMIF('02_BOC_TACH_CUA'!B:B, B440, '02_BOC_TACH_CUA'!K:K)</f>
        <v/>
      </c>
      <c r="J440" s="390">
        <f>SUMIF('03_BOC_TACH_VAN'!B:B, B440, '03_BOC_TACH_VAN'!K:K)</f>
        <v/>
      </c>
      <c r="K440" s="390">
        <f>SUM(H440:J440)</f>
        <v/>
      </c>
      <c r="L440" s="390">
        <f>K440*0.00</f>
        <v/>
      </c>
      <c r="M440" s="390">
        <f>K440*0.02</f>
        <v/>
      </c>
      <c r="N440" s="390">
        <f>K440+L440+M440</f>
        <v/>
      </c>
      <c r="O440" s="390">
        <f>IF(G440&gt;0, N440/G440, 0)</f>
        <v/>
      </c>
      <c r="P440" s="391" t="n">
        <v>0.1</v>
      </c>
      <c r="Q440" s="390">
        <f>O440*(1+P440)</f>
        <v/>
      </c>
      <c r="R440" s="390">
        <f>G440*Q440</f>
        <v/>
      </c>
      <c r="S440" t="inlineStr">
        <is>
          <t>Hàng thương mại</t>
        </is>
      </c>
    </row>
    <row r="441">
      <c r="A441" t="n">
        <v>440</v>
      </c>
      <c r="B441" t="inlineStr">
        <is>
          <t>SW-TRD-440</t>
        </is>
      </c>
      <c r="C441" t="inlineStr">
        <is>
          <t>THƯƠNG MẠI</t>
        </is>
      </c>
      <c r="D441" t="inlineStr">
        <is>
          <t>DÀN LẠNH IDU-A1.2-2F-05 9kW</t>
        </is>
      </c>
      <c r="E441" t="inlineStr">
        <is>
          <t>-</t>
        </is>
      </c>
      <c r="F441" t="inlineStr">
        <is>
          <t>Bộ</t>
        </is>
      </c>
      <c r="G441" s="390" t="n">
        <v>1</v>
      </c>
      <c r="H441" s="390">
        <f>SUMIF('01_BOC_TACH_ONG'!B:B, B441, '01_BOC_TACH_ONG'!K:K)</f>
        <v/>
      </c>
      <c r="I441" s="390">
        <f>SUMIF('02_BOC_TACH_CUA'!B:B, B441, '02_BOC_TACH_CUA'!K:K)</f>
        <v/>
      </c>
      <c r="J441" s="390">
        <f>SUMIF('03_BOC_TACH_VAN'!B:B, B441, '03_BOC_TACH_VAN'!K:K)</f>
        <v/>
      </c>
      <c r="K441" s="390">
        <f>SUM(H441:J441)</f>
        <v/>
      </c>
      <c r="L441" s="390">
        <f>K441*0.00</f>
        <v/>
      </c>
      <c r="M441" s="390">
        <f>K441*0.02</f>
        <v/>
      </c>
      <c r="N441" s="390">
        <f>K441+L441+M441</f>
        <v/>
      </c>
      <c r="O441" s="390">
        <f>IF(G441&gt;0, N441/G441, 0)</f>
        <v/>
      </c>
      <c r="P441" s="391" t="n">
        <v>0.1</v>
      </c>
      <c r="Q441" s="390">
        <f>O441*(1+P441)</f>
        <v/>
      </c>
      <c r="R441" s="390">
        <f>G441*Q441</f>
        <v/>
      </c>
      <c r="S441" t="inlineStr">
        <is>
          <t>Hàng thương mại</t>
        </is>
      </c>
    </row>
    <row r="442">
      <c r="A442" t="n">
        <v>441</v>
      </c>
      <c r="B442" t="inlineStr">
        <is>
          <t>SW-TRD-441</t>
        </is>
      </c>
      <c r="C442" t="inlineStr">
        <is>
          <t>THƯƠNG MẠI</t>
        </is>
      </c>
      <c r="D442" t="inlineStr">
        <is>
          <t>DÀN LẠNH IDU-A1.2-2F-06, 07 14kW</t>
        </is>
      </c>
      <c r="E442" t="inlineStr">
        <is>
          <t>-</t>
        </is>
      </c>
      <c r="F442" t="inlineStr">
        <is>
          <t>Bộ</t>
        </is>
      </c>
      <c r="G442" s="390" t="n">
        <v>2</v>
      </c>
      <c r="H442" s="390">
        <f>SUMIF('01_BOC_TACH_ONG'!B:B, B442, '01_BOC_TACH_ONG'!K:K)</f>
        <v/>
      </c>
      <c r="I442" s="390">
        <f>SUMIF('02_BOC_TACH_CUA'!B:B, B442, '02_BOC_TACH_CUA'!K:K)</f>
        <v/>
      </c>
      <c r="J442" s="390">
        <f>SUMIF('03_BOC_TACH_VAN'!B:B, B442, '03_BOC_TACH_VAN'!K:K)</f>
        <v/>
      </c>
      <c r="K442" s="390">
        <f>SUM(H442:J442)</f>
        <v/>
      </c>
      <c r="L442" s="390">
        <f>K442*0.00</f>
        <v/>
      </c>
      <c r="M442" s="390">
        <f>K442*0.02</f>
        <v/>
      </c>
      <c r="N442" s="390">
        <f>K442+L442+M442</f>
        <v/>
      </c>
      <c r="O442" s="390">
        <f>IF(G442&gt;0, N442/G442, 0)</f>
        <v/>
      </c>
      <c r="P442" s="391" t="n">
        <v>0.1</v>
      </c>
      <c r="Q442" s="390">
        <f>O442*(1+P442)</f>
        <v/>
      </c>
      <c r="R442" s="390">
        <f>G442*Q442</f>
        <v/>
      </c>
      <c r="S442" t="inlineStr">
        <is>
          <t>Hàng thương mại</t>
        </is>
      </c>
    </row>
    <row r="443">
      <c r="A443" t="n">
        <v>442</v>
      </c>
      <c r="B443" t="inlineStr">
        <is>
          <t>SW-TRD-442</t>
        </is>
      </c>
      <c r="C443" t="inlineStr">
        <is>
          <t>THƯƠNG MẠI</t>
        </is>
      </c>
      <c r="D443" t="inlineStr">
        <is>
          <t>DÀN LẠNH IDU-A1.2-2F-08, 09 14kW</t>
        </is>
      </c>
      <c r="E443" t="inlineStr">
        <is>
          <t>-</t>
        </is>
      </c>
      <c r="F443" t="inlineStr">
        <is>
          <t>Bộ</t>
        </is>
      </c>
      <c r="G443" s="390" t="n">
        <v>2</v>
      </c>
      <c r="H443" s="390">
        <f>SUMIF('01_BOC_TACH_ONG'!B:B, B443, '01_BOC_TACH_ONG'!K:K)</f>
        <v/>
      </c>
      <c r="I443" s="390">
        <f>SUMIF('02_BOC_TACH_CUA'!B:B, B443, '02_BOC_TACH_CUA'!K:K)</f>
        <v/>
      </c>
      <c r="J443" s="390">
        <f>SUMIF('03_BOC_TACH_VAN'!B:B, B443, '03_BOC_TACH_VAN'!K:K)</f>
        <v/>
      </c>
      <c r="K443" s="390">
        <f>SUM(H443:J443)</f>
        <v/>
      </c>
      <c r="L443" s="390">
        <f>K443*0.00</f>
        <v/>
      </c>
      <c r="M443" s="390">
        <f>K443*0.02</f>
        <v/>
      </c>
      <c r="N443" s="390">
        <f>K443+L443+M443</f>
        <v/>
      </c>
      <c r="O443" s="390">
        <f>IF(G443&gt;0, N443/G443, 0)</f>
        <v/>
      </c>
      <c r="P443" s="391" t="n">
        <v>0.1</v>
      </c>
      <c r="Q443" s="390">
        <f>O443*(1+P443)</f>
        <v/>
      </c>
      <c r="R443" s="390">
        <f>G443*Q443</f>
        <v/>
      </c>
      <c r="S443" t="inlineStr">
        <is>
          <t>Hàng thương mại</t>
        </is>
      </c>
    </row>
    <row r="444">
      <c r="A444" t="n">
        <v>443</v>
      </c>
      <c r="B444" t="inlineStr">
        <is>
          <t>SW-TRD-443</t>
        </is>
      </c>
      <c r="C444" t="inlineStr">
        <is>
          <t>THƯƠNG MẠI</t>
        </is>
      </c>
      <c r="D444" t="inlineStr">
        <is>
          <t>DÀN LẠNH IDU-A1.2-2F-10, 11, 12 11.2kW</t>
        </is>
      </c>
      <c r="E444" t="inlineStr">
        <is>
          <t>-</t>
        </is>
      </c>
      <c r="F444" t="inlineStr">
        <is>
          <t>Bộ</t>
        </is>
      </c>
      <c r="G444" s="390" t="n">
        <v>3</v>
      </c>
      <c r="H444" s="390">
        <f>SUMIF('01_BOC_TACH_ONG'!B:B, B444, '01_BOC_TACH_ONG'!K:K)</f>
        <v/>
      </c>
      <c r="I444" s="390">
        <f>SUMIF('02_BOC_TACH_CUA'!B:B, B444, '02_BOC_TACH_CUA'!K:K)</f>
        <v/>
      </c>
      <c r="J444" s="390">
        <f>SUMIF('03_BOC_TACH_VAN'!B:B, B444, '03_BOC_TACH_VAN'!K:K)</f>
        <v/>
      </c>
      <c r="K444" s="390">
        <f>SUM(H444:J444)</f>
        <v/>
      </c>
      <c r="L444" s="390">
        <f>K444*0.00</f>
        <v/>
      </c>
      <c r="M444" s="390">
        <f>K444*0.02</f>
        <v/>
      </c>
      <c r="N444" s="390">
        <f>K444+L444+M444</f>
        <v/>
      </c>
      <c r="O444" s="390">
        <f>IF(G444&gt;0, N444/G444, 0)</f>
        <v/>
      </c>
      <c r="P444" s="391" t="n">
        <v>0.1</v>
      </c>
      <c r="Q444" s="390">
        <f>O444*(1+P444)</f>
        <v/>
      </c>
      <c r="R444" s="390">
        <f>G444*Q444</f>
        <v/>
      </c>
      <c r="S444" t="inlineStr">
        <is>
          <t>Hàng thương mại</t>
        </is>
      </c>
    </row>
    <row r="445">
      <c r="A445" t="n">
        <v>444</v>
      </c>
      <c r="B445" t="inlineStr">
        <is>
          <t>SW-TRD-444</t>
        </is>
      </c>
      <c r="C445" t="inlineStr">
        <is>
          <t>THƯƠNG MẠI</t>
        </is>
      </c>
      <c r="D445" t="inlineStr">
        <is>
          <t>DÀN LẠNH IDU-A1.2-2F-13 9kW</t>
        </is>
      </c>
      <c r="E445" t="inlineStr">
        <is>
          <t>-</t>
        </is>
      </c>
      <c r="F445" t="inlineStr">
        <is>
          <t>Bộ</t>
        </is>
      </c>
      <c r="G445" s="390" t="n">
        <v>1</v>
      </c>
      <c r="H445" s="390">
        <f>SUMIF('01_BOC_TACH_ONG'!B:B, B445, '01_BOC_TACH_ONG'!K:K)</f>
        <v/>
      </c>
      <c r="I445" s="390">
        <f>SUMIF('02_BOC_TACH_CUA'!B:B, B445, '02_BOC_TACH_CUA'!K:K)</f>
        <v/>
      </c>
      <c r="J445" s="390">
        <f>SUMIF('03_BOC_TACH_VAN'!B:B, B445, '03_BOC_TACH_VAN'!K:K)</f>
        <v/>
      </c>
      <c r="K445" s="390">
        <f>SUM(H445:J445)</f>
        <v/>
      </c>
      <c r="L445" s="390">
        <f>K445*0.00</f>
        <v/>
      </c>
      <c r="M445" s="390">
        <f>K445*0.02</f>
        <v/>
      </c>
      <c r="N445" s="390">
        <f>K445+L445+M445</f>
        <v/>
      </c>
      <c r="O445" s="390">
        <f>IF(G445&gt;0, N445/G445, 0)</f>
        <v/>
      </c>
      <c r="P445" s="391" t="n">
        <v>0.1</v>
      </c>
      <c r="Q445" s="390">
        <f>O445*(1+P445)</f>
        <v/>
      </c>
      <c r="R445" s="390">
        <f>G445*Q445</f>
        <v/>
      </c>
      <c r="S445" t="inlineStr">
        <is>
          <t>Hàng thương mại</t>
        </is>
      </c>
    </row>
    <row r="446">
      <c r="A446" t="n">
        <v>445</v>
      </c>
      <c r="B446" t="inlineStr">
        <is>
          <t>SW-TRD-445</t>
        </is>
      </c>
      <c r="C446" t="inlineStr">
        <is>
          <t>THƯƠNG MẠI</t>
        </is>
      </c>
      <c r="D446" t="inlineStr">
        <is>
          <t>DÀN LẠNH IDU-A1.2-2F-14 7.1kW</t>
        </is>
      </c>
      <c r="E446" t="inlineStr">
        <is>
          <t>-</t>
        </is>
      </c>
      <c r="F446" t="inlineStr">
        <is>
          <t>Bộ</t>
        </is>
      </c>
      <c r="G446" s="390" t="n">
        <v>1</v>
      </c>
      <c r="H446" s="390">
        <f>SUMIF('01_BOC_TACH_ONG'!B:B, B446, '01_BOC_TACH_ONG'!K:K)</f>
        <v/>
      </c>
      <c r="I446" s="390">
        <f>SUMIF('02_BOC_TACH_CUA'!B:B, B446, '02_BOC_TACH_CUA'!K:K)</f>
        <v/>
      </c>
      <c r="J446" s="390">
        <f>SUMIF('03_BOC_TACH_VAN'!B:B, B446, '03_BOC_TACH_VAN'!K:K)</f>
        <v/>
      </c>
      <c r="K446" s="390">
        <f>SUM(H446:J446)</f>
        <v/>
      </c>
      <c r="L446" s="390">
        <f>K446*0.00</f>
        <v/>
      </c>
      <c r="M446" s="390">
        <f>K446*0.02</f>
        <v/>
      </c>
      <c r="N446" s="390">
        <f>K446+L446+M446</f>
        <v/>
      </c>
      <c r="O446" s="390">
        <f>IF(G446&gt;0, N446/G446, 0)</f>
        <v/>
      </c>
      <c r="P446" s="391" t="n">
        <v>0.1</v>
      </c>
      <c r="Q446" s="390">
        <f>O446*(1+P446)</f>
        <v/>
      </c>
      <c r="R446" s="390">
        <f>G446*Q446</f>
        <v/>
      </c>
      <c r="S446" t="inlineStr">
        <is>
          <t>Hàng thương mại</t>
        </is>
      </c>
    </row>
    <row r="447">
      <c r="A447" t="n">
        <v>446</v>
      </c>
      <c r="B447" t="inlineStr">
        <is>
          <t>SW-TRD-446</t>
        </is>
      </c>
      <c r="C447" t="inlineStr">
        <is>
          <t>THƯƠNG MẠI</t>
        </is>
      </c>
      <c r="D447" t="inlineStr">
        <is>
          <t>DÀN LẠNH IDU-A1.2-2F-15, 16 5.6kW</t>
        </is>
      </c>
      <c r="E447" t="inlineStr">
        <is>
          <t>-</t>
        </is>
      </c>
      <c r="F447" t="inlineStr">
        <is>
          <t>Bộ</t>
        </is>
      </c>
      <c r="G447" s="390" t="n">
        <v>2</v>
      </c>
      <c r="H447" s="390">
        <f>SUMIF('01_BOC_TACH_ONG'!B:B, B447, '01_BOC_TACH_ONG'!K:K)</f>
        <v/>
      </c>
      <c r="I447" s="390">
        <f>SUMIF('02_BOC_TACH_CUA'!B:B, B447, '02_BOC_TACH_CUA'!K:K)</f>
        <v/>
      </c>
      <c r="J447" s="390">
        <f>SUMIF('03_BOC_TACH_VAN'!B:B, B447, '03_BOC_TACH_VAN'!K:K)</f>
        <v/>
      </c>
      <c r="K447" s="390">
        <f>SUM(H447:J447)</f>
        <v/>
      </c>
      <c r="L447" s="390">
        <f>K447*0.00</f>
        <v/>
      </c>
      <c r="M447" s="390">
        <f>K447*0.02</f>
        <v/>
      </c>
      <c r="N447" s="390">
        <f>K447+L447+M447</f>
        <v/>
      </c>
      <c r="O447" s="390">
        <f>IF(G447&gt;0, N447/G447, 0)</f>
        <v/>
      </c>
      <c r="P447" s="391" t="n">
        <v>0.1</v>
      </c>
      <c r="Q447" s="390">
        <f>O447*(1+P447)</f>
        <v/>
      </c>
      <c r="R447" s="390">
        <f>G447*Q447</f>
        <v/>
      </c>
      <c r="S447" t="inlineStr">
        <is>
          <t>Hàng thương mại</t>
        </is>
      </c>
    </row>
    <row r="448">
      <c r="A448" t="n">
        <v>447</v>
      </c>
      <c r="B448" t="inlineStr">
        <is>
          <t>SW-TRD-447</t>
        </is>
      </c>
      <c r="C448" t="inlineStr">
        <is>
          <t>THƯƠNG MẠI</t>
        </is>
      </c>
      <c r="D448" t="inlineStr">
        <is>
          <t>DÀN LẠNH IDU-A1.2-2F-17, 18 5.6kW</t>
        </is>
      </c>
      <c r="E448" t="inlineStr">
        <is>
          <t>-</t>
        </is>
      </c>
      <c r="F448" t="inlineStr">
        <is>
          <t>Bộ</t>
        </is>
      </c>
      <c r="G448" s="390" t="n">
        <v>2</v>
      </c>
      <c r="H448" s="390">
        <f>SUMIF('01_BOC_TACH_ONG'!B:B, B448, '01_BOC_TACH_ONG'!K:K)</f>
        <v/>
      </c>
      <c r="I448" s="390">
        <f>SUMIF('02_BOC_TACH_CUA'!B:B, B448, '02_BOC_TACH_CUA'!K:K)</f>
        <v/>
      </c>
      <c r="J448" s="390">
        <f>SUMIF('03_BOC_TACH_VAN'!B:B, B448, '03_BOC_TACH_VAN'!K:K)</f>
        <v/>
      </c>
      <c r="K448" s="390">
        <f>SUM(H448:J448)</f>
        <v/>
      </c>
      <c r="L448" s="390">
        <f>K448*0.00</f>
        <v/>
      </c>
      <c r="M448" s="390">
        <f>K448*0.02</f>
        <v/>
      </c>
      <c r="N448" s="390">
        <f>K448+L448+M448</f>
        <v/>
      </c>
      <c r="O448" s="390">
        <f>IF(G448&gt;0, N448/G448, 0)</f>
        <v/>
      </c>
      <c r="P448" s="391" t="n">
        <v>0.1</v>
      </c>
      <c r="Q448" s="390">
        <f>O448*(1+P448)</f>
        <v/>
      </c>
      <c r="R448" s="390">
        <f>G448*Q448</f>
        <v/>
      </c>
      <c r="S448" t="inlineStr">
        <is>
          <t>Hàng thương mại</t>
        </is>
      </c>
    </row>
    <row r="449">
      <c r="A449" t="n">
        <v>448</v>
      </c>
      <c r="B449" t="inlineStr">
        <is>
          <t>SW-TRD-448</t>
        </is>
      </c>
      <c r="C449" t="inlineStr">
        <is>
          <t>THƯƠNG MẠI</t>
        </is>
      </c>
      <c r="D449" t="inlineStr">
        <is>
          <t>DÀN LẠNH IDU-A1.2-2F-19, 20 5.6kW</t>
        </is>
      </c>
      <c r="E449" t="inlineStr">
        <is>
          <t>-</t>
        </is>
      </c>
      <c r="F449" t="inlineStr">
        <is>
          <t>Bộ</t>
        </is>
      </c>
      <c r="G449" s="390" t="n">
        <v>2</v>
      </c>
      <c r="H449" s="390">
        <f>SUMIF('01_BOC_TACH_ONG'!B:B, B449, '01_BOC_TACH_ONG'!K:K)</f>
        <v/>
      </c>
      <c r="I449" s="390">
        <f>SUMIF('02_BOC_TACH_CUA'!B:B, B449, '02_BOC_TACH_CUA'!K:K)</f>
        <v/>
      </c>
      <c r="J449" s="390">
        <f>SUMIF('03_BOC_TACH_VAN'!B:B, B449, '03_BOC_TACH_VAN'!K:K)</f>
        <v/>
      </c>
      <c r="K449" s="390">
        <f>SUM(H449:J449)</f>
        <v/>
      </c>
      <c r="L449" s="390">
        <f>K449*0.00</f>
        <v/>
      </c>
      <c r="M449" s="390">
        <f>K449*0.02</f>
        <v/>
      </c>
      <c r="N449" s="390">
        <f>K449+L449+M449</f>
        <v/>
      </c>
      <c r="O449" s="390">
        <f>IF(G449&gt;0, N449/G449, 0)</f>
        <v/>
      </c>
      <c r="P449" s="391" t="n">
        <v>0.1</v>
      </c>
      <c r="Q449" s="390">
        <f>O449*(1+P449)</f>
        <v/>
      </c>
      <c r="R449" s="390">
        <f>G449*Q449</f>
        <v/>
      </c>
      <c r="S449" t="inlineStr">
        <is>
          <t>Hàng thương mại</t>
        </is>
      </c>
    </row>
    <row r="450">
      <c r="A450" t="n">
        <v>449</v>
      </c>
      <c r="B450" t="inlineStr">
        <is>
          <t>SW-TRD-449</t>
        </is>
      </c>
      <c r="C450" t="inlineStr">
        <is>
          <t>THƯƠNG MẠI</t>
        </is>
      </c>
      <c r="D450" t="inlineStr">
        <is>
          <t>DÀN LẠNH IDU-A1.2-2F-21, 22 4.5kW</t>
        </is>
      </c>
      <c r="E450" t="inlineStr">
        <is>
          <t>-</t>
        </is>
      </c>
      <c r="F450" t="inlineStr">
        <is>
          <t>Bộ</t>
        </is>
      </c>
      <c r="G450" s="390" t="n">
        <v>2</v>
      </c>
      <c r="H450" s="390">
        <f>SUMIF('01_BOC_TACH_ONG'!B:B, B450, '01_BOC_TACH_ONG'!K:K)</f>
        <v/>
      </c>
      <c r="I450" s="390">
        <f>SUMIF('02_BOC_TACH_CUA'!B:B, B450, '02_BOC_TACH_CUA'!K:K)</f>
        <v/>
      </c>
      <c r="J450" s="390">
        <f>SUMIF('03_BOC_TACH_VAN'!B:B, B450, '03_BOC_TACH_VAN'!K:K)</f>
        <v/>
      </c>
      <c r="K450" s="390">
        <f>SUM(H450:J450)</f>
        <v/>
      </c>
      <c r="L450" s="390">
        <f>K450*0.00</f>
        <v/>
      </c>
      <c r="M450" s="390">
        <f>K450*0.02</f>
        <v/>
      </c>
      <c r="N450" s="390">
        <f>K450+L450+M450</f>
        <v/>
      </c>
      <c r="O450" s="390">
        <f>IF(G450&gt;0, N450/G450, 0)</f>
        <v/>
      </c>
      <c r="P450" s="391" t="n">
        <v>0.1</v>
      </c>
      <c r="Q450" s="390">
        <f>O450*(1+P450)</f>
        <v/>
      </c>
      <c r="R450" s="390">
        <f>G450*Q450</f>
        <v/>
      </c>
      <c r="S450" t="inlineStr">
        <is>
          <t>Hàng thương mại</t>
        </is>
      </c>
    </row>
    <row r="451">
      <c r="A451" t="n">
        <v>450</v>
      </c>
      <c r="B451" t="inlineStr">
        <is>
          <t>SW-TRD-450</t>
        </is>
      </c>
      <c r="C451" t="inlineStr">
        <is>
          <t>THƯƠNG MẠI</t>
        </is>
      </c>
      <c r="D451" t="inlineStr">
        <is>
          <t>DÀN LẠNH IDU-A1.2-2F-23, 24 5.6kW</t>
        </is>
      </c>
      <c r="E451" t="inlineStr">
        <is>
          <t>-</t>
        </is>
      </c>
      <c r="F451" t="inlineStr">
        <is>
          <t>Bộ</t>
        </is>
      </c>
      <c r="G451" s="390" t="n">
        <v>2</v>
      </c>
      <c r="H451" s="390">
        <f>SUMIF('01_BOC_TACH_ONG'!B:B, B451, '01_BOC_TACH_ONG'!K:K)</f>
        <v/>
      </c>
      <c r="I451" s="390">
        <f>SUMIF('02_BOC_TACH_CUA'!B:B, B451, '02_BOC_TACH_CUA'!K:K)</f>
        <v/>
      </c>
      <c r="J451" s="390">
        <f>SUMIF('03_BOC_TACH_VAN'!B:B, B451, '03_BOC_TACH_VAN'!K:K)</f>
        <v/>
      </c>
      <c r="K451" s="390">
        <f>SUM(H451:J451)</f>
        <v/>
      </c>
      <c r="L451" s="390">
        <f>K451*0.00</f>
        <v/>
      </c>
      <c r="M451" s="390">
        <f>K451*0.02</f>
        <v/>
      </c>
      <c r="N451" s="390">
        <f>K451+L451+M451</f>
        <v/>
      </c>
      <c r="O451" s="390">
        <f>IF(G451&gt;0, N451/G451, 0)</f>
        <v/>
      </c>
      <c r="P451" s="391" t="n">
        <v>0.1</v>
      </c>
      <c r="Q451" s="390">
        <f>O451*(1+P451)</f>
        <v/>
      </c>
      <c r="R451" s="390">
        <f>G451*Q451</f>
        <v/>
      </c>
      <c r="S451" t="inlineStr">
        <is>
          <t>Hàng thương mại</t>
        </is>
      </c>
    </row>
    <row r="452">
      <c r="A452" t="n">
        <v>451</v>
      </c>
      <c r="B452" t="inlineStr">
        <is>
          <t>SW-TRD-451</t>
        </is>
      </c>
      <c r="C452" t="inlineStr">
        <is>
          <t>THƯƠNG MẠI</t>
        </is>
      </c>
      <c r="D452" t="inlineStr">
        <is>
          <t>DÀN LẠNH IDU-A1.2-2F-25, 26 7.1kW</t>
        </is>
      </c>
      <c r="E452" t="inlineStr">
        <is>
          <t>-</t>
        </is>
      </c>
      <c r="F452" t="inlineStr">
        <is>
          <t>Bộ</t>
        </is>
      </c>
      <c r="G452" s="390" t="n">
        <v>2</v>
      </c>
      <c r="H452" s="390">
        <f>SUMIF('01_BOC_TACH_ONG'!B:B, B452, '01_BOC_TACH_ONG'!K:K)</f>
        <v/>
      </c>
      <c r="I452" s="390">
        <f>SUMIF('02_BOC_TACH_CUA'!B:B, B452, '02_BOC_TACH_CUA'!K:K)</f>
        <v/>
      </c>
      <c r="J452" s="390">
        <f>SUMIF('03_BOC_TACH_VAN'!B:B, B452, '03_BOC_TACH_VAN'!K:K)</f>
        <v/>
      </c>
      <c r="K452" s="390">
        <f>SUM(H452:J452)</f>
        <v/>
      </c>
      <c r="L452" s="390">
        <f>K452*0.00</f>
        <v/>
      </c>
      <c r="M452" s="390">
        <f>K452*0.02</f>
        <v/>
      </c>
      <c r="N452" s="390">
        <f>K452+L452+M452</f>
        <v/>
      </c>
      <c r="O452" s="390">
        <f>IF(G452&gt;0, N452/G452, 0)</f>
        <v/>
      </c>
      <c r="P452" s="391" t="n">
        <v>0.1</v>
      </c>
      <c r="Q452" s="390">
        <f>O452*(1+P452)</f>
        <v/>
      </c>
      <c r="R452" s="390">
        <f>G452*Q452</f>
        <v/>
      </c>
      <c r="S452" t="inlineStr">
        <is>
          <t>Hàng thương mại</t>
        </is>
      </c>
    </row>
    <row r="453">
      <c r="A453" t="n">
        <v>452</v>
      </c>
      <c r="B453" t="inlineStr">
        <is>
          <t>SW-TRD-452</t>
        </is>
      </c>
      <c r="C453" t="inlineStr">
        <is>
          <t>THƯƠNG MẠI</t>
        </is>
      </c>
      <c r="D453" t="inlineStr">
        <is>
          <t>DÀN LẠNH IDU-A1.3-1F-01~04 14kW</t>
        </is>
      </c>
      <c r="E453" t="inlineStr">
        <is>
          <t>-</t>
        </is>
      </c>
      <c r="F453" t="inlineStr">
        <is>
          <t>Bộ</t>
        </is>
      </c>
      <c r="G453" s="390" t="n">
        <v>4</v>
      </c>
      <c r="H453" s="390">
        <f>SUMIF('01_BOC_TACH_ONG'!B:B, B453, '01_BOC_TACH_ONG'!K:K)</f>
        <v/>
      </c>
      <c r="I453" s="390">
        <f>SUMIF('02_BOC_TACH_CUA'!B:B, B453, '02_BOC_TACH_CUA'!K:K)</f>
        <v/>
      </c>
      <c r="J453" s="390">
        <f>SUMIF('03_BOC_TACH_VAN'!B:B, B453, '03_BOC_TACH_VAN'!K:K)</f>
        <v/>
      </c>
      <c r="K453" s="390">
        <f>SUM(H453:J453)</f>
        <v/>
      </c>
      <c r="L453" s="390">
        <f>K453*0.00</f>
        <v/>
      </c>
      <c r="M453" s="390">
        <f>K453*0.02</f>
        <v/>
      </c>
      <c r="N453" s="390">
        <f>K453+L453+M453</f>
        <v/>
      </c>
      <c r="O453" s="390">
        <f>IF(G453&gt;0, N453/G453, 0)</f>
        <v/>
      </c>
      <c r="P453" s="391" t="n">
        <v>0.1</v>
      </c>
      <c r="Q453" s="390">
        <f>O453*(1+P453)</f>
        <v/>
      </c>
      <c r="R453" s="390">
        <f>G453*Q453</f>
        <v/>
      </c>
      <c r="S453" t="inlineStr">
        <is>
          <t>Hàng thương mại</t>
        </is>
      </c>
    </row>
    <row r="454">
      <c r="A454" t="n">
        <v>453</v>
      </c>
      <c r="B454" t="inlineStr">
        <is>
          <t>SW-TRD-453</t>
        </is>
      </c>
      <c r="C454" t="inlineStr">
        <is>
          <t>THƯƠNG MẠI</t>
        </is>
      </c>
      <c r="D454" t="inlineStr">
        <is>
          <t>DÀN LẠNH IDU-A1.3-1F-05~08 11.2kW</t>
        </is>
      </c>
      <c r="E454" t="inlineStr">
        <is>
          <t>-</t>
        </is>
      </c>
      <c r="F454" t="inlineStr">
        <is>
          <t>Bộ</t>
        </is>
      </c>
      <c r="G454" s="390" t="n">
        <v>4</v>
      </c>
      <c r="H454" s="390">
        <f>SUMIF('01_BOC_TACH_ONG'!B:B, B454, '01_BOC_TACH_ONG'!K:K)</f>
        <v/>
      </c>
      <c r="I454" s="390">
        <f>SUMIF('02_BOC_TACH_CUA'!B:B, B454, '02_BOC_TACH_CUA'!K:K)</f>
        <v/>
      </c>
      <c r="J454" s="390">
        <f>SUMIF('03_BOC_TACH_VAN'!B:B, B454, '03_BOC_TACH_VAN'!K:K)</f>
        <v/>
      </c>
      <c r="K454" s="390">
        <f>SUM(H454:J454)</f>
        <v/>
      </c>
      <c r="L454" s="390">
        <f>K454*0.00</f>
        <v/>
      </c>
      <c r="M454" s="390">
        <f>K454*0.02</f>
        <v/>
      </c>
      <c r="N454" s="390">
        <f>K454+L454+M454</f>
        <v/>
      </c>
      <c r="O454" s="390">
        <f>IF(G454&gt;0, N454/G454, 0)</f>
        <v/>
      </c>
      <c r="P454" s="391" t="n">
        <v>0.1</v>
      </c>
      <c r="Q454" s="390">
        <f>O454*(1+P454)</f>
        <v/>
      </c>
      <c r="R454" s="390">
        <f>G454*Q454</f>
        <v/>
      </c>
      <c r="S454" t="inlineStr">
        <is>
          <t>Hàng thương mại</t>
        </is>
      </c>
    </row>
    <row r="455">
      <c r="A455" t="n">
        <v>454</v>
      </c>
      <c r="B455" t="inlineStr">
        <is>
          <t>SW-TRD-454</t>
        </is>
      </c>
      <c r="C455" t="inlineStr">
        <is>
          <t>THƯƠNG MẠI</t>
        </is>
      </c>
      <c r="D455" t="inlineStr">
        <is>
          <t>DÀN LẠNH IDU-A1.3-1F-09, 10 14kW</t>
        </is>
      </c>
      <c r="E455" t="inlineStr">
        <is>
          <t>-</t>
        </is>
      </c>
      <c r="F455" t="inlineStr">
        <is>
          <t>Bộ</t>
        </is>
      </c>
      <c r="G455" s="390" t="n">
        <v>2</v>
      </c>
      <c r="H455" s="390">
        <f>SUMIF('01_BOC_TACH_ONG'!B:B, B455, '01_BOC_TACH_ONG'!K:K)</f>
        <v/>
      </c>
      <c r="I455" s="390">
        <f>SUMIF('02_BOC_TACH_CUA'!B:B, B455, '02_BOC_TACH_CUA'!K:K)</f>
        <v/>
      </c>
      <c r="J455" s="390">
        <f>SUMIF('03_BOC_TACH_VAN'!B:B, B455, '03_BOC_TACH_VAN'!K:K)</f>
        <v/>
      </c>
      <c r="K455" s="390">
        <f>SUM(H455:J455)</f>
        <v/>
      </c>
      <c r="L455" s="390">
        <f>K455*0.00</f>
        <v/>
      </c>
      <c r="M455" s="390">
        <f>K455*0.02</f>
        <v/>
      </c>
      <c r="N455" s="390">
        <f>K455+L455+M455</f>
        <v/>
      </c>
      <c r="O455" s="390">
        <f>IF(G455&gt;0, N455/G455, 0)</f>
        <v/>
      </c>
      <c r="P455" s="391" t="n">
        <v>0.1</v>
      </c>
      <c r="Q455" s="390">
        <f>O455*(1+P455)</f>
        <v/>
      </c>
      <c r="R455" s="390">
        <f>G455*Q455</f>
        <v/>
      </c>
      <c r="S455" t="inlineStr">
        <is>
          <t>Hàng thương mại</t>
        </is>
      </c>
    </row>
    <row r="456">
      <c r="A456" t="n">
        <v>455</v>
      </c>
      <c r="B456" t="inlineStr">
        <is>
          <t>SW-TRD-455</t>
        </is>
      </c>
      <c r="C456" t="inlineStr">
        <is>
          <t>THƯƠNG MẠI</t>
        </is>
      </c>
      <c r="D456" t="inlineStr">
        <is>
          <t>DÀN LẠNH IDU-A1.3-1F-05A-11, 12 11.2kW</t>
        </is>
      </c>
      <c r="E456" t="inlineStr">
        <is>
          <t>-</t>
        </is>
      </c>
      <c r="F456" t="inlineStr">
        <is>
          <t>Bộ</t>
        </is>
      </c>
      <c r="G456" s="390" t="n">
        <v>2</v>
      </c>
      <c r="H456" s="390">
        <f>SUMIF('01_BOC_TACH_ONG'!B:B, B456, '01_BOC_TACH_ONG'!K:K)</f>
        <v/>
      </c>
      <c r="I456" s="390">
        <f>SUMIF('02_BOC_TACH_CUA'!B:B, B456, '02_BOC_TACH_CUA'!K:K)</f>
        <v/>
      </c>
      <c r="J456" s="390">
        <f>SUMIF('03_BOC_TACH_VAN'!B:B, B456, '03_BOC_TACH_VAN'!K:K)</f>
        <v/>
      </c>
      <c r="K456" s="390">
        <f>SUM(H456:J456)</f>
        <v/>
      </c>
      <c r="L456" s="390">
        <f>K456*0.00</f>
        <v/>
      </c>
      <c r="M456" s="390">
        <f>K456*0.02</f>
        <v/>
      </c>
      <c r="N456" s="390">
        <f>K456+L456+M456</f>
        <v/>
      </c>
      <c r="O456" s="390">
        <f>IF(G456&gt;0, N456/G456, 0)</f>
        <v/>
      </c>
      <c r="P456" s="391" t="n">
        <v>0.1</v>
      </c>
      <c r="Q456" s="390">
        <f>O456*(1+P456)</f>
        <v/>
      </c>
      <c r="R456" s="390">
        <f>G456*Q456</f>
        <v/>
      </c>
      <c r="S456" t="inlineStr">
        <is>
          <t>Hàng thương mại</t>
        </is>
      </c>
    </row>
    <row r="457">
      <c r="A457" t="n">
        <v>456</v>
      </c>
      <c r="B457" t="inlineStr">
        <is>
          <t>SW-TRD-456</t>
        </is>
      </c>
      <c r="C457" t="inlineStr">
        <is>
          <t>THƯƠNG MẠI</t>
        </is>
      </c>
      <c r="D457" t="inlineStr">
        <is>
          <t>DÀN LẠNH IDU-A1.3-1F-05A-13 14kW</t>
        </is>
      </c>
      <c r="E457" t="inlineStr">
        <is>
          <t>-</t>
        </is>
      </c>
      <c r="F457" t="inlineStr">
        <is>
          <t>Bộ</t>
        </is>
      </c>
      <c r="G457" s="390" t="n">
        <v>1</v>
      </c>
      <c r="H457" s="390">
        <f>SUMIF('01_BOC_TACH_ONG'!B:B, B457, '01_BOC_TACH_ONG'!K:K)</f>
        <v/>
      </c>
      <c r="I457" s="390">
        <f>SUMIF('02_BOC_TACH_CUA'!B:B, B457, '02_BOC_TACH_CUA'!K:K)</f>
        <v/>
      </c>
      <c r="J457" s="390">
        <f>SUMIF('03_BOC_TACH_VAN'!B:B, B457, '03_BOC_TACH_VAN'!K:K)</f>
        <v/>
      </c>
      <c r="K457" s="390">
        <f>SUM(H457:J457)</f>
        <v/>
      </c>
      <c r="L457" s="390">
        <f>K457*0.00</f>
        <v/>
      </c>
      <c r="M457" s="390">
        <f>K457*0.02</f>
        <v/>
      </c>
      <c r="N457" s="390">
        <f>K457+L457+M457</f>
        <v/>
      </c>
      <c r="O457" s="390">
        <f>IF(G457&gt;0, N457/G457, 0)</f>
        <v/>
      </c>
      <c r="P457" s="391" t="n">
        <v>0.1</v>
      </c>
      <c r="Q457" s="390">
        <f>O457*(1+P457)</f>
        <v/>
      </c>
      <c r="R457" s="390">
        <f>G457*Q457</f>
        <v/>
      </c>
      <c r="S457" t="inlineStr">
        <is>
          <t>Hàng thương mại</t>
        </is>
      </c>
    </row>
    <row r="458">
      <c r="A458" t="n">
        <v>457</v>
      </c>
      <c r="B458" t="inlineStr">
        <is>
          <t>SW-TRD-457</t>
        </is>
      </c>
      <c r="C458" t="inlineStr">
        <is>
          <t>THƯƠNG MẠI</t>
        </is>
      </c>
      <c r="D458" t="inlineStr">
        <is>
          <t>DÀN LẠNH IDU-A1.3-1F-14 11.2kW</t>
        </is>
      </c>
      <c r="E458" t="inlineStr">
        <is>
          <t>-</t>
        </is>
      </c>
      <c r="F458" t="inlineStr">
        <is>
          <t>Bộ</t>
        </is>
      </c>
      <c r="G458" s="390" t="n">
        <v>1</v>
      </c>
      <c r="H458" s="390">
        <f>SUMIF('01_BOC_TACH_ONG'!B:B, B458, '01_BOC_TACH_ONG'!K:K)</f>
        <v/>
      </c>
      <c r="I458" s="390">
        <f>SUMIF('02_BOC_TACH_CUA'!B:B, B458, '02_BOC_TACH_CUA'!K:K)</f>
        <v/>
      </c>
      <c r="J458" s="390">
        <f>SUMIF('03_BOC_TACH_VAN'!B:B, B458, '03_BOC_TACH_VAN'!K:K)</f>
        <v/>
      </c>
      <c r="K458" s="390">
        <f>SUM(H458:J458)</f>
        <v/>
      </c>
      <c r="L458" s="390">
        <f>K458*0.00</f>
        <v/>
      </c>
      <c r="M458" s="390">
        <f>K458*0.02</f>
        <v/>
      </c>
      <c r="N458" s="390">
        <f>K458+L458+M458</f>
        <v/>
      </c>
      <c r="O458" s="390">
        <f>IF(G458&gt;0, N458/G458, 0)</f>
        <v/>
      </c>
      <c r="P458" s="391" t="n">
        <v>0.1</v>
      </c>
      <c r="Q458" s="390">
        <f>O458*(1+P458)</f>
        <v/>
      </c>
      <c r="R458" s="390">
        <f>G458*Q458</f>
        <v/>
      </c>
      <c r="S458" t="inlineStr">
        <is>
          <t>Hàng thương mại</t>
        </is>
      </c>
    </row>
    <row r="459">
      <c r="A459" t="n">
        <v>458</v>
      </c>
      <c r="B459" t="inlineStr">
        <is>
          <t>SW-TRD-458</t>
        </is>
      </c>
      <c r="C459" t="inlineStr">
        <is>
          <t>THƯƠNG MẠI</t>
        </is>
      </c>
      <c r="D459" t="inlineStr">
        <is>
          <t>DÀN LẠNH IDU-A1.3-1F-15, 16 14kW</t>
        </is>
      </c>
      <c r="E459" t="inlineStr">
        <is>
          <t>-</t>
        </is>
      </c>
      <c r="F459" t="inlineStr">
        <is>
          <t>Bộ</t>
        </is>
      </c>
      <c r="G459" s="390" t="n">
        <v>2</v>
      </c>
      <c r="H459" s="390">
        <f>SUMIF('01_BOC_TACH_ONG'!B:B, B459, '01_BOC_TACH_ONG'!K:K)</f>
        <v/>
      </c>
      <c r="I459" s="390">
        <f>SUMIF('02_BOC_TACH_CUA'!B:B, B459, '02_BOC_TACH_CUA'!K:K)</f>
        <v/>
      </c>
      <c r="J459" s="390">
        <f>SUMIF('03_BOC_TACH_VAN'!B:B, B459, '03_BOC_TACH_VAN'!K:K)</f>
        <v/>
      </c>
      <c r="K459" s="390">
        <f>SUM(H459:J459)</f>
        <v/>
      </c>
      <c r="L459" s="390">
        <f>K459*0.00</f>
        <v/>
      </c>
      <c r="M459" s="390">
        <f>K459*0.02</f>
        <v/>
      </c>
      <c r="N459" s="390">
        <f>K459+L459+M459</f>
        <v/>
      </c>
      <c r="O459" s="390">
        <f>IF(G459&gt;0, N459/G459, 0)</f>
        <v/>
      </c>
      <c r="P459" s="391" t="n">
        <v>0.1</v>
      </c>
      <c r="Q459" s="390">
        <f>O459*(1+P459)</f>
        <v/>
      </c>
      <c r="R459" s="390">
        <f>G459*Q459</f>
        <v/>
      </c>
      <c r="S459" t="inlineStr">
        <is>
          <t>Hàng thương mại</t>
        </is>
      </c>
    </row>
    <row r="460">
      <c r="A460" t="n">
        <v>459</v>
      </c>
      <c r="B460" t="inlineStr">
        <is>
          <t>SW-TRD-459</t>
        </is>
      </c>
      <c r="C460" t="inlineStr">
        <is>
          <t>THƯƠNG MẠI</t>
        </is>
      </c>
      <c r="D460" t="inlineStr">
        <is>
          <t>DÀN LẠNH IDU-A1.3-1F-17, 18 7.1kW</t>
        </is>
      </c>
      <c r="E460" t="inlineStr">
        <is>
          <t>-</t>
        </is>
      </c>
      <c r="F460" t="inlineStr">
        <is>
          <t>Bộ</t>
        </is>
      </c>
      <c r="G460" s="390" t="n">
        <v>2</v>
      </c>
      <c r="H460" s="390">
        <f>SUMIF('01_BOC_TACH_ONG'!B:B, B460, '01_BOC_TACH_ONG'!K:K)</f>
        <v/>
      </c>
      <c r="I460" s="390">
        <f>SUMIF('02_BOC_TACH_CUA'!B:B, B460, '02_BOC_TACH_CUA'!K:K)</f>
        <v/>
      </c>
      <c r="J460" s="390">
        <f>SUMIF('03_BOC_TACH_VAN'!B:B, B460, '03_BOC_TACH_VAN'!K:K)</f>
        <v/>
      </c>
      <c r="K460" s="390">
        <f>SUM(H460:J460)</f>
        <v/>
      </c>
      <c r="L460" s="390">
        <f>K460*0.00</f>
        <v/>
      </c>
      <c r="M460" s="390">
        <f>K460*0.02</f>
        <v/>
      </c>
      <c r="N460" s="390">
        <f>K460+L460+M460</f>
        <v/>
      </c>
      <c r="O460" s="390">
        <f>IF(G460&gt;0, N460/G460, 0)</f>
        <v/>
      </c>
      <c r="P460" s="391" t="n">
        <v>0.1</v>
      </c>
      <c r="Q460" s="390">
        <f>O460*(1+P460)</f>
        <v/>
      </c>
      <c r="R460" s="390">
        <f>G460*Q460</f>
        <v/>
      </c>
      <c r="S460" t="inlineStr">
        <is>
          <t>Hàng thương mại</t>
        </is>
      </c>
    </row>
    <row r="461">
      <c r="A461" t="n">
        <v>460</v>
      </c>
      <c r="B461" t="inlineStr">
        <is>
          <t>SW-TRD-460</t>
        </is>
      </c>
      <c r="C461" t="inlineStr">
        <is>
          <t>THƯƠNG MẠI</t>
        </is>
      </c>
      <c r="D461" t="inlineStr">
        <is>
          <t>DÀN LẠNH IDU-A1.3-2F-01~04 11.2kW</t>
        </is>
      </c>
      <c r="E461" t="inlineStr">
        <is>
          <t>-</t>
        </is>
      </c>
      <c r="F461" t="inlineStr">
        <is>
          <t>Bộ</t>
        </is>
      </c>
      <c r="G461" s="390" t="n">
        <v>4</v>
      </c>
      <c r="H461" s="390">
        <f>SUMIF('01_BOC_TACH_ONG'!B:B, B461, '01_BOC_TACH_ONG'!K:K)</f>
        <v/>
      </c>
      <c r="I461" s="390">
        <f>SUMIF('02_BOC_TACH_CUA'!B:B, B461, '02_BOC_TACH_CUA'!K:K)</f>
        <v/>
      </c>
      <c r="J461" s="390">
        <f>SUMIF('03_BOC_TACH_VAN'!B:B, B461, '03_BOC_TACH_VAN'!K:K)</f>
        <v/>
      </c>
      <c r="K461" s="390">
        <f>SUM(H461:J461)</f>
        <v/>
      </c>
      <c r="L461" s="390">
        <f>K461*0.00</f>
        <v/>
      </c>
      <c r="M461" s="390">
        <f>K461*0.02</f>
        <v/>
      </c>
      <c r="N461" s="390">
        <f>K461+L461+M461</f>
        <v/>
      </c>
      <c r="O461" s="390">
        <f>IF(G461&gt;0, N461/G461, 0)</f>
        <v/>
      </c>
      <c r="P461" s="391" t="n">
        <v>0.1</v>
      </c>
      <c r="Q461" s="390">
        <f>O461*(1+P461)</f>
        <v/>
      </c>
      <c r="R461" s="390">
        <f>G461*Q461</f>
        <v/>
      </c>
      <c r="S461" t="inlineStr">
        <is>
          <t>Hàng thương mại</t>
        </is>
      </c>
    </row>
    <row r="462">
      <c r="A462" t="n">
        <v>461</v>
      </c>
      <c r="B462" t="inlineStr">
        <is>
          <t>SW-TRD-461</t>
        </is>
      </c>
      <c r="C462" t="inlineStr">
        <is>
          <t>THƯƠNG MẠI</t>
        </is>
      </c>
      <c r="D462" t="inlineStr">
        <is>
          <t>DÀN LẠNH IDU-A1.3-2F-05, 06, 07 9kW</t>
        </is>
      </c>
      <c r="E462" t="inlineStr">
        <is>
          <t>-</t>
        </is>
      </c>
      <c r="F462" t="inlineStr">
        <is>
          <t>Bộ</t>
        </is>
      </c>
      <c r="G462" s="390" t="n">
        <v>3</v>
      </c>
      <c r="H462" s="390">
        <f>SUMIF('01_BOC_TACH_ONG'!B:B, B462, '01_BOC_TACH_ONG'!K:K)</f>
        <v/>
      </c>
      <c r="I462" s="390">
        <f>SUMIF('02_BOC_TACH_CUA'!B:B, B462, '02_BOC_TACH_CUA'!K:K)</f>
        <v/>
      </c>
      <c r="J462" s="390">
        <f>SUMIF('03_BOC_TACH_VAN'!B:B, B462, '03_BOC_TACH_VAN'!K:K)</f>
        <v/>
      </c>
      <c r="K462" s="390">
        <f>SUM(H462:J462)</f>
        <v/>
      </c>
      <c r="L462" s="390">
        <f>K462*0.00</f>
        <v/>
      </c>
      <c r="M462" s="390">
        <f>K462*0.02</f>
        <v/>
      </c>
      <c r="N462" s="390">
        <f>K462+L462+M462</f>
        <v/>
      </c>
      <c r="O462" s="390">
        <f>IF(G462&gt;0, N462/G462, 0)</f>
        <v/>
      </c>
      <c r="P462" s="391" t="n">
        <v>0.1</v>
      </c>
      <c r="Q462" s="390">
        <f>O462*(1+P462)</f>
        <v/>
      </c>
      <c r="R462" s="390">
        <f>G462*Q462</f>
        <v/>
      </c>
      <c r="S462" t="inlineStr">
        <is>
          <t>Hàng thương mại</t>
        </is>
      </c>
    </row>
    <row r="463">
      <c r="A463" t="n">
        <v>462</v>
      </c>
      <c r="B463" t="inlineStr">
        <is>
          <t>SW-TRD-462</t>
        </is>
      </c>
      <c r="C463" t="inlineStr">
        <is>
          <t>THƯƠNG MẠI</t>
        </is>
      </c>
      <c r="D463" t="inlineStr">
        <is>
          <t>DÀN LẠNH IDU-A1.3-2F-08~11 11.2kW</t>
        </is>
      </c>
      <c r="E463" t="inlineStr">
        <is>
          <t>-</t>
        </is>
      </c>
      <c r="F463" t="inlineStr">
        <is>
          <t>Bộ</t>
        </is>
      </c>
      <c r="G463" s="390" t="n">
        <v>4</v>
      </c>
      <c r="H463" s="390">
        <f>SUMIF('01_BOC_TACH_ONG'!B:B, B463, '01_BOC_TACH_ONG'!K:K)</f>
        <v/>
      </c>
      <c r="I463" s="390">
        <f>SUMIF('02_BOC_TACH_CUA'!B:B, B463, '02_BOC_TACH_CUA'!K:K)</f>
        <v/>
      </c>
      <c r="J463" s="390">
        <f>SUMIF('03_BOC_TACH_VAN'!B:B, B463, '03_BOC_TACH_VAN'!K:K)</f>
        <v/>
      </c>
      <c r="K463" s="390">
        <f>SUM(H463:J463)</f>
        <v/>
      </c>
      <c r="L463" s="390">
        <f>K463*0.00</f>
        <v/>
      </c>
      <c r="M463" s="390">
        <f>K463*0.02</f>
        <v/>
      </c>
      <c r="N463" s="390">
        <f>K463+L463+M463</f>
        <v/>
      </c>
      <c r="O463" s="390">
        <f>IF(G463&gt;0, N463/G463, 0)</f>
        <v/>
      </c>
      <c r="P463" s="391" t="n">
        <v>0.1</v>
      </c>
      <c r="Q463" s="390">
        <f>O463*(1+P463)</f>
        <v/>
      </c>
      <c r="R463" s="390">
        <f>G463*Q463</f>
        <v/>
      </c>
      <c r="S463" t="inlineStr">
        <is>
          <t>Hàng thương mại</t>
        </is>
      </c>
    </row>
    <row r="464">
      <c r="A464" t="n">
        <v>463</v>
      </c>
      <c r="B464" t="inlineStr">
        <is>
          <t>SW-TRD-463</t>
        </is>
      </c>
      <c r="C464" t="inlineStr">
        <is>
          <t>THƯƠNG MẠI</t>
        </is>
      </c>
      <c r="D464" t="inlineStr">
        <is>
          <t>DÀN LẠNH IDU-A1.3-2F-12, 13 14kW</t>
        </is>
      </c>
      <c r="E464" t="inlineStr">
        <is>
          <t>-</t>
        </is>
      </c>
      <c r="F464" t="inlineStr">
        <is>
          <t>Bộ</t>
        </is>
      </c>
      <c r="G464" s="390" t="n">
        <v>2</v>
      </c>
      <c r="H464" s="390">
        <f>SUMIF('01_BOC_TACH_ONG'!B:B, B464, '01_BOC_TACH_ONG'!K:K)</f>
        <v/>
      </c>
      <c r="I464" s="390">
        <f>SUMIF('02_BOC_TACH_CUA'!B:B, B464, '02_BOC_TACH_CUA'!K:K)</f>
        <v/>
      </c>
      <c r="J464" s="390">
        <f>SUMIF('03_BOC_TACH_VAN'!B:B, B464, '03_BOC_TACH_VAN'!K:K)</f>
        <v/>
      </c>
      <c r="K464" s="390">
        <f>SUM(H464:J464)</f>
        <v/>
      </c>
      <c r="L464" s="390">
        <f>K464*0.00</f>
        <v/>
      </c>
      <c r="M464" s="390">
        <f>K464*0.02</f>
        <v/>
      </c>
      <c r="N464" s="390">
        <f>K464+L464+M464</f>
        <v/>
      </c>
      <c r="O464" s="390">
        <f>IF(G464&gt;0, N464/G464, 0)</f>
        <v/>
      </c>
      <c r="P464" s="391" t="n">
        <v>0.1</v>
      </c>
      <c r="Q464" s="390">
        <f>O464*(1+P464)</f>
        <v/>
      </c>
      <c r="R464" s="390">
        <f>G464*Q464</f>
        <v/>
      </c>
      <c r="S464" t="inlineStr">
        <is>
          <t>Hàng thương mại</t>
        </is>
      </c>
    </row>
    <row r="465">
      <c r="A465" t="n">
        <v>464</v>
      </c>
      <c r="B465" t="inlineStr">
        <is>
          <t>SW-TRD-464</t>
        </is>
      </c>
      <c r="C465" t="inlineStr">
        <is>
          <t>THƯƠNG MẠI</t>
        </is>
      </c>
      <c r="D465" t="inlineStr">
        <is>
          <t>DÀN LẠNH IDU-A1.3-2F-14, 15 7.1kW</t>
        </is>
      </c>
      <c r="E465" t="inlineStr">
        <is>
          <t>-</t>
        </is>
      </c>
      <c r="F465" t="inlineStr">
        <is>
          <t>Bộ</t>
        </is>
      </c>
      <c r="G465" s="390" t="n">
        <v>2</v>
      </c>
      <c r="H465" s="390">
        <f>SUMIF('01_BOC_TACH_ONG'!B:B, B465, '01_BOC_TACH_ONG'!K:K)</f>
        <v/>
      </c>
      <c r="I465" s="390">
        <f>SUMIF('02_BOC_TACH_CUA'!B:B, B465, '02_BOC_TACH_CUA'!K:K)</f>
        <v/>
      </c>
      <c r="J465" s="390">
        <f>SUMIF('03_BOC_TACH_VAN'!B:B, B465, '03_BOC_TACH_VAN'!K:K)</f>
        <v/>
      </c>
      <c r="K465" s="390">
        <f>SUM(H465:J465)</f>
        <v/>
      </c>
      <c r="L465" s="390">
        <f>K465*0.00</f>
        <v/>
      </c>
      <c r="M465" s="390">
        <f>K465*0.02</f>
        <v/>
      </c>
      <c r="N465" s="390">
        <f>K465+L465+M465</f>
        <v/>
      </c>
      <c r="O465" s="390">
        <f>IF(G465&gt;0, N465/G465, 0)</f>
        <v/>
      </c>
      <c r="P465" s="391" t="n">
        <v>0.1</v>
      </c>
      <c r="Q465" s="390">
        <f>O465*(1+P465)</f>
        <v/>
      </c>
      <c r="R465" s="390">
        <f>G465*Q465</f>
        <v/>
      </c>
      <c r="S465" t="inlineStr">
        <is>
          <t>Hàng thương mại</t>
        </is>
      </c>
    </row>
    <row r="466">
      <c r="A466" t="n">
        <v>465</v>
      </c>
      <c r="B466" t="inlineStr">
        <is>
          <t>SW-TRD-465</t>
        </is>
      </c>
      <c r="C466" t="inlineStr">
        <is>
          <t>THƯƠNG MẠI</t>
        </is>
      </c>
      <c r="D466" t="inlineStr">
        <is>
          <t>DÀN LẠNH IDU-A1.3-2F-16, 17 4.5kW</t>
        </is>
      </c>
      <c r="E466" t="inlineStr">
        <is>
          <t>-</t>
        </is>
      </c>
      <c r="F466" t="inlineStr">
        <is>
          <t>Bộ</t>
        </is>
      </c>
      <c r="G466" s="390" t="n">
        <v>2</v>
      </c>
      <c r="H466" s="390">
        <f>SUMIF('01_BOC_TACH_ONG'!B:B, B466, '01_BOC_TACH_ONG'!K:K)</f>
        <v/>
      </c>
      <c r="I466" s="390">
        <f>SUMIF('02_BOC_TACH_CUA'!B:B, B466, '02_BOC_TACH_CUA'!K:K)</f>
        <v/>
      </c>
      <c r="J466" s="390">
        <f>SUMIF('03_BOC_TACH_VAN'!B:B, B466, '03_BOC_TACH_VAN'!K:K)</f>
        <v/>
      </c>
      <c r="K466" s="390">
        <f>SUM(H466:J466)</f>
        <v/>
      </c>
      <c r="L466" s="390">
        <f>K466*0.00</f>
        <v/>
      </c>
      <c r="M466" s="390">
        <f>K466*0.02</f>
        <v/>
      </c>
      <c r="N466" s="390">
        <f>K466+L466+M466</f>
        <v/>
      </c>
      <c r="O466" s="390">
        <f>IF(G466&gt;0, N466/G466, 0)</f>
        <v/>
      </c>
      <c r="P466" s="391" t="n">
        <v>0.1</v>
      </c>
      <c r="Q466" s="390">
        <f>O466*(1+P466)</f>
        <v/>
      </c>
      <c r="R466" s="390">
        <f>G466*Q466</f>
        <v/>
      </c>
      <c r="S466" t="inlineStr">
        <is>
          <t>Hàng thương mại</t>
        </is>
      </c>
    </row>
    <row r="467">
      <c r="A467" t="n">
        <v>466</v>
      </c>
      <c r="B467" t="inlineStr">
        <is>
          <t>SW-TRD-466</t>
        </is>
      </c>
      <c r="C467" t="inlineStr">
        <is>
          <t>THƯƠNG MẠI</t>
        </is>
      </c>
      <c r="D467" t="inlineStr">
        <is>
          <t>DÀN LẠNH IDU-A1.3-2F-18, 19 5.6kW</t>
        </is>
      </c>
      <c r="E467" t="inlineStr">
        <is>
          <t>-</t>
        </is>
      </c>
      <c r="F467" t="inlineStr">
        <is>
          <t>Bộ</t>
        </is>
      </c>
      <c r="G467" s="390" t="n">
        <v>2</v>
      </c>
      <c r="H467" s="390">
        <f>SUMIF('01_BOC_TACH_ONG'!B:B, B467, '01_BOC_TACH_ONG'!K:K)</f>
        <v/>
      </c>
      <c r="I467" s="390">
        <f>SUMIF('02_BOC_TACH_CUA'!B:B, B467, '02_BOC_TACH_CUA'!K:K)</f>
        <v/>
      </c>
      <c r="J467" s="390">
        <f>SUMIF('03_BOC_TACH_VAN'!B:B, B467, '03_BOC_TACH_VAN'!K:K)</f>
        <v/>
      </c>
      <c r="K467" s="390">
        <f>SUM(H467:J467)</f>
        <v/>
      </c>
      <c r="L467" s="390">
        <f>K467*0.00</f>
        <v/>
      </c>
      <c r="M467" s="390">
        <f>K467*0.02</f>
        <v/>
      </c>
      <c r="N467" s="390">
        <f>K467+L467+M467</f>
        <v/>
      </c>
      <c r="O467" s="390">
        <f>IF(G467&gt;0, N467/G467, 0)</f>
        <v/>
      </c>
      <c r="P467" s="391" t="n">
        <v>0.1</v>
      </c>
      <c r="Q467" s="390">
        <f>O467*(1+P467)</f>
        <v/>
      </c>
      <c r="R467" s="390">
        <f>G467*Q467</f>
        <v/>
      </c>
      <c r="S467" t="inlineStr">
        <is>
          <t>Hàng thương mại</t>
        </is>
      </c>
    </row>
    <row r="468">
      <c r="A468" t="n">
        <v>467</v>
      </c>
      <c r="B468" t="inlineStr">
        <is>
          <t>SW-TRD-467</t>
        </is>
      </c>
      <c r="C468" t="inlineStr">
        <is>
          <t>THƯƠNG MẠI</t>
        </is>
      </c>
      <c r="D468" t="inlineStr">
        <is>
          <t>DÀN LẠNH Điều khiển nhiệt độ (có dây)</t>
        </is>
      </c>
      <c r="E468" t="inlineStr">
        <is>
          <t>-</t>
        </is>
      </c>
      <c r="F468" t="inlineStr">
        <is>
          <t>Bộ</t>
        </is>
      </c>
      <c r="G468" s="390" t="n">
        <v>109</v>
      </c>
      <c r="H468" s="390">
        <f>SUMIF('01_BOC_TACH_ONG'!B:B, B468, '01_BOC_TACH_ONG'!K:K)</f>
        <v/>
      </c>
      <c r="I468" s="390">
        <f>SUMIF('02_BOC_TACH_CUA'!B:B, B468, '02_BOC_TACH_CUA'!K:K)</f>
        <v/>
      </c>
      <c r="J468" s="390">
        <f>SUMIF('03_BOC_TACH_VAN'!B:B, B468, '03_BOC_TACH_VAN'!K:K)</f>
        <v/>
      </c>
      <c r="K468" s="390">
        <f>SUM(H468:J468)</f>
        <v/>
      </c>
      <c r="L468" s="390">
        <f>K468*0.00</f>
        <v/>
      </c>
      <c r="M468" s="390">
        <f>K468*0.02</f>
        <v/>
      </c>
      <c r="N468" s="390">
        <f>K468+L468+M468</f>
        <v/>
      </c>
      <c r="O468" s="390">
        <f>IF(G468&gt;0, N468/G468, 0)</f>
        <v/>
      </c>
      <c r="P468" s="391" t="n">
        <v>0.1</v>
      </c>
      <c r="Q468" s="390">
        <f>O468*(1+P468)</f>
        <v/>
      </c>
      <c r="R468" s="390">
        <f>G468*Q468</f>
        <v/>
      </c>
      <c r="S468" t="inlineStr">
        <is>
          <t>Hàng thương mại</t>
        </is>
      </c>
    </row>
    <row r="469">
      <c r="A469" t="n">
        <v>468</v>
      </c>
      <c r="B469" t="inlineStr">
        <is>
          <t>SW-TRD-468</t>
        </is>
      </c>
      <c r="C469" t="inlineStr">
        <is>
          <t>THƯƠNG MẠI</t>
        </is>
      </c>
      <c r="D469" t="inlineStr">
        <is>
          <t>DÀN LẠNH Vật tư phụ, phụ kiện</t>
        </is>
      </c>
      <c r="E469" t="inlineStr">
        <is>
          <t>-</t>
        </is>
      </c>
      <c r="F469" t="inlineStr">
        <is>
          <t>Lô</t>
        </is>
      </c>
      <c r="G469" s="390" t="n">
        <v>1</v>
      </c>
      <c r="H469" s="390">
        <f>SUMIF('01_BOC_TACH_ONG'!B:B, B469, '01_BOC_TACH_ONG'!K:K)</f>
        <v/>
      </c>
      <c r="I469" s="390">
        <f>SUMIF('02_BOC_TACH_CUA'!B:B, B469, '02_BOC_TACH_CUA'!K:K)</f>
        <v/>
      </c>
      <c r="J469" s="390">
        <f>SUMIF('03_BOC_TACH_VAN'!B:B, B469, '03_BOC_TACH_VAN'!K:K)</f>
        <v/>
      </c>
      <c r="K469" s="390">
        <f>SUM(H469:J469)</f>
        <v/>
      </c>
      <c r="L469" s="390">
        <f>K469*0.00</f>
        <v/>
      </c>
      <c r="M469" s="390">
        <f>K469*0.02</f>
        <v/>
      </c>
      <c r="N469" s="390">
        <f>K469+L469+M469</f>
        <v/>
      </c>
      <c r="O469" s="390">
        <f>IF(G469&gt;0, N469/G469, 0)</f>
        <v/>
      </c>
      <c r="P469" s="391" t="n">
        <v>0.1</v>
      </c>
      <c r="Q469" s="390">
        <f>O469*(1+P469)</f>
        <v/>
      </c>
      <c r="R469" s="390">
        <f>G469*Q469</f>
        <v/>
      </c>
      <c r="S469" t="inlineStr">
        <is>
          <t>Hàng thương mại</t>
        </is>
      </c>
    </row>
    <row r="470">
      <c r="A470" t="n">
        <v>469</v>
      </c>
      <c r="B470" t="inlineStr">
        <is>
          <t>SW-TRD-469</t>
        </is>
      </c>
      <c r="C470" t="inlineStr">
        <is>
          <t>THƯƠNG MẠI</t>
        </is>
      </c>
      <c r="D470" t="inlineStr">
        <is>
          <t>MÁY LẠNH CỤC BỘ ODU-B1-Z2-01,02 7.1 KW</t>
        </is>
      </c>
      <c r="E470" t="inlineStr">
        <is>
          <t>-</t>
        </is>
      </c>
      <c r="F470" t="inlineStr">
        <is>
          <t>Bộ</t>
        </is>
      </c>
      <c r="G470" s="390" t="n">
        <v>2</v>
      </c>
      <c r="H470" s="390">
        <f>SUMIF('01_BOC_TACH_ONG'!B:B, B470, '01_BOC_TACH_ONG'!K:K)</f>
        <v/>
      </c>
      <c r="I470" s="390">
        <f>SUMIF('02_BOC_TACH_CUA'!B:B, B470, '02_BOC_TACH_CUA'!K:K)</f>
        <v/>
      </c>
      <c r="J470" s="390">
        <f>SUMIF('03_BOC_TACH_VAN'!B:B, B470, '03_BOC_TACH_VAN'!K:K)</f>
        <v/>
      </c>
      <c r="K470" s="390">
        <f>SUM(H470:J470)</f>
        <v/>
      </c>
      <c r="L470" s="390">
        <f>K470*0.00</f>
        <v/>
      </c>
      <c r="M470" s="390">
        <f>K470*0.02</f>
        <v/>
      </c>
      <c r="N470" s="390">
        <f>K470+L470+M470</f>
        <v/>
      </c>
      <c r="O470" s="390">
        <f>IF(G470&gt;0, N470/G470, 0)</f>
        <v/>
      </c>
      <c r="P470" s="391" t="n">
        <v>0.1</v>
      </c>
      <c r="Q470" s="390">
        <f>O470*(1+P470)</f>
        <v/>
      </c>
      <c r="R470" s="390">
        <f>G470*Q470</f>
        <v/>
      </c>
      <c r="S470" t="inlineStr">
        <is>
          <t>Hàng thương mại</t>
        </is>
      </c>
    </row>
    <row r="471">
      <c r="A471" t="n">
        <v>470</v>
      </c>
      <c r="B471" t="inlineStr">
        <is>
          <t>SW-TRD-470</t>
        </is>
      </c>
      <c r="C471" t="inlineStr">
        <is>
          <t>THƯƠNG MẠI</t>
        </is>
      </c>
      <c r="D471" t="inlineStr">
        <is>
          <t>MÁY LẠNH CỤC BỘ ODU-B1-Z2-03,04  14 KW</t>
        </is>
      </c>
      <c r="E471" t="inlineStr">
        <is>
          <t>-</t>
        </is>
      </c>
      <c r="F471" t="inlineStr">
        <is>
          <t>Bộ</t>
        </is>
      </c>
      <c r="G471" s="390" t="n">
        <v>2</v>
      </c>
      <c r="H471" s="390">
        <f>SUMIF('01_BOC_TACH_ONG'!B:B, B471, '01_BOC_TACH_ONG'!K:K)</f>
        <v/>
      </c>
      <c r="I471" s="390">
        <f>SUMIF('02_BOC_TACH_CUA'!B:B, B471, '02_BOC_TACH_CUA'!K:K)</f>
        <v/>
      </c>
      <c r="J471" s="390">
        <f>SUMIF('03_BOC_TACH_VAN'!B:B, B471, '03_BOC_TACH_VAN'!K:K)</f>
        <v/>
      </c>
      <c r="K471" s="390">
        <f>SUM(H471:J471)</f>
        <v/>
      </c>
      <c r="L471" s="390">
        <f>K471*0.00</f>
        <v/>
      </c>
      <c r="M471" s="390">
        <f>K471*0.02</f>
        <v/>
      </c>
      <c r="N471" s="390">
        <f>K471+L471+M471</f>
        <v/>
      </c>
      <c r="O471" s="390">
        <f>IF(G471&gt;0, N471/G471, 0)</f>
        <v/>
      </c>
      <c r="P471" s="391" t="n">
        <v>0.1</v>
      </c>
      <c r="Q471" s="390">
        <f>O471*(1+P471)</f>
        <v/>
      </c>
      <c r="R471" s="390">
        <f>G471*Q471</f>
        <v/>
      </c>
      <c r="S471" t="inlineStr">
        <is>
          <t>Hàng thương mại</t>
        </is>
      </c>
    </row>
    <row r="472">
      <c r="A472" t="n">
        <v>471</v>
      </c>
      <c r="B472" t="inlineStr">
        <is>
          <t>SW-TRD-471</t>
        </is>
      </c>
      <c r="C472" t="inlineStr">
        <is>
          <t>THƯƠNG MẠI</t>
        </is>
      </c>
      <c r="D472" t="inlineStr">
        <is>
          <t>MÁY LẠNH CỤC BỘ ODU-B1-Z2-05,06 7.1 KW</t>
        </is>
      </c>
      <c r="E472" t="inlineStr">
        <is>
          <t>-</t>
        </is>
      </c>
      <c r="F472" t="inlineStr">
        <is>
          <t>Bộ</t>
        </is>
      </c>
      <c r="G472" s="390" t="n">
        <v>2</v>
      </c>
      <c r="H472" s="390">
        <f>SUMIF('01_BOC_TACH_ONG'!B:B, B472, '01_BOC_TACH_ONG'!K:K)</f>
        <v/>
      </c>
      <c r="I472" s="390">
        <f>SUMIF('02_BOC_TACH_CUA'!B:B, B472, '02_BOC_TACH_CUA'!K:K)</f>
        <v/>
      </c>
      <c r="J472" s="390">
        <f>SUMIF('03_BOC_TACH_VAN'!B:B, B472, '03_BOC_TACH_VAN'!K:K)</f>
        <v/>
      </c>
      <c r="K472" s="390">
        <f>SUM(H472:J472)</f>
        <v/>
      </c>
      <c r="L472" s="390">
        <f>K472*0.00</f>
        <v/>
      </c>
      <c r="M472" s="390">
        <f>K472*0.02</f>
        <v/>
      </c>
      <c r="N472" s="390">
        <f>K472+L472+M472</f>
        <v/>
      </c>
      <c r="O472" s="390">
        <f>IF(G472&gt;0, N472/G472, 0)</f>
        <v/>
      </c>
      <c r="P472" s="391" t="n">
        <v>0.1</v>
      </c>
      <c r="Q472" s="390">
        <f>O472*(1+P472)</f>
        <v/>
      </c>
      <c r="R472" s="390">
        <f>G472*Q472</f>
        <v/>
      </c>
      <c r="S472" t="inlineStr">
        <is>
          <t>Hàng thương mại</t>
        </is>
      </c>
    </row>
    <row r="473">
      <c r="A473" t="n">
        <v>472</v>
      </c>
      <c r="B473" t="inlineStr">
        <is>
          <t>SW-TRD-472</t>
        </is>
      </c>
      <c r="C473" t="inlineStr">
        <is>
          <t>THƯƠNG MẠI</t>
        </is>
      </c>
      <c r="D473" t="inlineStr">
        <is>
          <t>MÁY LẠNH CỤC BỘ ODU-B1-Z2-07,08 7.1 KW</t>
        </is>
      </c>
      <c r="E473" t="inlineStr">
        <is>
          <t>-</t>
        </is>
      </c>
      <c r="F473" t="inlineStr">
        <is>
          <t>Bộ</t>
        </is>
      </c>
      <c r="G473" s="390" t="n">
        <v>2</v>
      </c>
      <c r="H473" s="390">
        <f>SUMIF('01_BOC_TACH_ONG'!B:B, B473, '01_BOC_TACH_ONG'!K:K)</f>
        <v/>
      </c>
      <c r="I473" s="390">
        <f>SUMIF('02_BOC_TACH_CUA'!B:B, B473, '02_BOC_TACH_CUA'!K:K)</f>
        <v/>
      </c>
      <c r="J473" s="390">
        <f>SUMIF('03_BOC_TACH_VAN'!B:B, B473, '03_BOC_TACH_VAN'!K:K)</f>
        <v/>
      </c>
      <c r="K473" s="390">
        <f>SUM(H473:J473)</f>
        <v/>
      </c>
      <c r="L473" s="390">
        <f>K473*0.00</f>
        <v/>
      </c>
      <c r="M473" s="390">
        <f>K473*0.02</f>
        <v/>
      </c>
      <c r="N473" s="390">
        <f>K473+L473+M473</f>
        <v/>
      </c>
      <c r="O473" s="390">
        <f>IF(G473&gt;0, N473/G473, 0)</f>
        <v/>
      </c>
      <c r="P473" s="391" t="n">
        <v>0.1</v>
      </c>
      <c r="Q473" s="390">
        <f>O473*(1+P473)</f>
        <v/>
      </c>
      <c r="R473" s="390">
        <f>G473*Q473</f>
        <v/>
      </c>
      <c r="S473" t="inlineStr">
        <is>
          <t>Hàng thương mại</t>
        </is>
      </c>
    </row>
    <row r="474">
      <c r="A474" t="n">
        <v>473</v>
      </c>
      <c r="B474" t="inlineStr">
        <is>
          <t>SW-TRD-473</t>
        </is>
      </c>
      <c r="C474" t="inlineStr">
        <is>
          <t>THƯƠNG MẠI</t>
        </is>
      </c>
      <c r="D474" t="inlineStr">
        <is>
          <t>MÁY LẠNH CỤC BỘ ACU-B1-Z2-01,02</t>
        </is>
      </c>
      <c r="E474" t="inlineStr">
        <is>
          <t>-</t>
        </is>
      </c>
      <c r="F474" t="inlineStr">
        <is>
          <t>Bộ</t>
        </is>
      </c>
      <c r="G474" s="390" t="n">
        <v>2</v>
      </c>
      <c r="H474" s="390">
        <f>SUMIF('01_BOC_TACH_ONG'!B:B, B474, '01_BOC_TACH_ONG'!K:K)</f>
        <v/>
      </c>
      <c r="I474" s="390">
        <f>SUMIF('02_BOC_TACH_CUA'!B:B, B474, '02_BOC_TACH_CUA'!K:K)</f>
        <v/>
      </c>
      <c r="J474" s="390">
        <f>SUMIF('03_BOC_TACH_VAN'!B:B, B474, '03_BOC_TACH_VAN'!K:K)</f>
        <v/>
      </c>
      <c r="K474" s="390">
        <f>SUM(H474:J474)</f>
        <v/>
      </c>
      <c r="L474" s="390">
        <f>K474*0.00</f>
        <v/>
      </c>
      <c r="M474" s="390">
        <f>K474*0.02</f>
        <v/>
      </c>
      <c r="N474" s="390">
        <f>K474+L474+M474</f>
        <v/>
      </c>
      <c r="O474" s="390">
        <f>IF(G474&gt;0, N474/G474, 0)</f>
        <v/>
      </c>
      <c r="P474" s="391" t="n">
        <v>0.1</v>
      </c>
      <c r="Q474" s="390">
        <f>O474*(1+P474)</f>
        <v/>
      </c>
      <c r="R474" s="390">
        <f>G474*Q474</f>
        <v/>
      </c>
      <c r="S474" t="inlineStr">
        <is>
          <t>Hàng thương mại</t>
        </is>
      </c>
    </row>
    <row r="475">
      <c r="A475" t="n">
        <v>474</v>
      </c>
      <c r="B475" t="inlineStr">
        <is>
          <t>SW-TRD-474</t>
        </is>
      </c>
      <c r="C475" t="inlineStr">
        <is>
          <t>THƯƠNG MẠI</t>
        </is>
      </c>
      <c r="D475" t="inlineStr">
        <is>
          <t>MÁY LẠNH CỤC BỘ ACU-B1-Z2-03,04</t>
        </is>
      </c>
      <c r="E475" t="inlineStr">
        <is>
          <t>-</t>
        </is>
      </c>
      <c r="F475" t="inlineStr">
        <is>
          <t>Bộ</t>
        </is>
      </c>
      <c r="G475" s="390" t="n">
        <v>2</v>
      </c>
      <c r="H475" s="390">
        <f>SUMIF('01_BOC_TACH_ONG'!B:B, B475, '01_BOC_TACH_ONG'!K:K)</f>
        <v/>
      </c>
      <c r="I475" s="390">
        <f>SUMIF('02_BOC_TACH_CUA'!B:B, B475, '02_BOC_TACH_CUA'!K:K)</f>
        <v/>
      </c>
      <c r="J475" s="390">
        <f>SUMIF('03_BOC_TACH_VAN'!B:B, B475, '03_BOC_TACH_VAN'!K:K)</f>
        <v/>
      </c>
      <c r="K475" s="390">
        <f>SUM(H475:J475)</f>
        <v/>
      </c>
      <c r="L475" s="390">
        <f>K475*0.00</f>
        <v/>
      </c>
      <c r="M475" s="390">
        <f>K475*0.02</f>
        <v/>
      </c>
      <c r="N475" s="390">
        <f>K475+L475+M475</f>
        <v/>
      </c>
      <c r="O475" s="390">
        <f>IF(G475&gt;0, N475/G475, 0)</f>
        <v/>
      </c>
      <c r="P475" s="391" t="n">
        <v>0.1</v>
      </c>
      <c r="Q475" s="390">
        <f>O475*(1+P475)</f>
        <v/>
      </c>
      <c r="R475" s="390">
        <f>G475*Q475</f>
        <v/>
      </c>
      <c r="S475" t="inlineStr">
        <is>
          <t>Hàng thương mại</t>
        </is>
      </c>
    </row>
    <row r="476">
      <c r="A476" t="n">
        <v>475</v>
      </c>
      <c r="B476" t="inlineStr">
        <is>
          <t>SW-TRD-475</t>
        </is>
      </c>
      <c r="C476" t="inlineStr">
        <is>
          <t>THƯƠNG MẠI</t>
        </is>
      </c>
      <c r="D476" t="inlineStr">
        <is>
          <t>MÁY LẠNH CỤC BỘ ACU-B1-Z2-05,06</t>
        </is>
      </c>
      <c r="E476" t="inlineStr">
        <is>
          <t>-</t>
        </is>
      </c>
      <c r="F476" t="inlineStr">
        <is>
          <t>Bộ</t>
        </is>
      </c>
      <c r="G476" s="390" t="n">
        <v>2</v>
      </c>
      <c r="H476" s="390">
        <f>SUMIF('01_BOC_TACH_ONG'!B:B, B476, '01_BOC_TACH_ONG'!K:K)</f>
        <v/>
      </c>
      <c r="I476" s="390">
        <f>SUMIF('02_BOC_TACH_CUA'!B:B, B476, '02_BOC_TACH_CUA'!K:K)</f>
        <v/>
      </c>
      <c r="J476" s="390">
        <f>SUMIF('03_BOC_TACH_VAN'!B:B, B476, '03_BOC_TACH_VAN'!K:K)</f>
        <v/>
      </c>
      <c r="K476" s="390">
        <f>SUM(H476:J476)</f>
        <v/>
      </c>
      <c r="L476" s="390">
        <f>K476*0.00</f>
        <v/>
      </c>
      <c r="M476" s="390">
        <f>K476*0.02</f>
        <v/>
      </c>
      <c r="N476" s="390">
        <f>K476+L476+M476</f>
        <v/>
      </c>
      <c r="O476" s="390">
        <f>IF(G476&gt;0, N476/G476, 0)</f>
        <v/>
      </c>
      <c r="P476" s="391" t="n">
        <v>0.1</v>
      </c>
      <c r="Q476" s="390">
        <f>O476*(1+P476)</f>
        <v/>
      </c>
      <c r="R476" s="390">
        <f>G476*Q476</f>
        <v/>
      </c>
      <c r="S476" t="inlineStr">
        <is>
          <t>Hàng thương mại</t>
        </is>
      </c>
    </row>
    <row r="477">
      <c r="A477" t="n">
        <v>476</v>
      </c>
      <c r="B477" t="inlineStr">
        <is>
          <t>SW-TRD-476</t>
        </is>
      </c>
      <c r="C477" t="inlineStr">
        <is>
          <t>THƯƠNG MẠI</t>
        </is>
      </c>
      <c r="D477" t="inlineStr">
        <is>
          <t>MÁY LẠNH CỤC BỘ ACU-B1-Z2-07,08</t>
        </is>
      </c>
      <c r="E477" t="inlineStr">
        <is>
          <t>-</t>
        </is>
      </c>
      <c r="F477" t="inlineStr">
        <is>
          <t>Bộ</t>
        </is>
      </c>
      <c r="G477" s="390" t="n">
        <v>2</v>
      </c>
      <c r="H477" s="390">
        <f>SUMIF('01_BOC_TACH_ONG'!B:B, B477, '01_BOC_TACH_ONG'!K:K)</f>
        <v/>
      </c>
      <c r="I477" s="390">
        <f>SUMIF('02_BOC_TACH_CUA'!B:B, B477, '02_BOC_TACH_CUA'!K:K)</f>
        <v/>
      </c>
      <c r="J477" s="390">
        <f>SUMIF('03_BOC_TACH_VAN'!B:B, B477, '03_BOC_TACH_VAN'!K:K)</f>
        <v/>
      </c>
      <c r="K477" s="390">
        <f>SUM(H477:J477)</f>
        <v/>
      </c>
      <c r="L477" s="390">
        <f>K477*0.00</f>
        <v/>
      </c>
      <c r="M477" s="390">
        <f>K477*0.02</f>
        <v/>
      </c>
      <c r="N477" s="390">
        <f>K477+L477+M477</f>
        <v/>
      </c>
      <c r="O477" s="390">
        <f>IF(G477&gt;0, N477/G477, 0)</f>
        <v/>
      </c>
      <c r="P477" s="391" t="n">
        <v>0.1</v>
      </c>
      <c r="Q477" s="390">
        <f>O477*(1+P477)</f>
        <v/>
      </c>
      <c r="R477" s="390">
        <f>G477*Q477</f>
        <v/>
      </c>
      <c r="S477" t="inlineStr">
        <is>
          <t>Hàng thương mại</t>
        </is>
      </c>
    </row>
    <row r="478">
      <c r="A478" t="n">
        <v>477</v>
      </c>
      <c r="B478" t="inlineStr">
        <is>
          <t>SW-TRD-477</t>
        </is>
      </c>
      <c r="C478" t="inlineStr">
        <is>
          <t>THƯƠNG MẠI</t>
        </is>
      </c>
      <c r="D478" t="inlineStr">
        <is>
          <t>MÁY LẠNH CỤC BỘ Vật tư phụ, phụ kiện</t>
        </is>
      </c>
      <c r="E478" t="inlineStr">
        <is>
          <t>-</t>
        </is>
      </c>
      <c r="F478" t="inlineStr">
        <is>
          <t>Lô</t>
        </is>
      </c>
      <c r="G478" s="390" t="n">
        <v>1</v>
      </c>
      <c r="H478" s="390">
        <f>SUMIF('01_BOC_TACH_ONG'!B:B, B478, '01_BOC_TACH_ONG'!K:K)</f>
        <v/>
      </c>
      <c r="I478" s="390">
        <f>SUMIF('02_BOC_TACH_CUA'!B:B, B478, '02_BOC_TACH_CUA'!K:K)</f>
        <v/>
      </c>
      <c r="J478" s="390">
        <f>SUMIF('03_BOC_TACH_VAN'!B:B, B478, '03_BOC_TACH_VAN'!K:K)</f>
        <v/>
      </c>
      <c r="K478" s="390">
        <f>SUM(H478:J478)</f>
        <v/>
      </c>
      <c r="L478" s="390">
        <f>K478*0.00</f>
        <v/>
      </c>
      <c r="M478" s="390">
        <f>K478*0.02</f>
        <v/>
      </c>
      <c r="N478" s="390">
        <f>K478+L478+M478</f>
        <v/>
      </c>
      <c r="O478" s="390">
        <f>IF(G478&gt;0, N478/G478, 0)</f>
        <v/>
      </c>
      <c r="P478" s="391" t="n">
        <v>0.1</v>
      </c>
      <c r="Q478" s="390">
        <f>O478*(1+P478)</f>
        <v/>
      </c>
      <c r="R478" s="390">
        <f>G478*Q478</f>
        <v/>
      </c>
      <c r="S478" t="inlineStr">
        <is>
          <t>Hàng thương mại</t>
        </is>
      </c>
    </row>
    <row r="479">
      <c r="A479" t="n">
        <v>478</v>
      </c>
      <c r="B479" t="inlineStr">
        <is>
          <t>SW-ACST-478</t>
        </is>
      </c>
      <c r="C479" t="inlineStr">
        <is>
          <t>VÁCH NGĂN / HỘP TIÊU ÂM</t>
        </is>
      </c>
      <c r="D479" t="inlineStr">
        <is>
          <t>MIỆNG GIÓ Box gió cấp và box gió hồi máy lạnh kèm tiêu âm dày 25mm 14kW</t>
        </is>
      </c>
      <c r="E479" t="inlineStr">
        <is>
          <t>-</t>
        </is>
      </c>
      <c r="F479" t="inlineStr">
        <is>
          <t>Bộ</t>
        </is>
      </c>
      <c r="G479" s="390" t="n">
        <v>21</v>
      </c>
      <c r="H479" s="390">
        <f>SUMIF('01_BOC_TACH_ONG'!B:B, B479, '01_BOC_TACH_ONG'!K:K)</f>
        <v/>
      </c>
      <c r="I479" s="390">
        <f>SUMIF('02_BOC_TACH_CUA'!B:B, B479, '02_BOC_TACH_CUA'!K:K)</f>
        <v/>
      </c>
      <c r="J479" s="390">
        <f>SUMIF('03_BOC_TACH_VAN'!B:B, B479, '03_BOC_TACH_VAN'!K:K)</f>
        <v/>
      </c>
      <c r="K479" s="390">
        <f>SUM(H479:J479)</f>
        <v/>
      </c>
      <c r="L479" s="390">
        <f>K479*0.25</f>
        <v/>
      </c>
      <c r="M479" s="390">
        <f>K479*0.10</f>
        <v/>
      </c>
      <c r="N479" s="390">
        <f>K479+L479+M479</f>
        <v/>
      </c>
      <c r="O479" s="390">
        <f>IF(G479&gt;0, N479/G479, 0)</f>
        <v/>
      </c>
      <c r="P479" s="391" t="n">
        <v>0.18</v>
      </c>
      <c r="Q479" s="390">
        <f>O479*(1+P479)</f>
        <v/>
      </c>
      <c r="R479" s="390">
        <f>G479*Q479</f>
        <v/>
      </c>
      <c r="S479" t="inlineStr"/>
    </row>
    <row r="480">
      <c r="A480" t="n">
        <v>479</v>
      </c>
      <c r="B480" t="inlineStr">
        <is>
          <t>SW-ACST-479</t>
        </is>
      </c>
      <c r="C480" t="inlineStr">
        <is>
          <t>VÁCH NGĂN / HỘP TIÊU ÂM</t>
        </is>
      </c>
      <c r="D480" t="inlineStr">
        <is>
          <t>MIỆNG GIÓ Box gió cấp và box gió hồi máy lạnh kèm tiêu âm dày 25mm 11.2kW</t>
        </is>
      </c>
      <c r="E480" t="inlineStr">
        <is>
          <t>-</t>
        </is>
      </c>
      <c r="F480" t="inlineStr">
        <is>
          <t>Bộ</t>
        </is>
      </c>
      <c r="G480" s="390" t="n">
        <v>40</v>
      </c>
      <c r="H480" s="390">
        <f>SUMIF('01_BOC_TACH_ONG'!B:B, B480, '01_BOC_TACH_ONG'!K:K)</f>
        <v/>
      </c>
      <c r="I480" s="390">
        <f>SUMIF('02_BOC_TACH_CUA'!B:B, B480, '02_BOC_TACH_CUA'!K:K)</f>
        <v/>
      </c>
      <c r="J480" s="390">
        <f>SUMIF('03_BOC_TACH_VAN'!B:B, B480, '03_BOC_TACH_VAN'!K:K)</f>
        <v/>
      </c>
      <c r="K480" s="390">
        <f>SUM(H480:J480)</f>
        <v/>
      </c>
      <c r="L480" s="390">
        <f>K480*0.25</f>
        <v/>
      </c>
      <c r="M480" s="390">
        <f>K480*0.10</f>
        <v/>
      </c>
      <c r="N480" s="390">
        <f>K480+L480+M480</f>
        <v/>
      </c>
      <c r="O480" s="390">
        <f>IF(G480&gt;0, N480/G480, 0)</f>
        <v/>
      </c>
      <c r="P480" s="391" t="n">
        <v>0.18</v>
      </c>
      <c r="Q480" s="390">
        <f>O480*(1+P480)</f>
        <v/>
      </c>
      <c r="R480" s="390">
        <f>G480*Q480</f>
        <v/>
      </c>
      <c r="S480" t="inlineStr"/>
    </row>
    <row r="481">
      <c r="A481" t="n">
        <v>480</v>
      </c>
      <c r="B481" t="inlineStr">
        <is>
          <t>SW-ACST-480</t>
        </is>
      </c>
      <c r="C481" t="inlineStr">
        <is>
          <t>VÁCH NGĂN / HỘP TIÊU ÂM</t>
        </is>
      </c>
      <c r="D481" t="inlineStr">
        <is>
          <t>MIỆNG GIÓ Box gió cấp và box gió hồi máy lạnh kèm tiêu âm dày 25mm 9.0kW</t>
        </is>
      </c>
      <c r="E481" t="inlineStr">
        <is>
          <t>-</t>
        </is>
      </c>
      <c r="F481" t="inlineStr">
        <is>
          <t>Bộ</t>
        </is>
      </c>
      <c r="G481" s="390" t="n">
        <v>12</v>
      </c>
      <c r="H481" s="390">
        <f>SUMIF('01_BOC_TACH_ONG'!B:B, B481, '01_BOC_TACH_ONG'!K:K)</f>
        <v/>
      </c>
      <c r="I481" s="390">
        <f>SUMIF('02_BOC_TACH_CUA'!B:B, B481, '02_BOC_TACH_CUA'!K:K)</f>
        <v/>
      </c>
      <c r="J481" s="390">
        <f>SUMIF('03_BOC_TACH_VAN'!B:B, B481, '03_BOC_TACH_VAN'!K:K)</f>
        <v/>
      </c>
      <c r="K481" s="390">
        <f>SUM(H481:J481)</f>
        <v/>
      </c>
      <c r="L481" s="390">
        <f>K481*0.25</f>
        <v/>
      </c>
      <c r="M481" s="390">
        <f>K481*0.10</f>
        <v/>
      </c>
      <c r="N481" s="390">
        <f>K481+L481+M481</f>
        <v/>
      </c>
      <c r="O481" s="390">
        <f>IF(G481&gt;0, N481/G481, 0)</f>
        <v/>
      </c>
      <c r="P481" s="391" t="n">
        <v>0.18</v>
      </c>
      <c r="Q481" s="390">
        <f>O481*(1+P481)</f>
        <v/>
      </c>
      <c r="R481" s="390">
        <f>G481*Q481</f>
        <v/>
      </c>
      <c r="S481" t="inlineStr"/>
    </row>
    <row r="482">
      <c r="A482" t="n">
        <v>481</v>
      </c>
      <c r="B482" t="inlineStr">
        <is>
          <t>SW-ACST-481</t>
        </is>
      </c>
      <c r="C482" t="inlineStr">
        <is>
          <t>VÁCH NGĂN / HỘP TIÊU ÂM</t>
        </is>
      </c>
      <c r="D482" t="inlineStr">
        <is>
          <t>MIỆNG GIÓ Box gió cấp và box gió hồi máy lạnh kèm tiêu âm dày 25mm 7.1kW</t>
        </is>
      </c>
      <c r="E482" t="inlineStr">
        <is>
          <t>-</t>
        </is>
      </c>
      <c r="F482" t="inlineStr">
        <is>
          <t>Bộ</t>
        </is>
      </c>
      <c r="G482" s="390" t="n">
        <v>12</v>
      </c>
      <c r="H482" s="390">
        <f>SUMIF('01_BOC_TACH_ONG'!B:B, B482, '01_BOC_TACH_ONG'!K:K)</f>
        <v/>
      </c>
      <c r="I482" s="390">
        <f>SUMIF('02_BOC_TACH_CUA'!B:B, B482, '02_BOC_TACH_CUA'!K:K)</f>
        <v/>
      </c>
      <c r="J482" s="390">
        <f>SUMIF('03_BOC_TACH_VAN'!B:B, B482, '03_BOC_TACH_VAN'!K:K)</f>
        <v/>
      </c>
      <c r="K482" s="390">
        <f>SUM(H482:J482)</f>
        <v/>
      </c>
      <c r="L482" s="390">
        <f>K482*0.25</f>
        <v/>
      </c>
      <c r="M482" s="390">
        <f>K482*0.10</f>
        <v/>
      </c>
      <c r="N482" s="390">
        <f>K482+L482+M482</f>
        <v/>
      </c>
      <c r="O482" s="390">
        <f>IF(G482&gt;0, N482/G482, 0)</f>
        <v/>
      </c>
      <c r="P482" s="391" t="n">
        <v>0.18</v>
      </c>
      <c r="Q482" s="390">
        <f>O482*(1+P482)</f>
        <v/>
      </c>
      <c r="R482" s="390">
        <f>G482*Q482</f>
        <v/>
      </c>
      <c r="S482" t="inlineStr"/>
    </row>
    <row r="483">
      <c r="A483" t="n">
        <v>482</v>
      </c>
      <c r="B483" t="inlineStr">
        <is>
          <t>SW-ACST-482</t>
        </is>
      </c>
      <c r="C483" t="inlineStr">
        <is>
          <t>VÁCH NGĂN / HỘP TIÊU ÂM</t>
        </is>
      </c>
      <c r="D483" t="inlineStr">
        <is>
          <t>MIỆNG GIÓ Box gió cấp và box gió hồi máy lạnh kèm tiêu âm dày 25mm 5.6 kW</t>
        </is>
      </c>
      <c r="E483" t="inlineStr">
        <is>
          <t>-</t>
        </is>
      </c>
      <c r="F483" t="inlineStr">
        <is>
          <t>Bộ</t>
        </is>
      </c>
      <c r="G483" s="390" t="n">
        <v>14</v>
      </c>
      <c r="H483" s="390">
        <f>SUMIF('01_BOC_TACH_ONG'!B:B, B483, '01_BOC_TACH_ONG'!K:K)</f>
        <v/>
      </c>
      <c r="I483" s="390">
        <f>SUMIF('02_BOC_TACH_CUA'!B:B, B483, '02_BOC_TACH_CUA'!K:K)</f>
        <v/>
      </c>
      <c r="J483" s="390">
        <f>SUMIF('03_BOC_TACH_VAN'!B:B, B483, '03_BOC_TACH_VAN'!K:K)</f>
        <v/>
      </c>
      <c r="K483" s="390">
        <f>SUM(H483:J483)</f>
        <v/>
      </c>
      <c r="L483" s="390">
        <f>K483*0.25</f>
        <v/>
      </c>
      <c r="M483" s="390">
        <f>K483*0.10</f>
        <v/>
      </c>
      <c r="N483" s="390">
        <f>K483+L483+M483</f>
        <v/>
      </c>
      <c r="O483" s="390">
        <f>IF(G483&gt;0, N483/G483, 0)</f>
        <v/>
      </c>
      <c r="P483" s="391" t="n">
        <v>0.18</v>
      </c>
      <c r="Q483" s="390">
        <f>O483*(1+P483)</f>
        <v/>
      </c>
      <c r="R483" s="390">
        <f>G483*Q483</f>
        <v/>
      </c>
      <c r="S483" t="inlineStr"/>
    </row>
    <row r="484">
      <c r="A484" t="n">
        <v>483</v>
      </c>
      <c r="B484" t="inlineStr">
        <is>
          <t>SW-ACST-483</t>
        </is>
      </c>
      <c r="C484" t="inlineStr">
        <is>
          <t>VÁCH NGĂN / HỘP TIÊU ÂM</t>
        </is>
      </c>
      <c r="D484" t="inlineStr">
        <is>
          <t>MIỆNG GIÓ Box gió cấp và box gió hồi máy lạnh kèm tiêu âm dày 25mm 4.5kW</t>
        </is>
      </c>
      <c r="E484" t="inlineStr">
        <is>
          <t>-</t>
        </is>
      </c>
      <c r="F484" t="inlineStr">
        <is>
          <t>Bộ</t>
        </is>
      </c>
      <c r="G484" s="390" t="n">
        <v>10</v>
      </c>
      <c r="H484" s="390">
        <f>SUMIF('01_BOC_TACH_ONG'!B:B, B484, '01_BOC_TACH_ONG'!K:K)</f>
        <v/>
      </c>
      <c r="I484" s="390">
        <f>SUMIF('02_BOC_TACH_CUA'!B:B, B484, '02_BOC_TACH_CUA'!K:K)</f>
        <v/>
      </c>
      <c r="J484" s="390">
        <f>SUMIF('03_BOC_TACH_VAN'!B:B, B484, '03_BOC_TACH_VAN'!K:K)</f>
        <v/>
      </c>
      <c r="K484" s="390">
        <f>SUM(H484:J484)</f>
        <v/>
      </c>
      <c r="L484" s="390">
        <f>K484*0.25</f>
        <v/>
      </c>
      <c r="M484" s="390">
        <f>K484*0.10</f>
        <v/>
      </c>
      <c r="N484" s="390">
        <f>K484+L484+M484</f>
        <v/>
      </c>
      <c r="O484" s="390">
        <f>IF(G484&gt;0, N484/G484, 0)</f>
        <v/>
      </c>
      <c r="P484" s="391" t="n">
        <v>0.18</v>
      </c>
      <c r="Q484" s="390">
        <f>O484*(1+P484)</f>
        <v/>
      </c>
      <c r="R484" s="390">
        <f>G484*Q484</f>
        <v/>
      </c>
      <c r="S484" t="inlineStr"/>
    </row>
    <row r="485">
      <c r="A485" t="n">
        <v>484</v>
      </c>
      <c r="B485" t="inlineStr">
        <is>
          <t>SW-DIFF-484</t>
        </is>
      </c>
      <c r="C485" t="inlineStr">
        <is>
          <t>CỬA GIÓ</t>
        </is>
      </c>
      <c r="D485" t="inlineStr">
        <is>
          <t>Miệng gió cấp SAG600x600 kèm OBD box miệng gió</t>
        </is>
      </c>
      <c r="E485" t="inlineStr">
        <is>
          <t>600x600</t>
        </is>
      </c>
      <c r="F485" t="inlineStr">
        <is>
          <t>Cái</t>
        </is>
      </c>
      <c r="G485" s="390" t="n">
        <v>309</v>
      </c>
      <c r="H485" s="390">
        <f>SUMIF('01_BOC_TACH_ONG'!B:B, B485, '01_BOC_TACH_ONG'!K:K)</f>
        <v/>
      </c>
      <c r="I485" s="390">
        <f>SUMIF('02_BOC_TACH_CUA'!B:B, B485, '02_BOC_TACH_CUA'!K:K)</f>
        <v/>
      </c>
      <c r="J485" s="390">
        <f>SUMIF('03_BOC_TACH_VAN'!B:B, B485, '03_BOC_TACH_VAN'!K:K)</f>
        <v/>
      </c>
      <c r="K485" s="390">
        <f>SUM(H485:J485)</f>
        <v/>
      </c>
      <c r="L485" s="390">
        <f>K485*0.25</f>
        <v/>
      </c>
      <c r="M485" s="390">
        <f>K485*0.10</f>
        <v/>
      </c>
      <c r="N485" s="390">
        <f>K485+L485+M485</f>
        <v/>
      </c>
      <c r="O485" s="390">
        <f>IF(G485&gt;0, N485/G485, 0)</f>
        <v/>
      </c>
      <c r="P485" s="391" t="n">
        <v>0.18</v>
      </c>
      <c r="Q485" s="390">
        <f>O485*(1+P485)</f>
        <v/>
      </c>
      <c r="R485" s="390">
        <f>G485*Q485</f>
        <v/>
      </c>
      <c r="S485" t="inlineStr"/>
    </row>
    <row r="486">
      <c r="A486" t="n">
        <v>485</v>
      </c>
      <c r="B486" t="inlineStr">
        <is>
          <t>SW-DIFF-485</t>
        </is>
      </c>
      <c r="C486" t="inlineStr">
        <is>
          <t>CỬA GIÓ</t>
        </is>
      </c>
      <c r="D486" t="inlineStr">
        <is>
          <t>Miệng gió hồi RAG600x600 kèm OBD box miệng gió</t>
        </is>
      </c>
      <c r="E486" t="inlineStr">
        <is>
          <t>600x600</t>
        </is>
      </c>
      <c r="F486" t="inlineStr">
        <is>
          <t>Cái</t>
        </is>
      </c>
      <c r="G486" s="390" t="n">
        <v>195</v>
      </c>
      <c r="H486" s="390">
        <f>SUMIF('01_BOC_TACH_ONG'!B:B, B486, '01_BOC_TACH_ONG'!K:K)</f>
        <v/>
      </c>
      <c r="I486" s="390">
        <f>SUMIF('02_BOC_TACH_CUA'!B:B, B486, '02_BOC_TACH_CUA'!K:K)</f>
        <v/>
      </c>
      <c r="J486" s="390">
        <f>SUMIF('03_BOC_TACH_VAN'!B:B, B486, '03_BOC_TACH_VAN'!K:K)</f>
        <v/>
      </c>
      <c r="K486" s="390">
        <f>SUM(H486:J486)</f>
        <v/>
      </c>
      <c r="L486" s="390">
        <f>K486*0.25</f>
        <v/>
      </c>
      <c r="M486" s="390">
        <f>K486*0.10</f>
        <v/>
      </c>
      <c r="N486" s="390">
        <f>K486+L486+M486</f>
        <v/>
      </c>
      <c r="O486" s="390">
        <f>IF(G486&gt;0, N486/G486, 0)</f>
        <v/>
      </c>
      <c r="P486" s="391" t="n">
        <v>0.18</v>
      </c>
      <c r="Q486" s="390">
        <f>O486*(1+P486)</f>
        <v/>
      </c>
      <c r="R486" s="390">
        <f>G486*Q486</f>
        <v/>
      </c>
      <c r="S486" t="inlineStr"/>
    </row>
    <row r="487">
      <c r="A487" t="n">
        <v>486</v>
      </c>
      <c r="B487" t="inlineStr">
        <is>
          <t>SW-TRD-486</t>
        </is>
      </c>
      <c r="C487" t="inlineStr">
        <is>
          <t>THƯƠNG MẠI</t>
        </is>
      </c>
      <c r="D487" t="inlineStr">
        <is>
          <t>MIỆNG GIÓ Vật tư phụ, phụ kiện</t>
        </is>
      </c>
      <c r="E487" t="inlineStr">
        <is>
          <t>-</t>
        </is>
      </c>
      <c r="F487" t="inlineStr">
        <is>
          <t>Lô</t>
        </is>
      </c>
      <c r="G487" s="390" t="n">
        <v>1</v>
      </c>
      <c r="H487" s="390">
        <f>SUMIF('01_BOC_TACH_ONG'!B:B, B487, '01_BOC_TACH_ONG'!K:K)</f>
        <v/>
      </c>
      <c r="I487" s="390">
        <f>SUMIF('02_BOC_TACH_CUA'!B:B, B487, '02_BOC_TACH_CUA'!K:K)</f>
        <v/>
      </c>
      <c r="J487" s="390">
        <f>SUMIF('03_BOC_TACH_VAN'!B:B, B487, '03_BOC_TACH_VAN'!K:K)</f>
        <v/>
      </c>
      <c r="K487" s="390">
        <f>SUM(H487:J487)</f>
        <v/>
      </c>
      <c r="L487" s="390">
        <f>K487*0.00</f>
        <v/>
      </c>
      <c r="M487" s="390">
        <f>K487*0.02</f>
        <v/>
      </c>
      <c r="N487" s="390">
        <f>K487+L487+M487</f>
        <v/>
      </c>
      <c r="O487" s="390">
        <f>IF(G487&gt;0, N487/G487, 0)</f>
        <v/>
      </c>
      <c r="P487" s="391" t="n">
        <v>0.1</v>
      </c>
      <c r="Q487" s="390">
        <f>O487*(1+P487)</f>
        <v/>
      </c>
      <c r="R487" s="390">
        <f>G487*Q487</f>
        <v/>
      </c>
      <c r="S487" t="inlineStr">
        <is>
          <t>Hàng thương mại</t>
        </is>
      </c>
    </row>
    <row r="488">
      <c r="A488" t="n">
        <v>487</v>
      </c>
      <c r="B488" t="inlineStr">
        <is>
          <t>SW-DUCT-487</t>
        </is>
      </c>
      <c r="C488" t="inlineStr">
        <is>
          <t>ỐNG GIÓ</t>
        </is>
      </c>
      <c r="D488" t="inlineStr">
        <is>
          <t>ỐNG GIÓ LẠNH Tole 0.58mm phủ lớp mạ kẽm Z180</t>
        </is>
      </c>
      <c r="E488" t="inlineStr">
        <is>
          <t>0.58mm</t>
        </is>
      </c>
      <c r="F488" t="inlineStr">
        <is>
          <t>m2</t>
        </is>
      </c>
      <c r="G488" s="390" t="n">
        <v>767.5</v>
      </c>
      <c r="H488" s="390">
        <f>SUMIF('01_BOC_TACH_ONG'!B:B, B488, '01_BOC_TACH_ONG'!K:K)</f>
        <v/>
      </c>
      <c r="I488" s="390">
        <f>SUMIF('02_BOC_TACH_CUA'!B:B, B488, '02_BOC_TACH_CUA'!K:K)</f>
        <v/>
      </c>
      <c r="J488" s="390">
        <f>SUMIF('03_BOC_TACH_VAN'!B:B, B488, '03_BOC_TACH_VAN'!K:K)</f>
        <v/>
      </c>
      <c r="K488" s="390">
        <f>SUM(H488:J488)</f>
        <v/>
      </c>
      <c r="L488" s="390">
        <f>K488*0.25</f>
        <v/>
      </c>
      <c r="M488" s="390">
        <f>K488*0.10</f>
        <v/>
      </c>
      <c r="N488" s="390">
        <f>K488+L488+M488</f>
        <v/>
      </c>
      <c r="O488" s="390">
        <f>IF(G488&gt;0, N488/G488, 0)</f>
        <v/>
      </c>
      <c r="P488" s="391" t="n">
        <v>0.18</v>
      </c>
      <c r="Q488" s="390">
        <f>O488*(1+P488)</f>
        <v/>
      </c>
      <c r="R488" s="390">
        <f>G488*Q488</f>
        <v/>
      </c>
      <c r="S488" t="inlineStr"/>
    </row>
    <row r="489">
      <c r="A489" t="n">
        <v>488</v>
      </c>
      <c r="B489" t="inlineStr">
        <is>
          <t>SW-DUCT-488</t>
        </is>
      </c>
      <c r="C489" t="inlineStr">
        <is>
          <t>ỐNG GIÓ</t>
        </is>
      </c>
      <c r="D489" t="inlineStr">
        <is>
          <t>ỐNG GIÓ LẠNH Cách nhiệt ống gió dày 25mm</t>
        </is>
      </c>
      <c r="E489" t="inlineStr">
        <is>
          <t>0.75mm</t>
        </is>
      </c>
      <c r="F489" t="inlineStr">
        <is>
          <t>m2</t>
        </is>
      </c>
      <c r="G489" s="390" t="n">
        <v>767.5</v>
      </c>
      <c r="H489" s="390">
        <f>SUMIF('01_BOC_TACH_ONG'!B:B, B489, '01_BOC_TACH_ONG'!K:K)</f>
        <v/>
      </c>
      <c r="I489" s="390">
        <f>SUMIF('02_BOC_TACH_CUA'!B:B, B489, '02_BOC_TACH_CUA'!K:K)</f>
        <v/>
      </c>
      <c r="J489" s="390">
        <f>SUMIF('03_BOC_TACH_VAN'!B:B, B489, '03_BOC_TACH_VAN'!K:K)</f>
        <v/>
      </c>
      <c r="K489" s="390">
        <f>SUM(H489:J489)</f>
        <v/>
      </c>
      <c r="L489" s="390">
        <f>K489*0.25</f>
        <v/>
      </c>
      <c r="M489" s="390">
        <f>K489*0.10</f>
        <v/>
      </c>
      <c r="N489" s="390">
        <f>K489+L489+M489</f>
        <v/>
      </c>
      <c r="O489" s="390">
        <f>IF(G489&gt;0, N489/G489, 0)</f>
        <v/>
      </c>
      <c r="P489" s="391" t="n">
        <v>0.18</v>
      </c>
      <c r="Q489" s="390">
        <f>O489*(1+P489)</f>
        <v/>
      </c>
      <c r="R489" s="390">
        <f>G489*Q489</f>
        <v/>
      </c>
      <c r="S489" t="inlineStr"/>
    </row>
    <row r="490">
      <c r="A490" t="n">
        <v>489</v>
      </c>
      <c r="B490" t="inlineStr">
        <is>
          <t>SW-ACST-489</t>
        </is>
      </c>
      <c r="C490" t="inlineStr">
        <is>
          <t>VÁCH NGĂN / HỘP TIÊU ÂM</t>
        </is>
      </c>
      <c r="D490" t="inlineStr">
        <is>
          <t>ỐNG GIÓ LẠNH Tiêu âm trong dày 25mm</t>
        </is>
      </c>
      <c r="E490" t="inlineStr">
        <is>
          <t>-</t>
        </is>
      </c>
      <c r="F490" t="inlineStr">
        <is>
          <t>m2</t>
        </is>
      </c>
      <c r="G490" s="390" t="n">
        <v>750</v>
      </c>
      <c r="H490" s="390">
        <f>SUMIF('01_BOC_TACH_ONG'!B:B, B490, '01_BOC_TACH_ONG'!K:K)</f>
        <v/>
      </c>
      <c r="I490" s="390">
        <f>SUMIF('02_BOC_TACH_CUA'!B:B, B490, '02_BOC_TACH_CUA'!K:K)</f>
        <v/>
      </c>
      <c r="J490" s="390">
        <f>SUMIF('03_BOC_TACH_VAN'!B:B, B490, '03_BOC_TACH_VAN'!K:K)</f>
        <v/>
      </c>
      <c r="K490" s="390">
        <f>SUM(H490:J490)</f>
        <v/>
      </c>
      <c r="L490" s="390">
        <f>K490*0.25</f>
        <v/>
      </c>
      <c r="M490" s="390">
        <f>K490*0.10</f>
        <v/>
      </c>
      <c r="N490" s="390">
        <f>K490+L490+M490</f>
        <v/>
      </c>
      <c r="O490" s="390">
        <f>IF(G490&gt;0, N490/G490, 0)</f>
        <v/>
      </c>
      <c r="P490" s="391" t="n">
        <v>0.18</v>
      </c>
      <c r="Q490" s="390">
        <f>O490*(1+P490)</f>
        <v/>
      </c>
      <c r="R490" s="390">
        <f>G490*Q490</f>
        <v/>
      </c>
      <c r="S490" t="inlineStr"/>
    </row>
    <row r="491">
      <c r="A491" t="n">
        <v>490</v>
      </c>
      <c r="B491" t="inlineStr">
        <is>
          <t>SW-FLEX-490</t>
        </is>
      </c>
      <c r="C491" t="inlineStr">
        <is>
          <t>ỐNG GIÓ MỀM</t>
        </is>
      </c>
      <c r="D491" t="inlineStr">
        <is>
          <t>ỐNG GIÓ LẠNH Ống gió mềm D400 cách nhiệt dày 25mm</t>
        </is>
      </c>
      <c r="E491" t="inlineStr">
        <is>
          <t>-</t>
        </is>
      </c>
      <c r="F491" t="inlineStr">
        <is>
          <t>m</t>
        </is>
      </c>
      <c r="G491" s="390" t="n">
        <v>19.5</v>
      </c>
      <c r="H491" s="390">
        <f>SUMIF('01_BOC_TACH_ONG'!B:B, B491, '01_BOC_TACH_ONG'!K:K)</f>
        <v/>
      </c>
      <c r="I491" s="390">
        <f>SUMIF('02_BOC_TACH_CUA'!B:B, B491, '02_BOC_TACH_CUA'!K:K)</f>
        <v/>
      </c>
      <c r="J491" s="390">
        <f>SUMIF('03_BOC_TACH_VAN'!B:B, B491, '03_BOC_TACH_VAN'!K:K)</f>
        <v/>
      </c>
      <c r="K491" s="390">
        <f>SUM(H491:J491)</f>
        <v/>
      </c>
      <c r="L491" s="390">
        <f>K491*0.00</f>
        <v/>
      </c>
      <c r="M491" s="390">
        <f>K491*0.02</f>
        <v/>
      </c>
      <c r="N491" s="390">
        <f>K491+L491+M491</f>
        <v/>
      </c>
      <c r="O491" s="390">
        <f>IF(G491&gt;0, N491/G491, 0)</f>
        <v/>
      </c>
      <c r="P491" s="391" t="n">
        <v>0.1</v>
      </c>
      <c r="Q491" s="390">
        <f>O491*(1+P491)</f>
        <v/>
      </c>
      <c r="R491" s="390">
        <f>G491*Q491</f>
        <v/>
      </c>
      <c r="S491" t="inlineStr">
        <is>
          <t>Ống mềm</t>
        </is>
      </c>
    </row>
    <row r="492">
      <c r="A492" t="n">
        <v>491</v>
      </c>
      <c r="B492" t="inlineStr">
        <is>
          <t>SW-FLEX-491</t>
        </is>
      </c>
      <c r="C492" t="inlineStr">
        <is>
          <t>ỐNG GIÓ MỀM</t>
        </is>
      </c>
      <c r="D492" t="inlineStr">
        <is>
          <t>ỐNG GIÓ LẠNH Ống gió mềm D350 cách nhiệt dày 25mm</t>
        </is>
      </c>
      <c r="E492" t="inlineStr">
        <is>
          <t>-</t>
        </is>
      </c>
      <c r="F492" t="inlineStr">
        <is>
          <t>m</t>
        </is>
      </c>
      <c r="G492" s="390" t="n">
        <v>76.5</v>
      </c>
      <c r="H492" s="390">
        <f>SUMIF('01_BOC_TACH_ONG'!B:B, B492, '01_BOC_TACH_ONG'!K:K)</f>
        <v/>
      </c>
      <c r="I492" s="390">
        <f>SUMIF('02_BOC_TACH_CUA'!B:B, B492, '02_BOC_TACH_CUA'!K:K)</f>
        <v/>
      </c>
      <c r="J492" s="390">
        <f>SUMIF('03_BOC_TACH_VAN'!B:B, B492, '03_BOC_TACH_VAN'!K:K)</f>
        <v/>
      </c>
      <c r="K492" s="390">
        <f>SUM(H492:J492)</f>
        <v/>
      </c>
      <c r="L492" s="390">
        <f>K492*0.00</f>
        <v/>
      </c>
      <c r="M492" s="390">
        <f>K492*0.02</f>
        <v/>
      </c>
      <c r="N492" s="390">
        <f>K492+L492+M492</f>
        <v/>
      </c>
      <c r="O492" s="390">
        <f>IF(G492&gt;0, N492/G492, 0)</f>
        <v/>
      </c>
      <c r="P492" s="391" t="n">
        <v>0.1</v>
      </c>
      <c r="Q492" s="390">
        <f>O492*(1+P492)</f>
        <v/>
      </c>
      <c r="R492" s="390">
        <f>G492*Q492</f>
        <v/>
      </c>
      <c r="S492" t="inlineStr">
        <is>
          <t>Ống mềm</t>
        </is>
      </c>
    </row>
    <row r="493">
      <c r="A493" t="n">
        <v>492</v>
      </c>
      <c r="B493" t="inlineStr">
        <is>
          <t>SW-FLEX-492</t>
        </is>
      </c>
      <c r="C493" t="inlineStr">
        <is>
          <t>ỐNG GIÓ MỀM</t>
        </is>
      </c>
      <c r="D493" t="inlineStr">
        <is>
          <t>ỐNG GIÓ LẠNH Ống gió mềm D300 cách nhiệt dày 25mm</t>
        </is>
      </c>
      <c r="E493" t="inlineStr">
        <is>
          <t>-</t>
        </is>
      </c>
      <c r="F493" t="inlineStr">
        <is>
          <t>m</t>
        </is>
      </c>
      <c r="G493" s="390" t="n">
        <v>97.5</v>
      </c>
      <c r="H493" s="390">
        <f>SUMIF('01_BOC_TACH_ONG'!B:B, B493, '01_BOC_TACH_ONG'!K:K)</f>
        <v/>
      </c>
      <c r="I493" s="390">
        <f>SUMIF('02_BOC_TACH_CUA'!B:B, B493, '02_BOC_TACH_CUA'!K:K)</f>
        <v/>
      </c>
      <c r="J493" s="390">
        <f>SUMIF('03_BOC_TACH_VAN'!B:B, B493, '03_BOC_TACH_VAN'!K:K)</f>
        <v/>
      </c>
      <c r="K493" s="390">
        <f>SUM(H493:J493)</f>
        <v/>
      </c>
      <c r="L493" s="390">
        <f>K493*0.00</f>
        <v/>
      </c>
      <c r="M493" s="390">
        <f>K493*0.02</f>
        <v/>
      </c>
      <c r="N493" s="390">
        <f>K493+L493+M493</f>
        <v/>
      </c>
      <c r="O493" s="390">
        <f>IF(G493&gt;0, N493/G493, 0)</f>
        <v/>
      </c>
      <c r="P493" s="391" t="n">
        <v>0.1</v>
      </c>
      <c r="Q493" s="390">
        <f>O493*(1+P493)</f>
        <v/>
      </c>
      <c r="R493" s="390">
        <f>G493*Q493</f>
        <v/>
      </c>
      <c r="S493" t="inlineStr">
        <is>
          <t>Ống mềm</t>
        </is>
      </c>
    </row>
    <row r="494">
      <c r="A494" t="n">
        <v>493</v>
      </c>
      <c r="B494" t="inlineStr">
        <is>
          <t>SW-FLEX-493</t>
        </is>
      </c>
      <c r="C494" t="inlineStr">
        <is>
          <t>ỐNG GIÓ MỀM</t>
        </is>
      </c>
      <c r="D494" t="inlineStr">
        <is>
          <t>ỐNG GIÓ LẠNH Ống gió mềm D250 cách nhiệt dày 25mm</t>
        </is>
      </c>
      <c r="E494" t="inlineStr">
        <is>
          <t>-</t>
        </is>
      </c>
      <c r="F494" t="inlineStr">
        <is>
          <t>m</t>
        </is>
      </c>
      <c r="G494" s="390" t="n">
        <v>630</v>
      </c>
      <c r="H494" s="390">
        <f>SUMIF('01_BOC_TACH_ONG'!B:B, B494, '01_BOC_TACH_ONG'!K:K)</f>
        <v/>
      </c>
      <c r="I494" s="390">
        <f>SUMIF('02_BOC_TACH_CUA'!B:B, B494, '02_BOC_TACH_CUA'!K:K)</f>
        <v/>
      </c>
      <c r="J494" s="390">
        <f>SUMIF('03_BOC_TACH_VAN'!B:B, B494, '03_BOC_TACH_VAN'!K:K)</f>
        <v/>
      </c>
      <c r="K494" s="390">
        <f>SUM(H494:J494)</f>
        <v/>
      </c>
      <c r="L494" s="390">
        <f>K494*0.00</f>
        <v/>
      </c>
      <c r="M494" s="390">
        <f>K494*0.02</f>
        <v/>
      </c>
      <c r="N494" s="390">
        <f>K494+L494+M494</f>
        <v/>
      </c>
      <c r="O494" s="390">
        <f>IF(G494&gt;0, N494/G494, 0)</f>
        <v/>
      </c>
      <c r="P494" s="391" t="n">
        <v>0.1</v>
      </c>
      <c r="Q494" s="390">
        <f>O494*(1+P494)</f>
        <v/>
      </c>
      <c r="R494" s="390">
        <f>G494*Q494</f>
        <v/>
      </c>
      <c r="S494" t="inlineStr">
        <is>
          <t>Ống mềm</t>
        </is>
      </c>
    </row>
    <row r="495">
      <c r="A495" t="n">
        <v>494</v>
      </c>
      <c r="B495" t="inlineStr">
        <is>
          <t>SW-FLEX-494</t>
        </is>
      </c>
      <c r="C495" t="inlineStr">
        <is>
          <t>ỐNG GIÓ MỀM</t>
        </is>
      </c>
      <c r="D495" t="inlineStr">
        <is>
          <t>ỐNG GIÓ LẠNH Ống gió mềm D400 không cách nhiệt</t>
        </is>
      </c>
      <c r="E495" t="inlineStr">
        <is>
          <t>-</t>
        </is>
      </c>
      <c r="F495" t="inlineStr">
        <is>
          <t>m</t>
        </is>
      </c>
      <c r="G495" s="390" t="n">
        <v>19.5</v>
      </c>
      <c r="H495" s="390">
        <f>SUMIF('01_BOC_TACH_ONG'!B:B, B495, '01_BOC_TACH_ONG'!K:K)</f>
        <v/>
      </c>
      <c r="I495" s="390">
        <f>SUMIF('02_BOC_TACH_CUA'!B:B, B495, '02_BOC_TACH_CUA'!K:K)</f>
        <v/>
      </c>
      <c r="J495" s="390">
        <f>SUMIF('03_BOC_TACH_VAN'!B:B, B495, '03_BOC_TACH_VAN'!K:K)</f>
        <v/>
      </c>
      <c r="K495" s="390">
        <f>SUM(H495:J495)</f>
        <v/>
      </c>
      <c r="L495" s="390">
        <f>K495*0.00</f>
        <v/>
      </c>
      <c r="M495" s="390">
        <f>K495*0.02</f>
        <v/>
      </c>
      <c r="N495" s="390">
        <f>K495+L495+M495</f>
        <v/>
      </c>
      <c r="O495" s="390">
        <f>IF(G495&gt;0, N495/G495, 0)</f>
        <v/>
      </c>
      <c r="P495" s="391" t="n">
        <v>0.1</v>
      </c>
      <c r="Q495" s="390">
        <f>O495*(1+P495)</f>
        <v/>
      </c>
      <c r="R495" s="390">
        <f>G495*Q495</f>
        <v/>
      </c>
      <c r="S495" t="inlineStr">
        <is>
          <t>Ống mềm</t>
        </is>
      </c>
    </row>
    <row r="496">
      <c r="A496" t="n">
        <v>495</v>
      </c>
      <c r="B496" t="inlineStr">
        <is>
          <t>SW-FLEX-495</t>
        </is>
      </c>
      <c r="C496" t="inlineStr">
        <is>
          <t>ỐNG GIÓ MỀM</t>
        </is>
      </c>
      <c r="D496" t="inlineStr">
        <is>
          <t>ỐNG GIÓ LẠNH Ống gió mềm D350 không cách nhiệt</t>
        </is>
      </c>
      <c r="E496" t="inlineStr">
        <is>
          <t>-</t>
        </is>
      </c>
      <c r="F496" t="inlineStr">
        <is>
          <t>m</t>
        </is>
      </c>
      <c r="G496" s="390" t="n">
        <v>76.5</v>
      </c>
      <c r="H496" s="390">
        <f>SUMIF('01_BOC_TACH_ONG'!B:B, B496, '01_BOC_TACH_ONG'!K:K)</f>
        <v/>
      </c>
      <c r="I496" s="390">
        <f>SUMIF('02_BOC_TACH_CUA'!B:B, B496, '02_BOC_TACH_CUA'!K:K)</f>
        <v/>
      </c>
      <c r="J496" s="390">
        <f>SUMIF('03_BOC_TACH_VAN'!B:B, B496, '03_BOC_TACH_VAN'!K:K)</f>
        <v/>
      </c>
      <c r="K496" s="390">
        <f>SUM(H496:J496)</f>
        <v/>
      </c>
      <c r="L496" s="390">
        <f>K496*0.00</f>
        <v/>
      </c>
      <c r="M496" s="390">
        <f>K496*0.02</f>
        <v/>
      </c>
      <c r="N496" s="390">
        <f>K496+L496+M496</f>
        <v/>
      </c>
      <c r="O496" s="390">
        <f>IF(G496&gt;0, N496/G496, 0)</f>
        <v/>
      </c>
      <c r="P496" s="391" t="n">
        <v>0.1</v>
      </c>
      <c r="Q496" s="390">
        <f>O496*(1+P496)</f>
        <v/>
      </c>
      <c r="R496" s="390">
        <f>G496*Q496</f>
        <v/>
      </c>
      <c r="S496" t="inlineStr">
        <is>
          <t>Ống mềm</t>
        </is>
      </c>
    </row>
    <row r="497">
      <c r="A497" t="n">
        <v>496</v>
      </c>
      <c r="B497" t="inlineStr">
        <is>
          <t>SW-FLEX-496</t>
        </is>
      </c>
      <c r="C497" t="inlineStr">
        <is>
          <t>ỐNG GIÓ MỀM</t>
        </is>
      </c>
      <c r="D497" t="inlineStr">
        <is>
          <t>ỐNG GIÓ LẠNH Ống gió mềm D300 không cách nhiệt</t>
        </is>
      </c>
      <c r="E497" t="inlineStr">
        <is>
          <t>-</t>
        </is>
      </c>
      <c r="F497" t="inlineStr">
        <is>
          <t>m</t>
        </is>
      </c>
      <c r="G497" s="390" t="n">
        <v>97.5</v>
      </c>
      <c r="H497" s="390">
        <f>SUMIF('01_BOC_TACH_ONG'!B:B, B497, '01_BOC_TACH_ONG'!K:K)</f>
        <v/>
      </c>
      <c r="I497" s="390">
        <f>SUMIF('02_BOC_TACH_CUA'!B:B, B497, '02_BOC_TACH_CUA'!K:K)</f>
        <v/>
      </c>
      <c r="J497" s="390">
        <f>SUMIF('03_BOC_TACH_VAN'!B:B, B497, '03_BOC_TACH_VAN'!K:K)</f>
        <v/>
      </c>
      <c r="K497" s="390">
        <f>SUM(H497:J497)</f>
        <v/>
      </c>
      <c r="L497" s="390">
        <f>K497*0.00</f>
        <v/>
      </c>
      <c r="M497" s="390">
        <f>K497*0.02</f>
        <v/>
      </c>
      <c r="N497" s="390">
        <f>K497+L497+M497</f>
        <v/>
      </c>
      <c r="O497" s="390">
        <f>IF(G497&gt;0, N497/G497, 0)</f>
        <v/>
      </c>
      <c r="P497" s="391" t="n">
        <v>0.1</v>
      </c>
      <c r="Q497" s="390">
        <f>O497*(1+P497)</f>
        <v/>
      </c>
      <c r="R497" s="390">
        <f>G497*Q497</f>
        <v/>
      </c>
      <c r="S497" t="inlineStr">
        <is>
          <t>Ống mềm</t>
        </is>
      </c>
    </row>
    <row r="498">
      <c r="A498" t="n">
        <v>497</v>
      </c>
      <c r="B498" t="inlineStr">
        <is>
          <t>SW-FLEX-497</t>
        </is>
      </c>
      <c r="C498" t="inlineStr">
        <is>
          <t>ỐNG GIÓ MỀM</t>
        </is>
      </c>
      <c r="D498" t="inlineStr">
        <is>
          <t>ỐNG GIÓ LẠNH Ống gió mềm D250 không cách nhiệt</t>
        </is>
      </c>
      <c r="E498" t="inlineStr">
        <is>
          <t>-</t>
        </is>
      </c>
      <c r="F498" t="inlineStr">
        <is>
          <t>m</t>
        </is>
      </c>
      <c r="G498" s="390" t="n">
        <v>438</v>
      </c>
      <c r="H498" s="390">
        <f>SUMIF('01_BOC_TACH_ONG'!B:B, B498, '01_BOC_TACH_ONG'!K:K)</f>
        <v/>
      </c>
      <c r="I498" s="390">
        <f>SUMIF('02_BOC_TACH_CUA'!B:B, B498, '02_BOC_TACH_CUA'!K:K)</f>
        <v/>
      </c>
      <c r="J498" s="390">
        <f>SUMIF('03_BOC_TACH_VAN'!B:B, B498, '03_BOC_TACH_VAN'!K:K)</f>
        <v/>
      </c>
      <c r="K498" s="390">
        <f>SUM(H498:J498)</f>
        <v/>
      </c>
      <c r="L498" s="390">
        <f>K498*0.00</f>
        <v/>
      </c>
      <c r="M498" s="390">
        <f>K498*0.02</f>
        <v/>
      </c>
      <c r="N498" s="390">
        <f>K498+L498+M498</f>
        <v/>
      </c>
      <c r="O498" s="390">
        <f>IF(G498&gt;0, N498/G498, 0)</f>
        <v/>
      </c>
      <c r="P498" s="391" t="n">
        <v>0.1</v>
      </c>
      <c r="Q498" s="390">
        <f>O498*(1+P498)</f>
        <v/>
      </c>
      <c r="R498" s="390">
        <f>G498*Q498</f>
        <v/>
      </c>
      <c r="S498" t="inlineStr">
        <is>
          <t>Ống mềm</t>
        </is>
      </c>
    </row>
    <row r="499">
      <c r="A499" t="n">
        <v>498</v>
      </c>
      <c r="B499" t="inlineStr">
        <is>
          <t>SW-TRD-498</t>
        </is>
      </c>
      <c r="C499" t="inlineStr">
        <is>
          <t>THƯƠNG MẠI</t>
        </is>
      </c>
      <c r="D499" t="inlineStr">
        <is>
          <t>ỐNG GIÓ LẠNH Vật tư phụ, phụ kiện</t>
        </is>
      </c>
      <c r="E499" t="inlineStr">
        <is>
          <t>-</t>
        </is>
      </c>
      <c r="F499" t="inlineStr">
        <is>
          <t>Lô</t>
        </is>
      </c>
      <c r="G499" s="390" t="n">
        <v>1</v>
      </c>
      <c r="H499" s="390">
        <f>SUMIF('01_BOC_TACH_ONG'!B:B, B499, '01_BOC_TACH_ONG'!K:K)</f>
        <v/>
      </c>
      <c r="I499" s="390">
        <f>SUMIF('02_BOC_TACH_CUA'!B:B, B499, '02_BOC_TACH_CUA'!K:K)</f>
        <v/>
      </c>
      <c r="J499" s="390">
        <f>SUMIF('03_BOC_TACH_VAN'!B:B, B499, '03_BOC_TACH_VAN'!K:K)</f>
        <v/>
      </c>
      <c r="K499" s="390">
        <f>SUM(H499:J499)</f>
        <v/>
      </c>
      <c r="L499" s="390">
        <f>K499*0.00</f>
        <v/>
      </c>
      <c r="M499" s="390">
        <f>K499*0.02</f>
        <v/>
      </c>
      <c r="N499" s="390">
        <f>K499+L499+M499</f>
        <v/>
      </c>
      <c r="O499" s="390">
        <f>IF(G499&gt;0, N499/G499, 0)</f>
        <v/>
      </c>
      <c r="P499" s="391" t="n">
        <v>0.1</v>
      </c>
      <c r="Q499" s="390">
        <f>O499*(1+P499)</f>
        <v/>
      </c>
      <c r="R499" s="390">
        <f>G499*Q499</f>
        <v/>
      </c>
      <c r="S499" t="inlineStr">
        <is>
          <t>Hàng thương mại</t>
        </is>
      </c>
    </row>
    <row r="500">
      <c r="A500" t="n">
        <v>499</v>
      </c>
      <c r="B500" t="inlineStr">
        <is>
          <t>SW-TRD-499</t>
        </is>
      </c>
      <c r="C500" t="inlineStr">
        <is>
          <t>THƯƠNG MẠI</t>
        </is>
      </c>
      <c r="D500" t="inlineStr">
        <is>
          <t>Cách nhiệt ông đồng D28,6 Bộ chia gas</t>
        </is>
      </c>
      <c r="E500" t="inlineStr">
        <is>
          <t>-</t>
        </is>
      </c>
      <c r="F500" t="inlineStr">
        <is>
          <t>Bộ</t>
        </is>
      </c>
      <c r="G500" s="390" t="n">
        <v>72</v>
      </c>
      <c r="H500" s="390">
        <f>SUMIF('01_BOC_TACH_ONG'!B:B, B500, '01_BOC_TACH_ONG'!K:K)</f>
        <v/>
      </c>
      <c r="I500" s="390">
        <f>SUMIF('02_BOC_TACH_CUA'!B:B, B500, '02_BOC_TACH_CUA'!K:K)</f>
        <v/>
      </c>
      <c r="J500" s="390">
        <f>SUMIF('03_BOC_TACH_VAN'!B:B, B500, '03_BOC_TACH_VAN'!K:K)</f>
        <v/>
      </c>
      <c r="K500" s="390">
        <f>SUM(H500:J500)</f>
        <v/>
      </c>
      <c r="L500" s="390">
        <f>K500*0.00</f>
        <v/>
      </c>
      <c r="M500" s="390">
        <f>K500*0.02</f>
        <v/>
      </c>
      <c r="N500" s="390">
        <f>K500+L500+M500</f>
        <v/>
      </c>
      <c r="O500" s="390">
        <f>IF(G500&gt;0, N500/G500, 0)</f>
        <v/>
      </c>
      <c r="P500" s="391" t="n">
        <v>0.1</v>
      </c>
      <c r="Q500" s="390">
        <f>O500*(1+P500)</f>
        <v/>
      </c>
      <c r="R500" s="390">
        <f>G500*Q500</f>
        <v/>
      </c>
      <c r="S500" t="inlineStr">
        <is>
          <t>Hàng thương mại</t>
        </is>
      </c>
    </row>
    <row r="501">
      <c r="A501" t="n">
        <v>500</v>
      </c>
      <c r="B501" t="inlineStr">
        <is>
          <t>SW-TRD-500</t>
        </is>
      </c>
      <c r="C501" t="inlineStr">
        <is>
          <t>THƯƠNG MẠI</t>
        </is>
      </c>
      <c r="D501" t="inlineStr">
        <is>
          <t>Cách nhiệt ông đồng D28,6 Nap ga bổ sung</t>
        </is>
      </c>
      <c r="E501" t="inlineStr">
        <is>
          <t>-</t>
        </is>
      </c>
      <c r="F501" t="inlineStr">
        <is>
          <t>Lô</t>
        </is>
      </c>
      <c r="G501" s="390" t="n">
        <v>1</v>
      </c>
      <c r="H501" s="390">
        <f>SUMIF('01_BOC_TACH_ONG'!B:B, B501, '01_BOC_TACH_ONG'!K:K)</f>
        <v/>
      </c>
      <c r="I501" s="390">
        <f>SUMIF('02_BOC_TACH_CUA'!B:B, B501, '02_BOC_TACH_CUA'!K:K)</f>
        <v/>
      </c>
      <c r="J501" s="390">
        <f>SUMIF('03_BOC_TACH_VAN'!B:B, B501, '03_BOC_TACH_VAN'!K:K)</f>
        <v/>
      </c>
      <c r="K501" s="390">
        <f>SUM(H501:J501)</f>
        <v/>
      </c>
      <c r="L501" s="390">
        <f>K501*0.00</f>
        <v/>
      </c>
      <c r="M501" s="390">
        <f>K501*0.02</f>
        <v/>
      </c>
      <c r="N501" s="390">
        <f>K501+L501+M501</f>
        <v/>
      </c>
      <c r="O501" s="390">
        <f>IF(G501&gt;0, N501/G501, 0)</f>
        <v/>
      </c>
      <c r="P501" s="391" t="n">
        <v>0.1</v>
      </c>
      <c r="Q501" s="390">
        <f>O501*(1+P501)</f>
        <v/>
      </c>
      <c r="R501" s="390">
        <f>G501*Q501</f>
        <v/>
      </c>
      <c r="S501" t="inlineStr">
        <is>
          <t>Hàng thương mại</t>
        </is>
      </c>
    </row>
    <row r="502">
      <c r="A502" t="n">
        <v>501</v>
      </c>
      <c r="B502" t="inlineStr">
        <is>
          <t>SW-TRD-501</t>
        </is>
      </c>
      <c r="C502" t="inlineStr">
        <is>
          <t>THƯƠNG MẠI</t>
        </is>
      </c>
      <c r="D502" t="inlineStr">
        <is>
          <t>Cách nhiệt ông đồng D28,6 Vật tư phụ, phụ kiện</t>
        </is>
      </c>
      <c r="E502" t="inlineStr">
        <is>
          <t>-</t>
        </is>
      </c>
      <c r="F502" t="inlineStr">
        <is>
          <t>Lô</t>
        </is>
      </c>
      <c r="G502" s="390" t="n">
        <v>1</v>
      </c>
      <c r="H502" s="390">
        <f>SUMIF('01_BOC_TACH_ONG'!B:B, B502, '01_BOC_TACH_ONG'!K:K)</f>
        <v/>
      </c>
      <c r="I502" s="390">
        <f>SUMIF('02_BOC_TACH_CUA'!B:B, B502, '02_BOC_TACH_CUA'!K:K)</f>
        <v/>
      </c>
      <c r="J502" s="390">
        <f>SUMIF('03_BOC_TACH_VAN'!B:B, B502, '03_BOC_TACH_VAN'!K:K)</f>
        <v/>
      </c>
      <c r="K502" s="390">
        <f>SUM(H502:J502)</f>
        <v/>
      </c>
      <c r="L502" s="390">
        <f>K502*0.00</f>
        <v/>
      </c>
      <c r="M502" s="390">
        <f>K502*0.02</f>
        <v/>
      </c>
      <c r="N502" s="390">
        <f>K502+L502+M502</f>
        <v/>
      </c>
      <c r="O502" s="390">
        <f>IF(G502&gt;0, N502/G502, 0)</f>
        <v/>
      </c>
      <c r="P502" s="391" t="n">
        <v>0.1</v>
      </c>
      <c r="Q502" s="390">
        <f>O502*(1+P502)</f>
        <v/>
      </c>
      <c r="R502" s="390">
        <f>G502*Q502</f>
        <v/>
      </c>
      <c r="S502" t="inlineStr">
        <is>
          <t>Hàng thương mại</t>
        </is>
      </c>
    </row>
    <row r="503">
      <c r="A503" t="n">
        <v>502</v>
      </c>
      <c r="B503" t="inlineStr">
        <is>
          <t>SW-TRD-502</t>
        </is>
      </c>
      <c r="C503" t="inlineStr">
        <is>
          <t>THƯƠNG MẠI</t>
        </is>
      </c>
      <c r="D503" t="inlineStr">
        <is>
          <t>NƯỚC NGƯNG Ống uPVC D27</t>
        </is>
      </c>
      <c r="E503" t="inlineStr">
        <is>
          <t>-</t>
        </is>
      </c>
      <c r="F503" t="inlineStr">
        <is>
          <t>m</t>
        </is>
      </c>
      <c r="G503" s="390" t="n">
        <v>1030</v>
      </c>
      <c r="H503" s="390">
        <f>SUMIF('01_BOC_TACH_ONG'!B:B, B503, '01_BOC_TACH_ONG'!K:K)</f>
        <v/>
      </c>
      <c r="I503" s="390">
        <f>SUMIF('02_BOC_TACH_CUA'!B:B, B503, '02_BOC_TACH_CUA'!K:K)</f>
        <v/>
      </c>
      <c r="J503" s="390">
        <f>SUMIF('03_BOC_TACH_VAN'!B:B, B503, '03_BOC_TACH_VAN'!K:K)</f>
        <v/>
      </c>
      <c r="K503" s="390">
        <f>SUM(H503:J503)</f>
        <v/>
      </c>
      <c r="L503" s="390">
        <f>K503*0.00</f>
        <v/>
      </c>
      <c r="M503" s="390">
        <f>K503*0.02</f>
        <v/>
      </c>
      <c r="N503" s="390">
        <f>K503+L503+M503</f>
        <v/>
      </c>
      <c r="O503" s="390">
        <f>IF(G503&gt;0, N503/G503, 0)</f>
        <v/>
      </c>
      <c r="P503" s="391" t="n">
        <v>0.1</v>
      </c>
      <c r="Q503" s="390">
        <f>O503*(1+P503)</f>
        <v/>
      </c>
      <c r="R503" s="390">
        <f>G503*Q503</f>
        <v/>
      </c>
      <c r="S503" t="inlineStr">
        <is>
          <t>Hàng thương mại</t>
        </is>
      </c>
    </row>
    <row r="504">
      <c r="A504" t="n">
        <v>503</v>
      </c>
      <c r="B504" t="inlineStr">
        <is>
          <t>SW-TRD-503</t>
        </is>
      </c>
      <c r="C504" t="inlineStr">
        <is>
          <t>THƯƠNG MẠI</t>
        </is>
      </c>
      <c r="D504" t="inlineStr">
        <is>
          <t>NƯỚC NGƯNG Ống uPVC D34</t>
        </is>
      </c>
      <c r="E504" t="inlineStr">
        <is>
          <t>-</t>
        </is>
      </c>
      <c r="F504" t="inlineStr">
        <is>
          <t>m</t>
        </is>
      </c>
      <c r="G504" s="390" t="n">
        <v>754.8</v>
      </c>
      <c r="H504" s="390">
        <f>SUMIF('01_BOC_TACH_ONG'!B:B, B504, '01_BOC_TACH_ONG'!K:K)</f>
        <v/>
      </c>
      <c r="I504" s="390">
        <f>SUMIF('02_BOC_TACH_CUA'!B:B, B504, '02_BOC_TACH_CUA'!K:K)</f>
        <v/>
      </c>
      <c r="J504" s="390">
        <f>SUMIF('03_BOC_TACH_VAN'!B:B, B504, '03_BOC_TACH_VAN'!K:K)</f>
        <v/>
      </c>
      <c r="K504" s="390">
        <f>SUM(H504:J504)</f>
        <v/>
      </c>
      <c r="L504" s="390">
        <f>K504*0.00</f>
        <v/>
      </c>
      <c r="M504" s="390">
        <f>K504*0.02</f>
        <v/>
      </c>
      <c r="N504" s="390">
        <f>K504+L504+M504</f>
        <v/>
      </c>
      <c r="O504" s="390">
        <f>IF(G504&gt;0, N504/G504, 0)</f>
        <v/>
      </c>
      <c r="P504" s="391" t="n">
        <v>0.1</v>
      </c>
      <c r="Q504" s="390">
        <f>O504*(1+P504)</f>
        <v/>
      </c>
      <c r="R504" s="390">
        <f>G504*Q504</f>
        <v/>
      </c>
      <c r="S504" t="inlineStr">
        <is>
          <t>Hàng thương mại</t>
        </is>
      </c>
    </row>
    <row r="505">
      <c r="A505" t="n">
        <v>504</v>
      </c>
      <c r="B505" t="inlineStr">
        <is>
          <t>SW-TRD-504</t>
        </is>
      </c>
      <c r="C505" t="inlineStr">
        <is>
          <t>THƯƠNG MẠI</t>
        </is>
      </c>
      <c r="D505" t="inlineStr">
        <is>
          <t>NƯỚC NGƯNG Ống uPVC D42</t>
        </is>
      </c>
      <c r="E505" t="inlineStr">
        <is>
          <t>-</t>
        </is>
      </c>
      <c r="F505" t="inlineStr">
        <is>
          <t>m</t>
        </is>
      </c>
      <c r="G505" s="390" t="n">
        <v>101.4</v>
      </c>
      <c r="H505" s="390">
        <f>SUMIF('01_BOC_TACH_ONG'!B:B, B505, '01_BOC_TACH_ONG'!K:K)</f>
        <v/>
      </c>
      <c r="I505" s="390">
        <f>SUMIF('02_BOC_TACH_CUA'!B:B, B505, '02_BOC_TACH_CUA'!K:K)</f>
        <v/>
      </c>
      <c r="J505" s="390">
        <f>SUMIF('03_BOC_TACH_VAN'!B:B, B505, '03_BOC_TACH_VAN'!K:K)</f>
        <v/>
      </c>
      <c r="K505" s="390">
        <f>SUM(H505:J505)</f>
        <v/>
      </c>
      <c r="L505" s="390">
        <f>K505*0.00</f>
        <v/>
      </c>
      <c r="M505" s="390">
        <f>K505*0.02</f>
        <v/>
      </c>
      <c r="N505" s="390">
        <f>K505+L505+M505</f>
        <v/>
      </c>
      <c r="O505" s="390">
        <f>IF(G505&gt;0, N505/G505, 0)</f>
        <v/>
      </c>
      <c r="P505" s="391" t="n">
        <v>0.1</v>
      </c>
      <c r="Q505" s="390">
        <f>O505*(1+P505)</f>
        <v/>
      </c>
      <c r="R505" s="390">
        <f>G505*Q505</f>
        <v/>
      </c>
      <c r="S505" t="inlineStr">
        <is>
          <t>Hàng thương mại</t>
        </is>
      </c>
    </row>
    <row r="506">
      <c r="A506" t="n">
        <v>505</v>
      </c>
      <c r="B506" t="inlineStr">
        <is>
          <t>SW-TRD-505</t>
        </is>
      </c>
      <c r="C506" t="inlineStr">
        <is>
          <t>THƯƠNG MẠI</t>
        </is>
      </c>
      <c r="D506" t="inlineStr">
        <is>
          <t>NƯỚC NGƯNG Ống uPVC D60</t>
        </is>
      </c>
      <c r="E506" t="inlineStr">
        <is>
          <t>-</t>
        </is>
      </c>
      <c r="F506" t="inlineStr">
        <is>
          <t>m</t>
        </is>
      </c>
      <c r="G506" s="390" t="n">
        <v>180</v>
      </c>
      <c r="H506" s="390">
        <f>SUMIF('01_BOC_TACH_ONG'!B:B, B506, '01_BOC_TACH_ONG'!K:K)</f>
        <v/>
      </c>
      <c r="I506" s="390">
        <f>SUMIF('02_BOC_TACH_CUA'!B:B, B506, '02_BOC_TACH_CUA'!K:K)</f>
        <v/>
      </c>
      <c r="J506" s="390">
        <f>SUMIF('03_BOC_TACH_VAN'!B:B, B506, '03_BOC_TACH_VAN'!K:K)</f>
        <v/>
      </c>
      <c r="K506" s="390">
        <f>SUM(H506:J506)</f>
        <v/>
      </c>
      <c r="L506" s="390">
        <f>K506*0.00</f>
        <v/>
      </c>
      <c r="M506" s="390">
        <f>K506*0.02</f>
        <v/>
      </c>
      <c r="N506" s="390">
        <f>K506+L506+M506</f>
        <v/>
      </c>
      <c r="O506" s="390">
        <f>IF(G506&gt;0, N506/G506, 0)</f>
        <v/>
      </c>
      <c r="P506" s="391" t="n">
        <v>0.1</v>
      </c>
      <c r="Q506" s="390">
        <f>O506*(1+P506)</f>
        <v/>
      </c>
      <c r="R506" s="390">
        <f>G506*Q506</f>
        <v/>
      </c>
      <c r="S506" t="inlineStr">
        <is>
          <t>Hàng thương mại</t>
        </is>
      </c>
    </row>
    <row r="507">
      <c r="A507" t="n">
        <v>506</v>
      </c>
      <c r="B507" t="inlineStr">
        <is>
          <t>SW-TRD-506</t>
        </is>
      </c>
      <c r="C507" t="inlineStr">
        <is>
          <t>THƯƠNG MẠI</t>
        </is>
      </c>
      <c r="D507" t="inlineStr">
        <is>
          <t>NƯỚC NGƯNG Cách nhiệt ống uPVC D27</t>
        </is>
      </c>
      <c r="E507" t="inlineStr">
        <is>
          <t>-</t>
        </is>
      </c>
      <c r="F507" t="inlineStr">
        <is>
          <t>m</t>
        </is>
      </c>
      <c r="G507" s="390" t="n">
        <v>1030</v>
      </c>
      <c r="H507" s="390">
        <f>SUMIF('01_BOC_TACH_ONG'!B:B, B507, '01_BOC_TACH_ONG'!K:K)</f>
        <v/>
      </c>
      <c r="I507" s="390">
        <f>SUMIF('02_BOC_TACH_CUA'!B:B, B507, '02_BOC_TACH_CUA'!K:K)</f>
        <v/>
      </c>
      <c r="J507" s="390">
        <f>SUMIF('03_BOC_TACH_VAN'!B:B, B507, '03_BOC_TACH_VAN'!K:K)</f>
        <v/>
      </c>
      <c r="K507" s="390">
        <f>SUM(H507:J507)</f>
        <v/>
      </c>
      <c r="L507" s="390">
        <f>K507*0.00</f>
        <v/>
      </c>
      <c r="M507" s="390">
        <f>K507*0.02</f>
        <v/>
      </c>
      <c r="N507" s="390">
        <f>K507+L507+M507</f>
        <v/>
      </c>
      <c r="O507" s="390">
        <f>IF(G507&gt;0, N507/G507, 0)</f>
        <v/>
      </c>
      <c r="P507" s="391" t="n">
        <v>0.1</v>
      </c>
      <c r="Q507" s="390">
        <f>O507*(1+P507)</f>
        <v/>
      </c>
      <c r="R507" s="390">
        <f>G507*Q507</f>
        <v/>
      </c>
      <c r="S507" t="inlineStr">
        <is>
          <t>Hàng thương mại</t>
        </is>
      </c>
    </row>
    <row r="508">
      <c r="A508" t="n">
        <v>507</v>
      </c>
      <c r="B508" t="inlineStr">
        <is>
          <t>SW-TRD-507</t>
        </is>
      </c>
      <c r="C508" t="inlineStr">
        <is>
          <t>THƯƠNG MẠI</t>
        </is>
      </c>
      <c r="D508" t="inlineStr">
        <is>
          <t>NƯỚC NGƯNG Cách nhiệt ống uPVC D34</t>
        </is>
      </c>
      <c r="E508" t="inlineStr">
        <is>
          <t>-</t>
        </is>
      </c>
      <c r="F508" t="inlineStr">
        <is>
          <t>m</t>
        </is>
      </c>
      <c r="G508" s="390" t="n">
        <v>754.8</v>
      </c>
      <c r="H508" s="390">
        <f>SUMIF('01_BOC_TACH_ONG'!B:B, B508, '01_BOC_TACH_ONG'!K:K)</f>
        <v/>
      </c>
      <c r="I508" s="390">
        <f>SUMIF('02_BOC_TACH_CUA'!B:B, B508, '02_BOC_TACH_CUA'!K:K)</f>
        <v/>
      </c>
      <c r="J508" s="390">
        <f>SUMIF('03_BOC_TACH_VAN'!B:B, B508, '03_BOC_TACH_VAN'!K:K)</f>
        <v/>
      </c>
      <c r="K508" s="390">
        <f>SUM(H508:J508)</f>
        <v/>
      </c>
      <c r="L508" s="390">
        <f>K508*0.00</f>
        <v/>
      </c>
      <c r="M508" s="390">
        <f>K508*0.02</f>
        <v/>
      </c>
      <c r="N508" s="390">
        <f>K508+L508+M508</f>
        <v/>
      </c>
      <c r="O508" s="390">
        <f>IF(G508&gt;0, N508/G508, 0)</f>
        <v/>
      </c>
      <c r="P508" s="391" t="n">
        <v>0.1</v>
      </c>
      <c r="Q508" s="390">
        <f>O508*(1+P508)</f>
        <v/>
      </c>
      <c r="R508" s="390">
        <f>G508*Q508</f>
        <v/>
      </c>
      <c r="S508" t="inlineStr">
        <is>
          <t>Hàng thương mại</t>
        </is>
      </c>
    </row>
    <row r="509">
      <c r="A509" t="n">
        <v>508</v>
      </c>
      <c r="B509" t="inlineStr">
        <is>
          <t>SW-TRD-508</t>
        </is>
      </c>
      <c r="C509" t="inlineStr">
        <is>
          <t>THƯƠNG MẠI</t>
        </is>
      </c>
      <c r="D509" t="inlineStr">
        <is>
          <t>NƯỚC NGƯNG Cách nhiệt ống uPVC D42</t>
        </is>
      </c>
      <c r="E509" t="inlineStr">
        <is>
          <t>-</t>
        </is>
      </c>
      <c r="F509" t="inlineStr">
        <is>
          <t>m</t>
        </is>
      </c>
      <c r="G509" s="390" t="n">
        <v>101.4</v>
      </c>
      <c r="H509" s="390">
        <f>SUMIF('01_BOC_TACH_ONG'!B:B, B509, '01_BOC_TACH_ONG'!K:K)</f>
        <v/>
      </c>
      <c r="I509" s="390">
        <f>SUMIF('02_BOC_TACH_CUA'!B:B, B509, '02_BOC_TACH_CUA'!K:K)</f>
        <v/>
      </c>
      <c r="J509" s="390">
        <f>SUMIF('03_BOC_TACH_VAN'!B:B, B509, '03_BOC_TACH_VAN'!K:K)</f>
        <v/>
      </c>
      <c r="K509" s="390">
        <f>SUM(H509:J509)</f>
        <v/>
      </c>
      <c r="L509" s="390">
        <f>K509*0.00</f>
        <v/>
      </c>
      <c r="M509" s="390">
        <f>K509*0.02</f>
        <v/>
      </c>
      <c r="N509" s="390">
        <f>K509+L509+M509</f>
        <v/>
      </c>
      <c r="O509" s="390">
        <f>IF(G509&gt;0, N509/G509, 0)</f>
        <v/>
      </c>
      <c r="P509" s="391" t="n">
        <v>0.1</v>
      </c>
      <c r="Q509" s="390">
        <f>O509*(1+P509)</f>
        <v/>
      </c>
      <c r="R509" s="390">
        <f>G509*Q509</f>
        <v/>
      </c>
      <c r="S509" t="inlineStr">
        <is>
          <t>Hàng thương mại</t>
        </is>
      </c>
    </row>
    <row r="510">
      <c r="A510" t="n">
        <v>509</v>
      </c>
      <c r="B510" t="inlineStr">
        <is>
          <t>SW-TRD-509</t>
        </is>
      </c>
      <c r="C510" t="inlineStr">
        <is>
          <t>THƯƠNG MẠI</t>
        </is>
      </c>
      <c r="D510" t="inlineStr">
        <is>
          <t>NƯỚC NGƯNG Cách nhiệt ống uPVC D60</t>
        </is>
      </c>
      <c r="E510" t="inlineStr">
        <is>
          <t>-</t>
        </is>
      </c>
      <c r="F510" t="inlineStr">
        <is>
          <t>m</t>
        </is>
      </c>
      <c r="G510" s="390" t="n">
        <v>180</v>
      </c>
      <c r="H510" s="390">
        <f>SUMIF('01_BOC_TACH_ONG'!B:B, B510, '01_BOC_TACH_ONG'!K:K)</f>
        <v/>
      </c>
      <c r="I510" s="390">
        <f>SUMIF('02_BOC_TACH_CUA'!B:B, B510, '02_BOC_TACH_CUA'!K:K)</f>
        <v/>
      </c>
      <c r="J510" s="390">
        <f>SUMIF('03_BOC_TACH_VAN'!B:B, B510, '03_BOC_TACH_VAN'!K:K)</f>
        <v/>
      </c>
      <c r="K510" s="390">
        <f>SUM(H510:J510)</f>
        <v/>
      </c>
      <c r="L510" s="390">
        <f>K510*0.00</f>
        <v/>
      </c>
      <c r="M510" s="390">
        <f>K510*0.02</f>
        <v/>
      </c>
      <c r="N510" s="390">
        <f>K510+L510+M510</f>
        <v/>
      </c>
      <c r="O510" s="390">
        <f>IF(G510&gt;0, N510/G510, 0)</f>
        <v/>
      </c>
      <c r="P510" s="391" t="n">
        <v>0.1</v>
      </c>
      <c r="Q510" s="390">
        <f>O510*(1+P510)</f>
        <v/>
      </c>
      <c r="R510" s="390">
        <f>G510*Q510</f>
        <v/>
      </c>
      <c r="S510" t="inlineStr">
        <is>
          <t>Hàng thương mại</t>
        </is>
      </c>
    </row>
    <row r="511">
      <c r="A511" t="n">
        <v>510</v>
      </c>
      <c r="B511" t="inlineStr">
        <is>
          <t>SW-TRD-510</t>
        </is>
      </c>
      <c r="C511" t="inlineStr">
        <is>
          <t>THƯƠNG MẠI</t>
        </is>
      </c>
      <c r="D511" t="inlineStr">
        <is>
          <t>NƯỚC NGƯNG Vật tư phụ, phụ kiện</t>
        </is>
      </c>
      <c r="E511" t="inlineStr">
        <is>
          <t>-</t>
        </is>
      </c>
      <c r="F511" t="inlineStr">
        <is>
          <t>Lô</t>
        </is>
      </c>
      <c r="G511" s="390" t="n">
        <v>1</v>
      </c>
      <c r="H511" s="390">
        <f>SUMIF('01_BOC_TACH_ONG'!B:B, B511, '01_BOC_TACH_ONG'!K:K)</f>
        <v/>
      </c>
      <c r="I511" s="390">
        <f>SUMIF('02_BOC_TACH_CUA'!B:B, B511, '02_BOC_TACH_CUA'!K:K)</f>
        <v/>
      </c>
      <c r="J511" s="390">
        <f>SUMIF('03_BOC_TACH_VAN'!B:B, B511, '03_BOC_TACH_VAN'!K:K)</f>
        <v/>
      </c>
      <c r="K511" s="390">
        <f>SUM(H511:J511)</f>
        <v/>
      </c>
      <c r="L511" s="390">
        <f>K511*0.00</f>
        <v/>
      </c>
      <c r="M511" s="390">
        <f>K511*0.02</f>
        <v/>
      </c>
      <c r="N511" s="390">
        <f>K511+L511+M511</f>
        <v/>
      </c>
      <c r="O511" s="390">
        <f>IF(G511&gt;0, N511/G511, 0)</f>
        <v/>
      </c>
      <c r="P511" s="391" t="n">
        <v>0.1</v>
      </c>
      <c r="Q511" s="390">
        <f>O511*(1+P511)</f>
        <v/>
      </c>
      <c r="R511" s="390">
        <f>G511*Q511</f>
        <v/>
      </c>
      <c r="S511" t="inlineStr">
        <is>
          <t>Hàng thương mại</t>
        </is>
      </c>
    </row>
    <row r="512">
      <c r="A512" t="n">
        <v>511</v>
      </c>
      <c r="B512" t="inlineStr">
        <is>
          <t>SW-DUCT-511</t>
        </is>
      </c>
      <c r="C512" t="inlineStr">
        <is>
          <t>ỐNG GIÓ</t>
        </is>
      </c>
      <c r="D512" t="inlineStr">
        <is>
          <t>MÁNG TÔN ZAM (ĐI ỐNG ĐỒNG NGOÀI TRỜI), KÈM NẮP Máng tôn zam 1.5mm 400x150 mm</t>
        </is>
      </c>
      <c r="E512" t="inlineStr">
        <is>
          <t>1.50mm</t>
        </is>
      </c>
      <c r="F512" t="inlineStr">
        <is>
          <t>m</t>
        </is>
      </c>
      <c r="G512" s="390" t="n">
        <v>10</v>
      </c>
      <c r="H512" s="390">
        <f>SUMIF('01_BOC_TACH_ONG'!B:B, B512, '01_BOC_TACH_ONG'!K:K)</f>
        <v/>
      </c>
      <c r="I512" s="390">
        <f>SUMIF('02_BOC_TACH_CUA'!B:B, B512, '02_BOC_TACH_CUA'!K:K)</f>
        <v/>
      </c>
      <c r="J512" s="390">
        <f>SUMIF('03_BOC_TACH_VAN'!B:B, B512, '03_BOC_TACH_VAN'!K:K)</f>
        <v/>
      </c>
      <c r="K512" s="390">
        <f>SUM(H512:J512)</f>
        <v/>
      </c>
      <c r="L512" s="390">
        <f>K512*0.25</f>
        <v/>
      </c>
      <c r="M512" s="390">
        <f>K512*0.10</f>
        <v/>
      </c>
      <c r="N512" s="390">
        <f>K512+L512+M512</f>
        <v/>
      </c>
      <c r="O512" s="390">
        <f>IF(G512&gt;0, N512/G512, 0)</f>
        <v/>
      </c>
      <c r="P512" s="391" t="n">
        <v>0.18</v>
      </c>
      <c r="Q512" s="390">
        <f>O512*(1+P512)</f>
        <v/>
      </c>
      <c r="R512" s="390">
        <f>G512*Q512</f>
        <v/>
      </c>
      <c r="S512" t="inlineStr"/>
    </row>
    <row r="513">
      <c r="A513" t="n">
        <v>512</v>
      </c>
      <c r="B513" t="inlineStr">
        <is>
          <t>SW-DUCT-512</t>
        </is>
      </c>
      <c r="C513" t="inlineStr">
        <is>
          <t>ỐNG GIÓ</t>
        </is>
      </c>
      <c r="D513" t="inlineStr">
        <is>
          <t>MÁNG TÔN ZAM (ĐI ỐNG ĐỒNG NGOÀI TRỜI), KÈM NẮP Máng tôn zam 1.5mm 400x250 mm</t>
        </is>
      </c>
      <c r="E513" t="inlineStr">
        <is>
          <t>1.50mm</t>
        </is>
      </c>
      <c r="F513" t="inlineStr">
        <is>
          <t>m</t>
        </is>
      </c>
      <c r="G513" s="390" t="n">
        <v>4</v>
      </c>
      <c r="H513" s="390">
        <f>SUMIF('01_BOC_TACH_ONG'!B:B, B513, '01_BOC_TACH_ONG'!K:K)</f>
        <v/>
      </c>
      <c r="I513" s="390">
        <f>SUMIF('02_BOC_TACH_CUA'!B:B, B513, '02_BOC_TACH_CUA'!K:K)</f>
        <v/>
      </c>
      <c r="J513" s="390">
        <f>SUMIF('03_BOC_TACH_VAN'!B:B, B513, '03_BOC_TACH_VAN'!K:K)</f>
        <v/>
      </c>
      <c r="K513" s="390">
        <f>SUM(H513:J513)</f>
        <v/>
      </c>
      <c r="L513" s="390">
        <f>K513*0.25</f>
        <v/>
      </c>
      <c r="M513" s="390">
        <f>K513*0.10</f>
        <v/>
      </c>
      <c r="N513" s="390">
        <f>K513+L513+M513</f>
        <v/>
      </c>
      <c r="O513" s="390">
        <f>IF(G513&gt;0, N513/G513, 0)</f>
        <v/>
      </c>
      <c r="P513" s="391" t="n">
        <v>0.18</v>
      </c>
      <c r="Q513" s="390">
        <f>O513*(1+P513)</f>
        <v/>
      </c>
      <c r="R513" s="390">
        <f>G513*Q513</f>
        <v/>
      </c>
      <c r="S513" t="inlineStr"/>
    </row>
    <row r="514">
      <c r="A514" t="n">
        <v>513</v>
      </c>
      <c r="B514" t="inlineStr">
        <is>
          <t>SW-DUCT-513</t>
        </is>
      </c>
      <c r="C514" t="inlineStr">
        <is>
          <t>ỐNG GIÓ</t>
        </is>
      </c>
      <c r="D514" t="inlineStr">
        <is>
          <t>MÁNG TÔN ZAM (ĐI ỐNG ĐỒNG NGOÀI TRỜI), KÈM NẮP Máng tôn zam 1.5mm 400x350 mm</t>
        </is>
      </c>
      <c r="E514" t="inlineStr">
        <is>
          <t>1.50mm</t>
        </is>
      </c>
      <c r="F514" t="inlineStr">
        <is>
          <t>m</t>
        </is>
      </c>
      <c r="G514" s="390" t="n">
        <v>22</v>
      </c>
      <c r="H514" s="390">
        <f>SUMIF('01_BOC_TACH_ONG'!B:B, B514, '01_BOC_TACH_ONG'!K:K)</f>
        <v/>
      </c>
      <c r="I514" s="390">
        <f>SUMIF('02_BOC_TACH_CUA'!B:B, B514, '02_BOC_TACH_CUA'!K:K)</f>
        <v/>
      </c>
      <c r="J514" s="390">
        <f>SUMIF('03_BOC_TACH_VAN'!B:B, B514, '03_BOC_TACH_VAN'!K:K)</f>
        <v/>
      </c>
      <c r="K514" s="390">
        <f>SUM(H514:J514)</f>
        <v/>
      </c>
      <c r="L514" s="390">
        <f>K514*0.25</f>
        <v/>
      </c>
      <c r="M514" s="390">
        <f>K514*0.10</f>
        <v/>
      </c>
      <c r="N514" s="390">
        <f>K514+L514+M514</f>
        <v/>
      </c>
      <c r="O514" s="390">
        <f>IF(G514&gt;0, N514/G514, 0)</f>
        <v/>
      </c>
      <c r="P514" s="391" t="n">
        <v>0.18</v>
      </c>
      <c r="Q514" s="390">
        <f>O514*(1+P514)</f>
        <v/>
      </c>
      <c r="R514" s="390">
        <f>G514*Q514</f>
        <v/>
      </c>
      <c r="S514" t="inlineStr"/>
    </row>
    <row r="515">
      <c r="A515" t="n">
        <v>514</v>
      </c>
      <c r="B515" t="inlineStr">
        <is>
          <t>SW-DUCT-514</t>
        </is>
      </c>
      <c r="C515" t="inlineStr">
        <is>
          <t>ỐNG GIÓ</t>
        </is>
      </c>
      <c r="D515" t="inlineStr">
        <is>
          <t>MÁNG TÔN ZAM (ĐI ỐNG ĐỒNG NGOÀI TRỜI), KÈM NẮP Máng tôn zam 1.5mm 500x200 mm</t>
        </is>
      </c>
      <c r="E515" t="inlineStr">
        <is>
          <t>1.50mm</t>
        </is>
      </c>
      <c r="F515" t="inlineStr">
        <is>
          <t>m</t>
        </is>
      </c>
      <c r="G515" s="390" t="n">
        <v>22</v>
      </c>
      <c r="H515" s="390">
        <f>SUMIF('01_BOC_TACH_ONG'!B:B, B515, '01_BOC_TACH_ONG'!K:K)</f>
        <v/>
      </c>
      <c r="I515" s="390">
        <f>SUMIF('02_BOC_TACH_CUA'!B:B, B515, '02_BOC_TACH_CUA'!K:K)</f>
        <v/>
      </c>
      <c r="J515" s="390">
        <f>SUMIF('03_BOC_TACH_VAN'!B:B, B515, '03_BOC_TACH_VAN'!K:K)</f>
        <v/>
      </c>
      <c r="K515" s="390">
        <f>SUM(H515:J515)</f>
        <v/>
      </c>
      <c r="L515" s="390">
        <f>K515*0.25</f>
        <v/>
      </c>
      <c r="M515" s="390">
        <f>K515*0.10</f>
        <v/>
      </c>
      <c r="N515" s="390">
        <f>K515+L515+M515</f>
        <v/>
      </c>
      <c r="O515" s="390">
        <f>IF(G515&gt;0, N515/G515, 0)</f>
        <v/>
      </c>
      <c r="P515" s="391" t="n">
        <v>0.18</v>
      </c>
      <c r="Q515" s="390">
        <f>O515*(1+P515)</f>
        <v/>
      </c>
      <c r="R515" s="390">
        <f>G515*Q515</f>
        <v/>
      </c>
      <c r="S515" t="inlineStr"/>
    </row>
    <row r="516">
      <c r="A516" t="n">
        <v>515</v>
      </c>
      <c r="B516" t="inlineStr">
        <is>
          <t>SW-DUCT-515</t>
        </is>
      </c>
      <c r="C516" t="inlineStr">
        <is>
          <t>ỐNG GIÓ</t>
        </is>
      </c>
      <c r="D516" t="inlineStr">
        <is>
          <t>MÁNG TÔN ZAM (ĐI ỐNG ĐỒNG NGOÀI TRỜI), KÈM NẮP Máng tôn zam 1.5mm 500x250 mm</t>
        </is>
      </c>
      <c r="E516" t="inlineStr">
        <is>
          <t>1.50mm</t>
        </is>
      </c>
      <c r="F516" t="inlineStr">
        <is>
          <t>m</t>
        </is>
      </c>
      <c r="G516" s="390" t="n">
        <v>30</v>
      </c>
      <c r="H516" s="390">
        <f>SUMIF('01_BOC_TACH_ONG'!B:B, B516, '01_BOC_TACH_ONG'!K:K)</f>
        <v/>
      </c>
      <c r="I516" s="390">
        <f>SUMIF('02_BOC_TACH_CUA'!B:B, B516, '02_BOC_TACH_CUA'!K:K)</f>
        <v/>
      </c>
      <c r="J516" s="390">
        <f>SUMIF('03_BOC_TACH_VAN'!B:B, B516, '03_BOC_TACH_VAN'!K:K)</f>
        <v/>
      </c>
      <c r="K516" s="390">
        <f>SUM(H516:J516)</f>
        <v/>
      </c>
      <c r="L516" s="390">
        <f>K516*0.25</f>
        <v/>
      </c>
      <c r="M516" s="390">
        <f>K516*0.10</f>
        <v/>
      </c>
      <c r="N516" s="390">
        <f>K516+L516+M516</f>
        <v/>
      </c>
      <c r="O516" s="390">
        <f>IF(G516&gt;0, N516/G516, 0)</f>
        <v/>
      </c>
      <c r="P516" s="391" t="n">
        <v>0.18</v>
      </c>
      <c r="Q516" s="390">
        <f>O516*(1+P516)</f>
        <v/>
      </c>
      <c r="R516" s="390">
        <f>G516*Q516</f>
        <v/>
      </c>
      <c r="S516" t="inlineStr"/>
    </row>
    <row r="517">
      <c r="A517" t="n">
        <v>516</v>
      </c>
      <c r="B517" t="inlineStr">
        <is>
          <t>SW-DUCT-516</t>
        </is>
      </c>
      <c r="C517" t="inlineStr">
        <is>
          <t>ỐNG GIÓ</t>
        </is>
      </c>
      <c r="D517" t="inlineStr">
        <is>
          <t>MÁNG TÔN ZAM (ĐI ỐNG ĐỒNG NGOÀI TRỜI), KÈM NẮP Máng tôn zam 1.5mm 500x300 mm</t>
        </is>
      </c>
      <c r="E517" t="inlineStr">
        <is>
          <t>1.50mm</t>
        </is>
      </c>
      <c r="F517" t="inlineStr">
        <is>
          <t>m</t>
        </is>
      </c>
      <c r="G517" s="390" t="n">
        <v>12</v>
      </c>
      <c r="H517" s="390">
        <f>SUMIF('01_BOC_TACH_ONG'!B:B, B517, '01_BOC_TACH_ONG'!K:K)</f>
        <v/>
      </c>
      <c r="I517" s="390">
        <f>SUMIF('02_BOC_TACH_CUA'!B:B, B517, '02_BOC_TACH_CUA'!K:K)</f>
        <v/>
      </c>
      <c r="J517" s="390">
        <f>SUMIF('03_BOC_TACH_VAN'!B:B, B517, '03_BOC_TACH_VAN'!K:K)</f>
        <v/>
      </c>
      <c r="K517" s="390">
        <f>SUM(H517:J517)</f>
        <v/>
      </c>
      <c r="L517" s="390">
        <f>K517*0.25</f>
        <v/>
      </c>
      <c r="M517" s="390">
        <f>K517*0.10</f>
        <v/>
      </c>
      <c r="N517" s="390">
        <f>K517+L517+M517</f>
        <v/>
      </c>
      <c r="O517" s="390">
        <f>IF(G517&gt;0, N517/G517, 0)</f>
        <v/>
      </c>
      <c r="P517" s="391" t="n">
        <v>0.18</v>
      </c>
      <c r="Q517" s="390">
        <f>O517*(1+P517)</f>
        <v/>
      </c>
      <c r="R517" s="390">
        <f>G517*Q517</f>
        <v/>
      </c>
      <c r="S517" t="inlineStr"/>
    </row>
    <row r="518">
      <c r="A518" t="n">
        <v>517</v>
      </c>
      <c r="B518" t="inlineStr">
        <is>
          <t>SW-DUCT-517</t>
        </is>
      </c>
      <c r="C518" t="inlineStr">
        <is>
          <t>ỐNG GIÓ</t>
        </is>
      </c>
      <c r="D518" t="inlineStr">
        <is>
          <t>MÁNG TÔN ZAM (ĐI ỐNG ĐỒNG NGOÀI TRỜI), KÈM NẮP Máng tôn zam 1.5mm 500x300 mm</t>
        </is>
      </c>
      <c r="E518" t="inlineStr">
        <is>
          <t>1.50mm</t>
        </is>
      </c>
      <c r="F518" t="inlineStr">
        <is>
          <t>m</t>
        </is>
      </c>
      <c r="G518" s="390" t="n">
        <v>10</v>
      </c>
      <c r="H518" s="390">
        <f>SUMIF('01_BOC_TACH_ONG'!B:B, B518, '01_BOC_TACH_ONG'!K:K)</f>
        <v/>
      </c>
      <c r="I518" s="390">
        <f>SUMIF('02_BOC_TACH_CUA'!B:B, B518, '02_BOC_TACH_CUA'!K:K)</f>
        <v/>
      </c>
      <c r="J518" s="390">
        <f>SUMIF('03_BOC_TACH_VAN'!B:B, B518, '03_BOC_TACH_VAN'!K:K)</f>
        <v/>
      </c>
      <c r="K518" s="390">
        <f>SUM(H518:J518)</f>
        <v/>
      </c>
      <c r="L518" s="390">
        <f>K518*0.25</f>
        <v/>
      </c>
      <c r="M518" s="390">
        <f>K518*0.10</f>
        <v/>
      </c>
      <c r="N518" s="390">
        <f>K518+L518+M518</f>
        <v/>
      </c>
      <c r="O518" s="390">
        <f>IF(G518&gt;0, N518/G518, 0)</f>
        <v/>
      </c>
      <c r="P518" s="391" t="n">
        <v>0.18</v>
      </c>
      <c r="Q518" s="390">
        <f>O518*(1+P518)</f>
        <v/>
      </c>
      <c r="R518" s="390">
        <f>G518*Q518</f>
        <v/>
      </c>
      <c r="S518" t="inlineStr"/>
    </row>
    <row r="519">
      <c r="A519" t="n">
        <v>518</v>
      </c>
      <c r="B519" t="inlineStr">
        <is>
          <t>SW-DUCT-518</t>
        </is>
      </c>
      <c r="C519" t="inlineStr">
        <is>
          <t>ỐNG GIÓ</t>
        </is>
      </c>
      <c r="D519" t="inlineStr">
        <is>
          <t>MÁNG TÔN ZAM (ĐI ỐNG ĐỒNG NGOÀI TRỜI), KÈM NẮP Máng tôn zam 1.5mm 600x200 mm</t>
        </is>
      </c>
      <c r="E519" t="inlineStr">
        <is>
          <t>1.50mm</t>
        </is>
      </c>
      <c r="F519" t="inlineStr">
        <is>
          <t>m</t>
        </is>
      </c>
      <c r="G519" s="390" t="n">
        <v>8</v>
      </c>
      <c r="H519" s="390">
        <f>SUMIF('01_BOC_TACH_ONG'!B:B, B519, '01_BOC_TACH_ONG'!K:K)</f>
        <v/>
      </c>
      <c r="I519" s="390">
        <f>SUMIF('02_BOC_TACH_CUA'!B:B, B519, '02_BOC_TACH_CUA'!K:K)</f>
        <v/>
      </c>
      <c r="J519" s="390">
        <f>SUMIF('03_BOC_TACH_VAN'!B:B, B519, '03_BOC_TACH_VAN'!K:K)</f>
        <v/>
      </c>
      <c r="K519" s="390">
        <f>SUM(H519:J519)</f>
        <v/>
      </c>
      <c r="L519" s="390">
        <f>K519*0.25</f>
        <v/>
      </c>
      <c r="M519" s="390">
        <f>K519*0.10</f>
        <v/>
      </c>
      <c r="N519" s="390">
        <f>K519+L519+M519</f>
        <v/>
      </c>
      <c r="O519" s="390">
        <f>IF(G519&gt;0, N519/G519, 0)</f>
        <v/>
      </c>
      <c r="P519" s="391" t="n">
        <v>0.18</v>
      </c>
      <c r="Q519" s="390">
        <f>O519*(1+P519)</f>
        <v/>
      </c>
      <c r="R519" s="390">
        <f>G519*Q519</f>
        <v/>
      </c>
      <c r="S519" t="inlineStr"/>
    </row>
    <row r="520">
      <c r="A520" t="n">
        <v>519</v>
      </c>
      <c r="B520" t="inlineStr">
        <is>
          <t>SW-DUCT-519</t>
        </is>
      </c>
      <c r="C520" t="inlineStr">
        <is>
          <t>ỐNG GIÓ</t>
        </is>
      </c>
      <c r="D520" t="inlineStr">
        <is>
          <t>MÁNG TÔN ZAM (ĐI ỐNG ĐỒNG NGOÀI TRỜI), KÈM NẮP Máng tôn zam 1.5mm 600x250 mm</t>
        </is>
      </c>
      <c r="E520" t="inlineStr">
        <is>
          <t>1.50mm</t>
        </is>
      </c>
      <c r="F520" t="inlineStr">
        <is>
          <t>m</t>
        </is>
      </c>
      <c r="G520" s="390" t="n">
        <v>20</v>
      </c>
      <c r="H520" s="390">
        <f>SUMIF('01_BOC_TACH_ONG'!B:B, B520, '01_BOC_TACH_ONG'!K:K)</f>
        <v/>
      </c>
      <c r="I520" s="390">
        <f>SUMIF('02_BOC_TACH_CUA'!B:B, B520, '02_BOC_TACH_CUA'!K:K)</f>
        <v/>
      </c>
      <c r="J520" s="390">
        <f>SUMIF('03_BOC_TACH_VAN'!B:B, B520, '03_BOC_TACH_VAN'!K:K)</f>
        <v/>
      </c>
      <c r="K520" s="390">
        <f>SUM(H520:J520)</f>
        <v/>
      </c>
      <c r="L520" s="390">
        <f>K520*0.25</f>
        <v/>
      </c>
      <c r="M520" s="390">
        <f>K520*0.10</f>
        <v/>
      </c>
      <c r="N520" s="390">
        <f>K520+L520+M520</f>
        <v/>
      </c>
      <c r="O520" s="390">
        <f>IF(G520&gt;0, N520/G520, 0)</f>
        <v/>
      </c>
      <c r="P520" s="391" t="n">
        <v>0.18</v>
      </c>
      <c r="Q520" s="390">
        <f>O520*(1+P520)</f>
        <v/>
      </c>
      <c r="R520" s="390">
        <f>G520*Q520</f>
        <v/>
      </c>
      <c r="S520" t="inlineStr"/>
    </row>
    <row r="521">
      <c r="A521" t="n">
        <v>520</v>
      </c>
      <c r="B521" t="inlineStr">
        <is>
          <t>SW-DUCT-520</t>
        </is>
      </c>
      <c r="C521" t="inlineStr">
        <is>
          <t>ỐNG GIÓ</t>
        </is>
      </c>
      <c r="D521" t="inlineStr">
        <is>
          <t>MÁNG TÔN ZAM (ĐI ỐNG ĐỒNG NGOÀI TRỜI), KÈM NẮP Máng tôn zam 1.5mm 600x300 mm</t>
        </is>
      </c>
      <c r="E521" t="inlineStr">
        <is>
          <t>1.50mm</t>
        </is>
      </c>
      <c r="F521" t="inlineStr">
        <is>
          <t>m</t>
        </is>
      </c>
      <c r="G521" s="390" t="n">
        <v>5</v>
      </c>
      <c r="H521" s="390">
        <f>SUMIF('01_BOC_TACH_ONG'!B:B, B521, '01_BOC_TACH_ONG'!K:K)</f>
        <v/>
      </c>
      <c r="I521" s="390">
        <f>SUMIF('02_BOC_TACH_CUA'!B:B, B521, '02_BOC_TACH_CUA'!K:K)</f>
        <v/>
      </c>
      <c r="J521" s="390">
        <f>SUMIF('03_BOC_TACH_VAN'!B:B, B521, '03_BOC_TACH_VAN'!K:K)</f>
        <v/>
      </c>
      <c r="K521" s="390">
        <f>SUM(H521:J521)</f>
        <v/>
      </c>
      <c r="L521" s="390">
        <f>K521*0.25</f>
        <v/>
      </c>
      <c r="M521" s="390">
        <f>K521*0.10</f>
        <v/>
      </c>
      <c r="N521" s="390">
        <f>K521+L521+M521</f>
        <v/>
      </c>
      <c r="O521" s="390">
        <f>IF(G521&gt;0, N521/G521, 0)</f>
        <v/>
      </c>
      <c r="P521" s="391" t="n">
        <v>0.18</v>
      </c>
      <c r="Q521" s="390">
        <f>O521*(1+P521)</f>
        <v/>
      </c>
      <c r="R521" s="390">
        <f>G521*Q521</f>
        <v/>
      </c>
      <c r="S521" t="inlineStr"/>
    </row>
    <row r="522">
      <c r="A522" t="n">
        <v>521</v>
      </c>
      <c r="B522" t="inlineStr">
        <is>
          <t>SW-DUCT-521</t>
        </is>
      </c>
      <c r="C522" t="inlineStr">
        <is>
          <t>ỐNG GIÓ</t>
        </is>
      </c>
      <c r="D522" t="inlineStr">
        <is>
          <t>MÁNG TÔN ZAM (ĐI ỐNG ĐỒNG NGOÀI TRỜI), KÈM NẮP Máng tôn zam 1.5mm 600x350 mm</t>
        </is>
      </c>
      <c r="E522" t="inlineStr">
        <is>
          <t>1.50mm</t>
        </is>
      </c>
      <c r="F522" t="inlineStr">
        <is>
          <t>m</t>
        </is>
      </c>
      <c r="G522" s="390" t="n">
        <v>3</v>
      </c>
      <c r="H522" s="390">
        <f>SUMIF('01_BOC_TACH_ONG'!B:B, B522, '01_BOC_TACH_ONG'!K:K)</f>
        <v/>
      </c>
      <c r="I522" s="390">
        <f>SUMIF('02_BOC_TACH_CUA'!B:B, B522, '02_BOC_TACH_CUA'!K:K)</f>
        <v/>
      </c>
      <c r="J522" s="390">
        <f>SUMIF('03_BOC_TACH_VAN'!B:B, B522, '03_BOC_TACH_VAN'!K:K)</f>
        <v/>
      </c>
      <c r="K522" s="390">
        <f>SUM(H522:J522)</f>
        <v/>
      </c>
      <c r="L522" s="390">
        <f>K522*0.25</f>
        <v/>
      </c>
      <c r="M522" s="390">
        <f>K522*0.10</f>
        <v/>
      </c>
      <c r="N522" s="390">
        <f>K522+L522+M522</f>
        <v/>
      </c>
      <c r="O522" s="390">
        <f>IF(G522&gt;0, N522/G522, 0)</f>
        <v/>
      </c>
      <c r="P522" s="391" t="n">
        <v>0.18</v>
      </c>
      <c r="Q522" s="390">
        <f>O522*(1+P522)</f>
        <v/>
      </c>
      <c r="R522" s="390">
        <f>G522*Q522</f>
        <v/>
      </c>
      <c r="S522" t="inlineStr"/>
    </row>
    <row r="523">
      <c r="A523" t="n">
        <v>522</v>
      </c>
      <c r="B523" t="inlineStr">
        <is>
          <t>SW-DUCT-522</t>
        </is>
      </c>
      <c r="C523" t="inlineStr">
        <is>
          <t>ỐNG GIÓ</t>
        </is>
      </c>
      <c r="D523" t="inlineStr">
        <is>
          <t>MÁNG TÔN ZAM (ĐI ỐNG ĐỒNG NGOÀI TRỜI), KÈM NẮP Máng tôn zam 1.5mm 850x200 mm</t>
        </is>
      </c>
      <c r="E523" t="inlineStr">
        <is>
          <t>1.50mm</t>
        </is>
      </c>
      <c r="F523" t="inlineStr">
        <is>
          <t>m</t>
        </is>
      </c>
      <c r="G523" s="390" t="n">
        <v>8</v>
      </c>
      <c r="H523" s="390">
        <f>SUMIF('01_BOC_TACH_ONG'!B:B, B523, '01_BOC_TACH_ONG'!K:K)</f>
        <v/>
      </c>
      <c r="I523" s="390">
        <f>SUMIF('02_BOC_TACH_CUA'!B:B, B523, '02_BOC_TACH_CUA'!K:K)</f>
        <v/>
      </c>
      <c r="J523" s="390">
        <f>SUMIF('03_BOC_TACH_VAN'!B:B, B523, '03_BOC_TACH_VAN'!K:K)</f>
        <v/>
      </c>
      <c r="K523" s="390">
        <f>SUM(H523:J523)</f>
        <v/>
      </c>
      <c r="L523" s="390">
        <f>K523*0.25</f>
        <v/>
      </c>
      <c r="M523" s="390">
        <f>K523*0.10</f>
        <v/>
      </c>
      <c r="N523" s="390">
        <f>K523+L523+M523</f>
        <v/>
      </c>
      <c r="O523" s="390">
        <f>IF(G523&gt;0, N523/G523, 0)</f>
        <v/>
      </c>
      <c r="P523" s="391" t="n">
        <v>0.18</v>
      </c>
      <c r="Q523" s="390">
        <f>O523*(1+P523)</f>
        <v/>
      </c>
      <c r="R523" s="390">
        <f>G523*Q523</f>
        <v/>
      </c>
      <c r="S523" t="inlineStr"/>
    </row>
    <row r="524">
      <c r="A524" t="n">
        <v>523</v>
      </c>
      <c r="B524" t="inlineStr">
        <is>
          <t>SW-DUCT-523</t>
        </is>
      </c>
      <c r="C524" t="inlineStr">
        <is>
          <t>ỐNG GIÓ</t>
        </is>
      </c>
      <c r="D524" t="inlineStr">
        <is>
          <t>MÁNG TÔN ZAM (ĐI ỐNG ĐỒNG NGOÀI TRỜI), KÈM NẮP Máng tôn zam 1.5mm 1000x250 mm</t>
        </is>
      </c>
      <c r="E524" t="inlineStr">
        <is>
          <t>1.50mm</t>
        </is>
      </c>
      <c r="F524" t="inlineStr">
        <is>
          <t>m</t>
        </is>
      </c>
      <c r="G524" s="390" t="n">
        <v>3</v>
      </c>
      <c r="H524" s="390">
        <f>SUMIF('01_BOC_TACH_ONG'!B:B, B524, '01_BOC_TACH_ONG'!K:K)</f>
        <v/>
      </c>
      <c r="I524" s="390">
        <f>SUMIF('02_BOC_TACH_CUA'!B:B, B524, '02_BOC_TACH_CUA'!K:K)</f>
        <v/>
      </c>
      <c r="J524" s="390">
        <f>SUMIF('03_BOC_TACH_VAN'!B:B, B524, '03_BOC_TACH_VAN'!K:K)</f>
        <v/>
      </c>
      <c r="K524" s="390">
        <f>SUM(H524:J524)</f>
        <v/>
      </c>
      <c r="L524" s="390">
        <f>K524*0.25</f>
        <v/>
      </c>
      <c r="M524" s="390">
        <f>K524*0.10</f>
        <v/>
      </c>
      <c r="N524" s="390">
        <f>K524+L524+M524</f>
        <v/>
      </c>
      <c r="O524" s="390">
        <f>IF(G524&gt;0, N524/G524, 0)</f>
        <v/>
      </c>
      <c r="P524" s="391" t="n">
        <v>0.18</v>
      </c>
      <c r="Q524" s="390">
        <f>O524*(1+P524)</f>
        <v/>
      </c>
      <c r="R524" s="390">
        <f>G524*Q524</f>
        <v/>
      </c>
      <c r="S524" t="inlineStr"/>
    </row>
    <row r="525">
      <c r="A525" t="n">
        <v>524</v>
      </c>
      <c r="B525" t="inlineStr">
        <is>
          <t>SW-DUCT-524</t>
        </is>
      </c>
      <c r="C525" t="inlineStr">
        <is>
          <t>ỐNG GIÓ</t>
        </is>
      </c>
      <c r="D525" t="inlineStr">
        <is>
          <t>MÁNG TÔN ZAM (ĐI ỐNG ĐỒNG NGOÀI TRỜI), KÈM NẮP Máng tôn zam 1.5mm 1200x200 mm</t>
        </is>
      </c>
      <c r="E525" t="inlineStr">
        <is>
          <t>1.50mm</t>
        </is>
      </c>
      <c r="F525" t="inlineStr">
        <is>
          <t>m</t>
        </is>
      </c>
      <c r="G525" s="390" t="n">
        <v>5</v>
      </c>
      <c r="H525" s="390">
        <f>SUMIF('01_BOC_TACH_ONG'!B:B, B525, '01_BOC_TACH_ONG'!K:K)</f>
        <v/>
      </c>
      <c r="I525" s="390">
        <f>SUMIF('02_BOC_TACH_CUA'!B:B, B525, '02_BOC_TACH_CUA'!K:K)</f>
        <v/>
      </c>
      <c r="J525" s="390">
        <f>SUMIF('03_BOC_TACH_VAN'!B:B, B525, '03_BOC_TACH_VAN'!K:K)</f>
        <v/>
      </c>
      <c r="K525" s="390">
        <f>SUM(H525:J525)</f>
        <v/>
      </c>
      <c r="L525" s="390">
        <f>K525*0.25</f>
        <v/>
      </c>
      <c r="M525" s="390">
        <f>K525*0.10</f>
        <v/>
      </c>
      <c r="N525" s="390">
        <f>K525+L525+M525</f>
        <v/>
      </c>
      <c r="O525" s="390">
        <f>IF(G525&gt;0, N525/G525, 0)</f>
        <v/>
      </c>
      <c r="P525" s="391" t="n">
        <v>0.18</v>
      </c>
      <c r="Q525" s="390">
        <f>O525*(1+P525)</f>
        <v/>
      </c>
      <c r="R525" s="390">
        <f>G525*Q525</f>
        <v/>
      </c>
      <c r="S525" t="inlineStr"/>
    </row>
    <row r="526">
      <c r="A526" t="n">
        <v>525</v>
      </c>
      <c r="B526" t="inlineStr">
        <is>
          <t>SW-DUCT-525</t>
        </is>
      </c>
      <c r="C526" t="inlineStr">
        <is>
          <t>ỐNG GIÓ</t>
        </is>
      </c>
      <c r="D526" t="inlineStr">
        <is>
          <t>MÁNG TÔN ZAM (ĐI ỐNG ĐỒNG NGOÀI TRỜI), KÈM NẮP Máng tôn zam 1.5mm 1700x250 mm</t>
        </is>
      </c>
      <c r="E526" t="inlineStr">
        <is>
          <t>1.50mm</t>
        </is>
      </c>
      <c r="F526" t="inlineStr">
        <is>
          <t>m</t>
        </is>
      </c>
      <c r="G526" s="390" t="n">
        <v>4</v>
      </c>
      <c r="H526" s="390">
        <f>SUMIF('01_BOC_TACH_ONG'!B:B, B526, '01_BOC_TACH_ONG'!K:K)</f>
        <v/>
      </c>
      <c r="I526" s="390">
        <f>SUMIF('02_BOC_TACH_CUA'!B:B, B526, '02_BOC_TACH_CUA'!K:K)</f>
        <v/>
      </c>
      <c r="J526" s="390">
        <f>SUMIF('03_BOC_TACH_VAN'!B:B, B526, '03_BOC_TACH_VAN'!K:K)</f>
        <v/>
      </c>
      <c r="K526" s="390">
        <f>SUM(H526:J526)</f>
        <v/>
      </c>
      <c r="L526" s="390">
        <f>K526*0.25</f>
        <v/>
      </c>
      <c r="M526" s="390">
        <f>K526*0.10</f>
        <v/>
      </c>
      <c r="N526" s="390">
        <f>K526+L526+M526</f>
        <v/>
      </c>
      <c r="O526" s="390">
        <f>IF(G526&gt;0, N526/G526, 0)</f>
        <v/>
      </c>
      <c r="P526" s="391" t="n">
        <v>0.18</v>
      </c>
      <c r="Q526" s="390">
        <f>O526*(1+P526)</f>
        <v/>
      </c>
      <c r="R526" s="390">
        <f>G526*Q526</f>
        <v/>
      </c>
      <c r="S526" t="inlineStr"/>
    </row>
    <row r="527">
      <c r="A527" t="n">
        <v>526</v>
      </c>
      <c r="B527" t="inlineStr">
        <is>
          <t>SW-TRD-526</t>
        </is>
      </c>
      <c r="C527" t="inlineStr">
        <is>
          <t>THƯƠNG MẠI</t>
        </is>
      </c>
      <c r="D527" t="inlineStr">
        <is>
          <t>MÁNG TÔN ZAM (ĐI ỐNG ĐỒNG NGOÀI TRỜI), KÈM NẮP Vật tư phụ, phụ kiện</t>
        </is>
      </c>
      <c r="E527" t="inlineStr">
        <is>
          <t>-</t>
        </is>
      </c>
      <c r="F527" t="inlineStr">
        <is>
          <t>Lô</t>
        </is>
      </c>
      <c r="G527" s="390" t="n">
        <v>1</v>
      </c>
      <c r="H527" s="390">
        <f>SUMIF('01_BOC_TACH_ONG'!B:B, B527, '01_BOC_TACH_ONG'!K:K)</f>
        <v/>
      </c>
      <c r="I527" s="390">
        <f>SUMIF('02_BOC_TACH_CUA'!B:B, B527, '02_BOC_TACH_CUA'!K:K)</f>
        <v/>
      </c>
      <c r="J527" s="390">
        <f>SUMIF('03_BOC_TACH_VAN'!B:B, B527, '03_BOC_TACH_VAN'!K:K)</f>
        <v/>
      </c>
      <c r="K527" s="390">
        <f>SUM(H527:J527)</f>
        <v/>
      </c>
      <c r="L527" s="390">
        <f>K527*0.00</f>
        <v/>
      </c>
      <c r="M527" s="390">
        <f>K527*0.02</f>
        <v/>
      </c>
      <c r="N527" s="390">
        <f>K527+L527+M527</f>
        <v/>
      </c>
      <c r="O527" s="390">
        <f>IF(G527&gt;0, N527/G527, 0)</f>
        <v/>
      </c>
      <c r="P527" s="391" t="n">
        <v>0.1</v>
      </c>
      <c r="Q527" s="390">
        <f>O527*(1+P527)</f>
        <v/>
      </c>
      <c r="R527" s="390">
        <f>G527*Q527</f>
        <v/>
      </c>
      <c r="S527" t="inlineStr">
        <is>
          <t>Hàng thương mại</t>
        </is>
      </c>
    </row>
    <row r="528">
      <c r="A528" t="n">
        <v>527</v>
      </c>
      <c r="B528" t="inlineStr">
        <is>
          <t>SW-TRD-527</t>
        </is>
      </c>
      <c r="C528" t="inlineStr">
        <is>
          <t>THƯƠNG MẠI</t>
        </is>
      </c>
      <c r="D528" t="inlineStr">
        <is>
          <t>A1.1 Dàn nóng</t>
        </is>
      </c>
      <c r="E528" t="inlineStr">
        <is>
          <t>-</t>
        </is>
      </c>
      <c r="F528" t="inlineStr">
        <is>
          <t>Bộ</t>
        </is>
      </c>
      <c r="G528" s="390" t="n">
        <v>6</v>
      </c>
      <c r="H528" s="390">
        <f>SUMIF('01_BOC_TACH_ONG'!B:B, B528, '01_BOC_TACH_ONG'!K:K)</f>
        <v/>
      </c>
      <c r="I528" s="390">
        <f>SUMIF('02_BOC_TACH_CUA'!B:B, B528, '02_BOC_TACH_CUA'!K:K)</f>
        <v/>
      </c>
      <c r="J528" s="390">
        <f>SUMIF('03_BOC_TACH_VAN'!B:B, B528, '03_BOC_TACH_VAN'!K:K)</f>
        <v/>
      </c>
      <c r="K528" s="390">
        <f>SUM(H528:J528)</f>
        <v/>
      </c>
      <c r="L528" s="390">
        <f>K528*0.00</f>
        <v/>
      </c>
      <c r="M528" s="390">
        <f>K528*0.02</f>
        <v/>
      </c>
      <c r="N528" s="390">
        <f>K528+L528+M528</f>
        <v/>
      </c>
      <c r="O528" s="390">
        <f>IF(G528&gt;0, N528/G528, 0)</f>
        <v/>
      </c>
      <c r="P528" s="391" t="n">
        <v>0.1</v>
      </c>
      <c r="Q528" s="390">
        <f>O528*(1+P528)</f>
        <v/>
      </c>
      <c r="R528" s="390">
        <f>G528*Q528</f>
        <v/>
      </c>
      <c r="S528" t="inlineStr">
        <is>
          <t>Hàng thương mại</t>
        </is>
      </c>
    </row>
    <row r="529">
      <c r="A529" t="n">
        <v>528</v>
      </c>
      <c r="B529" t="inlineStr">
        <is>
          <t>SW-TRD-528</t>
        </is>
      </c>
      <c r="C529" t="inlineStr">
        <is>
          <t>THƯƠNG MẠI</t>
        </is>
      </c>
      <c r="D529" t="inlineStr">
        <is>
          <t>A1.1 Dàn lạnh</t>
        </is>
      </c>
      <c r="E529" t="inlineStr">
        <is>
          <t>-</t>
        </is>
      </c>
      <c r="F529" t="inlineStr">
        <is>
          <t>Bộ</t>
        </is>
      </c>
      <c r="G529" s="390" t="n">
        <v>12</v>
      </c>
      <c r="H529" s="390">
        <f>SUMIF('01_BOC_TACH_ONG'!B:B, B529, '01_BOC_TACH_ONG'!K:K)</f>
        <v/>
      </c>
      <c r="I529" s="390">
        <f>SUMIF('02_BOC_TACH_CUA'!B:B, B529, '02_BOC_TACH_CUA'!K:K)</f>
        <v/>
      </c>
      <c r="J529" s="390">
        <f>SUMIF('03_BOC_TACH_VAN'!B:B, B529, '03_BOC_TACH_VAN'!K:K)</f>
        <v/>
      </c>
      <c r="K529" s="390">
        <f>SUM(H529:J529)</f>
        <v/>
      </c>
      <c r="L529" s="390">
        <f>K529*0.00</f>
        <v/>
      </c>
      <c r="M529" s="390">
        <f>K529*0.02</f>
        <v/>
      </c>
      <c r="N529" s="390">
        <f>K529+L529+M529</f>
        <v/>
      </c>
      <c r="O529" s="390">
        <f>IF(G529&gt;0, N529/G529, 0)</f>
        <v/>
      </c>
      <c r="P529" s="391" t="n">
        <v>0.1</v>
      </c>
      <c r="Q529" s="390">
        <f>O529*(1+P529)</f>
        <v/>
      </c>
      <c r="R529" s="390">
        <f>G529*Q529</f>
        <v/>
      </c>
      <c r="S529" t="inlineStr">
        <is>
          <t>Hàng thương mại</t>
        </is>
      </c>
    </row>
    <row r="530">
      <c r="A530" t="n">
        <v>529</v>
      </c>
      <c r="B530" t="inlineStr">
        <is>
          <t>SW-TRD-529</t>
        </is>
      </c>
      <c r="C530" t="inlineStr">
        <is>
          <t>THƯƠNG MẠI</t>
        </is>
      </c>
      <c r="D530" t="inlineStr">
        <is>
          <t>A1.1 Dàn lạnh</t>
        </is>
      </c>
      <c r="E530" t="inlineStr">
        <is>
          <t>-</t>
        </is>
      </c>
      <c r="F530" t="inlineStr">
        <is>
          <t>Bộ</t>
        </is>
      </c>
      <c r="G530" s="390" t="n">
        <v>6</v>
      </c>
      <c r="H530" s="390">
        <f>SUMIF('01_BOC_TACH_ONG'!B:B, B530, '01_BOC_TACH_ONG'!K:K)</f>
        <v/>
      </c>
      <c r="I530" s="390">
        <f>SUMIF('02_BOC_TACH_CUA'!B:B, B530, '02_BOC_TACH_CUA'!K:K)</f>
        <v/>
      </c>
      <c r="J530" s="390">
        <f>SUMIF('03_BOC_TACH_VAN'!B:B, B530, '03_BOC_TACH_VAN'!K:K)</f>
        <v/>
      </c>
      <c r="K530" s="390">
        <f>SUM(H530:J530)</f>
        <v/>
      </c>
      <c r="L530" s="390">
        <f>K530*0.00</f>
        <v/>
      </c>
      <c r="M530" s="390">
        <f>K530*0.02</f>
        <v/>
      </c>
      <c r="N530" s="390">
        <f>K530+L530+M530</f>
        <v/>
      </c>
      <c r="O530" s="390">
        <f>IF(G530&gt;0, N530/G530, 0)</f>
        <v/>
      </c>
      <c r="P530" s="391" t="n">
        <v>0.1</v>
      </c>
      <c r="Q530" s="390">
        <f>O530*(1+P530)</f>
        <v/>
      </c>
      <c r="R530" s="390">
        <f>G530*Q530</f>
        <v/>
      </c>
      <c r="S530" t="inlineStr">
        <is>
          <t>Hàng thương mại</t>
        </is>
      </c>
    </row>
    <row r="531">
      <c r="A531" t="n">
        <v>530</v>
      </c>
      <c r="B531" t="inlineStr">
        <is>
          <t>SW-TRD-530</t>
        </is>
      </c>
      <c r="C531" t="inlineStr">
        <is>
          <t>THƯƠNG MẠI</t>
        </is>
      </c>
      <c r="D531" t="inlineStr">
        <is>
          <t>A1.1 Dàn lạnh</t>
        </is>
      </c>
      <c r="E531" t="inlineStr">
        <is>
          <t>-</t>
        </is>
      </c>
      <c r="F531" t="inlineStr">
        <is>
          <t>Bộ</t>
        </is>
      </c>
      <c r="G531" s="390" t="n">
        <v>6</v>
      </c>
      <c r="H531" s="390">
        <f>SUMIF('01_BOC_TACH_ONG'!B:B, B531, '01_BOC_TACH_ONG'!K:K)</f>
        <v/>
      </c>
      <c r="I531" s="390">
        <f>SUMIF('02_BOC_TACH_CUA'!B:B, B531, '02_BOC_TACH_CUA'!K:K)</f>
        <v/>
      </c>
      <c r="J531" s="390">
        <f>SUMIF('03_BOC_TACH_VAN'!B:B, B531, '03_BOC_TACH_VAN'!K:K)</f>
        <v/>
      </c>
      <c r="K531" s="390">
        <f>SUM(H531:J531)</f>
        <v/>
      </c>
      <c r="L531" s="390">
        <f>K531*0.00</f>
        <v/>
      </c>
      <c r="M531" s="390">
        <f>K531*0.02</f>
        <v/>
      </c>
      <c r="N531" s="390">
        <f>K531+L531+M531</f>
        <v/>
      </c>
      <c r="O531" s="390">
        <f>IF(G531&gt;0, N531/G531, 0)</f>
        <v/>
      </c>
      <c r="P531" s="391" t="n">
        <v>0.1</v>
      </c>
      <c r="Q531" s="390">
        <f>O531*(1+P531)</f>
        <v/>
      </c>
      <c r="R531" s="390">
        <f>G531*Q531</f>
        <v/>
      </c>
      <c r="S531" t="inlineStr">
        <is>
          <t>Hàng thương mại</t>
        </is>
      </c>
    </row>
    <row r="532">
      <c r="A532" t="n">
        <v>531</v>
      </c>
      <c r="B532" t="inlineStr">
        <is>
          <t>SW-TRD-531</t>
        </is>
      </c>
      <c r="C532" t="inlineStr">
        <is>
          <t>THƯƠNG MẠI</t>
        </is>
      </c>
      <c r="D532" t="inlineStr">
        <is>
          <t>A1.1 Dàn lạnh</t>
        </is>
      </c>
      <c r="E532" t="inlineStr">
        <is>
          <t>-</t>
        </is>
      </c>
      <c r="F532" t="inlineStr">
        <is>
          <t>Bộ</t>
        </is>
      </c>
      <c r="G532" s="390" t="n">
        <v>18</v>
      </c>
      <c r="H532" s="390">
        <f>SUMIF('01_BOC_TACH_ONG'!B:B, B532, '01_BOC_TACH_ONG'!K:K)</f>
        <v/>
      </c>
      <c r="I532" s="390">
        <f>SUMIF('02_BOC_TACH_CUA'!B:B, B532, '02_BOC_TACH_CUA'!K:K)</f>
        <v/>
      </c>
      <c r="J532" s="390">
        <f>SUMIF('03_BOC_TACH_VAN'!B:B, B532, '03_BOC_TACH_VAN'!K:K)</f>
        <v/>
      </c>
      <c r="K532" s="390">
        <f>SUM(H532:J532)</f>
        <v/>
      </c>
      <c r="L532" s="390">
        <f>K532*0.00</f>
        <v/>
      </c>
      <c r="M532" s="390">
        <f>K532*0.02</f>
        <v/>
      </c>
      <c r="N532" s="390">
        <f>K532+L532+M532</f>
        <v/>
      </c>
      <c r="O532" s="390">
        <f>IF(G532&gt;0, N532/G532, 0)</f>
        <v/>
      </c>
      <c r="P532" s="391" t="n">
        <v>0.1</v>
      </c>
      <c r="Q532" s="390">
        <f>O532*(1+P532)</f>
        <v/>
      </c>
      <c r="R532" s="390">
        <f>G532*Q532</f>
        <v/>
      </c>
      <c r="S532" t="inlineStr">
        <is>
          <t>Hàng thương mại</t>
        </is>
      </c>
    </row>
    <row r="533">
      <c r="A533" t="n">
        <v>532</v>
      </c>
      <c r="B533" t="inlineStr">
        <is>
          <t>SW-TRD-532</t>
        </is>
      </c>
      <c r="C533" t="inlineStr">
        <is>
          <t>THƯƠNG MẠI</t>
        </is>
      </c>
      <c r="D533" t="inlineStr">
        <is>
          <t>A1.1 Dàn nóng</t>
        </is>
      </c>
      <c r="E533" t="inlineStr">
        <is>
          <t>-</t>
        </is>
      </c>
      <c r="F533" t="inlineStr">
        <is>
          <t>Bộ</t>
        </is>
      </c>
      <c r="G533" s="390" t="n">
        <v>8</v>
      </c>
      <c r="H533" s="390">
        <f>SUMIF('01_BOC_TACH_ONG'!B:B, B533, '01_BOC_TACH_ONG'!K:K)</f>
        <v/>
      </c>
      <c r="I533" s="390">
        <f>SUMIF('02_BOC_TACH_CUA'!B:B, B533, '02_BOC_TACH_CUA'!K:K)</f>
        <v/>
      </c>
      <c r="J533" s="390">
        <f>SUMIF('03_BOC_TACH_VAN'!B:B, B533, '03_BOC_TACH_VAN'!K:K)</f>
        <v/>
      </c>
      <c r="K533" s="390">
        <f>SUM(H533:J533)</f>
        <v/>
      </c>
      <c r="L533" s="390">
        <f>K533*0.00</f>
        <v/>
      </c>
      <c r="M533" s="390">
        <f>K533*0.02</f>
        <v/>
      </c>
      <c r="N533" s="390">
        <f>K533+L533+M533</f>
        <v/>
      </c>
      <c r="O533" s="390">
        <f>IF(G533&gt;0, N533/G533, 0)</f>
        <v/>
      </c>
      <c r="P533" s="391" t="n">
        <v>0.1</v>
      </c>
      <c r="Q533" s="390">
        <f>O533*(1+P533)</f>
        <v/>
      </c>
      <c r="R533" s="390">
        <f>G533*Q533</f>
        <v/>
      </c>
      <c r="S533" t="inlineStr">
        <is>
          <t>Hàng thương mại</t>
        </is>
      </c>
    </row>
    <row r="534">
      <c r="A534" t="n">
        <v>533</v>
      </c>
      <c r="B534" t="inlineStr">
        <is>
          <t>SW-TRD-533</t>
        </is>
      </c>
      <c r="C534" t="inlineStr">
        <is>
          <t>THƯƠNG MẠI</t>
        </is>
      </c>
      <c r="D534" t="inlineStr">
        <is>
          <t>A1.1 Dàn lạnh</t>
        </is>
      </c>
      <c r="E534" t="inlineStr">
        <is>
          <t>-</t>
        </is>
      </c>
      <c r="F534" t="inlineStr">
        <is>
          <t>Bộ</t>
        </is>
      </c>
      <c r="G534" s="390" t="n">
        <v>8</v>
      </c>
      <c r="H534" s="390">
        <f>SUMIF('01_BOC_TACH_ONG'!B:B, B534, '01_BOC_TACH_ONG'!K:K)</f>
        <v/>
      </c>
      <c r="I534" s="390">
        <f>SUMIF('02_BOC_TACH_CUA'!B:B, B534, '02_BOC_TACH_CUA'!K:K)</f>
        <v/>
      </c>
      <c r="J534" s="390">
        <f>SUMIF('03_BOC_TACH_VAN'!B:B, B534, '03_BOC_TACH_VAN'!K:K)</f>
        <v/>
      </c>
      <c r="K534" s="390">
        <f>SUM(H534:J534)</f>
        <v/>
      </c>
      <c r="L534" s="390">
        <f>K534*0.00</f>
        <v/>
      </c>
      <c r="M534" s="390">
        <f>K534*0.02</f>
        <v/>
      </c>
      <c r="N534" s="390">
        <f>K534+L534+M534</f>
        <v/>
      </c>
      <c r="O534" s="390">
        <f>IF(G534&gt;0, N534/G534, 0)</f>
        <v/>
      </c>
      <c r="P534" s="391" t="n">
        <v>0.1</v>
      </c>
      <c r="Q534" s="390">
        <f>O534*(1+P534)</f>
        <v/>
      </c>
      <c r="R534" s="390">
        <f>G534*Q534</f>
        <v/>
      </c>
      <c r="S534" t="inlineStr">
        <is>
          <t>Hàng thương mại</t>
        </is>
      </c>
    </row>
    <row r="535">
      <c r="A535" t="n">
        <v>534</v>
      </c>
      <c r="B535" t="inlineStr">
        <is>
          <t>SW-TRD-534</t>
        </is>
      </c>
      <c r="C535" t="inlineStr">
        <is>
          <t>THƯƠNG MẠI</t>
        </is>
      </c>
      <c r="D535" t="inlineStr">
        <is>
          <t>A1.1 Dàn lạnh</t>
        </is>
      </c>
      <c r="E535" t="inlineStr">
        <is>
          <t>-</t>
        </is>
      </c>
      <c r="F535" t="inlineStr">
        <is>
          <t>Bộ</t>
        </is>
      </c>
      <c r="G535" s="390" t="n">
        <v>48</v>
      </c>
      <c r="H535" s="390">
        <f>SUMIF('01_BOC_TACH_ONG'!B:B, B535, '01_BOC_TACH_ONG'!K:K)</f>
        <v/>
      </c>
      <c r="I535" s="390">
        <f>SUMIF('02_BOC_TACH_CUA'!B:B, B535, '02_BOC_TACH_CUA'!K:K)</f>
        <v/>
      </c>
      <c r="J535" s="390">
        <f>SUMIF('03_BOC_TACH_VAN'!B:B, B535, '03_BOC_TACH_VAN'!K:K)</f>
        <v/>
      </c>
      <c r="K535" s="390">
        <f>SUM(H535:J535)</f>
        <v/>
      </c>
      <c r="L535" s="390">
        <f>K535*0.00</f>
        <v/>
      </c>
      <c r="M535" s="390">
        <f>K535*0.02</f>
        <v/>
      </c>
      <c r="N535" s="390">
        <f>K535+L535+M535</f>
        <v/>
      </c>
      <c r="O535" s="390">
        <f>IF(G535&gt;0, N535/G535, 0)</f>
        <v/>
      </c>
      <c r="P535" s="391" t="n">
        <v>0.1</v>
      </c>
      <c r="Q535" s="390">
        <f>O535*(1+P535)</f>
        <v/>
      </c>
      <c r="R535" s="390">
        <f>G535*Q535</f>
        <v/>
      </c>
      <c r="S535" t="inlineStr">
        <is>
          <t>Hàng thương mại</t>
        </is>
      </c>
    </row>
    <row r="536">
      <c r="A536" t="n">
        <v>535</v>
      </c>
      <c r="B536" t="inlineStr">
        <is>
          <t>SW-TRD-535</t>
        </is>
      </c>
      <c r="C536" t="inlineStr">
        <is>
          <t>THƯƠNG MẠI</t>
        </is>
      </c>
      <c r="D536" t="inlineStr">
        <is>
          <t>A1.1 Dàn nóng</t>
        </is>
      </c>
      <c r="E536" t="inlineStr">
        <is>
          <t>-</t>
        </is>
      </c>
      <c r="F536" t="inlineStr">
        <is>
          <t>Bộ</t>
        </is>
      </c>
      <c r="G536" s="390" t="n">
        <v>8</v>
      </c>
      <c r="H536" s="390">
        <f>SUMIF('01_BOC_TACH_ONG'!B:B, B536, '01_BOC_TACH_ONG'!K:K)</f>
        <v/>
      </c>
      <c r="I536" s="390">
        <f>SUMIF('02_BOC_TACH_CUA'!B:B, B536, '02_BOC_TACH_CUA'!K:K)</f>
        <v/>
      </c>
      <c r="J536" s="390">
        <f>SUMIF('03_BOC_TACH_VAN'!B:B, B536, '03_BOC_TACH_VAN'!K:K)</f>
        <v/>
      </c>
      <c r="K536" s="390">
        <f>SUM(H536:J536)</f>
        <v/>
      </c>
      <c r="L536" s="390">
        <f>K536*0.00</f>
        <v/>
      </c>
      <c r="M536" s="390">
        <f>K536*0.02</f>
        <v/>
      </c>
      <c r="N536" s="390">
        <f>K536+L536+M536</f>
        <v/>
      </c>
      <c r="O536" s="390">
        <f>IF(G536&gt;0, N536/G536, 0)</f>
        <v/>
      </c>
      <c r="P536" s="391" t="n">
        <v>0.1</v>
      </c>
      <c r="Q536" s="390">
        <f>O536*(1+P536)</f>
        <v/>
      </c>
      <c r="R536" s="390">
        <f>G536*Q536</f>
        <v/>
      </c>
      <c r="S536" t="inlineStr">
        <is>
          <t>Hàng thương mại</t>
        </is>
      </c>
    </row>
    <row r="537">
      <c r="A537" t="n">
        <v>536</v>
      </c>
      <c r="B537" t="inlineStr">
        <is>
          <t>SW-TRD-536</t>
        </is>
      </c>
      <c r="C537" t="inlineStr">
        <is>
          <t>THƯƠNG MẠI</t>
        </is>
      </c>
      <c r="D537" t="inlineStr">
        <is>
          <t>A1.1 Dàn lạnh</t>
        </is>
      </c>
      <c r="E537" t="inlineStr">
        <is>
          <t>-</t>
        </is>
      </c>
      <c r="F537" t="inlineStr">
        <is>
          <t>Bộ</t>
        </is>
      </c>
      <c r="G537" s="390" t="n">
        <v>8</v>
      </c>
      <c r="H537" s="390">
        <f>SUMIF('01_BOC_TACH_ONG'!B:B, B537, '01_BOC_TACH_ONG'!K:K)</f>
        <v/>
      </c>
      <c r="I537" s="390">
        <f>SUMIF('02_BOC_TACH_CUA'!B:B, B537, '02_BOC_TACH_CUA'!K:K)</f>
        <v/>
      </c>
      <c r="J537" s="390">
        <f>SUMIF('03_BOC_TACH_VAN'!B:B, B537, '03_BOC_TACH_VAN'!K:K)</f>
        <v/>
      </c>
      <c r="K537" s="390">
        <f>SUM(H537:J537)</f>
        <v/>
      </c>
      <c r="L537" s="390">
        <f>K537*0.00</f>
        <v/>
      </c>
      <c r="M537" s="390">
        <f>K537*0.02</f>
        <v/>
      </c>
      <c r="N537" s="390">
        <f>K537+L537+M537</f>
        <v/>
      </c>
      <c r="O537" s="390">
        <f>IF(G537&gt;0, N537/G537, 0)</f>
        <v/>
      </c>
      <c r="P537" s="391" t="n">
        <v>0.1</v>
      </c>
      <c r="Q537" s="390">
        <f>O537*(1+P537)</f>
        <v/>
      </c>
      <c r="R537" s="390">
        <f>G537*Q537</f>
        <v/>
      </c>
      <c r="S537" t="inlineStr">
        <is>
          <t>Hàng thương mại</t>
        </is>
      </c>
    </row>
    <row r="538">
      <c r="A538" t="n">
        <v>537</v>
      </c>
      <c r="B538" t="inlineStr">
        <is>
          <t>SW-TRD-537</t>
        </is>
      </c>
      <c r="C538" t="inlineStr">
        <is>
          <t>THƯƠNG MẠI</t>
        </is>
      </c>
      <c r="D538" t="inlineStr">
        <is>
          <t>A1.1 Dàn lạnh</t>
        </is>
      </c>
      <c r="E538" t="inlineStr">
        <is>
          <t>-</t>
        </is>
      </c>
      <c r="F538" t="inlineStr">
        <is>
          <t>Bộ</t>
        </is>
      </c>
      <c r="G538" s="390" t="n">
        <v>8</v>
      </c>
      <c r="H538" s="390">
        <f>SUMIF('01_BOC_TACH_ONG'!B:B, B538, '01_BOC_TACH_ONG'!K:K)</f>
        <v/>
      </c>
      <c r="I538" s="390">
        <f>SUMIF('02_BOC_TACH_CUA'!B:B, B538, '02_BOC_TACH_CUA'!K:K)</f>
        <v/>
      </c>
      <c r="J538" s="390">
        <f>SUMIF('03_BOC_TACH_VAN'!B:B, B538, '03_BOC_TACH_VAN'!K:K)</f>
        <v/>
      </c>
      <c r="K538" s="390">
        <f>SUM(H538:J538)</f>
        <v/>
      </c>
      <c r="L538" s="390">
        <f>K538*0.00</f>
        <v/>
      </c>
      <c r="M538" s="390">
        <f>K538*0.02</f>
        <v/>
      </c>
      <c r="N538" s="390">
        <f>K538+L538+M538</f>
        <v/>
      </c>
      <c r="O538" s="390">
        <f>IF(G538&gt;0, N538/G538, 0)</f>
        <v/>
      </c>
      <c r="P538" s="391" t="n">
        <v>0.1</v>
      </c>
      <c r="Q538" s="390">
        <f>O538*(1+P538)</f>
        <v/>
      </c>
      <c r="R538" s="390">
        <f>G538*Q538</f>
        <v/>
      </c>
      <c r="S538" t="inlineStr">
        <is>
          <t>Hàng thương mại</t>
        </is>
      </c>
    </row>
    <row r="539">
      <c r="A539" t="n">
        <v>538</v>
      </c>
      <c r="B539" t="inlineStr">
        <is>
          <t>SW-TRD-538</t>
        </is>
      </c>
      <c r="C539" t="inlineStr">
        <is>
          <t>THƯƠNG MẠI</t>
        </is>
      </c>
      <c r="D539" t="inlineStr">
        <is>
          <t>A1.1 Dàn lạnh</t>
        </is>
      </c>
      <c r="E539" t="inlineStr">
        <is>
          <t>-</t>
        </is>
      </c>
      <c r="F539" t="inlineStr">
        <is>
          <t>Bộ</t>
        </is>
      </c>
      <c r="G539" s="390" t="n">
        <v>16</v>
      </c>
      <c r="H539" s="390">
        <f>SUMIF('01_BOC_TACH_ONG'!B:B, B539, '01_BOC_TACH_ONG'!K:K)</f>
        <v/>
      </c>
      <c r="I539" s="390">
        <f>SUMIF('02_BOC_TACH_CUA'!B:B, B539, '02_BOC_TACH_CUA'!K:K)</f>
        <v/>
      </c>
      <c r="J539" s="390">
        <f>SUMIF('03_BOC_TACH_VAN'!B:B, B539, '03_BOC_TACH_VAN'!K:K)</f>
        <v/>
      </c>
      <c r="K539" s="390">
        <f>SUM(H539:J539)</f>
        <v/>
      </c>
      <c r="L539" s="390">
        <f>K539*0.00</f>
        <v/>
      </c>
      <c r="M539" s="390">
        <f>K539*0.02</f>
        <v/>
      </c>
      <c r="N539" s="390">
        <f>K539+L539+M539</f>
        <v/>
      </c>
      <c r="O539" s="390">
        <f>IF(G539&gt;0, N539/G539, 0)</f>
        <v/>
      </c>
      <c r="P539" s="391" t="n">
        <v>0.1</v>
      </c>
      <c r="Q539" s="390">
        <f>O539*(1+P539)</f>
        <v/>
      </c>
      <c r="R539" s="390">
        <f>G539*Q539</f>
        <v/>
      </c>
      <c r="S539" t="inlineStr">
        <is>
          <t>Hàng thương mại</t>
        </is>
      </c>
    </row>
    <row r="540">
      <c r="A540" t="n">
        <v>539</v>
      </c>
      <c r="B540" t="inlineStr">
        <is>
          <t>SW-TRD-539</t>
        </is>
      </c>
      <c r="C540" t="inlineStr">
        <is>
          <t>THƯƠNG MẠI</t>
        </is>
      </c>
      <c r="D540" t="inlineStr">
        <is>
          <t>A1.1 Dàn nóng</t>
        </is>
      </c>
      <c r="E540" t="inlineStr">
        <is>
          <t>-</t>
        </is>
      </c>
      <c r="F540" t="inlineStr">
        <is>
          <t>Bộ</t>
        </is>
      </c>
      <c r="G540" s="390" t="n">
        <v>1</v>
      </c>
      <c r="H540" s="390">
        <f>SUMIF('01_BOC_TACH_ONG'!B:B, B540, '01_BOC_TACH_ONG'!K:K)</f>
        <v/>
      </c>
      <c r="I540" s="390">
        <f>SUMIF('02_BOC_TACH_CUA'!B:B, B540, '02_BOC_TACH_CUA'!K:K)</f>
        <v/>
      </c>
      <c r="J540" s="390">
        <f>SUMIF('03_BOC_TACH_VAN'!B:B, B540, '03_BOC_TACH_VAN'!K:K)</f>
        <v/>
      </c>
      <c r="K540" s="390">
        <f>SUM(H540:J540)</f>
        <v/>
      </c>
      <c r="L540" s="390">
        <f>K540*0.00</f>
        <v/>
      </c>
      <c r="M540" s="390">
        <f>K540*0.02</f>
        <v/>
      </c>
      <c r="N540" s="390">
        <f>K540+L540+M540</f>
        <v/>
      </c>
      <c r="O540" s="390">
        <f>IF(G540&gt;0, N540/G540, 0)</f>
        <v/>
      </c>
      <c r="P540" s="391" t="n">
        <v>0.1</v>
      </c>
      <c r="Q540" s="390">
        <f>O540*(1+P540)</f>
        <v/>
      </c>
      <c r="R540" s="390">
        <f>G540*Q540</f>
        <v/>
      </c>
      <c r="S540" t="inlineStr">
        <is>
          <t>Hàng thương mại</t>
        </is>
      </c>
    </row>
    <row r="541">
      <c r="A541" t="n">
        <v>540</v>
      </c>
      <c r="B541" t="inlineStr">
        <is>
          <t>SW-TRD-540</t>
        </is>
      </c>
      <c r="C541" t="inlineStr">
        <is>
          <t>THƯƠNG MẠI</t>
        </is>
      </c>
      <c r="D541" t="inlineStr">
        <is>
          <t>A1.1 Dàn lạnh</t>
        </is>
      </c>
      <c r="E541" t="inlineStr">
        <is>
          <t>-</t>
        </is>
      </c>
      <c r="F541" t="inlineStr">
        <is>
          <t>Bộ</t>
        </is>
      </c>
      <c r="G541" s="390" t="n">
        <v>2</v>
      </c>
      <c r="H541" s="390">
        <f>SUMIF('01_BOC_TACH_ONG'!B:B, B541, '01_BOC_TACH_ONG'!K:K)</f>
        <v/>
      </c>
      <c r="I541" s="390">
        <f>SUMIF('02_BOC_TACH_CUA'!B:B, B541, '02_BOC_TACH_CUA'!K:K)</f>
        <v/>
      </c>
      <c r="J541" s="390">
        <f>SUMIF('03_BOC_TACH_VAN'!B:B, B541, '03_BOC_TACH_VAN'!K:K)</f>
        <v/>
      </c>
      <c r="K541" s="390">
        <f>SUM(H541:J541)</f>
        <v/>
      </c>
      <c r="L541" s="390">
        <f>K541*0.00</f>
        <v/>
      </c>
      <c r="M541" s="390">
        <f>K541*0.02</f>
        <v/>
      </c>
      <c r="N541" s="390">
        <f>K541+L541+M541</f>
        <v/>
      </c>
      <c r="O541" s="390">
        <f>IF(G541&gt;0, N541/G541, 0)</f>
        <v/>
      </c>
      <c r="P541" s="391" t="n">
        <v>0.1</v>
      </c>
      <c r="Q541" s="390">
        <f>O541*(1+P541)</f>
        <v/>
      </c>
      <c r="R541" s="390">
        <f>G541*Q541</f>
        <v/>
      </c>
      <c r="S541" t="inlineStr">
        <is>
          <t>Hàng thương mại</t>
        </is>
      </c>
    </row>
    <row r="542">
      <c r="A542" t="n">
        <v>541</v>
      </c>
      <c r="B542" t="inlineStr">
        <is>
          <t>SW-TRD-541</t>
        </is>
      </c>
      <c r="C542" t="inlineStr">
        <is>
          <t>THƯƠNG MẠI</t>
        </is>
      </c>
      <c r="D542" t="inlineStr">
        <is>
          <t>A1.1 Dàn lạnh</t>
        </is>
      </c>
      <c r="E542" t="inlineStr">
        <is>
          <t>-</t>
        </is>
      </c>
      <c r="F542" t="inlineStr">
        <is>
          <t>Bộ</t>
        </is>
      </c>
      <c r="G542" s="390" t="n">
        <v>1</v>
      </c>
      <c r="H542" s="390">
        <f>SUMIF('01_BOC_TACH_ONG'!B:B, B542, '01_BOC_TACH_ONG'!K:K)</f>
        <v/>
      </c>
      <c r="I542" s="390">
        <f>SUMIF('02_BOC_TACH_CUA'!B:B, B542, '02_BOC_TACH_CUA'!K:K)</f>
        <v/>
      </c>
      <c r="J542" s="390">
        <f>SUMIF('03_BOC_TACH_VAN'!B:B, B542, '03_BOC_TACH_VAN'!K:K)</f>
        <v/>
      </c>
      <c r="K542" s="390">
        <f>SUM(H542:J542)</f>
        <v/>
      </c>
      <c r="L542" s="390">
        <f>K542*0.00</f>
        <v/>
      </c>
      <c r="M542" s="390">
        <f>K542*0.02</f>
        <v/>
      </c>
      <c r="N542" s="390">
        <f>K542+L542+M542</f>
        <v/>
      </c>
      <c r="O542" s="390">
        <f>IF(G542&gt;0, N542/G542, 0)</f>
        <v/>
      </c>
      <c r="P542" s="391" t="n">
        <v>0.1</v>
      </c>
      <c r="Q542" s="390">
        <f>O542*(1+P542)</f>
        <v/>
      </c>
      <c r="R542" s="390">
        <f>G542*Q542</f>
        <v/>
      </c>
      <c r="S542" t="inlineStr">
        <is>
          <t>Hàng thương mại</t>
        </is>
      </c>
    </row>
    <row r="543">
      <c r="A543" t="n">
        <v>542</v>
      </c>
      <c r="B543" t="inlineStr">
        <is>
          <t>SW-TRD-542</t>
        </is>
      </c>
      <c r="C543" t="inlineStr">
        <is>
          <t>THƯƠNG MẠI</t>
        </is>
      </c>
      <c r="D543" t="inlineStr">
        <is>
          <t>A1.1 Dàn lạnh</t>
        </is>
      </c>
      <c r="E543" t="inlineStr">
        <is>
          <t>-</t>
        </is>
      </c>
      <c r="F543" t="inlineStr">
        <is>
          <t>Bộ</t>
        </is>
      </c>
      <c r="G543" s="390" t="n">
        <v>4</v>
      </c>
      <c r="H543" s="390">
        <f>SUMIF('01_BOC_TACH_ONG'!B:B, B543, '01_BOC_TACH_ONG'!K:K)</f>
        <v/>
      </c>
      <c r="I543" s="390">
        <f>SUMIF('02_BOC_TACH_CUA'!B:B, B543, '02_BOC_TACH_CUA'!K:K)</f>
        <v/>
      </c>
      <c r="J543" s="390">
        <f>SUMIF('03_BOC_TACH_VAN'!B:B, B543, '03_BOC_TACH_VAN'!K:K)</f>
        <v/>
      </c>
      <c r="K543" s="390">
        <f>SUM(H543:J543)</f>
        <v/>
      </c>
      <c r="L543" s="390">
        <f>K543*0.00</f>
        <v/>
      </c>
      <c r="M543" s="390">
        <f>K543*0.02</f>
        <v/>
      </c>
      <c r="N543" s="390">
        <f>K543+L543+M543</f>
        <v/>
      </c>
      <c r="O543" s="390">
        <f>IF(G543&gt;0, N543/G543, 0)</f>
        <v/>
      </c>
      <c r="P543" s="391" t="n">
        <v>0.1</v>
      </c>
      <c r="Q543" s="390">
        <f>O543*(1+P543)</f>
        <v/>
      </c>
      <c r="R543" s="390">
        <f>G543*Q543</f>
        <v/>
      </c>
      <c r="S543" t="inlineStr">
        <is>
          <t>Hàng thương mại</t>
        </is>
      </c>
    </row>
    <row r="544">
      <c r="A544" t="n">
        <v>543</v>
      </c>
      <c r="B544" t="inlineStr">
        <is>
          <t>SW-TRD-543</t>
        </is>
      </c>
      <c r="C544" t="inlineStr">
        <is>
          <t>THƯƠNG MẠI</t>
        </is>
      </c>
      <c r="D544" t="inlineStr">
        <is>
          <t>A1.1 Dàn nóng</t>
        </is>
      </c>
      <c r="E544" t="inlineStr">
        <is>
          <t>-</t>
        </is>
      </c>
      <c r="F544" t="inlineStr">
        <is>
          <t>Bộ</t>
        </is>
      </c>
      <c r="G544" s="390" t="n">
        <v>1</v>
      </c>
      <c r="H544" s="390">
        <f>SUMIF('01_BOC_TACH_ONG'!B:B, B544, '01_BOC_TACH_ONG'!K:K)</f>
        <v/>
      </c>
      <c r="I544" s="390">
        <f>SUMIF('02_BOC_TACH_CUA'!B:B, B544, '02_BOC_TACH_CUA'!K:K)</f>
        <v/>
      </c>
      <c r="J544" s="390">
        <f>SUMIF('03_BOC_TACH_VAN'!B:B, B544, '03_BOC_TACH_VAN'!K:K)</f>
        <v/>
      </c>
      <c r="K544" s="390">
        <f>SUM(H544:J544)</f>
        <v/>
      </c>
      <c r="L544" s="390">
        <f>K544*0.00</f>
        <v/>
      </c>
      <c r="M544" s="390">
        <f>K544*0.02</f>
        <v/>
      </c>
      <c r="N544" s="390">
        <f>K544+L544+M544</f>
        <v/>
      </c>
      <c r="O544" s="390">
        <f>IF(G544&gt;0, N544/G544, 0)</f>
        <v/>
      </c>
      <c r="P544" s="391" t="n">
        <v>0.1</v>
      </c>
      <c r="Q544" s="390">
        <f>O544*(1+P544)</f>
        <v/>
      </c>
      <c r="R544" s="390">
        <f>G544*Q544</f>
        <v/>
      </c>
      <c r="S544" t="inlineStr">
        <is>
          <t>Hàng thương mại</t>
        </is>
      </c>
    </row>
    <row r="545">
      <c r="A545" t="n">
        <v>544</v>
      </c>
      <c r="B545" t="inlineStr">
        <is>
          <t>SW-TRD-544</t>
        </is>
      </c>
      <c r="C545" t="inlineStr">
        <is>
          <t>THƯƠNG MẠI</t>
        </is>
      </c>
      <c r="D545" t="inlineStr">
        <is>
          <t>A1.1 Dàn lạnh</t>
        </is>
      </c>
      <c r="E545" t="inlineStr">
        <is>
          <t>-</t>
        </is>
      </c>
      <c r="F545" t="inlineStr">
        <is>
          <t>Bộ</t>
        </is>
      </c>
      <c r="G545" s="390" t="n">
        <v>2</v>
      </c>
      <c r="H545" s="390">
        <f>SUMIF('01_BOC_TACH_ONG'!B:B, B545, '01_BOC_TACH_ONG'!K:K)</f>
        <v/>
      </c>
      <c r="I545" s="390">
        <f>SUMIF('02_BOC_TACH_CUA'!B:B, B545, '02_BOC_TACH_CUA'!K:K)</f>
        <v/>
      </c>
      <c r="J545" s="390">
        <f>SUMIF('03_BOC_TACH_VAN'!B:B, B545, '03_BOC_TACH_VAN'!K:K)</f>
        <v/>
      </c>
      <c r="K545" s="390">
        <f>SUM(H545:J545)</f>
        <v/>
      </c>
      <c r="L545" s="390">
        <f>K545*0.00</f>
        <v/>
      </c>
      <c r="M545" s="390">
        <f>K545*0.02</f>
        <v/>
      </c>
      <c r="N545" s="390">
        <f>K545+L545+M545</f>
        <v/>
      </c>
      <c r="O545" s="390">
        <f>IF(G545&gt;0, N545/G545, 0)</f>
        <v/>
      </c>
      <c r="P545" s="391" t="n">
        <v>0.1</v>
      </c>
      <c r="Q545" s="390">
        <f>O545*(1+P545)</f>
        <v/>
      </c>
      <c r="R545" s="390">
        <f>G545*Q545</f>
        <v/>
      </c>
      <c r="S545" t="inlineStr">
        <is>
          <t>Hàng thương mại</t>
        </is>
      </c>
    </row>
    <row r="546">
      <c r="A546" t="n">
        <v>545</v>
      </c>
      <c r="B546" t="inlineStr">
        <is>
          <t>SW-TRD-545</t>
        </is>
      </c>
      <c r="C546" t="inlineStr">
        <is>
          <t>THƯƠNG MẠI</t>
        </is>
      </c>
      <c r="D546" t="inlineStr">
        <is>
          <t>A1.1 Dàn lạnh</t>
        </is>
      </c>
      <c r="E546" t="inlineStr">
        <is>
          <t>-</t>
        </is>
      </c>
      <c r="F546" t="inlineStr">
        <is>
          <t>Bộ</t>
        </is>
      </c>
      <c r="G546" s="390" t="n">
        <v>3</v>
      </c>
      <c r="H546" s="390">
        <f>SUMIF('01_BOC_TACH_ONG'!B:B, B546, '01_BOC_TACH_ONG'!K:K)</f>
        <v/>
      </c>
      <c r="I546" s="390">
        <f>SUMIF('02_BOC_TACH_CUA'!B:B, B546, '02_BOC_TACH_CUA'!K:K)</f>
        <v/>
      </c>
      <c r="J546" s="390">
        <f>SUMIF('03_BOC_TACH_VAN'!B:B, B546, '03_BOC_TACH_VAN'!K:K)</f>
        <v/>
      </c>
      <c r="K546" s="390">
        <f>SUM(H546:J546)</f>
        <v/>
      </c>
      <c r="L546" s="390">
        <f>K546*0.00</f>
        <v/>
      </c>
      <c r="M546" s="390">
        <f>K546*0.02</f>
        <v/>
      </c>
      <c r="N546" s="390">
        <f>K546+L546+M546</f>
        <v/>
      </c>
      <c r="O546" s="390">
        <f>IF(G546&gt;0, N546/G546, 0)</f>
        <v/>
      </c>
      <c r="P546" s="391" t="n">
        <v>0.1</v>
      </c>
      <c r="Q546" s="390">
        <f>O546*(1+P546)</f>
        <v/>
      </c>
      <c r="R546" s="390">
        <f>G546*Q546</f>
        <v/>
      </c>
      <c r="S546" t="inlineStr">
        <is>
          <t>Hàng thương mại</t>
        </is>
      </c>
    </row>
    <row r="547">
      <c r="A547" t="n">
        <v>546</v>
      </c>
      <c r="B547" t="inlineStr">
        <is>
          <t>SW-TRD-546</t>
        </is>
      </c>
      <c r="C547" t="inlineStr">
        <is>
          <t>THƯƠNG MẠI</t>
        </is>
      </c>
      <c r="D547" t="inlineStr">
        <is>
          <t>A1.1 Dàn lạnh</t>
        </is>
      </c>
      <c r="E547" t="inlineStr">
        <is>
          <t>-</t>
        </is>
      </c>
      <c r="F547" t="inlineStr">
        <is>
          <t>Bộ</t>
        </is>
      </c>
      <c r="G547" s="390" t="n">
        <v>2</v>
      </c>
      <c r="H547" s="390">
        <f>SUMIF('01_BOC_TACH_ONG'!B:B, B547, '01_BOC_TACH_ONG'!K:K)</f>
        <v/>
      </c>
      <c r="I547" s="390">
        <f>SUMIF('02_BOC_TACH_CUA'!B:B, B547, '02_BOC_TACH_CUA'!K:K)</f>
        <v/>
      </c>
      <c r="J547" s="390">
        <f>SUMIF('03_BOC_TACH_VAN'!B:B, B547, '03_BOC_TACH_VAN'!K:K)</f>
        <v/>
      </c>
      <c r="K547" s="390">
        <f>SUM(H547:J547)</f>
        <v/>
      </c>
      <c r="L547" s="390">
        <f>K547*0.00</f>
        <v/>
      </c>
      <c r="M547" s="390">
        <f>K547*0.02</f>
        <v/>
      </c>
      <c r="N547" s="390">
        <f>K547+L547+M547</f>
        <v/>
      </c>
      <c r="O547" s="390">
        <f>IF(G547&gt;0, N547/G547, 0)</f>
        <v/>
      </c>
      <c r="P547" s="391" t="n">
        <v>0.1</v>
      </c>
      <c r="Q547" s="390">
        <f>O547*(1+P547)</f>
        <v/>
      </c>
      <c r="R547" s="390">
        <f>G547*Q547</f>
        <v/>
      </c>
      <c r="S547" t="inlineStr">
        <is>
          <t>Hàng thương mại</t>
        </is>
      </c>
    </row>
    <row r="548">
      <c r="A548" t="n">
        <v>547</v>
      </c>
      <c r="B548" t="inlineStr">
        <is>
          <t>SW-TRD-547</t>
        </is>
      </c>
      <c r="C548" t="inlineStr">
        <is>
          <t>THƯƠNG MẠI</t>
        </is>
      </c>
      <c r="D548" t="inlineStr">
        <is>
          <t>A1.2 Dàn nóng</t>
        </is>
      </c>
      <c r="E548" t="inlineStr">
        <is>
          <t>-</t>
        </is>
      </c>
      <c r="F548" t="inlineStr">
        <is>
          <t>Bộ</t>
        </is>
      </c>
      <c r="G548" s="390" t="n">
        <v>5</v>
      </c>
      <c r="H548" s="390">
        <f>SUMIF('01_BOC_TACH_ONG'!B:B, B548, '01_BOC_TACH_ONG'!K:K)</f>
        <v/>
      </c>
      <c r="I548" s="390">
        <f>SUMIF('02_BOC_TACH_CUA'!B:B, B548, '02_BOC_TACH_CUA'!K:K)</f>
        <v/>
      </c>
      <c r="J548" s="390">
        <f>SUMIF('03_BOC_TACH_VAN'!B:B, B548, '03_BOC_TACH_VAN'!K:K)</f>
        <v/>
      </c>
      <c r="K548" s="390">
        <f>SUM(H548:J548)</f>
        <v/>
      </c>
      <c r="L548" s="390">
        <f>K548*0.00</f>
        <v/>
      </c>
      <c r="M548" s="390">
        <f>K548*0.02</f>
        <v/>
      </c>
      <c r="N548" s="390">
        <f>K548+L548+M548</f>
        <v/>
      </c>
      <c r="O548" s="390">
        <f>IF(G548&gt;0, N548/G548, 0)</f>
        <v/>
      </c>
      <c r="P548" s="391" t="n">
        <v>0.1</v>
      </c>
      <c r="Q548" s="390">
        <f>O548*(1+P548)</f>
        <v/>
      </c>
      <c r="R548" s="390">
        <f>G548*Q548</f>
        <v/>
      </c>
      <c r="S548" t="inlineStr">
        <is>
          <t>Hàng thương mại</t>
        </is>
      </c>
    </row>
    <row r="549">
      <c r="A549" t="n">
        <v>548</v>
      </c>
      <c r="B549" t="inlineStr">
        <is>
          <t>SW-TRD-548</t>
        </is>
      </c>
      <c r="C549" t="inlineStr">
        <is>
          <t>THƯƠNG MẠI</t>
        </is>
      </c>
      <c r="D549" t="inlineStr">
        <is>
          <t>A1.2 Dàn lạnh</t>
        </is>
      </c>
      <c r="E549" t="inlineStr">
        <is>
          <t>-</t>
        </is>
      </c>
      <c r="F549" t="inlineStr">
        <is>
          <t>Bộ</t>
        </is>
      </c>
      <c r="G549" s="390" t="n">
        <v>5</v>
      </c>
      <c r="H549" s="390">
        <f>SUMIF('01_BOC_TACH_ONG'!B:B, B549, '01_BOC_TACH_ONG'!K:K)</f>
        <v/>
      </c>
      <c r="I549" s="390">
        <f>SUMIF('02_BOC_TACH_CUA'!B:B, B549, '02_BOC_TACH_CUA'!K:K)</f>
        <v/>
      </c>
      <c r="J549" s="390">
        <f>SUMIF('03_BOC_TACH_VAN'!B:B, B549, '03_BOC_TACH_VAN'!K:K)</f>
        <v/>
      </c>
      <c r="K549" s="390">
        <f>SUM(H549:J549)</f>
        <v/>
      </c>
      <c r="L549" s="390">
        <f>K549*0.00</f>
        <v/>
      </c>
      <c r="M549" s="390">
        <f>K549*0.02</f>
        <v/>
      </c>
      <c r="N549" s="390">
        <f>K549+L549+M549</f>
        <v/>
      </c>
      <c r="O549" s="390">
        <f>IF(G549&gt;0, N549/G549, 0)</f>
        <v/>
      </c>
      <c r="P549" s="391" t="n">
        <v>0.1</v>
      </c>
      <c r="Q549" s="390">
        <f>O549*(1+P549)</f>
        <v/>
      </c>
      <c r="R549" s="390">
        <f>G549*Q549</f>
        <v/>
      </c>
      <c r="S549" t="inlineStr">
        <is>
          <t>Hàng thương mại</t>
        </is>
      </c>
    </row>
    <row r="550">
      <c r="A550" t="n">
        <v>549</v>
      </c>
      <c r="B550" t="inlineStr">
        <is>
          <t>SW-TRD-549</t>
        </is>
      </c>
      <c r="C550" t="inlineStr">
        <is>
          <t>THƯƠNG MẠI</t>
        </is>
      </c>
      <c r="D550" t="inlineStr">
        <is>
          <t>A1.2 Dàn lạnh</t>
        </is>
      </c>
      <c r="E550" t="inlineStr">
        <is>
          <t>-</t>
        </is>
      </c>
      <c r="F550" t="inlineStr">
        <is>
          <t>Bộ</t>
        </is>
      </c>
      <c r="G550" s="390" t="n">
        <v>5</v>
      </c>
      <c r="H550" s="390">
        <f>SUMIF('01_BOC_TACH_ONG'!B:B, B550, '01_BOC_TACH_ONG'!K:K)</f>
        <v/>
      </c>
      <c r="I550" s="390">
        <f>SUMIF('02_BOC_TACH_CUA'!B:B, B550, '02_BOC_TACH_CUA'!K:K)</f>
        <v/>
      </c>
      <c r="J550" s="390">
        <f>SUMIF('03_BOC_TACH_VAN'!B:B, B550, '03_BOC_TACH_VAN'!K:K)</f>
        <v/>
      </c>
      <c r="K550" s="390">
        <f>SUM(H550:J550)</f>
        <v/>
      </c>
      <c r="L550" s="390">
        <f>K550*0.00</f>
        <v/>
      </c>
      <c r="M550" s="390">
        <f>K550*0.02</f>
        <v/>
      </c>
      <c r="N550" s="390">
        <f>K550+L550+M550</f>
        <v/>
      </c>
      <c r="O550" s="390">
        <f>IF(G550&gt;0, N550/G550, 0)</f>
        <v/>
      </c>
      <c r="P550" s="391" t="n">
        <v>0.1</v>
      </c>
      <c r="Q550" s="390">
        <f>O550*(1+P550)</f>
        <v/>
      </c>
      <c r="R550" s="390">
        <f>G550*Q550</f>
        <v/>
      </c>
      <c r="S550" t="inlineStr">
        <is>
          <t>Hàng thương mại</t>
        </is>
      </c>
    </row>
    <row r="551">
      <c r="A551" t="n">
        <v>550</v>
      </c>
      <c r="B551" t="inlineStr">
        <is>
          <t>SW-TRD-550</t>
        </is>
      </c>
      <c r="C551" t="inlineStr">
        <is>
          <t>THƯƠNG MẠI</t>
        </is>
      </c>
      <c r="D551" t="inlineStr">
        <is>
          <t>A1.2 Dàn lạnh</t>
        </is>
      </c>
      <c r="E551" t="inlineStr">
        <is>
          <t>-</t>
        </is>
      </c>
      <c r="F551" t="inlineStr">
        <is>
          <t>Bộ</t>
        </is>
      </c>
      <c r="G551" s="390" t="n">
        <v>25</v>
      </c>
      <c r="H551" s="390">
        <f>SUMIF('01_BOC_TACH_ONG'!B:B, B551, '01_BOC_TACH_ONG'!K:K)</f>
        <v/>
      </c>
      <c r="I551" s="390">
        <f>SUMIF('02_BOC_TACH_CUA'!B:B, B551, '02_BOC_TACH_CUA'!K:K)</f>
        <v/>
      </c>
      <c r="J551" s="390">
        <f>SUMIF('03_BOC_TACH_VAN'!B:B, B551, '03_BOC_TACH_VAN'!K:K)</f>
        <v/>
      </c>
      <c r="K551" s="390">
        <f>SUM(H551:J551)</f>
        <v/>
      </c>
      <c r="L551" s="390">
        <f>K551*0.00</f>
        <v/>
      </c>
      <c r="M551" s="390">
        <f>K551*0.02</f>
        <v/>
      </c>
      <c r="N551" s="390">
        <f>K551+L551+M551</f>
        <v/>
      </c>
      <c r="O551" s="390">
        <f>IF(G551&gt;0, N551/G551, 0)</f>
        <v/>
      </c>
      <c r="P551" s="391" t="n">
        <v>0.1</v>
      </c>
      <c r="Q551" s="390">
        <f>O551*(1+P551)</f>
        <v/>
      </c>
      <c r="R551" s="390">
        <f>G551*Q551</f>
        <v/>
      </c>
      <c r="S551" t="inlineStr">
        <is>
          <t>Hàng thương mại</t>
        </is>
      </c>
    </row>
    <row r="552">
      <c r="A552" t="n">
        <v>551</v>
      </c>
      <c r="B552" t="inlineStr">
        <is>
          <t>SW-TRD-551</t>
        </is>
      </c>
      <c r="C552" t="inlineStr">
        <is>
          <t>THƯƠNG MẠI</t>
        </is>
      </c>
      <c r="D552" t="inlineStr">
        <is>
          <t>A1.2 Dàn nóng</t>
        </is>
      </c>
      <c r="E552" t="inlineStr">
        <is>
          <t>-</t>
        </is>
      </c>
      <c r="F552" t="inlineStr">
        <is>
          <t>Bộ</t>
        </is>
      </c>
      <c r="G552" s="390" t="n">
        <v>5</v>
      </c>
      <c r="H552" s="390">
        <f>SUMIF('01_BOC_TACH_ONG'!B:B, B552, '01_BOC_TACH_ONG'!K:K)</f>
        <v/>
      </c>
      <c r="I552" s="390">
        <f>SUMIF('02_BOC_TACH_CUA'!B:B, B552, '02_BOC_TACH_CUA'!K:K)</f>
        <v/>
      </c>
      <c r="J552" s="390">
        <f>SUMIF('03_BOC_TACH_VAN'!B:B, B552, '03_BOC_TACH_VAN'!K:K)</f>
        <v/>
      </c>
      <c r="K552" s="390">
        <f>SUM(H552:J552)</f>
        <v/>
      </c>
      <c r="L552" s="390">
        <f>K552*0.00</f>
        <v/>
      </c>
      <c r="M552" s="390">
        <f>K552*0.02</f>
        <v/>
      </c>
      <c r="N552" s="390">
        <f>K552+L552+M552</f>
        <v/>
      </c>
      <c r="O552" s="390">
        <f>IF(G552&gt;0, N552/G552, 0)</f>
        <v/>
      </c>
      <c r="P552" s="391" t="n">
        <v>0.1</v>
      </c>
      <c r="Q552" s="390">
        <f>O552*(1+P552)</f>
        <v/>
      </c>
      <c r="R552" s="390">
        <f>G552*Q552</f>
        <v/>
      </c>
      <c r="S552" t="inlineStr">
        <is>
          <t>Hàng thương mại</t>
        </is>
      </c>
    </row>
    <row r="553">
      <c r="A553" t="n">
        <v>552</v>
      </c>
      <c r="B553" t="inlineStr">
        <is>
          <t>SW-TRD-552</t>
        </is>
      </c>
      <c r="C553" t="inlineStr">
        <is>
          <t>THƯƠNG MẠI</t>
        </is>
      </c>
      <c r="D553" t="inlineStr">
        <is>
          <t>A1.2 Dàn lạnh</t>
        </is>
      </c>
      <c r="E553" t="inlineStr">
        <is>
          <t>-</t>
        </is>
      </c>
      <c r="F553" t="inlineStr">
        <is>
          <t>Bộ</t>
        </is>
      </c>
      <c r="G553" s="390" t="n">
        <v>5</v>
      </c>
      <c r="H553" s="390">
        <f>SUMIF('01_BOC_TACH_ONG'!B:B, B553, '01_BOC_TACH_ONG'!K:K)</f>
        <v/>
      </c>
      <c r="I553" s="390">
        <f>SUMIF('02_BOC_TACH_CUA'!B:B, B553, '02_BOC_TACH_CUA'!K:K)</f>
        <v/>
      </c>
      <c r="J553" s="390">
        <f>SUMIF('03_BOC_TACH_VAN'!B:B, B553, '03_BOC_TACH_VAN'!K:K)</f>
        <v/>
      </c>
      <c r="K553" s="390">
        <f>SUM(H553:J553)</f>
        <v/>
      </c>
      <c r="L553" s="390">
        <f>K553*0.00</f>
        <v/>
      </c>
      <c r="M553" s="390">
        <f>K553*0.02</f>
        <v/>
      </c>
      <c r="N553" s="390">
        <f>K553+L553+M553</f>
        <v/>
      </c>
      <c r="O553" s="390">
        <f>IF(G553&gt;0, N553/G553, 0)</f>
        <v/>
      </c>
      <c r="P553" s="391" t="n">
        <v>0.1</v>
      </c>
      <c r="Q553" s="390">
        <f>O553*(1+P553)</f>
        <v/>
      </c>
      <c r="R553" s="390">
        <f>G553*Q553</f>
        <v/>
      </c>
      <c r="S553" t="inlineStr">
        <is>
          <t>Hàng thương mại</t>
        </is>
      </c>
    </row>
    <row r="554">
      <c r="A554" t="n">
        <v>553</v>
      </c>
      <c r="B554" t="inlineStr">
        <is>
          <t>SW-TRD-553</t>
        </is>
      </c>
      <c r="C554" t="inlineStr">
        <is>
          <t>THƯƠNG MẠI</t>
        </is>
      </c>
      <c r="D554" t="inlineStr">
        <is>
          <t>A1.2 Dàn lạnh</t>
        </is>
      </c>
      <c r="E554" t="inlineStr">
        <is>
          <t>-</t>
        </is>
      </c>
      <c r="F554" t="inlineStr">
        <is>
          <t>Bộ</t>
        </is>
      </c>
      <c r="G554" s="390" t="n">
        <v>10</v>
      </c>
      <c r="H554" s="390">
        <f>SUMIF('01_BOC_TACH_ONG'!B:B, B554, '01_BOC_TACH_ONG'!K:K)</f>
        <v/>
      </c>
      <c r="I554" s="390">
        <f>SUMIF('02_BOC_TACH_CUA'!B:B, B554, '02_BOC_TACH_CUA'!K:K)</f>
        <v/>
      </c>
      <c r="J554" s="390">
        <f>SUMIF('03_BOC_TACH_VAN'!B:B, B554, '03_BOC_TACH_VAN'!K:K)</f>
        <v/>
      </c>
      <c r="K554" s="390">
        <f>SUM(H554:J554)</f>
        <v/>
      </c>
      <c r="L554" s="390">
        <f>K554*0.00</f>
        <v/>
      </c>
      <c r="M554" s="390">
        <f>K554*0.02</f>
        <v/>
      </c>
      <c r="N554" s="390">
        <f>K554+L554+M554</f>
        <v/>
      </c>
      <c r="O554" s="390">
        <f>IF(G554&gt;0, N554/G554, 0)</f>
        <v/>
      </c>
      <c r="P554" s="391" t="n">
        <v>0.1</v>
      </c>
      <c r="Q554" s="390">
        <f>O554*(1+P554)</f>
        <v/>
      </c>
      <c r="R554" s="390">
        <f>G554*Q554</f>
        <v/>
      </c>
      <c r="S554" t="inlineStr">
        <is>
          <t>Hàng thương mại</t>
        </is>
      </c>
    </row>
    <row r="555">
      <c r="A555" t="n">
        <v>554</v>
      </c>
      <c r="B555" t="inlineStr">
        <is>
          <t>SW-TRD-554</t>
        </is>
      </c>
      <c r="C555" t="inlineStr">
        <is>
          <t>THƯƠNG MẠI</t>
        </is>
      </c>
      <c r="D555" t="inlineStr">
        <is>
          <t>A1.2 Dàn lạnh</t>
        </is>
      </c>
      <c r="E555" t="inlineStr">
        <is>
          <t>-</t>
        </is>
      </c>
      <c r="F555" t="inlineStr">
        <is>
          <t>Bộ</t>
        </is>
      </c>
      <c r="G555" s="390" t="n">
        <v>20</v>
      </c>
      <c r="H555" s="390">
        <f>SUMIF('01_BOC_TACH_ONG'!B:B, B555, '01_BOC_TACH_ONG'!K:K)</f>
        <v/>
      </c>
      <c r="I555" s="390">
        <f>SUMIF('02_BOC_TACH_CUA'!B:B, B555, '02_BOC_TACH_CUA'!K:K)</f>
        <v/>
      </c>
      <c r="J555" s="390">
        <f>SUMIF('03_BOC_TACH_VAN'!B:B, B555, '03_BOC_TACH_VAN'!K:K)</f>
        <v/>
      </c>
      <c r="K555" s="390">
        <f>SUM(H555:J555)</f>
        <v/>
      </c>
      <c r="L555" s="390">
        <f>K555*0.00</f>
        <v/>
      </c>
      <c r="M555" s="390">
        <f>K555*0.02</f>
        <v/>
      </c>
      <c r="N555" s="390">
        <f>K555+L555+M555</f>
        <v/>
      </c>
      <c r="O555" s="390">
        <f>IF(G555&gt;0, N555/G555, 0)</f>
        <v/>
      </c>
      <c r="P555" s="391" t="n">
        <v>0.1</v>
      </c>
      <c r="Q555" s="390">
        <f>O555*(1+P555)</f>
        <v/>
      </c>
      <c r="R555" s="390">
        <f>G555*Q555</f>
        <v/>
      </c>
      <c r="S555" t="inlineStr">
        <is>
          <t>Hàng thương mại</t>
        </is>
      </c>
    </row>
    <row r="556">
      <c r="A556" t="n">
        <v>555</v>
      </c>
      <c r="B556" t="inlineStr">
        <is>
          <t>SW-TRD-555</t>
        </is>
      </c>
      <c r="C556" t="inlineStr">
        <is>
          <t>THƯƠNG MẠI</t>
        </is>
      </c>
      <c r="D556" t="inlineStr">
        <is>
          <t>A1.2 Dàn nóng</t>
        </is>
      </c>
      <c r="E556" t="inlineStr">
        <is>
          <t>-</t>
        </is>
      </c>
      <c r="F556" t="inlineStr">
        <is>
          <t>Bộ</t>
        </is>
      </c>
      <c r="G556" s="390" t="n">
        <v>5</v>
      </c>
      <c r="H556" s="390">
        <f>SUMIF('01_BOC_TACH_ONG'!B:B, B556, '01_BOC_TACH_ONG'!K:K)</f>
        <v/>
      </c>
      <c r="I556" s="390">
        <f>SUMIF('02_BOC_TACH_CUA'!B:B, B556, '02_BOC_TACH_CUA'!K:K)</f>
        <v/>
      </c>
      <c r="J556" s="390">
        <f>SUMIF('03_BOC_TACH_VAN'!B:B, B556, '03_BOC_TACH_VAN'!K:K)</f>
        <v/>
      </c>
      <c r="K556" s="390">
        <f>SUM(H556:J556)</f>
        <v/>
      </c>
      <c r="L556" s="390">
        <f>K556*0.00</f>
        <v/>
      </c>
      <c r="M556" s="390">
        <f>K556*0.02</f>
        <v/>
      </c>
      <c r="N556" s="390">
        <f>K556+L556+M556</f>
        <v/>
      </c>
      <c r="O556" s="390">
        <f>IF(G556&gt;0, N556/G556, 0)</f>
        <v/>
      </c>
      <c r="P556" s="391" t="n">
        <v>0.1</v>
      </c>
      <c r="Q556" s="390">
        <f>O556*(1+P556)</f>
        <v/>
      </c>
      <c r="R556" s="390">
        <f>G556*Q556</f>
        <v/>
      </c>
      <c r="S556" t="inlineStr">
        <is>
          <t>Hàng thương mại</t>
        </is>
      </c>
    </row>
    <row r="557">
      <c r="A557" t="n">
        <v>556</v>
      </c>
      <c r="B557" t="inlineStr">
        <is>
          <t>SW-TRD-556</t>
        </is>
      </c>
      <c r="C557" t="inlineStr">
        <is>
          <t>THƯƠNG MẠI</t>
        </is>
      </c>
      <c r="D557" t="inlineStr">
        <is>
          <t>A1.2 Dàn lạnh</t>
        </is>
      </c>
      <c r="E557" t="inlineStr">
        <is>
          <t>-</t>
        </is>
      </c>
      <c r="F557" t="inlineStr">
        <is>
          <t>Bộ</t>
        </is>
      </c>
      <c r="G557" s="390" t="n">
        <v>5</v>
      </c>
      <c r="H557" s="390">
        <f>SUMIF('01_BOC_TACH_ONG'!B:B, B557, '01_BOC_TACH_ONG'!K:K)</f>
        <v/>
      </c>
      <c r="I557" s="390">
        <f>SUMIF('02_BOC_TACH_CUA'!B:B, B557, '02_BOC_TACH_CUA'!K:K)</f>
        <v/>
      </c>
      <c r="J557" s="390">
        <f>SUMIF('03_BOC_TACH_VAN'!B:B, B557, '03_BOC_TACH_VAN'!K:K)</f>
        <v/>
      </c>
      <c r="K557" s="390">
        <f>SUM(H557:J557)</f>
        <v/>
      </c>
      <c r="L557" s="390">
        <f>K557*0.00</f>
        <v/>
      </c>
      <c r="M557" s="390">
        <f>K557*0.02</f>
        <v/>
      </c>
      <c r="N557" s="390">
        <f>K557+L557+M557</f>
        <v/>
      </c>
      <c r="O557" s="390">
        <f>IF(G557&gt;0, N557/G557, 0)</f>
        <v/>
      </c>
      <c r="P557" s="391" t="n">
        <v>0.1</v>
      </c>
      <c r="Q557" s="390">
        <f>O557*(1+P557)</f>
        <v/>
      </c>
      <c r="R557" s="390">
        <f>G557*Q557</f>
        <v/>
      </c>
      <c r="S557" t="inlineStr">
        <is>
          <t>Hàng thương mại</t>
        </is>
      </c>
    </row>
    <row r="558">
      <c r="A558" t="n">
        <v>557</v>
      </c>
      <c r="B558" t="inlineStr">
        <is>
          <t>SW-TRD-557</t>
        </is>
      </c>
      <c r="C558" t="inlineStr">
        <is>
          <t>THƯƠNG MẠI</t>
        </is>
      </c>
      <c r="D558" t="inlineStr">
        <is>
          <t>A1.2 Dàn lạnh</t>
        </is>
      </c>
      <c r="E558" t="inlineStr">
        <is>
          <t>-</t>
        </is>
      </c>
      <c r="F558" t="inlineStr">
        <is>
          <t>Bộ</t>
        </is>
      </c>
      <c r="G558" s="390" t="n">
        <v>5</v>
      </c>
      <c r="H558" s="390">
        <f>SUMIF('01_BOC_TACH_ONG'!B:B, B558, '01_BOC_TACH_ONG'!K:K)</f>
        <v/>
      </c>
      <c r="I558" s="390">
        <f>SUMIF('02_BOC_TACH_CUA'!B:B, B558, '02_BOC_TACH_CUA'!K:K)</f>
        <v/>
      </c>
      <c r="J558" s="390">
        <f>SUMIF('03_BOC_TACH_VAN'!B:B, B558, '03_BOC_TACH_VAN'!K:K)</f>
        <v/>
      </c>
      <c r="K558" s="390">
        <f>SUM(H558:J558)</f>
        <v/>
      </c>
      <c r="L558" s="390">
        <f>K558*0.00</f>
        <v/>
      </c>
      <c r="M558" s="390">
        <f>K558*0.02</f>
        <v/>
      </c>
      <c r="N558" s="390">
        <f>K558+L558+M558</f>
        <v/>
      </c>
      <c r="O558" s="390">
        <f>IF(G558&gt;0, N558/G558, 0)</f>
        <v/>
      </c>
      <c r="P558" s="391" t="n">
        <v>0.1</v>
      </c>
      <c r="Q558" s="390">
        <f>O558*(1+P558)</f>
        <v/>
      </c>
      <c r="R558" s="390">
        <f>G558*Q558</f>
        <v/>
      </c>
      <c r="S558" t="inlineStr">
        <is>
          <t>Hàng thương mại</t>
        </is>
      </c>
    </row>
    <row r="559">
      <c r="A559" t="n">
        <v>558</v>
      </c>
      <c r="B559" t="inlineStr">
        <is>
          <t>SW-TRD-558</t>
        </is>
      </c>
      <c r="C559" t="inlineStr">
        <is>
          <t>THƯƠNG MẠI</t>
        </is>
      </c>
      <c r="D559" t="inlineStr">
        <is>
          <t>A1.2 Dàn lạnh</t>
        </is>
      </c>
      <c r="E559" t="inlineStr">
        <is>
          <t>-</t>
        </is>
      </c>
      <c r="F559" t="inlineStr">
        <is>
          <t>Bộ</t>
        </is>
      </c>
      <c r="G559" s="390" t="n">
        <v>10</v>
      </c>
      <c r="H559" s="390">
        <f>SUMIF('01_BOC_TACH_ONG'!B:B, B559, '01_BOC_TACH_ONG'!K:K)</f>
        <v/>
      </c>
      <c r="I559" s="390">
        <f>SUMIF('02_BOC_TACH_CUA'!B:B, B559, '02_BOC_TACH_CUA'!K:K)</f>
        <v/>
      </c>
      <c r="J559" s="390">
        <f>SUMIF('03_BOC_TACH_VAN'!B:B, B559, '03_BOC_TACH_VAN'!K:K)</f>
        <v/>
      </c>
      <c r="K559" s="390">
        <f>SUM(H559:J559)</f>
        <v/>
      </c>
      <c r="L559" s="390">
        <f>K559*0.00</f>
        <v/>
      </c>
      <c r="M559" s="390">
        <f>K559*0.02</f>
        <v/>
      </c>
      <c r="N559" s="390">
        <f>K559+L559+M559</f>
        <v/>
      </c>
      <c r="O559" s="390">
        <f>IF(G559&gt;0, N559/G559, 0)</f>
        <v/>
      </c>
      <c r="P559" s="391" t="n">
        <v>0.1</v>
      </c>
      <c r="Q559" s="390">
        <f>O559*(1+P559)</f>
        <v/>
      </c>
      <c r="R559" s="390">
        <f>G559*Q559</f>
        <v/>
      </c>
      <c r="S559" t="inlineStr">
        <is>
          <t>Hàng thương mại</t>
        </is>
      </c>
    </row>
    <row r="560">
      <c r="A560" t="n">
        <v>559</v>
      </c>
      <c r="B560" t="inlineStr">
        <is>
          <t>SW-TRD-559</t>
        </is>
      </c>
      <c r="C560" t="inlineStr">
        <is>
          <t>THƯƠNG MẠI</t>
        </is>
      </c>
      <c r="D560" t="inlineStr">
        <is>
          <t>A1.2 Dàn nóng</t>
        </is>
      </c>
      <c r="E560" t="inlineStr">
        <is>
          <t>-</t>
        </is>
      </c>
      <c r="F560" t="inlineStr">
        <is>
          <t>Bộ</t>
        </is>
      </c>
      <c r="G560" s="390" t="n">
        <v>5</v>
      </c>
      <c r="H560" s="390">
        <f>SUMIF('01_BOC_TACH_ONG'!B:B, B560, '01_BOC_TACH_ONG'!K:K)</f>
        <v/>
      </c>
      <c r="I560" s="390">
        <f>SUMIF('02_BOC_TACH_CUA'!B:B, B560, '02_BOC_TACH_CUA'!K:K)</f>
        <v/>
      </c>
      <c r="J560" s="390">
        <f>SUMIF('03_BOC_TACH_VAN'!B:B, B560, '03_BOC_TACH_VAN'!K:K)</f>
        <v/>
      </c>
      <c r="K560" s="390">
        <f>SUM(H560:J560)</f>
        <v/>
      </c>
      <c r="L560" s="390">
        <f>K560*0.00</f>
        <v/>
      </c>
      <c r="M560" s="390">
        <f>K560*0.02</f>
        <v/>
      </c>
      <c r="N560" s="390">
        <f>K560+L560+M560</f>
        <v/>
      </c>
      <c r="O560" s="390">
        <f>IF(G560&gt;0, N560/G560, 0)</f>
        <v/>
      </c>
      <c r="P560" s="391" t="n">
        <v>0.1</v>
      </c>
      <c r="Q560" s="390">
        <f>O560*(1+P560)</f>
        <v/>
      </c>
      <c r="R560" s="390">
        <f>G560*Q560</f>
        <v/>
      </c>
      <c r="S560" t="inlineStr">
        <is>
          <t>Hàng thương mại</t>
        </is>
      </c>
    </row>
    <row r="561">
      <c r="A561" t="n">
        <v>560</v>
      </c>
      <c r="B561" t="inlineStr">
        <is>
          <t>SW-TRD-560</t>
        </is>
      </c>
      <c r="C561" t="inlineStr">
        <is>
          <t>THƯƠNG MẠI</t>
        </is>
      </c>
      <c r="D561" t="inlineStr">
        <is>
          <t>A1.2 Dàn lạnh</t>
        </is>
      </c>
      <c r="E561" t="inlineStr">
        <is>
          <t>-</t>
        </is>
      </c>
      <c r="F561" t="inlineStr">
        <is>
          <t>Bộ</t>
        </is>
      </c>
      <c r="G561" s="390" t="n">
        <v>5</v>
      </c>
      <c r="H561" s="390">
        <f>SUMIF('01_BOC_TACH_ONG'!B:B, B561, '01_BOC_TACH_ONG'!K:K)</f>
        <v/>
      </c>
      <c r="I561" s="390">
        <f>SUMIF('02_BOC_TACH_CUA'!B:B, B561, '02_BOC_TACH_CUA'!K:K)</f>
        <v/>
      </c>
      <c r="J561" s="390">
        <f>SUMIF('03_BOC_TACH_VAN'!B:B, B561, '03_BOC_TACH_VAN'!K:K)</f>
        <v/>
      </c>
      <c r="K561" s="390">
        <f>SUM(H561:J561)</f>
        <v/>
      </c>
      <c r="L561" s="390">
        <f>K561*0.00</f>
        <v/>
      </c>
      <c r="M561" s="390">
        <f>K561*0.02</f>
        <v/>
      </c>
      <c r="N561" s="390">
        <f>K561+L561+M561</f>
        <v/>
      </c>
      <c r="O561" s="390">
        <f>IF(G561&gt;0, N561/G561, 0)</f>
        <v/>
      </c>
      <c r="P561" s="391" t="n">
        <v>0.1</v>
      </c>
      <c r="Q561" s="390">
        <f>O561*(1+P561)</f>
        <v/>
      </c>
      <c r="R561" s="390">
        <f>G561*Q561</f>
        <v/>
      </c>
      <c r="S561" t="inlineStr">
        <is>
          <t>Hàng thương mại</t>
        </is>
      </c>
    </row>
    <row r="562">
      <c r="A562" t="n">
        <v>561</v>
      </c>
      <c r="B562" t="inlineStr">
        <is>
          <t>SW-TRD-561</t>
        </is>
      </c>
      <c r="C562" t="inlineStr">
        <is>
          <t>THƯƠNG MẠI</t>
        </is>
      </c>
      <c r="D562" t="inlineStr">
        <is>
          <t>A1.2 Dàn lạnh</t>
        </is>
      </c>
      <c r="E562" t="inlineStr">
        <is>
          <t>-</t>
        </is>
      </c>
      <c r="F562" t="inlineStr">
        <is>
          <t>Bộ</t>
        </is>
      </c>
      <c r="G562" s="390" t="n">
        <v>5</v>
      </c>
      <c r="H562" s="390">
        <f>SUMIF('01_BOC_TACH_ONG'!B:B, B562, '01_BOC_TACH_ONG'!K:K)</f>
        <v/>
      </c>
      <c r="I562" s="390">
        <f>SUMIF('02_BOC_TACH_CUA'!B:B, B562, '02_BOC_TACH_CUA'!K:K)</f>
        <v/>
      </c>
      <c r="J562" s="390">
        <f>SUMIF('03_BOC_TACH_VAN'!B:B, B562, '03_BOC_TACH_VAN'!K:K)</f>
        <v/>
      </c>
      <c r="K562" s="390">
        <f>SUM(H562:J562)</f>
        <v/>
      </c>
      <c r="L562" s="390">
        <f>K562*0.00</f>
        <v/>
      </c>
      <c r="M562" s="390">
        <f>K562*0.02</f>
        <v/>
      </c>
      <c r="N562" s="390">
        <f>K562+L562+M562</f>
        <v/>
      </c>
      <c r="O562" s="390">
        <f>IF(G562&gt;0, N562/G562, 0)</f>
        <v/>
      </c>
      <c r="P562" s="391" t="n">
        <v>0.1</v>
      </c>
      <c r="Q562" s="390">
        <f>O562*(1+P562)</f>
        <v/>
      </c>
      <c r="R562" s="390">
        <f>G562*Q562</f>
        <v/>
      </c>
      <c r="S562" t="inlineStr">
        <is>
          <t>Hàng thương mại</t>
        </is>
      </c>
    </row>
    <row r="563">
      <c r="A563" t="n">
        <v>562</v>
      </c>
      <c r="B563" t="inlineStr">
        <is>
          <t>SW-TRD-562</t>
        </is>
      </c>
      <c r="C563" t="inlineStr">
        <is>
          <t>THƯƠNG MẠI</t>
        </is>
      </c>
      <c r="D563" t="inlineStr">
        <is>
          <t>A1.2 Dàn lạnh</t>
        </is>
      </c>
      <c r="E563" t="inlineStr">
        <is>
          <t>-</t>
        </is>
      </c>
      <c r="F563" t="inlineStr">
        <is>
          <t>Bộ</t>
        </is>
      </c>
      <c r="G563" s="390" t="n">
        <v>5</v>
      </c>
      <c r="H563" s="390">
        <f>SUMIF('01_BOC_TACH_ONG'!B:B, B563, '01_BOC_TACH_ONG'!K:K)</f>
        <v/>
      </c>
      <c r="I563" s="390">
        <f>SUMIF('02_BOC_TACH_CUA'!B:B, B563, '02_BOC_TACH_CUA'!K:K)</f>
        <v/>
      </c>
      <c r="J563" s="390">
        <f>SUMIF('03_BOC_TACH_VAN'!B:B, B563, '03_BOC_TACH_VAN'!K:K)</f>
        <v/>
      </c>
      <c r="K563" s="390">
        <f>SUM(H563:J563)</f>
        <v/>
      </c>
      <c r="L563" s="390">
        <f>K563*0.00</f>
        <v/>
      </c>
      <c r="M563" s="390">
        <f>K563*0.02</f>
        <v/>
      </c>
      <c r="N563" s="390">
        <f>K563+L563+M563</f>
        <v/>
      </c>
      <c r="O563" s="390">
        <f>IF(G563&gt;0, N563/G563, 0)</f>
        <v/>
      </c>
      <c r="P563" s="391" t="n">
        <v>0.1</v>
      </c>
      <c r="Q563" s="390">
        <f>O563*(1+P563)</f>
        <v/>
      </c>
      <c r="R563" s="390">
        <f>G563*Q563</f>
        <v/>
      </c>
      <c r="S563" t="inlineStr">
        <is>
          <t>Hàng thương mại</t>
        </is>
      </c>
    </row>
    <row r="564">
      <c r="A564" t="n">
        <v>563</v>
      </c>
      <c r="B564" t="inlineStr">
        <is>
          <t>SW-TRD-563</t>
        </is>
      </c>
      <c r="C564" t="inlineStr">
        <is>
          <t>THƯƠNG MẠI</t>
        </is>
      </c>
      <c r="D564" t="inlineStr">
        <is>
          <t>A1.2 Dàn nóng</t>
        </is>
      </c>
      <c r="E564" t="inlineStr">
        <is>
          <t>-</t>
        </is>
      </c>
      <c r="F564" t="inlineStr">
        <is>
          <t>Bộ</t>
        </is>
      </c>
      <c r="G564" s="390" t="n">
        <v>5</v>
      </c>
      <c r="H564" s="390">
        <f>SUMIF('01_BOC_TACH_ONG'!B:B, B564, '01_BOC_TACH_ONG'!K:K)</f>
        <v/>
      </c>
      <c r="I564" s="390">
        <f>SUMIF('02_BOC_TACH_CUA'!B:B, B564, '02_BOC_TACH_CUA'!K:K)</f>
        <v/>
      </c>
      <c r="J564" s="390">
        <f>SUMIF('03_BOC_TACH_VAN'!B:B, B564, '03_BOC_TACH_VAN'!K:K)</f>
        <v/>
      </c>
      <c r="K564" s="390">
        <f>SUM(H564:J564)</f>
        <v/>
      </c>
      <c r="L564" s="390">
        <f>K564*0.00</f>
        <v/>
      </c>
      <c r="M564" s="390">
        <f>K564*0.02</f>
        <v/>
      </c>
      <c r="N564" s="390">
        <f>K564+L564+M564</f>
        <v/>
      </c>
      <c r="O564" s="390">
        <f>IF(G564&gt;0, N564/G564, 0)</f>
        <v/>
      </c>
      <c r="P564" s="391" t="n">
        <v>0.1</v>
      </c>
      <c r="Q564" s="390">
        <f>O564*(1+P564)</f>
        <v/>
      </c>
      <c r="R564" s="390">
        <f>G564*Q564</f>
        <v/>
      </c>
      <c r="S564" t="inlineStr">
        <is>
          <t>Hàng thương mại</t>
        </is>
      </c>
    </row>
    <row r="565">
      <c r="A565" t="n">
        <v>564</v>
      </c>
      <c r="B565" t="inlineStr">
        <is>
          <t>SW-TRD-564</t>
        </is>
      </c>
      <c r="C565" t="inlineStr">
        <is>
          <t>THƯƠNG MẠI</t>
        </is>
      </c>
      <c r="D565" t="inlineStr">
        <is>
          <t>A1.2 Dàn lạnh</t>
        </is>
      </c>
      <c r="E565" t="inlineStr">
        <is>
          <t>-</t>
        </is>
      </c>
      <c r="F565" t="inlineStr">
        <is>
          <t>Bộ</t>
        </is>
      </c>
      <c r="G565" s="390" t="n">
        <v>5</v>
      </c>
      <c r="H565" s="390">
        <f>SUMIF('01_BOC_TACH_ONG'!B:B, B565, '01_BOC_TACH_ONG'!K:K)</f>
        <v/>
      </c>
      <c r="I565" s="390">
        <f>SUMIF('02_BOC_TACH_CUA'!B:B, B565, '02_BOC_TACH_CUA'!K:K)</f>
        <v/>
      </c>
      <c r="J565" s="390">
        <f>SUMIF('03_BOC_TACH_VAN'!B:B, B565, '03_BOC_TACH_VAN'!K:K)</f>
        <v/>
      </c>
      <c r="K565" s="390">
        <f>SUM(H565:J565)</f>
        <v/>
      </c>
      <c r="L565" s="390">
        <f>K565*0.00</f>
        <v/>
      </c>
      <c r="M565" s="390">
        <f>K565*0.02</f>
        <v/>
      </c>
      <c r="N565" s="390">
        <f>K565+L565+M565</f>
        <v/>
      </c>
      <c r="O565" s="390">
        <f>IF(G565&gt;0, N565/G565, 0)</f>
        <v/>
      </c>
      <c r="P565" s="391" t="n">
        <v>0.1</v>
      </c>
      <c r="Q565" s="390">
        <f>O565*(1+P565)</f>
        <v/>
      </c>
      <c r="R565" s="390">
        <f>G565*Q565</f>
        <v/>
      </c>
      <c r="S565" t="inlineStr">
        <is>
          <t>Hàng thương mại</t>
        </is>
      </c>
    </row>
    <row r="566">
      <c r="A566" t="n">
        <v>565</v>
      </c>
      <c r="B566" t="inlineStr">
        <is>
          <t>SW-TRD-565</t>
        </is>
      </c>
      <c r="C566" t="inlineStr">
        <is>
          <t>THƯƠNG MẠI</t>
        </is>
      </c>
      <c r="D566" t="inlineStr">
        <is>
          <t>A1.2 Dàn lạnh</t>
        </is>
      </c>
      <c r="E566" t="inlineStr">
        <is>
          <t>-</t>
        </is>
      </c>
      <c r="F566" t="inlineStr">
        <is>
          <t>Bộ</t>
        </is>
      </c>
      <c r="G566" s="390" t="n">
        <v>5</v>
      </c>
      <c r="H566" s="390">
        <f>SUMIF('01_BOC_TACH_ONG'!B:B, B566, '01_BOC_TACH_ONG'!K:K)</f>
        <v/>
      </c>
      <c r="I566" s="390">
        <f>SUMIF('02_BOC_TACH_CUA'!B:B, B566, '02_BOC_TACH_CUA'!K:K)</f>
        <v/>
      </c>
      <c r="J566" s="390">
        <f>SUMIF('03_BOC_TACH_VAN'!B:B, B566, '03_BOC_TACH_VAN'!K:K)</f>
        <v/>
      </c>
      <c r="K566" s="390">
        <f>SUM(H566:J566)</f>
        <v/>
      </c>
      <c r="L566" s="390">
        <f>K566*0.00</f>
        <v/>
      </c>
      <c r="M566" s="390">
        <f>K566*0.02</f>
        <v/>
      </c>
      <c r="N566" s="390">
        <f>K566+L566+M566</f>
        <v/>
      </c>
      <c r="O566" s="390">
        <f>IF(G566&gt;0, N566/G566, 0)</f>
        <v/>
      </c>
      <c r="P566" s="391" t="n">
        <v>0.1</v>
      </c>
      <c r="Q566" s="390">
        <f>O566*(1+P566)</f>
        <v/>
      </c>
      <c r="R566" s="390">
        <f>G566*Q566</f>
        <v/>
      </c>
      <c r="S566" t="inlineStr">
        <is>
          <t>Hàng thương mại</t>
        </is>
      </c>
    </row>
    <row r="567">
      <c r="A567" t="n">
        <v>566</v>
      </c>
      <c r="B567" t="inlineStr">
        <is>
          <t>SW-TRD-566</t>
        </is>
      </c>
      <c r="C567" t="inlineStr">
        <is>
          <t>THƯƠNG MẠI</t>
        </is>
      </c>
      <c r="D567" t="inlineStr">
        <is>
          <t>A1.2 Dàn nóng</t>
        </is>
      </c>
      <c r="E567" t="inlineStr">
        <is>
          <t>-</t>
        </is>
      </c>
      <c r="F567" t="inlineStr">
        <is>
          <t>Bộ</t>
        </is>
      </c>
      <c r="G567" s="390" t="n">
        <v>5</v>
      </c>
      <c r="H567" s="390">
        <f>SUMIF('01_BOC_TACH_ONG'!B:B, B567, '01_BOC_TACH_ONG'!K:K)</f>
        <v/>
      </c>
      <c r="I567" s="390">
        <f>SUMIF('02_BOC_TACH_CUA'!B:B, B567, '02_BOC_TACH_CUA'!K:K)</f>
        <v/>
      </c>
      <c r="J567" s="390">
        <f>SUMIF('03_BOC_TACH_VAN'!B:B, B567, '03_BOC_TACH_VAN'!K:K)</f>
        <v/>
      </c>
      <c r="K567" s="390">
        <f>SUM(H567:J567)</f>
        <v/>
      </c>
      <c r="L567" s="390">
        <f>K567*0.00</f>
        <v/>
      </c>
      <c r="M567" s="390">
        <f>K567*0.02</f>
        <v/>
      </c>
      <c r="N567" s="390">
        <f>K567+L567+M567</f>
        <v/>
      </c>
      <c r="O567" s="390">
        <f>IF(G567&gt;0, N567/G567, 0)</f>
        <v/>
      </c>
      <c r="P567" s="391" t="n">
        <v>0.1</v>
      </c>
      <c r="Q567" s="390">
        <f>O567*(1+P567)</f>
        <v/>
      </c>
      <c r="R567" s="390">
        <f>G567*Q567</f>
        <v/>
      </c>
      <c r="S567" t="inlineStr">
        <is>
          <t>Hàng thương mại</t>
        </is>
      </c>
    </row>
    <row r="568">
      <c r="A568" t="n">
        <v>567</v>
      </c>
      <c r="B568" t="inlineStr">
        <is>
          <t>SW-TRD-567</t>
        </is>
      </c>
      <c r="C568" t="inlineStr">
        <is>
          <t>THƯƠNG MẠI</t>
        </is>
      </c>
      <c r="D568" t="inlineStr">
        <is>
          <t>A1.2 Dàn lạnh</t>
        </is>
      </c>
      <c r="E568" t="inlineStr">
        <is>
          <t>-</t>
        </is>
      </c>
      <c r="F568" t="inlineStr">
        <is>
          <t>Bộ</t>
        </is>
      </c>
      <c r="G568" s="390" t="n">
        <v>5</v>
      </c>
      <c r="H568" s="390">
        <f>SUMIF('01_BOC_TACH_ONG'!B:B, B568, '01_BOC_TACH_ONG'!K:K)</f>
        <v/>
      </c>
      <c r="I568" s="390">
        <f>SUMIF('02_BOC_TACH_CUA'!B:B, B568, '02_BOC_TACH_CUA'!K:K)</f>
        <v/>
      </c>
      <c r="J568" s="390">
        <f>SUMIF('03_BOC_TACH_VAN'!B:B, B568, '03_BOC_TACH_VAN'!K:K)</f>
        <v/>
      </c>
      <c r="K568" s="390">
        <f>SUM(H568:J568)</f>
        <v/>
      </c>
      <c r="L568" s="390">
        <f>K568*0.00</f>
        <v/>
      </c>
      <c r="M568" s="390">
        <f>K568*0.02</f>
        <v/>
      </c>
      <c r="N568" s="390">
        <f>K568+L568+M568</f>
        <v/>
      </c>
      <c r="O568" s="390">
        <f>IF(G568&gt;0, N568/G568, 0)</f>
        <v/>
      </c>
      <c r="P568" s="391" t="n">
        <v>0.1</v>
      </c>
      <c r="Q568" s="390">
        <f>O568*(1+P568)</f>
        <v/>
      </c>
      <c r="R568" s="390">
        <f>G568*Q568</f>
        <v/>
      </c>
      <c r="S568" t="inlineStr">
        <is>
          <t>Hàng thương mại</t>
        </is>
      </c>
    </row>
    <row r="569">
      <c r="A569" t="n">
        <v>568</v>
      </c>
      <c r="B569" t="inlineStr">
        <is>
          <t>SW-TRD-568</t>
        </is>
      </c>
      <c r="C569" t="inlineStr">
        <is>
          <t>THƯƠNG MẠI</t>
        </is>
      </c>
      <c r="D569" t="inlineStr">
        <is>
          <t>A1.2 Dàn lạnh</t>
        </is>
      </c>
      <c r="E569" t="inlineStr">
        <is>
          <t>-</t>
        </is>
      </c>
      <c r="F569" t="inlineStr">
        <is>
          <t>Bộ</t>
        </is>
      </c>
      <c r="G569" s="390" t="n">
        <v>10</v>
      </c>
      <c r="H569" s="390">
        <f>SUMIF('01_BOC_TACH_ONG'!B:B, B569, '01_BOC_TACH_ONG'!K:K)</f>
        <v/>
      </c>
      <c r="I569" s="390">
        <f>SUMIF('02_BOC_TACH_CUA'!B:B, B569, '02_BOC_TACH_CUA'!K:K)</f>
        <v/>
      </c>
      <c r="J569" s="390">
        <f>SUMIF('03_BOC_TACH_VAN'!B:B, B569, '03_BOC_TACH_VAN'!K:K)</f>
        <v/>
      </c>
      <c r="K569" s="390">
        <f>SUM(H569:J569)</f>
        <v/>
      </c>
      <c r="L569" s="390">
        <f>K569*0.00</f>
        <v/>
      </c>
      <c r="M569" s="390">
        <f>K569*0.02</f>
        <v/>
      </c>
      <c r="N569" s="390">
        <f>K569+L569+M569</f>
        <v/>
      </c>
      <c r="O569" s="390">
        <f>IF(G569&gt;0, N569/G569, 0)</f>
        <v/>
      </c>
      <c r="P569" s="391" t="n">
        <v>0.1</v>
      </c>
      <c r="Q569" s="390">
        <f>O569*(1+P569)</f>
        <v/>
      </c>
      <c r="R569" s="390">
        <f>G569*Q569</f>
        <v/>
      </c>
      <c r="S569" t="inlineStr">
        <is>
          <t>Hàng thương mại</t>
        </is>
      </c>
    </row>
    <row r="570">
      <c r="A570" t="n">
        <v>569</v>
      </c>
      <c r="B570" t="inlineStr">
        <is>
          <t>SW-TRD-569</t>
        </is>
      </c>
      <c r="C570" t="inlineStr">
        <is>
          <t>THƯƠNG MẠI</t>
        </is>
      </c>
      <c r="D570" t="inlineStr">
        <is>
          <t>A1.3 Dàn nóng</t>
        </is>
      </c>
      <c r="E570" t="inlineStr">
        <is>
          <t>-</t>
        </is>
      </c>
      <c r="F570" t="inlineStr">
        <is>
          <t>Bộ</t>
        </is>
      </c>
      <c r="G570" s="390" t="n">
        <v>4</v>
      </c>
      <c r="H570" s="390">
        <f>SUMIF('01_BOC_TACH_ONG'!B:B, B570, '01_BOC_TACH_ONG'!K:K)</f>
        <v/>
      </c>
      <c r="I570" s="390">
        <f>SUMIF('02_BOC_TACH_CUA'!B:B, B570, '02_BOC_TACH_CUA'!K:K)</f>
        <v/>
      </c>
      <c r="J570" s="390">
        <f>SUMIF('03_BOC_TACH_VAN'!B:B, B570, '03_BOC_TACH_VAN'!K:K)</f>
        <v/>
      </c>
      <c r="K570" s="390">
        <f>SUM(H570:J570)</f>
        <v/>
      </c>
      <c r="L570" s="390">
        <f>K570*0.00</f>
        <v/>
      </c>
      <c r="M570" s="390">
        <f>K570*0.02</f>
        <v/>
      </c>
      <c r="N570" s="390">
        <f>K570+L570+M570</f>
        <v/>
      </c>
      <c r="O570" s="390">
        <f>IF(G570&gt;0, N570/G570, 0)</f>
        <v/>
      </c>
      <c r="P570" s="391" t="n">
        <v>0.1</v>
      </c>
      <c r="Q570" s="390">
        <f>O570*(1+P570)</f>
        <v/>
      </c>
      <c r="R570" s="390">
        <f>G570*Q570</f>
        <v/>
      </c>
      <c r="S570" t="inlineStr">
        <is>
          <t>Hàng thương mại</t>
        </is>
      </c>
    </row>
    <row r="571">
      <c r="A571" t="n">
        <v>570</v>
      </c>
      <c r="B571" t="inlineStr">
        <is>
          <t>SW-TRD-570</t>
        </is>
      </c>
      <c r="C571" t="inlineStr">
        <is>
          <t>THƯƠNG MẠI</t>
        </is>
      </c>
      <c r="D571" t="inlineStr">
        <is>
          <t>A1.3 Dàn lạnh</t>
        </is>
      </c>
      <c r="E571" t="inlineStr">
        <is>
          <t>-</t>
        </is>
      </c>
      <c r="F571" t="inlineStr">
        <is>
          <t>Bộ</t>
        </is>
      </c>
      <c r="G571" s="390" t="n">
        <v>8</v>
      </c>
      <c r="H571" s="390">
        <f>SUMIF('01_BOC_TACH_ONG'!B:B, B571, '01_BOC_TACH_ONG'!K:K)</f>
        <v/>
      </c>
      <c r="I571" s="390">
        <f>SUMIF('02_BOC_TACH_CUA'!B:B, B571, '02_BOC_TACH_CUA'!K:K)</f>
        <v/>
      </c>
      <c r="J571" s="390">
        <f>SUMIF('03_BOC_TACH_VAN'!B:B, B571, '03_BOC_TACH_VAN'!K:K)</f>
        <v/>
      </c>
      <c r="K571" s="390">
        <f>SUM(H571:J571)</f>
        <v/>
      </c>
      <c r="L571" s="390">
        <f>K571*0.00</f>
        <v/>
      </c>
      <c r="M571" s="390">
        <f>K571*0.02</f>
        <v/>
      </c>
      <c r="N571" s="390">
        <f>K571+L571+M571</f>
        <v/>
      </c>
      <c r="O571" s="390">
        <f>IF(G571&gt;0, N571/G571, 0)</f>
        <v/>
      </c>
      <c r="P571" s="391" t="n">
        <v>0.1</v>
      </c>
      <c r="Q571" s="390">
        <f>O571*(1+P571)</f>
        <v/>
      </c>
      <c r="R571" s="390">
        <f>G571*Q571</f>
        <v/>
      </c>
      <c r="S571" t="inlineStr">
        <is>
          <t>Hàng thương mại</t>
        </is>
      </c>
    </row>
    <row r="572">
      <c r="A572" t="n">
        <v>571</v>
      </c>
      <c r="B572" t="inlineStr">
        <is>
          <t>SW-TRD-571</t>
        </is>
      </c>
      <c r="C572" t="inlineStr">
        <is>
          <t>THƯƠNG MẠI</t>
        </is>
      </c>
      <c r="D572" t="inlineStr">
        <is>
          <t>A1.3 Dàn lạnh</t>
        </is>
      </c>
      <c r="E572" t="inlineStr">
        <is>
          <t>-</t>
        </is>
      </c>
      <c r="F572" t="inlineStr">
        <is>
          <t>Bộ</t>
        </is>
      </c>
      <c r="G572" s="390" t="n">
        <v>12</v>
      </c>
      <c r="H572" s="390">
        <f>SUMIF('01_BOC_TACH_ONG'!B:B, B572, '01_BOC_TACH_ONG'!K:K)</f>
        <v/>
      </c>
      <c r="I572" s="390">
        <f>SUMIF('02_BOC_TACH_CUA'!B:B, B572, '02_BOC_TACH_CUA'!K:K)</f>
        <v/>
      </c>
      <c r="J572" s="390">
        <f>SUMIF('03_BOC_TACH_VAN'!B:B, B572, '03_BOC_TACH_VAN'!K:K)</f>
        <v/>
      </c>
      <c r="K572" s="390">
        <f>SUM(H572:J572)</f>
        <v/>
      </c>
      <c r="L572" s="390">
        <f>K572*0.00</f>
        <v/>
      </c>
      <c r="M572" s="390">
        <f>K572*0.02</f>
        <v/>
      </c>
      <c r="N572" s="390">
        <f>K572+L572+M572</f>
        <v/>
      </c>
      <c r="O572" s="390">
        <f>IF(G572&gt;0, N572/G572, 0)</f>
        <v/>
      </c>
      <c r="P572" s="391" t="n">
        <v>0.1</v>
      </c>
      <c r="Q572" s="390">
        <f>O572*(1+P572)</f>
        <v/>
      </c>
      <c r="R572" s="390">
        <f>G572*Q572</f>
        <v/>
      </c>
      <c r="S572" t="inlineStr">
        <is>
          <t>Hàng thương mại</t>
        </is>
      </c>
    </row>
    <row r="573">
      <c r="A573" t="n">
        <v>572</v>
      </c>
      <c r="B573" t="inlineStr">
        <is>
          <t>SW-TRD-572</t>
        </is>
      </c>
      <c r="C573" t="inlineStr">
        <is>
          <t>THƯƠNG MẠI</t>
        </is>
      </c>
      <c r="D573" t="inlineStr">
        <is>
          <t>A1.3 Dàn nóng</t>
        </is>
      </c>
      <c r="E573" t="inlineStr">
        <is>
          <t>-</t>
        </is>
      </c>
      <c r="F573" t="inlineStr">
        <is>
          <t>Bộ</t>
        </is>
      </c>
      <c r="G573" s="390" t="n">
        <v>4</v>
      </c>
      <c r="H573" s="390">
        <f>SUMIF('01_BOC_TACH_ONG'!B:B, B573, '01_BOC_TACH_ONG'!K:K)</f>
        <v/>
      </c>
      <c r="I573" s="390">
        <f>SUMIF('02_BOC_TACH_CUA'!B:B, B573, '02_BOC_TACH_CUA'!K:K)</f>
        <v/>
      </c>
      <c r="J573" s="390">
        <f>SUMIF('03_BOC_TACH_VAN'!B:B, B573, '03_BOC_TACH_VAN'!K:K)</f>
        <v/>
      </c>
      <c r="K573" s="390">
        <f>SUM(H573:J573)</f>
        <v/>
      </c>
      <c r="L573" s="390">
        <f>K573*0.00</f>
        <v/>
      </c>
      <c r="M573" s="390">
        <f>K573*0.02</f>
        <v/>
      </c>
      <c r="N573" s="390">
        <f>K573+L573+M573</f>
        <v/>
      </c>
      <c r="O573" s="390">
        <f>IF(G573&gt;0, N573/G573, 0)</f>
        <v/>
      </c>
      <c r="P573" s="391" t="n">
        <v>0.1</v>
      </c>
      <c r="Q573" s="390">
        <f>O573*(1+P573)</f>
        <v/>
      </c>
      <c r="R573" s="390">
        <f>G573*Q573</f>
        <v/>
      </c>
      <c r="S573" t="inlineStr">
        <is>
          <t>Hàng thương mại</t>
        </is>
      </c>
    </row>
    <row r="574">
      <c r="A574" t="n">
        <v>573</v>
      </c>
      <c r="B574" t="inlineStr">
        <is>
          <t>SW-TRD-573</t>
        </is>
      </c>
      <c r="C574" t="inlineStr">
        <is>
          <t>THƯƠNG MẠI</t>
        </is>
      </c>
      <c r="D574" t="inlineStr">
        <is>
          <t>A1.3 Dàn lạnh</t>
        </is>
      </c>
      <c r="E574" t="inlineStr">
        <is>
          <t>-</t>
        </is>
      </c>
      <c r="F574" t="inlineStr">
        <is>
          <t>Bộ</t>
        </is>
      </c>
      <c r="G574" s="390" t="n">
        <v>4</v>
      </c>
      <c r="H574" s="390">
        <f>SUMIF('01_BOC_TACH_ONG'!B:B, B574, '01_BOC_TACH_ONG'!K:K)</f>
        <v/>
      </c>
      <c r="I574" s="390">
        <f>SUMIF('02_BOC_TACH_CUA'!B:B, B574, '02_BOC_TACH_CUA'!K:K)</f>
        <v/>
      </c>
      <c r="J574" s="390">
        <f>SUMIF('03_BOC_TACH_VAN'!B:B, B574, '03_BOC_TACH_VAN'!K:K)</f>
        <v/>
      </c>
      <c r="K574" s="390">
        <f>SUM(H574:J574)</f>
        <v/>
      </c>
      <c r="L574" s="390">
        <f>K574*0.00</f>
        <v/>
      </c>
      <c r="M574" s="390">
        <f>K574*0.02</f>
        <v/>
      </c>
      <c r="N574" s="390">
        <f>K574+L574+M574</f>
        <v/>
      </c>
      <c r="O574" s="390">
        <f>IF(G574&gt;0, N574/G574, 0)</f>
        <v/>
      </c>
      <c r="P574" s="391" t="n">
        <v>0.1</v>
      </c>
      <c r="Q574" s="390">
        <f>O574*(1+P574)</f>
        <v/>
      </c>
      <c r="R574" s="390">
        <f>G574*Q574</f>
        <v/>
      </c>
      <c r="S574" t="inlineStr">
        <is>
          <t>Hàng thương mại</t>
        </is>
      </c>
    </row>
    <row r="575">
      <c r="A575" t="n">
        <v>574</v>
      </c>
      <c r="B575" t="inlineStr">
        <is>
          <t>SW-TRD-574</t>
        </is>
      </c>
      <c r="C575" t="inlineStr">
        <is>
          <t>THƯƠNG MẠI</t>
        </is>
      </c>
      <c r="D575" t="inlineStr">
        <is>
          <t>A1.3 Dàn lạnh</t>
        </is>
      </c>
      <c r="E575" t="inlineStr">
        <is>
          <t>-</t>
        </is>
      </c>
      <c r="F575" t="inlineStr">
        <is>
          <t>Bộ</t>
        </is>
      </c>
      <c r="G575" s="390" t="n">
        <v>12</v>
      </c>
      <c r="H575" s="390">
        <f>SUMIF('01_BOC_TACH_ONG'!B:B, B575, '01_BOC_TACH_ONG'!K:K)</f>
        <v/>
      </c>
      <c r="I575" s="390">
        <f>SUMIF('02_BOC_TACH_CUA'!B:B, B575, '02_BOC_TACH_CUA'!K:K)</f>
        <v/>
      </c>
      <c r="J575" s="390">
        <f>SUMIF('03_BOC_TACH_VAN'!B:B, B575, '03_BOC_TACH_VAN'!K:K)</f>
        <v/>
      </c>
      <c r="K575" s="390">
        <f>SUM(H575:J575)</f>
        <v/>
      </c>
      <c r="L575" s="390">
        <f>K575*0.00</f>
        <v/>
      </c>
      <c r="M575" s="390">
        <f>K575*0.02</f>
        <v/>
      </c>
      <c r="N575" s="390">
        <f>K575+L575+M575</f>
        <v/>
      </c>
      <c r="O575" s="390">
        <f>IF(G575&gt;0, N575/G575, 0)</f>
        <v/>
      </c>
      <c r="P575" s="391" t="n">
        <v>0.1</v>
      </c>
      <c r="Q575" s="390">
        <f>O575*(1+P575)</f>
        <v/>
      </c>
      <c r="R575" s="390">
        <f>G575*Q575</f>
        <v/>
      </c>
      <c r="S575" t="inlineStr">
        <is>
          <t>Hàng thương mại</t>
        </is>
      </c>
    </row>
    <row r="576">
      <c r="A576" t="n">
        <v>575</v>
      </c>
      <c r="B576" t="inlineStr">
        <is>
          <t>SW-TRD-575</t>
        </is>
      </c>
      <c r="C576" t="inlineStr">
        <is>
          <t>THƯƠNG MẠI</t>
        </is>
      </c>
      <c r="D576" t="inlineStr">
        <is>
          <t>A1.3 Dàn nóng</t>
        </is>
      </c>
      <c r="E576" t="inlineStr">
        <is>
          <t>-</t>
        </is>
      </c>
      <c r="F576" t="inlineStr">
        <is>
          <t>Bộ</t>
        </is>
      </c>
      <c r="G576" s="390" t="n">
        <v>4</v>
      </c>
      <c r="H576" s="390">
        <f>SUMIF('01_BOC_TACH_ONG'!B:B, B576, '01_BOC_TACH_ONG'!K:K)</f>
        <v/>
      </c>
      <c r="I576" s="390">
        <f>SUMIF('02_BOC_TACH_CUA'!B:B, B576, '02_BOC_TACH_CUA'!K:K)</f>
        <v/>
      </c>
      <c r="J576" s="390">
        <f>SUMIF('03_BOC_TACH_VAN'!B:B, B576, '03_BOC_TACH_VAN'!K:K)</f>
        <v/>
      </c>
      <c r="K576" s="390">
        <f>SUM(H576:J576)</f>
        <v/>
      </c>
      <c r="L576" s="390">
        <f>K576*0.00</f>
        <v/>
      </c>
      <c r="M576" s="390">
        <f>K576*0.02</f>
        <v/>
      </c>
      <c r="N576" s="390">
        <f>K576+L576+M576</f>
        <v/>
      </c>
      <c r="O576" s="390">
        <f>IF(G576&gt;0, N576/G576, 0)</f>
        <v/>
      </c>
      <c r="P576" s="391" t="n">
        <v>0.1</v>
      </c>
      <c r="Q576" s="390">
        <f>O576*(1+P576)</f>
        <v/>
      </c>
      <c r="R576" s="390">
        <f>G576*Q576</f>
        <v/>
      </c>
      <c r="S576" t="inlineStr">
        <is>
          <t>Hàng thương mại</t>
        </is>
      </c>
    </row>
    <row r="577">
      <c r="A577" t="n">
        <v>576</v>
      </c>
      <c r="B577" t="inlineStr">
        <is>
          <t>SW-TRD-576</t>
        </is>
      </c>
      <c r="C577" t="inlineStr">
        <is>
          <t>THƯƠNG MẠI</t>
        </is>
      </c>
      <c r="D577" t="inlineStr">
        <is>
          <t>A1.3 Dàn lạnh</t>
        </is>
      </c>
      <c r="E577" t="inlineStr">
        <is>
          <t>-</t>
        </is>
      </c>
      <c r="F577" t="inlineStr">
        <is>
          <t>Bộ</t>
        </is>
      </c>
      <c r="G577" s="390" t="n">
        <v>4</v>
      </c>
      <c r="H577" s="390">
        <f>SUMIF('01_BOC_TACH_ONG'!B:B, B577, '01_BOC_TACH_ONG'!K:K)</f>
        <v/>
      </c>
      <c r="I577" s="390">
        <f>SUMIF('02_BOC_TACH_CUA'!B:B, B577, '02_BOC_TACH_CUA'!K:K)</f>
        <v/>
      </c>
      <c r="J577" s="390">
        <f>SUMIF('03_BOC_TACH_VAN'!B:B, B577, '03_BOC_TACH_VAN'!K:K)</f>
        <v/>
      </c>
      <c r="K577" s="390">
        <f>SUM(H577:J577)</f>
        <v/>
      </c>
      <c r="L577" s="390">
        <f>K577*0.00</f>
        <v/>
      </c>
      <c r="M577" s="390">
        <f>K577*0.02</f>
        <v/>
      </c>
      <c r="N577" s="390">
        <f>K577+L577+M577</f>
        <v/>
      </c>
      <c r="O577" s="390">
        <f>IF(G577&gt;0, N577/G577, 0)</f>
        <v/>
      </c>
      <c r="P577" s="391" t="n">
        <v>0.1</v>
      </c>
      <c r="Q577" s="390">
        <f>O577*(1+P577)</f>
        <v/>
      </c>
      <c r="R577" s="390">
        <f>G577*Q577</f>
        <v/>
      </c>
      <c r="S577" t="inlineStr">
        <is>
          <t>Hàng thương mại</t>
        </is>
      </c>
    </row>
    <row r="578">
      <c r="A578" t="n">
        <v>577</v>
      </c>
      <c r="B578" t="inlineStr">
        <is>
          <t>SW-TRD-577</t>
        </is>
      </c>
      <c r="C578" t="inlineStr">
        <is>
          <t>THƯƠNG MẠI</t>
        </is>
      </c>
      <c r="D578" t="inlineStr">
        <is>
          <t>A1.3 Dàn lạnh</t>
        </is>
      </c>
      <c r="E578" t="inlineStr">
        <is>
          <t>-</t>
        </is>
      </c>
      <c r="F578" t="inlineStr">
        <is>
          <t>Bộ</t>
        </is>
      </c>
      <c r="G578" s="390" t="n">
        <v>8</v>
      </c>
      <c r="H578" s="390">
        <f>SUMIF('01_BOC_TACH_ONG'!B:B, B578, '01_BOC_TACH_ONG'!K:K)</f>
        <v/>
      </c>
      <c r="I578" s="390">
        <f>SUMIF('02_BOC_TACH_CUA'!B:B, B578, '02_BOC_TACH_CUA'!K:K)</f>
        <v/>
      </c>
      <c r="J578" s="390">
        <f>SUMIF('03_BOC_TACH_VAN'!B:B, B578, '03_BOC_TACH_VAN'!K:K)</f>
        <v/>
      </c>
      <c r="K578" s="390">
        <f>SUM(H578:J578)</f>
        <v/>
      </c>
      <c r="L578" s="390">
        <f>K578*0.00</f>
        <v/>
      </c>
      <c r="M578" s="390">
        <f>K578*0.02</f>
        <v/>
      </c>
      <c r="N578" s="390">
        <f>K578+L578+M578</f>
        <v/>
      </c>
      <c r="O578" s="390">
        <f>IF(G578&gt;0, N578/G578, 0)</f>
        <v/>
      </c>
      <c r="P578" s="391" t="n">
        <v>0.1</v>
      </c>
      <c r="Q578" s="390">
        <f>O578*(1+P578)</f>
        <v/>
      </c>
      <c r="R578" s="390">
        <f>G578*Q578</f>
        <v/>
      </c>
      <c r="S578" t="inlineStr">
        <is>
          <t>Hàng thương mại</t>
        </is>
      </c>
    </row>
    <row r="579">
      <c r="A579" t="n">
        <v>578</v>
      </c>
      <c r="B579" t="inlineStr">
        <is>
          <t>SW-TRD-578</t>
        </is>
      </c>
      <c r="C579" t="inlineStr">
        <is>
          <t>THƯƠNG MẠI</t>
        </is>
      </c>
      <c r="D579" t="inlineStr">
        <is>
          <t>A1.3 Dàn nóng</t>
        </is>
      </c>
      <c r="E579" t="inlineStr">
        <is>
          <t>-</t>
        </is>
      </c>
      <c r="F579" t="inlineStr">
        <is>
          <t>Bộ</t>
        </is>
      </c>
      <c r="G579" s="390" t="n">
        <v>2</v>
      </c>
      <c r="H579" s="390">
        <f>SUMIF('01_BOC_TACH_ONG'!B:B, B579, '01_BOC_TACH_ONG'!K:K)</f>
        <v/>
      </c>
      <c r="I579" s="390">
        <f>SUMIF('02_BOC_TACH_CUA'!B:B, B579, '02_BOC_TACH_CUA'!K:K)</f>
        <v/>
      </c>
      <c r="J579" s="390">
        <f>SUMIF('03_BOC_TACH_VAN'!B:B, B579, '03_BOC_TACH_VAN'!K:K)</f>
        <v/>
      </c>
      <c r="K579" s="390">
        <f>SUM(H579:J579)</f>
        <v/>
      </c>
      <c r="L579" s="390">
        <f>K579*0.00</f>
        <v/>
      </c>
      <c r="M579" s="390">
        <f>K579*0.02</f>
        <v/>
      </c>
      <c r="N579" s="390">
        <f>K579+L579+M579</f>
        <v/>
      </c>
      <c r="O579" s="390">
        <f>IF(G579&gt;0, N579/G579, 0)</f>
        <v/>
      </c>
      <c r="P579" s="391" t="n">
        <v>0.1</v>
      </c>
      <c r="Q579" s="390">
        <f>O579*(1+P579)</f>
        <v/>
      </c>
      <c r="R579" s="390">
        <f>G579*Q579</f>
        <v/>
      </c>
      <c r="S579" t="inlineStr">
        <is>
          <t>Hàng thương mại</t>
        </is>
      </c>
    </row>
    <row r="580">
      <c r="A580" t="n">
        <v>579</v>
      </c>
      <c r="B580" t="inlineStr">
        <is>
          <t>SW-TRD-579</t>
        </is>
      </c>
      <c r="C580" t="inlineStr">
        <is>
          <t>THƯƠNG MẠI</t>
        </is>
      </c>
      <c r="D580" t="inlineStr">
        <is>
          <t>A1.3 Dàn lạnh</t>
        </is>
      </c>
      <c r="E580" t="inlineStr">
        <is>
          <t>-</t>
        </is>
      </c>
      <c r="F580" t="inlineStr">
        <is>
          <t>Bộ</t>
        </is>
      </c>
      <c r="G580" s="390" t="n">
        <v>2</v>
      </c>
      <c r="H580" s="390">
        <f>SUMIF('01_BOC_TACH_ONG'!B:B, B580, '01_BOC_TACH_ONG'!K:K)</f>
        <v/>
      </c>
      <c r="I580" s="390">
        <f>SUMIF('02_BOC_TACH_CUA'!B:B, B580, '02_BOC_TACH_CUA'!K:K)</f>
        <v/>
      </c>
      <c r="J580" s="390">
        <f>SUMIF('03_BOC_TACH_VAN'!B:B, B580, '03_BOC_TACH_VAN'!K:K)</f>
        <v/>
      </c>
      <c r="K580" s="390">
        <f>SUM(H580:J580)</f>
        <v/>
      </c>
      <c r="L580" s="390">
        <f>K580*0.00</f>
        <v/>
      </c>
      <c r="M580" s="390">
        <f>K580*0.02</f>
        <v/>
      </c>
      <c r="N580" s="390">
        <f>K580+L580+M580</f>
        <v/>
      </c>
      <c r="O580" s="390">
        <f>IF(G580&gt;0, N580/G580, 0)</f>
        <v/>
      </c>
      <c r="P580" s="391" t="n">
        <v>0.1</v>
      </c>
      <c r="Q580" s="390">
        <f>O580*(1+P580)</f>
        <v/>
      </c>
      <c r="R580" s="390">
        <f>G580*Q580</f>
        <v/>
      </c>
      <c r="S580" t="inlineStr">
        <is>
          <t>Hàng thương mại</t>
        </is>
      </c>
    </row>
    <row r="581">
      <c r="A581" t="n">
        <v>580</v>
      </c>
      <c r="B581" t="inlineStr">
        <is>
          <t>SW-TRD-580</t>
        </is>
      </c>
      <c r="C581" t="inlineStr">
        <is>
          <t>THƯƠNG MẠI</t>
        </is>
      </c>
      <c r="D581" t="inlineStr">
        <is>
          <t>A1.3 Dàn lạnh</t>
        </is>
      </c>
      <c r="E581" t="inlineStr">
        <is>
          <t>-</t>
        </is>
      </c>
      <c r="F581" t="inlineStr">
        <is>
          <t>Bộ</t>
        </is>
      </c>
      <c r="G581" s="390" t="n">
        <v>4</v>
      </c>
      <c r="H581" s="390">
        <f>SUMIF('01_BOC_TACH_ONG'!B:B, B581, '01_BOC_TACH_ONG'!K:K)</f>
        <v/>
      </c>
      <c r="I581" s="390">
        <f>SUMIF('02_BOC_TACH_CUA'!B:B, B581, '02_BOC_TACH_CUA'!K:K)</f>
        <v/>
      </c>
      <c r="J581" s="390">
        <f>SUMIF('03_BOC_TACH_VAN'!B:B, B581, '03_BOC_TACH_VAN'!K:K)</f>
        <v/>
      </c>
      <c r="K581" s="390">
        <f>SUM(H581:J581)</f>
        <v/>
      </c>
      <c r="L581" s="390">
        <f>K581*0.00</f>
        <v/>
      </c>
      <c r="M581" s="390">
        <f>K581*0.02</f>
        <v/>
      </c>
      <c r="N581" s="390">
        <f>K581+L581+M581</f>
        <v/>
      </c>
      <c r="O581" s="390">
        <f>IF(G581&gt;0, N581/G581, 0)</f>
        <v/>
      </c>
      <c r="P581" s="391" t="n">
        <v>0.1</v>
      </c>
      <c r="Q581" s="390">
        <f>O581*(1+P581)</f>
        <v/>
      </c>
      <c r="R581" s="390">
        <f>G581*Q581</f>
        <v/>
      </c>
      <c r="S581" t="inlineStr">
        <is>
          <t>Hàng thương mại</t>
        </is>
      </c>
    </row>
    <row r="582">
      <c r="A582" t="n">
        <v>581</v>
      </c>
      <c r="B582" t="inlineStr">
        <is>
          <t>SW-TRD-581</t>
        </is>
      </c>
      <c r="C582" t="inlineStr">
        <is>
          <t>THƯƠNG MẠI</t>
        </is>
      </c>
      <c r="D582" t="inlineStr">
        <is>
          <t>A1.3 Dàn lạnh</t>
        </is>
      </c>
      <c r="E582" t="inlineStr">
        <is>
          <t>-</t>
        </is>
      </c>
      <c r="F582" t="inlineStr">
        <is>
          <t>Bộ</t>
        </is>
      </c>
      <c r="G582" s="390" t="n">
        <v>2</v>
      </c>
      <c r="H582" s="390">
        <f>SUMIF('01_BOC_TACH_ONG'!B:B, B582, '01_BOC_TACH_ONG'!K:K)</f>
        <v/>
      </c>
      <c r="I582" s="390">
        <f>SUMIF('02_BOC_TACH_CUA'!B:B, B582, '02_BOC_TACH_CUA'!K:K)</f>
        <v/>
      </c>
      <c r="J582" s="390">
        <f>SUMIF('03_BOC_TACH_VAN'!B:B, B582, '03_BOC_TACH_VAN'!K:K)</f>
        <v/>
      </c>
      <c r="K582" s="390">
        <f>SUM(H582:J582)</f>
        <v/>
      </c>
      <c r="L582" s="390">
        <f>K582*0.00</f>
        <v/>
      </c>
      <c r="M582" s="390">
        <f>K582*0.02</f>
        <v/>
      </c>
      <c r="N582" s="390">
        <f>K582+L582+M582</f>
        <v/>
      </c>
      <c r="O582" s="390">
        <f>IF(G582&gt;0, N582/G582, 0)</f>
        <v/>
      </c>
      <c r="P582" s="391" t="n">
        <v>0.1</v>
      </c>
      <c r="Q582" s="390">
        <f>O582*(1+P582)</f>
        <v/>
      </c>
      <c r="R582" s="390">
        <f>G582*Q582</f>
        <v/>
      </c>
      <c r="S582" t="inlineStr">
        <is>
          <t>Hàng thương mại</t>
        </is>
      </c>
    </row>
    <row r="583">
      <c r="A583" t="n">
        <v>582</v>
      </c>
      <c r="B583" t="inlineStr">
        <is>
          <t>SW-TRD-582</t>
        </is>
      </c>
      <c r="C583" t="inlineStr">
        <is>
          <t>THƯƠNG MẠI</t>
        </is>
      </c>
      <c r="D583" t="inlineStr">
        <is>
          <t>A1.3 Dàn nóng</t>
        </is>
      </c>
      <c r="E583" t="inlineStr">
        <is>
          <t>-</t>
        </is>
      </c>
      <c r="F583" t="inlineStr">
        <is>
          <t>Bộ</t>
        </is>
      </c>
      <c r="G583" s="390" t="n">
        <v>4</v>
      </c>
      <c r="H583" s="390">
        <f>SUMIF('01_BOC_TACH_ONG'!B:B, B583, '01_BOC_TACH_ONG'!K:K)</f>
        <v/>
      </c>
      <c r="I583" s="390">
        <f>SUMIF('02_BOC_TACH_CUA'!B:B, B583, '02_BOC_TACH_CUA'!K:K)</f>
        <v/>
      </c>
      <c r="J583" s="390">
        <f>SUMIF('03_BOC_TACH_VAN'!B:B, B583, '03_BOC_TACH_VAN'!K:K)</f>
        <v/>
      </c>
      <c r="K583" s="390">
        <f>SUM(H583:J583)</f>
        <v/>
      </c>
      <c r="L583" s="390">
        <f>K583*0.00</f>
        <v/>
      </c>
      <c r="M583" s="390">
        <f>K583*0.02</f>
        <v/>
      </c>
      <c r="N583" s="390">
        <f>K583+L583+M583</f>
        <v/>
      </c>
      <c r="O583" s="390">
        <f>IF(G583&gt;0, N583/G583, 0)</f>
        <v/>
      </c>
      <c r="P583" s="391" t="n">
        <v>0.1</v>
      </c>
      <c r="Q583" s="390">
        <f>O583*(1+P583)</f>
        <v/>
      </c>
      <c r="R583" s="390">
        <f>G583*Q583</f>
        <v/>
      </c>
      <c r="S583" t="inlineStr">
        <is>
          <t>Hàng thương mại</t>
        </is>
      </c>
    </row>
    <row r="584">
      <c r="A584" t="n">
        <v>583</v>
      </c>
      <c r="B584" t="inlineStr">
        <is>
          <t>SW-TRD-583</t>
        </is>
      </c>
      <c r="C584" t="inlineStr">
        <is>
          <t>THƯƠNG MẠI</t>
        </is>
      </c>
      <c r="D584" t="inlineStr">
        <is>
          <t>A1.3 Dàn lạnh</t>
        </is>
      </c>
      <c r="E584" t="inlineStr">
        <is>
          <t>-</t>
        </is>
      </c>
      <c r="F584" t="inlineStr">
        <is>
          <t>Bộ</t>
        </is>
      </c>
      <c r="G584" s="390" t="n">
        <v>4</v>
      </c>
      <c r="H584" s="390">
        <f>SUMIF('01_BOC_TACH_ONG'!B:B, B584, '01_BOC_TACH_ONG'!K:K)</f>
        <v/>
      </c>
      <c r="I584" s="390">
        <f>SUMIF('02_BOC_TACH_CUA'!B:B, B584, '02_BOC_TACH_CUA'!K:K)</f>
        <v/>
      </c>
      <c r="J584" s="390">
        <f>SUMIF('03_BOC_TACH_VAN'!B:B, B584, '03_BOC_TACH_VAN'!K:K)</f>
        <v/>
      </c>
      <c r="K584" s="390">
        <f>SUM(H584:J584)</f>
        <v/>
      </c>
      <c r="L584" s="390">
        <f>K584*0.00</f>
        <v/>
      </c>
      <c r="M584" s="390">
        <f>K584*0.02</f>
        <v/>
      </c>
      <c r="N584" s="390">
        <f>K584+L584+M584</f>
        <v/>
      </c>
      <c r="O584" s="390">
        <f>IF(G584&gt;0, N584/G584, 0)</f>
        <v/>
      </c>
      <c r="P584" s="391" t="n">
        <v>0.1</v>
      </c>
      <c r="Q584" s="390">
        <f>O584*(1+P584)</f>
        <v/>
      </c>
      <c r="R584" s="390">
        <f>G584*Q584</f>
        <v/>
      </c>
      <c r="S584" t="inlineStr">
        <is>
          <t>Hàng thương mại</t>
        </is>
      </c>
    </row>
    <row r="585">
      <c r="A585" t="n">
        <v>584</v>
      </c>
      <c r="B585" t="inlineStr">
        <is>
          <t>SW-TRD-584</t>
        </is>
      </c>
      <c r="C585" t="inlineStr">
        <is>
          <t>THƯƠNG MẠI</t>
        </is>
      </c>
      <c r="D585" t="inlineStr">
        <is>
          <t>A1.3 Dàn lạnh</t>
        </is>
      </c>
      <c r="E585" t="inlineStr">
        <is>
          <t>-</t>
        </is>
      </c>
      <c r="F585" t="inlineStr">
        <is>
          <t>Bộ</t>
        </is>
      </c>
      <c r="G585" s="390" t="n">
        <v>8</v>
      </c>
      <c r="H585" s="390">
        <f>SUMIF('01_BOC_TACH_ONG'!B:B, B585, '01_BOC_TACH_ONG'!K:K)</f>
        <v/>
      </c>
      <c r="I585" s="390">
        <f>SUMIF('02_BOC_TACH_CUA'!B:B, B585, '02_BOC_TACH_CUA'!K:K)</f>
        <v/>
      </c>
      <c r="J585" s="390">
        <f>SUMIF('03_BOC_TACH_VAN'!B:B, B585, '03_BOC_TACH_VAN'!K:K)</f>
        <v/>
      </c>
      <c r="K585" s="390">
        <f>SUM(H585:J585)</f>
        <v/>
      </c>
      <c r="L585" s="390">
        <f>K585*0.00</f>
        <v/>
      </c>
      <c r="M585" s="390">
        <f>K585*0.02</f>
        <v/>
      </c>
      <c r="N585" s="390">
        <f>K585+L585+M585</f>
        <v/>
      </c>
      <c r="O585" s="390">
        <f>IF(G585&gt;0, N585/G585, 0)</f>
        <v/>
      </c>
      <c r="P585" s="391" t="n">
        <v>0.1</v>
      </c>
      <c r="Q585" s="390">
        <f>O585*(1+P585)</f>
        <v/>
      </c>
      <c r="R585" s="390">
        <f>G585*Q585</f>
        <v/>
      </c>
      <c r="S585" t="inlineStr">
        <is>
          <t>Hàng thương mại</t>
        </is>
      </c>
    </row>
    <row r="586">
      <c r="A586" t="n">
        <v>585</v>
      </c>
      <c r="B586" t="inlineStr">
        <is>
          <t>SW-TRD-585</t>
        </is>
      </c>
      <c r="C586" t="inlineStr">
        <is>
          <t>THƯƠNG MẠI</t>
        </is>
      </c>
      <c r="D586" t="inlineStr">
        <is>
          <t>A1.3 Dàn nóng</t>
        </is>
      </c>
      <c r="E586" t="inlineStr">
        <is>
          <t>-</t>
        </is>
      </c>
      <c r="F586" t="inlineStr">
        <is>
          <t>Bộ</t>
        </is>
      </c>
      <c r="G586" s="390" t="n">
        <v>2</v>
      </c>
      <c r="H586" s="390">
        <f>SUMIF('01_BOC_TACH_ONG'!B:B, B586, '01_BOC_TACH_ONG'!K:K)</f>
        <v/>
      </c>
      <c r="I586" s="390">
        <f>SUMIF('02_BOC_TACH_CUA'!B:B, B586, '02_BOC_TACH_CUA'!K:K)</f>
        <v/>
      </c>
      <c r="J586" s="390">
        <f>SUMIF('03_BOC_TACH_VAN'!B:B, B586, '03_BOC_TACH_VAN'!K:K)</f>
        <v/>
      </c>
      <c r="K586" s="390">
        <f>SUM(H586:J586)</f>
        <v/>
      </c>
      <c r="L586" s="390">
        <f>K586*0.00</f>
        <v/>
      </c>
      <c r="M586" s="390">
        <f>K586*0.02</f>
        <v/>
      </c>
      <c r="N586" s="390">
        <f>K586+L586+M586</f>
        <v/>
      </c>
      <c r="O586" s="390">
        <f>IF(G586&gt;0, N586/G586, 0)</f>
        <v/>
      </c>
      <c r="P586" s="391" t="n">
        <v>0.1</v>
      </c>
      <c r="Q586" s="390">
        <f>O586*(1+P586)</f>
        <v/>
      </c>
      <c r="R586" s="390">
        <f>G586*Q586</f>
        <v/>
      </c>
      <c r="S586" t="inlineStr">
        <is>
          <t>Hàng thương mại</t>
        </is>
      </c>
    </row>
    <row r="587">
      <c r="A587" t="n">
        <v>586</v>
      </c>
      <c r="B587" t="inlineStr">
        <is>
          <t>SW-TRD-586</t>
        </is>
      </c>
      <c r="C587" t="inlineStr">
        <is>
          <t>THƯƠNG MẠI</t>
        </is>
      </c>
      <c r="D587" t="inlineStr">
        <is>
          <t>A1.3 Dàn lạnh</t>
        </is>
      </c>
      <c r="E587" t="inlineStr">
        <is>
          <t>-</t>
        </is>
      </c>
      <c r="F587" t="inlineStr">
        <is>
          <t>Bộ</t>
        </is>
      </c>
      <c r="G587" s="390" t="n">
        <v>2</v>
      </c>
      <c r="H587" s="390">
        <f>SUMIF('01_BOC_TACH_ONG'!B:B, B587, '01_BOC_TACH_ONG'!K:K)</f>
        <v/>
      </c>
      <c r="I587" s="390">
        <f>SUMIF('02_BOC_TACH_CUA'!B:B, B587, '02_BOC_TACH_CUA'!K:K)</f>
        <v/>
      </c>
      <c r="J587" s="390">
        <f>SUMIF('03_BOC_TACH_VAN'!B:B, B587, '03_BOC_TACH_VAN'!K:K)</f>
        <v/>
      </c>
      <c r="K587" s="390">
        <f>SUM(H587:J587)</f>
        <v/>
      </c>
      <c r="L587" s="390">
        <f>K587*0.00</f>
        <v/>
      </c>
      <c r="M587" s="390">
        <f>K587*0.02</f>
        <v/>
      </c>
      <c r="N587" s="390">
        <f>K587+L587+M587</f>
        <v/>
      </c>
      <c r="O587" s="390">
        <f>IF(G587&gt;0, N587/G587, 0)</f>
        <v/>
      </c>
      <c r="P587" s="391" t="n">
        <v>0.1</v>
      </c>
      <c r="Q587" s="390">
        <f>O587*(1+P587)</f>
        <v/>
      </c>
      <c r="R587" s="390">
        <f>G587*Q587</f>
        <v/>
      </c>
      <c r="S587" t="inlineStr">
        <is>
          <t>Hàng thương mại</t>
        </is>
      </c>
    </row>
    <row r="588">
      <c r="A588" t="n">
        <v>587</v>
      </c>
      <c r="B588" t="inlineStr">
        <is>
          <t>SW-TRD-587</t>
        </is>
      </c>
      <c r="C588" t="inlineStr">
        <is>
          <t>THƯƠNG MẠI</t>
        </is>
      </c>
      <c r="D588" t="inlineStr">
        <is>
          <t>A1.3 Dàn lạnh</t>
        </is>
      </c>
      <c r="E588" t="inlineStr">
        <is>
          <t>-</t>
        </is>
      </c>
      <c r="F588" t="inlineStr">
        <is>
          <t>Bộ</t>
        </is>
      </c>
      <c r="G588" s="390" t="n">
        <v>6</v>
      </c>
      <c r="H588" s="390">
        <f>SUMIF('01_BOC_TACH_ONG'!B:B, B588, '01_BOC_TACH_ONG'!K:K)</f>
        <v/>
      </c>
      <c r="I588" s="390">
        <f>SUMIF('02_BOC_TACH_CUA'!B:B, B588, '02_BOC_TACH_CUA'!K:K)</f>
        <v/>
      </c>
      <c r="J588" s="390">
        <f>SUMIF('03_BOC_TACH_VAN'!B:B, B588, '03_BOC_TACH_VAN'!K:K)</f>
        <v/>
      </c>
      <c r="K588" s="390">
        <f>SUM(H588:J588)</f>
        <v/>
      </c>
      <c r="L588" s="390">
        <f>K588*0.00</f>
        <v/>
      </c>
      <c r="M588" s="390">
        <f>K588*0.02</f>
        <v/>
      </c>
      <c r="N588" s="390">
        <f>K588+L588+M588</f>
        <v/>
      </c>
      <c r="O588" s="390">
        <f>IF(G588&gt;0, N588/G588, 0)</f>
        <v/>
      </c>
      <c r="P588" s="391" t="n">
        <v>0.1</v>
      </c>
      <c r="Q588" s="390">
        <f>O588*(1+P588)</f>
        <v/>
      </c>
      <c r="R588" s="390">
        <f>G588*Q588</f>
        <v/>
      </c>
      <c r="S588" t="inlineStr">
        <is>
          <t>Hàng thương mại</t>
        </is>
      </c>
    </row>
    <row r="589">
      <c r="A589" t="n">
        <v>588</v>
      </c>
      <c r="B589" t="inlineStr">
        <is>
          <t>SW-TRD-588</t>
        </is>
      </c>
      <c r="C589" t="inlineStr">
        <is>
          <t>THƯƠNG MẠI</t>
        </is>
      </c>
      <c r="D589" t="inlineStr">
        <is>
          <t>Dàn lạnh Điều khiển nhiệt độ (có dây)</t>
        </is>
      </c>
      <c r="E589" t="inlineStr">
        <is>
          <t>-</t>
        </is>
      </c>
      <c r="F589" t="inlineStr">
        <is>
          <t>Bộ</t>
        </is>
      </c>
      <c r="G589" s="390" t="n">
        <v>350</v>
      </c>
      <c r="H589" s="390">
        <f>SUMIF('01_BOC_TACH_ONG'!B:B, B589, '01_BOC_TACH_ONG'!K:K)</f>
        <v/>
      </c>
      <c r="I589" s="390">
        <f>SUMIF('02_BOC_TACH_CUA'!B:B, B589, '02_BOC_TACH_CUA'!K:K)</f>
        <v/>
      </c>
      <c r="J589" s="390">
        <f>SUMIF('03_BOC_TACH_VAN'!B:B, B589, '03_BOC_TACH_VAN'!K:K)</f>
        <v/>
      </c>
      <c r="K589" s="390">
        <f>SUM(H589:J589)</f>
        <v/>
      </c>
      <c r="L589" s="390">
        <f>K589*0.00</f>
        <v/>
      </c>
      <c r="M589" s="390">
        <f>K589*0.02</f>
        <v/>
      </c>
      <c r="N589" s="390">
        <f>K589+L589+M589</f>
        <v/>
      </c>
      <c r="O589" s="390">
        <f>IF(G589&gt;0, N589/G589, 0)</f>
        <v/>
      </c>
      <c r="P589" s="391" t="n">
        <v>0.1</v>
      </c>
      <c r="Q589" s="390">
        <f>O589*(1+P589)</f>
        <v/>
      </c>
      <c r="R589" s="390">
        <f>G589*Q589</f>
        <v/>
      </c>
      <c r="S589" t="inlineStr">
        <is>
          <t>Hàng thương mại</t>
        </is>
      </c>
    </row>
    <row r="590">
      <c r="A590" t="n">
        <v>589</v>
      </c>
      <c r="B590" t="inlineStr">
        <is>
          <t>SW-TRD-589</t>
        </is>
      </c>
      <c r="C590" t="inlineStr">
        <is>
          <t>THƯƠNG MẠI</t>
        </is>
      </c>
      <c r="D590" t="inlineStr">
        <is>
          <t>Dàn lạnh Vật tư phụ, phụ kiện</t>
        </is>
      </c>
      <c r="E590" t="inlineStr">
        <is>
          <t>-</t>
        </is>
      </c>
      <c r="F590" t="inlineStr">
        <is>
          <t>Lô</t>
        </is>
      </c>
      <c r="G590" s="390" t="n">
        <v>1</v>
      </c>
      <c r="H590" s="390">
        <f>SUMIF('01_BOC_TACH_ONG'!B:B, B590, '01_BOC_TACH_ONG'!K:K)</f>
        <v/>
      </c>
      <c r="I590" s="390">
        <f>SUMIF('02_BOC_TACH_CUA'!B:B, B590, '02_BOC_TACH_CUA'!K:K)</f>
        <v/>
      </c>
      <c r="J590" s="390">
        <f>SUMIF('03_BOC_TACH_VAN'!B:B, B590, '03_BOC_TACH_VAN'!K:K)</f>
        <v/>
      </c>
      <c r="K590" s="390">
        <f>SUM(H590:J590)</f>
        <v/>
      </c>
      <c r="L590" s="390">
        <f>K590*0.00</f>
        <v/>
      </c>
      <c r="M590" s="390">
        <f>K590*0.02</f>
        <v/>
      </c>
      <c r="N590" s="390">
        <f>K590+L590+M590</f>
        <v/>
      </c>
      <c r="O590" s="390">
        <f>IF(G590&gt;0, N590/G590, 0)</f>
        <v/>
      </c>
      <c r="P590" s="391" t="n">
        <v>0.1</v>
      </c>
      <c r="Q590" s="390">
        <f>O590*(1+P590)</f>
        <v/>
      </c>
      <c r="R590" s="390">
        <f>G590*Q590</f>
        <v/>
      </c>
      <c r="S590" t="inlineStr">
        <is>
          <t>Hàng thương mại</t>
        </is>
      </c>
    </row>
    <row r="591">
      <c r="A591" t="n">
        <v>590</v>
      </c>
      <c r="B591" t="inlineStr">
        <is>
          <t>SW-ACST-590</t>
        </is>
      </c>
      <c r="C591" t="inlineStr">
        <is>
          <t>VÁCH NGĂN / HỘP TIÊU ÂM</t>
        </is>
      </c>
      <c r="D591" t="inlineStr">
        <is>
          <t>MIỆNG GIÓ (CHỜ CẬP NHẬT ID) Box gió cấp và box gió hồi máy lạnh kèm tiêu âm dày 25mm 9.0 kW</t>
        </is>
      </c>
      <c r="E591" t="inlineStr">
        <is>
          <t>-</t>
        </is>
      </c>
      <c r="F591" t="inlineStr">
        <is>
          <t>Bộ</t>
        </is>
      </c>
      <c r="G591" s="390" t="n">
        <v>21</v>
      </c>
      <c r="H591" s="390">
        <f>SUMIF('01_BOC_TACH_ONG'!B:B, B591, '01_BOC_TACH_ONG'!K:K)</f>
        <v/>
      </c>
      <c r="I591" s="390">
        <f>SUMIF('02_BOC_TACH_CUA'!B:B, B591, '02_BOC_TACH_CUA'!K:K)</f>
        <v/>
      </c>
      <c r="J591" s="390">
        <f>SUMIF('03_BOC_TACH_VAN'!B:B, B591, '03_BOC_TACH_VAN'!K:K)</f>
        <v/>
      </c>
      <c r="K591" s="390">
        <f>SUM(H591:J591)</f>
        <v/>
      </c>
      <c r="L591" s="390">
        <f>K591*0.25</f>
        <v/>
      </c>
      <c r="M591" s="390">
        <f>K591*0.10</f>
        <v/>
      </c>
      <c r="N591" s="390">
        <f>K591+L591+M591</f>
        <v/>
      </c>
      <c r="O591" s="390">
        <f>IF(G591&gt;0, N591/G591, 0)</f>
        <v/>
      </c>
      <c r="P591" s="391" t="n">
        <v>0.18</v>
      </c>
      <c r="Q591" s="390">
        <f>O591*(1+P591)</f>
        <v/>
      </c>
      <c r="R591" s="390">
        <f>G591*Q591</f>
        <v/>
      </c>
      <c r="S591" t="inlineStr"/>
    </row>
    <row r="592">
      <c r="A592" t="n">
        <v>591</v>
      </c>
      <c r="B592" t="inlineStr">
        <is>
          <t>SW-ACST-591</t>
        </is>
      </c>
      <c r="C592" t="inlineStr">
        <is>
          <t>VÁCH NGĂN / HỘP TIÊU ÂM</t>
        </is>
      </c>
      <c r="D592" t="inlineStr">
        <is>
          <t>MIỆNG GIÓ (CHỜ CẬP NHẬT ID) Box gió cấp và box gió hồi máy lạnh kèm tiêu âm dày 25mm 7.1 kW</t>
        </is>
      </c>
      <c r="E592" t="inlineStr">
        <is>
          <t>-</t>
        </is>
      </c>
      <c r="F592" t="inlineStr">
        <is>
          <t>Bộ</t>
        </is>
      </c>
      <c r="G592" s="390" t="n">
        <v>21</v>
      </c>
      <c r="H592" s="390">
        <f>SUMIF('01_BOC_TACH_ONG'!B:B, B592, '01_BOC_TACH_ONG'!K:K)</f>
        <v/>
      </c>
      <c r="I592" s="390">
        <f>SUMIF('02_BOC_TACH_CUA'!B:B, B592, '02_BOC_TACH_CUA'!K:K)</f>
        <v/>
      </c>
      <c r="J592" s="390">
        <f>SUMIF('03_BOC_TACH_VAN'!B:B, B592, '03_BOC_TACH_VAN'!K:K)</f>
        <v/>
      </c>
      <c r="K592" s="390">
        <f>SUM(H592:J592)</f>
        <v/>
      </c>
      <c r="L592" s="390">
        <f>K592*0.25</f>
        <v/>
      </c>
      <c r="M592" s="390">
        <f>K592*0.10</f>
        <v/>
      </c>
      <c r="N592" s="390">
        <f>K592+L592+M592</f>
        <v/>
      </c>
      <c r="O592" s="390">
        <f>IF(G592&gt;0, N592/G592, 0)</f>
        <v/>
      </c>
      <c r="P592" s="391" t="n">
        <v>0.18</v>
      </c>
      <c r="Q592" s="390">
        <f>O592*(1+P592)</f>
        <v/>
      </c>
      <c r="R592" s="390">
        <f>G592*Q592</f>
        <v/>
      </c>
      <c r="S592" t="inlineStr"/>
    </row>
    <row r="593">
      <c r="A593" t="n">
        <v>592</v>
      </c>
      <c r="B593" t="inlineStr">
        <is>
          <t>SW-ACST-592</t>
        </is>
      </c>
      <c r="C593" t="inlineStr">
        <is>
          <t>VÁCH NGĂN / HỘP TIÊU ÂM</t>
        </is>
      </c>
      <c r="D593" t="inlineStr">
        <is>
          <t>MIỆNG GIÓ (CHỜ CẬP NHẬT ID) Box gió cấp và box gió hồi máy lạnh kèm tiêu âm dày 25mm 5.6 kW</t>
        </is>
      </c>
      <c r="E593" t="inlineStr">
        <is>
          <t>-</t>
        </is>
      </c>
      <c r="F593" t="inlineStr">
        <is>
          <t>Bộ</t>
        </is>
      </c>
      <c r="G593" s="390" t="n">
        <v>40</v>
      </c>
      <c r="H593" s="390">
        <f>SUMIF('01_BOC_TACH_ONG'!B:B, B593, '01_BOC_TACH_ONG'!K:K)</f>
        <v/>
      </c>
      <c r="I593" s="390">
        <f>SUMIF('02_BOC_TACH_CUA'!B:B, B593, '02_BOC_TACH_CUA'!K:K)</f>
        <v/>
      </c>
      <c r="J593" s="390">
        <f>SUMIF('03_BOC_TACH_VAN'!B:B, B593, '03_BOC_TACH_VAN'!K:K)</f>
        <v/>
      </c>
      <c r="K593" s="390">
        <f>SUM(H593:J593)</f>
        <v/>
      </c>
      <c r="L593" s="390">
        <f>K593*0.25</f>
        <v/>
      </c>
      <c r="M593" s="390">
        <f>K593*0.10</f>
        <v/>
      </c>
      <c r="N593" s="390">
        <f>K593+L593+M593</f>
        <v/>
      </c>
      <c r="O593" s="390">
        <f>IF(G593&gt;0, N593/G593, 0)</f>
        <v/>
      </c>
      <c r="P593" s="391" t="n">
        <v>0.18</v>
      </c>
      <c r="Q593" s="390">
        <f>O593*(1+P593)</f>
        <v/>
      </c>
      <c r="R593" s="390">
        <f>G593*Q593</f>
        <v/>
      </c>
      <c r="S593" t="inlineStr"/>
    </row>
    <row r="594">
      <c r="A594" t="n">
        <v>593</v>
      </c>
      <c r="B594" t="inlineStr">
        <is>
          <t>SW-ACST-593</t>
        </is>
      </c>
      <c r="C594" t="inlineStr">
        <is>
          <t>VÁCH NGĂN / HỘP TIÊU ÂM</t>
        </is>
      </c>
      <c r="D594" t="inlineStr">
        <is>
          <t>MIỆNG GIÓ (CHỜ CẬP NHẬT ID) Box gió cấp và box gió hồi máy lạnh kèm tiêu âm dày 25mm 4.5 kW</t>
        </is>
      </c>
      <c r="E594" t="inlineStr">
        <is>
          <t>-</t>
        </is>
      </c>
      <c r="F594" t="inlineStr">
        <is>
          <t>Bộ</t>
        </is>
      </c>
      <c r="G594" s="390" t="n">
        <v>12</v>
      </c>
      <c r="H594" s="390">
        <f>SUMIF('01_BOC_TACH_ONG'!B:B, B594, '01_BOC_TACH_ONG'!K:K)</f>
        <v/>
      </c>
      <c r="I594" s="390">
        <f>SUMIF('02_BOC_TACH_CUA'!B:B, B594, '02_BOC_TACH_CUA'!K:K)</f>
        <v/>
      </c>
      <c r="J594" s="390">
        <f>SUMIF('03_BOC_TACH_VAN'!B:B, B594, '03_BOC_TACH_VAN'!K:K)</f>
        <v/>
      </c>
      <c r="K594" s="390">
        <f>SUM(H594:J594)</f>
        <v/>
      </c>
      <c r="L594" s="390">
        <f>K594*0.25</f>
        <v/>
      </c>
      <c r="M594" s="390">
        <f>K594*0.10</f>
        <v/>
      </c>
      <c r="N594" s="390">
        <f>K594+L594+M594</f>
        <v/>
      </c>
      <c r="O594" s="390">
        <f>IF(G594&gt;0, N594/G594, 0)</f>
        <v/>
      </c>
      <c r="P594" s="391" t="n">
        <v>0.18</v>
      </c>
      <c r="Q594" s="390">
        <f>O594*(1+P594)</f>
        <v/>
      </c>
      <c r="R594" s="390">
        <f>G594*Q594</f>
        <v/>
      </c>
      <c r="S594" t="inlineStr"/>
    </row>
    <row r="595">
      <c r="A595" t="n">
        <v>594</v>
      </c>
      <c r="B595" t="inlineStr">
        <is>
          <t>SW-ACST-594</t>
        </is>
      </c>
      <c r="C595" t="inlineStr">
        <is>
          <t>VÁCH NGĂN / HỘP TIÊU ÂM</t>
        </is>
      </c>
      <c r="D595" t="inlineStr">
        <is>
          <t>MIỆNG GIÓ (CHỜ CẬP NHẬT ID) Box gió cấp và box gió hồi máy lạnh kèm tiêu âm dày 25mm 3.6 kW</t>
        </is>
      </c>
      <c r="E595" t="inlineStr">
        <is>
          <t>-</t>
        </is>
      </c>
      <c r="F595" t="inlineStr">
        <is>
          <t>Bộ</t>
        </is>
      </c>
      <c r="G595" s="390" t="n">
        <v>12</v>
      </c>
      <c r="H595" s="390">
        <f>SUMIF('01_BOC_TACH_ONG'!B:B, B595, '01_BOC_TACH_ONG'!K:K)</f>
        <v/>
      </c>
      <c r="I595" s="390">
        <f>SUMIF('02_BOC_TACH_CUA'!B:B, B595, '02_BOC_TACH_CUA'!K:K)</f>
        <v/>
      </c>
      <c r="J595" s="390">
        <f>SUMIF('03_BOC_TACH_VAN'!B:B, B595, '03_BOC_TACH_VAN'!K:K)</f>
        <v/>
      </c>
      <c r="K595" s="390">
        <f>SUM(H595:J595)</f>
        <v/>
      </c>
      <c r="L595" s="390">
        <f>K595*0.25</f>
        <v/>
      </c>
      <c r="M595" s="390">
        <f>K595*0.10</f>
        <v/>
      </c>
      <c r="N595" s="390">
        <f>K595+L595+M595</f>
        <v/>
      </c>
      <c r="O595" s="390">
        <f>IF(G595&gt;0, N595/G595, 0)</f>
        <v/>
      </c>
      <c r="P595" s="391" t="n">
        <v>0.18</v>
      </c>
      <c r="Q595" s="390">
        <f>O595*(1+P595)</f>
        <v/>
      </c>
      <c r="R595" s="390">
        <f>G595*Q595</f>
        <v/>
      </c>
      <c r="S595" t="inlineStr"/>
    </row>
    <row r="596">
      <c r="A596" t="n">
        <v>595</v>
      </c>
      <c r="B596" t="inlineStr">
        <is>
          <t>SW-ACST-595</t>
        </is>
      </c>
      <c r="C596" t="inlineStr">
        <is>
          <t>VÁCH NGĂN / HỘP TIÊU ÂM</t>
        </is>
      </c>
      <c r="D596" t="inlineStr">
        <is>
          <t>MIỆNG GIÓ (CHỜ CẬP NHẬT ID) Box gió cấp và box gió hồi máy lạnh kèm tiêu âm dày 25mm 2.8 kW</t>
        </is>
      </c>
      <c r="E596" t="inlineStr">
        <is>
          <t>-</t>
        </is>
      </c>
      <c r="F596" t="inlineStr">
        <is>
          <t>Bộ</t>
        </is>
      </c>
      <c r="G596" s="390" t="n">
        <v>14</v>
      </c>
      <c r="H596" s="390">
        <f>SUMIF('01_BOC_TACH_ONG'!B:B, B596, '01_BOC_TACH_ONG'!K:K)</f>
        <v/>
      </c>
      <c r="I596" s="390">
        <f>SUMIF('02_BOC_TACH_CUA'!B:B, B596, '02_BOC_TACH_CUA'!K:K)</f>
        <v/>
      </c>
      <c r="J596" s="390">
        <f>SUMIF('03_BOC_TACH_VAN'!B:B, B596, '03_BOC_TACH_VAN'!K:K)</f>
        <v/>
      </c>
      <c r="K596" s="390">
        <f>SUM(H596:J596)</f>
        <v/>
      </c>
      <c r="L596" s="390">
        <f>K596*0.25</f>
        <v/>
      </c>
      <c r="M596" s="390">
        <f>K596*0.10</f>
        <v/>
      </c>
      <c r="N596" s="390">
        <f>K596+L596+M596</f>
        <v/>
      </c>
      <c r="O596" s="390">
        <f>IF(G596&gt;0, N596/G596, 0)</f>
        <v/>
      </c>
      <c r="P596" s="391" t="n">
        <v>0.18</v>
      </c>
      <c r="Q596" s="390">
        <f>O596*(1+P596)</f>
        <v/>
      </c>
      <c r="R596" s="390">
        <f>G596*Q596</f>
        <v/>
      </c>
      <c r="S596" t="inlineStr"/>
    </row>
    <row r="597">
      <c r="A597" t="n">
        <v>596</v>
      </c>
      <c r="B597" t="inlineStr">
        <is>
          <t>SW-ACST-596</t>
        </is>
      </c>
      <c r="C597" t="inlineStr">
        <is>
          <t>VÁCH NGĂN / HỘP TIÊU ÂM</t>
        </is>
      </c>
      <c r="D597" t="inlineStr">
        <is>
          <t>MIỆNG GIÓ (CHỜ CẬP NHẬT ID) Box gió cấp và box gió hồi máy lạnh kèm tiêu âm dày 25mm 2.2 kW</t>
        </is>
      </c>
      <c r="E597" t="inlineStr">
        <is>
          <t>-</t>
        </is>
      </c>
      <c r="F597" t="inlineStr">
        <is>
          <t>Bộ</t>
        </is>
      </c>
      <c r="G597" s="390" t="n">
        <v>10</v>
      </c>
      <c r="H597" s="390">
        <f>SUMIF('01_BOC_TACH_ONG'!B:B, B597, '01_BOC_TACH_ONG'!K:K)</f>
        <v/>
      </c>
      <c r="I597" s="390">
        <f>SUMIF('02_BOC_TACH_CUA'!B:B, B597, '02_BOC_TACH_CUA'!K:K)</f>
        <v/>
      </c>
      <c r="J597" s="390">
        <f>SUMIF('03_BOC_TACH_VAN'!B:B, B597, '03_BOC_TACH_VAN'!K:K)</f>
        <v/>
      </c>
      <c r="K597" s="390">
        <f>SUM(H597:J597)</f>
        <v/>
      </c>
      <c r="L597" s="390">
        <f>K597*0.25</f>
        <v/>
      </c>
      <c r="M597" s="390">
        <f>K597*0.10</f>
        <v/>
      </c>
      <c r="N597" s="390">
        <f>K597+L597+M597</f>
        <v/>
      </c>
      <c r="O597" s="390">
        <f>IF(G597&gt;0, N597/G597, 0)</f>
        <v/>
      </c>
      <c r="P597" s="391" t="n">
        <v>0.18</v>
      </c>
      <c r="Q597" s="390">
        <f>O597*(1+P597)</f>
        <v/>
      </c>
      <c r="R597" s="390">
        <f>G597*Q597</f>
        <v/>
      </c>
      <c r="S597" t="inlineStr"/>
    </row>
    <row r="598">
      <c r="A598" t="n">
        <v>597</v>
      </c>
      <c r="B598" t="inlineStr">
        <is>
          <t>SW-DIFF-597</t>
        </is>
      </c>
      <c r="C598" t="inlineStr">
        <is>
          <t>CỬA GIÓ</t>
        </is>
      </c>
      <c r="D598" t="inlineStr">
        <is>
          <t>Miệng gió cấp,hồi cho máy lạnh Miệng gió loại Linear Bar Grille
Kích thước: 900x100 mm</t>
        </is>
      </c>
      <c r="E598" t="inlineStr">
        <is>
          <t>900x100</t>
        </is>
      </c>
      <c r="F598" t="inlineStr">
        <is>
          <t>Bộ</t>
        </is>
      </c>
      <c r="G598" s="390" t="n">
        <v>291</v>
      </c>
      <c r="H598" s="390">
        <f>SUMIF('01_BOC_TACH_ONG'!B:B, B598, '01_BOC_TACH_ONG'!K:K)</f>
        <v/>
      </c>
      <c r="I598" s="390">
        <f>SUMIF('02_BOC_TACH_CUA'!B:B, B598, '02_BOC_TACH_CUA'!K:K)</f>
        <v/>
      </c>
      <c r="J598" s="390">
        <f>SUMIF('03_BOC_TACH_VAN'!B:B, B598, '03_BOC_TACH_VAN'!K:K)</f>
        <v/>
      </c>
      <c r="K598" s="390">
        <f>SUM(H598:J598)</f>
        <v/>
      </c>
      <c r="L598" s="390">
        <f>K598*0.25</f>
        <v/>
      </c>
      <c r="M598" s="390">
        <f>K598*0.10</f>
        <v/>
      </c>
      <c r="N598" s="390">
        <f>K598+L598+M598</f>
        <v/>
      </c>
      <c r="O598" s="390">
        <f>IF(G598&gt;0, N598/G598, 0)</f>
        <v/>
      </c>
      <c r="P598" s="391" t="n">
        <v>0.18</v>
      </c>
      <c r="Q598" s="390">
        <f>O598*(1+P598)</f>
        <v/>
      </c>
      <c r="R598" s="390">
        <f>G598*Q598</f>
        <v/>
      </c>
      <c r="S598" t="inlineStr"/>
    </row>
    <row r="599">
      <c r="A599" t="n">
        <v>598</v>
      </c>
      <c r="B599" t="inlineStr">
        <is>
          <t>SW-DIFF-598</t>
        </is>
      </c>
      <c r="C599" t="inlineStr">
        <is>
          <t>CỬA GIÓ</t>
        </is>
      </c>
      <c r="D599" t="inlineStr">
        <is>
          <t>Miệng gió cấp,hồi cho máy lạnh Miệng gió loại Linear Bar Grille 
Kích thước: 1200x100 mm</t>
        </is>
      </c>
      <c r="E599" t="inlineStr">
        <is>
          <t>1200x100</t>
        </is>
      </c>
      <c r="F599" t="inlineStr">
        <is>
          <t>Bộ</t>
        </is>
      </c>
      <c r="G599" s="390" t="n">
        <v>38</v>
      </c>
      <c r="H599" s="390">
        <f>SUMIF('01_BOC_TACH_ONG'!B:B, B599, '01_BOC_TACH_ONG'!K:K)</f>
        <v/>
      </c>
      <c r="I599" s="390">
        <f>SUMIF('02_BOC_TACH_CUA'!B:B, B599, '02_BOC_TACH_CUA'!K:K)</f>
        <v/>
      </c>
      <c r="J599" s="390">
        <f>SUMIF('03_BOC_TACH_VAN'!B:B, B599, '03_BOC_TACH_VAN'!K:K)</f>
        <v/>
      </c>
      <c r="K599" s="390">
        <f>SUM(H599:J599)</f>
        <v/>
      </c>
      <c r="L599" s="390">
        <f>K599*0.25</f>
        <v/>
      </c>
      <c r="M599" s="390">
        <f>K599*0.10</f>
        <v/>
      </c>
      <c r="N599" s="390">
        <f>K599+L599+M599</f>
        <v/>
      </c>
      <c r="O599" s="390">
        <f>IF(G599&gt;0, N599/G599, 0)</f>
        <v/>
      </c>
      <c r="P599" s="391" t="n">
        <v>0.18</v>
      </c>
      <c r="Q599" s="390">
        <f>O599*(1+P599)</f>
        <v/>
      </c>
      <c r="R599" s="390">
        <f>G599*Q599</f>
        <v/>
      </c>
      <c r="S599" t="inlineStr"/>
    </row>
    <row r="600">
      <c r="A600" t="n">
        <v>599</v>
      </c>
      <c r="B600" t="inlineStr">
        <is>
          <t>SW-DIFF-599</t>
        </is>
      </c>
      <c r="C600" t="inlineStr">
        <is>
          <t>CỬA GIÓ</t>
        </is>
      </c>
      <c r="D600" t="inlineStr">
        <is>
          <t>Miệng gió cấp,hồi cho máy lạnh Miệng gió loại Linear Bar Grille
Kích thước: 2000x100 mm</t>
        </is>
      </c>
      <c r="E600" t="inlineStr">
        <is>
          <t>2000x100</t>
        </is>
      </c>
      <c r="F600" t="inlineStr">
        <is>
          <t>Bộ</t>
        </is>
      </c>
      <c r="G600" s="390" t="n">
        <v>46</v>
      </c>
      <c r="H600" s="390">
        <f>SUMIF('01_BOC_TACH_ONG'!B:B, B600, '01_BOC_TACH_ONG'!K:K)</f>
        <v/>
      </c>
      <c r="I600" s="390">
        <f>SUMIF('02_BOC_TACH_CUA'!B:B, B600, '02_BOC_TACH_CUA'!K:K)</f>
        <v/>
      </c>
      <c r="J600" s="390">
        <f>SUMIF('03_BOC_TACH_VAN'!B:B, B600, '03_BOC_TACH_VAN'!K:K)</f>
        <v/>
      </c>
      <c r="K600" s="390">
        <f>SUM(H600:J600)</f>
        <v/>
      </c>
      <c r="L600" s="390">
        <f>K600*0.25</f>
        <v/>
      </c>
      <c r="M600" s="390">
        <f>K600*0.10</f>
        <v/>
      </c>
      <c r="N600" s="390">
        <f>K600+L600+M600</f>
        <v/>
      </c>
      <c r="O600" s="390">
        <f>IF(G600&gt;0, N600/G600, 0)</f>
        <v/>
      </c>
      <c r="P600" s="391" t="n">
        <v>0.18</v>
      </c>
      <c r="Q600" s="390">
        <f>O600*(1+P600)</f>
        <v/>
      </c>
      <c r="R600" s="390">
        <f>G600*Q600</f>
        <v/>
      </c>
      <c r="S600" t="inlineStr"/>
    </row>
    <row r="601">
      <c r="A601" t="n">
        <v>600</v>
      </c>
      <c r="B601" t="inlineStr">
        <is>
          <t>SW-DIFF-600</t>
        </is>
      </c>
      <c r="C601" t="inlineStr">
        <is>
          <t>CỬA GIÓ</t>
        </is>
      </c>
      <c r="D601" t="inlineStr">
        <is>
          <t>Miệng gió cấp,hồi cho máy lạnh Miệng gió loại Linear Bar Grille with 2nd layer deflection (black paint) - no frame
Kích thước: 900x100 mm</t>
        </is>
      </c>
      <c r="E601" t="inlineStr">
        <is>
          <t>900x100</t>
        </is>
      </c>
      <c r="F601" t="inlineStr">
        <is>
          <t>Bộ</t>
        </is>
      </c>
      <c r="G601" s="390" t="n">
        <v>148</v>
      </c>
      <c r="H601" s="390">
        <f>SUMIF('01_BOC_TACH_ONG'!B:B, B601, '01_BOC_TACH_ONG'!K:K)</f>
        <v/>
      </c>
      <c r="I601" s="390">
        <f>SUMIF('02_BOC_TACH_CUA'!B:B, B601, '02_BOC_TACH_CUA'!K:K)</f>
        <v/>
      </c>
      <c r="J601" s="390">
        <f>SUMIF('03_BOC_TACH_VAN'!B:B, B601, '03_BOC_TACH_VAN'!K:K)</f>
        <v/>
      </c>
      <c r="K601" s="390">
        <f>SUM(H601:J601)</f>
        <v/>
      </c>
      <c r="L601" s="390">
        <f>K601*0.25</f>
        <v/>
      </c>
      <c r="M601" s="390">
        <f>K601*0.10</f>
        <v/>
      </c>
      <c r="N601" s="390">
        <f>K601+L601+M601</f>
        <v/>
      </c>
      <c r="O601" s="390">
        <f>IF(G601&gt;0, N601/G601, 0)</f>
        <v/>
      </c>
      <c r="P601" s="391" t="n">
        <v>0.18</v>
      </c>
      <c r="Q601" s="390">
        <f>O601*(1+P601)</f>
        <v/>
      </c>
      <c r="R601" s="390">
        <f>G601*Q601</f>
        <v/>
      </c>
      <c r="S601" t="inlineStr"/>
    </row>
    <row r="602">
      <c r="A602" t="n">
        <v>601</v>
      </c>
      <c r="B602" t="inlineStr">
        <is>
          <t>SW-DIFF-601</t>
        </is>
      </c>
      <c r="C602" t="inlineStr">
        <is>
          <t>CỬA GIÓ</t>
        </is>
      </c>
      <c r="D602" t="inlineStr">
        <is>
          <t>Miệng gió cấp,hồi cho máy lạnh Miệng gió loại Linear Bar Grille with 2nd layer deflection (black paint) - no frame
Kích thước: 1200x100 mm</t>
        </is>
      </c>
      <c r="E602" t="inlineStr">
        <is>
          <t>1200x100</t>
        </is>
      </c>
      <c r="F602" t="inlineStr">
        <is>
          <t>Bộ</t>
        </is>
      </c>
      <c r="G602" s="390" t="n">
        <v>12</v>
      </c>
      <c r="H602" s="390">
        <f>SUMIF('01_BOC_TACH_ONG'!B:B, B602, '01_BOC_TACH_ONG'!K:K)</f>
        <v/>
      </c>
      <c r="I602" s="390">
        <f>SUMIF('02_BOC_TACH_CUA'!B:B, B602, '02_BOC_TACH_CUA'!K:K)</f>
        <v/>
      </c>
      <c r="J602" s="390">
        <f>SUMIF('03_BOC_TACH_VAN'!B:B, B602, '03_BOC_TACH_VAN'!K:K)</f>
        <v/>
      </c>
      <c r="K602" s="390">
        <f>SUM(H602:J602)</f>
        <v/>
      </c>
      <c r="L602" s="390">
        <f>K602*0.25</f>
        <v/>
      </c>
      <c r="M602" s="390">
        <f>K602*0.10</f>
        <v/>
      </c>
      <c r="N602" s="390">
        <f>K602+L602+M602</f>
        <v/>
      </c>
      <c r="O602" s="390">
        <f>IF(G602&gt;0, N602/G602, 0)</f>
        <v/>
      </c>
      <c r="P602" s="391" t="n">
        <v>0.18</v>
      </c>
      <c r="Q602" s="390">
        <f>O602*(1+P602)</f>
        <v/>
      </c>
      <c r="R602" s="390">
        <f>G602*Q602</f>
        <v/>
      </c>
      <c r="S602" t="inlineStr"/>
    </row>
    <row r="603">
      <c r="A603" t="n">
        <v>602</v>
      </c>
      <c r="B603" t="inlineStr">
        <is>
          <t>SW-DIFF-602</t>
        </is>
      </c>
      <c r="C603" t="inlineStr">
        <is>
          <t>CỬA GIÓ</t>
        </is>
      </c>
      <c r="D603" t="inlineStr">
        <is>
          <t>Miệng gió cấp,hồi cho máy lạnh Miệng gió loại Linear Bar Grille with 2nd layer deflection (black paint) - no frame
Kích thước: 1400x100 mm</t>
        </is>
      </c>
      <c r="E603" t="inlineStr">
        <is>
          <t>1400x100</t>
        </is>
      </c>
      <c r="F603" t="inlineStr">
        <is>
          <t>Bộ</t>
        </is>
      </c>
      <c r="G603" s="390" t="n">
        <v>12</v>
      </c>
      <c r="H603" s="390">
        <f>SUMIF('01_BOC_TACH_ONG'!B:B, B603, '01_BOC_TACH_ONG'!K:K)</f>
        <v/>
      </c>
      <c r="I603" s="390">
        <f>SUMIF('02_BOC_TACH_CUA'!B:B, B603, '02_BOC_TACH_CUA'!K:K)</f>
        <v/>
      </c>
      <c r="J603" s="390">
        <f>SUMIF('03_BOC_TACH_VAN'!B:B, B603, '03_BOC_TACH_VAN'!K:K)</f>
        <v/>
      </c>
      <c r="K603" s="390">
        <f>SUM(H603:J603)</f>
        <v/>
      </c>
      <c r="L603" s="390">
        <f>K603*0.25</f>
        <v/>
      </c>
      <c r="M603" s="390">
        <f>K603*0.10</f>
        <v/>
      </c>
      <c r="N603" s="390">
        <f>K603+L603+M603</f>
        <v/>
      </c>
      <c r="O603" s="390">
        <f>IF(G603&gt;0, N603/G603, 0)</f>
        <v/>
      </c>
      <c r="P603" s="391" t="n">
        <v>0.18</v>
      </c>
      <c r="Q603" s="390">
        <f>O603*(1+P603)</f>
        <v/>
      </c>
      <c r="R603" s="390">
        <f>G603*Q603</f>
        <v/>
      </c>
      <c r="S603" t="inlineStr"/>
    </row>
    <row r="604">
      <c r="A604" t="n">
        <v>603</v>
      </c>
      <c r="B604" t="inlineStr">
        <is>
          <t>SW-DIFF-603</t>
        </is>
      </c>
      <c r="C604" t="inlineStr">
        <is>
          <t>CỬA GIÓ</t>
        </is>
      </c>
      <c r="D604" t="inlineStr">
        <is>
          <t>Miệng gió cấp,hồi cho máy lạnh Miệng gió loại Linear Bar Grille with 2nd layer deflection (black paint) - no frame
Kích thước: 2000x100 mm</t>
        </is>
      </c>
      <c r="E604" t="inlineStr">
        <is>
          <t>2000x100</t>
        </is>
      </c>
      <c r="F604" t="inlineStr">
        <is>
          <t>Bộ</t>
        </is>
      </c>
      <c r="G604" s="390" t="n">
        <v>20</v>
      </c>
      <c r="H604" s="390">
        <f>SUMIF('01_BOC_TACH_ONG'!B:B, B604, '01_BOC_TACH_ONG'!K:K)</f>
        <v/>
      </c>
      <c r="I604" s="390">
        <f>SUMIF('02_BOC_TACH_CUA'!B:B, B604, '02_BOC_TACH_CUA'!K:K)</f>
        <v/>
      </c>
      <c r="J604" s="390">
        <f>SUMIF('03_BOC_TACH_VAN'!B:B, B604, '03_BOC_TACH_VAN'!K:K)</f>
        <v/>
      </c>
      <c r="K604" s="390">
        <f>SUM(H604:J604)</f>
        <v/>
      </c>
      <c r="L604" s="390">
        <f>K604*0.25</f>
        <v/>
      </c>
      <c r="M604" s="390">
        <f>K604*0.10</f>
        <v/>
      </c>
      <c r="N604" s="390">
        <f>K604+L604+M604</f>
        <v/>
      </c>
      <c r="O604" s="390">
        <f>IF(G604&gt;0, N604/G604, 0)</f>
        <v/>
      </c>
      <c r="P604" s="391" t="n">
        <v>0.18</v>
      </c>
      <c r="Q604" s="390">
        <f>O604*(1+P604)</f>
        <v/>
      </c>
      <c r="R604" s="390">
        <f>G604*Q604</f>
        <v/>
      </c>
      <c r="S604" t="inlineStr"/>
    </row>
    <row r="605">
      <c r="A605" t="n">
        <v>604</v>
      </c>
      <c r="B605" t="inlineStr">
        <is>
          <t>SW-DIFF-604</t>
        </is>
      </c>
      <c r="C605" t="inlineStr">
        <is>
          <t>CỬA GIÓ</t>
        </is>
      </c>
      <c r="D605" t="inlineStr">
        <is>
          <t>Miệng gió cấp,hồi cho máy lạnh Miệng gió loại Linear Bar Grille with 2nd layer deflection (black paint) - no frame
Kích thước: 4200x100 mm</t>
        </is>
      </c>
      <c r="E605" t="inlineStr">
        <is>
          <t>4200x100</t>
        </is>
      </c>
      <c r="F605" t="inlineStr">
        <is>
          <t>Bộ</t>
        </is>
      </c>
      <c r="G605" s="390" t="n">
        <v>9</v>
      </c>
      <c r="H605" s="390">
        <f>SUMIF('01_BOC_TACH_ONG'!B:B, B605, '01_BOC_TACH_ONG'!K:K)</f>
        <v/>
      </c>
      <c r="I605" s="390">
        <f>SUMIF('02_BOC_TACH_CUA'!B:B, B605, '02_BOC_TACH_CUA'!K:K)</f>
        <v/>
      </c>
      <c r="J605" s="390">
        <f>SUMIF('03_BOC_TACH_VAN'!B:B, B605, '03_BOC_TACH_VAN'!K:K)</f>
        <v/>
      </c>
      <c r="K605" s="390">
        <f>SUM(H605:J605)</f>
        <v/>
      </c>
      <c r="L605" s="390">
        <f>K605*0.25</f>
        <v/>
      </c>
      <c r="M605" s="390">
        <f>K605*0.10</f>
        <v/>
      </c>
      <c r="N605" s="390">
        <f>K605+L605+M605</f>
        <v/>
      </c>
      <c r="O605" s="390">
        <f>IF(G605&gt;0, N605/G605, 0)</f>
        <v/>
      </c>
      <c r="P605" s="391" t="n">
        <v>0.18</v>
      </c>
      <c r="Q605" s="390">
        <f>O605*(1+P605)</f>
        <v/>
      </c>
      <c r="R605" s="390">
        <f>G605*Q605</f>
        <v/>
      </c>
      <c r="S605" t="inlineStr"/>
    </row>
    <row r="606">
      <c r="A606" t="n">
        <v>605</v>
      </c>
      <c r="B606" t="inlineStr">
        <is>
          <t>SW-DIFF-605</t>
        </is>
      </c>
      <c r="C606" t="inlineStr">
        <is>
          <t>CỬA GIÓ</t>
        </is>
      </c>
      <c r="D606" t="inlineStr">
        <is>
          <t>Miệng gió cấp,hồi cho máy lạnh Miệng gió loại Linear Bar Grille with 2nd layer deflection (black paint) - no frame
Kích thước: 7600x100 mm</t>
        </is>
      </c>
      <c r="E606" t="inlineStr">
        <is>
          <t>7600x100</t>
        </is>
      </c>
      <c r="F606" t="inlineStr">
        <is>
          <t>Bộ</t>
        </is>
      </c>
      <c r="G606" s="390" t="n">
        <v>6</v>
      </c>
      <c r="H606" s="390">
        <f>SUMIF('01_BOC_TACH_ONG'!B:B, B606, '01_BOC_TACH_ONG'!K:K)</f>
        <v/>
      </c>
      <c r="I606" s="390">
        <f>SUMIF('02_BOC_TACH_CUA'!B:B, B606, '02_BOC_TACH_CUA'!K:K)</f>
        <v/>
      </c>
      <c r="J606" s="390">
        <f>SUMIF('03_BOC_TACH_VAN'!B:B, B606, '03_BOC_TACH_VAN'!K:K)</f>
        <v/>
      </c>
      <c r="K606" s="390">
        <f>SUM(H606:J606)</f>
        <v/>
      </c>
      <c r="L606" s="390">
        <f>K606*0.25</f>
        <v/>
      </c>
      <c r="M606" s="390">
        <f>K606*0.10</f>
        <v/>
      </c>
      <c r="N606" s="390">
        <f>K606+L606+M606</f>
        <v/>
      </c>
      <c r="O606" s="390">
        <f>IF(G606&gt;0, N606/G606, 0)</f>
        <v/>
      </c>
      <c r="P606" s="391" t="n">
        <v>0.18</v>
      </c>
      <c r="Q606" s="390">
        <f>O606*(1+P606)</f>
        <v/>
      </c>
      <c r="R606" s="390">
        <f>G606*Q606</f>
        <v/>
      </c>
      <c r="S606" t="inlineStr"/>
    </row>
    <row r="607">
      <c r="A607" t="n">
        <v>606</v>
      </c>
      <c r="B607" t="inlineStr">
        <is>
          <t>SW-TRD-606</t>
        </is>
      </c>
      <c r="C607" t="inlineStr">
        <is>
          <t>THƯƠNG MẠI</t>
        </is>
      </c>
      <c r="D607" t="inlineStr">
        <is>
          <t>Miệng gió cấp,hồi cho máy lạnh Vật tư phụ, phụ kiện</t>
        </is>
      </c>
      <c r="E607" t="inlineStr">
        <is>
          <t>-</t>
        </is>
      </c>
      <c r="F607" t="inlineStr">
        <is>
          <t>Lô</t>
        </is>
      </c>
      <c r="G607" s="390" t="n">
        <v>1</v>
      </c>
      <c r="H607" s="390">
        <f>SUMIF('01_BOC_TACH_ONG'!B:B, B607, '01_BOC_TACH_ONG'!K:K)</f>
        <v/>
      </c>
      <c r="I607" s="390">
        <f>SUMIF('02_BOC_TACH_CUA'!B:B, B607, '02_BOC_TACH_CUA'!K:K)</f>
        <v/>
      </c>
      <c r="J607" s="390">
        <f>SUMIF('03_BOC_TACH_VAN'!B:B, B607, '03_BOC_TACH_VAN'!K:K)</f>
        <v/>
      </c>
      <c r="K607" s="390">
        <f>SUM(H607:J607)</f>
        <v/>
      </c>
      <c r="L607" s="390">
        <f>K607*0.00</f>
        <v/>
      </c>
      <c r="M607" s="390">
        <f>K607*0.02</f>
        <v/>
      </c>
      <c r="N607" s="390">
        <f>K607+L607+M607</f>
        <v/>
      </c>
      <c r="O607" s="390">
        <f>IF(G607&gt;0, N607/G607, 0)</f>
        <v/>
      </c>
      <c r="P607" s="391" t="n">
        <v>0.1</v>
      </c>
      <c r="Q607" s="390">
        <f>O607*(1+P607)</f>
        <v/>
      </c>
      <c r="R607" s="390">
        <f>G607*Q607</f>
        <v/>
      </c>
      <c r="S607" t="inlineStr">
        <is>
          <t>Hàng thương mại</t>
        </is>
      </c>
    </row>
    <row r="608">
      <c r="A608" t="n">
        <v>607</v>
      </c>
      <c r="B608" t="inlineStr">
        <is>
          <t>SW-DUCT-607</t>
        </is>
      </c>
      <c r="C608" t="inlineStr">
        <is>
          <t>ỐNG GIÓ</t>
        </is>
      </c>
      <c r="D608" t="inlineStr">
        <is>
          <t>ỐNG GIÓ LẠNH, BOX MIỆNG GIÓ Tole 0.58mm phủ lớp mạ kẽm Z180 kèm cách nhiệt 25mm</t>
        </is>
      </c>
      <c r="E608" t="inlineStr">
        <is>
          <t>0.58mm</t>
        </is>
      </c>
      <c r="F608" t="inlineStr">
        <is>
          <t>m2</t>
        </is>
      </c>
      <c r="G608" s="390" t="n">
        <v>1124.6</v>
      </c>
      <c r="H608" s="390">
        <f>SUMIF('01_BOC_TACH_ONG'!B:B, B608, '01_BOC_TACH_ONG'!K:K)</f>
        <v/>
      </c>
      <c r="I608" s="390">
        <f>SUMIF('02_BOC_TACH_CUA'!B:B, B608, '02_BOC_TACH_CUA'!K:K)</f>
        <v/>
      </c>
      <c r="J608" s="390">
        <f>SUMIF('03_BOC_TACH_VAN'!B:B, B608, '03_BOC_TACH_VAN'!K:K)</f>
        <v/>
      </c>
      <c r="K608" s="390">
        <f>SUM(H608:J608)</f>
        <v/>
      </c>
      <c r="L608" s="390">
        <f>K608*0.25</f>
        <v/>
      </c>
      <c r="M608" s="390">
        <f>K608*0.10</f>
        <v/>
      </c>
      <c r="N608" s="390">
        <f>K608+L608+M608</f>
        <v/>
      </c>
      <c r="O608" s="390">
        <f>IF(G608&gt;0, N608/G608, 0)</f>
        <v/>
      </c>
      <c r="P608" s="391" t="n">
        <v>0.18</v>
      </c>
      <c r="Q608" s="390">
        <f>O608*(1+P608)</f>
        <v/>
      </c>
      <c r="R608" s="390">
        <f>G608*Q608</f>
        <v/>
      </c>
      <c r="S608" t="inlineStr"/>
    </row>
    <row r="609">
      <c r="A609" t="n">
        <v>608</v>
      </c>
      <c r="B609" t="inlineStr">
        <is>
          <t>SW-DUCT-608</t>
        </is>
      </c>
      <c r="C609" t="inlineStr">
        <is>
          <t>ỐNG GIÓ</t>
        </is>
      </c>
      <c r="D609" t="inlineStr">
        <is>
          <t>ỐNG GIÓ LẠNH, BOX MIỆNG GIÓ Cách nhiệt dày 25mm</t>
        </is>
      </c>
      <c r="E609" t="inlineStr">
        <is>
          <t>0.75mm</t>
        </is>
      </c>
      <c r="F609" t="inlineStr">
        <is>
          <t>m2</t>
        </is>
      </c>
      <c r="G609" s="390" t="n">
        <v>1124.6</v>
      </c>
      <c r="H609" s="390">
        <f>SUMIF('01_BOC_TACH_ONG'!B:B, B609, '01_BOC_TACH_ONG'!K:K)</f>
        <v/>
      </c>
      <c r="I609" s="390">
        <f>SUMIF('02_BOC_TACH_CUA'!B:B, B609, '02_BOC_TACH_CUA'!K:K)</f>
        <v/>
      </c>
      <c r="J609" s="390">
        <f>SUMIF('03_BOC_TACH_VAN'!B:B, B609, '03_BOC_TACH_VAN'!K:K)</f>
        <v/>
      </c>
      <c r="K609" s="390">
        <f>SUM(H609:J609)</f>
        <v/>
      </c>
      <c r="L609" s="390">
        <f>K609*0.25</f>
        <v/>
      </c>
      <c r="M609" s="390">
        <f>K609*0.10</f>
        <v/>
      </c>
      <c r="N609" s="390">
        <f>K609+L609+M609</f>
        <v/>
      </c>
      <c r="O609" s="390">
        <f>IF(G609&gt;0, N609/G609, 0)</f>
        <v/>
      </c>
      <c r="P609" s="391" t="n">
        <v>0.18</v>
      </c>
      <c r="Q609" s="390">
        <f>O609*(1+P609)</f>
        <v/>
      </c>
      <c r="R609" s="390">
        <f>G609*Q609</f>
        <v/>
      </c>
      <c r="S609" t="inlineStr"/>
    </row>
    <row r="610">
      <c r="A610" t="n">
        <v>609</v>
      </c>
      <c r="B610" t="inlineStr">
        <is>
          <t>SW-FLEX-609</t>
        </is>
      </c>
      <c r="C610" t="inlineStr">
        <is>
          <t>ỐNG GIÓ MỀM</t>
        </is>
      </c>
      <c r="D610" t="inlineStr">
        <is>
          <t>ỐNG GIÓ LẠNH, BOX MIỆNG GIÓ Ống gió mềm D350 cách nhiệt dày 25mm</t>
        </is>
      </c>
      <c r="E610" t="inlineStr">
        <is>
          <t>-</t>
        </is>
      </c>
      <c r="F610" t="inlineStr">
        <is>
          <t>m</t>
        </is>
      </c>
      <c r="G610" s="390" t="n">
        <v>60</v>
      </c>
      <c r="H610" s="390">
        <f>SUMIF('01_BOC_TACH_ONG'!B:B, B610, '01_BOC_TACH_ONG'!K:K)</f>
        <v/>
      </c>
      <c r="I610" s="390">
        <f>SUMIF('02_BOC_TACH_CUA'!B:B, B610, '02_BOC_TACH_CUA'!K:K)</f>
        <v/>
      </c>
      <c r="J610" s="390">
        <f>SUMIF('03_BOC_TACH_VAN'!B:B, B610, '03_BOC_TACH_VAN'!K:K)</f>
        <v/>
      </c>
      <c r="K610" s="390">
        <f>SUM(H610:J610)</f>
        <v/>
      </c>
      <c r="L610" s="390">
        <f>K610*0.00</f>
        <v/>
      </c>
      <c r="M610" s="390">
        <f>K610*0.02</f>
        <v/>
      </c>
      <c r="N610" s="390">
        <f>K610+L610+M610</f>
        <v/>
      </c>
      <c r="O610" s="390">
        <f>IF(G610&gt;0, N610/G610, 0)</f>
        <v/>
      </c>
      <c r="P610" s="391" t="n">
        <v>0.1</v>
      </c>
      <c r="Q610" s="390">
        <f>O610*(1+P610)</f>
        <v/>
      </c>
      <c r="R610" s="390">
        <f>G610*Q610</f>
        <v/>
      </c>
      <c r="S610" t="inlineStr">
        <is>
          <t>Ống mềm</t>
        </is>
      </c>
    </row>
    <row r="611">
      <c r="A611" t="n">
        <v>610</v>
      </c>
      <c r="B611" t="inlineStr">
        <is>
          <t>SW-FLEX-610</t>
        </is>
      </c>
      <c r="C611" t="inlineStr">
        <is>
          <t>ỐNG GIÓ MỀM</t>
        </is>
      </c>
      <c r="D611" t="inlineStr">
        <is>
          <t>ỐNG GIÓ LẠNH, BOX MIỆNG GIÓ Ống gió mềm D300 cách nhiệt dày 25mm</t>
        </is>
      </c>
      <c r="E611" t="inlineStr">
        <is>
          <t>-</t>
        </is>
      </c>
      <c r="F611" t="inlineStr">
        <is>
          <t>m</t>
        </is>
      </c>
      <c r="G611" s="390" t="n">
        <v>114</v>
      </c>
      <c r="H611" s="390">
        <f>SUMIF('01_BOC_TACH_ONG'!B:B, B611, '01_BOC_TACH_ONG'!K:K)</f>
        <v/>
      </c>
      <c r="I611" s="390">
        <f>SUMIF('02_BOC_TACH_CUA'!B:B, B611, '02_BOC_TACH_CUA'!K:K)</f>
        <v/>
      </c>
      <c r="J611" s="390">
        <f>SUMIF('03_BOC_TACH_VAN'!B:B, B611, '03_BOC_TACH_VAN'!K:K)</f>
        <v/>
      </c>
      <c r="K611" s="390">
        <f>SUM(H611:J611)</f>
        <v/>
      </c>
      <c r="L611" s="390">
        <f>K611*0.00</f>
        <v/>
      </c>
      <c r="M611" s="390">
        <f>K611*0.02</f>
        <v/>
      </c>
      <c r="N611" s="390">
        <f>K611+L611+M611</f>
        <v/>
      </c>
      <c r="O611" s="390">
        <f>IF(G611&gt;0, N611/G611, 0)</f>
        <v/>
      </c>
      <c r="P611" s="391" t="n">
        <v>0.1</v>
      </c>
      <c r="Q611" s="390">
        <f>O611*(1+P611)</f>
        <v/>
      </c>
      <c r="R611" s="390">
        <f>G611*Q611</f>
        <v/>
      </c>
      <c r="S611" t="inlineStr">
        <is>
          <t>Ống mềm</t>
        </is>
      </c>
    </row>
    <row r="612">
      <c r="A612" t="n">
        <v>611</v>
      </c>
      <c r="B612" t="inlineStr">
        <is>
          <t>SW-FLEX-611</t>
        </is>
      </c>
      <c r="C612" t="inlineStr">
        <is>
          <t>ỐNG GIÓ MỀM</t>
        </is>
      </c>
      <c r="D612" t="inlineStr">
        <is>
          <t>ỐNG GIÓ LẠNH, BOX MIỆNG GIÓ Ống gió mềm D250 cách nhiệt dày 25mm</t>
        </is>
      </c>
      <c r="E612" t="inlineStr">
        <is>
          <t>-</t>
        </is>
      </c>
      <c r="F612" t="inlineStr">
        <is>
          <t>m</t>
        </is>
      </c>
      <c r="G612" s="390" t="n">
        <v>1204</v>
      </c>
      <c r="H612" s="390">
        <f>SUMIF('01_BOC_TACH_ONG'!B:B, B612, '01_BOC_TACH_ONG'!K:K)</f>
        <v/>
      </c>
      <c r="I612" s="390">
        <f>SUMIF('02_BOC_TACH_CUA'!B:B, B612, '02_BOC_TACH_CUA'!K:K)</f>
        <v/>
      </c>
      <c r="J612" s="390">
        <f>SUMIF('03_BOC_TACH_VAN'!B:B, B612, '03_BOC_TACH_VAN'!K:K)</f>
        <v/>
      </c>
      <c r="K612" s="390">
        <f>SUM(H612:J612)</f>
        <v/>
      </c>
      <c r="L612" s="390">
        <f>K612*0.00</f>
        <v/>
      </c>
      <c r="M612" s="390">
        <f>K612*0.02</f>
        <v/>
      </c>
      <c r="N612" s="390">
        <f>K612+L612+M612</f>
        <v/>
      </c>
      <c r="O612" s="390">
        <f>IF(G612&gt;0, N612/G612, 0)</f>
        <v/>
      </c>
      <c r="P612" s="391" t="n">
        <v>0.1</v>
      </c>
      <c r="Q612" s="390">
        <f>O612*(1+P612)</f>
        <v/>
      </c>
      <c r="R612" s="390">
        <f>G612*Q612</f>
        <v/>
      </c>
      <c r="S612" t="inlineStr">
        <is>
          <t>Ống mềm</t>
        </is>
      </c>
    </row>
    <row r="613">
      <c r="A613" t="n">
        <v>612</v>
      </c>
      <c r="B613" t="inlineStr">
        <is>
          <t>SW-FLEX-612</t>
        </is>
      </c>
      <c r="C613" t="inlineStr">
        <is>
          <t>ỐNG GIÓ MỀM</t>
        </is>
      </c>
      <c r="D613" t="inlineStr">
        <is>
          <t>ỐNG GIÓ LẠNH, BOX MIỆNG GIÓ Ống gió mềm D200 cách nhiệt dày 25mm</t>
        </is>
      </c>
      <c r="E613" t="inlineStr">
        <is>
          <t>-</t>
        </is>
      </c>
      <c r="F613" t="inlineStr">
        <is>
          <t>m</t>
        </is>
      </c>
      <c r="G613" s="390" t="n">
        <v>488</v>
      </c>
      <c r="H613" s="390">
        <f>SUMIF('01_BOC_TACH_ONG'!B:B, B613, '01_BOC_TACH_ONG'!K:K)</f>
        <v/>
      </c>
      <c r="I613" s="390">
        <f>SUMIF('02_BOC_TACH_CUA'!B:B, B613, '02_BOC_TACH_CUA'!K:K)</f>
        <v/>
      </c>
      <c r="J613" s="390">
        <f>SUMIF('03_BOC_TACH_VAN'!B:B, B613, '03_BOC_TACH_VAN'!K:K)</f>
        <v/>
      </c>
      <c r="K613" s="390">
        <f>SUM(H613:J613)</f>
        <v/>
      </c>
      <c r="L613" s="390">
        <f>K613*0.00</f>
        <v/>
      </c>
      <c r="M613" s="390">
        <f>K613*0.02</f>
        <v/>
      </c>
      <c r="N613" s="390">
        <f>K613+L613+M613</f>
        <v/>
      </c>
      <c r="O613" s="390">
        <f>IF(G613&gt;0, N613/G613, 0)</f>
        <v/>
      </c>
      <c r="P613" s="391" t="n">
        <v>0.1</v>
      </c>
      <c r="Q613" s="390">
        <f>O613*(1+P613)</f>
        <v/>
      </c>
      <c r="R613" s="390">
        <f>G613*Q613</f>
        <v/>
      </c>
      <c r="S613" t="inlineStr">
        <is>
          <t>Ống mềm</t>
        </is>
      </c>
    </row>
    <row r="614">
      <c r="A614" t="n">
        <v>613</v>
      </c>
      <c r="B614" t="inlineStr">
        <is>
          <t>SW-TRD-613</t>
        </is>
      </c>
      <c r="C614" t="inlineStr">
        <is>
          <t>THƯƠNG MẠI</t>
        </is>
      </c>
      <c r="D614" t="inlineStr">
        <is>
          <t>ỐNG GIÓ LẠNH, BOX MIỆNG GIÓ Vật tư phụ, phụ kiện</t>
        </is>
      </c>
      <c r="E614" t="inlineStr">
        <is>
          <t>-</t>
        </is>
      </c>
      <c r="F614" t="inlineStr">
        <is>
          <t>Lô</t>
        </is>
      </c>
      <c r="G614" s="390" t="n">
        <v>1</v>
      </c>
      <c r="H614" s="390">
        <f>SUMIF('01_BOC_TACH_ONG'!B:B, B614, '01_BOC_TACH_ONG'!K:K)</f>
        <v/>
      </c>
      <c r="I614" s="390">
        <f>SUMIF('02_BOC_TACH_CUA'!B:B, B614, '02_BOC_TACH_CUA'!K:K)</f>
        <v/>
      </c>
      <c r="J614" s="390">
        <f>SUMIF('03_BOC_TACH_VAN'!B:B, B614, '03_BOC_TACH_VAN'!K:K)</f>
        <v/>
      </c>
      <c r="K614" s="390">
        <f>SUM(H614:J614)</f>
        <v/>
      </c>
      <c r="L614" s="390">
        <f>K614*0.00</f>
        <v/>
      </c>
      <c r="M614" s="390">
        <f>K614*0.02</f>
        <v/>
      </c>
      <c r="N614" s="390">
        <f>K614+L614+M614</f>
        <v/>
      </c>
      <c r="O614" s="390">
        <f>IF(G614&gt;0, N614/G614, 0)</f>
        <v/>
      </c>
      <c r="P614" s="391" t="n">
        <v>0.1</v>
      </c>
      <c r="Q614" s="390">
        <f>O614*(1+P614)</f>
        <v/>
      </c>
      <c r="R614" s="390">
        <f>G614*Q614</f>
        <v/>
      </c>
      <c r="S614" t="inlineStr">
        <is>
          <t>Hàng thương mại</t>
        </is>
      </c>
    </row>
    <row r="615">
      <c r="A615" t="n">
        <v>614</v>
      </c>
      <c r="B615" t="inlineStr">
        <is>
          <t>SW-TRD-614</t>
        </is>
      </c>
      <c r="C615" t="inlineStr">
        <is>
          <t>THƯƠNG MẠI</t>
        </is>
      </c>
      <c r="D615" t="inlineStr">
        <is>
          <t>Ống đồng D6.4</t>
        </is>
      </c>
      <c r="E615" t="inlineStr">
        <is>
          <t>-</t>
        </is>
      </c>
      <c r="F615" t="inlineStr">
        <is>
          <t>m</t>
        </is>
      </c>
      <c r="G615" s="390" t="n">
        <v>1183</v>
      </c>
      <c r="H615" s="390">
        <f>SUMIF('01_BOC_TACH_ONG'!B:B, B615, '01_BOC_TACH_ONG'!K:K)</f>
        <v/>
      </c>
      <c r="I615" s="390">
        <f>SUMIF('02_BOC_TACH_CUA'!B:B, B615, '02_BOC_TACH_CUA'!K:K)</f>
        <v/>
      </c>
      <c r="J615" s="390">
        <f>SUMIF('03_BOC_TACH_VAN'!B:B, B615, '03_BOC_TACH_VAN'!K:K)</f>
        <v/>
      </c>
      <c r="K615" s="390">
        <f>SUM(H615:J615)</f>
        <v/>
      </c>
      <c r="L615" s="390">
        <f>K615*0.00</f>
        <v/>
      </c>
      <c r="M615" s="390">
        <f>K615*0.02</f>
        <v/>
      </c>
      <c r="N615" s="390">
        <f>K615+L615+M615</f>
        <v/>
      </c>
      <c r="O615" s="390">
        <f>IF(G615&gt;0, N615/G615, 0)</f>
        <v/>
      </c>
      <c r="P615" s="391" t="n">
        <v>0.1</v>
      </c>
      <c r="Q615" s="390">
        <f>O615*(1+P615)</f>
        <v/>
      </c>
      <c r="R615" s="390">
        <f>G615*Q615</f>
        <v/>
      </c>
      <c r="S615" t="inlineStr">
        <is>
          <t>Hàng thương mại</t>
        </is>
      </c>
    </row>
    <row r="616">
      <c r="A616" t="n">
        <v>615</v>
      </c>
      <c r="B616" t="inlineStr">
        <is>
          <t>SW-TRD-615</t>
        </is>
      </c>
      <c r="C616" t="inlineStr">
        <is>
          <t>THƯƠNG MẠI</t>
        </is>
      </c>
      <c r="D616" t="inlineStr">
        <is>
          <t>Ống đồng D9.5</t>
        </is>
      </c>
      <c r="E616" t="inlineStr">
        <is>
          <t>-</t>
        </is>
      </c>
      <c r="F616" t="inlineStr">
        <is>
          <t>m</t>
        </is>
      </c>
      <c r="G616" s="390" t="n">
        <v>2300</v>
      </c>
      <c r="H616" s="390">
        <f>SUMIF('01_BOC_TACH_ONG'!B:B, B616, '01_BOC_TACH_ONG'!K:K)</f>
        <v/>
      </c>
      <c r="I616" s="390">
        <f>SUMIF('02_BOC_TACH_CUA'!B:B, B616, '02_BOC_TACH_CUA'!K:K)</f>
        <v/>
      </c>
      <c r="J616" s="390">
        <f>SUMIF('03_BOC_TACH_VAN'!B:B, B616, '03_BOC_TACH_VAN'!K:K)</f>
        <v/>
      </c>
      <c r="K616" s="390">
        <f>SUM(H616:J616)</f>
        <v/>
      </c>
      <c r="L616" s="390">
        <f>K616*0.00</f>
        <v/>
      </c>
      <c r="M616" s="390">
        <f>K616*0.02</f>
        <v/>
      </c>
      <c r="N616" s="390">
        <f>K616+L616+M616</f>
        <v/>
      </c>
      <c r="O616" s="390">
        <f>IF(G616&gt;0, N616/G616, 0)</f>
        <v/>
      </c>
      <c r="P616" s="391" t="n">
        <v>0.1</v>
      </c>
      <c r="Q616" s="390">
        <f>O616*(1+P616)</f>
        <v/>
      </c>
      <c r="R616" s="390">
        <f>G616*Q616</f>
        <v/>
      </c>
      <c r="S616" t="inlineStr">
        <is>
          <t>Hàng thương mại</t>
        </is>
      </c>
    </row>
    <row r="617">
      <c r="A617" t="n">
        <v>616</v>
      </c>
      <c r="B617" t="inlineStr">
        <is>
          <t>SW-TRD-616</t>
        </is>
      </c>
      <c r="C617" t="inlineStr">
        <is>
          <t>THƯƠNG MẠI</t>
        </is>
      </c>
      <c r="D617" t="inlineStr">
        <is>
          <t>Ống đồng D12.7</t>
        </is>
      </c>
      <c r="E617" t="inlineStr">
        <is>
          <t>-</t>
        </is>
      </c>
      <c r="F617" t="inlineStr">
        <is>
          <t>m</t>
        </is>
      </c>
      <c r="G617" s="390" t="n">
        <v>1183</v>
      </c>
      <c r="H617" s="390">
        <f>SUMIF('01_BOC_TACH_ONG'!B:B, B617, '01_BOC_TACH_ONG'!K:K)</f>
        <v/>
      </c>
      <c r="I617" s="390">
        <f>SUMIF('02_BOC_TACH_CUA'!B:B, B617, '02_BOC_TACH_CUA'!K:K)</f>
        <v/>
      </c>
      <c r="J617" s="390">
        <f>SUMIF('03_BOC_TACH_VAN'!B:B, B617, '03_BOC_TACH_VAN'!K:K)</f>
        <v/>
      </c>
      <c r="K617" s="390">
        <f>SUM(H617:J617)</f>
        <v/>
      </c>
      <c r="L617" s="390">
        <f>K617*0.00</f>
        <v/>
      </c>
      <c r="M617" s="390">
        <f>K617*0.02</f>
        <v/>
      </c>
      <c r="N617" s="390">
        <f>K617+L617+M617</f>
        <v/>
      </c>
      <c r="O617" s="390">
        <f>IF(G617&gt;0, N617/G617, 0)</f>
        <v/>
      </c>
      <c r="P617" s="391" t="n">
        <v>0.1</v>
      </c>
      <c r="Q617" s="390">
        <f>O617*(1+P617)</f>
        <v/>
      </c>
      <c r="R617" s="390">
        <f>G617*Q617</f>
        <v/>
      </c>
      <c r="S617" t="inlineStr">
        <is>
          <t>Hàng thương mại</t>
        </is>
      </c>
    </row>
    <row r="618">
      <c r="A618" t="n">
        <v>617</v>
      </c>
      <c r="B618" t="inlineStr">
        <is>
          <t>SW-TRD-617</t>
        </is>
      </c>
      <c r="C618" t="inlineStr">
        <is>
          <t>THƯƠNG MẠI</t>
        </is>
      </c>
      <c r="D618" t="inlineStr">
        <is>
          <t>Ống đồng D15.9</t>
        </is>
      </c>
      <c r="E618" t="inlineStr">
        <is>
          <t>-</t>
        </is>
      </c>
      <c r="F618" t="inlineStr">
        <is>
          <t>m</t>
        </is>
      </c>
      <c r="G618" s="390" t="n">
        <v>1288</v>
      </c>
      <c r="H618" s="390">
        <f>SUMIF('01_BOC_TACH_ONG'!B:B, B618, '01_BOC_TACH_ONG'!K:K)</f>
        <v/>
      </c>
      <c r="I618" s="390">
        <f>SUMIF('02_BOC_TACH_CUA'!B:B, B618, '02_BOC_TACH_CUA'!K:K)</f>
        <v/>
      </c>
      <c r="J618" s="390">
        <f>SUMIF('03_BOC_TACH_VAN'!B:B, B618, '03_BOC_TACH_VAN'!K:K)</f>
        <v/>
      </c>
      <c r="K618" s="390">
        <f>SUM(H618:J618)</f>
        <v/>
      </c>
      <c r="L618" s="390">
        <f>K618*0.00</f>
        <v/>
      </c>
      <c r="M618" s="390">
        <f>K618*0.02</f>
        <v/>
      </c>
      <c r="N618" s="390">
        <f>K618+L618+M618</f>
        <v/>
      </c>
      <c r="O618" s="390">
        <f>IF(G618&gt;0, N618/G618, 0)</f>
        <v/>
      </c>
      <c r="P618" s="391" t="n">
        <v>0.1</v>
      </c>
      <c r="Q618" s="390">
        <f>O618*(1+P618)</f>
        <v/>
      </c>
      <c r="R618" s="390">
        <f>G618*Q618</f>
        <v/>
      </c>
      <c r="S618" t="inlineStr">
        <is>
          <t>Hàng thương mại</t>
        </is>
      </c>
    </row>
    <row r="619">
      <c r="A619" t="n">
        <v>618</v>
      </c>
      <c r="B619" t="inlineStr">
        <is>
          <t>SW-TRD-618</t>
        </is>
      </c>
      <c r="C619" t="inlineStr">
        <is>
          <t>THƯƠNG MẠI</t>
        </is>
      </c>
      <c r="D619" t="inlineStr">
        <is>
          <t>Ống đồng D19,1</t>
        </is>
      </c>
      <c r="E619" t="inlineStr">
        <is>
          <t>-</t>
        </is>
      </c>
      <c r="F619" t="inlineStr">
        <is>
          <t>m</t>
        </is>
      </c>
      <c r="G619" s="390" t="n">
        <v>1012</v>
      </c>
      <c r="H619" s="390">
        <f>SUMIF('01_BOC_TACH_ONG'!B:B, B619, '01_BOC_TACH_ONG'!K:K)</f>
        <v/>
      </c>
      <c r="I619" s="390">
        <f>SUMIF('02_BOC_TACH_CUA'!B:B, B619, '02_BOC_TACH_CUA'!K:K)</f>
        <v/>
      </c>
      <c r="J619" s="390">
        <f>SUMIF('03_BOC_TACH_VAN'!B:B, B619, '03_BOC_TACH_VAN'!K:K)</f>
        <v/>
      </c>
      <c r="K619" s="390">
        <f>SUM(H619:J619)</f>
        <v/>
      </c>
      <c r="L619" s="390">
        <f>K619*0.00</f>
        <v/>
      </c>
      <c r="M619" s="390">
        <f>K619*0.02</f>
        <v/>
      </c>
      <c r="N619" s="390">
        <f>K619+L619+M619</f>
        <v/>
      </c>
      <c r="O619" s="390">
        <f>IF(G619&gt;0, N619/G619, 0)</f>
        <v/>
      </c>
      <c r="P619" s="391" t="n">
        <v>0.1</v>
      </c>
      <c r="Q619" s="390">
        <f>O619*(1+P619)</f>
        <v/>
      </c>
      <c r="R619" s="390">
        <f>G619*Q619</f>
        <v/>
      </c>
      <c r="S619" t="inlineStr">
        <is>
          <t>Hàng thương mại</t>
        </is>
      </c>
    </row>
    <row r="620">
      <c r="A620" t="n">
        <v>619</v>
      </c>
      <c r="B620" t="inlineStr">
        <is>
          <t>SW-TRD-619</t>
        </is>
      </c>
      <c r="C620" t="inlineStr">
        <is>
          <t>THƯƠNG MẠI</t>
        </is>
      </c>
      <c r="D620" t="inlineStr">
        <is>
          <t>ỐNG ĐỒNG Cách nhiệt ông đồng D6.4</t>
        </is>
      </c>
      <c r="E620" t="inlineStr">
        <is>
          <t>-</t>
        </is>
      </c>
      <c r="F620" t="inlineStr">
        <is>
          <t>m</t>
        </is>
      </c>
      <c r="G620" s="390" t="n">
        <v>1183</v>
      </c>
      <c r="H620" s="390">
        <f>SUMIF('01_BOC_TACH_ONG'!B:B, B620, '01_BOC_TACH_ONG'!K:K)</f>
        <v/>
      </c>
      <c r="I620" s="390">
        <f>SUMIF('02_BOC_TACH_CUA'!B:B, B620, '02_BOC_TACH_CUA'!K:K)</f>
        <v/>
      </c>
      <c r="J620" s="390">
        <f>SUMIF('03_BOC_TACH_VAN'!B:B, B620, '03_BOC_TACH_VAN'!K:K)</f>
        <v/>
      </c>
      <c r="K620" s="390">
        <f>SUM(H620:J620)</f>
        <v/>
      </c>
      <c r="L620" s="390">
        <f>K620*0.00</f>
        <v/>
      </c>
      <c r="M620" s="390">
        <f>K620*0.02</f>
        <v/>
      </c>
      <c r="N620" s="390">
        <f>K620+L620+M620</f>
        <v/>
      </c>
      <c r="O620" s="390">
        <f>IF(G620&gt;0, N620/G620, 0)</f>
        <v/>
      </c>
      <c r="P620" s="391" t="n">
        <v>0.1</v>
      </c>
      <c r="Q620" s="390">
        <f>O620*(1+P620)</f>
        <v/>
      </c>
      <c r="R620" s="390">
        <f>G620*Q620</f>
        <v/>
      </c>
      <c r="S620" t="inlineStr">
        <is>
          <t>Hàng thương mại</t>
        </is>
      </c>
    </row>
    <row r="621">
      <c r="A621" t="n">
        <v>620</v>
      </c>
      <c r="B621" t="inlineStr">
        <is>
          <t>SW-TRD-620</t>
        </is>
      </c>
      <c r="C621" t="inlineStr">
        <is>
          <t>THƯƠNG MẠI</t>
        </is>
      </c>
      <c r="D621" t="inlineStr">
        <is>
          <t>ỐNG ĐỒNG Cách nhiệt ông đồng D9.5</t>
        </is>
      </c>
      <c r="E621" t="inlineStr">
        <is>
          <t>-</t>
        </is>
      </c>
      <c r="F621" t="inlineStr">
        <is>
          <t>m</t>
        </is>
      </c>
      <c r="G621" s="390" t="n">
        <v>2300</v>
      </c>
      <c r="H621" s="390">
        <f>SUMIF('01_BOC_TACH_ONG'!B:B, B621, '01_BOC_TACH_ONG'!K:K)</f>
        <v/>
      </c>
      <c r="I621" s="390">
        <f>SUMIF('02_BOC_TACH_CUA'!B:B, B621, '02_BOC_TACH_CUA'!K:K)</f>
        <v/>
      </c>
      <c r="J621" s="390">
        <f>SUMIF('03_BOC_TACH_VAN'!B:B, B621, '03_BOC_TACH_VAN'!K:K)</f>
        <v/>
      </c>
      <c r="K621" s="390">
        <f>SUM(H621:J621)</f>
        <v/>
      </c>
      <c r="L621" s="390">
        <f>K621*0.00</f>
        <v/>
      </c>
      <c r="M621" s="390">
        <f>K621*0.02</f>
        <v/>
      </c>
      <c r="N621" s="390">
        <f>K621+L621+M621</f>
        <v/>
      </c>
      <c r="O621" s="390">
        <f>IF(G621&gt;0, N621/G621, 0)</f>
        <v/>
      </c>
      <c r="P621" s="391" t="n">
        <v>0.1</v>
      </c>
      <c r="Q621" s="390">
        <f>O621*(1+P621)</f>
        <v/>
      </c>
      <c r="R621" s="390">
        <f>G621*Q621</f>
        <v/>
      </c>
      <c r="S621" t="inlineStr">
        <is>
          <t>Hàng thương mại</t>
        </is>
      </c>
    </row>
    <row r="622">
      <c r="A622" t="n">
        <v>621</v>
      </c>
      <c r="B622" t="inlineStr">
        <is>
          <t>SW-TRD-621</t>
        </is>
      </c>
      <c r="C622" t="inlineStr">
        <is>
          <t>THƯƠNG MẠI</t>
        </is>
      </c>
      <c r="D622" t="inlineStr">
        <is>
          <t>ỐNG ĐỒNG Cách nhiệt ông đồng D12.7</t>
        </is>
      </c>
      <c r="E622" t="inlineStr">
        <is>
          <t>-</t>
        </is>
      </c>
      <c r="F622" t="inlineStr">
        <is>
          <t>m</t>
        </is>
      </c>
      <c r="G622" s="390" t="n">
        <v>1183</v>
      </c>
      <c r="H622" s="390">
        <f>SUMIF('01_BOC_TACH_ONG'!B:B, B622, '01_BOC_TACH_ONG'!K:K)</f>
        <v/>
      </c>
      <c r="I622" s="390">
        <f>SUMIF('02_BOC_TACH_CUA'!B:B, B622, '02_BOC_TACH_CUA'!K:K)</f>
        <v/>
      </c>
      <c r="J622" s="390">
        <f>SUMIF('03_BOC_TACH_VAN'!B:B, B622, '03_BOC_TACH_VAN'!K:K)</f>
        <v/>
      </c>
      <c r="K622" s="390">
        <f>SUM(H622:J622)</f>
        <v/>
      </c>
      <c r="L622" s="390">
        <f>K622*0.00</f>
        <v/>
      </c>
      <c r="M622" s="390">
        <f>K622*0.02</f>
        <v/>
      </c>
      <c r="N622" s="390">
        <f>K622+L622+M622</f>
        <v/>
      </c>
      <c r="O622" s="390">
        <f>IF(G622&gt;0, N622/G622, 0)</f>
        <v/>
      </c>
      <c r="P622" s="391" t="n">
        <v>0.1</v>
      </c>
      <c r="Q622" s="390">
        <f>O622*(1+P622)</f>
        <v/>
      </c>
      <c r="R622" s="390">
        <f>G622*Q622</f>
        <v/>
      </c>
      <c r="S622" t="inlineStr">
        <is>
          <t>Hàng thương mại</t>
        </is>
      </c>
    </row>
    <row r="623">
      <c r="A623" t="n">
        <v>622</v>
      </c>
      <c r="B623" t="inlineStr">
        <is>
          <t>SW-TRD-622</t>
        </is>
      </c>
      <c r="C623" t="inlineStr">
        <is>
          <t>THƯƠNG MẠI</t>
        </is>
      </c>
      <c r="D623" t="inlineStr">
        <is>
          <t>ỐNG ĐỒNG Cách nhiệt ông đồng D15.9</t>
        </is>
      </c>
      <c r="E623" t="inlineStr">
        <is>
          <t>-</t>
        </is>
      </c>
      <c r="F623" t="inlineStr">
        <is>
          <t>m</t>
        </is>
      </c>
      <c r="G623" s="390" t="n">
        <v>1288</v>
      </c>
      <c r="H623" s="390">
        <f>SUMIF('01_BOC_TACH_ONG'!B:B, B623, '01_BOC_TACH_ONG'!K:K)</f>
        <v/>
      </c>
      <c r="I623" s="390">
        <f>SUMIF('02_BOC_TACH_CUA'!B:B, B623, '02_BOC_TACH_CUA'!K:K)</f>
        <v/>
      </c>
      <c r="J623" s="390">
        <f>SUMIF('03_BOC_TACH_VAN'!B:B, B623, '03_BOC_TACH_VAN'!K:K)</f>
        <v/>
      </c>
      <c r="K623" s="390">
        <f>SUM(H623:J623)</f>
        <v/>
      </c>
      <c r="L623" s="390">
        <f>K623*0.00</f>
        <v/>
      </c>
      <c r="M623" s="390">
        <f>K623*0.02</f>
        <v/>
      </c>
      <c r="N623" s="390">
        <f>K623+L623+M623</f>
        <v/>
      </c>
      <c r="O623" s="390">
        <f>IF(G623&gt;0, N623/G623, 0)</f>
        <v/>
      </c>
      <c r="P623" s="391" t="n">
        <v>0.1</v>
      </c>
      <c r="Q623" s="390">
        <f>O623*(1+P623)</f>
        <v/>
      </c>
      <c r="R623" s="390">
        <f>G623*Q623</f>
        <v/>
      </c>
      <c r="S623" t="inlineStr">
        <is>
          <t>Hàng thương mại</t>
        </is>
      </c>
    </row>
    <row r="624">
      <c r="A624" t="n">
        <v>623</v>
      </c>
      <c r="B624" t="inlineStr">
        <is>
          <t>SW-TRD-623</t>
        </is>
      </c>
      <c r="C624" t="inlineStr">
        <is>
          <t>THƯƠNG MẠI</t>
        </is>
      </c>
      <c r="D624" t="inlineStr">
        <is>
          <t>ỐNG ĐỒNG Cách nhiệt ông đồng D19,1</t>
        </is>
      </c>
      <c r="E624" t="inlineStr">
        <is>
          <t>-</t>
        </is>
      </c>
      <c r="F624" t="inlineStr">
        <is>
          <t>m</t>
        </is>
      </c>
      <c r="G624" s="390" t="n">
        <v>1012</v>
      </c>
      <c r="H624" s="390">
        <f>SUMIF('01_BOC_TACH_ONG'!B:B, B624, '01_BOC_TACH_ONG'!K:K)</f>
        <v/>
      </c>
      <c r="I624" s="390">
        <f>SUMIF('02_BOC_TACH_CUA'!B:B, B624, '02_BOC_TACH_CUA'!K:K)</f>
        <v/>
      </c>
      <c r="J624" s="390">
        <f>SUMIF('03_BOC_TACH_VAN'!B:B, B624, '03_BOC_TACH_VAN'!K:K)</f>
        <v/>
      </c>
      <c r="K624" s="390">
        <f>SUM(H624:J624)</f>
        <v/>
      </c>
      <c r="L624" s="390">
        <f>K624*0.00</f>
        <v/>
      </c>
      <c r="M624" s="390">
        <f>K624*0.02</f>
        <v/>
      </c>
      <c r="N624" s="390">
        <f>K624+L624+M624</f>
        <v/>
      </c>
      <c r="O624" s="390">
        <f>IF(G624&gt;0, N624/G624, 0)</f>
        <v/>
      </c>
      <c r="P624" s="391" t="n">
        <v>0.1</v>
      </c>
      <c r="Q624" s="390">
        <f>O624*(1+P624)</f>
        <v/>
      </c>
      <c r="R624" s="390">
        <f>G624*Q624</f>
        <v/>
      </c>
      <c r="S624" t="inlineStr">
        <is>
          <t>Hàng thương mại</t>
        </is>
      </c>
    </row>
    <row r="625">
      <c r="A625" t="n">
        <v>624</v>
      </c>
      <c r="B625" t="inlineStr">
        <is>
          <t>SW-TRD-624</t>
        </is>
      </c>
      <c r="C625" t="inlineStr">
        <is>
          <t>THƯƠNG MẠI</t>
        </is>
      </c>
      <c r="D625" t="inlineStr">
        <is>
          <t>ỐNG ĐỒNG Bộ chia gas</t>
        </is>
      </c>
      <c r="E625" t="inlineStr">
        <is>
          <t>-</t>
        </is>
      </c>
      <c r="F625" t="inlineStr">
        <is>
          <t>Bộ</t>
        </is>
      </c>
      <c r="G625" s="390" t="n">
        <v>276</v>
      </c>
      <c r="H625" s="390">
        <f>SUMIF('01_BOC_TACH_ONG'!B:B, B625, '01_BOC_TACH_ONG'!K:K)</f>
        <v/>
      </c>
      <c r="I625" s="390">
        <f>SUMIF('02_BOC_TACH_CUA'!B:B, B625, '02_BOC_TACH_CUA'!K:K)</f>
        <v/>
      </c>
      <c r="J625" s="390">
        <f>SUMIF('03_BOC_TACH_VAN'!B:B, B625, '03_BOC_TACH_VAN'!K:K)</f>
        <v/>
      </c>
      <c r="K625" s="390">
        <f>SUM(H625:J625)</f>
        <v/>
      </c>
      <c r="L625" s="390">
        <f>K625*0.00</f>
        <v/>
      </c>
      <c r="M625" s="390">
        <f>K625*0.02</f>
        <v/>
      </c>
      <c r="N625" s="390">
        <f>K625+L625+M625</f>
        <v/>
      </c>
      <c r="O625" s="390">
        <f>IF(G625&gt;0, N625/G625, 0)</f>
        <v/>
      </c>
      <c r="P625" s="391" t="n">
        <v>0.1</v>
      </c>
      <c r="Q625" s="390">
        <f>O625*(1+P625)</f>
        <v/>
      </c>
      <c r="R625" s="390">
        <f>G625*Q625</f>
        <v/>
      </c>
      <c r="S625" t="inlineStr">
        <is>
          <t>Hàng thương mại</t>
        </is>
      </c>
    </row>
    <row r="626">
      <c r="A626" t="n">
        <v>625</v>
      </c>
      <c r="B626" t="inlineStr">
        <is>
          <t>SW-TRD-625</t>
        </is>
      </c>
      <c r="C626" t="inlineStr">
        <is>
          <t>THƯƠNG MẠI</t>
        </is>
      </c>
      <c r="D626" t="inlineStr">
        <is>
          <t>ỐNG ĐỒNG Nap ga bổ sung</t>
        </is>
      </c>
      <c r="E626" t="inlineStr">
        <is>
          <t>-</t>
        </is>
      </c>
      <c r="F626" t="inlineStr">
        <is>
          <t>Lô</t>
        </is>
      </c>
      <c r="G626" s="390" t="n">
        <v>1</v>
      </c>
      <c r="H626" s="390">
        <f>SUMIF('01_BOC_TACH_ONG'!B:B, B626, '01_BOC_TACH_ONG'!K:K)</f>
        <v/>
      </c>
      <c r="I626" s="390">
        <f>SUMIF('02_BOC_TACH_CUA'!B:B, B626, '02_BOC_TACH_CUA'!K:K)</f>
        <v/>
      </c>
      <c r="J626" s="390">
        <f>SUMIF('03_BOC_TACH_VAN'!B:B, B626, '03_BOC_TACH_VAN'!K:K)</f>
        <v/>
      </c>
      <c r="K626" s="390">
        <f>SUM(H626:J626)</f>
        <v/>
      </c>
      <c r="L626" s="390">
        <f>K626*0.00</f>
        <v/>
      </c>
      <c r="M626" s="390">
        <f>K626*0.02</f>
        <v/>
      </c>
      <c r="N626" s="390">
        <f>K626+L626+M626</f>
        <v/>
      </c>
      <c r="O626" s="390">
        <f>IF(G626&gt;0, N626/G626, 0)</f>
        <v/>
      </c>
      <c r="P626" s="391" t="n">
        <v>0.1</v>
      </c>
      <c r="Q626" s="390">
        <f>O626*(1+P626)</f>
        <v/>
      </c>
      <c r="R626" s="390">
        <f>G626*Q626</f>
        <v/>
      </c>
      <c r="S626" t="inlineStr">
        <is>
          <t>Hàng thương mại</t>
        </is>
      </c>
    </row>
    <row r="627">
      <c r="A627" t="n">
        <v>626</v>
      </c>
      <c r="B627" t="inlineStr">
        <is>
          <t>SW-TRD-626</t>
        </is>
      </c>
      <c r="C627" t="inlineStr">
        <is>
          <t>THƯƠNG MẠI</t>
        </is>
      </c>
      <c r="D627" t="inlineStr">
        <is>
          <t>ỐNG ĐỒNG Vật tư phụ, phụ kiện</t>
        </is>
      </c>
      <c r="E627" t="inlineStr">
        <is>
          <t>-</t>
        </is>
      </c>
      <c r="F627" t="inlineStr">
        <is>
          <t>Lô</t>
        </is>
      </c>
      <c r="G627" s="390" t="n">
        <v>1</v>
      </c>
      <c r="H627" s="390">
        <f>SUMIF('01_BOC_TACH_ONG'!B:B, B627, '01_BOC_TACH_ONG'!K:K)</f>
        <v/>
      </c>
      <c r="I627" s="390">
        <f>SUMIF('02_BOC_TACH_CUA'!B:B, B627, '02_BOC_TACH_CUA'!K:K)</f>
        <v/>
      </c>
      <c r="J627" s="390">
        <f>SUMIF('03_BOC_TACH_VAN'!B:B, B627, '03_BOC_TACH_VAN'!K:K)</f>
        <v/>
      </c>
      <c r="K627" s="390">
        <f>SUM(H627:J627)</f>
        <v/>
      </c>
      <c r="L627" s="390">
        <f>K627*0.00</f>
        <v/>
      </c>
      <c r="M627" s="390">
        <f>K627*0.02</f>
        <v/>
      </c>
      <c r="N627" s="390">
        <f>K627+L627+M627</f>
        <v/>
      </c>
      <c r="O627" s="390">
        <f>IF(G627&gt;0, N627/G627, 0)</f>
        <v/>
      </c>
      <c r="P627" s="391" t="n">
        <v>0.1</v>
      </c>
      <c r="Q627" s="390">
        <f>O627*(1+P627)</f>
        <v/>
      </c>
      <c r="R627" s="390">
        <f>G627*Q627</f>
        <v/>
      </c>
      <c r="S627" t="inlineStr">
        <is>
          <t>Hàng thương mại</t>
        </is>
      </c>
    </row>
    <row r="628">
      <c r="A628" t="n">
        <v>627</v>
      </c>
      <c r="B628" t="inlineStr">
        <is>
          <t>SW-TRD-627</t>
        </is>
      </c>
      <c r="C628" t="inlineStr">
        <is>
          <t>THƯƠNG MẠI</t>
        </is>
      </c>
      <c r="D628" t="inlineStr">
        <is>
          <t>NƯỚC NGƯNG Ống uPVC D27</t>
        </is>
      </c>
      <c r="E628" t="inlineStr">
        <is>
          <t>-</t>
        </is>
      </c>
      <c r="F628" t="inlineStr">
        <is>
          <t>m</t>
        </is>
      </c>
      <c r="G628" s="390" t="n">
        <v>1338</v>
      </c>
      <c r="H628" s="390">
        <f>SUMIF('01_BOC_TACH_ONG'!B:B, B628, '01_BOC_TACH_ONG'!K:K)</f>
        <v/>
      </c>
      <c r="I628" s="390">
        <f>SUMIF('02_BOC_TACH_CUA'!B:B, B628, '02_BOC_TACH_CUA'!K:K)</f>
        <v/>
      </c>
      <c r="J628" s="390">
        <f>SUMIF('03_BOC_TACH_VAN'!B:B, B628, '03_BOC_TACH_VAN'!K:K)</f>
        <v/>
      </c>
      <c r="K628" s="390">
        <f>SUM(H628:J628)</f>
        <v/>
      </c>
      <c r="L628" s="390">
        <f>K628*0.00</f>
        <v/>
      </c>
      <c r="M628" s="390">
        <f>K628*0.02</f>
        <v/>
      </c>
      <c r="N628" s="390">
        <f>K628+L628+M628</f>
        <v/>
      </c>
      <c r="O628" s="390">
        <f>IF(G628&gt;0, N628/G628, 0)</f>
        <v/>
      </c>
      <c r="P628" s="391" t="n">
        <v>0.1</v>
      </c>
      <c r="Q628" s="390">
        <f>O628*(1+P628)</f>
        <v/>
      </c>
      <c r="R628" s="390">
        <f>G628*Q628</f>
        <v/>
      </c>
      <c r="S628" t="inlineStr">
        <is>
          <t>Hàng thương mại</t>
        </is>
      </c>
    </row>
    <row r="629">
      <c r="A629" t="n">
        <v>628</v>
      </c>
      <c r="B629" t="inlineStr">
        <is>
          <t>SW-TRD-628</t>
        </is>
      </c>
      <c r="C629" t="inlineStr">
        <is>
          <t>THƯƠNG MẠI</t>
        </is>
      </c>
      <c r="D629" t="inlineStr">
        <is>
          <t>NƯỚC NGƯNG Ống uPVC D34</t>
        </is>
      </c>
      <c r="E629" t="inlineStr">
        <is>
          <t>-</t>
        </is>
      </c>
      <c r="F629" t="inlineStr">
        <is>
          <t>m</t>
        </is>
      </c>
      <c r="G629" s="390" t="n">
        <v>617</v>
      </c>
      <c r="H629" s="390">
        <f>SUMIF('01_BOC_TACH_ONG'!B:B, B629, '01_BOC_TACH_ONG'!K:K)</f>
        <v/>
      </c>
      <c r="I629" s="390">
        <f>SUMIF('02_BOC_TACH_CUA'!B:B, B629, '02_BOC_TACH_CUA'!K:K)</f>
        <v/>
      </c>
      <c r="J629" s="390">
        <f>SUMIF('03_BOC_TACH_VAN'!B:B, B629, '03_BOC_TACH_VAN'!K:K)</f>
        <v/>
      </c>
      <c r="K629" s="390">
        <f>SUM(H629:J629)</f>
        <v/>
      </c>
      <c r="L629" s="390">
        <f>K629*0.00</f>
        <v/>
      </c>
      <c r="M629" s="390">
        <f>K629*0.02</f>
        <v/>
      </c>
      <c r="N629" s="390">
        <f>K629+L629+M629</f>
        <v/>
      </c>
      <c r="O629" s="390">
        <f>IF(G629&gt;0, N629/G629, 0)</f>
        <v/>
      </c>
      <c r="P629" s="391" t="n">
        <v>0.1</v>
      </c>
      <c r="Q629" s="390">
        <f>O629*(1+P629)</f>
        <v/>
      </c>
      <c r="R629" s="390">
        <f>G629*Q629</f>
        <v/>
      </c>
      <c r="S629" t="inlineStr">
        <is>
          <t>Hàng thương mại</t>
        </is>
      </c>
    </row>
    <row r="630">
      <c r="A630" t="n">
        <v>629</v>
      </c>
      <c r="B630" t="inlineStr">
        <is>
          <t>SW-TRD-629</t>
        </is>
      </c>
      <c r="C630" t="inlineStr">
        <is>
          <t>THƯƠNG MẠI</t>
        </is>
      </c>
      <c r="D630" t="inlineStr">
        <is>
          <t>NƯỚC NGƯNG Ống uPVC D60</t>
        </is>
      </c>
      <c r="E630" t="inlineStr">
        <is>
          <t>-</t>
        </is>
      </c>
      <c r="F630" t="inlineStr">
        <is>
          <t>m</t>
        </is>
      </c>
      <c r="G630" s="390" t="n">
        <v>2251.8</v>
      </c>
      <c r="H630" s="390">
        <f>SUMIF('01_BOC_TACH_ONG'!B:B, B630, '01_BOC_TACH_ONG'!K:K)</f>
        <v/>
      </c>
      <c r="I630" s="390">
        <f>SUMIF('02_BOC_TACH_CUA'!B:B, B630, '02_BOC_TACH_CUA'!K:K)</f>
        <v/>
      </c>
      <c r="J630" s="390">
        <f>SUMIF('03_BOC_TACH_VAN'!B:B, B630, '03_BOC_TACH_VAN'!K:K)</f>
        <v/>
      </c>
      <c r="K630" s="390">
        <f>SUM(H630:J630)</f>
        <v/>
      </c>
      <c r="L630" s="390">
        <f>K630*0.00</f>
        <v/>
      </c>
      <c r="M630" s="390">
        <f>K630*0.02</f>
        <v/>
      </c>
      <c r="N630" s="390">
        <f>K630+L630+M630</f>
        <v/>
      </c>
      <c r="O630" s="390">
        <f>IF(G630&gt;0, N630/G630, 0)</f>
        <v/>
      </c>
      <c r="P630" s="391" t="n">
        <v>0.1</v>
      </c>
      <c r="Q630" s="390">
        <f>O630*(1+P630)</f>
        <v/>
      </c>
      <c r="R630" s="390">
        <f>G630*Q630</f>
        <v/>
      </c>
      <c r="S630" t="inlineStr">
        <is>
          <t>Hàng thương mại</t>
        </is>
      </c>
    </row>
    <row r="631">
      <c r="A631" t="n">
        <v>630</v>
      </c>
      <c r="B631" t="inlineStr">
        <is>
          <t>SW-TRD-630</t>
        </is>
      </c>
      <c r="C631" t="inlineStr">
        <is>
          <t>THƯƠNG MẠI</t>
        </is>
      </c>
      <c r="D631" t="inlineStr">
        <is>
          <t>NƯỚC NGƯNG Cách nhiệt ống uPVC D27</t>
        </is>
      </c>
      <c r="E631" t="inlineStr">
        <is>
          <t>-</t>
        </is>
      </c>
      <c r="F631" t="inlineStr">
        <is>
          <t>m</t>
        </is>
      </c>
      <c r="G631" s="390" t="n">
        <v>1338</v>
      </c>
      <c r="H631" s="390">
        <f>SUMIF('01_BOC_TACH_ONG'!B:B, B631, '01_BOC_TACH_ONG'!K:K)</f>
        <v/>
      </c>
      <c r="I631" s="390">
        <f>SUMIF('02_BOC_TACH_CUA'!B:B, B631, '02_BOC_TACH_CUA'!K:K)</f>
        <v/>
      </c>
      <c r="J631" s="390">
        <f>SUMIF('03_BOC_TACH_VAN'!B:B, B631, '03_BOC_TACH_VAN'!K:K)</f>
        <v/>
      </c>
      <c r="K631" s="390">
        <f>SUM(H631:J631)</f>
        <v/>
      </c>
      <c r="L631" s="390">
        <f>K631*0.00</f>
        <v/>
      </c>
      <c r="M631" s="390">
        <f>K631*0.02</f>
        <v/>
      </c>
      <c r="N631" s="390">
        <f>K631+L631+M631</f>
        <v/>
      </c>
      <c r="O631" s="390">
        <f>IF(G631&gt;0, N631/G631, 0)</f>
        <v/>
      </c>
      <c r="P631" s="391" t="n">
        <v>0.1</v>
      </c>
      <c r="Q631" s="390">
        <f>O631*(1+P631)</f>
        <v/>
      </c>
      <c r="R631" s="390">
        <f>G631*Q631</f>
        <v/>
      </c>
      <c r="S631" t="inlineStr">
        <is>
          <t>Hàng thương mại</t>
        </is>
      </c>
    </row>
    <row r="632">
      <c r="A632" t="n">
        <v>631</v>
      </c>
      <c r="B632" t="inlineStr">
        <is>
          <t>SW-TRD-631</t>
        </is>
      </c>
      <c r="C632" t="inlineStr">
        <is>
          <t>THƯƠNG MẠI</t>
        </is>
      </c>
      <c r="D632" t="inlineStr">
        <is>
          <t>NƯỚC NGƯNG Cách nhiệt ống uPVC D34</t>
        </is>
      </c>
      <c r="E632" t="inlineStr">
        <is>
          <t>-</t>
        </is>
      </c>
      <c r="F632" t="inlineStr">
        <is>
          <t>m</t>
        </is>
      </c>
      <c r="G632" s="390" t="n">
        <v>617</v>
      </c>
      <c r="H632" s="390">
        <f>SUMIF('01_BOC_TACH_ONG'!B:B, B632, '01_BOC_TACH_ONG'!K:K)</f>
        <v/>
      </c>
      <c r="I632" s="390">
        <f>SUMIF('02_BOC_TACH_CUA'!B:B, B632, '02_BOC_TACH_CUA'!K:K)</f>
        <v/>
      </c>
      <c r="J632" s="390">
        <f>SUMIF('03_BOC_TACH_VAN'!B:B, B632, '03_BOC_TACH_VAN'!K:K)</f>
        <v/>
      </c>
      <c r="K632" s="390">
        <f>SUM(H632:J632)</f>
        <v/>
      </c>
      <c r="L632" s="390">
        <f>K632*0.00</f>
        <v/>
      </c>
      <c r="M632" s="390">
        <f>K632*0.02</f>
        <v/>
      </c>
      <c r="N632" s="390">
        <f>K632+L632+M632</f>
        <v/>
      </c>
      <c r="O632" s="390">
        <f>IF(G632&gt;0, N632/G632, 0)</f>
        <v/>
      </c>
      <c r="P632" s="391" t="n">
        <v>0.1</v>
      </c>
      <c r="Q632" s="390">
        <f>O632*(1+P632)</f>
        <v/>
      </c>
      <c r="R632" s="390">
        <f>G632*Q632</f>
        <v/>
      </c>
      <c r="S632" t="inlineStr">
        <is>
          <t>Hàng thương mại</t>
        </is>
      </c>
    </row>
    <row r="633">
      <c r="A633" t="n">
        <v>632</v>
      </c>
      <c r="B633" t="inlineStr">
        <is>
          <t>SW-TRD-632</t>
        </is>
      </c>
      <c r="C633" t="inlineStr">
        <is>
          <t>THƯƠNG MẠI</t>
        </is>
      </c>
      <c r="D633" t="inlineStr">
        <is>
          <t>NƯỚC NGƯNG Cách nhiệt ống uPVC D60</t>
        </is>
      </c>
      <c r="E633" t="inlineStr">
        <is>
          <t>-</t>
        </is>
      </c>
      <c r="F633" t="inlineStr">
        <is>
          <t>m</t>
        </is>
      </c>
      <c r="G633" s="390" t="n">
        <v>2251.8</v>
      </c>
      <c r="H633" s="390">
        <f>SUMIF('01_BOC_TACH_ONG'!B:B, B633, '01_BOC_TACH_ONG'!K:K)</f>
        <v/>
      </c>
      <c r="I633" s="390">
        <f>SUMIF('02_BOC_TACH_CUA'!B:B, B633, '02_BOC_TACH_CUA'!K:K)</f>
        <v/>
      </c>
      <c r="J633" s="390">
        <f>SUMIF('03_BOC_TACH_VAN'!B:B, B633, '03_BOC_TACH_VAN'!K:K)</f>
        <v/>
      </c>
      <c r="K633" s="390">
        <f>SUM(H633:J633)</f>
        <v/>
      </c>
      <c r="L633" s="390">
        <f>K633*0.00</f>
        <v/>
      </c>
      <c r="M633" s="390">
        <f>K633*0.02</f>
        <v/>
      </c>
      <c r="N633" s="390">
        <f>K633+L633+M633</f>
        <v/>
      </c>
      <c r="O633" s="390">
        <f>IF(G633&gt;0, N633/G633, 0)</f>
        <v/>
      </c>
      <c r="P633" s="391" t="n">
        <v>0.1</v>
      </c>
      <c r="Q633" s="390">
        <f>O633*(1+P633)</f>
        <v/>
      </c>
      <c r="R633" s="390">
        <f>G633*Q633</f>
        <v/>
      </c>
      <c r="S633" t="inlineStr">
        <is>
          <t>Hàng thương mại</t>
        </is>
      </c>
    </row>
    <row r="634">
      <c r="A634" t="n">
        <v>633</v>
      </c>
      <c r="B634" t="inlineStr">
        <is>
          <t>SW-TRD-633</t>
        </is>
      </c>
      <c r="C634" t="inlineStr">
        <is>
          <t>THƯƠNG MẠI</t>
        </is>
      </c>
      <c r="D634" t="inlineStr">
        <is>
          <t>NƯỚC NGƯNG Vật tư phụ, phụ kiện</t>
        </is>
      </c>
      <c r="E634" t="inlineStr">
        <is>
          <t>-</t>
        </is>
      </c>
      <c r="F634" t="inlineStr">
        <is>
          <t>Lô</t>
        </is>
      </c>
      <c r="G634" s="390" t="n">
        <v>1</v>
      </c>
      <c r="H634" s="390">
        <f>SUMIF('01_BOC_TACH_ONG'!B:B, B634, '01_BOC_TACH_ONG'!K:K)</f>
        <v/>
      </c>
      <c r="I634" s="390">
        <f>SUMIF('02_BOC_TACH_CUA'!B:B, B634, '02_BOC_TACH_CUA'!K:K)</f>
        <v/>
      </c>
      <c r="J634" s="390">
        <f>SUMIF('03_BOC_TACH_VAN'!B:B, B634, '03_BOC_TACH_VAN'!K:K)</f>
        <v/>
      </c>
      <c r="K634" s="390">
        <f>SUM(H634:J634)</f>
        <v/>
      </c>
      <c r="L634" s="390">
        <f>K634*0.00</f>
        <v/>
      </c>
      <c r="M634" s="390">
        <f>K634*0.02</f>
        <v/>
      </c>
      <c r="N634" s="390">
        <f>K634+L634+M634</f>
        <v/>
      </c>
      <c r="O634" s="390">
        <f>IF(G634&gt;0, N634/G634, 0)</f>
        <v/>
      </c>
      <c r="P634" s="391" t="n">
        <v>0.1</v>
      </c>
      <c r="Q634" s="390">
        <f>O634*(1+P634)</f>
        <v/>
      </c>
      <c r="R634" s="390">
        <f>G634*Q634</f>
        <v/>
      </c>
      <c r="S634" t="inlineStr">
        <is>
          <t>Hàng thương mại</t>
        </is>
      </c>
    </row>
    <row r="635">
      <c r="A635" t="n">
        <v>634</v>
      </c>
      <c r="B635" t="inlineStr">
        <is>
          <t>SW-TRD-634</t>
        </is>
      </c>
      <c r="C635" t="inlineStr">
        <is>
          <t>THƯƠNG MẠI</t>
        </is>
      </c>
      <c r="D635" t="inlineStr">
        <is>
          <t>CHI PHÍ CHUNG Kiểm tra, nghiệm thu và bàn giao hệ thống</t>
        </is>
      </c>
      <c r="E635" t="inlineStr">
        <is>
          <t>-</t>
        </is>
      </c>
      <c r="F635" t="inlineStr">
        <is>
          <t>Lô</t>
        </is>
      </c>
      <c r="G635" s="390" t="n">
        <v>1</v>
      </c>
      <c r="H635" s="390">
        <f>SUMIF('01_BOC_TACH_ONG'!B:B, B635, '01_BOC_TACH_ONG'!K:K)</f>
        <v/>
      </c>
      <c r="I635" s="390">
        <f>SUMIF('02_BOC_TACH_CUA'!B:B, B635, '02_BOC_TACH_CUA'!K:K)</f>
        <v/>
      </c>
      <c r="J635" s="390">
        <f>SUMIF('03_BOC_TACH_VAN'!B:B, B635, '03_BOC_TACH_VAN'!K:K)</f>
        <v/>
      </c>
      <c r="K635" s="390">
        <f>SUM(H635:J635)</f>
        <v/>
      </c>
      <c r="L635" s="390">
        <f>K635*0.00</f>
        <v/>
      </c>
      <c r="M635" s="390">
        <f>K635*0.02</f>
        <v/>
      </c>
      <c r="N635" s="390">
        <f>K635+L635+M635</f>
        <v/>
      </c>
      <c r="O635" s="390">
        <f>IF(G635&gt;0, N635/G635, 0)</f>
        <v/>
      </c>
      <c r="P635" s="391" t="n">
        <v>0.1</v>
      </c>
      <c r="Q635" s="390">
        <f>O635*(1+P635)</f>
        <v/>
      </c>
      <c r="R635" s="390">
        <f>G635*Q635</f>
        <v/>
      </c>
      <c r="S635" t="inlineStr">
        <is>
          <t>Hàng thương mại</t>
        </is>
      </c>
    </row>
    <row r="636">
      <c r="A636" t="n">
        <v>635</v>
      </c>
      <c r="B636" t="inlineStr">
        <is>
          <t>SW-TRD-635</t>
        </is>
      </c>
      <c r="C636" t="inlineStr">
        <is>
          <t>THƯƠNG MẠI</t>
        </is>
      </c>
      <c r="D636" t="inlineStr">
        <is>
          <t>CHI PHÍ CHUNG Chi phí cắt đục, đóng lưới trám trét tường</t>
        </is>
      </c>
      <c r="E636" t="inlineStr">
        <is>
          <t>-</t>
        </is>
      </c>
      <c r="F636" t="inlineStr">
        <is>
          <t>Lô</t>
        </is>
      </c>
      <c r="G636" s="390" t="n">
        <v>1</v>
      </c>
      <c r="H636" s="390">
        <f>SUMIF('01_BOC_TACH_ONG'!B:B, B636, '01_BOC_TACH_ONG'!K:K)</f>
        <v/>
      </c>
      <c r="I636" s="390">
        <f>SUMIF('02_BOC_TACH_CUA'!B:B, B636, '02_BOC_TACH_CUA'!K:K)</f>
        <v/>
      </c>
      <c r="J636" s="390">
        <f>SUMIF('03_BOC_TACH_VAN'!B:B, B636, '03_BOC_TACH_VAN'!K:K)</f>
        <v/>
      </c>
      <c r="K636" s="390">
        <f>SUM(H636:J636)</f>
        <v/>
      </c>
      <c r="L636" s="390">
        <f>K636*0.00</f>
        <v/>
      </c>
      <c r="M636" s="390">
        <f>K636*0.02</f>
        <v/>
      </c>
      <c r="N636" s="390">
        <f>K636+L636+M636</f>
        <v/>
      </c>
      <c r="O636" s="390">
        <f>IF(G636&gt;0, N636/G636, 0)</f>
        <v/>
      </c>
      <c r="P636" s="391" t="n">
        <v>0.1</v>
      </c>
      <c r="Q636" s="390">
        <f>O636*(1+P636)</f>
        <v/>
      </c>
      <c r="R636" s="390">
        <f>G636*Q636</f>
        <v/>
      </c>
      <c r="S636" t="inlineStr">
        <is>
          <t>Hàng thương mại</t>
        </is>
      </c>
    </row>
    <row r="637">
      <c r="A637" t="n">
        <v>636</v>
      </c>
      <c r="B637" t="inlineStr">
        <is>
          <t>SW-TRD-636</t>
        </is>
      </c>
      <c r="C637" t="inlineStr">
        <is>
          <t>THƯƠNG MẠI</t>
        </is>
      </c>
      <c r="D637" t="inlineStr">
        <is>
          <t>CHI PHÍ CHUNG Chi phí chống cháy lan</t>
        </is>
      </c>
      <c r="E637" t="inlineStr">
        <is>
          <t>-</t>
        </is>
      </c>
      <c r="F637" t="inlineStr">
        <is>
          <t>Lô</t>
        </is>
      </c>
      <c r="G637" s="390" t="n">
        <v>1</v>
      </c>
      <c r="H637" s="390">
        <f>SUMIF('01_BOC_TACH_ONG'!B:B, B637, '01_BOC_TACH_ONG'!K:K)</f>
        <v/>
      </c>
      <c r="I637" s="390">
        <f>SUMIF('02_BOC_TACH_CUA'!B:B, B637, '02_BOC_TACH_CUA'!K:K)</f>
        <v/>
      </c>
      <c r="J637" s="390">
        <f>SUMIF('03_BOC_TACH_VAN'!B:B, B637, '03_BOC_TACH_VAN'!K:K)</f>
        <v/>
      </c>
      <c r="K637" s="390">
        <f>SUM(H637:J637)</f>
        <v/>
      </c>
      <c r="L637" s="390">
        <f>K637*0.00</f>
        <v/>
      </c>
      <c r="M637" s="390">
        <f>K637*0.02</f>
        <v/>
      </c>
      <c r="N637" s="390">
        <f>K637+L637+M637</f>
        <v/>
      </c>
      <c r="O637" s="390">
        <f>IF(G637&gt;0, N637/G637, 0)</f>
        <v/>
      </c>
      <c r="P637" s="391" t="n">
        <v>0.1</v>
      </c>
      <c r="Q637" s="390">
        <f>O637*(1+P637)</f>
        <v/>
      </c>
      <c r="R637" s="390">
        <f>G637*Q637</f>
        <v/>
      </c>
      <c r="S637" t="inlineStr">
        <is>
          <t>Hàng thương mại</t>
        </is>
      </c>
    </row>
    <row r="638">
      <c r="A638" s="392" t="inlineStr">
        <is>
          <t>TỔNG CỘNG</t>
        </is>
      </c>
      <c r="H638" s="393">
        <f>SUM(H2:H637)</f>
        <v/>
      </c>
      <c r="I638" s="393">
        <f>SUM(I2:I637)</f>
        <v/>
      </c>
      <c r="J638" s="393">
        <f>SUM(J2:J637)</f>
        <v/>
      </c>
      <c r="K638" s="393">
        <f>SUM(K2:K637)</f>
        <v/>
      </c>
      <c r="L638" s="393">
        <f>SUM(L2:L637)</f>
        <v/>
      </c>
      <c r="M638" s="393">
        <f>SUM(M2:M637)</f>
        <v/>
      </c>
      <c r="N638" s="393">
        <f>SUM(N2:N637)</f>
        <v/>
      </c>
      <c r="R638" s="393">
        <f>SUM(R2:R637)</f>
        <v/>
      </c>
    </row>
  </sheetData>
  <mergeCells count="1">
    <mergeCell ref="A638:F6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3"/>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SW-TRD-001-TM</t>
        </is>
      </c>
      <c r="B2" t="inlineStr">
        <is>
          <t>SW-TRD-001</t>
        </is>
      </c>
      <c r="C2" t="inlineStr">
        <is>
          <t>HỆ THỐNG HÚT KHÓI HẦM XE, HÚT KHÓI SỰ CỐ Quạt hướng trục CEF-B2-Z1-01~02 5290/9430 l/s @ 500/1350 Pa, chống cháy 300°C trong 2h,</t>
        </is>
      </c>
      <c r="D2" t="inlineStr">
        <is>
          <t>THUONG_MAI</t>
        </is>
      </c>
      <c r="E2" t="inlineStr">
        <is>
          <t>MAT-THUONG_MAI-HE_THONG_HUT_KHOI_HAM_XE_HUT_K_BDCE</t>
        </is>
      </c>
      <c r="F2" t="inlineStr">
        <is>
          <t>Cái</t>
        </is>
      </c>
      <c r="G2" s="394" t="n">
        <v>1</v>
      </c>
      <c r="H2" s="390">
        <f>IFERROR(INDEX('00_TONG_HOP_BAO_GIA'!$G$1:$G$5000, MATCH(B2, '00_TONG_HOP_BAO_GIA'!$B$1:$B$5000, 0)), 1)</f>
        <v/>
      </c>
      <c r="I2" s="395">
        <f>G2*H2</f>
        <v/>
      </c>
      <c r="J2" s="390">
        <f>IFERROR(INDEX('06_BANG_GIA_VAT_TU_AP_DUNG'!$E$1:$E$5000, MATCH(E2, '06_BANG_GIA_VAT_TU_AP_DUNG'!$B$1:$B$5000, 0)), 0)</f>
        <v/>
      </c>
      <c r="K2" s="390">
        <f>I2*J2</f>
        <v/>
      </c>
      <c r="L2" t="inlineStr">
        <is>
          <t>Hàng thương mại mua ngoài</t>
        </is>
      </c>
    </row>
    <row r="3">
      <c r="A3" t="inlineStr">
        <is>
          <t>SW-TRD-002-TM</t>
        </is>
      </c>
      <c r="B3" t="inlineStr">
        <is>
          <t>SW-TRD-002</t>
        </is>
      </c>
      <c r="C3" t="inlineStr">
        <is>
          <t>HỆ THỐNG HÚT KHÓI HẦM XE, HÚT KHÓI SỰ CỐ Quạt hướng trục CEF-B2-Z2-01~02 5490/8910 l/s @ 600/1350 Pa, chống cháy 300°C trong 2h</t>
        </is>
      </c>
      <c r="D3" t="inlineStr">
        <is>
          <t>THUONG_MAI</t>
        </is>
      </c>
      <c r="E3" t="inlineStr">
        <is>
          <t>MAT-THUONG_MAI-HE_THONG_HUT_KHOI_HAM_XE_HUT_K_5C8C</t>
        </is>
      </c>
      <c r="F3" t="inlineStr">
        <is>
          <t>Cái</t>
        </is>
      </c>
      <c r="G3" s="394" t="n">
        <v>1</v>
      </c>
      <c r="H3" s="390">
        <f>IFERROR(INDEX('00_TONG_HOP_BAO_GIA'!$G$1:$G$5000, MATCH(B3, '00_TONG_HOP_BAO_GIA'!$B$1:$B$5000, 0)), 1)</f>
        <v/>
      </c>
      <c r="I3" s="395">
        <f>G3*H3</f>
        <v/>
      </c>
      <c r="J3" s="390">
        <f>IFERROR(INDEX('06_BANG_GIA_VAT_TU_AP_DUNG'!$E$1:$E$5000, MATCH(E3, '06_BANG_GIA_VAT_TU_AP_DUNG'!$B$1:$B$5000, 0)), 0)</f>
        <v/>
      </c>
      <c r="K3" s="390">
        <f>I3*J3</f>
        <v/>
      </c>
      <c r="L3" t="inlineStr">
        <is>
          <t>Hàng thương mại mua ngoài</t>
        </is>
      </c>
    </row>
    <row r="4">
      <c r="A4" t="inlineStr">
        <is>
          <t>SW-TRD-003-TM</t>
        </is>
      </c>
      <c r="B4" t="inlineStr">
        <is>
          <t>SW-TRD-003</t>
        </is>
      </c>
      <c r="C4" t="inlineStr">
        <is>
          <t>HỆ THỐNG HÚT KHÓI HẦM XE, HÚT KHÓI SỰ CỐ Quạt hướng trục CEF-B1-Z1-01~02 5590/8385 l/s @ 600/1350 Pa, chống cháy 300°C trong 2h</t>
        </is>
      </c>
      <c r="D4" t="inlineStr">
        <is>
          <t>THUONG_MAI</t>
        </is>
      </c>
      <c r="E4" t="inlineStr">
        <is>
          <t>MAT-THUONG_MAI-HE_THONG_HUT_KHOI_HAM_XE_HUT_K_85A7</t>
        </is>
      </c>
      <c r="F4" t="inlineStr">
        <is>
          <t>Cái</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Hàng thương mại mua ngoài</t>
        </is>
      </c>
    </row>
    <row r="5">
      <c r="A5" t="inlineStr">
        <is>
          <t>SW-TRD-004-TM</t>
        </is>
      </c>
      <c r="B5" t="inlineStr">
        <is>
          <t>SW-TRD-004</t>
        </is>
      </c>
      <c r="C5" t="inlineStr">
        <is>
          <t>HỆ THỐNG HÚT KHÓI HẦM XE, HÚT KHÓI SỰ CỐ Quạt hướng trục CEF-B1-Z2-01~02 5135/7700 l/s @ 600/1350 Pa, chống cháy 300°C trong 2h</t>
        </is>
      </c>
      <c r="D5" t="inlineStr">
        <is>
          <t>THUONG_MAI</t>
        </is>
      </c>
      <c r="E5" t="inlineStr">
        <is>
          <t>MAT-THUONG_MAI-HE_THONG_HUT_KHOI_HAM_XE_HUT_K_50BF</t>
        </is>
      </c>
      <c r="F5" t="inlineStr">
        <is>
          <t>Cái</t>
        </is>
      </c>
      <c r="G5" s="394" t="n">
        <v>1</v>
      </c>
      <c r="H5" s="390">
        <f>IFERROR(INDEX('00_TONG_HOP_BAO_GIA'!$G$1:$G$5000, MATCH(B5, '00_TONG_HOP_BAO_GIA'!$B$1:$B$5000, 0)), 1)</f>
        <v/>
      </c>
      <c r="I5" s="395">
        <f>G5*H5</f>
        <v/>
      </c>
      <c r="J5" s="390">
        <f>IFERROR(INDEX('06_BANG_GIA_VAT_TU_AP_DUNG'!$E$1:$E$5000, MATCH(E5, '06_BANG_GIA_VAT_TU_AP_DUNG'!$B$1:$B$5000, 0)), 0)</f>
        <v/>
      </c>
      <c r="K5" s="390">
        <f>I5*J5</f>
        <v/>
      </c>
      <c r="L5" t="inlineStr">
        <is>
          <t>Hàng thương mại mua ngoài</t>
        </is>
      </c>
    </row>
    <row r="6">
      <c r="A6" t="inlineStr">
        <is>
          <t>SW-TRD-005-TM</t>
        </is>
      </c>
      <c r="B6" t="inlineStr">
        <is>
          <t>SW-TRD-005</t>
        </is>
      </c>
      <c r="C6" t="inlineStr">
        <is>
          <t>HỆ THỐNG HÚT KHÓI HẦM XE, HÚT KHÓI SỰ CỐ Quạt hướng trục SEF-B1-Z2-01 4800 l/s @ 500 Pa, chống cháy 300°C trong 2h</t>
        </is>
      </c>
      <c r="D6" t="inlineStr">
        <is>
          <t>THUONG_MAI</t>
        </is>
      </c>
      <c r="E6" t="inlineStr">
        <is>
          <t>MAT-THUONG_MAI-HE_THONG_HUT_KHOI_HAM_XE_HUT_K_C640</t>
        </is>
      </c>
      <c r="F6" t="inlineStr">
        <is>
          <t>Cái</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Hàng thương mại mua ngoài</t>
        </is>
      </c>
    </row>
    <row r="7">
      <c r="A7" t="inlineStr">
        <is>
          <t>SW-TRD-006-TM</t>
        </is>
      </c>
      <c r="B7" t="inlineStr">
        <is>
          <t>SW-TRD-006</t>
        </is>
      </c>
      <c r="C7" t="inlineStr">
        <is>
          <t>HỆ THỐNG HÚT KHÓI HẦM XE, HÚT KHÓI SỰ CỐ Quạt hướng trục SEF-A1.1-03F-01~02 7400 l/s @ 400 Pa, chống cháy 300°C trong 2h</t>
        </is>
      </c>
      <c r="D7" t="inlineStr">
        <is>
          <t>THUONG_MAI</t>
        </is>
      </c>
      <c r="E7" t="inlineStr">
        <is>
          <t>MAT-THUONG_MAI-HE_THONG_HUT_KHOI_HAM_XE_HUT_K_5E99</t>
        </is>
      </c>
      <c r="F7" t="inlineStr">
        <is>
          <t>Cái</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Hàng thương mại mua ngoài</t>
        </is>
      </c>
    </row>
    <row r="8">
      <c r="A8" t="inlineStr">
        <is>
          <t>SW-TRD-007-TM</t>
        </is>
      </c>
      <c r="B8" t="inlineStr">
        <is>
          <t>SW-TRD-007</t>
        </is>
      </c>
      <c r="C8" t="inlineStr">
        <is>
          <t>HỆ THỐNG HÚT KHÓI HẦM XE, HÚT KHÓI SỰ CỐ Quạt hướng trục SEF-A1.2-03F-01~02 6700 l/s @ 500 Pa, chống cháy 300°C trong 2h</t>
        </is>
      </c>
      <c r="D8" t="inlineStr">
        <is>
          <t>THUONG_MAI</t>
        </is>
      </c>
      <c r="E8" t="inlineStr">
        <is>
          <t>MAT-THUONG_MAI-HE_THONG_HUT_KHOI_HAM_XE_HUT_K_0135</t>
        </is>
      </c>
      <c r="F8" t="inlineStr">
        <is>
          <t>Cái</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Hàng thương mại mua ngoài</t>
        </is>
      </c>
    </row>
    <row r="9">
      <c r="A9" t="inlineStr">
        <is>
          <t>SW-TRD-008-TM</t>
        </is>
      </c>
      <c r="B9" t="inlineStr">
        <is>
          <t>SW-TRD-008</t>
        </is>
      </c>
      <c r="C9" t="inlineStr">
        <is>
          <t>HỆ THỐNG HÚT KHÓI HẦM XE, HÚT KHÓI SỰ CỐ Quạt hướng trục SEF-A1.2-03F-03 5100 l/s @ 500 Pa, chống cháy 300°C trong 2h</t>
        </is>
      </c>
      <c r="D9" t="inlineStr">
        <is>
          <t>THUONG_MAI</t>
        </is>
      </c>
      <c r="E9" t="inlineStr">
        <is>
          <t>MAT-THUONG_MAI-HE_THONG_HUT_KHOI_HAM_XE_HUT_K_8FEB</t>
        </is>
      </c>
      <c r="F9" t="inlineStr">
        <is>
          <t>Cái</t>
        </is>
      </c>
      <c r="G9" s="394" t="n">
        <v>1</v>
      </c>
      <c r="H9" s="390">
        <f>IFERROR(INDEX('00_TONG_HOP_BAO_GIA'!$G$1:$G$5000, MATCH(B9, '00_TONG_HOP_BAO_GIA'!$B$1:$B$5000, 0)), 1)</f>
        <v/>
      </c>
      <c r="I9" s="395">
        <f>G9*H9</f>
        <v/>
      </c>
      <c r="J9" s="390">
        <f>IFERROR(INDEX('06_BANG_GIA_VAT_TU_AP_DUNG'!$E$1:$E$5000, MATCH(E9, '06_BANG_GIA_VAT_TU_AP_DUNG'!$B$1:$B$5000, 0)), 0)</f>
        <v/>
      </c>
      <c r="K9" s="390">
        <f>I9*J9</f>
        <v/>
      </c>
      <c r="L9" t="inlineStr">
        <is>
          <t>Hàng thương mại mua ngoài</t>
        </is>
      </c>
    </row>
    <row r="10">
      <c r="A10" t="inlineStr">
        <is>
          <t>SW-TRD-009-TM</t>
        </is>
      </c>
      <c r="B10" t="inlineStr">
        <is>
          <t>SW-TRD-009</t>
        </is>
      </c>
      <c r="C10" t="inlineStr">
        <is>
          <t>HỆ THỐNG HÚT KHÓI HẦM XE, HÚT KHÓI SỰ CỐ Quạt hướng trục SEF-A1.3-03F-01~03 4800 l/s @ 500 Pa, chống cháy 300°C trong 2h</t>
        </is>
      </c>
      <c r="D10" t="inlineStr">
        <is>
          <t>THUONG_MAI</t>
        </is>
      </c>
      <c r="E10" t="inlineStr">
        <is>
          <t>MAT-THUONG_MAI-HE_THONG_HUT_KHOI_HAM_XE_HUT_K_5E9C</t>
        </is>
      </c>
      <c r="F10" t="inlineStr">
        <is>
          <t>Cái</t>
        </is>
      </c>
      <c r="G10" s="394" t="n">
        <v>1</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Hàng thương mại mua ngoài</t>
        </is>
      </c>
    </row>
    <row r="11">
      <c r="A11" t="inlineStr">
        <is>
          <t>SW-TRD-010-TM</t>
        </is>
      </c>
      <c r="B11" t="inlineStr">
        <is>
          <t>SW-TRD-010</t>
        </is>
      </c>
      <c r="C11" t="inlineStr">
        <is>
          <t>HỆ THỐNG HÚT KHÓI HẦM XE, HÚT KHÓI SỰ CỐ Quạt hướng trục SEF-A1.3-03F-04 4800 l/s @ 450 Pa, chống cháy 300°C trong 2h</t>
        </is>
      </c>
      <c r="D11" t="inlineStr">
        <is>
          <t>THUONG_MAI</t>
        </is>
      </c>
      <c r="E11" t="inlineStr">
        <is>
          <t>MAT-THUONG_MAI-HE_THONG_HUT_KHOI_HAM_XE_HUT_K_2169</t>
        </is>
      </c>
      <c r="F11" t="inlineStr">
        <is>
          <t>Cái</t>
        </is>
      </c>
      <c r="G11" s="394" t="n">
        <v>1</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Hàng thương mại mua ngoài</t>
        </is>
      </c>
    </row>
    <row r="12">
      <c r="A12" t="inlineStr">
        <is>
          <t>SW-TRD-011-TM</t>
        </is>
      </c>
      <c r="B12" t="inlineStr">
        <is>
          <t>SW-TRD-011</t>
        </is>
      </c>
      <c r="C12" t="inlineStr">
        <is>
          <t>HỆ THỐNG HÚT KHÓI HẦM XE, HÚT KHÓI SỰ CỐ Quạt hướng trục SEF-A1.3-03F-05~07 4800 l/s @ 500 Pa, chống cháy 300°C trong 2h</t>
        </is>
      </c>
      <c r="D12" t="inlineStr">
        <is>
          <t>THUONG_MAI</t>
        </is>
      </c>
      <c r="E12" t="inlineStr">
        <is>
          <t>MAT-THUONG_MAI-HE_THONG_HUT_KHOI_HAM_XE_HUT_K_04CF</t>
        </is>
      </c>
      <c r="F12" t="inlineStr">
        <is>
          <t>Cái</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Hàng thương mại mua ngoài</t>
        </is>
      </c>
    </row>
    <row r="13">
      <c r="A13" t="inlineStr">
        <is>
          <t>SW-TRD-012-TM</t>
        </is>
      </c>
      <c r="B13" t="inlineStr">
        <is>
          <t>SW-TRD-012</t>
        </is>
      </c>
      <c r="C13" t="inlineStr">
        <is>
          <t>HỆ THỐNG HÚT KHÓI HẦM XE, HÚT KHÓI SỰ CỐ Quạt hướng trục SEF-A1.3-10F-01 7100 l/s @ 600 Pa, chống cháy 300°C trong 2h</t>
        </is>
      </c>
      <c r="D13" t="inlineStr">
        <is>
          <t>THUONG_MAI</t>
        </is>
      </c>
      <c r="E13" t="inlineStr">
        <is>
          <t>MAT-THUONG_MAI-HE_THONG_HUT_KHOI_HAM_XE_HUT_K_6B0C</t>
        </is>
      </c>
      <c r="F13" t="inlineStr">
        <is>
          <t>Cái</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Hàng thương mại mua ngoài</t>
        </is>
      </c>
    </row>
    <row r="14">
      <c r="A14" t="inlineStr">
        <is>
          <t>SW-TRD-013-TM</t>
        </is>
      </c>
      <c r="B14" t="inlineStr">
        <is>
          <t>SW-TRD-013</t>
        </is>
      </c>
      <c r="C14" t="inlineStr">
        <is>
          <t>HỆ THỐNG HÚT KHÓI HẦM XE, HÚT KHÓI SỰ CỐ Quạt hướng trục SEF-A1.2-12F-01 8800 l/s @ 650 Pa, chống cháy 300°C trong 2h</t>
        </is>
      </c>
      <c r="D14" t="inlineStr">
        <is>
          <t>THUONG_MAI</t>
        </is>
      </c>
      <c r="E14" t="inlineStr">
        <is>
          <t>MAT-THUONG_MAI-HE_THONG_HUT_KHOI_HAM_XE_HUT_K_55AD</t>
        </is>
      </c>
      <c r="F14" t="inlineStr">
        <is>
          <t>Cái</t>
        </is>
      </c>
      <c r="G14" s="394" t="n">
        <v>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Hàng thương mại mua ngoài</t>
        </is>
      </c>
    </row>
    <row r="15">
      <c r="A15" t="inlineStr">
        <is>
          <t>SW-TRD-014-TM</t>
        </is>
      </c>
      <c r="B15" t="inlineStr">
        <is>
          <t>SW-TRD-014</t>
        </is>
      </c>
      <c r="C15" t="inlineStr">
        <is>
          <t>HỆ THỐNG HÚT KHÓI HẦM XE, HÚT KHÓI SỰ CỐ Quạt hướng trục SEF-A1.1-RF-01 8100 l/s @ 650 Pa, chống cháy 300°C trong 2h</t>
        </is>
      </c>
      <c r="D15" t="inlineStr">
        <is>
          <t>THUONG_MAI</t>
        </is>
      </c>
      <c r="E15" t="inlineStr">
        <is>
          <t>MAT-THUONG_MAI-HE_THONG_HUT_KHOI_HAM_XE_HUT_K_BF17</t>
        </is>
      </c>
      <c r="F15" t="inlineStr">
        <is>
          <t>Cái</t>
        </is>
      </c>
      <c r="G15" s="394" t="n">
        <v>1</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Hàng thương mại mua ngoài</t>
        </is>
      </c>
    </row>
    <row r="16">
      <c r="A16" t="inlineStr">
        <is>
          <t>SW-CV-015-CANVAS</t>
        </is>
      </c>
      <c r="B16" t="inlineStr">
        <is>
          <t>SW-CV-015</t>
        </is>
      </c>
      <c r="C16" t="inlineStr">
        <is>
          <t>Cuộn vải bạt bọc cách nhiệt/chống cháy</t>
        </is>
      </c>
      <c r="D16" t="inlineStr">
        <is>
          <t>VẬT_TƯ_BẠT</t>
        </is>
      </c>
      <c r="E16" t="inlineStr">
        <is>
          <t>CANVAS_FIRE_RESISTANT</t>
        </is>
      </c>
      <c r="F16" t="inlineStr">
        <is>
          <t>m2</t>
        </is>
      </c>
      <c r="G16" s="394" t="n">
        <v>0.7539822368615503</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Chu vi 3.14m x Dài 0.20m</t>
        </is>
      </c>
    </row>
    <row r="17">
      <c r="A17" t="inlineStr">
        <is>
          <t>SW-CV-015-FLANGE</t>
        </is>
      </c>
      <c r="B17" t="inlineStr">
        <is>
          <t>SW-CV-015</t>
        </is>
      </c>
      <c r="C17" t="inlineStr">
        <is>
          <t>Nẹp bích tôn cố định</t>
        </is>
      </c>
      <c r="D17" t="inlineStr">
        <is>
          <t>TÔN_CUỘN_MẠ_KẼM</t>
        </is>
      </c>
      <c r="E17" t="inlineStr">
        <is>
          <t>MAT-STEEL-PN-0.58</t>
        </is>
      </c>
      <c r="F17" t="inlineStr">
        <is>
          <t>kg</t>
        </is>
      </c>
      <c r="G17" s="394" t="n">
        <v>1.573403848697376</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Nẹp viền 3.14m</t>
        </is>
      </c>
    </row>
    <row r="18">
      <c r="A18" t="inlineStr">
        <is>
          <t>SW-CV-016-CANVAS</t>
        </is>
      </c>
      <c r="B18" t="inlineStr">
        <is>
          <t>SW-CV-016</t>
        </is>
      </c>
      <c r="C18" t="inlineStr">
        <is>
          <t>Cuộn vải bạt bọc cách nhiệt/chống cháy</t>
        </is>
      </c>
      <c r="D18" t="inlineStr">
        <is>
          <t>VẬT_TƯ_BẠT</t>
        </is>
      </c>
      <c r="E18" t="inlineStr">
        <is>
          <t>CANVAS_FIRE_RESISTANT</t>
        </is>
      </c>
      <c r="F18" t="inlineStr">
        <is>
          <t>m2</t>
        </is>
      </c>
      <c r="G18" s="394" t="n">
        <v>0.6785840131753953</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Chu vi 2.83m x Dài 0.20m</t>
        </is>
      </c>
    </row>
    <row r="19">
      <c r="A19" t="inlineStr">
        <is>
          <t>SW-CV-016-FLANGE</t>
        </is>
      </c>
      <c r="B19" t="inlineStr">
        <is>
          <t>SW-CV-016</t>
        </is>
      </c>
      <c r="C19" t="inlineStr">
        <is>
          <t>Nẹp bích tôn cố định</t>
        </is>
      </c>
      <c r="D19" t="inlineStr">
        <is>
          <t>TÔN_CUỘN_MẠ_KẼM</t>
        </is>
      </c>
      <c r="E19" t="inlineStr">
        <is>
          <t>MAT-STEEL-PN-0.58</t>
        </is>
      </c>
      <c r="F19" t="inlineStr">
        <is>
          <t>kg</t>
        </is>
      </c>
      <c r="G19" s="394" t="n">
        <v>1.416063463827638</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Nẹp viền 2.83m</t>
        </is>
      </c>
    </row>
    <row r="20">
      <c r="A20" t="inlineStr">
        <is>
          <t>SW-CV-017-CANVAS</t>
        </is>
      </c>
      <c r="B20" t="inlineStr">
        <is>
          <t>SW-CV-017</t>
        </is>
      </c>
      <c r="C20" t="inlineStr">
        <is>
          <t>Cuộn vải bạt bọc cách nhiệt/chống cháy</t>
        </is>
      </c>
      <c r="D20" t="inlineStr">
        <is>
          <t>VẬT_TƯ_BẠT</t>
        </is>
      </c>
      <c r="E20" t="inlineStr">
        <is>
          <t>CANVAS_FIRE_RESISTANT</t>
        </is>
      </c>
      <c r="F20" t="inlineStr">
        <is>
          <t>m2</t>
        </is>
      </c>
      <c r="G20" s="394" t="n">
        <v>0.6031857894892403</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Chu vi 2.51m x Dài 0.20m</t>
        </is>
      </c>
    </row>
    <row r="21">
      <c r="A21" t="inlineStr">
        <is>
          <t>SW-CV-017-FLANGE</t>
        </is>
      </c>
      <c r="B21" t="inlineStr">
        <is>
          <t>SW-CV-017</t>
        </is>
      </c>
      <c r="C21" t="inlineStr">
        <is>
          <t>Nẹp bích tôn cố định</t>
        </is>
      </c>
      <c r="D21" t="inlineStr">
        <is>
          <t>TÔN_CUỘN_MẠ_KẼM</t>
        </is>
      </c>
      <c r="E21" t="inlineStr">
        <is>
          <t>MAT-STEEL-PN-0.58</t>
        </is>
      </c>
      <c r="F21" t="inlineStr">
        <is>
          <t>kg</t>
        </is>
      </c>
      <c r="G21" s="394" t="n">
        <v>1.258723078957901</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Nẹp viền 2.51m</t>
        </is>
      </c>
    </row>
    <row r="22">
      <c r="A22" t="inlineStr">
        <is>
          <t>SW-CV-018-CANVAS</t>
        </is>
      </c>
      <c r="B22" t="inlineStr">
        <is>
          <t>SW-CV-018</t>
        </is>
      </c>
      <c r="C22" t="inlineStr">
        <is>
          <t>Cuộn vải bạt bọc cách nhiệt/chống cháy</t>
        </is>
      </c>
      <c r="D22" t="inlineStr">
        <is>
          <t>VẬT_TƯ_BẠT</t>
        </is>
      </c>
      <c r="E22" t="inlineStr">
        <is>
          <t>CANVAS_FIRE_RESISTANT</t>
        </is>
      </c>
      <c r="F22" t="inlineStr">
        <is>
          <t>m2</t>
        </is>
      </c>
      <c r="G22" s="394" t="n">
        <v>0.5353273881717008</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Chu vi 2.23m x Dài 0.20m</t>
        </is>
      </c>
    </row>
    <row r="23">
      <c r="A23" t="inlineStr">
        <is>
          <t>SW-CV-018-FLANGE</t>
        </is>
      </c>
      <c r="B23" t="inlineStr">
        <is>
          <t>SW-CV-018</t>
        </is>
      </c>
      <c r="C23" t="inlineStr">
        <is>
          <t>Nẹp bích tôn cố định</t>
        </is>
      </c>
      <c r="D23" t="inlineStr">
        <is>
          <t>TÔN_CUỘN_MẠ_KẼM</t>
        </is>
      </c>
      <c r="E23" t="inlineStr">
        <is>
          <t>MAT-STEEL-PN-0.58</t>
        </is>
      </c>
      <c r="F23" t="inlineStr">
        <is>
          <t>kg</t>
        </is>
      </c>
      <c r="G23" s="394" t="n">
        <v>1.117116732575137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Nẹp viền 2.23m</t>
        </is>
      </c>
    </row>
    <row r="24">
      <c r="A24" t="inlineStr">
        <is>
          <t>SW-CV-019-CANVAS</t>
        </is>
      </c>
      <c r="B24" t="inlineStr">
        <is>
          <t>SW-CV-019</t>
        </is>
      </c>
      <c r="C24" t="inlineStr">
        <is>
          <t>Cuộn vải bạt bọc cách nhiệt/chống cháy</t>
        </is>
      </c>
      <c r="D24" t="inlineStr">
        <is>
          <t>VẬT_TƯ_BẠT</t>
        </is>
      </c>
      <c r="E24" t="inlineStr">
        <is>
          <t>CANVAS_FIRE_RESISTANT</t>
        </is>
      </c>
      <c r="F24" t="inlineStr">
        <is>
          <t>m2</t>
        </is>
      </c>
      <c r="G24" s="394" t="n">
        <v>0.4222300526424682</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Chu vi 1.76m x Dài 0.20m</t>
        </is>
      </c>
    </row>
    <row r="25">
      <c r="A25" t="inlineStr">
        <is>
          <t>SW-CV-019-FLANGE</t>
        </is>
      </c>
      <c r="B25" t="inlineStr">
        <is>
          <t>SW-CV-019</t>
        </is>
      </c>
      <c r="C25" t="inlineStr">
        <is>
          <t>Nẹp bích tôn cố định</t>
        </is>
      </c>
      <c r="D25" t="inlineStr">
        <is>
          <t>TÔN_CUỘN_MẠ_KẼM</t>
        </is>
      </c>
      <c r="E25" t="inlineStr">
        <is>
          <t>MAT-STEEL-PN-0.58</t>
        </is>
      </c>
      <c r="F25" t="inlineStr">
        <is>
          <t>kg</t>
        </is>
      </c>
      <c r="G25" s="394" t="n">
        <v>0.8811061552705307</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Nẹp viền 1.76m</t>
        </is>
      </c>
    </row>
    <row r="26">
      <c r="A26" t="inlineStr">
        <is>
          <t>SW-CV-020-CANVAS</t>
        </is>
      </c>
      <c r="B26" t="inlineStr">
        <is>
          <t>SW-CV-020</t>
        </is>
      </c>
      <c r="C26" t="inlineStr">
        <is>
          <t>Cuộn vải bạt bọc cách nhiệt/chống cháy</t>
        </is>
      </c>
      <c r="D26" t="inlineStr">
        <is>
          <t>VẬT_TƯ_BẠT</t>
        </is>
      </c>
      <c r="E26" t="inlineStr">
        <is>
          <t>CANVAS_FIRE_RESISTANT</t>
        </is>
      </c>
      <c r="F26" t="inlineStr">
        <is>
          <t>m2</t>
        </is>
      </c>
      <c r="G26" s="394" t="n">
        <v>0.7539822368615503</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Chu vi 3.14m x Dài 0.20m</t>
        </is>
      </c>
    </row>
    <row r="27">
      <c r="A27" t="inlineStr">
        <is>
          <t>SW-CV-020-FLANGE</t>
        </is>
      </c>
      <c r="B27" t="inlineStr">
        <is>
          <t>SW-CV-020</t>
        </is>
      </c>
      <c r="C27" t="inlineStr">
        <is>
          <t>Nẹp bích tôn cố định</t>
        </is>
      </c>
      <c r="D27" t="inlineStr">
        <is>
          <t>TÔN_CUỘN_MẠ_KẼM</t>
        </is>
      </c>
      <c r="E27" t="inlineStr">
        <is>
          <t>MAT-STEEL-PN-0.58</t>
        </is>
      </c>
      <c r="F27" t="inlineStr">
        <is>
          <t>kg</t>
        </is>
      </c>
      <c r="G27" s="394" t="n">
        <v>1.573403848697376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Nẹp viền 3.14m</t>
        </is>
      </c>
    </row>
    <row r="28">
      <c r="A28" t="inlineStr">
        <is>
          <t>SW-CV-021-CANVAS</t>
        </is>
      </c>
      <c r="B28" t="inlineStr">
        <is>
          <t>SW-CV-021</t>
        </is>
      </c>
      <c r="C28" t="inlineStr">
        <is>
          <t>Cuộn vải bạt bọc cách nhiệt/chống cháy</t>
        </is>
      </c>
      <c r="D28" t="inlineStr">
        <is>
          <t>VẬT_TƯ_BẠT</t>
        </is>
      </c>
      <c r="E28" t="inlineStr">
        <is>
          <t>CANVAS_FIRE_RESISTANT</t>
        </is>
      </c>
      <c r="F28" t="inlineStr">
        <is>
          <t>m2</t>
        </is>
      </c>
      <c r="G28" s="394" t="n">
        <v>0.4222300526424682</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Chu vi 1.76m x Dài 0.20m</t>
        </is>
      </c>
    </row>
    <row r="29">
      <c r="A29" t="inlineStr">
        <is>
          <t>SW-CV-021-FLANGE</t>
        </is>
      </c>
      <c r="B29" t="inlineStr">
        <is>
          <t>SW-CV-021</t>
        </is>
      </c>
      <c r="C29" t="inlineStr">
        <is>
          <t>Nẹp bích tôn cố định</t>
        </is>
      </c>
      <c r="D29" t="inlineStr">
        <is>
          <t>TÔN_CUỘN_MẠ_KẼM</t>
        </is>
      </c>
      <c r="E29" t="inlineStr">
        <is>
          <t>MAT-STEEL-PN-0.58</t>
        </is>
      </c>
      <c r="F29" t="inlineStr">
        <is>
          <t>kg</t>
        </is>
      </c>
      <c r="G29" s="394" t="n">
        <v>0.8811061552705307</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Nẹp viền 1.76m</t>
        </is>
      </c>
    </row>
    <row r="30">
      <c r="A30" t="inlineStr">
        <is>
          <t>SW-ACST-022-ROCKWOOL</t>
        </is>
      </c>
      <c r="B30" t="inlineStr">
        <is>
          <t>SW-ACST-022</t>
        </is>
      </c>
      <c r="C30" t="inlineStr">
        <is>
          <t>Bông Rockwool tỷ trọng 50kg/m3 dày 50mm</t>
        </is>
      </c>
      <c r="D30" t="inlineStr">
        <is>
          <t>VẬT_LIỆU_TIÊU_ÂM</t>
        </is>
      </c>
      <c r="E30" t="inlineStr">
        <is>
          <t>ROCKWOOL_50MM_50KG</t>
        </is>
      </c>
      <c r="F30" t="inlineStr">
        <is>
          <t>m2</t>
        </is>
      </c>
      <c r="G30" s="394" t="n">
        <v>1.1</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Diện tích vách 1.00m2</t>
        </is>
      </c>
    </row>
    <row r="31">
      <c r="A31" t="inlineStr">
        <is>
          <t>SW-ACST-022-GLASSCLOTH</t>
        </is>
      </c>
      <c r="B31" t="inlineStr">
        <is>
          <t>SW-ACST-022</t>
        </is>
      </c>
      <c r="C31" t="inlineStr">
        <is>
          <t>Vải thủy tinh bọc tiêu âm</t>
        </is>
      </c>
      <c r="D31" t="inlineStr">
        <is>
          <t>VẬT_LIỆU_TIÊU_ÂM</t>
        </is>
      </c>
      <c r="E31" t="inlineStr">
        <is>
          <t>GLASS_CLOTH</t>
        </is>
      </c>
      <c r="F31" t="inlineStr">
        <is>
          <t>m2</t>
        </is>
      </c>
      <c r="G31" s="394" t="n">
        <v>1.1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Diện tích vách 1.00m2</t>
        </is>
      </c>
    </row>
    <row r="32">
      <c r="A32" t="inlineStr">
        <is>
          <t>SW-ACST-022-PERFORATED</t>
        </is>
      </c>
      <c r="B32" t="inlineStr">
        <is>
          <t>SW-ACST-022</t>
        </is>
      </c>
      <c r="C32" t="inlineStr">
        <is>
          <t>Tôn đục lỗ tiêu âm</t>
        </is>
      </c>
      <c r="D32" t="inlineStr">
        <is>
          <t>VẬT_LIỆU_TIÊU_ÂM</t>
        </is>
      </c>
      <c r="E32" t="inlineStr">
        <is>
          <t>PERFORATED_SHEET</t>
        </is>
      </c>
      <c r="F32" t="inlineStr">
        <is>
          <t>m2</t>
        </is>
      </c>
      <c r="G32" s="394" t="n">
        <v>1.1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Bọc mặt ngoài</t>
        </is>
      </c>
    </row>
    <row r="33">
      <c r="A33" t="inlineStr">
        <is>
          <t>SW-DIFF-047-BOX</t>
        </is>
      </c>
      <c r="B33" t="inlineStr">
        <is>
          <t>SW-DIFF-047</t>
        </is>
      </c>
      <c r="C33" t="inlineStr">
        <is>
          <t>Box phụ kiện 600x300</t>
        </is>
      </c>
      <c r="D33" t="inlineStr">
        <is>
          <t>THUONG_MAI</t>
        </is>
      </c>
      <c r="E33" t="inlineStr">
        <is>
          <t>MAT-BOX-HE_THONG_HUT_KHOI_HA_8B49</t>
        </is>
      </c>
      <c r="F33" t="inlineStr">
        <is>
          <t>Cái</t>
        </is>
      </c>
      <c r="G33" s="394" t="n">
        <v>1</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Phụ kiện bóc tách động (Rule-based)</t>
        </is>
      </c>
    </row>
    <row r="34">
      <c r="A34" t="inlineStr">
        <is>
          <t>SW-DIFF-048-BOX</t>
        </is>
      </c>
      <c r="B34" t="inlineStr">
        <is>
          <t>SW-DIFF-048</t>
        </is>
      </c>
      <c r="C34" t="inlineStr">
        <is>
          <t>Box phụ kiện 1200x600</t>
        </is>
      </c>
      <c r="D34" t="inlineStr">
        <is>
          <t>THUONG_MAI</t>
        </is>
      </c>
      <c r="E34" t="inlineStr">
        <is>
          <t>MAT-BOX-HE_THONG_HUT_KHOI_HA_CF0E</t>
        </is>
      </c>
      <c r="F34" t="inlineStr">
        <is>
          <t>Cái</t>
        </is>
      </c>
      <c r="G34" s="394" t="n">
        <v>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Phụ kiện bóc tách động (Rule-based)</t>
        </is>
      </c>
    </row>
    <row r="35">
      <c r="A35" t="inlineStr">
        <is>
          <t>SW-DIFF-049-BOX</t>
        </is>
      </c>
      <c r="B35" t="inlineStr">
        <is>
          <t>SW-DIFF-049</t>
        </is>
      </c>
      <c r="C35" t="inlineStr">
        <is>
          <t>Box phụ kiện -</t>
        </is>
      </c>
      <c r="D35" t="inlineStr">
        <is>
          <t>THUONG_MAI</t>
        </is>
      </c>
      <c r="E35" t="inlineStr">
        <is>
          <t>MAT-BOX-HE_THONG_HUT_KHOI_HA_FD5D</t>
        </is>
      </c>
      <c r="F35" t="inlineStr">
        <is>
          <t>Cái</t>
        </is>
      </c>
      <c r="G35" s="394" t="n">
        <v>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Phụ kiện bóc tách động (Rule-based)</t>
        </is>
      </c>
    </row>
    <row r="36">
      <c r="A36" t="inlineStr">
        <is>
          <t>SW-TRD-050-TM</t>
        </is>
      </c>
      <c r="B36" t="inlineStr">
        <is>
          <t>SW-TRD-050</t>
        </is>
      </c>
      <c r="C36" t="inlineStr">
        <is>
          <t>HỆ THỐNG HÚT KHÓI HẦM XE, HÚT KHÓI SỰ CỐ Vật tư phụ, phụ kiện</t>
        </is>
      </c>
      <c r="D36" t="inlineStr">
        <is>
          <t>THUONG_MAI</t>
        </is>
      </c>
      <c r="E36" t="inlineStr">
        <is>
          <t>MAT-THUONG_MAI-HE_THONG_HUT_KHOI_HAM_XE_HUT_K_016B</t>
        </is>
      </c>
      <c r="F36" t="inlineStr">
        <is>
          <t>Lô</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Hàng thương mại mua ngoài</t>
        </is>
      </c>
    </row>
    <row r="37">
      <c r="A37" t="inlineStr">
        <is>
          <t>SW-DUCT-051-BODY</t>
        </is>
      </c>
      <c r="B37" t="inlineStr">
        <is>
          <t>SW-DUCT-051</t>
        </is>
      </c>
      <c r="C37" t="inlineStr">
        <is>
          <t>Tôn mạ kẽm PN (0.75mm) - Định mức m²</t>
        </is>
      </c>
      <c r="D37" t="inlineStr">
        <is>
          <t>TÔN_CUỘN_MẠ_KẼM</t>
        </is>
      </c>
      <c r="E37" t="inlineStr">
        <is>
          <t>MAT-STEEL-PN-0.75</t>
        </is>
      </c>
      <c r="F37" t="inlineStr">
        <is>
          <t>kg</t>
        </is>
      </c>
      <c r="G37" s="394" t="n">
        <v>6.676425</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Định mức tôn cho 1m² ống: phôi x1.08, hao hụt x1.05</t>
        </is>
      </c>
    </row>
    <row r="38">
      <c r="A38" t="inlineStr">
        <is>
          <t>SW-DUCT-051-BOX</t>
        </is>
      </c>
      <c r="B38" t="inlineStr">
        <is>
          <t>SW-DUCT-051</t>
        </is>
      </c>
      <c r="C38" t="inlineStr">
        <is>
          <t>Box phụ kiện 0.75mm</t>
        </is>
      </c>
      <c r="D38" t="inlineStr">
        <is>
          <t>THUONG_MAI</t>
        </is>
      </c>
      <c r="E38" t="inlineStr">
        <is>
          <t>MAT-BOX-ONG_THONG_GIO_VA_PHU_A849</t>
        </is>
      </c>
      <c r="F38" t="inlineStr">
        <is>
          <t>Cái</t>
        </is>
      </c>
      <c r="G38" s="394" t="n">
        <v>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Phụ kiện bóc tách động (Rule-based)</t>
        </is>
      </c>
    </row>
    <row r="39">
      <c r="A39" t="inlineStr">
        <is>
          <t>SW-DUCT-052-BODY</t>
        </is>
      </c>
      <c r="B39" t="inlineStr">
        <is>
          <t>SW-DUCT-052</t>
        </is>
      </c>
      <c r="C39" t="inlineStr">
        <is>
          <t>Tôn mạ kẽm PN (0.95mm) - Định mức m²</t>
        </is>
      </c>
      <c r="D39" t="inlineStr">
        <is>
          <t>TÔN_CUỘN_MẠ_KẼM</t>
        </is>
      </c>
      <c r="E39" t="inlineStr">
        <is>
          <t>MAT-STEEL-PN-0.95</t>
        </is>
      </c>
      <c r="F39" t="inlineStr">
        <is>
          <t>kg</t>
        </is>
      </c>
      <c r="G39" s="394" t="n">
        <v>8.456805000000001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Định mức tôn cho 1m² ống: phôi x1.08, hao hụt x1.05</t>
        </is>
      </c>
    </row>
    <row r="40">
      <c r="A40" t="inlineStr">
        <is>
          <t>SW-DUCT-052-BOX</t>
        </is>
      </c>
      <c r="B40" t="inlineStr">
        <is>
          <t>SW-DUCT-052</t>
        </is>
      </c>
      <c r="C40" t="inlineStr">
        <is>
          <t>Box phụ kiện 0.95mm</t>
        </is>
      </c>
      <c r="D40" t="inlineStr">
        <is>
          <t>THUONG_MAI</t>
        </is>
      </c>
      <c r="E40" t="inlineStr">
        <is>
          <t>MAT-BOX-ONG_THONG_GIO_VA_PHU_44C4</t>
        </is>
      </c>
      <c r="F40" t="inlineStr">
        <is>
          <t>Cái</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Phụ kiện bóc tách động (Rule-based)</t>
        </is>
      </c>
    </row>
    <row r="41">
      <c r="A41" t="inlineStr">
        <is>
          <t>SW-DUCT-053-BODY</t>
        </is>
      </c>
      <c r="B41" t="inlineStr">
        <is>
          <t>SW-DUCT-053</t>
        </is>
      </c>
      <c r="C41" t="inlineStr">
        <is>
          <t>Tôn mạ kẽm PN (1.15mm) - Định mức m²</t>
        </is>
      </c>
      <c r="D41" t="inlineStr">
        <is>
          <t>TÔN_CUỘN_MẠ_KẼM</t>
        </is>
      </c>
      <c r="E41" t="inlineStr">
        <is>
          <t>MAT-STEEL-PN-1.15</t>
        </is>
      </c>
      <c r="F41" t="inlineStr">
        <is>
          <t>kg</t>
        </is>
      </c>
      <c r="G41" s="394" t="n">
        <v>10.237185</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Định mức tôn cho 1m² ống: phôi x1.08, hao hụt x1.05</t>
        </is>
      </c>
    </row>
    <row r="42">
      <c r="A42" t="inlineStr">
        <is>
          <t>SW-DUCT-053-BOX</t>
        </is>
      </c>
      <c r="B42" t="inlineStr">
        <is>
          <t>SW-DUCT-053</t>
        </is>
      </c>
      <c r="C42" t="inlineStr">
        <is>
          <t>Box phụ kiện 1.15mm</t>
        </is>
      </c>
      <c r="D42" t="inlineStr">
        <is>
          <t>THUONG_MAI</t>
        </is>
      </c>
      <c r="E42" t="inlineStr">
        <is>
          <t>MAT-BOX-ONG_THONG_GIO_VA_PHU_46E3</t>
        </is>
      </c>
      <c r="F42" t="inlineStr">
        <is>
          <t>Cái</t>
        </is>
      </c>
      <c r="G42" s="394" t="n">
        <v>1</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Phụ kiện bóc tách động (Rule-based)</t>
        </is>
      </c>
    </row>
    <row r="43">
      <c r="A43" t="inlineStr">
        <is>
          <t>SW-DUCT-054-BODY</t>
        </is>
      </c>
      <c r="B43" t="inlineStr">
        <is>
          <t>SW-DUCT-054</t>
        </is>
      </c>
      <c r="C43" t="inlineStr">
        <is>
          <t>Tôn mạ kẽm PN (1.15mm) - Định mức m²</t>
        </is>
      </c>
      <c r="D43" t="inlineStr">
        <is>
          <t>TÔN_CUỘN_MẠ_KẼM</t>
        </is>
      </c>
      <c r="E43" t="inlineStr">
        <is>
          <t>MAT-STEEL-PN-1.15</t>
        </is>
      </c>
      <c r="F43" t="inlineStr">
        <is>
          <t>kg</t>
        </is>
      </c>
      <c r="G43" s="394" t="n">
        <v>10.237185</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Định mức tôn cho 1m² ống: phôi x1.08, hao hụt x1.05</t>
        </is>
      </c>
    </row>
    <row r="44">
      <c r="A44" t="inlineStr">
        <is>
          <t>SW-DUCT-054-BOX</t>
        </is>
      </c>
      <c r="B44" t="inlineStr">
        <is>
          <t>SW-DUCT-054</t>
        </is>
      </c>
      <c r="C44" t="inlineStr">
        <is>
          <t>Box phụ kiện 1.15mm</t>
        </is>
      </c>
      <c r="D44" t="inlineStr">
        <is>
          <t>THUONG_MAI</t>
        </is>
      </c>
      <c r="E44" t="inlineStr">
        <is>
          <t>MAT-BOX-ONG_THONG_GIO_VA_PHU_FCFE</t>
        </is>
      </c>
      <c r="F44" t="inlineStr">
        <is>
          <t>Cái</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Phụ kiện bóc tách động (Rule-based)</t>
        </is>
      </c>
    </row>
    <row r="45">
      <c r="A45" t="inlineStr">
        <is>
          <t>SW-TRD-055-TM</t>
        </is>
      </c>
      <c r="B45" t="inlineStr">
        <is>
          <t>SW-TRD-055</t>
        </is>
      </c>
      <c r="C45" t="inlineStr">
        <is>
          <t>Ống thông gió và phụ kiện, box miệng gió Lưới bảo vệ</t>
        </is>
      </c>
      <c r="D45" t="inlineStr">
        <is>
          <t>THUONG_MAI</t>
        </is>
      </c>
      <c r="E45" t="inlineStr">
        <is>
          <t>MAT-THUONG_MAI-ONG_THONG_GIO_VA_PHU_KIEN_BOX_11DB</t>
        </is>
      </c>
      <c r="F45" t="inlineStr">
        <is>
          <t>cái</t>
        </is>
      </c>
      <c r="G45" s="394" t="n">
        <v>1</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Hàng thương mại mua ngoài</t>
        </is>
      </c>
    </row>
    <row r="46">
      <c r="A46" t="inlineStr">
        <is>
          <t>SW-TRD-055-BOX</t>
        </is>
      </c>
      <c r="B46" t="inlineStr">
        <is>
          <t>SW-TRD-055</t>
        </is>
      </c>
      <c r="C46" t="inlineStr">
        <is>
          <t>Box phụ kiện -</t>
        </is>
      </c>
      <c r="D46" t="inlineStr">
        <is>
          <t>THUONG_MAI</t>
        </is>
      </c>
      <c r="E46" t="inlineStr">
        <is>
          <t>MAT-BOX-ONG_THONG_GIO_VA_PHU_11DB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SW-TRD-056-TM</t>
        </is>
      </c>
      <c r="B47" t="inlineStr">
        <is>
          <t>SW-TRD-056</t>
        </is>
      </c>
      <c r="C47" t="inlineStr">
        <is>
          <t>Ống thông gió và phụ kiện, box miệng gió Lớp chống cháy EI30</t>
        </is>
      </c>
      <c r="D47" t="inlineStr">
        <is>
          <t>THUONG_MAI</t>
        </is>
      </c>
      <c r="E47" t="inlineStr">
        <is>
          <t>MAT-THUONG_MAI-ONG_THONG_GIO_VA_PHU_KIEN_BOX_82DE</t>
        </is>
      </c>
      <c r="F47" t="inlineStr">
        <is>
          <t>m2</t>
        </is>
      </c>
      <c r="G47" s="394" t="n">
        <v>1</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Hàng thương mại mua ngoài</t>
        </is>
      </c>
    </row>
    <row r="48">
      <c r="A48" t="inlineStr">
        <is>
          <t>SW-TRD-056-BOX</t>
        </is>
      </c>
      <c r="B48" t="inlineStr">
        <is>
          <t>SW-TRD-056</t>
        </is>
      </c>
      <c r="C48" t="inlineStr">
        <is>
          <t>Box phụ kiện -</t>
        </is>
      </c>
      <c r="D48" t="inlineStr">
        <is>
          <t>THUONG_MAI</t>
        </is>
      </c>
      <c r="E48" t="inlineStr">
        <is>
          <t>MAT-BOX-ONG_THONG_GIO_VA_PHU_82DE</t>
        </is>
      </c>
      <c r="F48" t="inlineStr">
        <is>
          <t>Cái</t>
        </is>
      </c>
      <c r="G48" s="394" t="n">
        <v>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Phụ kiện bóc tách động (Rule-based)</t>
        </is>
      </c>
    </row>
    <row r="49">
      <c r="A49" t="inlineStr">
        <is>
          <t>SW-TRD-057-TM</t>
        </is>
      </c>
      <c r="B49" t="inlineStr">
        <is>
          <t>SW-TRD-057</t>
        </is>
      </c>
      <c r="C49" t="inlineStr">
        <is>
          <t>Ống thông gió và phụ kiện, box miệng gió Lớp chống cháy EI60</t>
        </is>
      </c>
      <c r="D49" t="inlineStr">
        <is>
          <t>THUONG_MAI</t>
        </is>
      </c>
      <c r="E49" t="inlineStr">
        <is>
          <t>MAT-THUONG_MAI-ONG_THONG_GIO_VA_PHU_KIEN_BOX_E395</t>
        </is>
      </c>
      <c r="F49" t="inlineStr">
        <is>
          <t>m2</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Hàng thương mại mua ngoài</t>
        </is>
      </c>
    </row>
    <row r="50">
      <c r="A50" t="inlineStr">
        <is>
          <t>SW-TRD-057-BOX</t>
        </is>
      </c>
      <c r="B50" t="inlineStr">
        <is>
          <t>SW-TRD-057</t>
        </is>
      </c>
      <c r="C50" t="inlineStr">
        <is>
          <t>Box phụ kiện -</t>
        </is>
      </c>
      <c r="D50" t="inlineStr">
        <is>
          <t>THUONG_MAI</t>
        </is>
      </c>
      <c r="E50" t="inlineStr">
        <is>
          <t>MAT-BOX-ONG_THONG_GIO_VA_PHU_E395</t>
        </is>
      </c>
      <c r="F50" t="inlineStr">
        <is>
          <t>Cái</t>
        </is>
      </c>
      <c r="G50" s="394" t="n">
        <v>1</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Phụ kiện bóc tách động (Rule-based)</t>
        </is>
      </c>
    </row>
    <row r="51">
      <c r="A51" t="inlineStr">
        <is>
          <t>SW-TRD-058-TM</t>
        </is>
      </c>
      <c r="B51" t="inlineStr">
        <is>
          <t>SW-TRD-058</t>
        </is>
      </c>
      <c r="C51" t="inlineStr">
        <is>
          <t>Ống thông gió và phụ kiện, box miệng gió Vật tư phụ, phụ kiện</t>
        </is>
      </c>
      <c r="D51" t="inlineStr">
        <is>
          <t>THUONG_MAI</t>
        </is>
      </c>
      <c r="E51" t="inlineStr">
        <is>
          <t>MAT-THUONG_MAI-ONG_THONG_GIO_VA_PHU_KIEN_BOX_A0E1</t>
        </is>
      </c>
      <c r="F51" t="inlineStr">
        <is>
          <t>Lô</t>
        </is>
      </c>
      <c r="G51" s="394" t="n">
        <v>1</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Hàng thương mại mua ngoài</t>
        </is>
      </c>
    </row>
    <row r="52">
      <c r="A52" t="inlineStr">
        <is>
          <t>SW-TRD-058-BOX</t>
        </is>
      </c>
      <c r="B52" t="inlineStr">
        <is>
          <t>SW-TRD-058</t>
        </is>
      </c>
      <c r="C52" t="inlineStr">
        <is>
          <t>Box phụ kiện -</t>
        </is>
      </c>
      <c r="D52" t="inlineStr">
        <is>
          <t>THUONG_MAI</t>
        </is>
      </c>
      <c r="E52" t="inlineStr">
        <is>
          <t>MAT-BOX-ONG_THONG_GIO_VA_PHU_A0E1</t>
        </is>
      </c>
      <c r="F52" t="inlineStr">
        <is>
          <t>Cái</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Phụ kiện bóc tách động (Rule-based)</t>
        </is>
      </c>
    </row>
    <row r="53">
      <c r="A53" t="inlineStr">
        <is>
          <t>SW-TRD-059-TM</t>
        </is>
      </c>
      <c r="B53" t="inlineStr">
        <is>
          <t>SW-TRD-059</t>
        </is>
      </c>
      <c r="C53" t="inlineStr">
        <is>
          <t>HỆ THỐNG TẠO ÁP Quạt hướng trục BPF-B2-Z2-01 400 l/s @ 650 Pa, chống cháy 300°C trong 2h</t>
        </is>
      </c>
      <c r="D53" t="inlineStr">
        <is>
          <t>THUONG_MAI</t>
        </is>
      </c>
      <c r="E53" t="inlineStr">
        <is>
          <t>MAT-THUONG_MAI-HE_THONG_TAO_AP_QUAT_HUONG_TRU_0E7C</t>
        </is>
      </c>
      <c r="F53" t="inlineStr">
        <is>
          <t>Cái</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Hàng thương mại mua ngoài</t>
        </is>
      </c>
    </row>
    <row r="54">
      <c r="A54" t="inlineStr">
        <is>
          <t>SW-TRD-060-TM</t>
        </is>
      </c>
      <c r="B54" t="inlineStr">
        <is>
          <t>SW-TRD-060</t>
        </is>
      </c>
      <c r="C54" t="inlineStr">
        <is>
          <t>HỆ THỐNG TẠO ÁP Quạt hướng trục BPF-B2-Z2-02 1200 l/s @ 550 Pa, chống cháy 300°C trong 2h</t>
        </is>
      </c>
      <c r="D54" t="inlineStr">
        <is>
          <t>THUONG_MAI</t>
        </is>
      </c>
      <c r="E54" t="inlineStr">
        <is>
          <t>MAT-THUONG_MAI-HE_THONG_TAO_AP_QUAT_HUONG_TRU_CDC2</t>
        </is>
      </c>
      <c r="F54" t="inlineStr">
        <is>
          <t>Cái</t>
        </is>
      </c>
      <c r="G54" s="394" t="n">
        <v>1</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Hàng thương mại mua ngoài</t>
        </is>
      </c>
    </row>
    <row r="55">
      <c r="A55" t="inlineStr">
        <is>
          <t>SW-TRD-061-TM</t>
        </is>
      </c>
      <c r="B55" t="inlineStr">
        <is>
          <t>SW-TRD-061</t>
        </is>
      </c>
      <c r="C55" t="inlineStr">
        <is>
          <t>HỆ THỐNG TẠO ÁP Quạt hướng trục BPF-B2-Z2-03 4200 l/s @ 400 Pa, chống cháy 300°C trong 2h</t>
        </is>
      </c>
      <c r="D55" t="inlineStr">
        <is>
          <t>THUONG_MAI</t>
        </is>
      </c>
      <c r="E55" t="inlineStr">
        <is>
          <t>MAT-THUONG_MAI-HE_THONG_TAO_AP_QUAT_HUONG_TRU_1386</t>
        </is>
      </c>
      <c r="F55" t="inlineStr">
        <is>
          <t>Cái</t>
        </is>
      </c>
      <c r="G55" s="394" t="n">
        <v>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Hàng thương mại mua ngoài</t>
        </is>
      </c>
    </row>
    <row r="56">
      <c r="A56" t="inlineStr">
        <is>
          <t>SW-TRD-062-TM</t>
        </is>
      </c>
      <c r="B56" t="inlineStr">
        <is>
          <t>SW-TRD-062</t>
        </is>
      </c>
      <c r="C56" t="inlineStr">
        <is>
          <t>HỆ THỐNG TẠO ÁP Quạt hướng trục BPF-B2-Z2-04 4200 l/s @ 400 Pa, chống cháy 300°C trong 2h</t>
        </is>
      </c>
      <c r="D56" t="inlineStr">
        <is>
          <t>THUONG_MAI</t>
        </is>
      </c>
      <c r="E56" t="inlineStr">
        <is>
          <t>MAT-THUONG_MAI-HE_THONG_TAO_AP_QUAT_HUONG_TRU_68E4</t>
        </is>
      </c>
      <c r="F56" t="inlineStr">
        <is>
          <t>Cái</t>
        </is>
      </c>
      <c r="G56" s="394" t="n">
        <v>1</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Hàng thương mại mua ngoài</t>
        </is>
      </c>
    </row>
    <row r="57">
      <c r="A57" t="inlineStr">
        <is>
          <t>SW-TRD-063-TM</t>
        </is>
      </c>
      <c r="B57" t="inlineStr">
        <is>
          <t>SW-TRD-063</t>
        </is>
      </c>
      <c r="C57" t="inlineStr">
        <is>
          <t>HỆ THỐNG TẠO ÁP Quạt hướng trục BPF-B1-Z1-01 5400 l/s @ 700 Pa, chống cháy 300°C trong 2h</t>
        </is>
      </c>
      <c r="D57" t="inlineStr">
        <is>
          <t>THUONG_MAI</t>
        </is>
      </c>
      <c r="E57" t="inlineStr">
        <is>
          <t>MAT-THUONG_MAI-HE_THONG_TAO_AP_QUAT_HUONG_TRU_F6FD</t>
        </is>
      </c>
      <c r="F57" t="inlineStr">
        <is>
          <t>Cái</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Hàng thương mại mua ngoài</t>
        </is>
      </c>
    </row>
    <row r="58">
      <c r="A58" t="inlineStr">
        <is>
          <t>SW-TRD-064-TM</t>
        </is>
      </c>
      <c r="B58" t="inlineStr">
        <is>
          <t>SW-TRD-064</t>
        </is>
      </c>
      <c r="C58" t="inlineStr">
        <is>
          <t>HỆ THỐNG TẠO ÁP Quạt hướng trục BPF-B1-Z1-02 5800 l/s @ 700 Pa, chống cháy 300°C trong 2h</t>
        </is>
      </c>
      <c r="D58" t="inlineStr">
        <is>
          <t>THUONG_MAI</t>
        </is>
      </c>
      <c r="E58" t="inlineStr">
        <is>
          <t>MAT-THUONG_MAI-HE_THONG_TAO_AP_QUAT_HUONG_TRU_07AC</t>
        </is>
      </c>
      <c r="F58" t="inlineStr">
        <is>
          <t>Cái</t>
        </is>
      </c>
      <c r="G58" s="394" t="n">
        <v>1</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Hàng thương mại mua ngoài</t>
        </is>
      </c>
    </row>
    <row r="59">
      <c r="A59" t="inlineStr">
        <is>
          <t>SW-TRD-065-TM</t>
        </is>
      </c>
      <c r="B59" t="inlineStr">
        <is>
          <t>SW-TRD-065</t>
        </is>
      </c>
      <c r="C59" t="inlineStr">
        <is>
          <t>HỆ THỐNG TẠO ÁP Quạt hướng trục BPF-B1-Z1-03 400 l/s @ 550 Pa, chống cháy 300°C trong 2h</t>
        </is>
      </c>
      <c r="D59" t="inlineStr">
        <is>
          <t>THUONG_MAI</t>
        </is>
      </c>
      <c r="E59" t="inlineStr">
        <is>
          <t>MAT-THUONG_MAI-HE_THONG_TAO_AP_QUAT_HUONG_TRU_2C9C</t>
        </is>
      </c>
      <c r="F59" t="inlineStr">
        <is>
          <t>Cái</t>
        </is>
      </c>
      <c r="G59" s="394" t="n">
        <v>1</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Hàng thương mại mua ngoài</t>
        </is>
      </c>
    </row>
    <row r="60">
      <c r="A60" t="inlineStr">
        <is>
          <t>SW-TRD-066-TM</t>
        </is>
      </c>
      <c r="B60" t="inlineStr">
        <is>
          <t>SW-TRD-066</t>
        </is>
      </c>
      <c r="C60" t="inlineStr">
        <is>
          <t>HỆ THỐNG TẠO ÁP Quạt hướng trục BPF-B1-Z1-04 5400 l/s @ 450 Pa, chống cháy 300°C trong 2h</t>
        </is>
      </c>
      <c r="D60" t="inlineStr">
        <is>
          <t>THUONG_MAI</t>
        </is>
      </c>
      <c r="E60" t="inlineStr">
        <is>
          <t>MAT-THUONG_MAI-HE_THONG_TAO_AP_QUAT_HUONG_TRU_B64F</t>
        </is>
      </c>
      <c r="F60" t="inlineStr">
        <is>
          <t>Cái</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Hàng thương mại mua ngoài</t>
        </is>
      </c>
    </row>
    <row r="61">
      <c r="A61" t="inlineStr">
        <is>
          <t>SW-TRD-067-TM</t>
        </is>
      </c>
      <c r="B61" t="inlineStr">
        <is>
          <t>SW-TRD-067</t>
        </is>
      </c>
      <c r="C61" t="inlineStr">
        <is>
          <t>HỆ THỐNG TẠO ÁP Quạt hướng trục BPF-B1-Z1-05 1100 l/s @ 500 Pa, chống cháy 300°C trong 2h</t>
        </is>
      </c>
      <c r="D61" t="inlineStr">
        <is>
          <t>THUONG_MAI</t>
        </is>
      </c>
      <c r="E61" t="inlineStr">
        <is>
          <t>MAT-THUONG_MAI-HE_THONG_TAO_AP_QUAT_HUONG_TRU_8D9F</t>
        </is>
      </c>
      <c r="F61" t="inlineStr">
        <is>
          <t>Cái</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Hàng thương mại mua ngoài</t>
        </is>
      </c>
    </row>
    <row r="62">
      <c r="A62" t="inlineStr">
        <is>
          <t>SW-TRD-068-TM</t>
        </is>
      </c>
      <c r="B62" t="inlineStr">
        <is>
          <t>SW-TRD-068</t>
        </is>
      </c>
      <c r="C62" t="inlineStr">
        <is>
          <t>HỆ THỐNG TẠO ÁP Quạt hướng trục BPF-B1-Z1-06 400 l/s @ 650 Pa, chống cháy 300°C trong 2h</t>
        </is>
      </c>
      <c r="D62" t="inlineStr">
        <is>
          <t>THUONG_MAI</t>
        </is>
      </c>
      <c r="E62" t="inlineStr">
        <is>
          <t>MAT-THUONG_MAI-HE_THONG_TAO_AP_QUAT_HUONG_TRU_8416</t>
        </is>
      </c>
      <c r="F62" t="inlineStr">
        <is>
          <t>Cái</t>
        </is>
      </c>
      <c r="G62" s="394" t="n">
        <v>1</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Hàng thương mại mua ngoài</t>
        </is>
      </c>
    </row>
    <row r="63">
      <c r="A63" t="inlineStr">
        <is>
          <t>SW-TRD-069-TM</t>
        </is>
      </c>
      <c r="B63" t="inlineStr">
        <is>
          <t>SW-TRD-069</t>
        </is>
      </c>
      <c r="C63" t="inlineStr">
        <is>
          <t>HỆ THỐNG TẠO ÁP Quạt hướng trục BPF-B1-Z2-01 400 l/s @ 400 Pa, chống cháy 300°C trong 2h</t>
        </is>
      </c>
      <c r="D63" t="inlineStr">
        <is>
          <t>THUONG_MAI</t>
        </is>
      </c>
      <c r="E63" t="inlineStr">
        <is>
          <t>MAT-THUONG_MAI-HE_THONG_TAO_AP_QUAT_HUONG_TRU_0BB2</t>
        </is>
      </c>
      <c r="F63" t="inlineStr">
        <is>
          <t>Cái</t>
        </is>
      </c>
      <c r="G63" s="394" t="n">
        <v>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Hàng thương mại mua ngoài</t>
        </is>
      </c>
    </row>
    <row r="64">
      <c r="A64" t="inlineStr">
        <is>
          <t>SW-TRD-070-TM</t>
        </is>
      </c>
      <c r="B64" t="inlineStr">
        <is>
          <t>SW-TRD-070</t>
        </is>
      </c>
      <c r="C64" t="inlineStr">
        <is>
          <t>HỆ THỐNG TẠO ÁP Quạt hướng trục BPF-B1-Z2-02 5400 l/s @ 700 Pa, chống cháy 300°C trong 2h</t>
        </is>
      </c>
      <c r="D64" t="inlineStr">
        <is>
          <t>THUONG_MAI</t>
        </is>
      </c>
      <c r="E64" t="inlineStr">
        <is>
          <t>MAT-THUONG_MAI-HE_THONG_TAO_AP_QUAT_HUONG_TRU_72F7</t>
        </is>
      </c>
      <c r="F64" t="inlineStr">
        <is>
          <t>Cái</t>
        </is>
      </c>
      <c r="G64" s="394" t="n">
        <v>1</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Hàng thương mại mua ngoài</t>
        </is>
      </c>
    </row>
    <row r="65">
      <c r="A65" t="inlineStr">
        <is>
          <t>SW-TRD-071-TM</t>
        </is>
      </c>
      <c r="B65" t="inlineStr">
        <is>
          <t>SW-TRD-071</t>
        </is>
      </c>
      <c r="C65" t="inlineStr">
        <is>
          <t>HỆ THỐNG TẠO ÁP Quạt hướng trục BPF-B1-Z2-03 5400 l/s @ 700 Pa, chống cháy 300°C trong 2h</t>
        </is>
      </c>
      <c r="D65" t="inlineStr">
        <is>
          <t>THUONG_MAI</t>
        </is>
      </c>
      <c r="E65" t="inlineStr">
        <is>
          <t>MAT-THUONG_MAI-HE_THONG_TAO_AP_QUAT_HUONG_TRU_4A30</t>
        </is>
      </c>
      <c r="F65" t="inlineStr">
        <is>
          <t>Cái</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Hàng thương mại mua ngoài</t>
        </is>
      </c>
    </row>
    <row r="66">
      <c r="A66" t="inlineStr">
        <is>
          <t>SW-TRD-072-TM</t>
        </is>
      </c>
      <c r="B66" t="inlineStr">
        <is>
          <t>SW-TRD-072</t>
        </is>
      </c>
      <c r="C66" t="inlineStr">
        <is>
          <t>HỆ THỐNG TẠO ÁP Quạt hướng trục BPF-B1-Z2-04 700 l/s @ 400 Pa, chống cháy 300°C trong 2h</t>
        </is>
      </c>
      <c r="D66" t="inlineStr">
        <is>
          <t>THUONG_MAI</t>
        </is>
      </c>
      <c r="E66" t="inlineStr">
        <is>
          <t>MAT-THUONG_MAI-HE_THONG_TAO_AP_QUAT_HUONG_TRU_F291</t>
        </is>
      </c>
      <c r="F66" t="inlineStr">
        <is>
          <t>Cái</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Hàng thương mại mua ngoài</t>
        </is>
      </c>
    </row>
    <row r="67">
      <c r="A67" t="inlineStr">
        <is>
          <t>SW-TRD-073-TM</t>
        </is>
      </c>
      <c r="B67" t="inlineStr">
        <is>
          <t>SW-TRD-073</t>
        </is>
      </c>
      <c r="C67" t="inlineStr">
        <is>
          <t>HỆ THỐNG TẠO ÁP Quạt hướng trục LPF-A1.12-03F-01 1900 l/s @ 400 Pa, chống cháy 300°C trong 2h</t>
        </is>
      </c>
      <c r="D67" t="inlineStr">
        <is>
          <t>THUONG_MAI</t>
        </is>
      </c>
      <c r="E67" t="inlineStr">
        <is>
          <t>MAT-THUONG_MAI-HE_THONG_TAO_AP_QUAT_HUONG_TRU_3FF6</t>
        </is>
      </c>
      <c r="F67" t="inlineStr">
        <is>
          <t>Cái</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Hàng thương mại mua ngoài</t>
        </is>
      </c>
    </row>
    <row r="68">
      <c r="A68" t="inlineStr">
        <is>
          <t>SW-TRD-074-TM</t>
        </is>
      </c>
      <c r="B68" t="inlineStr">
        <is>
          <t>SW-TRD-074</t>
        </is>
      </c>
      <c r="C68" t="inlineStr">
        <is>
          <t>HỆ THỐNG TẠO ÁP Quạt hướng trục LPF-A1.23-03F-01 1900 l/s @ 450 Pa, chống cháy 300°C trong 2h</t>
        </is>
      </c>
      <c r="D68" t="inlineStr">
        <is>
          <t>THUONG_MAI</t>
        </is>
      </c>
      <c r="E68" t="inlineStr">
        <is>
          <t>MAT-THUONG_MAI-HE_THONG_TAO_AP_QUAT_HUONG_TRU_3A11</t>
        </is>
      </c>
      <c r="F68" t="inlineStr">
        <is>
          <t>Cái</t>
        </is>
      </c>
      <c r="G68" s="394" t="n">
        <v>1</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Hàng thương mại mua ngoài</t>
        </is>
      </c>
    </row>
    <row r="69">
      <c r="A69" t="inlineStr">
        <is>
          <t>SW-TRD-075-TM</t>
        </is>
      </c>
      <c r="B69" t="inlineStr">
        <is>
          <t>SW-TRD-075</t>
        </is>
      </c>
      <c r="C69" t="inlineStr">
        <is>
          <t>HỆ THỐNG TẠO ÁP Quạt hướng trục BPF-A1.2-04F-01 9500 l/s @ 450 Pa, chống cháy 300°C trong 2h</t>
        </is>
      </c>
      <c r="D69" t="inlineStr">
        <is>
          <t>THUONG_MAI</t>
        </is>
      </c>
      <c r="E69" t="inlineStr">
        <is>
          <t>MAT-THUONG_MAI-HE_THONG_TAO_AP_QUAT_HUONG_TRU_D2E7</t>
        </is>
      </c>
      <c r="F69" t="inlineStr">
        <is>
          <t>Cái</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Hàng thương mại mua ngoài</t>
        </is>
      </c>
    </row>
    <row r="70">
      <c r="A70" t="inlineStr">
        <is>
          <t>SW-TRD-076-TM</t>
        </is>
      </c>
      <c r="B70" t="inlineStr">
        <is>
          <t>SW-TRD-076</t>
        </is>
      </c>
      <c r="C70" t="inlineStr">
        <is>
          <t>HỆ THỐNG TẠO ÁP Quạt hướng trục LPF-A1.2-04F-01 1900 l/s @ 400 Pa, chống cháy 300°C trong 2h</t>
        </is>
      </c>
      <c r="D70" t="inlineStr">
        <is>
          <t>THUONG_MAI</t>
        </is>
      </c>
      <c r="E70" t="inlineStr">
        <is>
          <t>MAT-THUONG_MAI-HE_THONG_TAO_AP_QUAT_HUONG_TRU_8B6B</t>
        </is>
      </c>
      <c r="F70" t="inlineStr">
        <is>
          <t>Cái</t>
        </is>
      </c>
      <c r="G70" s="394" t="n">
        <v>1</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Hàng thương mại mua ngoài</t>
        </is>
      </c>
    </row>
    <row r="71">
      <c r="A71" t="inlineStr">
        <is>
          <t>SW-TRD-077-TM</t>
        </is>
      </c>
      <c r="B71" t="inlineStr">
        <is>
          <t>SW-TRD-077</t>
        </is>
      </c>
      <c r="C71" t="inlineStr">
        <is>
          <t>HỆ THỐNG TẠO ÁP Quạt hướng trục SPF-A1.3-09F-01 4800 l/s @ 400 Pa, chống cháy 300°C trong 2h</t>
        </is>
      </c>
      <c r="D71" t="inlineStr">
        <is>
          <t>THUONG_MAI</t>
        </is>
      </c>
      <c r="E71" t="inlineStr">
        <is>
          <t>MAT-THUONG_MAI-HE_THONG_TAO_AP_QUAT_HUONG_TRU_E639</t>
        </is>
      </c>
      <c r="F71" t="inlineStr">
        <is>
          <t>Cái</t>
        </is>
      </c>
      <c r="G71" s="394" t="n">
        <v>1</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Hàng thương mại mua ngoài</t>
        </is>
      </c>
    </row>
    <row r="72">
      <c r="A72" t="inlineStr">
        <is>
          <t>SW-TRD-078-TM</t>
        </is>
      </c>
      <c r="B72" t="inlineStr">
        <is>
          <t>SW-TRD-078</t>
        </is>
      </c>
      <c r="C72" t="inlineStr">
        <is>
          <t>HỆ THỐNG TẠO ÁP Quạt hướng trục SPF-A1.3-10F-01 4800 l/s @ 400 Pa, chống cháy 300°C trong 2h</t>
        </is>
      </c>
      <c r="D72" t="inlineStr">
        <is>
          <t>THUONG_MAI</t>
        </is>
      </c>
      <c r="E72" t="inlineStr">
        <is>
          <t>MAT-THUONG_MAI-HE_THONG_TAO_AP_QUAT_HUONG_TRU_F0F2</t>
        </is>
      </c>
      <c r="F72" t="inlineStr">
        <is>
          <t>Cái</t>
        </is>
      </c>
      <c r="G72" s="394" t="n">
        <v>1</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Hàng thương mại mua ngoài</t>
        </is>
      </c>
    </row>
    <row r="73">
      <c r="A73" t="inlineStr">
        <is>
          <t>SW-TRD-079-TM</t>
        </is>
      </c>
      <c r="B73" t="inlineStr">
        <is>
          <t>SW-TRD-079</t>
        </is>
      </c>
      <c r="C73" t="inlineStr">
        <is>
          <t>HỆ THỐNG TẠO ÁP Quạt hướng trục LPF-A1.3-10F-01~02 3000 l/s @ 350 Pa, chống cháy 300°C trong 2h</t>
        </is>
      </c>
      <c r="D73" t="inlineStr">
        <is>
          <t>THUONG_MAI</t>
        </is>
      </c>
      <c r="E73" t="inlineStr">
        <is>
          <t>MAT-THUONG_MAI-HE_THONG_TAO_AP_QUAT_HUONG_TRU_42C5</t>
        </is>
      </c>
      <c r="F73" t="inlineStr">
        <is>
          <t>Cái</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Hàng thương mại mua ngoài</t>
        </is>
      </c>
    </row>
    <row r="74">
      <c r="A74" t="inlineStr">
        <is>
          <t>SW-TRD-080-TM</t>
        </is>
      </c>
      <c r="B74" t="inlineStr">
        <is>
          <t>SW-TRD-080</t>
        </is>
      </c>
      <c r="C74" t="inlineStr">
        <is>
          <t>HỆ THỐNG TẠO ÁP Quạt hướng trục BPF-A1.3-10F-01 5800 l/s @ 550 Pa, chống cháy 300°C trong 2h</t>
        </is>
      </c>
      <c r="D74" t="inlineStr">
        <is>
          <t>THUONG_MAI</t>
        </is>
      </c>
      <c r="E74" t="inlineStr">
        <is>
          <t>MAT-THUONG_MAI-HE_THONG_TAO_AP_QUAT_HUONG_TRU_498D</t>
        </is>
      </c>
      <c r="F74" t="inlineStr">
        <is>
          <t>Cái</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Hàng thương mại mua ngoài</t>
        </is>
      </c>
    </row>
    <row r="75">
      <c r="A75" t="inlineStr">
        <is>
          <t>SW-TRD-081-TM</t>
        </is>
      </c>
      <c r="B75" t="inlineStr">
        <is>
          <t>SW-TRD-081</t>
        </is>
      </c>
      <c r="C75" t="inlineStr">
        <is>
          <t>HỆ THỐNG TẠO ÁP Quạt hướng trục LPF-A1.2-11F-01~03 3500 l/s @ 400 Pa, chống cháy 300°C trong 2h</t>
        </is>
      </c>
      <c r="D75" t="inlineStr">
        <is>
          <t>THUONG_MAI</t>
        </is>
      </c>
      <c r="E75" t="inlineStr">
        <is>
          <t>MAT-THUONG_MAI-HE_THONG_TAO_AP_QUAT_HUONG_TRU_891C</t>
        </is>
      </c>
      <c r="F75" t="inlineStr">
        <is>
          <t>Cái</t>
        </is>
      </c>
      <c r="G75" s="394" t="n">
        <v>1</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Hàng thương mại mua ngoài</t>
        </is>
      </c>
    </row>
    <row r="76">
      <c r="A76" t="inlineStr">
        <is>
          <t>SW-TRD-082-TM</t>
        </is>
      </c>
      <c r="B76" t="inlineStr">
        <is>
          <t>SW-TRD-082</t>
        </is>
      </c>
      <c r="C76" t="inlineStr">
        <is>
          <t>HỆ THỐNG TẠO ÁP Quạt hướng trục SPF-A1.2-12F-01~02 3500 l/s @ 400 Pa, chống cháy 300°C trong 2h</t>
        </is>
      </c>
      <c r="D76" t="inlineStr">
        <is>
          <t>THUONG_MAI</t>
        </is>
      </c>
      <c r="E76" t="inlineStr">
        <is>
          <t>MAT-THUONG_MAI-HE_THONG_TAO_AP_QUAT_HUONG_TRU_1157</t>
        </is>
      </c>
      <c r="F76" t="inlineStr">
        <is>
          <t>Cái</t>
        </is>
      </c>
      <c r="G76" s="394" t="n">
        <v>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Hàng thương mại mua ngoài</t>
        </is>
      </c>
    </row>
    <row r="77">
      <c r="A77" t="inlineStr">
        <is>
          <t>SW-TRD-083-TM</t>
        </is>
      </c>
      <c r="B77" t="inlineStr">
        <is>
          <t>SW-TRD-083</t>
        </is>
      </c>
      <c r="C77" t="inlineStr">
        <is>
          <t>HỆ THỐNG TẠO ÁP Quạt hướng trục BPF-A1.2-12F-01 6100 l/s @ 600 Pa, chống cháy 300°C trong 2h</t>
        </is>
      </c>
      <c r="D77" t="inlineStr">
        <is>
          <t>THUONG_MAI</t>
        </is>
      </c>
      <c r="E77" t="inlineStr">
        <is>
          <t>MAT-THUONG_MAI-HE_THONG_TAO_AP_QUAT_HUONG_TRU_050A</t>
        </is>
      </c>
      <c r="F77" t="inlineStr">
        <is>
          <t>Cái</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Hàng thương mại mua ngoài</t>
        </is>
      </c>
    </row>
    <row r="78">
      <c r="A78" t="inlineStr">
        <is>
          <t>SW-TRD-084-TM</t>
        </is>
      </c>
      <c r="B78" t="inlineStr">
        <is>
          <t>SW-TRD-084</t>
        </is>
      </c>
      <c r="C78" t="inlineStr">
        <is>
          <t>HỆ THỐNG TẠO ÁP Quạt hướng trục LPF-A1.1-RF-01~03 4000 l/s @ 400 Pa, chống cháy 300°C trong 2h</t>
        </is>
      </c>
      <c r="D78" t="inlineStr">
        <is>
          <t>THUONG_MAI</t>
        </is>
      </c>
      <c r="E78" t="inlineStr">
        <is>
          <t>MAT-THUONG_MAI-HE_THONG_TAO_AP_QUAT_HUONG_TRU_50FB</t>
        </is>
      </c>
      <c r="F78" t="inlineStr">
        <is>
          <t>Cái</t>
        </is>
      </c>
      <c r="G78" s="394" t="n">
        <v>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Hàng thương mại mua ngoài</t>
        </is>
      </c>
    </row>
    <row r="79">
      <c r="A79" t="inlineStr">
        <is>
          <t>SW-TRD-085-TM</t>
        </is>
      </c>
      <c r="B79" t="inlineStr">
        <is>
          <t>SW-TRD-085</t>
        </is>
      </c>
      <c r="C79" t="inlineStr">
        <is>
          <t>HỆ THỐNG TẠO ÁP Quạt hướng trục SPF-A1.1-RF-01~02 5300 l/s @ 450 Pa, chống cháy 300°C trong 2h</t>
        </is>
      </c>
      <c r="D79" t="inlineStr">
        <is>
          <t>THUONG_MAI</t>
        </is>
      </c>
      <c r="E79" t="inlineStr">
        <is>
          <t>MAT-THUONG_MAI-HE_THONG_TAO_AP_QUAT_HUONG_TRU_97E6</t>
        </is>
      </c>
      <c r="F79" t="inlineStr">
        <is>
          <t>Cái</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Hàng thương mại mua ngoài</t>
        </is>
      </c>
    </row>
    <row r="80">
      <c r="A80" t="inlineStr">
        <is>
          <t>SW-TRD-086-TM</t>
        </is>
      </c>
      <c r="B80" t="inlineStr">
        <is>
          <t>SW-TRD-086</t>
        </is>
      </c>
      <c r="C80" t="inlineStr">
        <is>
          <t>HỆ THỐNG TẠO ÁP Quạt hướng trục BPF-A1.1-RF-01 6100 l/s @ 600 Pa, chống cháy 300°C trong 2h</t>
        </is>
      </c>
      <c r="D80" t="inlineStr">
        <is>
          <t>THUONG_MAI</t>
        </is>
      </c>
      <c r="E80" t="inlineStr">
        <is>
          <t>MAT-THUONG_MAI-HE_THONG_TAO_AP_QUAT_HUONG_TRU_E25B</t>
        </is>
      </c>
      <c r="F80" t="inlineStr">
        <is>
          <t>Cái</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Hàng thương mại mua ngoài</t>
        </is>
      </c>
    </row>
    <row r="81">
      <c r="A81" t="inlineStr">
        <is>
          <t>SW-TRD-140-TM</t>
        </is>
      </c>
      <c r="B81" t="inlineStr">
        <is>
          <t>SW-TRD-140</t>
        </is>
      </c>
      <c r="C81" t="inlineStr">
        <is>
          <t>HỆ THỐNG TẠO ÁP Vật tư phụ, phụ kiện</t>
        </is>
      </c>
      <c r="D81" t="inlineStr">
        <is>
          <t>THUONG_MAI</t>
        </is>
      </c>
      <c r="E81" t="inlineStr">
        <is>
          <t>MAT-THUONG_MAI-HE_THONG_TAO_AP_VAT_TU_PHU_PHU_KIEN</t>
        </is>
      </c>
      <c r="F81" t="inlineStr">
        <is>
          <t>Lô</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Hàng thương mại mua ngoài</t>
        </is>
      </c>
    </row>
    <row r="82">
      <c r="A82" t="inlineStr">
        <is>
          <t>SW-DUCT-141-BODY</t>
        </is>
      </c>
      <c r="B82" t="inlineStr">
        <is>
          <t>SW-DUCT-141</t>
        </is>
      </c>
      <c r="C82" t="inlineStr">
        <is>
          <t>Tôn mạ kẽm PN (0.75mm) - Định mức m²</t>
        </is>
      </c>
      <c r="D82" t="inlineStr">
        <is>
          <t>TÔN_CUỘN_MẠ_KẼM</t>
        </is>
      </c>
      <c r="E82" t="inlineStr">
        <is>
          <t>MAT-STEEL-PN-0.75</t>
        </is>
      </c>
      <c r="F82" t="inlineStr">
        <is>
          <t>kg</t>
        </is>
      </c>
      <c r="G82" s="394" t="n">
        <v>6.676425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Định mức tôn cho 1m² ống: phôi x1.08, hao hụt x1.05</t>
        </is>
      </c>
    </row>
    <row r="83">
      <c r="A83" t="inlineStr">
        <is>
          <t>SW-DUCT-141-BOX</t>
        </is>
      </c>
      <c r="B83" t="inlineStr">
        <is>
          <t>SW-DUCT-141</t>
        </is>
      </c>
      <c r="C83" t="inlineStr">
        <is>
          <t>Box phụ kiện 0.75mm</t>
        </is>
      </c>
      <c r="D83" t="inlineStr">
        <is>
          <t>THUONG_MAI</t>
        </is>
      </c>
      <c r="E83" t="inlineStr">
        <is>
          <t>MAT-BOX-HE_THONG_ONG_THONG_G_A19B</t>
        </is>
      </c>
      <c r="F83" t="inlineStr">
        <is>
          <t>Cái</t>
        </is>
      </c>
      <c r="G83" s="394" t="n">
        <v>1</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Phụ kiện bóc tách động (Rule-based)</t>
        </is>
      </c>
    </row>
    <row r="84">
      <c r="A84" t="inlineStr">
        <is>
          <t>SW-DUCT-142-BODY</t>
        </is>
      </c>
      <c r="B84" t="inlineStr">
        <is>
          <t>SW-DUCT-142</t>
        </is>
      </c>
      <c r="C84" t="inlineStr">
        <is>
          <t>Tôn mạ kẽm PN (0.95mm) - Định mức m²</t>
        </is>
      </c>
      <c r="D84" t="inlineStr">
        <is>
          <t>TÔN_CUỘN_MẠ_KẼM</t>
        </is>
      </c>
      <c r="E84" t="inlineStr">
        <is>
          <t>MAT-STEEL-PN-0.95</t>
        </is>
      </c>
      <c r="F84" t="inlineStr">
        <is>
          <t>kg</t>
        </is>
      </c>
      <c r="G84" s="394" t="n">
        <v>8.456805000000001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Định mức tôn cho 1m² ống: phôi x1.08, hao hụt x1.05</t>
        </is>
      </c>
    </row>
    <row r="85">
      <c r="A85" t="inlineStr">
        <is>
          <t>SW-DUCT-142-BOX</t>
        </is>
      </c>
      <c r="B85" t="inlineStr">
        <is>
          <t>SW-DUCT-142</t>
        </is>
      </c>
      <c r="C85" t="inlineStr">
        <is>
          <t>Box phụ kiện 0.95mm</t>
        </is>
      </c>
      <c r="D85" t="inlineStr">
        <is>
          <t>THUONG_MAI</t>
        </is>
      </c>
      <c r="E85" t="inlineStr">
        <is>
          <t>MAT-BOX-HE_THONG_ONG_THONG_G_5D3C</t>
        </is>
      </c>
      <c r="F85" t="inlineStr">
        <is>
          <t>Cái</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Phụ kiện bóc tách động (Rule-based)</t>
        </is>
      </c>
    </row>
    <row r="86">
      <c r="A86" t="inlineStr">
        <is>
          <t>SW-DUCT-143-BODY</t>
        </is>
      </c>
      <c r="B86" t="inlineStr">
        <is>
          <t>SW-DUCT-143</t>
        </is>
      </c>
      <c r="C86" t="inlineStr">
        <is>
          <t>Tôn mạ kẽm PN (1.15mm) - Định mức m²</t>
        </is>
      </c>
      <c r="D86" t="inlineStr">
        <is>
          <t>TÔN_CUỘN_MẠ_KẼM</t>
        </is>
      </c>
      <c r="E86" t="inlineStr">
        <is>
          <t>MAT-STEEL-PN-1.15</t>
        </is>
      </c>
      <c r="F86" t="inlineStr">
        <is>
          <t>kg</t>
        </is>
      </c>
      <c r="G86" s="394" t="n">
        <v>10.237185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Định mức tôn cho 1m² ống: phôi x1.08, hao hụt x1.05</t>
        </is>
      </c>
    </row>
    <row r="87">
      <c r="A87" t="inlineStr">
        <is>
          <t>SW-DUCT-143-BOX</t>
        </is>
      </c>
      <c r="B87" t="inlineStr">
        <is>
          <t>SW-DUCT-143</t>
        </is>
      </c>
      <c r="C87" t="inlineStr">
        <is>
          <t>Box phụ kiện 1.15mm</t>
        </is>
      </c>
      <c r="D87" t="inlineStr">
        <is>
          <t>THUONG_MAI</t>
        </is>
      </c>
      <c r="E87" t="inlineStr">
        <is>
          <t>MAT-BOX-HE_THONG_ONG_THONG_G_8FA7</t>
        </is>
      </c>
      <c r="F87" t="inlineStr">
        <is>
          <t>Cái</t>
        </is>
      </c>
      <c r="G87" s="394" t="n">
        <v>1</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Phụ kiện bóc tách động (Rule-based)</t>
        </is>
      </c>
    </row>
    <row r="88">
      <c r="A88" t="inlineStr">
        <is>
          <t>SW-DUCT-144-BODY</t>
        </is>
      </c>
      <c r="B88" t="inlineStr">
        <is>
          <t>SW-DUCT-144</t>
        </is>
      </c>
      <c r="C88" t="inlineStr">
        <is>
          <t>Tôn mạ kẽm PN (1.15mm) - Định mức m²</t>
        </is>
      </c>
      <c r="D88" t="inlineStr">
        <is>
          <t>TÔN_CUỘN_MẠ_KẼM</t>
        </is>
      </c>
      <c r="E88" t="inlineStr">
        <is>
          <t>MAT-STEEL-PN-1.15</t>
        </is>
      </c>
      <c r="F88" t="inlineStr">
        <is>
          <t>kg</t>
        </is>
      </c>
      <c r="G88" s="394" t="n">
        <v>10.237185</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Định mức tôn cho 1m² ống: phôi x1.08, hao hụt x1.05</t>
        </is>
      </c>
    </row>
    <row r="89">
      <c r="A89" t="inlineStr">
        <is>
          <t>SW-DUCT-144-BOX</t>
        </is>
      </c>
      <c r="B89" t="inlineStr">
        <is>
          <t>SW-DUCT-144</t>
        </is>
      </c>
      <c r="C89" t="inlineStr">
        <is>
          <t>Box phụ kiện 1.15mm</t>
        </is>
      </c>
      <c r="D89" t="inlineStr">
        <is>
          <t>THUONG_MAI</t>
        </is>
      </c>
      <c r="E89" t="inlineStr">
        <is>
          <t>MAT-BOX-HE_THONG_ONG_THONG_G_7F99</t>
        </is>
      </c>
      <c r="F89" t="inlineStr">
        <is>
          <t>Cái</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Phụ kiện bóc tách động (Rule-based)</t>
        </is>
      </c>
    </row>
    <row r="90">
      <c r="A90" t="inlineStr">
        <is>
          <t>SW-TRD-145-TM</t>
        </is>
      </c>
      <c r="B90" t="inlineStr">
        <is>
          <t>SW-TRD-145</t>
        </is>
      </c>
      <c r="C90" t="inlineStr">
        <is>
          <t>Hệ thống ống thông gió tạo áp, box miệng gió… Lưới bảo vệ</t>
        </is>
      </c>
      <c r="D90" t="inlineStr">
        <is>
          <t>THUONG_MAI</t>
        </is>
      </c>
      <c r="E90" t="inlineStr">
        <is>
          <t>MAT-THUONG_MAI-HE_THONG_ONG_THONG_GIO_TAO_AP_6A5C</t>
        </is>
      </c>
      <c r="F90" t="inlineStr">
        <is>
          <t>cái</t>
        </is>
      </c>
      <c r="G90" s="394" t="n">
        <v>1</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Hàng thương mại mua ngoài</t>
        </is>
      </c>
    </row>
    <row r="91">
      <c r="A91" t="inlineStr">
        <is>
          <t>SW-TRD-145-BOX</t>
        </is>
      </c>
      <c r="B91" t="inlineStr">
        <is>
          <t>SW-TRD-145</t>
        </is>
      </c>
      <c r="C91" t="inlineStr">
        <is>
          <t>Box phụ kiện -</t>
        </is>
      </c>
      <c r="D91" t="inlineStr">
        <is>
          <t>THUONG_MAI</t>
        </is>
      </c>
      <c r="E91" t="inlineStr">
        <is>
          <t>MAT-BOX-HE_THONG_ONG_THONG_G_6A5C</t>
        </is>
      </c>
      <c r="F91" t="inlineStr">
        <is>
          <t>Cái</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Phụ kiện bóc tách động (Rule-based)</t>
        </is>
      </c>
    </row>
    <row r="92">
      <c r="A92" t="inlineStr">
        <is>
          <t>SW-TRD-146-TM</t>
        </is>
      </c>
      <c r="B92" t="inlineStr">
        <is>
          <t>SW-TRD-146</t>
        </is>
      </c>
      <c r="C92" t="inlineStr">
        <is>
          <t>Hệ thống ống thông gió tạo áp, box miệng gió… Lớp chống cháy EI60</t>
        </is>
      </c>
      <c r="D92" t="inlineStr">
        <is>
          <t>THUONG_MAI</t>
        </is>
      </c>
      <c r="E92" t="inlineStr">
        <is>
          <t>MAT-THUONG_MAI-HE_THONG_ONG_THONG_GIO_TAO_AP_106E</t>
        </is>
      </c>
      <c r="F92" t="inlineStr">
        <is>
          <t>m2</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Hàng thương mại mua ngoài</t>
        </is>
      </c>
    </row>
    <row r="93">
      <c r="A93" t="inlineStr">
        <is>
          <t>SW-TRD-146-BOX</t>
        </is>
      </c>
      <c r="B93" t="inlineStr">
        <is>
          <t>SW-TRD-146</t>
        </is>
      </c>
      <c r="C93" t="inlineStr">
        <is>
          <t>Box phụ kiện -</t>
        </is>
      </c>
      <c r="D93" t="inlineStr">
        <is>
          <t>THUONG_MAI</t>
        </is>
      </c>
      <c r="E93" t="inlineStr">
        <is>
          <t>MAT-BOX-HE_THONG_ONG_THONG_G_106E</t>
        </is>
      </c>
      <c r="F93" t="inlineStr">
        <is>
          <t>Cái</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Phụ kiện bóc tách động (Rule-based)</t>
        </is>
      </c>
    </row>
    <row r="94">
      <c r="A94" t="inlineStr">
        <is>
          <t>SW-TRD-147-TM</t>
        </is>
      </c>
      <c r="B94" t="inlineStr">
        <is>
          <t>SW-TRD-147</t>
        </is>
      </c>
      <c r="C94" t="inlineStr">
        <is>
          <t>Hệ thống ống thông gió tạo áp, box miệng gió… Lớp chống cháy EI120</t>
        </is>
      </c>
      <c r="D94" t="inlineStr">
        <is>
          <t>THUONG_MAI</t>
        </is>
      </c>
      <c r="E94" t="inlineStr">
        <is>
          <t>MAT-THUONG_MAI-HE_THONG_ONG_THONG_GIO_TAO_AP_6252</t>
        </is>
      </c>
      <c r="F94" t="inlineStr">
        <is>
          <t>m2</t>
        </is>
      </c>
      <c r="G94" s="394" t="n">
        <v>1</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Hàng thương mại mua ngoài</t>
        </is>
      </c>
    </row>
    <row r="95">
      <c r="A95" t="inlineStr">
        <is>
          <t>SW-TRD-147-BOX</t>
        </is>
      </c>
      <c r="B95" t="inlineStr">
        <is>
          <t>SW-TRD-147</t>
        </is>
      </c>
      <c r="C95" t="inlineStr">
        <is>
          <t>Box phụ kiện -</t>
        </is>
      </c>
      <c r="D95" t="inlineStr">
        <is>
          <t>THUONG_MAI</t>
        </is>
      </c>
      <c r="E95" t="inlineStr">
        <is>
          <t>MAT-BOX-HE_THONG_ONG_THONG_G_6252</t>
        </is>
      </c>
      <c r="F95" t="inlineStr">
        <is>
          <t>Cái</t>
        </is>
      </c>
      <c r="G95" s="394" t="n">
        <v>1</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Phụ kiện bóc tách động (Rule-based)</t>
        </is>
      </c>
    </row>
    <row r="96">
      <c r="A96" t="inlineStr">
        <is>
          <t>SW-TRD-148-TM</t>
        </is>
      </c>
      <c r="B96" t="inlineStr">
        <is>
          <t>SW-TRD-148</t>
        </is>
      </c>
      <c r="C96" t="inlineStr">
        <is>
          <t>Hệ thống ống thông gió tạo áp, box miệng gió… Vật tư phụ, phụ kiện</t>
        </is>
      </c>
      <c r="D96" t="inlineStr">
        <is>
          <t>THUONG_MAI</t>
        </is>
      </c>
      <c r="E96" t="inlineStr">
        <is>
          <t>MAT-THUONG_MAI-HE_THONG_ONG_THONG_GIO_TAO_AP_708B</t>
        </is>
      </c>
      <c r="F96" t="inlineStr">
        <is>
          <t>Lô</t>
        </is>
      </c>
      <c r="G96" s="394" t="n">
        <v>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Hàng thương mại mua ngoài</t>
        </is>
      </c>
    </row>
    <row r="97">
      <c r="A97" t="inlineStr">
        <is>
          <t>SW-TRD-148-BOX</t>
        </is>
      </c>
      <c r="B97" t="inlineStr">
        <is>
          <t>SW-TRD-148</t>
        </is>
      </c>
      <c r="C97" t="inlineStr">
        <is>
          <t>Box phụ kiện -</t>
        </is>
      </c>
      <c r="D97" t="inlineStr">
        <is>
          <t>THUONG_MAI</t>
        </is>
      </c>
      <c r="E97" t="inlineStr">
        <is>
          <t>MAT-BOX-HE_THONG_ONG_THONG_G_708B</t>
        </is>
      </c>
      <c r="F97" t="inlineStr">
        <is>
          <t>Cái</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Phụ kiện bóc tách động (Rule-based)</t>
        </is>
      </c>
    </row>
    <row r="98">
      <c r="A98" t="inlineStr">
        <is>
          <t>SW-TRD-149-TM</t>
        </is>
      </c>
      <c r="B98" t="inlineStr">
        <is>
          <t>SW-TRD-149</t>
        </is>
      </c>
      <c r="C98" t="inlineStr">
        <is>
          <t>HỆ THỐNG CẤP GIÓ TƯƠI, GIÓ BÙ PAU-A1.1-RF-01</t>
        </is>
      </c>
      <c r="D98" t="inlineStr">
        <is>
          <t>THUONG_MAI</t>
        </is>
      </c>
      <c r="E98" t="inlineStr">
        <is>
          <t>MAT-THUONG_MAI-HE_THONG_CAP_GIO_TUOI_GIO_BU_P_BE63</t>
        </is>
      </c>
      <c r="F98" t="inlineStr">
        <is>
          <t>Bộ</t>
        </is>
      </c>
      <c r="G98" s="394" t="n">
        <v>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Hàng thương mại mua ngoài</t>
        </is>
      </c>
    </row>
    <row r="99">
      <c r="A99" t="inlineStr">
        <is>
          <t>SW-TRD-150-TM</t>
        </is>
      </c>
      <c r="B99" t="inlineStr">
        <is>
          <t>SW-TRD-150</t>
        </is>
      </c>
      <c r="C99" t="inlineStr">
        <is>
          <t>HỆ THỐNG CẤP GIÓ TƯƠI, GIÓ BÙ PAU-A1.2-11-01</t>
        </is>
      </c>
      <c r="D99" t="inlineStr">
        <is>
          <t>THUONG_MAI</t>
        </is>
      </c>
      <c r="E99" t="inlineStr">
        <is>
          <t>MAT-THUONG_MAI-HE_THONG_CAP_GIO_TUOI_GIO_BU_P_05E9</t>
        </is>
      </c>
      <c r="F99" t="inlineStr">
        <is>
          <t>Cái</t>
        </is>
      </c>
      <c r="G99" s="394" t="n">
        <v>1</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Hàng thương mại mua ngoài</t>
        </is>
      </c>
    </row>
    <row r="100">
      <c r="A100" t="inlineStr">
        <is>
          <t>SW-TRD-151-TM</t>
        </is>
      </c>
      <c r="B100" t="inlineStr">
        <is>
          <t>SW-TRD-151</t>
        </is>
      </c>
      <c r="C100" t="inlineStr">
        <is>
          <t>HỆ THỐNG CẤP GIÓ TƯƠI, GIÓ BÙ PAU-A1.3-09-01</t>
        </is>
      </c>
      <c r="D100" t="inlineStr">
        <is>
          <t>THUONG_MAI</t>
        </is>
      </c>
      <c r="E100" t="inlineStr">
        <is>
          <t>MAT-THUONG_MAI-HE_THONG_CAP_GIO_TUOI_GIO_BU_P_5959</t>
        </is>
      </c>
      <c r="F100" t="inlineStr">
        <is>
          <t>Cái</t>
        </is>
      </c>
      <c r="G100" s="394" t="n">
        <v>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Hàng thương mại mua ngoài</t>
        </is>
      </c>
    </row>
    <row r="101">
      <c r="A101" t="inlineStr">
        <is>
          <t>SW-TRD-152-TM</t>
        </is>
      </c>
      <c r="B101" t="inlineStr">
        <is>
          <t>SW-TRD-152</t>
        </is>
      </c>
      <c r="C101" t="inlineStr">
        <is>
          <t>HỆ THỐNG CẤP GIÓ TƯƠI, GIÓ BÙ ODU-A1.1-RF-01</t>
        </is>
      </c>
      <c r="D101" t="inlineStr">
        <is>
          <t>THUONG_MAI</t>
        </is>
      </c>
      <c r="E101" t="inlineStr">
        <is>
          <t>MAT-THUONG_MAI-HE_THONG_CAP_GIO_TUOI_GIO_BU_O_130A</t>
        </is>
      </c>
      <c r="F101" t="inlineStr">
        <is>
          <t>Cái</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Hàng thương mại mua ngoài</t>
        </is>
      </c>
    </row>
    <row r="102">
      <c r="A102" t="inlineStr">
        <is>
          <t>SW-TRD-153-TM</t>
        </is>
      </c>
      <c r="B102" t="inlineStr">
        <is>
          <t>SW-TRD-153</t>
        </is>
      </c>
      <c r="C102" t="inlineStr">
        <is>
          <t>HỆ THỐNG CẤP GIÓ TƯƠI, GIÓ BÙ ODU-A1.2-RF-01</t>
        </is>
      </c>
      <c r="D102" t="inlineStr">
        <is>
          <t>THUONG_MAI</t>
        </is>
      </c>
      <c r="E102" t="inlineStr">
        <is>
          <t>MAT-THUONG_MAI-HE_THONG_CAP_GIO_TUOI_GIO_BU_O_3898</t>
        </is>
      </c>
      <c r="F102" t="inlineStr">
        <is>
          <t>Cái</t>
        </is>
      </c>
      <c r="G102" s="394" t="n">
        <v>1</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Hàng thương mại mua ngoài</t>
        </is>
      </c>
    </row>
    <row r="103">
      <c r="A103" t="inlineStr">
        <is>
          <t>SW-TRD-154-TM</t>
        </is>
      </c>
      <c r="B103" t="inlineStr">
        <is>
          <t>SW-TRD-154</t>
        </is>
      </c>
      <c r="C103" t="inlineStr">
        <is>
          <t>HỆ THỐNG CẤP GIÓ TƯƠI, GIÓ BÙ ODU-A1.3-RF-01</t>
        </is>
      </c>
      <c r="D103" t="inlineStr">
        <is>
          <t>THUONG_MAI</t>
        </is>
      </c>
      <c r="E103" t="inlineStr">
        <is>
          <t>MAT-THUONG_MAI-HE_THONG_CAP_GIO_TUOI_GIO_BU_O_2798</t>
        </is>
      </c>
      <c r="F103" t="inlineStr">
        <is>
          <t>Cái</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Hàng thương mại mua ngoài</t>
        </is>
      </c>
    </row>
    <row r="104">
      <c r="A104" t="inlineStr">
        <is>
          <t>SW-TRD-155-TM</t>
        </is>
      </c>
      <c r="B104" t="inlineStr">
        <is>
          <t>SW-TRD-155</t>
        </is>
      </c>
      <c r="C104" t="inlineStr">
        <is>
          <t>HỆ THỐNG CẤP GIÓ TƯƠI, GIÓ BÙ Quạt hướng trục CSF-B2-Z1-01~02 5350/8020 l/s @ 550/1238 Pa, chống cháy 300°C trong 2h</t>
        </is>
      </c>
      <c r="D104" t="inlineStr">
        <is>
          <t>THUONG_MAI</t>
        </is>
      </c>
      <c r="E104" t="inlineStr">
        <is>
          <t>MAT-THUONG_MAI-HE_THONG_CAP_GIO_TUOI_GIO_BU_Q_6C8C</t>
        </is>
      </c>
      <c r="F104" t="inlineStr">
        <is>
          <t>Cái</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Hàng thương mại mua ngoài</t>
        </is>
      </c>
    </row>
    <row r="105">
      <c r="A105" t="inlineStr">
        <is>
          <t>SW-TRD-156-TM</t>
        </is>
      </c>
      <c r="B105" t="inlineStr">
        <is>
          <t>SW-TRD-156</t>
        </is>
      </c>
      <c r="C105" t="inlineStr">
        <is>
          <t>HỆ THỐNG CẤP GIÓ TƯƠI, GIÓ BÙ Quạt hướng trục CSF-B2-Z2-01~02 5050/7575 l/s @ 550/1238 Pa, chống cháy 300°C trong 2h</t>
        </is>
      </c>
      <c r="D105" t="inlineStr">
        <is>
          <t>THUONG_MAI</t>
        </is>
      </c>
      <c r="E105" t="inlineStr">
        <is>
          <t>MAT-THUONG_MAI-HE_THONG_CAP_GIO_TUOI_GIO_BU_Q_7996</t>
        </is>
      </c>
      <c r="F105" t="inlineStr">
        <is>
          <t>Cái</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Hàng thương mại mua ngoài</t>
        </is>
      </c>
    </row>
    <row r="106">
      <c r="A106" t="inlineStr">
        <is>
          <t>SW-TRD-157-TM</t>
        </is>
      </c>
      <c r="B106" t="inlineStr">
        <is>
          <t>SW-TRD-157</t>
        </is>
      </c>
      <c r="C106" t="inlineStr">
        <is>
          <t>HỆ THỐNG CẤP GIÓ TƯƠI, GIÓ BÙ Quạt hướng trục CSF-B1-Z1-01~02 4750/7125 l/s @ 550/1238 Pa, chống cháy 300°C trong 2h</t>
        </is>
      </c>
      <c r="D106" t="inlineStr">
        <is>
          <t>THUONG_MAI</t>
        </is>
      </c>
      <c r="E106" t="inlineStr">
        <is>
          <t>MAT-THUONG_MAI-HE_THONG_CAP_GIO_TUOI_GIO_BU_Q_B272</t>
        </is>
      </c>
      <c r="F106" t="inlineStr">
        <is>
          <t>Cái</t>
        </is>
      </c>
      <c r="G106" s="394" t="n">
        <v>1</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Hàng thương mại mua ngoài</t>
        </is>
      </c>
    </row>
    <row r="107">
      <c r="A107" t="inlineStr">
        <is>
          <t>SW-TRD-158-TM</t>
        </is>
      </c>
      <c r="B107" t="inlineStr">
        <is>
          <t>SW-TRD-158</t>
        </is>
      </c>
      <c r="C107" t="inlineStr">
        <is>
          <t>HỆ THỐNG CẤP GIÓ TƯƠI, GIÓ BÙ Quạt hướng trục CSF-B1-Z2-01~02 4365/6550 l/s @ 550/1238 Pa, chống cháy 300°C trong 2h</t>
        </is>
      </c>
      <c r="D107" t="inlineStr">
        <is>
          <t>THUONG_MAI</t>
        </is>
      </c>
      <c r="E107" t="inlineStr">
        <is>
          <t>MAT-THUONG_MAI-HE_THONG_CAP_GIO_TUOI_GIO_BU_Q_B62A</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Hàng thương mại mua ngoài</t>
        </is>
      </c>
    </row>
    <row r="108">
      <c r="A108" t="inlineStr">
        <is>
          <t>SW-TRD-159-TM</t>
        </is>
      </c>
      <c r="B108" t="inlineStr">
        <is>
          <t>SW-TRD-159</t>
        </is>
      </c>
      <c r="C108" t="inlineStr">
        <is>
          <t>HỆ THỐNG CẤP GIÓ TƯƠI, GIÓ BÙ Quạt hướng trục MAF-B1-Z2-01 2800 l/s @ 350 Pa, chống cháy 300°C trong 2h</t>
        </is>
      </c>
      <c r="D108" t="inlineStr">
        <is>
          <t>THUONG_MAI</t>
        </is>
      </c>
      <c r="E108" t="inlineStr">
        <is>
          <t>MAT-THUONG_MAI-HE_THONG_CAP_GIO_TUOI_GIO_BU_Q_03BF</t>
        </is>
      </c>
      <c r="F108" t="inlineStr">
        <is>
          <t>Cái</t>
        </is>
      </c>
      <c r="G108" s="394" t="n">
        <v>1</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Hàng thương mại mua ngoài</t>
        </is>
      </c>
    </row>
    <row r="109">
      <c r="A109" t="inlineStr">
        <is>
          <t>SW-TRD-160-TM</t>
        </is>
      </c>
      <c r="B109" t="inlineStr">
        <is>
          <t>SW-TRD-160</t>
        </is>
      </c>
      <c r="C109" t="inlineStr">
        <is>
          <t>HỆ THỐNG CẤP GIÓ TƯƠI, GIÓ BÙ Quạt hướng trục MAF-A1.1-03F-01 3100 l/s @ 400 Pa, chống cháy 300°C trong 2h</t>
        </is>
      </c>
      <c r="D109" t="inlineStr">
        <is>
          <t>THUONG_MAI</t>
        </is>
      </c>
      <c r="E109" t="inlineStr">
        <is>
          <t>MAT-THUONG_MAI-HE_THONG_CAP_GIO_TUOI_GIO_BU_Q_C4A3</t>
        </is>
      </c>
      <c r="F109" t="inlineStr">
        <is>
          <t>Cái</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Hàng thương mại mua ngoài</t>
        </is>
      </c>
    </row>
    <row r="110">
      <c r="A110" t="inlineStr">
        <is>
          <t>SW-TRD-161-TM</t>
        </is>
      </c>
      <c r="B110" t="inlineStr">
        <is>
          <t>SW-TRD-161</t>
        </is>
      </c>
      <c r="C110" t="inlineStr">
        <is>
          <t>HỆ THỐNG CẤP GIÓ TƯƠI, GIÓ BÙ Quạt hướng trục MAF-A1.3-03F-01~05 2700 l/s @ 350 Pa, chống cháy 300°C trong 2h</t>
        </is>
      </c>
      <c r="D110" t="inlineStr">
        <is>
          <t>THUONG_MAI</t>
        </is>
      </c>
      <c r="E110" t="inlineStr">
        <is>
          <t>MAT-THUONG_MAI-HE_THONG_CAP_GIO_TUOI_GIO_BU_Q_9F75</t>
        </is>
      </c>
      <c r="F110" t="inlineStr">
        <is>
          <t>Cái</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Hàng thương mại mua ngoài</t>
        </is>
      </c>
    </row>
    <row r="111">
      <c r="A111" t="inlineStr">
        <is>
          <t>SW-TRD-162-TM</t>
        </is>
      </c>
      <c r="B111" t="inlineStr">
        <is>
          <t>SW-TRD-162</t>
        </is>
      </c>
      <c r="C111" t="inlineStr">
        <is>
          <t>HỆ THỐNG CẤP GIÓ TƯƠI, GIÓ BÙ Quạt hướng trục MAF-A1.3-09F-01 3700 l/s @ 500 Pa, chống cháy 300°C trong 2h</t>
        </is>
      </c>
      <c r="D111" t="inlineStr">
        <is>
          <t>THUONG_MAI</t>
        </is>
      </c>
      <c r="E111" t="inlineStr">
        <is>
          <t>MAT-THUONG_MAI-HE_THONG_CAP_GIO_TUOI_GIO_BU_Q_4156</t>
        </is>
      </c>
      <c r="F111" t="inlineStr">
        <is>
          <t>Cái</t>
        </is>
      </c>
      <c r="G111" s="394" t="n">
        <v>1</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Hàng thương mại mua ngoài</t>
        </is>
      </c>
    </row>
    <row r="112">
      <c r="A112" t="inlineStr">
        <is>
          <t>SW-TRD-163-TM</t>
        </is>
      </c>
      <c r="B112" t="inlineStr">
        <is>
          <t>SW-TRD-163</t>
        </is>
      </c>
      <c r="C112" t="inlineStr">
        <is>
          <t>HỆ THỐNG CẤP GIÓ TƯƠI, GIÓ BÙ Quạt hướng trục MAF-A1.2-12F-01 3900 l/s @ 400 Pa, chống cháy 300°C trong 2h</t>
        </is>
      </c>
      <c r="D112" t="inlineStr">
        <is>
          <t>THUONG_MAI</t>
        </is>
      </c>
      <c r="E112" t="inlineStr">
        <is>
          <t>MAT-THUONG_MAI-HE_THONG_CAP_GIO_TUOI_GIO_BU_Q_4C20</t>
        </is>
      </c>
      <c r="F112" t="inlineStr">
        <is>
          <t>Cái</t>
        </is>
      </c>
      <c r="G112" s="394" t="n">
        <v>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Hàng thương mại mua ngoài</t>
        </is>
      </c>
    </row>
    <row r="113">
      <c r="A113" t="inlineStr">
        <is>
          <t>SW-TRD-164-TM</t>
        </is>
      </c>
      <c r="B113" t="inlineStr">
        <is>
          <t>SW-TRD-164</t>
        </is>
      </c>
      <c r="C113" t="inlineStr">
        <is>
          <t>HỆ THỐNG CẤP GIÓ TƯƠI, GIÓ BÙ Quạt hướng trục MAF-A1.1-RF-01 4100 l/s @ 500 Pa, chống cháy 300°C trong 2h</t>
        </is>
      </c>
      <c r="D113" t="inlineStr">
        <is>
          <t>THUONG_MAI</t>
        </is>
      </c>
      <c r="E113" t="inlineStr">
        <is>
          <t>MAT-THUONG_MAI-HE_THONG_CAP_GIO_TUOI_GIO_BU_Q_3FE6</t>
        </is>
      </c>
      <c r="F113" t="inlineStr">
        <is>
          <t>Cái</t>
        </is>
      </c>
      <c r="G113" s="394" t="n">
        <v>1</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Hàng thương mại mua ngoài</t>
        </is>
      </c>
    </row>
    <row r="114">
      <c r="A114" t="inlineStr">
        <is>
          <t>SW-TRD-165-TM</t>
        </is>
      </c>
      <c r="B114" t="inlineStr">
        <is>
          <t>SW-TRD-165</t>
        </is>
      </c>
      <c r="C114" t="inlineStr">
        <is>
          <t>HỆ THỐNG CẤP GIÓ TƯƠI, GIÓ BÙ Quạt hướng trục OAF-B2-Z2-01 1050 L/s 200Pa</t>
        </is>
      </c>
      <c r="D114" t="inlineStr">
        <is>
          <t>THUONG_MAI</t>
        </is>
      </c>
      <c r="E114" t="inlineStr">
        <is>
          <t>MAT-THUONG_MAI-HE_THONG_CAP_GIO_TUOI_GIO_BU_Q_E71D</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Hàng thương mại mua ngoài</t>
        </is>
      </c>
    </row>
    <row r="115">
      <c r="A115" t="inlineStr">
        <is>
          <t>SW-TRD-166-TM</t>
        </is>
      </c>
      <c r="B115" t="inlineStr">
        <is>
          <t>SW-TRD-166</t>
        </is>
      </c>
      <c r="C115" t="inlineStr">
        <is>
          <t>HỆ THỐNG CẤP GIÓ TƯƠI, GIÓ BÙ Quạt hướng trục OAF-A1.3-10F-01~02 3536 l/s @ 450 Pa</t>
        </is>
      </c>
      <c r="D115" t="inlineStr">
        <is>
          <t>THUONG_MAI</t>
        </is>
      </c>
      <c r="E115" t="inlineStr">
        <is>
          <t>MAT-THUONG_MAI-HE_THONG_CAP_GIO_TUOI_GIO_BU_Q_3DC8</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Hàng thương mại mua ngoài</t>
        </is>
      </c>
    </row>
    <row r="116">
      <c r="A116" t="inlineStr">
        <is>
          <t>SW-TRD-167-TM</t>
        </is>
      </c>
      <c r="B116" t="inlineStr">
        <is>
          <t>SW-TRD-167</t>
        </is>
      </c>
      <c r="C116" t="inlineStr">
        <is>
          <t>HỆ THỐNG CẤP GIÓ TƯƠI, GIÓ BÙ Quạt hướng trục OAF-A1.2-11F-01~02 3444 l/s @ 450 Pa</t>
        </is>
      </c>
      <c r="D116" t="inlineStr">
        <is>
          <t>THUONG_MAI</t>
        </is>
      </c>
      <c r="E116" t="inlineStr">
        <is>
          <t>MAT-THUONG_MAI-HE_THONG_CAP_GIO_TUOI_GIO_BU_Q_9473</t>
        </is>
      </c>
      <c r="F116" t="inlineStr">
        <is>
          <t>Cái</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Hàng thương mại mua ngoài</t>
        </is>
      </c>
    </row>
    <row r="117">
      <c r="A117" t="inlineStr">
        <is>
          <t>SW-TRD-168-TM</t>
        </is>
      </c>
      <c r="B117" t="inlineStr">
        <is>
          <t>SW-TRD-168</t>
        </is>
      </c>
      <c r="C117" t="inlineStr">
        <is>
          <t>HỆ THỐNG CẤP GIÓ TƯƠI, GIÓ BÙ Quạt hướng trục OAF-A1.1-RF-01~02 3450 l/s @ 450 Pa</t>
        </is>
      </c>
      <c r="D117" t="inlineStr">
        <is>
          <t>THUONG_MAI</t>
        </is>
      </c>
      <c r="E117" t="inlineStr">
        <is>
          <t>MAT-THUONG_MAI-HE_THONG_CAP_GIO_TUOI_GIO_BU_Q_946D</t>
        </is>
      </c>
      <c r="F117" t="inlineStr">
        <is>
          <t>Cái</t>
        </is>
      </c>
      <c r="G117" s="394" t="n">
        <v>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Hàng thương mại mua ngoài</t>
        </is>
      </c>
    </row>
    <row r="118">
      <c r="A118" t="inlineStr">
        <is>
          <t>SW-TRD-169-TM</t>
        </is>
      </c>
      <c r="B118" t="inlineStr">
        <is>
          <t>SW-TRD-169</t>
        </is>
      </c>
      <c r="C118" t="inlineStr">
        <is>
          <t>HỆ THỐNG CẤP GIÓ TƯƠI, GIÓ BÙ Quạt hướng trục OAF-A1.1-1F.01-01 187 l/s @175Pa</t>
        </is>
      </c>
      <c r="D118" t="inlineStr">
        <is>
          <t>THUONG_MAI</t>
        </is>
      </c>
      <c r="E118" t="inlineStr">
        <is>
          <t>MAT-THUONG_MAI-HE_THONG_CAP_GIO_TUOI_GIO_BU_Q_85CA</t>
        </is>
      </c>
      <c r="F118" t="inlineStr">
        <is>
          <t>Cái</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Hàng thương mại mua ngoài</t>
        </is>
      </c>
    </row>
    <row r="119">
      <c r="A119" t="inlineStr">
        <is>
          <t>SW-TRD-170-TM</t>
        </is>
      </c>
      <c r="B119" t="inlineStr">
        <is>
          <t>SW-TRD-170</t>
        </is>
      </c>
      <c r="C119" t="inlineStr">
        <is>
          <t>HỆ THỐNG CẤP GIÓ TƯƠI, GIÓ BÙ Quạt hướng trục OAF-A1.1-1F.02-01 140 l/s @150Pa</t>
        </is>
      </c>
      <c r="D119" t="inlineStr">
        <is>
          <t>THUONG_MAI</t>
        </is>
      </c>
      <c r="E119" t="inlineStr">
        <is>
          <t>MAT-THUONG_MAI-HE_THONG_CAP_GIO_TUOI_GIO_BU_Q_4FCD</t>
        </is>
      </c>
      <c r="F119" t="inlineStr">
        <is>
          <t>Cái</t>
        </is>
      </c>
      <c r="G119" s="394" t="n">
        <v>1</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Hàng thương mại mua ngoài</t>
        </is>
      </c>
    </row>
    <row r="120">
      <c r="A120" t="inlineStr">
        <is>
          <t>SW-TRD-171-TM</t>
        </is>
      </c>
      <c r="B120" t="inlineStr">
        <is>
          <t>SW-TRD-171</t>
        </is>
      </c>
      <c r="C120" t="inlineStr">
        <is>
          <t>HỆ THỐNG CẤP GIÓ TƯƠI, GIÓ BÙ Quạt hướng trục OAF-A1.1-1F.03-01 271 l/s @175Pa</t>
        </is>
      </c>
      <c r="D120" t="inlineStr">
        <is>
          <t>THUONG_MAI</t>
        </is>
      </c>
      <c r="E120" t="inlineStr">
        <is>
          <t>MAT-THUONG_MAI-HE_THONG_CAP_GIO_TUOI_GIO_BU_Q_A8B7</t>
        </is>
      </c>
      <c r="F120" t="inlineStr">
        <is>
          <t>Cái</t>
        </is>
      </c>
      <c r="G120" s="394" t="n">
        <v>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Hàng thương mại mua ngoài</t>
        </is>
      </c>
    </row>
    <row r="121">
      <c r="A121" t="inlineStr">
        <is>
          <t>SW-TRD-172-TM</t>
        </is>
      </c>
      <c r="B121" t="inlineStr">
        <is>
          <t>SW-TRD-172</t>
        </is>
      </c>
      <c r="C121" t="inlineStr">
        <is>
          <t>HỆ THỐNG CẤP GIÓ TƯƠI, GIÓ BÙ Quạt hướng trục OAF-A1.1-1F.CR-01 188 l/s @150Pa</t>
        </is>
      </c>
      <c r="D121" t="inlineStr">
        <is>
          <t>THUONG_MAI</t>
        </is>
      </c>
      <c r="E121" t="inlineStr">
        <is>
          <t>MAT-THUONG_MAI-HE_THONG_CAP_GIO_TUOI_GIO_BU_Q_C485</t>
        </is>
      </c>
      <c r="F121" t="inlineStr">
        <is>
          <t>Cái</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Hàng thương mại mua ngoài</t>
        </is>
      </c>
    </row>
    <row r="122">
      <c r="A122" t="inlineStr">
        <is>
          <t>SW-TRD-173-TM</t>
        </is>
      </c>
      <c r="B122" t="inlineStr">
        <is>
          <t>SW-TRD-173</t>
        </is>
      </c>
      <c r="C122" t="inlineStr">
        <is>
          <t>HỆ THỐNG CẤP GIÓ TƯƠI, GIÓ BÙ Quạt hướng trục OAF-A1.2-1F-01-01 123 l/s @150Pa</t>
        </is>
      </c>
      <c r="D122" t="inlineStr">
        <is>
          <t>THUONG_MAI</t>
        </is>
      </c>
      <c r="E122" t="inlineStr">
        <is>
          <t>MAT-THUONG_MAI-HE_THONG_CAP_GIO_TUOI_GIO_BU_Q_9C3B</t>
        </is>
      </c>
      <c r="F122" t="inlineStr">
        <is>
          <t>Cái</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Hàng thương mại mua ngoài</t>
        </is>
      </c>
    </row>
    <row r="123">
      <c r="A123" t="inlineStr">
        <is>
          <t>SW-TRD-174-TM</t>
        </is>
      </c>
      <c r="B123" t="inlineStr">
        <is>
          <t>SW-TRD-174</t>
        </is>
      </c>
      <c r="C123" t="inlineStr">
        <is>
          <t>HỆ THỐNG CẤP GIÓ TƯƠI, GIÓ BÙ Quạt hướng trục OAF-A1.2-1F-02-01 193 l/s @175Pa</t>
        </is>
      </c>
      <c r="D123" t="inlineStr">
        <is>
          <t>THUONG_MAI</t>
        </is>
      </c>
      <c r="E123" t="inlineStr">
        <is>
          <t>MAT-THUONG_MAI-HE_THONG_CAP_GIO_TUOI_GIO_BU_Q_623C</t>
        </is>
      </c>
      <c r="F123" t="inlineStr">
        <is>
          <t>Cái</t>
        </is>
      </c>
      <c r="G123" s="394" t="n">
        <v>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Hàng thương mại mua ngoài</t>
        </is>
      </c>
    </row>
    <row r="124">
      <c r="A124" t="inlineStr">
        <is>
          <t>SW-TRD-175-TM</t>
        </is>
      </c>
      <c r="B124" t="inlineStr">
        <is>
          <t>SW-TRD-175</t>
        </is>
      </c>
      <c r="C124" t="inlineStr">
        <is>
          <t>HỆ THỐNG CẤP GIÓ TƯƠI, GIÓ BÙ Quạt hướng trục OAF-A1.2-1F-03-01 162 l/s @150Pa</t>
        </is>
      </c>
      <c r="D124" t="inlineStr">
        <is>
          <t>THUONG_MAI</t>
        </is>
      </c>
      <c r="E124" t="inlineStr">
        <is>
          <t>MAT-THUONG_MAI-HE_THONG_CAP_GIO_TUOI_GIO_BU_Q_05AD</t>
        </is>
      </c>
      <c r="F124" t="inlineStr">
        <is>
          <t>Cái</t>
        </is>
      </c>
      <c r="G124" s="394" t="n">
        <v>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Hàng thương mại mua ngoài</t>
        </is>
      </c>
    </row>
    <row r="125">
      <c r="A125" t="inlineStr">
        <is>
          <t>SW-TRD-176-TM</t>
        </is>
      </c>
      <c r="B125" t="inlineStr">
        <is>
          <t>SW-TRD-176</t>
        </is>
      </c>
      <c r="C125" t="inlineStr">
        <is>
          <t>HỆ THỐNG CẤP GIÓ TƯƠI, GIÓ BÙ Quạt hướng trục OAF-A1.2-1F-05A-01 130 l/s @150Pa</t>
        </is>
      </c>
      <c r="D125" t="inlineStr">
        <is>
          <t>THUONG_MAI</t>
        </is>
      </c>
      <c r="E125" t="inlineStr">
        <is>
          <t>MAT-THUONG_MAI-HE_THONG_CAP_GIO_TUOI_GIO_BU_Q_44D2</t>
        </is>
      </c>
      <c r="F125" t="inlineStr">
        <is>
          <t>Cái</t>
        </is>
      </c>
      <c r="G125" s="394" t="n">
        <v>1</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Hàng thương mại mua ngoài</t>
        </is>
      </c>
    </row>
    <row r="126">
      <c r="A126" t="inlineStr">
        <is>
          <t>SW-TRD-177-TM</t>
        </is>
      </c>
      <c r="B126" t="inlineStr">
        <is>
          <t>SW-TRD-177</t>
        </is>
      </c>
      <c r="C126" t="inlineStr">
        <is>
          <t>HỆ THỐNG CẤP GIÓ TƯƠI, GIÓ BÙ Quạt hướng trục OAF-A1.2-1F-06-01 138 l/s @150Pa</t>
        </is>
      </c>
      <c r="D126" t="inlineStr">
        <is>
          <t>THUONG_MAI</t>
        </is>
      </c>
      <c r="E126" t="inlineStr">
        <is>
          <t>MAT-THUONG_MAI-HE_THONG_CAP_GIO_TUOI_GIO_BU_Q_BBC1</t>
        </is>
      </c>
      <c r="F126" t="inlineStr">
        <is>
          <t>Cái</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Hàng thương mại mua ngoài</t>
        </is>
      </c>
    </row>
    <row r="127">
      <c r="A127" t="inlineStr">
        <is>
          <t>SW-TRD-178-TM</t>
        </is>
      </c>
      <c r="B127" t="inlineStr">
        <is>
          <t>SW-TRD-178</t>
        </is>
      </c>
      <c r="C127" t="inlineStr">
        <is>
          <t>HỆ THỐNG CẤP GIÓ TƯƠI, GIÓ BÙ Quạt hướng trục OAF-A1.2-1F-08-01 97 l/s @150Pa</t>
        </is>
      </c>
      <c r="D127" t="inlineStr">
        <is>
          <t>THUONG_MAI</t>
        </is>
      </c>
      <c r="E127" t="inlineStr">
        <is>
          <t>MAT-THUONG_MAI-HE_THONG_CAP_GIO_TUOI_GIO_BU_Q_11AD</t>
        </is>
      </c>
      <c r="F127" t="inlineStr">
        <is>
          <t>Cái</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Hàng thương mại mua ngoài</t>
        </is>
      </c>
    </row>
    <row r="128">
      <c r="A128" t="inlineStr">
        <is>
          <t>SW-TRD-179-TM</t>
        </is>
      </c>
      <c r="B128" t="inlineStr">
        <is>
          <t>SW-TRD-179</t>
        </is>
      </c>
      <c r="C128" t="inlineStr">
        <is>
          <t>HỆ THỐNG CẤP GIÓ TƯƠI, GIÓ BÙ Quạt hướng trục OAF-A1.2-1F-08A-01 89 l/s @150Pa</t>
        </is>
      </c>
      <c r="D128" t="inlineStr">
        <is>
          <t>THUONG_MAI</t>
        </is>
      </c>
      <c r="E128" t="inlineStr">
        <is>
          <t>MAT-THUONG_MAI-HE_THONG_CAP_GIO_TUOI_GIO_BU_Q_0CDB</t>
        </is>
      </c>
      <c r="F128" t="inlineStr">
        <is>
          <t>Cái</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Hàng thương mại mua ngoài</t>
        </is>
      </c>
    </row>
    <row r="129">
      <c r="A129" t="inlineStr">
        <is>
          <t>SW-TRD-180-TM</t>
        </is>
      </c>
      <c r="B129" t="inlineStr">
        <is>
          <t>SW-TRD-180</t>
        </is>
      </c>
      <c r="C129" t="inlineStr">
        <is>
          <t>HỆ THỐNG CẤP GIÓ TƯƠI, GIÓ BÙ Quạt hướng trục OAF-A1.2-1F-CR-01 250 l/s @175Pa</t>
        </is>
      </c>
      <c r="D129" t="inlineStr">
        <is>
          <t>THUONG_MAI</t>
        </is>
      </c>
      <c r="E129" t="inlineStr">
        <is>
          <t>MAT-THUONG_MAI-HE_THONG_CAP_GIO_TUOI_GIO_BU_Q_68D7</t>
        </is>
      </c>
      <c r="F129" t="inlineStr">
        <is>
          <t>Cái</t>
        </is>
      </c>
      <c r="G129" s="394" t="n">
        <v>1</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Hàng thương mại mua ngoài</t>
        </is>
      </c>
    </row>
    <row r="130">
      <c r="A130" t="inlineStr">
        <is>
          <t>SW-TRD-181-TM</t>
        </is>
      </c>
      <c r="B130" t="inlineStr">
        <is>
          <t>SW-TRD-181</t>
        </is>
      </c>
      <c r="C130" t="inlineStr">
        <is>
          <t>HỆ THỐNG CẤP GIÓ TƯƠI, GIÓ BÙ Quạt hướng trục OAF-A1.3-1F-01-01 275 l/s @175Pa</t>
        </is>
      </c>
      <c r="D130" t="inlineStr">
        <is>
          <t>THUONG_MAI</t>
        </is>
      </c>
      <c r="E130" t="inlineStr">
        <is>
          <t>MAT-THUONG_MAI-HE_THONG_CAP_GIO_TUOI_GIO_BU_Q_FA31</t>
        </is>
      </c>
      <c r="F130" t="inlineStr">
        <is>
          <t>Cái</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Hàng thương mại mua ngoài</t>
        </is>
      </c>
    </row>
    <row r="131">
      <c r="A131" t="inlineStr">
        <is>
          <t>SW-TRD-182-TM</t>
        </is>
      </c>
      <c r="B131" t="inlineStr">
        <is>
          <t>SW-TRD-182</t>
        </is>
      </c>
      <c r="C131" t="inlineStr">
        <is>
          <t>HỆ THỐNG CẤP GIÓ TƯƠI, GIÓ BÙ Quạt hướng trục OAF-A1.3-1F-02-01 262 l/s @250Pa</t>
        </is>
      </c>
      <c r="D131" t="inlineStr">
        <is>
          <t>THUONG_MAI</t>
        </is>
      </c>
      <c r="E131" t="inlineStr">
        <is>
          <t>MAT-THUONG_MAI-HE_THONG_CAP_GIO_TUOI_GIO_BU_Q_7797</t>
        </is>
      </c>
      <c r="F131" t="inlineStr">
        <is>
          <t>Cái</t>
        </is>
      </c>
      <c r="G131" s="394" t="n">
        <v>1</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Hàng thương mại mua ngoài</t>
        </is>
      </c>
    </row>
    <row r="132">
      <c r="A132" t="inlineStr">
        <is>
          <t>SW-TRD-183-TM</t>
        </is>
      </c>
      <c r="B132" t="inlineStr">
        <is>
          <t>SW-TRD-183</t>
        </is>
      </c>
      <c r="C132" t="inlineStr">
        <is>
          <t>HỆ THỐNG CẤP GIÓ TƯƠI, GIÓ BÙ Quạt hướng trục OAF-A1.3-1F-03-01 250 l/s @175Pa</t>
        </is>
      </c>
      <c r="D132" t="inlineStr">
        <is>
          <t>THUONG_MAI</t>
        </is>
      </c>
      <c r="E132" t="inlineStr">
        <is>
          <t>MAT-THUONG_MAI-HE_THONG_CAP_GIO_TUOI_GIO_BU_Q_E2B7</t>
        </is>
      </c>
      <c r="F132" t="inlineStr">
        <is>
          <t>Cái</t>
        </is>
      </c>
      <c r="G132" s="394" t="n">
        <v>1</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Hàng thương mại mua ngoài</t>
        </is>
      </c>
    </row>
    <row r="133">
      <c r="A133" t="inlineStr">
        <is>
          <t>SW-TRD-184-TM</t>
        </is>
      </c>
      <c r="B133" t="inlineStr">
        <is>
          <t>SW-TRD-184</t>
        </is>
      </c>
      <c r="C133" t="inlineStr">
        <is>
          <t>HỆ THỐNG CẤP GIÓ TƯƠI, GIÓ BÙ Quạt hướng trục OAF-A1.3-1F-05-01 210 l/s @175Pa</t>
        </is>
      </c>
      <c r="D133" t="inlineStr">
        <is>
          <t>THUONG_MAI</t>
        </is>
      </c>
      <c r="E133" t="inlineStr">
        <is>
          <t>MAT-THUONG_MAI-HE_THONG_CAP_GIO_TUOI_GIO_BU_Q_33EC</t>
        </is>
      </c>
      <c r="F133" t="inlineStr">
        <is>
          <t>Cái</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Hàng thương mại mua ngoài</t>
        </is>
      </c>
    </row>
    <row r="134">
      <c r="A134" t="inlineStr">
        <is>
          <t>SW-TRD-185-TM</t>
        </is>
      </c>
      <c r="B134" t="inlineStr">
        <is>
          <t>SW-TRD-185</t>
        </is>
      </c>
      <c r="C134" t="inlineStr">
        <is>
          <t>HỆ THỐNG CẤP GIÓ TƯƠI, GIÓ BÙ Quạt hướng trục OAF-A1.3-1F-05A-01 264 l/s @175Pa</t>
        </is>
      </c>
      <c r="D134" t="inlineStr">
        <is>
          <t>THUONG_MAI</t>
        </is>
      </c>
      <c r="E134" t="inlineStr">
        <is>
          <t>MAT-THUONG_MAI-HE_THONG_CAP_GIO_TUOI_GIO_BU_Q_FC19</t>
        </is>
      </c>
      <c r="F134" t="inlineStr">
        <is>
          <t>Cái</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Hàng thương mại mua ngoài</t>
        </is>
      </c>
    </row>
    <row r="135">
      <c r="A135" t="inlineStr">
        <is>
          <t>SW-TRD-186-TM</t>
        </is>
      </c>
      <c r="B135" t="inlineStr">
        <is>
          <t>SW-TRD-186</t>
        </is>
      </c>
      <c r="C135" t="inlineStr">
        <is>
          <t>HỆ THỐNG CẤP GIÓ TƯƠI, GIÓ BÙ Quạt hướng trục OAF-A1.3-1F-CR-01 188 l/s @175Pa</t>
        </is>
      </c>
      <c r="D135" t="inlineStr">
        <is>
          <t>THUONG_MAI</t>
        </is>
      </c>
      <c r="E135" t="inlineStr">
        <is>
          <t>MAT-THUONG_MAI-HE_THONG_CAP_GIO_TUOI_GIO_BU_Q_7DE1</t>
        </is>
      </c>
      <c r="F135" t="inlineStr">
        <is>
          <t>Cái</t>
        </is>
      </c>
      <c r="G135" s="394" t="n">
        <v>1</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Hàng thương mại mua ngoài</t>
        </is>
      </c>
    </row>
    <row r="136">
      <c r="A136" t="inlineStr">
        <is>
          <t>SW-TRD-187-TM</t>
        </is>
      </c>
      <c r="B136" t="inlineStr">
        <is>
          <t>SW-TRD-187</t>
        </is>
      </c>
      <c r="C136" t="inlineStr">
        <is>
          <t>HỆ THỐNG CẤP GIÓ TƯƠI, GIÓ BÙ Quạt hướng trục OAF-A1.1-2F-01-01 172 l/s @150Pa</t>
        </is>
      </c>
      <c r="D136" t="inlineStr">
        <is>
          <t>THUONG_MAI</t>
        </is>
      </c>
      <c r="E136" t="inlineStr">
        <is>
          <t>MAT-THUONG_MAI-HE_THONG_CAP_GIO_TUOI_GIO_BU_Q_E836</t>
        </is>
      </c>
      <c r="F136" t="inlineStr">
        <is>
          <t>Cái</t>
        </is>
      </c>
      <c r="G136" s="394" t="n">
        <v>1</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Hàng thương mại mua ngoài</t>
        </is>
      </c>
    </row>
    <row r="137">
      <c r="A137" t="inlineStr">
        <is>
          <t>SW-TRD-188-TM</t>
        </is>
      </c>
      <c r="B137" t="inlineStr">
        <is>
          <t>SW-TRD-188</t>
        </is>
      </c>
      <c r="C137" t="inlineStr">
        <is>
          <t>HỆ THỐNG CẤP GIÓ TƯƠI, GIÓ BÙ Quạt hướng trục OAF-A1.1-2F-02-01 133 l/s @150Pa</t>
        </is>
      </c>
      <c r="D137" t="inlineStr">
        <is>
          <t>THUONG_MAI</t>
        </is>
      </c>
      <c r="E137" t="inlineStr">
        <is>
          <t>MAT-THUONG_MAI-HE_THONG_CAP_GIO_TUOI_GIO_BU_Q_5212</t>
        </is>
      </c>
      <c r="F137" t="inlineStr">
        <is>
          <t>Cái</t>
        </is>
      </c>
      <c r="G137" s="394" t="n">
        <v>1</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Hàng thương mại mua ngoài</t>
        </is>
      </c>
    </row>
    <row r="138">
      <c r="A138" t="inlineStr">
        <is>
          <t>SW-TRD-189-TM</t>
        </is>
      </c>
      <c r="B138" t="inlineStr">
        <is>
          <t>SW-TRD-189</t>
        </is>
      </c>
      <c r="C138" t="inlineStr">
        <is>
          <t>HỆ THỐNG CẤP GIÓ TƯƠI, GIÓ BÙ Quạt hướng trục OAF-A1.1-2F-03-01 136 l/s @150Pa</t>
        </is>
      </c>
      <c r="D138" t="inlineStr">
        <is>
          <t>THUONG_MAI</t>
        </is>
      </c>
      <c r="E138" t="inlineStr">
        <is>
          <t>MAT-THUONG_MAI-HE_THONG_CAP_GIO_TUOI_GIO_BU_Q_5205</t>
        </is>
      </c>
      <c r="F138" t="inlineStr">
        <is>
          <t>Cái</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Hàng thương mại mua ngoài</t>
        </is>
      </c>
    </row>
    <row r="139">
      <c r="A139" t="inlineStr">
        <is>
          <t>SW-TRD-190-TM</t>
        </is>
      </c>
      <c r="B139" t="inlineStr">
        <is>
          <t>SW-TRD-190</t>
        </is>
      </c>
      <c r="C139" t="inlineStr">
        <is>
          <t>HỆ THỐNG CẤP GIÓ TƯƠI, GIÓ BÙ Quạt hướng trục OAF-A1.1-2F-05A-01 35 l/s @75Pa</t>
        </is>
      </c>
      <c r="D139" t="inlineStr">
        <is>
          <t>THUONG_MAI</t>
        </is>
      </c>
      <c r="E139" t="inlineStr">
        <is>
          <t>MAT-THUONG_MAI-HE_THONG_CAP_GIO_TUOI_GIO_BU_Q_E33A</t>
        </is>
      </c>
      <c r="F139" t="inlineStr">
        <is>
          <t>Cái</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Hàng thương mại mua ngoài</t>
        </is>
      </c>
    </row>
    <row r="140">
      <c r="A140" t="inlineStr">
        <is>
          <t>SW-TRD-191-TM</t>
        </is>
      </c>
      <c r="B140" t="inlineStr">
        <is>
          <t>SW-TRD-191</t>
        </is>
      </c>
      <c r="C140" t="inlineStr">
        <is>
          <t>HỆ THỐNG CẤP GIÓ TƯƠI, GIÓ BÙ Quạt hướng trục OAF-A1.1-2F-05-01 117 l/s @150Pa</t>
        </is>
      </c>
      <c r="D140" t="inlineStr">
        <is>
          <t>THUONG_MAI</t>
        </is>
      </c>
      <c r="E140" t="inlineStr">
        <is>
          <t>MAT-THUONG_MAI-HE_THONG_CAP_GIO_TUOI_GIO_BU_Q_188D</t>
        </is>
      </c>
      <c r="F140" t="inlineStr">
        <is>
          <t>Cái</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Hàng thương mại mua ngoài</t>
        </is>
      </c>
    </row>
    <row r="141">
      <c r="A141" t="inlineStr">
        <is>
          <t>SW-TRD-192-TM</t>
        </is>
      </c>
      <c r="B141" t="inlineStr">
        <is>
          <t>SW-TRD-192</t>
        </is>
      </c>
      <c r="C141" t="inlineStr">
        <is>
          <t>HỆ THỐNG CẤP GIÓ TƯƠI, GIÓ BÙ Quạt hướng trục OAF-A1.1-2F-09-01 83 l/s @150Pa</t>
        </is>
      </c>
      <c r="D141" t="inlineStr">
        <is>
          <t>THUONG_MAI</t>
        </is>
      </c>
      <c r="E141" t="inlineStr">
        <is>
          <t>MAT-THUONG_MAI-HE_THONG_CAP_GIO_TUOI_GIO_BU_Q_B9FB</t>
        </is>
      </c>
      <c r="F141" t="inlineStr">
        <is>
          <t>Cái</t>
        </is>
      </c>
      <c r="G141" s="394" t="n">
        <v>1</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Hàng thương mại mua ngoài</t>
        </is>
      </c>
    </row>
    <row r="142">
      <c r="A142" t="inlineStr">
        <is>
          <t>SW-TRD-193-TM</t>
        </is>
      </c>
      <c r="B142" t="inlineStr">
        <is>
          <t>SW-TRD-193</t>
        </is>
      </c>
      <c r="C142" t="inlineStr">
        <is>
          <t>HỆ THỐNG CẤP GIÓ TƯƠI, GIÓ BÙ Quạt hướng trục OAF-A1.2-2F-01-01 136 l/s @150Pa</t>
        </is>
      </c>
      <c r="D142" t="inlineStr">
        <is>
          <t>THUONG_MAI</t>
        </is>
      </c>
      <c r="E142" t="inlineStr">
        <is>
          <t>MAT-THUONG_MAI-HE_THONG_CAP_GIO_TUOI_GIO_BU_Q_0CBF</t>
        </is>
      </c>
      <c r="F142" t="inlineStr">
        <is>
          <t>Cái</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Hàng thương mại mua ngoài</t>
        </is>
      </c>
    </row>
    <row r="143">
      <c r="A143" t="inlineStr">
        <is>
          <t>SW-TRD-194-TM</t>
        </is>
      </c>
      <c r="B143" t="inlineStr">
        <is>
          <t>SW-TRD-194</t>
        </is>
      </c>
      <c r="C143" t="inlineStr">
        <is>
          <t>HỆ THỐNG CẤP GIÓ TƯƠI, GIÓ BÙ Quạt hướng trục OAF-A1.2-2F-02-01 180 l/s @150Pa</t>
        </is>
      </c>
      <c r="D143" t="inlineStr">
        <is>
          <t>THUONG_MAI</t>
        </is>
      </c>
      <c r="E143" t="inlineStr">
        <is>
          <t>MAT-THUONG_MAI-HE_THONG_CAP_GIO_TUOI_GIO_BU_Q_AE52</t>
        </is>
      </c>
      <c r="F143" t="inlineStr">
        <is>
          <t>Cái</t>
        </is>
      </c>
      <c r="G143" s="394" t="n">
        <v>1</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Hàng thương mại mua ngoài</t>
        </is>
      </c>
    </row>
    <row r="144">
      <c r="A144" t="inlineStr">
        <is>
          <t>SW-TRD-195-TM</t>
        </is>
      </c>
      <c r="B144" t="inlineStr">
        <is>
          <t>SW-TRD-195</t>
        </is>
      </c>
      <c r="C144" t="inlineStr">
        <is>
          <t>HỆ THỐNG CẤP GIÓ TƯƠI, GIÓ BÙ Quạt hướng trục OAF-A1.2-2F-03-01 160 l/s @150Pa</t>
        </is>
      </c>
      <c r="D144" t="inlineStr">
        <is>
          <t>THUONG_MAI</t>
        </is>
      </c>
      <c r="E144" t="inlineStr">
        <is>
          <t>MAT-THUONG_MAI-HE_THONG_CAP_GIO_TUOI_GIO_BU_Q_66E8</t>
        </is>
      </c>
      <c r="F144" t="inlineStr">
        <is>
          <t>Cái</t>
        </is>
      </c>
      <c r="G144" s="394" t="n">
        <v>1</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Hàng thương mại mua ngoài</t>
        </is>
      </c>
    </row>
    <row r="145">
      <c r="A145" t="inlineStr">
        <is>
          <t>SW-TRD-196-TM</t>
        </is>
      </c>
      <c r="B145" t="inlineStr">
        <is>
          <t>SW-TRD-196</t>
        </is>
      </c>
      <c r="C145" t="inlineStr">
        <is>
          <t>HỆ THỐNG CẤP GIÓ TƯƠI, GIÓ BÙ Quạt hướng trục OAF-A1.2-2F-04-01 157 l/s @150Pa</t>
        </is>
      </c>
      <c r="D145" t="inlineStr">
        <is>
          <t>THUONG_MAI</t>
        </is>
      </c>
      <c r="E145" t="inlineStr">
        <is>
          <t>MAT-THUONG_MAI-HE_THONG_CAP_GIO_TUOI_GIO_BU_Q_B77E</t>
        </is>
      </c>
      <c r="F145" t="inlineStr">
        <is>
          <t>Cái</t>
        </is>
      </c>
      <c r="G145" s="394" t="n">
        <v>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Hàng thương mại mua ngoài</t>
        </is>
      </c>
    </row>
    <row r="146">
      <c r="A146" t="inlineStr">
        <is>
          <t>SW-TRD-197-TM</t>
        </is>
      </c>
      <c r="B146" t="inlineStr">
        <is>
          <t>SW-TRD-197</t>
        </is>
      </c>
      <c r="C146" t="inlineStr">
        <is>
          <t>HỆ THỐNG CẤP GIÓ TƯƠI, GIÓ BÙ Quạt hướng trục OAF-A1.2-2F-05-01 151 l/s @150Pa</t>
        </is>
      </c>
      <c r="D146" t="inlineStr">
        <is>
          <t>THUONG_MAI</t>
        </is>
      </c>
      <c r="E146" t="inlineStr">
        <is>
          <t>MAT-THUONG_MAI-HE_THONG_CAP_GIO_TUOI_GIO_BU_Q_F8AA</t>
        </is>
      </c>
      <c r="F146" t="inlineStr">
        <is>
          <t>Cái</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Hàng thương mại mua ngoài</t>
        </is>
      </c>
    </row>
    <row r="147">
      <c r="A147" t="inlineStr">
        <is>
          <t>SW-TRD-198-TM</t>
        </is>
      </c>
      <c r="B147" t="inlineStr">
        <is>
          <t>SW-TRD-198</t>
        </is>
      </c>
      <c r="C147" t="inlineStr">
        <is>
          <t>HỆ THỐNG CẤP GIÓ TƯƠI, GIÓ BÙ Quạt hướng trục OAF-A1.2-2F-06-01 159 l/s @150Pa</t>
        </is>
      </c>
      <c r="D147" t="inlineStr">
        <is>
          <t>THUONG_MAI</t>
        </is>
      </c>
      <c r="E147" t="inlineStr">
        <is>
          <t>MAT-THUONG_MAI-HE_THONG_CAP_GIO_TUOI_GIO_BU_Q_0ECD</t>
        </is>
      </c>
      <c r="F147" t="inlineStr">
        <is>
          <t>Cái</t>
        </is>
      </c>
      <c r="G147" s="394" t="n">
        <v>1</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Hàng thương mại mua ngoài</t>
        </is>
      </c>
    </row>
    <row r="148">
      <c r="A148" t="inlineStr">
        <is>
          <t>SW-TRD-199-TM</t>
        </is>
      </c>
      <c r="B148" t="inlineStr">
        <is>
          <t>SW-TRD-199</t>
        </is>
      </c>
      <c r="C148" t="inlineStr">
        <is>
          <t>HỆ THỐNG CẤP GIÓ TƯƠI, GIÓ BÙ Quạt hướng trục OAF-A1.2-2F-12-01 240 l/s @150Pa</t>
        </is>
      </c>
      <c r="D148" t="inlineStr">
        <is>
          <t>THUONG_MAI</t>
        </is>
      </c>
      <c r="E148" t="inlineStr">
        <is>
          <t>MAT-THUONG_MAI-HE_THONG_CAP_GIO_TUOI_GIO_BU_Q_75AA</t>
        </is>
      </c>
      <c r="F148" t="inlineStr">
        <is>
          <t>Cái</t>
        </is>
      </c>
      <c r="G148" s="394" t="n">
        <v>1</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Hàng thương mại mua ngoài</t>
        </is>
      </c>
    </row>
    <row r="149">
      <c r="A149" t="inlineStr">
        <is>
          <t>SW-TRD-200-TM</t>
        </is>
      </c>
      <c r="B149" t="inlineStr">
        <is>
          <t>SW-TRD-200</t>
        </is>
      </c>
      <c r="C149" t="inlineStr">
        <is>
          <t>HỆ THỐNG CẤP GIÓ TƯƠI, GIÓ BÙ Quạt hướng trục OAF-A1.3-2F-01-01 164 l/s @150Pa</t>
        </is>
      </c>
      <c r="D149" t="inlineStr">
        <is>
          <t>THUONG_MAI</t>
        </is>
      </c>
      <c r="E149" t="inlineStr">
        <is>
          <t>MAT-THUONG_MAI-HE_THONG_CAP_GIO_TUOI_GIO_BU_Q_7686</t>
        </is>
      </c>
      <c r="F149" t="inlineStr">
        <is>
          <t>Cái</t>
        </is>
      </c>
      <c r="G149" s="394" t="n">
        <v>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Hàng thương mại mua ngoài</t>
        </is>
      </c>
    </row>
    <row r="150">
      <c r="A150" t="inlineStr">
        <is>
          <t>SW-TRD-201-TM</t>
        </is>
      </c>
      <c r="B150" t="inlineStr">
        <is>
          <t>SW-TRD-201</t>
        </is>
      </c>
      <c r="C150" t="inlineStr">
        <is>
          <t>HỆ THỐNG CẤP GIÓ TƯƠI, GIÓ BÙ Quạt hướng trục OAF-A1.3-2F-02-01 142 l/s @150Pa</t>
        </is>
      </c>
      <c r="D150" t="inlineStr">
        <is>
          <t>THUONG_MAI</t>
        </is>
      </c>
      <c r="E150" t="inlineStr">
        <is>
          <t>MAT-THUONG_MAI-HE_THONG_CAP_GIO_TUOI_GIO_BU_Q_8618</t>
        </is>
      </c>
      <c r="F150" t="inlineStr">
        <is>
          <t>Cái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Hàng thương mại mua ngoài</t>
        </is>
      </c>
    </row>
    <row r="151">
      <c r="A151" t="inlineStr">
        <is>
          <t>SW-TRD-202-TM</t>
        </is>
      </c>
      <c r="B151" t="inlineStr">
        <is>
          <t>SW-TRD-202</t>
        </is>
      </c>
      <c r="C151" t="inlineStr">
        <is>
          <t>HỆ THỐNG CẤP GIÓ TƯƠI, GIÓ BÙ Quạt hướng trục OAF-A1.3-2F-03-01 268 l/s @150Pa</t>
        </is>
      </c>
      <c r="D151" t="inlineStr">
        <is>
          <t>THUONG_MAI</t>
        </is>
      </c>
      <c r="E151" t="inlineStr">
        <is>
          <t>MAT-THUONG_MAI-HE_THONG_CAP_GIO_TUOI_GIO_BU_Q_3DF1</t>
        </is>
      </c>
      <c r="F151" t="inlineStr">
        <is>
          <t>Cái</t>
        </is>
      </c>
      <c r="G151" s="394" t="n">
        <v>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Hàng thương mại mua ngoài</t>
        </is>
      </c>
    </row>
    <row r="152">
      <c r="A152" t="inlineStr">
        <is>
          <t>SW-TRD-203-TM</t>
        </is>
      </c>
      <c r="B152" t="inlineStr">
        <is>
          <t>SW-TRD-203</t>
        </is>
      </c>
      <c r="C152" t="inlineStr">
        <is>
          <t>HỆ THỐNG CẤP GIÓ TƯƠI, GIÓ BÙ Quạt hướng trục OAF-A1.3-2F-05A-01 167 l/s @150Pa</t>
        </is>
      </c>
      <c r="D152" t="inlineStr">
        <is>
          <t>THUONG_MAI</t>
        </is>
      </c>
      <c r="E152" t="inlineStr">
        <is>
          <t>MAT-THUONG_MAI-HE_THONG_CAP_GIO_TUOI_GIO_BU_Q_ECC7</t>
        </is>
      </c>
      <c r="F152" t="inlineStr">
        <is>
          <t>Cái</t>
        </is>
      </c>
      <c r="G152" s="394" t="n">
        <v>1</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Hàng thương mại mua ngoài</t>
        </is>
      </c>
    </row>
    <row r="153">
      <c r="A153" t="inlineStr">
        <is>
          <t>SW-TRD-204-TM</t>
        </is>
      </c>
      <c r="B153" t="inlineStr">
        <is>
          <t>SW-TRD-204</t>
        </is>
      </c>
      <c r="C153" t="inlineStr">
        <is>
          <t>HỆ THỐNG CẤP GIÓ TƯƠI, GIÓ BÙ Quạt hướng trục OAF-A1.3-2F-05-01 82 l/s @150Pa</t>
        </is>
      </c>
      <c r="D153" t="inlineStr">
        <is>
          <t>THUONG_MAI</t>
        </is>
      </c>
      <c r="E153" t="inlineStr">
        <is>
          <t>MAT-THUONG_MAI-HE_THONG_CAP_GIO_TUOI_GIO_BU_Q_836C</t>
        </is>
      </c>
      <c r="F153" t="inlineStr">
        <is>
          <t>Cái</t>
        </is>
      </c>
      <c r="G153" s="394" t="n">
        <v>1</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Hàng thương mại mua ngoài</t>
        </is>
      </c>
    </row>
    <row r="154">
      <c r="A154" t="inlineStr">
        <is>
          <t>SW-TRD-205-TM</t>
        </is>
      </c>
      <c r="B154" t="inlineStr">
        <is>
          <t>SW-TRD-205</t>
        </is>
      </c>
      <c r="C154" t="inlineStr">
        <is>
          <t>HỆ THỐNG CẤP GIÓ TƯƠI, GIÓ BÙ Quạt hướng trục OAF-A1.3-2F-06-01 47 l/s @150Pa</t>
        </is>
      </c>
      <c r="D154" t="inlineStr">
        <is>
          <t>THUONG_MAI</t>
        </is>
      </c>
      <c r="E154" t="inlineStr">
        <is>
          <t>MAT-THUONG_MAI-HE_THONG_CAP_GIO_TUOI_GIO_BU_Q_61A1</t>
        </is>
      </c>
      <c r="F154" t="inlineStr">
        <is>
          <t>Cái</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Hàng thương mại mua ngoài</t>
        </is>
      </c>
    </row>
    <row r="155">
      <c r="A155" t="inlineStr">
        <is>
          <t>SW-TRD-206-TM</t>
        </is>
      </c>
      <c r="B155" t="inlineStr">
        <is>
          <t>SW-TRD-206</t>
        </is>
      </c>
      <c r="C155" t="inlineStr">
        <is>
          <t>HỆ THỐNG CẤP GIÓ TƯƠI, GIÓ BÙ Quạt hướng trục OAF-A1.3-2F-08A-01 147 l/s @150Pa</t>
        </is>
      </c>
      <c r="D155" t="inlineStr">
        <is>
          <t>THUONG_MAI</t>
        </is>
      </c>
      <c r="E155" t="inlineStr">
        <is>
          <t>MAT-THUONG_MAI-HE_THONG_CAP_GIO_TUOI_GIO_BU_Q_99F8</t>
        </is>
      </c>
      <c r="F155" t="inlineStr">
        <is>
          <t>Cái</t>
        </is>
      </c>
      <c r="G155" s="394" t="n">
        <v>1</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Hàng thương mại mua ngoài</t>
        </is>
      </c>
    </row>
    <row r="156">
      <c r="A156" t="inlineStr">
        <is>
          <t>SW-ACST-207-ROCKWOOL</t>
        </is>
      </c>
      <c r="B156" t="inlineStr">
        <is>
          <t>SW-ACST-207</t>
        </is>
      </c>
      <c r="C156" t="inlineStr">
        <is>
          <t>Bông Rockwool tỷ trọng 50kg/m3 dày 50mm</t>
        </is>
      </c>
      <c r="D156" t="inlineStr">
        <is>
          <t>VẬT_LIỆU_TIÊU_ÂM</t>
        </is>
      </c>
      <c r="E156" t="inlineStr">
        <is>
          <t>ROCKWOOL_50MM_50KG</t>
        </is>
      </c>
      <c r="F156" t="inlineStr">
        <is>
          <t>m2</t>
        </is>
      </c>
      <c r="G156" s="394" t="n">
        <v>1.1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Diện tích vách 1.00m2</t>
        </is>
      </c>
    </row>
    <row r="157">
      <c r="A157" t="inlineStr">
        <is>
          <t>SW-ACST-207-GLASSCLOTH</t>
        </is>
      </c>
      <c r="B157" t="inlineStr">
        <is>
          <t>SW-ACST-207</t>
        </is>
      </c>
      <c r="C157" t="inlineStr">
        <is>
          <t>Vải thủy tinh bọc tiêu âm</t>
        </is>
      </c>
      <c r="D157" t="inlineStr">
        <is>
          <t>VẬT_LIỆU_TIÊU_ÂM</t>
        </is>
      </c>
      <c r="E157" t="inlineStr">
        <is>
          <t>GLASS_CLOTH</t>
        </is>
      </c>
      <c r="F157" t="inlineStr">
        <is>
          <t>m2</t>
        </is>
      </c>
      <c r="G157" s="394" t="n">
        <v>1.1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Diện tích vách 1.00m2</t>
        </is>
      </c>
    </row>
    <row r="158">
      <c r="A158" t="inlineStr">
        <is>
          <t>SW-ACST-207-PERFORATED</t>
        </is>
      </c>
      <c r="B158" t="inlineStr">
        <is>
          <t>SW-ACST-207</t>
        </is>
      </c>
      <c r="C158" t="inlineStr">
        <is>
          <t>Tôn đục lỗ tiêu âm</t>
        </is>
      </c>
      <c r="D158" t="inlineStr">
        <is>
          <t>VẬT_LIỆU_TIÊU_ÂM</t>
        </is>
      </c>
      <c r="E158" t="inlineStr">
        <is>
          <t>PERFORATED_SHEET</t>
        </is>
      </c>
      <c r="F158" t="inlineStr">
        <is>
          <t>m2</t>
        </is>
      </c>
      <c r="G158" s="394" t="n">
        <v>1.1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Bọc mặt ngoài</t>
        </is>
      </c>
    </row>
    <row r="159">
      <c r="A159" t="inlineStr">
        <is>
          <t>SW-DUCT-259-BODY</t>
        </is>
      </c>
      <c r="B159" t="inlineStr">
        <is>
          <t>SW-DUCT-259</t>
        </is>
      </c>
      <c r="C159" t="inlineStr">
        <is>
          <t>Tôn mạ kẽm PN (0.58mm) - Định mức m²</t>
        </is>
      </c>
      <c r="D159" t="inlineStr">
        <is>
          <t>TÔN_CUỘN_MẠ_KẼM</t>
        </is>
      </c>
      <c r="E159" t="inlineStr">
        <is>
          <t>MAT-STEEL-PN-0.58</t>
        </is>
      </c>
      <c r="F159" t="inlineStr">
        <is>
          <t>kg</t>
        </is>
      </c>
      <c r="G159" s="394" t="n">
        <v>5.163101999999999</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Định mức tôn cho 1m² ống: phôi x1.08, hao hụt x1.05</t>
        </is>
      </c>
    </row>
    <row r="160">
      <c r="A160" t="inlineStr">
        <is>
          <t>SW-DUCT-259-BOX</t>
        </is>
      </c>
      <c r="B160" t="inlineStr">
        <is>
          <t>SW-DUCT-259</t>
        </is>
      </c>
      <c r="C160" t="inlineStr">
        <is>
          <t>Box phụ kiện 0.58mm</t>
        </is>
      </c>
      <c r="D160" t="inlineStr">
        <is>
          <t>THUONG_MAI</t>
        </is>
      </c>
      <c r="E160" t="inlineStr">
        <is>
          <t>MAT-BOX-HE_THONG_ONG_THONG_C_2F73</t>
        </is>
      </c>
      <c r="F160" t="inlineStr">
        <is>
          <t>Cái</t>
        </is>
      </c>
      <c r="G160" s="394" t="n">
        <v>1</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Phụ kiện bóc tách động (Rule-based)</t>
        </is>
      </c>
    </row>
    <row r="161">
      <c r="A161" t="inlineStr">
        <is>
          <t>SW-DUCT-260-BODY</t>
        </is>
      </c>
      <c r="B161" t="inlineStr">
        <is>
          <t>SW-DUCT-260</t>
        </is>
      </c>
      <c r="C161" t="inlineStr">
        <is>
          <t>Tôn mạ kẽm PN (0.75mm) - Định mức m²</t>
        </is>
      </c>
      <c r="D161" t="inlineStr">
        <is>
          <t>TÔN_CUỘN_MẠ_KẼM</t>
        </is>
      </c>
      <c r="E161" t="inlineStr">
        <is>
          <t>MAT-STEEL-PN-0.75</t>
        </is>
      </c>
      <c r="F161" t="inlineStr">
        <is>
          <t>kg</t>
        </is>
      </c>
      <c r="G161" s="394" t="n">
        <v>6.676425</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Định mức tôn cho 1m² ống: phôi x1.08, hao hụt x1.05</t>
        </is>
      </c>
    </row>
    <row r="162">
      <c r="A162" t="inlineStr">
        <is>
          <t>SW-DUCT-260-BOX</t>
        </is>
      </c>
      <c r="B162" t="inlineStr">
        <is>
          <t>SW-DUCT-260</t>
        </is>
      </c>
      <c r="C162" t="inlineStr">
        <is>
          <t>Box phụ kiện 0.75mm</t>
        </is>
      </c>
      <c r="D162" t="inlineStr">
        <is>
          <t>THUONG_MAI</t>
        </is>
      </c>
      <c r="E162" t="inlineStr">
        <is>
          <t>MAT-BOX-HE_THONG_ONG_THONG_C_AAB8</t>
        </is>
      </c>
      <c r="F162" t="inlineStr">
        <is>
          <t>Cái</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Phụ kiện bóc tách động (Rule-based)</t>
        </is>
      </c>
    </row>
    <row r="163">
      <c r="A163" t="inlineStr">
        <is>
          <t>SW-DUCT-261-BODY</t>
        </is>
      </c>
      <c r="B163" t="inlineStr">
        <is>
          <t>SW-DUCT-261</t>
        </is>
      </c>
      <c r="C163" t="inlineStr">
        <is>
          <t>Tôn mạ kẽm PN (0.95mm) - Định mức m²</t>
        </is>
      </c>
      <c r="D163" t="inlineStr">
        <is>
          <t>TÔN_CUỘN_MẠ_KẼM</t>
        </is>
      </c>
      <c r="E163" t="inlineStr">
        <is>
          <t>MAT-STEEL-PN-0.95</t>
        </is>
      </c>
      <c r="F163" t="inlineStr">
        <is>
          <t>kg</t>
        </is>
      </c>
      <c r="G163" s="394" t="n">
        <v>8.456805000000001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Định mức tôn cho 1m² ống: phôi x1.08, hao hụt x1.05</t>
        </is>
      </c>
    </row>
    <row r="164">
      <c r="A164" t="inlineStr">
        <is>
          <t>SW-DUCT-261-BOX</t>
        </is>
      </c>
      <c r="B164" t="inlineStr">
        <is>
          <t>SW-DUCT-261</t>
        </is>
      </c>
      <c r="C164" t="inlineStr">
        <is>
          <t>Box phụ kiện 0.95mm</t>
        </is>
      </c>
      <c r="D164" t="inlineStr">
        <is>
          <t>THUONG_MAI</t>
        </is>
      </c>
      <c r="E164" t="inlineStr">
        <is>
          <t>MAT-BOX-HE_THONG_ONG_THONG_C_A0C1</t>
        </is>
      </c>
      <c r="F164" t="inlineStr">
        <is>
          <t>Cái</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Phụ kiện bóc tách động (Rule-based)</t>
        </is>
      </c>
    </row>
    <row r="165">
      <c r="A165" t="inlineStr">
        <is>
          <t>SW-DUCT-262-BODY</t>
        </is>
      </c>
      <c r="B165" t="inlineStr">
        <is>
          <t>SW-DUCT-262</t>
        </is>
      </c>
      <c r="C165" t="inlineStr">
        <is>
          <t>Tôn mạ kẽm PN (1.15mm) - Định mức m²</t>
        </is>
      </c>
      <c r="D165" t="inlineStr">
        <is>
          <t>TÔN_CUỘN_MẠ_KẼM</t>
        </is>
      </c>
      <c r="E165" t="inlineStr">
        <is>
          <t>MAT-STEEL-PN-1.15</t>
        </is>
      </c>
      <c r="F165" t="inlineStr">
        <is>
          <t>kg</t>
        </is>
      </c>
      <c r="G165" s="394" t="n">
        <v>10.237185</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Định mức tôn cho 1m² ống: phôi x1.08, hao hụt x1.05</t>
        </is>
      </c>
    </row>
    <row r="166">
      <c r="A166" t="inlineStr">
        <is>
          <t>SW-DUCT-262-BOX</t>
        </is>
      </c>
      <c r="B166" t="inlineStr">
        <is>
          <t>SW-DUCT-262</t>
        </is>
      </c>
      <c r="C166" t="inlineStr">
        <is>
          <t>Box phụ kiện 1.15mm</t>
        </is>
      </c>
      <c r="D166" t="inlineStr">
        <is>
          <t>THUONG_MAI</t>
        </is>
      </c>
      <c r="E166" t="inlineStr">
        <is>
          <t>MAT-BOX-HE_THONG_ONG_THONG_C_49CD</t>
        </is>
      </c>
      <c r="F166" t="inlineStr">
        <is>
          <t>Cái</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Phụ kiện bóc tách động (Rule-based)</t>
        </is>
      </c>
    </row>
    <row r="167">
      <c r="A167" t="inlineStr">
        <is>
          <t>SW-DUCT-263-BODY</t>
        </is>
      </c>
      <c r="B167" t="inlineStr">
        <is>
          <t>SW-DUCT-263</t>
        </is>
      </c>
      <c r="C167" t="inlineStr">
        <is>
          <t>Tôn mạ kẽm PN (0.75mm) - Định mức m²</t>
        </is>
      </c>
      <c r="D167" t="inlineStr">
        <is>
          <t>TÔN_CUỘN_MẠ_KẼM</t>
        </is>
      </c>
      <c r="E167" t="inlineStr">
        <is>
          <t>MAT-STEEL-PN-0.75</t>
        </is>
      </c>
      <c r="F167" t="inlineStr">
        <is>
          <t>kg</t>
        </is>
      </c>
      <c r="G167" s="394" t="n">
        <v>6.676425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Định mức tôn cho 1m² ống: phôi x1.08, hao hụt x1.05</t>
        </is>
      </c>
    </row>
    <row r="168">
      <c r="A168" t="inlineStr">
        <is>
          <t>SW-DUCT-263-BOX</t>
        </is>
      </c>
      <c r="B168" t="inlineStr">
        <is>
          <t>SW-DUCT-263</t>
        </is>
      </c>
      <c r="C168" t="inlineStr">
        <is>
          <t>Box phụ kiện 0.75mm</t>
        </is>
      </c>
      <c r="D168" t="inlineStr">
        <is>
          <t>THUONG_MAI</t>
        </is>
      </c>
      <c r="E168" t="inlineStr">
        <is>
          <t>MAT-BOX-HE_THONG_ONG_THONG_C_D98A</t>
        </is>
      </c>
      <c r="F168" t="inlineStr">
        <is>
          <t>Cái</t>
        </is>
      </c>
      <c r="G168" s="394" t="n">
        <v>1</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Phụ kiện bóc tách động (Rule-based)</t>
        </is>
      </c>
    </row>
    <row r="169">
      <c r="A169" t="inlineStr">
        <is>
          <t>SW-TRD-264-TM</t>
        </is>
      </c>
      <c r="B169" t="inlineStr">
        <is>
          <t>SW-TRD-264</t>
        </is>
      </c>
      <c r="C169" t="inlineStr">
        <is>
          <t>Hệ thống ống thông cấp gió tươi, gió bù, box miệng gió Lớp chống cháy EI30</t>
        </is>
      </c>
      <c r="D169" t="inlineStr">
        <is>
          <t>THUONG_MAI</t>
        </is>
      </c>
      <c r="E169" t="inlineStr">
        <is>
          <t>MAT-THUONG_MAI-HE_THONG_ONG_THONG_CAP_GIO_TUO_01B5</t>
        </is>
      </c>
      <c r="F169" t="inlineStr">
        <is>
          <t>m2</t>
        </is>
      </c>
      <c r="G169" s="394" t="n">
        <v>1</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Hàng thương mại mua ngoài</t>
        </is>
      </c>
    </row>
    <row r="170">
      <c r="A170" t="inlineStr">
        <is>
          <t>SW-TRD-264-BOX</t>
        </is>
      </c>
      <c r="B170" t="inlineStr">
        <is>
          <t>SW-TRD-264</t>
        </is>
      </c>
      <c r="C170" t="inlineStr">
        <is>
          <t>Box phụ kiện -</t>
        </is>
      </c>
      <c r="D170" t="inlineStr">
        <is>
          <t>THUONG_MAI</t>
        </is>
      </c>
      <c r="E170" t="inlineStr">
        <is>
          <t>MAT-BOX-HE_THONG_ONG_THONG_C_01B5</t>
        </is>
      </c>
      <c r="F170" t="inlineStr">
        <is>
          <t>Cái</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Phụ kiện bóc tách động (Rule-based)</t>
        </is>
      </c>
    </row>
    <row r="171">
      <c r="A171" t="inlineStr">
        <is>
          <t>SW-TRD-265-TM</t>
        </is>
      </c>
      <c r="B171" t="inlineStr">
        <is>
          <t>SW-TRD-265</t>
        </is>
      </c>
      <c r="C171" t="inlineStr">
        <is>
          <t>Hệ thống ống thông cấp gió tươi, gió bù, box miệng gió Lớp chống cháy EI60</t>
        </is>
      </c>
      <c r="D171" t="inlineStr">
        <is>
          <t>THUONG_MAI</t>
        </is>
      </c>
      <c r="E171" t="inlineStr">
        <is>
          <t>MAT-THUONG_MAI-HE_THONG_ONG_THONG_CAP_GIO_TUO_96F1</t>
        </is>
      </c>
      <c r="F171" t="inlineStr">
        <is>
          <t>m2</t>
        </is>
      </c>
      <c r="G171" s="394" t="n">
        <v>1</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Hàng thương mại mua ngoài</t>
        </is>
      </c>
    </row>
    <row r="172">
      <c r="A172" t="inlineStr">
        <is>
          <t>SW-TRD-265-BOX</t>
        </is>
      </c>
      <c r="B172" t="inlineStr">
        <is>
          <t>SW-TRD-265</t>
        </is>
      </c>
      <c r="C172" t="inlineStr">
        <is>
          <t>Box phụ kiện -</t>
        </is>
      </c>
      <c r="D172" t="inlineStr">
        <is>
          <t>THUONG_MAI</t>
        </is>
      </c>
      <c r="E172" t="inlineStr">
        <is>
          <t>MAT-BOX-HE_THONG_ONG_THONG_C_96F1</t>
        </is>
      </c>
      <c r="F172" t="inlineStr">
        <is>
          <t>Cái</t>
        </is>
      </c>
      <c r="G172" s="394" t="n">
        <v>1</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Phụ kiện bóc tách động (Rule-based)</t>
        </is>
      </c>
    </row>
    <row r="173">
      <c r="A173" t="inlineStr">
        <is>
          <t>SW-TRD-266-TM</t>
        </is>
      </c>
      <c r="B173" t="inlineStr">
        <is>
          <t>SW-TRD-266</t>
        </is>
      </c>
      <c r="C173" t="inlineStr">
        <is>
          <t>Hệ thống ống thông cấp gió tươi, gió bù, box miệng gió Lớp chống cháy EI120</t>
        </is>
      </c>
      <c r="D173" t="inlineStr">
        <is>
          <t>THUONG_MAI</t>
        </is>
      </c>
      <c r="E173" t="inlineStr">
        <is>
          <t>MAT-THUONG_MAI-HE_THONG_ONG_THONG_CAP_GIO_TUO_6B58</t>
        </is>
      </c>
      <c r="F173" t="inlineStr">
        <is>
          <t>m2</t>
        </is>
      </c>
      <c r="G173" s="394" t="n">
        <v>1</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Hàng thương mại mua ngoài</t>
        </is>
      </c>
    </row>
    <row r="174">
      <c r="A174" t="inlineStr">
        <is>
          <t>SW-TRD-266-BOX</t>
        </is>
      </c>
      <c r="B174" t="inlineStr">
        <is>
          <t>SW-TRD-266</t>
        </is>
      </c>
      <c r="C174" t="inlineStr">
        <is>
          <t>Box phụ kiện -</t>
        </is>
      </c>
      <c r="D174" t="inlineStr">
        <is>
          <t>THUONG_MAI</t>
        </is>
      </c>
      <c r="E174" t="inlineStr">
        <is>
          <t>MAT-BOX-HE_THONG_ONG_THONG_C_6B58</t>
        </is>
      </c>
      <c r="F174" t="inlineStr">
        <is>
          <t>Cái</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Phụ kiện bóc tách động (Rule-based)</t>
        </is>
      </c>
    </row>
    <row r="175">
      <c r="A175" t="inlineStr">
        <is>
          <t>SW-TRD-267-TM</t>
        </is>
      </c>
      <c r="B175" t="inlineStr">
        <is>
          <t>SW-TRD-267</t>
        </is>
      </c>
      <c r="C175" t="inlineStr">
        <is>
          <t>Hệ thống ống thông cấp gió tươi, gió bù, box miệng gió Vật tư phụ, phụ kiện</t>
        </is>
      </c>
      <c r="D175" t="inlineStr">
        <is>
          <t>THUONG_MAI</t>
        </is>
      </c>
      <c r="E175" t="inlineStr">
        <is>
          <t>MAT-THUONG_MAI-HE_THONG_ONG_THONG_CAP_GIO_TUO_D3FF</t>
        </is>
      </c>
      <c r="F175" t="inlineStr">
        <is>
          <t>Lô</t>
        </is>
      </c>
      <c r="G175" s="394" t="n">
        <v>1</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Hàng thương mại mua ngoài</t>
        </is>
      </c>
    </row>
    <row r="176">
      <c r="A176" t="inlineStr">
        <is>
          <t>SW-TRD-267-BOX</t>
        </is>
      </c>
      <c r="B176" t="inlineStr">
        <is>
          <t>SW-TRD-267</t>
        </is>
      </c>
      <c r="C176" t="inlineStr">
        <is>
          <t>Box phụ kiện -</t>
        </is>
      </c>
      <c r="D176" t="inlineStr">
        <is>
          <t>THUONG_MAI</t>
        </is>
      </c>
      <c r="E176" t="inlineStr">
        <is>
          <t>MAT-BOX-HE_THONG_ONG_THONG_C_D3FF</t>
        </is>
      </c>
      <c r="F176" t="inlineStr">
        <is>
          <t>Cái</t>
        </is>
      </c>
      <c r="G176" s="394" t="n">
        <v>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Phụ kiện bóc tách động (Rule-based)</t>
        </is>
      </c>
    </row>
    <row r="177">
      <c r="A177" t="inlineStr">
        <is>
          <t>SW-TRD-274-TM</t>
        </is>
      </c>
      <c r="B177" t="inlineStr">
        <is>
          <t>SW-TRD-274</t>
        </is>
      </c>
      <c r="C177" t="inlineStr">
        <is>
          <t>Hệ thống hút gió thải, hút gió bếp Quạt hướng trục EAF-B2-Z2-03 260 l/s 200Pa</t>
        </is>
      </c>
      <c r="D177" t="inlineStr">
        <is>
          <t>THUONG_MAI</t>
        </is>
      </c>
      <c r="E177" t="inlineStr">
        <is>
          <t>MAT-THUONG_MAI-HE_THONG_HUT_GIO_THAI_HUT_GIO_B0A9</t>
        </is>
      </c>
      <c r="F177" t="inlineStr">
        <is>
          <t>Bộ</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Hàng thương mại mua ngoài</t>
        </is>
      </c>
    </row>
    <row r="178">
      <c r="A178" t="inlineStr">
        <is>
          <t>SW-TRD-275-TM</t>
        </is>
      </c>
      <c r="B178" t="inlineStr">
        <is>
          <t>SW-TRD-275</t>
        </is>
      </c>
      <c r="C178" t="inlineStr">
        <is>
          <t>Hệ thống hút gió thải, hút gió bếp Quạt hướng trục EAF-B2-Z2-04 600 l/s 200Pa</t>
        </is>
      </c>
      <c r="D178" t="inlineStr">
        <is>
          <t>THUONG_MAI</t>
        </is>
      </c>
      <c r="E178" t="inlineStr">
        <is>
          <t>MAT-THUONG_MAI-HE_THONG_HUT_GIO_THAI_HUT_GIO_065B</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Hàng thương mại mua ngoài</t>
        </is>
      </c>
    </row>
    <row r="179">
      <c r="A179" t="inlineStr">
        <is>
          <t>SW-TRD-276-TM</t>
        </is>
      </c>
      <c r="B179" t="inlineStr">
        <is>
          <t>SW-TRD-276</t>
        </is>
      </c>
      <c r="C179" t="inlineStr">
        <is>
          <t>Hệ thống hút gió thải, hút gió bếp Quạt hướng trục EAF-B2-Z2-06 320 l/s 200Pa</t>
        </is>
      </c>
      <c r="D179" t="inlineStr">
        <is>
          <t>THUONG_MAI</t>
        </is>
      </c>
      <c r="E179" t="inlineStr">
        <is>
          <t>MAT-THUONG_MAI-HE_THONG_HUT_GIO_THAI_HUT_GIO_709C</t>
        </is>
      </c>
      <c r="F179" t="inlineStr">
        <is>
          <t>Bộ</t>
        </is>
      </c>
      <c r="G179" s="394" t="n">
        <v>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Hàng thương mại mua ngoài</t>
        </is>
      </c>
    </row>
    <row r="180">
      <c r="A180" t="inlineStr">
        <is>
          <t>SW-TRD-279-TM</t>
        </is>
      </c>
      <c r="B180" t="inlineStr">
        <is>
          <t>SW-TRD-279</t>
        </is>
      </c>
      <c r="C180" t="inlineStr">
        <is>
          <t>Hệ thống hút gió thải, hút gió bếp Quạt hướng trục EAF-B1-Z1-03 6670 l/s 350Pa</t>
        </is>
      </c>
      <c r="D180" t="inlineStr">
        <is>
          <t>THUONG_MAI</t>
        </is>
      </c>
      <c r="E180" t="inlineStr">
        <is>
          <t>MAT-THUONG_MAI-HE_THONG_HUT_GIO_THAI_HUT_GIO_E019</t>
        </is>
      </c>
      <c r="F180" t="inlineStr">
        <is>
          <t>Bộ</t>
        </is>
      </c>
      <c r="G180" s="394" t="n">
        <v>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Hàng thương mại mua ngoài</t>
        </is>
      </c>
    </row>
    <row r="181">
      <c r="A181" t="inlineStr">
        <is>
          <t>SW-TRD-280-TM</t>
        </is>
      </c>
      <c r="B181" t="inlineStr">
        <is>
          <t>SW-TRD-280</t>
        </is>
      </c>
      <c r="C181" t="inlineStr">
        <is>
          <t>Hệ thống hút gió thải, hút gió bếp Quạt hướng trục EAF-B1-Z1-04 4690 l/s 400Pa</t>
        </is>
      </c>
      <c r="D181" t="inlineStr">
        <is>
          <t>THUONG_MAI</t>
        </is>
      </c>
      <c r="E181" t="inlineStr">
        <is>
          <t>MAT-THUONG_MAI-HE_THONG_HUT_GIO_THAI_HUT_GIO_3D6A</t>
        </is>
      </c>
      <c r="F181" t="inlineStr">
        <is>
          <t>Bộ</t>
        </is>
      </c>
      <c r="G181" s="394" t="n">
        <v>1</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Hàng thương mại mua ngoài</t>
        </is>
      </c>
    </row>
    <row r="182">
      <c r="A182" t="inlineStr">
        <is>
          <t>SW-TRD-285-TM</t>
        </is>
      </c>
      <c r="B182" t="inlineStr">
        <is>
          <t>SW-TRD-285</t>
        </is>
      </c>
      <c r="C182" t="inlineStr">
        <is>
          <t>Hệ thống hút gió thải, hút gió bếp Quạt hướng trục EAF-A1.3-10F-01~02 130 l/s @ 350 Pa</t>
        </is>
      </c>
      <c r="D182" t="inlineStr">
        <is>
          <t>THUONG_MAI</t>
        </is>
      </c>
      <c r="E182" t="inlineStr">
        <is>
          <t>MAT-THUONG_MAI-HE_THONG_HUT_GIO_THAI_HUT_GIO_5D2C</t>
        </is>
      </c>
      <c r="F182" t="inlineStr">
        <is>
          <t>Cái</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Hàng thương mại mua ngoài</t>
        </is>
      </c>
    </row>
    <row r="183">
      <c r="A183" t="inlineStr">
        <is>
          <t>SW-TRD-286-TM</t>
        </is>
      </c>
      <c r="B183" t="inlineStr">
        <is>
          <t>SW-TRD-286</t>
        </is>
      </c>
      <c r="C183" t="inlineStr">
        <is>
          <t>Hệ thống hút gió thải, hút gió bếp Quạt hướng trục EAF-A1.3-10F-03~04 140 l/s @ 350 Pa</t>
        </is>
      </c>
      <c r="D183" t="inlineStr">
        <is>
          <t>THUONG_MAI</t>
        </is>
      </c>
      <c r="E183" t="inlineStr">
        <is>
          <t>MAT-THUONG_MAI-HE_THONG_HUT_GIO_THAI_HUT_GIO_FCCB</t>
        </is>
      </c>
      <c r="F183" t="inlineStr">
        <is>
          <t>Cái</t>
        </is>
      </c>
      <c r="G183" s="394" t="n">
        <v>1</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Hàng thương mại mua ngoài</t>
        </is>
      </c>
    </row>
    <row r="184">
      <c r="A184" t="inlineStr">
        <is>
          <t>SW-TRD-287-TM</t>
        </is>
      </c>
      <c r="B184" t="inlineStr">
        <is>
          <t>SW-TRD-287</t>
        </is>
      </c>
      <c r="C184" t="inlineStr">
        <is>
          <t>Hệ thống hút gió thải, hút gió bếp Quạt hướng trục EAF-A1.3-10F-05~06 3210 l/s @ 450 Pa</t>
        </is>
      </c>
      <c r="D184" t="inlineStr">
        <is>
          <t>THUONG_MAI</t>
        </is>
      </c>
      <c r="E184" t="inlineStr">
        <is>
          <t>MAT-THUONG_MAI-HE_THONG_HUT_GIO_THAI_HUT_GIO_F554</t>
        </is>
      </c>
      <c r="F184" t="inlineStr">
        <is>
          <t>Cái</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Hàng thương mại mua ngoài</t>
        </is>
      </c>
    </row>
    <row r="185">
      <c r="A185" t="inlineStr">
        <is>
          <t>SW-TRD-288-TM</t>
        </is>
      </c>
      <c r="B185" t="inlineStr">
        <is>
          <t>SW-TRD-288</t>
        </is>
      </c>
      <c r="C185" t="inlineStr">
        <is>
          <t>Hệ thống hút gió thải, hút gió bếp Quạt hướng trục KEAF-A1.3-10F-01~02 3900 l/s @ 500 Pa</t>
        </is>
      </c>
      <c r="D185" t="inlineStr">
        <is>
          <t>THUONG_MAI</t>
        </is>
      </c>
      <c r="E185" t="inlineStr">
        <is>
          <t>MAT-THUONG_MAI-HE_THONG_HUT_GIO_THAI_HUT_GIO_9450</t>
        </is>
      </c>
      <c r="F185" t="inlineStr">
        <is>
          <t>Cái</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Hàng thương mại mua ngoài</t>
        </is>
      </c>
    </row>
    <row r="186">
      <c r="A186" t="inlineStr">
        <is>
          <t>SW-TRD-289-TM</t>
        </is>
      </c>
      <c r="B186" t="inlineStr">
        <is>
          <t>SW-TRD-289</t>
        </is>
      </c>
      <c r="C186" t="inlineStr">
        <is>
          <t>Hệ thống hút gió thải, hút gió bếp Quạt hướng trục EAF-A1.3-10F-01~02 150 l/s @ 350 Pa</t>
        </is>
      </c>
      <c r="D186" t="inlineStr">
        <is>
          <t>THUONG_MAI</t>
        </is>
      </c>
      <c r="E186" t="inlineStr">
        <is>
          <t>MAT-THUONG_MAI-HE_THONG_HUT_GIO_THAI_HUT_GIO_E7E7</t>
        </is>
      </c>
      <c r="F186" t="inlineStr">
        <is>
          <t>Cái</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Hàng thương mại mua ngoài</t>
        </is>
      </c>
    </row>
    <row r="187">
      <c r="A187" t="inlineStr">
        <is>
          <t>SW-TRD-290-TM</t>
        </is>
      </c>
      <c r="B187" t="inlineStr">
        <is>
          <t>SW-TRD-290</t>
        </is>
      </c>
      <c r="C187" t="inlineStr">
        <is>
          <t>Hệ thống hút gió thải, hút gió bếp Quạt hướng trục EAF-A1.2-12F-03, 04 180 l/s @ 350 Pa</t>
        </is>
      </c>
      <c r="D187" t="inlineStr">
        <is>
          <t>THUONG_MAI</t>
        </is>
      </c>
      <c r="E187" t="inlineStr">
        <is>
          <t>MAT-THUONG_MAI-HE_THONG_HUT_GIO_THAI_HUT_GIO_A302</t>
        </is>
      </c>
      <c r="F187" t="inlineStr">
        <is>
          <t>Cái</t>
        </is>
      </c>
      <c r="G187" s="394" t="n">
        <v>1</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Hàng thương mại mua ngoài</t>
        </is>
      </c>
    </row>
    <row r="188">
      <c r="A188" t="inlineStr">
        <is>
          <t>SW-TRD-291-TM</t>
        </is>
      </c>
      <c r="B188" t="inlineStr">
        <is>
          <t>SW-TRD-291</t>
        </is>
      </c>
      <c r="C188" t="inlineStr">
        <is>
          <t>Hệ thống hút gió thải, hút gió bếp Quạt hướng trục EAF-A1.2-12F-05~06 3300 l/s @ 450 Pa</t>
        </is>
      </c>
      <c r="D188" t="inlineStr">
        <is>
          <t>THUONG_MAI</t>
        </is>
      </c>
      <c r="E188" t="inlineStr">
        <is>
          <t>MAT-THUONG_MAI-HE_THONG_HUT_GIO_THAI_HUT_GIO_C3B3</t>
        </is>
      </c>
      <c r="F188" t="inlineStr">
        <is>
          <t>Cái</t>
        </is>
      </c>
      <c r="G188" s="394" t="n">
        <v>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Hàng thương mại mua ngoài</t>
        </is>
      </c>
    </row>
    <row r="189">
      <c r="A189" t="inlineStr">
        <is>
          <t>SW-TRD-292-TM</t>
        </is>
      </c>
      <c r="B189" t="inlineStr">
        <is>
          <t>SW-TRD-292</t>
        </is>
      </c>
      <c r="C189" t="inlineStr">
        <is>
          <t>Hệ thống hút gió thải, hút gió bếp Quạt hướng trục KEAF-A1.2-12F-01~02 4800 l/s @ 500 Pa</t>
        </is>
      </c>
      <c r="D189" t="inlineStr">
        <is>
          <t>THUONG_MAI</t>
        </is>
      </c>
      <c r="E189" t="inlineStr">
        <is>
          <t>MAT-THUONG_MAI-HE_THONG_HUT_GIO_THAI_HUT_GIO_A23D</t>
        </is>
      </c>
      <c r="F189" t="inlineStr">
        <is>
          <t>Cái</t>
        </is>
      </c>
      <c r="G189" s="394" t="n">
        <v>1</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Hàng thương mại mua ngoài</t>
        </is>
      </c>
    </row>
    <row r="190">
      <c r="A190" t="inlineStr">
        <is>
          <t>SW-TRD-293-TM</t>
        </is>
      </c>
      <c r="B190" t="inlineStr">
        <is>
          <t>SW-TRD-293</t>
        </is>
      </c>
      <c r="C190" t="inlineStr">
        <is>
          <t>Hệ thống hút gió thải, hút gió bếp Quạt hướng trục EAF-A1.1-RF-01, 240 l/s @ 350 Pa</t>
        </is>
      </c>
      <c r="D190" t="inlineStr">
        <is>
          <t>THUONG_MAI</t>
        </is>
      </c>
      <c r="E190" t="inlineStr">
        <is>
          <t>MAT-THUONG_MAI-HE_THONG_HUT_GIO_THAI_HUT_GIO_97DE</t>
        </is>
      </c>
      <c r="F190" t="inlineStr">
        <is>
          <t>Cái</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Hàng thương mại mua ngoài</t>
        </is>
      </c>
    </row>
    <row r="191">
      <c r="A191" t="inlineStr">
        <is>
          <t>SW-TRD-294-TM</t>
        </is>
      </c>
      <c r="B191" t="inlineStr">
        <is>
          <t>SW-TRD-294</t>
        </is>
      </c>
      <c r="C191" t="inlineStr">
        <is>
          <t>Hệ thống hút gió thải, hút gió bếp Quạt hướng trục EAF-A1.1-RF-03, 04 180 l/s @ 350 Pa</t>
        </is>
      </c>
      <c r="D191" t="inlineStr">
        <is>
          <t>THUONG_MAI</t>
        </is>
      </c>
      <c r="E191" t="inlineStr">
        <is>
          <t>MAT-THUONG_MAI-HE_THONG_HUT_GIO_THAI_HUT_GIO_3FA4</t>
        </is>
      </c>
      <c r="F191" t="inlineStr">
        <is>
          <t>Cái</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Hàng thương mại mua ngoài</t>
        </is>
      </c>
    </row>
    <row r="192">
      <c r="A192" t="inlineStr">
        <is>
          <t>SW-TRD-295-TM</t>
        </is>
      </c>
      <c r="B192" t="inlineStr">
        <is>
          <t>SW-TRD-295</t>
        </is>
      </c>
      <c r="C192" t="inlineStr">
        <is>
          <t>Hệ thống hút gió thải, hút gió bếp Quạt hướng trục EAF-A1.1-RF-05~06 2363 l/s @ 400 Pa</t>
        </is>
      </c>
      <c r="D192" t="inlineStr">
        <is>
          <t>THUONG_MAI</t>
        </is>
      </c>
      <c r="E192" t="inlineStr">
        <is>
          <t>MAT-THUONG_MAI-HE_THONG_HUT_GIO_THAI_HUT_GIO_2776</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Hàng thương mại mua ngoài</t>
        </is>
      </c>
    </row>
    <row r="193">
      <c r="A193" t="inlineStr">
        <is>
          <t>SW-TRD-296-TM</t>
        </is>
      </c>
      <c r="B193" t="inlineStr">
        <is>
          <t>SW-TRD-296</t>
        </is>
      </c>
      <c r="C193" t="inlineStr">
        <is>
          <t>Hệ thống hút gió thải, hút gió bếp Quạt hướng trục KEAF-A1.1-RF-01~02 3450 l/s @ 450 Pa</t>
        </is>
      </c>
      <c r="D193" t="inlineStr">
        <is>
          <t>THUONG_MAI</t>
        </is>
      </c>
      <c r="E193" t="inlineStr">
        <is>
          <t>MAT-THUONG_MAI-HE_THONG_HUT_GIO_THAI_HUT_GIO_31F6</t>
        </is>
      </c>
      <c r="F193" t="inlineStr">
        <is>
          <t>Cái</t>
        </is>
      </c>
      <c r="G193" s="394" t="n">
        <v>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Hàng thương mại mua ngoài</t>
        </is>
      </c>
    </row>
    <row r="194">
      <c r="A194" t="inlineStr">
        <is>
          <t>SW-TRD-297-TM</t>
        </is>
      </c>
      <c r="B194" t="inlineStr">
        <is>
          <t>SW-TRD-297</t>
        </is>
      </c>
      <c r="C194" t="inlineStr">
        <is>
          <t>Hệ thống hút gió thải, hút gió bếp Quạt gắn trần EAF-A1.1-1F.01~04, EAF-A1.2-1F.01~08, EAF-A1.3-1F.01~04 35l/s @ 75Pa</t>
        </is>
      </c>
      <c r="D194" t="inlineStr">
        <is>
          <t>THUONG_MAI</t>
        </is>
      </c>
      <c r="E194" t="inlineStr">
        <is>
          <t>MAT-THUONG_MAI-HE_THONG_HUT_GIO_THAI_HUT_GIO_964E</t>
        </is>
      </c>
      <c r="F194" t="inlineStr">
        <is>
          <t>Cái</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Hàng thương mại mua ngoài</t>
        </is>
      </c>
    </row>
    <row r="195">
      <c r="A195" t="inlineStr">
        <is>
          <t>SW-TRD-298-TM</t>
        </is>
      </c>
      <c r="B195" t="inlineStr">
        <is>
          <t>SW-TRD-298</t>
        </is>
      </c>
      <c r="C195" t="inlineStr">
        <is>
          <t>Hệ thống hút gió thải, hút gió bếp Quạt gắn trần EAF-A1.3-1F.05 140l/s @ 150Pa</t>
        </is>
      </c>
      <c r="D195" t="inlineStr">
        <is>
          <t>THUONG_MAI</t>
        </is>
      </c>
      <c r="E195" t="inlineStr">
        <is>
          <t>MAT-THUONG_MAI-HE_THONG_HUT_GIO_THAI_HUT_GIO_AAC6</t>
        </is>
      </c>
      <c r="F195" t="inlineStr">
        <is>
          <t>Cái</t>
        </is>
      </c>
      <c r="G195" s="394" t="n">
        <v>1</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Hàng thương mại mua ngoài</t>
        </is>
      </c>
    </row>
    <row r="196">
      <c r="A196" t="inlineStr">
        <is>
          <t>SW-TRD-299-TM</t>
        </is>
      </c>
      <c r="B196" t="inlineStr">
        <is>
          <t>SW-TRD-299</t>
        </is>
      </c>
      <c r="C196" t="inlineStr">
        <is>
          <t>Hệ thống hút gió thải, hút gió bếp Quạt gắn trần EAF-A1.1-2F.01~09, EAF-A1.2-1F.01~13, EAF-A1.3-1F.01~08 35l/s @ 75Pa</t>
        </is>
      </c>
      <c r="D196" t="inlineStr">
        <is>
          <t>THUONG_MAI</t>
        </is>
      </c>
      <c r="E196" t="inlineStr">
        <is>
          <t>MAT-THUONG_MAI-HE_THONG_HUT_GIO_THAI_HUT_GIO_61B8</t>
        </is>
      </c>
      <c r="F196" t="inlineStr">
        <is>
          <t>Cái</t>
        </is>
      </c>
      <c r="G196" s="394" t="n">
        <v>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Hàng thương mại mua ngoài</t>
        </is>
      </c>
    </row>
    <row r="197">
      <c r="A197" t="inlineStr">
        <is>
          <t>SW-TRD-300-TM</t>
        </is>
      </c>
      <c r="B197" t="inlineStr">
        <is>
          <t>SW-TRD-300</t>
        </is>
      </c>
      <c r="C197" t="inlineStr">
        <is>
          <t>Hệ thống hút gió thải, hút gió bếp Quạt hướng trục EAF-A1.1-2F-08 140 l/s @ 200 Pa</t>
        </is>
      </c>
      <c r="D197" t="inlineStr">
        <is>
          <t>THUONG_MAI</t>
        </is>
      </c>
      <c r="E197" t="inlineStr">
        <is>
          <t>MAT-THUONG_MAI-HE_THONG_HUT_GIO_THAI_HUT_GIO_087D</t>
        </is>
      </c>
      <c r="F197" t="inlineStr">
        <is>
          <t>Cái</t>
        </is>
      </c>
      <c r="G197" s="394" t="n">
        <v>1</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Hàng thương mại mua ngoài</t>
        </is>
      </c>
    </row>
    <row r="198">
      <c r="A198" t="inlineStr">
        <is>
          <t>SW-TRD-301-TM</t>
        </is>
      </c>
      <c r="B198" t="inlineStr">
        <is>
          <t>SW-TRD-301</t>
        </is>
      </c>
      <c r="C198" t="inlineStr">
        <is>
          <t>Hệ thống hút gió thải, hút gió bếp Quạt hướng trục EAF-A1.1-2F-09 350 l/s @ 250 Pa</t>
        </is>
      </c>
      <c r="D198" t="inlineStr">
        <is>
          <t>THUONG_MAI</t>
        </is>
      </c>
      <c r="E198" t="inlineStr">
        <is>
          <t>MAT-THUONG_MAI-HE_THONG_HUT_GIO_THAI_HUT_GIO_0ACC</t>
        </is>
      </c>
      <c r="F198" t="inlineStr">
        <is>
          <t>Cái</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Hàng thương mại mua ngoài</t>
        </is>
      </c>
    </row>
    <row r="199">
      <c r="A199" t="inlineStr">
        <is>
          <t>SW-TRD-302-TM</t>
        </is>
      </c>
      <c r="B199" t="inlineStr">
        <is>
          <t>SW-TRD-302</t>
        </is>
      </c>
      <c r="C199" t="inlineStr">
        <is>
          <t>Hệ thống hút gió thải, hút gió bếp Quạt hướng trục EAF-A1.1-2F-07 245 l/s @ 75 Pa</t>
        </is>
      </c>
      <c r="D199" t="inlineStr">
        <is>
          <t>THUONG_MAI</t>
        </is>
      </c>
      <c r="E199" t="inlineStr">
        <is>
          <t>MAT-THUONG_MAI-HE_THONG_HUT_GIO_THAI_HUT_GIO_FEC0</t>
        </is>
      </c>
      <c r="F199" t="inlineStr">
        <is>
          <t>Cái</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Hàng thương mại mua ngoài</t>
        </is>
      </c>
    </row>
    <row r="200">
      <c r="A200" t="inlineStr">
        <is>
          <t>SW-DIFF-333-BOX</t>
        </is>
      </c>
      <c r="B200" t="inlineStr">
        <is>
          <t>SW-DIFF-333</t>
        </is>
      </c>
      <c r="C200" t="inlineStr">
        <is>
          <t>Box phụ kiện 150x150</t>
        </is>
      </c>
      <c r="D200" t="inlineStr">
        <is>
          <t>THUONG_MAI</t>
        </is>
      </c>
      <c r="E200" t="inlineStr">
        <is>
          <t>MAT-BOX-HE_THONG_HUT_GIO_THA_57D5</t>
        </is>
      </c>
      <c r="F200" t="inlineStr">
        <is>
          <t>Cái</t>
        </is>
      </c>
      <c r="G200" s="394" t="n">
        <v>1</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Phụ kiện bóc tách động (Rule-based)</t>
        </is>
      </c>
    </row>
    <row r="201">
      <c r="A201" t="inlineStr">
        <is>
          <t>SW-DIFF-334-BOX</t>
        </is>
      </c>
      <c r="B201" t="inlineStr">
        <is>
          <t>SW-DIFF-334</t>
        </is>
      </c>
      <c r="C201" t="inlineStr">
        <is>
          <t>Box phụ kiện 300x300</t>
        </is>
      </c>
      <c r="D201" t="inlineStr">
        <is>
          <t>THUONG_MAI</t>
        </is>
      </c>
      <c r="E201" t="inlineStr">
        <is>
          <t>MAT-BOX-HE_THONG_HUT_GIO_THA_0AC1</t>
        </is>
      </c>
      <c r="F201" t="inlineStr">
        <is>
          <t>Cái</t>
        </is>
      </c>
      <c r="G201" s="394" t="n">
        <v>1</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Phụ kiện bóc tách động (Rule-based)</t>
        </is>
      </c>
    </row>
    <row r="202">
      <c r="A202" t="inlineStr">
        <is>
          <t>SW-DIFF-335-BOX</t>
        </is>
      </c>
      <c r="B202" t="inlineStr">
        <is>
          <t>SW-DIFF-335</t>
        </is>
      </c>
      <c r="C202" t="inlineStr">
        <is>
          <t>Box phụ kiện 400x300</t>
        </is>
      </c>
      <c r="D202" t="inlineStr">
        <is>
          <t>THUONG_MAI</t>
        </is>
      </c>
      <c r="E202" t="inlineStr">
        <is>
          <t>MAT-BOX-HE_THONG_HUT_GIO_THA_0380</t>
        </is>
      </c>
      <c r="F202" t="inlineStr">
        <is>
          <t>Cái</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Phụ kiện bóc tách động (Rule-based)</t>
        </is>
      </c>
    </row>
    <row r="203">
      <c r="A203" t="inlineStr">
        <is>
          <t>SW-DIFF-336-BOX</t>
        </is>
      </c>
      <c r="B203" t="inlineStr">
        <is>
          <t>SW-DIFF-336</t>
        </is>
      </c>
      <c r="C203" t="inlineStr">
        <is>
          <t>Box phụ kiện 1200x800</t>
        </is>
      </c>
      <c r="D203" t="inlineStr">
        <is>
          <t>THUONG_MAI</t>
        </is>
      </c>
      <c r="E203" t="inlineStr">
        <is>
          <t>MAT-BOX-HE_THONG_HUT_GIO_THA_D0F5</t>
        </is>
      </c>
      <c r="F203" t="inlineStr">
        <is>
          <t>Cái</t>
        </is>
      </c>
      <c r="G203" s="394" t="n">
        <v>1</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Phụ kiện bóc tách động (Rule-based)</t>
        </is>
      </c>
    </row>
    <row r="204">
      <c r="A204" t="inlineStr">
        <is>
          <t>SW-DIFF-337-BOX</t>
        </is>
      </c>
      <c r="B204" t="inlineStr">
        <is>
          <t>SW-DIFF-337</t>
        </is>
      </c>
      <c r="C204" t="inlineStr">
        <is>
          <t>Box phụ kiện 1000x400</t>
        </is>
      </c>
      <c r="D204" t="inlineStr">
        <is>
          <t>THUONG_MAI</t>
        </is>
      </c>
      <c r="E204" t="inlineStr">
        <is>
          <t>MAT-BOX-HE_THONG_HUT_GIO_THA_F5F1</t>
        </is>
      </c>
      <c r="F204" t="inlineStr">
        <is>
          <t>Cái</t>
        </is>
      </c>
      <c r="G204" s="394" t="n">
        <v>1</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Phụ kiện bóc tách động (Rule-based)</t>
        </is>
      </c>
    </row>
    <row r="205">
      <c r="A205" t="inlineStr">
        <is>
          <t>SW-DIFF-338-BOX</t>
        </is>
      </c>
      <c r="B205" t="inlineStr">
        <is>
          <t>SW-DIFF-338</t>
        </is>
      </c>
      <c r="C205" t="inlineStr">
        <is>
          <t>Box phụ kiện 600x400</t>
        </is>
      </c>
      <c r="D205" t="inlineStr">
        <is>
          <t>THUONG_MAI</t>
        </is>
      </c>
      <c r="E205" t="inlineStr">
        <is>
          <t>MAT-BOX-HE_THONG_HUT_GIO_THA_A184</t>
        </is>
      </c>
      <c r="F205" t="inlineStr">
        <is>
          <t>Cái</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Phụ kiện bóc tách động (Rule-based)</t>
        </is>
      </c>
    </row>
    <row r="206">
      <c r="A206" t="inlineStr">
        <is>
          <t>SW-DIFF-339-BOX</t>
        </is>
      </c>
      <c r="B206" t="inlineStr">
        <is>
          <t>SW-DIFF-339</t>
        </is>
      </c>
      <c r="C206" t="inlineStr">
        <is>
          <t>Box phụ kiện 300x300</t>
        </is>
      </c>
      <c r="D206" t="inlineStr">
        <is>
          <t>THUONG_MAI</t>
        </is>
      </c>
      <c r="E206" t="inlineStr">
        <is>
          <t>MAT-BOX-HE_THONG_HUT_GIO_THA_ADC8</t>
        </is>
      </c>
      <c r="F206" t="inlineStr">
        <is>
          <t>Cái</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Phụ kiện bóc tách động (Rule-based)</t>
        </is>
      </c>
    </row>
    <row r="207">
      <c r="A207" t="inlineStr">
        <is>
          <t>SW-DUCT-349-BODY</t>
        </is>
      </c>
      <c r="B207" t="inlineStr">
        <is>
          <t>SW-DUCT-349</t>
        </is>
      </c>
      <c r="C207" t="inlineStr">
        <is>
          <t>Tôn mạ kẽm PN (0.58mm) - Định mức m²</t>
        </is>
      </c>
      <c r="D207" t="inlineStr">
        <is>
          <t>TÔN_CUỘN_MẠ_KẼM</t>
        </is>
      </c>
      <c r="E207" t="inlineStr">
        <is>
          <t>MAT-STEEL-PN-0.58</t>
        </is>
      </c>
      <c r="F207" t="inlineStr">
        <is>
          <t>kg</t>
        </is>
      </c>
      <c r="G207" s="394" t="n">
        <v>5.163101999999999</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Định mức tôn cho 1m² ống: phôi x1.08, hao hụt x1.05</t>
        </is>
      </c>
    </row>
    <row r="208">
      <c r="A208" t="inlineStr">
        <is>
          <t>SW-DUCT-350-BODY</t>
        </is>
      </c>
      <c r="B208" t="inlineStr">
        <is>
          <t>SW-DUCT-350</t>
        </is>
      </c>
      <c r="C208" t="inlineStr">
        <is>
          <t>Tôn mạ kẽm PN (0.75mm) - Định mức m²</t>
        </is>
      </c>
      <c r="D208" t="inlineStr">
        <is>
          <t>TÔN_CUỘN_MẠ_KẼM</t>
        </is>
      </c>
      <c r="E208" t="inlineStr">
        <is>
          <t>MAT-STEEL-PN-0.75</t>
        </is>
      </c>
      <c r="F208" t="inlineStr">
        <is>
          <t>kg</t>
        </is>
      </c>
      <c r="G208" s="394" t="n">
        <v>6.676425</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Định mức tôn cho 1m² ống: phôi x1.08, hao hụt x1.05</t>
        </is>
      </c>
    </row>
    <row r="209">
      <c r="A209" t="inlineStr">
        <is>
          <t>SW-DUCT-351-BODY</t>
        </is>
      </c>
      <c r="B209" t="inlineStr">
        <is>
          <t>SW-DUCT-351</t>
        </is>
      </c>
      <c r="C209" t="inlineStr">
        <is>
          <t>Tôn mạ kẽm PN (0.58mm) - Định mức m²</t>
        </is>
      </c>
      <c r="D209" t="inlineStr">
        <is>
          <t>TÔN_CUỘN_MẠ_KẼM</t>
        </is>
      </c>
      <c r="E209" t="inlineStr">
        <is>
          <t>MAT-STEEL-PN-0.58</t>
        </is>
      </c>
      <c r="F209" t="inlineStr">
        <is>
          <t>kg</t>
        </is>
      </c>
      <c r="G209" s="394" t="n">
        <v>5.163101999999999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Định mức tôn cho 1m² ống: phôi x1.08, hao hụt x1.05</t>
        </is>
      </c>
    </row>
    <row r="210">
      <c r="A210" t="inlineStr">
        <is>
          <t>SW-FLEX-352-TM</t>
        </is>
      </c>
      <c r="B210" t="inlineStr">
        <is>
          <t>SW-FLEX-352</t>
        </is>
      </c>
      <c r="C210" t="inlineStr">
        <is>
          <t>Hệ thống ống thông gió hút gió thải Ống gió mềm D100 không cách nhiệt</t>
        </is>
      </c>
      <c r="D210" t="inlineStr">
        <is>
          <t>ONG_MEM</t>
        </is>
      </c>
      <c r="E210" t="inlineStr">
        <is>
          <t>FLEX_DUCT_D100_INSULATED</t>
        </is>
      </c>
      <c r="F210" t="inlineStr">
        <is>
          <t>m</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Hàng thương mại mua ngoài</t>
        </is>
      </c>
    </row>
    <row r="211">
      <c r="A211" t="inlineStr">
        <is>
          <t>SW-FLEX-353-TM</t>
        </is>
      </c>
      <c r="B211" t="inlineStr">
        <is>
          <t>SW-FLEX-353</t>
        </is>
      </c>
      <c r="C211" t="inlineStr">
        <is>
          <t>Hệ thống ống thông gió hút gió thải Ống gió mềm D150 không cách nhiệt</t>
        </is>
      </c>
      <c r="D211" t="inlineStr">
        <is>
          <t>ONG_MEM</t>
        </is>
      </c>
      <c r="E211" t="inlineStr">
        <is>
          <t>FLEX_DUCT_D150_INSULATED</t>
        </is>
      </c>
      <c r="F211" t="inlineStr">
        <is>
          <t>m</t>
        </is>
      </c>
      <c r="G211" s="394" t="n">
        <v>1</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Hàng thương mại mua ngoài</t>
        </is>
      </c>
    </row>
    <row r="212">
      <c r="A212" t="inlineStr">
        <is>
          <t>SW-TRD-354-TM</t>
        </is>
      </c>
      <c r="B212" t="inlineStr">
        <is>
          <t>SW-TRD-354</t>
        </is>
      </c>
      <c r="C212" t="inlineStr">
        <is>
          <t>Ống gió mềm D200 không cách nhiệt Vật tư phụ, phụ kiện</t>
        </is>
      </c>
      <c r="D212" t="inlineStr">
        <is>
          <t>THUONG_MAI</t>
        </is>
      </c>
      <c r="E212" t="inlineStr">
        <is>
          <t>MAT-THUONG_MAI-ONG_GIO_MEM_D200_KHONG_CACH_NH_5D81</t>
        </is>
      </c>
      <c r="F212" t="inlineStr">
        <is>
          <t>Lô</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Hàng thương mại mua ngoài</t>
        </is>
      </c>
    </row>
    <row r="213">
      <c r="A213" t="inlineStr">
        <is>
          <t>SW-DUCT-355-BODY</t>
        </is>
      </c>
      <c r="B213" t="inlineStr">
        <is>
          <t>SW-DUCT-355</t>
        </is>
      </c>
      <c r="C213" t="inlineStr">
        <is>
          <t>Tôn mạ kẽm PN (0.58mm) - Định mức m²</t>
        </is>
      </c>
      <c r="D213" t="inlineStr">
        <is>
          <t>TÔN_CUỘN_MẠ_KẼM</t>
        </is>
      </c>
      <c r="E213" t="inlineStr">
        <is>
          <t>MAT-STEEL-PN-0.58</t>
        </is>
      </c>
      <c r="F213" t="inlineStr">
        <is>
          <t>kg</t>
        </is>
      </c>
      <c r="G213" s="394" t="n">
        <v>5.163101999999999</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Định mức tôn cho 1m² ống: phôi x1.08, hao hụt x1.05</t>
        </is>
      </c>
    </row>
    <row r="214">
      <c r="A214" t="inlineStr">
        <is>
          <t>SW-DUCT-356-BODY</t>
        </is>
      </c>
      <c r="B214" t="inlineStr">
        <is>
          <t>SW-DUCT-356</t>
        </is>
      </c>
      <c r="C214" t="inlineStr">
        <is>
          <t>Tôn mạ kẽm PN (0.75mm) - Định mức m²</t>
        </is>
      </c>
      <c r="D214" t="inlineStr">
        <is>
          <t>TÔN_CUỘN_MẠ_KẼM</t>
        </is>
      </c>
      <c r="E214" t="inlineStr">
        <is>
          <t>MAT-STEEL-PN-0.75</t>
        </is>
      </c>
      <c r="F214" t="inlineStr">
        <is>
          <t>kg</t>
        </is>
      </c>
      <c r="G214" s="394" t="n">
        <v>6.676425</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Định mức tôn cho 1m² ống: phôi x1.08, hao hụt x1.05</t>
        </is>
      </c>
    </row>
    <row r="215">
      <c r="A215" t="inlineStr">
        <is>
          <t>SW-DUCT-357-BODY</t>
        </is>
      </c>
      <c r="B215" t="inlineStr">
        <is>
          <t>SW-DUCT-357</t>
        </is>
      </c>
      <c r="C215" t="inlineStr">
        <is>
          <t>Tôn mạ kẽm PN (0.95mm) - Định mức m²</t>
        </is>
      </c>
      <c r="D215" t="inlineStr">
        <is>
          <t>TÔN_CUỘN_MẠ_KẼM</t>
        </is>
      </c>
      <c r="E215" t="inlineStr">
        <is>
          <t>MAT-STEEL-PN-0.95</t>
        </is>
      </c>
      <c r="F215" t="inlineStr">
        <is>
          <t>kg</t>
        </is>
      </c>
      <c r="G215" s="394" t="n">
        <v>8.456805000000001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Định mức tôn cho 1m² ống: phôi x1.08, hao hụt x1.05</t>
        </is>
      </c>
    </row>
    <row r="216">
      <c r="A216" t="inlineStr">
        <is>
          <t>SW-DUCT-358-BODY</t>
        </is>
      </c>
      <c r="B216" t="inlineStr">
        <is>
          <t>SW-DUCT-358</t>
        </is>
      </c>
      <c r="C216" t="inlineStr">
        <is>
          <t>Tôn mạ kẽm PN (0.75mm) - Định mức m²</t>
        </is>
      </c>
      <c r="D216" t="inlineStr">
        <is>
          <t>TÔN_CUỘN_MẠ_KẼM</t>
        </is>
      </c>
      <c r="E216" t="inlineStr">
        <is>
          <t>MAT-STEEL-PN-0.75</t>
        </is>
      </c>
      <c r="F216" t="inlineStr">
        <is>
          <t>kg</t>
        </is>
      </c>
      <c r="G216" s="394" t="n">
        <v>6.676425</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Định mức tôn cho 1m² ống: phôi x1.08, hao hụt x1.05</t>
        </is>
      </c>
    </row>
    <row r="217">
      <c r="A217" t="inlineStr">
        <is>
          <t>SW-TRD-359-TM</t>
        </is>
      </c>
      <c r="B217" t="inlineStr">
        <is>
          <t>SW-TRD-359</t>
        </is>
      </c>
      <c r="C217" t="inlineStr">
        <is>
          <t>Hệ thống ống thông gió hút bếp Vật tư phụ, phụ kiện</t>
        </is>
      </c>
      <c r="D217" t="inlineStr">
        <is>
          <t>THUONG_MAI</t>
        </is>
      </c>
      <c r="E217" t="inlineStr">
        <is>
          <t>MAT-THUONG_MAI-HE_THONG_ONG_THONG_GIO_HUT_BEP_1F4C</t>
        </is>
      </c>
      <c r="F217" t="inlineStr">
        <is>
          <t>Lô</t>
        </is>
      </c>
      <c r="G217" s="394" t="n">
        <v>1</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Hàng thương mại mua ngoài</t>
        </is>
      </c>
    </row>
    <row r="218">
      <c r="A218" t="inlineStr">
        <is>
          <t>SW-TRD-360-TM</t>
        </is>
      </c>
      <c r="B218" t="inlineStr">
        <is>
          <t>SW-TRD-360</t>
        </is>
      </c>
      <c r="C218" t="inlineStr">
        <is>
          <t>Phần chung Cảm biến chất lượng không khí (CO)</t>
        </is>
      </c>
      <c r="D218" t="inlineStr">
        <is>
          <t>THUONG_MAI</t>
        </is>
      </c>
      <c r="E218" t="inlineStr">
        <is>
          <t>MAT-THUONG_MAI-PHAN_CHUNG_CAM_BIEN_CHAT_LUONG_4BB4</t>
        </is>
      </c>
      <c r="F218" t="inlineStr">
        <is>
          <t>Cái</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Hàng thương mại mua ngoài</t>
        </is>
      </c>
    </row>
    <row r="219">
      <c r="A219" t="inlineStr">
        <is>
          <t>SW-TRD-361-TM</t>
        </is>
      </c>
      <c r="B219" t="inlineStr">
        <is>
          <t>SW-TRD-361</t>
        </is>
      </c>
      <c r="C219" t="inlineStr">
        <is>
          <t>Phần chung Cảm biến chênh áp</t>
        </is>
      </c>
      <c r="D219" t="inlineStr">
        <is>
          <t>THUONG_MAI</t>
        </is>
      </c>
      <c r="E219" t="inlineStr">
        <is>
          <t>MAT-THUONG_MAI-PHAN_CHUNG_CAM_BIEN_CHENH_AP</t>
        </is>
      </c>
      <c r="F219" t="inlineStr">
        <is>
          <t>Cái</t>
        </is>
      </c>
      <c r="G219" s="394" t="n">
        <v>1</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Hàng thương mại mua ngoài</t>
        </is>
      </c>
    </row>
    <row r="220">
      <c r="A220" t="inlineStr">
        <is>
          <t>SW-TRD-362-TM</t>
        </is>
      </c>
      <c r="B220" t="inlineStr">
        <is>
          <t>SW-TRD-362</t>
        </is>
      </c>
      <c r="C220" t="inlineStr">
        <is>
          <t>Phần chung Cảm biến khói</t>
        </is>
      </c>
      <c r="D220" t="inlineStr">
        <is>
          <t>THUONG_MAI</t>
        </is>
      </c>
      <c r="E220" t="inlineStr">
        <is>
          <t>MAT-THUONG_MAI-PHAN_CHUNG_CAM_BIEN_KHOI</t>
        </is>
      </c>
      <c r="F220" t="inlineStr">
        <is>
          <t>Cái</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Hàng thương mại mua ngoài</t>
        </is>
      </c>
    </row>
    <row r="221">
      <c r="A221" t="inlineStr">
        <is>
          <t>SW-TRD-363-TM</t>
        </is>
      </c>
      <c r="B221" t="inlineStr">
        <is>
          <t>SW-TRD-363</t>
        </is>
      </c>
      <c r="C221" t="inlineStr">
        <is>
          <t>Phần chung Cảm biến nhiệt</t>
        </is>
      </c>
      <c r="D221" t="inlineStr">
        <is>
          <t>THUONG_MAI</t>
        </is>
      </c>
      <c r="E221" t="inlineStr">
        <is>
          <t>MAT-THUONG_MAI-PHAN_CHUNG_CAM_BIEN_NHIET</t>
        </is>
      </c>
      <c r="F221" t="inlineStr">
        <is>
          <t>Cái</t>
        </is>
      </c>
      <c r="G221" s="394" t="n">
        <v>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Hàng thương mại mua ngoài</t>
        </is>
      </c>
    </row>
    <row r="222">
      <c r="A222" t="inlineStr">
        <is>
          <t>SW-TRD-364-TM</t>
        </is>
      </c>
      <c r="B222" t="inlineStr">
        <is>
          <t>SW-TRD-364</t>
        </is>
      </c>
      <c r="C222" t="inlineStr">
        <is>
          <t>Phần chung Vật tư phụ, phụ kiện</t>
        </is>
      </c>
      <c r="D222" t="inlineStr">
        <is>
          <t>THUONG_MAI</t>
        </is>
      </c>
      <c r="E222" t="inlineStr">
        <is>
          <t>MAT-THUONG_MAI-PHAN_CHUNG_VAT_TU_PHU_PHU_KIEN</t>
        </is>
      </c>
      <c r="F222" t="inlineStr">
        <is>
          <t>Lô</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Hàng thương mại mua ngoài</t>
        </is>
      </c>
    </row>
    <row r="223">
      <c r="A223" t="inlineStr">
        <is>
          <t>SW-TRD-365-TM</t>
        </is>
      </c>
      <c r="B223" t="inlineStr">
        <is>
          <t>SW-TRD-365</t>
        </is>
      </c>
      <c r="C223" t="inlineStr">
        <is>
          <t>DÀN NÓNG ODU-A1.1-CR 14kW</t>
        </is>
      </c>
      <c r="D223" t="inlineStr">
        <is>
          <t>THUONG_MAI</t>
        </is>
      </c>
      <c r="E223" t="inlineStr">
        <is>
          <t>MAT-THUONG_MAI-DAN_NONG_ODU_A1_1_CR_14KW</t>
        </is>
      </c>
      <c r="F223" t="inlineStr">
        <is>
          <t>Bộ</t>
        </is>
      </c>
      <c r="G223" s="394" t="n">
        <v>1</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Hàng thương mại mua ngoài</t>
        </is>
      </c>
    </row>
    <row r="224">
      <c r="A224" t="inlineStr">
        <is>
          <t>SW-TRD-366-TM</t>
        </is>
      </c>
      <c r="B224" t="inlineStr">
        <is>
          <t>SW-TRD-366</t>
        </is>
      </c>
      <c r="C224" t="inlineStr">
        <is>
          <t>DÀN NÓNG ODU-A1.1-0101 33.5kW</t>
        </is>
      </c>
      <c r="D224" t="inlineStr">
        <is>
          <t>THUONG_MAI</t>
        </is>
      </c>
      <c r="E224" t="inlineStr">
        <is>
          <t>MAT-THUONG_MAI-DAN_NONG_ODU_A1_1_0101_33_5KW</t>
        </is>
      </c>
      <c r="F224" t="inlineStr">
        <is>
          <t>Bộ</t>
        </is>
      </c>
      <c r="G224" s="394" t="n">
        <v>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Hàng thương mại mua ngoài</t>
        </is>
      </c>
    </row>
    <row r="225">
      <c r="A225" t="inlineStr">
        <is>
          <t>SW-TRD-367-TM</t>
        </is>
      </c>
      <c r="B225" t="inlineStr">
        <is>
          <t>SW-TRD-367</t>
        </is>
      </c>
      <c r="C225" t="inlineStr">
        <is>
          <t>DÀN NÓNG ODU-A1.1-0102 22.4kW</t>
        </is>
      </c>
      <c r="D225" t="inlineStr">
        <is>
          <t>THUONG_MAI</t>
        </is>
      </c>
      <c r="E225" t="inlineStr">
        <is>
          <t>MAT-THUONG_MAI-DAN_NONG_ODU_A1_1_0102_22_4KW</t>
        </is>
      </c>
      <c r="F225" t="inlineStr">
        <is>
          <t>Bộ</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Hàng thương mại mua ngoài</t>
        </is>
      </c>
    </row>
    <row r="226">
      <c r="A226" t="inlineStr">
        <is>
          <t>SW-TRD-368-TM</t>
        </is>
      </c>
      <c r="B226" t="inlineStr">
        <is>
          <t>SW-TRD-368</t>
        </is>
      </c>
      <c r="C226" t="inlineStr">
        <is>
          <t>DÀN NÓNG ODU-A1.1-0103 50kW</t>
        </is>
      </c>
      <c r="D226" t="inlineStr">
        <is>
          <t>THUONG_MAI</t>
        </is>
      </c>
      <c r="E226" t="inlineStr">
        <is>
          <t>MAT-THUONG_MAI-DAN_NONG_ODU_A1_1_0103_50KW</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Hàng thương mại mua ngoài</t>
        </is>
      </c>
    </row>
    <row r="227">
      <c r="A227" t="inlineStr">
        <is>
          <t>SW-TRD-369-TM</t>
        </is>
      </c>
      <c r="B227" t="inlineStr">
        <is>
          <t>SW-TRD-369</t>
        </is>
      </c>
      <c r="C227" t="inlineStr">
        <is>
          <t>DÀN NÓNG ODU-A1.1-0201 33.5kW</t>
        </is>
      </c>
      <c r="D227" t="inlineStr">
        <is>
          <t>THUONG_MAI</t>
        </is>
      </c>
      <c r="E227" t="inlineStr">
        <is>
          <t>MAT-THUONG_MAI-DAN_NONG_ODU_A1_1_0201_33_5KW</t>
        </is>
      </c>
      <c r="F227" t="inlineStr">
        <is>
          <t>Bộ</t>
        </is>
      </c>
      <c r="G227" s="394" t="n">
        <v>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Hàng thương mại mua ngoài</t>
        </is>
      </c>
    </row>
    <row r="228">
      <c r="A228" t="inlineStr">
        <is>
          <t>SW-TRD-370-TM</t>
        </is>
      </c>
      <c r="B228" t="inlineStr">
        <is>
          <t>SW-TRD-370</t>
        </is>
      </c>
      <c r="C228" t="inlineStr">
        <is>
          <t>DÀN NÓNG ODU-A1.1-0202 28kW</t>
        </is>
      </c>
      <c r="D228" t="inlineStr">
        <is>
          <t>THUONG_MAI</t>
        </is>
      </c>
      <c r="E228" t="inlineStr">
        <is>
          <t>MAT-THUONG_MAI-DAN_NONG_ODU_A1_1_0202_28KW</t>
        </is>
      </c>
      <c r="F228" t="inlineStr">
        <is>
          <t>Bộ</t>
        </is>
      </c>
      <c r="G228" s="394" t="n">
        <v>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Hàng thương mại mua ngoài</t>
        </is>
      </c>
    </row>
    <row r="229">
      <c r="A229" t="inlineStr">
        <is>
          <t>SW-TRD-371-TM</t>
        </is>
      </c>
      <c r="B229" t="inlineStr">
        <is>
          <t>SW-TRD-371</t>
        </is>
      </c>
      <c r="C229" t="inlineStr">
        <is>
          <t>DÀN NÓNG ODU-A1.1-0203 28kW</t>
        </is>
      </c>
      <c r="D229" t="inlineStr">
        <is>
          <t>THUONG_MAI</t>
        </is>
      </c>
      <c r="E229" t="inlineStr">
        <is>
          <t>MAT-THUONG_MAI-DAN_NONG_ODU_A1_1_0203_28KW</t>
        </is>
      </c>
      <c r="F229" t="inlineStr">
        <is>
          <t>Bộ</t>
        </is>
      </c>
      <c r="G229" s="394" t="n">
        <v>1</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Hàng thương mại mua ngoài</t>
        </is>
      </c>
    </row>
    <row r="230">
      <c r="A230" t="inlineStr">
        <is>
          <t>SW-TRD-372-TM</t>
        </is>
      </c>
      <c r="B230" t="inlineStr">
        <is>
          <t>SW-TRD-372</t>
        </is>
      </c>
      <c r="C230" t="inlineStr">
        <is>
          <t>DÀN NÓNG ODU-A1.1-0205A 22.4kW</t>
        </is>
      </c>
      <c r="D230" t="inlineStr">
        <is>
          <t>THUONG_MAI</t>
        </is>
      </c>
      <c r="E230" t="inlineStr">
        <is>
          <t>MAT-THUONG_MAI-DAN_NONG_ODU_A1_1_0205A_22_4KW</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Hàng thương mại mua ngoài</t>
        </is>
      </c>
    </row>
    <row r="231">
      <c r="A231" t="inlineStr">
        <is>
          <t>SW-TRD-373-TM</t>
        </is>
      </c>
      <c r="B231" t="inlineStr">
        <is>
          <t>SW-TRD-373</t>
        </is>
      </c>
      <c r="C231" t="inlineStr">
        <is>
          <t>DÀN NÓNG ODU-A1.2-0105A2 28kW</t>
        </is>
      </c>
      <c r="D231" t="inlineStr">
        <is>
          <t>THUONG_MAI</t>
        </is>
      </c>
      <c r="E231" t="inlineStr">
        <is>
          <t>MAT-THUONG_MAI-DAN_NONG_ODU_A1_2_0105A2_28KW</t>
        </is>
      </c>
      <c r="F231" t="inlineStr">
        <is>
          <t>Bộ</t>
        </is>
      </c>
      <c r="G231" s="394" t="n">
        <v>1</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Hàng thương mại mua ngoài</t>
        </is>
      </c>
    </row>
    <row r="232">
      <c r="A232" t="inlineStr">
        <is>
          <t>SW-TRD-374-TM</t>
        </is>
      </c>
      <c r="B232" t="inlineStr">
        <is>
          <t>SW-TRD-374</t>
        </is>
      </c>
      <c r="C232" t="inlineStr">
        <is>
          <t>DÀN NÓNG ODU-A1.2-0105 50kW</t>
        </is>
      </c>
      <c r="D232" t="inlineStr">
        <is>
          <t>THUONG_MAI</t>
        </is>
      </c>
      <c r="E232" t="inlineStr">
        <is>
          <t>MAT-THUONG_MAI-DAN_NONG_ODU_A1_2_0105_50KW</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Hàng thương mại mua ngoài</t>
        </is>
      </c>
    </row>
    <row r="233">
      <c r="A233" t="inlineStr">
        <is>
          <t>SW-TRD-375-TM</t>
        </is>
      </c>
      <c r="B233" t="inlineStr">
        <is>
          <t>SW-TRD-375</t>
        </is>
      </c>
      <c r="C233" t="inlineStr">
        <is>
          <t>DÀN NÓNG ODU-A1.1-0206 14kW</t>
        </is>
      </c>
      <c r="D233" t="inlineStr">
        <is>
          <t>THUONG_MAI</t>
        </is>
      </c>
      <c r="E233" t="inlineStr">
        <is>
          <t>MAT-THUONG_MAI-DAN_NONG_ODU_A1_1_0206_14KW</t>
        </is>
      </c>
      <c r="F233" t="inlineStr">
        <is>
          <t>Bộ</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Hàng thương mại mua ngoài</t>
        </is>
      </c>
    </row>
    <row r="234">
      <c r="A234" t="inlineStr">
        <is>
          <t>SW-TRD-376-TM</t>
        </is>
      </c>
      <c r="B234" t="inlineStr">
        <is>
          <t>SW-TRD-376</t>
        </is>
      </c>
      <c r="C234" t="inlineStr">
        <is>
          <t>DÀN NÓNG ODU-A1.1-0208A 11.2kW</t>
        </is>
      </c>
      <c r="D234" t="inlineStr">
        <is>
          <t>THUONG_MAI</t>
        </is>
      </c>
      <c r="E234" t="inlineStr">
        <is>
          <t>MAT-THUONG_MAI-DAN_NONG_ODU_A1_1_0208A_11_2KW</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Hàng thương mại mua ngoài</t>
        </is>
      </c>
    </row>
    <row r="235">
      <c r="A235" t="inlineStr">
        <is>
          <t>SW-TRD-377-TM</t>
        </is>
      </c>
      <c r="B235" t="inlineStr">
        <is>
          <t>SW-TRD-377</t>
        </is>
      </c>
      <c r="C235" t="inlineStr">
        <is>
          <t>DÀN NÓNG ODU-A1.1-0208 11.2kW</t>
        </is>
      </c>
      <c r="D235" t="inlineStr">
        <is>
          <t>THUONG_MAI</t>
        </is>
      </c>
      <c r="E235" t="inlineStr">
        <is>
          <t>MAT-THUONG_MAI-DAN_NONG_ODU_A1_1_0208_11_2KW</t>
        </is>
      </c>
      <c r="F235" t="inlineStr">
        <is>
          <t>Bộ</t>
        </is>
      </c>
      <c r="G235" s="394" t="n">
        <v>1</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Hàng thương mại mua ngoài</t>
        </is>
      </c>
    </row>
    <row r="236">
      <c r="A236" t="inlineStr">
        <is>
          <t>SW-TRD-378-TM</t>
        </is>
      </c>
      <c r="B236" t="inlineStr">
        <is>
          <t>SW-TRD-378</t>
        </is>
      </c>
      <c r="C236" t="inlineStr">
        <is>
          <t>DÀN NÓNG ODU-A1.1-0209 16kW</t>
        </is>
      </c>
      <c r="D236" t="inlineStr">
        <is>
          <t>THUONG_MAI</t>
        </is>
      </c>
      <c r="E236" t="inlineStr">
        <is>
          <t>MAT-THUONG_MAI-DAN_NONG_ODU_A1_1_0209_16KW</t>
        </is>
      </c>
      <c r="F236" t="inlineStr">
        <is>
          <t>Bộ</t>
        </is>
      </c>
      <c r="G236" s="394" t="n">
        <v>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Hàng thương mại mua ngoài</t>
        </is>
      </c>
    </row>
    <row r="237">
      <c r="A237" t="inlineStr">
        <is>
          <t>SW-TRD-379-TM</t>
        </is>
      </c>
      <c r="B237" t="inlineStr">
        <is>
          <t>SW-TRD-379</t>
        </is>
      </c>
      <c r="C237" t="inlineStr">
        <is>
          <t>DÀN NÓNG ODU-A1.2-CR 16kW</t>
        </is>
      </c>
      <c r="D237" t="inlineStr">
        <is>
          <t>THUONG_MAI</t>
        </is>
      </c>
      <c r="E237" t="inlineStr">
        <is>
          <t>MAT-THUONG_MAI-DAN_NONG_ODU_A1_2_CR_16KW</t>
        </is>
      </c>
      <c r="F237" t="inlineStr">
        <is>
          <t>Bộ</t>
        </is>
      </c>
      <c r="G237" s="394" t="n">
        <v>1</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Hàng thương mại mua ngoài</t>
        </is>
      </c>
    </row>
    <row r="238">
      <c r="A238" t="inlineStr">
        <is>
          <t>SW-TRD-380-TM</t>
        </is>
      </c>
      <c r="B238" t="inlineStr">
        <is>
          <t>SW-TRD-380</t>
        </is>
      </c>
      <c r="C238" t="inlineStr">
        <is>
          <t>DÀN NÓNG ODU-A1.2-0101 33.5kW</t>
        </is>
      </c>
      <c r="D238" t="inlineStr">
        <is>
          <t>THUONG_MAI</t>
        </is>
      </c>
      <c r="E238" t="inlineStr">
        <is>
          <t>MAT-THUONG_MAI-DAN_NONG_ODU_A1_2_0101_33_5KW</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Hàng thương mại mua ngoài</t>
        </is>
      </c>
    </row>
    <row r="239">
      <c r="A239" t="inlineStr">
        <is>
          <t>SW-TRD-381-TM</t>
        </is>
      </c>
      <c r="B239" t="inlineStr">
        <is>
          <t>SW-TRD-381</t>
        </is>
      </c>
      <c r="C239" t="inlineStr">
        <is>
          <t>DÀN NÓNG ODU-A1.2-0102 33.5kW</t>
        </is>
      </c>
      <c r="D239" t="inlineStr">
        <is>
          <t>THUONG_MAI</t>
        </is>
      </c>
      <c r="E239" t="inlineStr">
        <is>
          <t>MAT-THUONG_MAI-DAN_NONG_ODU_A1_2_0102_33_5KW</t>
        </is>
      </c>
      <c r="F239" t="inlineStr">
        <is>
          <t>Bộ</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Hàng thương mại mua ngoài</t>
        </is>
      </c>
    </row>
    <row r="240">
      <c r="A240" t="inlineStr">
        <is>
          <t>SW-TRD-382-TM</t>
        </is>
      </c>
      <c r="B240" t="inlineStr">
        <is>
          <t>SW-TRD-382</t>
        </is>
      </c>
      <c r="C240" t="inlineStr">
        <is>
          <t>DÀN NÓNG ODU-A1.2-0103 33.5kW</t>
        </is>
      </c>
      <c r="D240" t="inlineStr">
        <is>
          <t>THUONG_MAI</t>
        </is>
      </c>
      <c r="E240" t="inlineStr">
        <is>
          <t>MAT-THUONG_MAI-DAN_NONG_ODU_A1_2_0103_33_5KW</t>
        </is>
      </c>
      <c r="F240" t="inlineStr">
        <is>
          <t>Bộ</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Hàng thương mại mua ngoài</t>
        </is>
      </c>
    </row>
    <row r="241">
      <c r="A241" t="inlineStr">
        <is>
          <t>SW-TRD-383-TM</t>
        </is>
      </c>
      <c r="B241" t="inlineStr">
        <is>
          <t>SW-TRD-383</t>
        </is>
      </c>
      <c r="C241" t="inlineStr">
        <is>
          <t>DÀN NÓNG ODU-A1.2-0105A2 28kW</t>
        </is>
      </c>
      <c r="D241" t="inlineStr">
        <is>
          <t>THUONG_MAI</t>
        </is>
      </c>
      <c r="E241" t="inlineStr">
        <is>
          <t>MAT-THUONG_MAI-DAN_NONG_ODU_A1_2_0105A2_28KW</t>
        </is>
      </c>
      <c r="F241" t="inlineStr">
        <is>
          <t>Bộ</t>
        </is>
      </c>
      <c r="G241" s="394" t="n">
        <v>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Hàng thương mại mua ngoài</t>
        </is>
      </c>
    </row>
    <row r="242">
      <c r="A242" t="inlineStr">
        <is>
          <t>SW-TRD-384-TM</t>
        </is>
      </c>
      <c r="B242" t="inlineStr">
        <is>
          <t>SW-TRD-384</t>
        </is>
      </c>
      <c r="C242" t="inlineStr">
        <is>
          <t>DÀN NÓNG ODU-A1.2-0105 50kW</t>
        </is>
      </c>
      <c r="D242" t="inlineStr">
        <is>
          <t>THUONG_MAI</t>
        </is>
      </c>
      <c r="E242" t="inlineStr">
        <is>
          <t>MAT-THUONG_MAI-DAN_NONG_ODU_A1_2_0105_50KW</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Hàng thương mại mua ngoài</t>
        </is>
      </c>
    </row>
    <row r="243">
      <c r="A243" t="inlineStr">
        <is>
          <t>SW-TRD-385-TM</t>
        </is>
      </c>
      <c r="B243" t="inlineStr">
        <is>
          <t>SW-TRD-385</t>
        </is>
      </c>
      <c r="C243" t="inlineStr">
        <is>
          <t>DÀN NÓNG ODU-A1.2-0106 28kW</t>
        </is>
      </c>
      <c r="D243" t="inlineStr">
        <is>
          <t>THUONG_MAI</t>
        </is>
      </c>
      <c r="E243" t="inlineStr">
        <is>
          <t>MAT-THUONG_MAI-DAN_NONG_ODU_A1_2_0106_28KW</t>
        </is>
      </c>
      <c r="F243" t="inlineStr">
        <is>
          <t>Bộ</t>
        </is>
      </c>
      <c r="G243" s="394" t="n">
        <v>1</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Hàng thương mại mua ngoài</t>
        </is>
      </c>
    </row>
    <row r="244">
      <c r="A244" t="inlineStr">
        <is>
          <t>SW-TRD-386-TM</t>
        </is>
      </c>
      <c r="B244" t="inlineStr">
        <is>
          <t>SW-TRD-386</t>
        </is>
      </c>
      <c r="C244" t="inlineStr">
        <is>
          <t>DÀN NÓNG ODU-A1.2-0108A 22.4kW</t>
        </is>
      </c>
      <c r="D244" t="inlineStr">
        <is>
          <t>THUONG_MAI</t>
        </is>
      </c>
      <c r="E244" t="inlineStr">
        <is>
          <t>MAT-THUONG_MAI-DAN_NONG_ODU_A1_2_0108A_22_4KW</t>
        </is>
      </c>
      <c r="F244" t="inlineStr">
        <is>
          <t>Bộ</t>
        </is>
      </c>
      <c r="G244" s="394" t="n">
        <v>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Hàng thương mại mua ngoài</t>
        </is>
      </c>
    </row>
    <row r="245">
      <c r="A245" t="inlineStr">
        <is>
          <t>SW-TRD-387-TM</t>
        </is>
      </c>
      <c r="B245" t="inlineStr">
        <is>
          <t>SW-TRD-387</t>
        </is>
      </c>
      <c r="C245" t="inlineStr">
        <is>
          <t>DÀN NÓNG ODU-A1.2-0201 28kW</t>
        </is>
      </c>
      <c r="D245" t="inlineStr">
        <is>
          <t>THUONG_MAI</t>
        </is>
      </c>
      <c r="E245" t="inlineStr">
        <is>
          <t>MAT-THUONG_MAI-DAN_NONG_ODU_A1_2_0201_28KW</t>
        </is>
      </c>
      <c r="F245" t="inlineStr">
        <is>
          <t>Bộ</t>
        </is>
      </c>
      <c r="G245" s="394" t="n">
        <v>1</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Hàng thương mại mua ngoài</t>
        </is>
      </c>
    </row>
    <row r="246">
      <c r="A246" t="inlineStr">
        <is>
          <t>SW-TRD-388-TM</t>
        </is>
      </c>
      <c r="B246" t="inlineStr">
        <is>
          <t>SW-TRD-388</t>
        </is>
      </c>
      <c r="C246" t="inlineStr">
        <is>
          <t>DÀN NÓNG ODU-A1.2-0202 33.5kW</t>
        </is>
      </c>
      <c r="D246" t="inlineStr">
        <is>
          <t>THUONG_MAI</t>
        </is>
      </c>
      <c r="E246" t="inlineStr">
        <is>
          <t>MAT-THUONG_MAI-DAN_NONG_ODU_A1_2_0202_33_5KW</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Hàng thương mại mua ngoài</t>
        </is>
      </c>
    </row>
    <row r="247">
      <c r="A247" t="inlineStr">
        <is>
          <t>SW-TRD-389-TM</t>
        </is>
      </c>
      <c r="B247" t="inlineStr">
        <is>
          <t>SW-TRD-389</t>
        </is>
      </c>
      <c r="C247" t="inlineStr">
        <is>
          <t>DÀN NÓNG ODU-A1.2-0203 33.5kW</t>
        </is>
      </c>
      <c r="D247" t="inlineStr">
        <is>
          <t>THUONG_MAI</t>
        </is>
      </c>
      <c r="E247" t="inlineStr">
        <is>
          <t>MAT-THUONG_MAI-DAN_NONG_ODU_A1_2_0203_33_5KW</t>
        </is>
      </c>
      <c r="F247" t="inlineStr">
        <is>
          <t>Bộ</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Hàng thương mại mua ngoài</t>
        </is>
      </c>
    </row>
    <row r="248">
      <c r="A248" t="inlineStr">
        <is>
          <t>SW-TRD-390-TM</t>
        </is>
      </c>
      <c r="B248" t="inlineStr">
        <is>
          <t>SW-TRD-390</t>
        </is>
      </c>
      <c r="C248" t="inlineStr">
        <is>
          <t>DÀN NÓNG ODU-A1.2-0205A 33.5kW</t>
        </is>
      </c>
      <c r="D248" t="inlineStr">
        <is>
          <t>THUONG_MAI</t>
        </is>
      </c>
      <c r="E248" t="inlineStr">
        <is>
          <t>MAT-THUONG_MAI-DAN_NONG_ODU_A1_2_0205A_33_5KW</t>
        </is>
      </c>
      <c r="F248" t="inlineStr">
        <is>
          <t>Bộ</t>
        </is>
      </c>
      <c r="G248" s="394" t="n">
        <v>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Hàng thương mại mua ngoài</t>
        </is>
      </c>
    </row>
    <row r="249">
      <c r="A249" t="inlineStr">
        <is>
          <t>SW-TRD-391-TM</t>
        </is>
      </c>
      <c r="B249" t="inlineStr">
        <is>
          <t>SW-TRD-391</t>
        </is>
      </c>
      <c r="C249" t="inlineStr">
        <is>
          <t>DÀN NÓNG ODU-A1.2-0205 28kW</t>
        </is>
      </c>
      <c r="D249" t="inlineStr">
        <is>
          <t>THUONG_MAI</t>
        </is>
      </c>
      <c r="E249" t="inlineStr">
        <is>
          <t>MAT-THUONG_MAI-DAN_NONG_ODU_A1_2_0205_28KW</t>
        </is>
      </c>
      <c r="F249" t="inlineStr">
        <is>
          <t>Bộ</t>
        </is>
      </c>
      <c r="G249" s="394" t="n">
        <v>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Hàng thương mại mua ngoài</t>
        </is>
      </c>
    </row>
    <row r="250">
      <c r="A250" t="inlineStr">
        <is>
          <t>SW-TRD-392-TM</t>
        </is>
      </c>
      <c r="B250" t="inlineStr">
        <is>
          <t>SW-TRD-392</t>
        </is>
      </c>
      <c r="C250" t="inlineStr">
        <is>
          <t>DÀN NÓNG ODU-A1.2-0206 20kW</t>
        </is>
      </c>
      <c r="D250" t="inlineStr">
        <is>
          <t>THUONG_MAI</t>
        </is>
      </c>
      <c r="E250" t="inlineStr">
        <is>
          <t>MAT-THUONG_MAI-DAN_NONG_ODU_A1_2_0206_20KW</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Hàng thương mại mua ngoài</t>
        </is>
      </c>
    </row>
    <row r="251">
      <c r="A251" t="inlineStr">
        <is>
          <t>SW-TRD-393-TM</t>
        </is>
      </c>
      <c r="B251" t="inlineStr">
        <is>
          <t>SW-TRD-393</t>
        </is>
      </c>
      <c r="C251" t="inlineStr">
        <is>
          <t>DÀN NÓNG ODU-A1.2-0208A 14kW</t>
        </is>
      </c>
      <c r="D251" t="inlineStr">
        <is>
          <t>THUONG_MAI</t>
        </is>
      </c>
      <c r="E251" t="inlineStr">
        <is>
          <t>MAT-THUONG_MAI-DAN_NONG_ODU_A1_2_0208A_14KW</t>
        </is>
      </c>
      <c r="F251" t="inlineStr">
        <is>
          <t>Bộ</t>
        </is>
      </c>
      <c r="G251" s="394" t="n">
        <v>1</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Hàng thương mại mua ngoài</t>
        </is>
      </c>
    </row>
    <row r="252">
      <c r="A252" t="inlineStr">
        <is>
          <t>SW-TRD-394-TM</t>
        </is>
      </c>
      <c r="B252" t="inlineStr">
        <is>
          <t>SW-TRD-394</t>
        </is>
      </c>
      <c r="C252" t="inlineStr">
        <is>
          <t>DÀN NÓNG ODU-A1.2-0208 14kW</t>
        </is>
      </c>
      <c r="D252" t="inlineStr">
        <is>
          <t>THUONG_MAI</t>
        </is>
      </c>
      <c r="E252" t="inlineStr">
        <is>
          <t>MAT-THUONG_MAI-DAN_NONG_ODU_A1_2_0208_14KW</t>
        </is>
      </c>
      <c r="F252" t="inlineStr">
        <is>
          <t>Bộ</t>
        </is>
      </c>
      <c r="G252" s="394" t="n">
        <v>1</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Hàng thương mại mua ngoài</t>
        </is>
      </c>
    </row>
    <row r="253">
      <c r="A253" t="inlineStr">
        <is>
          <t>SW-TRD-395-TM</t>
        </is>
      </c>
      <c r="B253" t="inlineStr">
        <is>
          <t>SW-TRD-395</t>
        </is>
      </c>
      <c r="C253" t="inlineStr">
        <is>
          <t>DÀN NÓNG ODU-A1.2-0209 14kW</t>
        </is>
      </c>
      <c r="D253" t="inlineStr">
        <is>
          <t>THUONG_MAI</t>
        </is>
      </c>
      <c r="E253" t="inlineStr">
        <is>
          <t>MAT-THUONG_MAI-DAN_NONG_ODU_A1_2_0209_14KW</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Hàng thương mại mua ngoài</t>
        </is>
      </c>
    </row>
    <row r="254">
      <c r="A254" t="inlineStr">
        <is>
          <t>SW-TRD-396-TM</t>
        </is>
      </c>
      <c r="B254" t="inlineStr">
        <is>
          <t>SW-TRD-396</t>
        </is>
      </c>
      <c r="C254" t="inlineStr">
        <is>
          <t>DÀN NÓNG ODU-A1.2-0210 11.2kW</t>
        </is>
      </c>
      <c r="D254" t="inlineStr">
        <is>
          <t>THUONG_MAI</t>
        </is>
      </c>
      <c r="E254" t="inlineStr">
        <is>
          <t>MAT-THUONG_MAI-DAN_NONG_ODU_A1_2_0210_11_2KW</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Hàng thương mại mua ngoài</t>
        </is>
      </c>
    </row>
    <row r="255">
      <c r="A255" t="inlineStr">
        <is>
          <t>SW-TRD-397-TM</t>
        </is>
      </c>
      <c r="B255" t="inlineStr">
        <is>
          <t>SW-TRD-397</t>
        </is>
      </c>
      <c r="C255" t="inlineStr">
        <is>
          <t>DÀN NÓNG ODU-A1.2-0211 14kW</t>
        </is>
      </c>
      <c r="D255" t="inlineStr">
        <is>
          <t>THUONG_MAI</t>
        </is>
      </c>
      <c r="E255" t="inlineStr">
        <is>
          <t>MAT-THUONG_MAI-DAN_NONG_ODU_A1_2_0211_14KW</t>
        </is>
      </c>
      <c r="F255" t="inlineStr">
        <is>
          <t>Bộ</t>
        </is>
      </c>
      <c r="G255" s="394" t="n">
        <v>1</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Hàng thương mại mua ngoài</t>
        </is>
      </c>
    </row>
    <row r="256">
      <c r="A256" t="inlineStr">
        <is>
          <t>SW-TRD-398-TM</t>
        </is>
      </c>
      <c r="B256" t="inlineStr">
        <is>
          <t>SW-TRD-398</t>
        </is>
      </c>
      <c r="C256" t="inlineStr">
        <is>
          <t>DÀN NÓNG ODU-A1.2-0212 16kW</t>
        </is>
      </c>
      <c r="D256" t="inlineStr">
        <is>
          <t>THUONG_MAI</t>
        </is>
      </c>
      <c r="E256" t="inlineStr">
        <is>
          <t>MAT-THUONG_MAI-DAN_NONG_ODU_A1_2_0212_16KW</t>
        </is>
      </c>
      <c r="F256" t="inlineStr">
        <is>
          <t>Bộ</t>
        </is>
      </c>
      <c r="G256" s="394" t="n">
        <v>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Hàng thương mại mua ngoài</t>
        </is>
      </c>
    </row>
    <row r="257">
      <c r="A257" t="inlineStr">
        <is>
          <t>SW-TRD-399-TM</t>
        </is>
      </c>
      <c r="B257" t="inlineStr">
        <is>
          <t>SW-TRD-399</t>
        </is>
      </c>
      <c r="C257" t="inlineStr">
        <is>
          <t>DÀN NÓNG ODU-A1.3-CR 16</t>
        </is>
      </c>
      <c r="D257" t="inlineStr">
        <is>
          <t>THUONG_MAI</t>
        </is>
      </c>
      <c r="E257" t="inlineStr">
        <is>
          <t>MAT-THUONG_MAI-DAN_NONG_ODU_A1_3_CR_16</t>
        </is>
      </c>
      <c r="F257" t="inlineStr">
        <is>
          <t>Bộ</t>
        </is>
      </c>
      <c r="G257" s="394" t="n">
        <v>1</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Hàng thương mại mua ngoài</t>
        </is>
      </c>
    </row>
    <row r="258">
      <c r="A258" t="inlineStr">
        <is>
          <t>SW-TRD-400-TM</t>
        </is>
      </c>
      <c r="B258" t="inlineStr">
        <is>
          <t>SW-TRD-400</t>
        </is>
      </c>
      <c r="C258" t="inlineStr">
        <is>
          <t>DÀN NÓNG ODU-A1.3-0101 56kW</t>
        </is>
      </c>
      <c r="D258" t="inlineStr">
        <is>
          <t>THUONG_MAI</t>
        </is>
      </c>
      <c r="E258" t="inlineStr">
        <is>
          <t>MAT-THUONG_MAI-DAN_NONG_ODU_A1_3_0101_56KW</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Hàng thương mại mua ngoài</t>
        </is>
      </c>
    </row>
    <row r="259">
      <c r="A259" t="inlineStr">
        <is>
          <t>SW-TRD-401-TM</t>
        </is>
      </c>
      <c r="B259" t="inlineStr">
        <is>
          <t>SW-TRD-401</t>
        </is>
      </c>
      <c r="C259" t="inlineStr">
        <is>
          <t>DÀN NÓNG ODU-A1.3-0102 50kW</t>
        </is>
      </c>
      <c r="D259" t="inlineStr">
        <is>
          <t>THUONG_MAI</t>
        </is>
      </c>
      <c r="E259" t="inlineStr">
        <is>
          <t>MAT-THUONG_MAI-DAN_NONG_ODU_A1_3_0102_50KW</t>
        </is>
      </c>
      <c r="F259" t="inlineStr">
        <is>
          <t>Bộ</t>
        </is>
      </c>
      <c r="G259" s="394" t="n">
        <v>1</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Hàng thương mại mua ngoài</t>
        </is>
      </c>
    </row>
    <row r="260">
      <c r="A260" t="inlineStr">
        <is>
          <t>SW-TRD-402-TM</t>
        </is>
      </c>
      <c r="B260" t="inlineStr">
        <is>
          <t>SW-TRD-402</t>
        </is>
      </c>
      <c r="C260" t="inlineStr">
        <is>
          <t>DÀN NÓNG ODU-A1.3-0103 33.5kW</t>
        </is>
      </c>
      <c r="D260" t="inlineStr">
        <is>
          <t>THUONG_MAI</t>
        </is>
      </c>
      <c r="E260" t="inlineStr">
        <is>
          <t>MAT-THUONG_MAI-DAN_NONG_ODU_A1_3_0103_33_5KW</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Hàng thương mại mua ngoài</t>
        </is>
      </c>
    </row>
    <row r="261">
      <c r="A261" t="inlineStr">
        <is>
          <t>SW-TRD-403-TM</t>
        </is>
      </c>
      <c r="B261" t="inlineStr">
        <is>
          <t>SW-TRD-403</t>
        </is>
      </c>
      <c r="C261" t="inlineStr">
        <is>
          <t>DÀN NÓNG ODU-A1.3-0105A 40kW</t>
        </is>
      </c>
      <c r="D261" t="inlineStr">
        <is>
          <t>THUONG_MAI</t>
        </is>
      </c>
      <c r="E261" t="inlineStr">
        <is>
          <t>MAT-THUONG_MAI-DAN_NONG_ODU_A1_3_0105A_40KW</t>
        </is>
      </c>
      <c r="F261" t="inlineStr">
        <is>
          <t>Bộ</t>
        </is>
      </c>
      <c r="G261" s="394" t="n">
        <v>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Hàng thương mại mua ngoài</t>
        </is>
      </c>
    </row>
    <row r="262">
      <c r="A262" t="inlineStr">
        <is>
          <t>SW-TRD-404-TM</t>
        </is>
      </c>
      <c r="B262" t="inlineStr">
        <is>
          <t>SW-TRD-404</t>
        </is>
      </c>
      <c r="C262" t="inlineStr">
        <is>
          <t>DÀN NÓNG ODU-A1.3-0105 45kW</t>
        </is>
      </c>
      <c r="D262" t="inlineStr">
        <is>
          <t>THUONG_MAI</t>
        </is>
      </c>
      <c r="E262" t="inlineStr">
        <is>
          <t>MAT-THUONG_MAI-DAN_NONG_ODU_A1_3_0105_45KW</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Hàng thương mại mua ngoài</t>
        </is>
      </c>
    </row>
    <row r="263">
      <c r="A263" t="inlineStr">
        <is>
          <t>SW-TRD-405-TM</t>
        </is>
      </c>
      <c r="B263" t="inlineStr">
        <is>
          <t>SW-TRD-405</t>
        </is>
      </c>
      <c r="C263" t="inlineStr">
        <is>
          <t>DÀN NÓNG ODU-A1.3-0201 50kW</t>
        </is>
      </c>
      <c r="D263" t="inlineStr">
        <is>
          <t>THUONG_MAI</t>
        </is>
      </c>
      <c r="E263" t="inlineStr">
        <is>
          <t>MAT-THUONG_MAI-DAN_NONG_ODU_A1_3_0201_50KW</t>
        </is>
      </c>
      <c r="F263" t="inlineStr">
        <is>
          <t>Bộ</t>
        </is>
      </c>
      <c r="G263" s="394" t="n">
        <v>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Hàng thương mại mua ngoài</t>
        </is>
      </c>
    </row>
    <row r="264">
      <c r="A264" t="inlineStr">
        <is>
          <t>SW-TRD-406-TM</t>
        </is>
      </c>
      <c r="B264" t="inlineStr">
        <is>
          <t>SW-TRD-406</t>
        </is>
      </c>
      <c r="C264" t="inlineStr">
        <is>
          <t>DÀN NÓNG ODU-A1.3-0202 33.5kW</t>
        </is>
      </c>
      <c r="D264" t="inlineStr">
        <is>
          <t>THUONG_MAI</t>
        </is>
      </c>
      <c r="E264" t="inlineStr">
        <is>
          <t>MAT-THUONG_MAI-DAN_NONG_ODU_A1_3_0202_33_5KW</t>
        </is>
      </c>
      <c r="F264" t="inlineStr">
        <is>
          <t>Bộ</t>
        </is>
      </c>
      <c r="G264" s="394" t="n">
        <v>1</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Hàng thương mại mua ngoài</t>
        </is>
      </c>
    </row>
    <row r="265">
      <c r="A265" t="inlineStr">
        <is>
          <t>SW-TRD-407-TM</t>
        </is>
      </c>
      <c r="B265" t="inlineStr">
        <is>
          <t>SW-TRD-407</t>
        </is>
      </c>
      <c r="C265" t="inlineStr">
        <is>
          <t>DÀN NÓNG ODU-A1.3-0203 50kW</t>
        </is>
      </c>
      <c r="D265" t="inlineStr">
        <is>
          <t>THUONG_MAI</t>
        </is>
      </c>
      <c r="E265" t="inlineStr">
        <is>
          <t>MAT-THUONG_MAI-DAN_NONG_ODU_A1_3_0203_50KW</t>
        </is>
      </c>
      <c r="F265" t="inlineStr">
        <is>
          <t>Bộ</t>
        </is>
      </c>
      <c r="G265" s="394" t="n">
        <v>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Hàng thương mại mua ngoài</t>
        </is>
      </c>
    </row>
    <row r="266">
      <c r="A266" t="inlineStr">
        <is>
          <t>SW-TRD-408-TM</t>
        </is>
      </c>
      <c r="B266" t="inlineStr">
        <is>
          <t>SW-TRD-408</t>
        </is>
      </c>
      <c r="C266" t="inlineStr">
        <is>
          <t>DÀN NÓNG ODU-A1.3-0205A 33.5kW</t>
        </is>
      </c>
      <c r="D266" t="inlineStr">
        <is>
          <t>THUONG_MAI</t>
        </is>
      </c>
      <c r="E266" t="inlineStr">
        <is>
          <t>MAT-THUONG_MAI-DAN_NONG_ODU_A1_3_0205A_33_5KW</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Hàng thương mại mua ngoài</t>
        </is>
      </c>
    </row>
    <row r="267">
      <c r="A267" t="inlineStr">
        <is>
          <t>SW-TRD-409-TM</t>
        </is>
      </c>
      <c r="B267" t="inlineStr">
        <is>
          <t>SW-TRD-409</t>
        </is>
      </c>
      <c r="C267" t="inlineStr">
        <is>
          <t>DÀN NÓNG ODU-A1.3-0205 16kW</t>
        </is>
      </c>
      <c r="D267" t="inlineStr">
        <is>
          <t>THUONG_MAI</t>
        </is>
      </c>
      <c r="E267" t="inlineStr">
        <is>
          <t>MAT-THUONG_MAI-DAN_NONG_ODU_A1_3_0205_16KW</t>
        </is>
      </c>
      <c r="F267" t="inlineStr">
        <is>
          <t>Bộ</t>
        </is>
      </c>
      <c r="G267" s="394" t="n">
        <v>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Hàng thương mại mua ngoài</t>
        </is>
      </c>
    </row>
    <row r="268">
      <c r="A268" t="inlineStr">
        <is>
          <t>SW-TRD-410-TM</t>
        </is>
      </c>
      <c r="B268" t="inlineStr">
        <is>
          <t>SW-TRD-410</t>
        </is>
      </c>
      <c r="C268" t="inlineStr">
        <is>
          <t>DÀN NÓNG ODU-A1.3-0206 11.2kW</t>
        </is>
      </c>
      <c r="D268" t="inlineStr">
        <is>
          <t>THUONG_MAI</t>
        </is>
      </c>
      <c r="E268" t="inlineStr">
        <is>
          <t>MAT-THUONG_MAI-DAN_NONG_ODU_A1_3_0206_11_2KW</t>
        </is>
      </c>
      <c r="F268" t="inlineStr">
        <is>
          <t>Bộ</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Hàng thương mại mua ngoài</t>
        </is>
      </c>
    </row>
    <row r="269">
      <c r="A269" t="inlineStr">
        <is>
          <t>SW-TRD-411-TM</t>
        </is>
      </c>
      <c r="B269" t="inlineStr">
        <is>
          <t>SW-TRD-411</t>
        </is>
      </c>
      <c r="C269" t="inlineStr">
        <is>
          <t>DÀN NÓNG ODU-A1.3-0208A 14kW</t>
        </is>
      </c>
      <c r="D269" t="inlineStr">
        <is>
          <t>THUONG_MAI</t>
        </is>
      </c>
      <c r="E269" t="inlineStr">
        <is>
          <t>MAT-THUONG_MAI-DAN_NONG_ODU_A1_3_0208A_14KW</t>
        </is>
      </c>
      <c r="F269" t="inlineStr">
        <is>
          <t>Bộ</t>
        </is>
      </c>
      <c r="G269" s="394" t="n">
        <v>1</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Hàng thương mại mua ngoài</t>
        </is>
      </c>
    </row>
    <row r="270">
      <c r="A270" t="inlineStr">
        <is>
          <t>SW-TRD-412-TM</t>
        </is>
      </c>
      <c r="B270" t="inlineStr">
        <is>
          <t>SW-TRD-412</t>
        </is>
      </c>
      <c r="C270" t="inlineStr">
        <is>
          <t>DÀN NÓNG Vật tư phụ, phụ kiện</t>
        </is>
      </c>
      <c r="D270" t="inlineStr">
        <is>
          <t>THUONG_MAI</t>
        </is>
      </c>
      <c r="E270" t="inlineStr">
        <is>
          <t>MAT-THUONG_MAI-DAN_NONG_VAT_TU_PHU_PHU_KIEN</t>
        </is>
      </c>
      <c r="F270" t="inlineStr">
        <is>
          <t>Lô</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Hàng thương mại mua ngoài</t>
        </is>
      </c>
    </row>
    <row r="271">
      <c r="A271" t="inlineStr">
        <is>
          <t>SW-TRD-413-TM</t>
        </is>
      </c>
      <c r="B271" t="inlineStr">
        <is>
          <t>SW-TRD-413</t>
        </is>
      </c>
      <c r="C271" t="inlineStr">
        <is>
          <t>DÀN LẠNH IDU-A1.1-1F-01~03 11.2kW</t>
        </is>
      </c>
      <c r="D271" t="inlineStr">
        <is>
          <t>THUONG_MAI</t>
        </is>
      </c>
      <c r="E271" t="inlineStr">
        <is>
          <t>MAT-THUONG_MAI-DAN_LANH_IDU_A1_1_1F_01_03_11_2KW</t>
        </is>
      </c>
      <c r="F271" t="inlineStr">
        <is>
          <t>Bộ</t>
        </is>
      </c>
      <c r="G271" s="394" t="n">
        <v>1</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Hàng thương mại mua ngoài</t>
        </is>
      </c>
    </row>
    <row r="272">
      <c r="A272" t="inlineStr">
        <is>
          <t>SW-TRD-414-TM</t>
        </is>
      </c>
      <c r="B272" t="inlineStr">
        <is>
          <t>SW-TRD-414</t>
        </is>
      </c>
      <c r="C272" t="inlineStr">
        <is>
          <t>DÀN LẠNH IDU-A1.1-1F-04 11.2kW</t>
        </is>
      </c>
      <c r="D272" t="inlineStr">
        <is>
          <t>THUONG_MAI</t>
        </is>
      </c>
      <c r="E272" t="inlineStr">
        <is>
          <t>MAT-THUONG_MAI-DAN_LANH_IDU_A1_1_1F_04_11_2KW</t>
        </is>
      </c>
      <c r="F272" t="inlineStr">
        <is>
          <t>Bộ</t>
        </is>
      </c>
      <c r="G272" s="394" t="n">
        <v>1</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Hàng thương mại mua ngoài</t>
        </is>
      </c>
    </row>
    <row r="273">
      <c r="A273" t="inlineStr">
        <is>
          <t>SW-TRD-415-TM</t>
        </is>
      </c>
      <c r="B273" t="inlineStr">
        <is>
          <t>SW-TRD-415</t>
        </is>
      </c>
      <c r="C273" t="inlineStr">
        <is>
          <t>DÀN LẠNH IDU-A1.1-1F-05 7.1kW</t>
        </is>
      </c>
      <c r="D273" t="inlineStr">
        <is>
          <t>THUONG_MAI</t>
        </is>
      </c>
      <c r="E273" t="inlineStr">
        <is>
          <t>MAT-THUONG_MAI-DAN_LANH_IDU_A1_1_1F_05_7_1KW</t>
        </is>
      </c>
      <c r="F273" t="inlineStr">
        <is>
          <t>Bộ</t>
        </is>
      </c>
      <c r="G273" s="394" t="n">
        <v>1</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Hàng thương mại mua ngoài</t>
        </is>
      </c>
    </row>
    <row r="274">
      <c r="A274" t="inlineStr">
        <is>
          <t>SW-TRD-416-TM</t>
        </is>
      </c>
      <c r="B274" t="inlineStr">
        <is>
          <t>SW-TRD-416</t>
        </is>
      </c>
      <c r="C274" t="inlineStr">
        <is>
          <t>DÀN LẠNH IDU-A1.1-1F-06 14kW</t>
        </is>
      </c>
      <c r="D274" t="inlineStr">
        <is>
          <t>THUONG_MAI</t>
        </is>
      </c>
      <c r="E274" t="inlineStr">
        <is>
          <t>MAT-THUONG_MAI-DAN_LANH_IDU_A1_1_1F_06_14KW</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Hàng thương mại mua ngoài</t>
        </is>
      </c>
    </row>
    <row r="275">
      <c r="A275" t="inlineStr">
        <is>
          <t>SW-TRD-417-TM</t>
        </is>
      </c>
      <c r="B275" t="inlineStr">
        <is>
          <t>SW-TRD-417</t>
        </is>
      </c>
      <c r="C275" t="inlineStr">
        <is>
          <t>DÀN LẠNH IDU-A1.1-1F-07~09 11.2kW</t>
        </is>
      </c>
      <c r="D275" t="inlineStr">
        <is>
          <t>THUONG_MAI</t>
        </is>
      </c>
      <c r="E275" t="inlineStr">
        <is>
          <t>MAT-THUONG_MAI-DAN_LANH_IDU_A1_1_1F_07_09_11_2KW</t>
        </is>
      </c>
      <c r="F275" t="inlineStr">
        <is>
          <t>Bộ</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Hàng thương mại mua ngoài</t>
        </is>
      </c>
    </row>
    <row r="276">
      <c r="A276" t="inlineStr">
        <is>
          <t>SW-TRD-418-TM</t>
        </is>
      </c>
      <c r="B276" t="inlineStr">
        <is>
          <t>SW-TRD-418</t>
        </is>
      </c>
      <c r="C276" t="inlineStr">
        <is>
          <t>DÀN LẠNH IDU-A1.1-1F-10, 11 5.6kW</t>
        </is>
      </c>
      <c r="D276" t="inlineStr">
        <is>
          <t>THUONG_MAI</t>
        </is>
      </c>
      <c r="E276" t="inlineStr">
        <is>
          <t>MAT-THUONG_MAI-DAN_LANH_IDU_A1_1_1F_10_11_5_6KW</t>
        </is>
      </c>
      <c r="F276" t="inlineStr">
        <is>
          <t>Bộ</t>
        </is>
      </c>
      <c r="G276" s="394" t="n">
        <v>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Hàng thương mại mua ngoài</t>
        </is>
      </c>
    </row>
    <row r="277">
      <c r="A277" t="inlineStr">
        <is>
          <t>SW-TRD-419-TM</t>
        </is>
      </c>
      <c r="B277" t="inlineStr">
        <is>
          <t>SW-TRD-419</t>
        </is>
      </c>
      <c r="C277" t="inlineStr">
        <is>
          <t>DÀN LẠNH IDU-A1.1-2F-01 11.2kW</t>
        </is>
      </c>
      <c r="D277" t="inlineStr">
        <is>
          <t>THUONG_MAI</t>
        </is>
      </c>
      <c r="E277" t="inlineStr">
        <is>
          <t>MAT-THUONG_MAI-DAN_LANH_IDU_A1_1_2F_01_11_2KW</t>
        </is>
      </c>
      <c r="F277" t="inlineStr">
        <is>
          <t>Bộ</t>
        </is>
      </c>
      <c r="G277" s="394" t="n">
        <v>1</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Hàng thương mại mua ngoài</t>
        </is>
      </c>
    </row>
    <row r="278">
      <c r="A278" t="inlineStr">
        <is>
          <t>SW-TRD-420-TM</t>
        </is>
      </c>
      <c r="B278" t="inlineStr">
        <is>
          <t>SW-TRD-420</t>
        </is>
      </c>
      <c r="C278" t="inlineStr">
        <is>
          <t>DÀN LẠNH IDU-A1.1-2F-02, 03 9kW</t>
        </is>
      </c>
      <c r="D278" t="inlineStr">
        <is>
          <t>THUONG_MAI</t>
        </is>
      </c>
      <c r="E278" t="inlineStr">
        <is>
          <t>MAT-THUONG_MAI-DAN_LANH_IDU_A1_1_2F_02_03_9KW</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Hàng thương mại mua ngoài</t>
        </is>
      </c>
    </row>
    <row r="279">
      <c r="A279" t="inlineStr">
        <is>
          <t>SW-TRD-421-TM</t>
        </is>
      </c>
      <c r="B279" t="inlineStr">
        <is>
          <t>SW-TRD-421</t>
        </is>
      </c>
      <c r="C279" t="inlineStr">
        <is>
          <t>DÀN LẠNH IDU-A1.1-2F-04, 05 11.2kW</t>
        </is>
      </c>
      <c r="D279" t="inlineStr">
        <is>
          <t>THUONG_MAI</t>
        </is>
      </c>
      <c r="E279" t="inlineStr">
        <is>
          <t>MAT-THUONG_MAI-DAN_LANH_IDU_A1_1_2F_04_05_11_2KW</t>
        </is>
      </c>
      <c r="F279" t="inlineStr">
        <is>
          <t>Bộ</t>
        </is>
      </c>
      <c r="G279" s="394" t="n">
        <v>1</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Hàng thương mại mua ngoài</t>
        </is>
      </c>
    </row>
    <row r="280">
      <c r="A280" t="inlineStr">
        <is>
          <t>SW-TRD-422-TM</t>
        </is>
      </c>
      <c r="B280" t="inlineStr">
        <is>
          <t>SW-TRD-422</t>
        </is>
      </c>
      <c r="C280" t="inlineStr">
        <is>
          <t>DÀN LẠNH IDU-A1.1-2F-06, 07 11.2kW</t>
        </is>
      </c>
      <c r="D280" t="inlineStr">
        <is>
          <t>THUONG_MAI</t>
        </is>
      </c>
      <c r="E280" t="inlineStr">
        <is>
          <t>MAT-THUONG_MAI-DAN_LANH_IDU_A1_1_2F_06_07_11_2KW</t>
        </is>
      </c>
      <c r="F280" t="inlineStr">
        <is>
          <t>Bộ</t>
        </is>
      </c>
      <c r="G280" s="394" t="n">
        <v>1</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Hàng thương mại mua ngoài</t>
        </is>
      </c>
    </row>
    <row r="281">
      <c r="A281" t="inlineStr">
        <is>
          <t>SW-TRD-423-TM</t>
        </is>
      </c>
      <c r="B281" t="inlineStr">
        <is>
          <t>SW-TRD-423</t>
        </is>
      </c>
      <c r="C281" t="inlineStr">
        <is>
          <t>DÀN LẠNH IDU-A1.1-2F-08, 09 9kW</t>
        </is>
      </c>
      <c r="D281" t="inlineStr">
        <is>
          <t>THUONG_MAI</t>
        </is>
      </c>
      <c r="E281" t="inlineStr">
        <is>
          <t>MAT-THUONG_MAI-DAN_LANH_IDU_A1_1_2F_08_09_9KW</t>
        </is>
      </c>
      <c r="F281" t="inlineStr">
        <is>
          <t>Bộ</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Hàng thương mại mua ngoài</t>
        </is>
      </c>
    </row>
    <row r="282">
      <c r="A282" t="inlineStr">
        <is>
          <t>SW-TRD-424-TM</t>
        </is>
      </c>
      <c r="B282" t="inlineStr">
        <is>
          <t>SW-TRD-424</t>
        </is>
      </c>
      <c r="C282" t="inlineStr">
        <is>
          <t>DÀN LẠNH IDU-A1.1-2F-10, 11 4.5kW</t>
        </is>
      </c>
      <c r="D282" t="inlineStr">
        <is>
          <t>THUONG_MAI</t>
        </is>
      </c>
      <c r="E282" t="inlineStr">
        <is>
          <t>MAT-THUONG_MAI-DAN_LANH_IDU_A1_1_2F_10_11_4_5KW</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Hàng thương mại mua ngoài</t>
        </is>
      </c>
    </row>
    <row r="283">
      <c r="A283" t="inlineStr">
        <is>
          <t>SW-TRD-425-TM</t>
        </is>
      </c>
      <c r="B283" t="inlineStr">
        <is>
          <t>SW-TRD-425</t>
        </is>
      </c>
      <c r="C283" t="inlineStr">
        <is>
          <t>DÀN LẠNH IDU-A1.1-2F-12, 13 5.6kW</t>
        </is>
      </c>
      <c r="D283" t="inlineStr">
        <is>
          <t>THUONG_MAI</t>
        </is>
      </c>
      <c r="E283" t="inlineStr">
        <is>
          <t>MAT-THUONG_MAI-DAN_LANH_IDU_A1_1_2F_12_13_5_6KW</t>
        </is>
      </c>
      <c r="F283" t="inlineStr">
        <is>
          <t>Bộ</t>
        </is>
      </c>
      <c r="G283" s="394" t="n">
        <v>1</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Hàng thương mại mua ngoài</t>
        </is>
      </c>
    </row>
    <row r="284">
      <c r="A284" t="inlineStr">
        <is>
          <t>SW-TRD-426-TM</t>
        </is>
      </c>
      <c r="B284" t="inlineStr">
        <is>
          <t>SW-TRD-426</t>
        </is>
      </c>
      <c r="C284" t="inlineStr">
        <is>
          <t>DÀN LẠNH IDU-A1.1-2F-14, 15 4.5kW</t>
        </is>
      </c>
      <c r="D284" t="inlineStr">
        <is>
          <t>THUONG_MAI</t>
        </is>
      </c>
      <c r="E284" t="inlineStr">
        <is>
          <t>MAT-THUONG_MAI-DAN_LANH_IDU_A1_1_2F_14_15_4_5KW</t>
        </is>
      </c>
      <c r="F284" t="inlineStr">
        <is>
          <t>Bộ</t>
        </is>
      </c>
      <c r="G284" s="394" t="n">
        <v>1</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Hàng thương mại mua ngoài</t>
        </is>
      </c>
    </row>
    <row r="285">
      <c r="A285" t="inlineStr">
        <is>
          <t>SW-TRD-427-TM</t>
        </is>
      </c>
      <c r="B285" t="inlineStr">
        <is>
          <t>SW-TRD-427</t>
        </is>
      </c>
      <c r="C285" t="inlineStr">
        <is>
          <t>DÀN LẠNH IDU-A1.1-2F-16, 17 4.5kW</t>
        </is>
      </c>
      <c r="D285" t="inlineStr">
        <is>
          <t>THUONG_MAI</t>
        </is>
      </c>
      <c r="E285" t="inlineStr">
        <is>
          <t>MAT-THUONG_MAI-DAN_LANH_IDU_A1_1_2F_16_17_4_5KW</t>
        </is>
      </c>
      <c r="F285" t="inlineStr">
        <is>
          <t>Bộ</t>
        </is>
      </c>
      <c r="G285" s="394" t="n">
        <v>1</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Hàng thương mại mua ngoài</t>
        </is>
      </c>
    </row>
    <row r="286">
      <c r="A286" t="inlineStr">
        <is>
          <t>SW-TRD-428-TM</t>
        </is>
      </c>
      <c r="B286" t="inlineStr">
        <is>
          <t>SW-TRD-428</t>
        </is>
      </c>
      <c r="C286" t="inlineStr">
        <is>
          <t>DÀN LẠNH IDU-A1.1-2F-18, 19 7.1kW</t>
        </is>
      </c>
      <c r="D286" t="inlineStr">
        <is>
          <t>THUONG_MAI</t>
        </is>
      </c>
      <c r="E286" t="inlineStr">
        <is>
          <t>MAT-THUONG_MAI-DAN_LANH_IDU_A1_1_2F_18_19_7_1KW</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Hàng thương mại mua ngoài</t>
        </is>
      </c>
    </row>
    <row r="287">
      <c r="A287" t="inlineStr">
        <is>
          <t>SW-TRD-429-TM</t>
        </is>
      </c>
      <c r="B287" t="inlineStr">
        <is>
          <t>SW-TRD-429</t>
        </is>
      </c>
      <c r="C287" t="inlineStr">
        <is>
          <t>DÀN LẠNH IDU-A1.2-1F-01, 02 14kW</t>
        </is>
      </c>
      <c r="D287" t="inlineStr">
        <is>
          <t>THUONG_MAI</t>
        </is>
      </c>
      <c r="E287" t="inlineStr">
        <is>
          <t>MAT-THUONG_MAI-DAN_LANH_IDU_A1_2_1F_01_02_14KW</t>
        </is>
      </c>
      <c r="F287" t="inlineStr">
        <is>
          <t>Bộ</t>
        </is>
      </c>
      <c r="G287" s="394" t="n">
        <v>1</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Hàng thương mại mua ngoài</t>
        </is>
      </c>
    </row>
    <row r="288">
      <c r="A288" t="inlineStr">
        <is>
          <t>SW-TRD-430-TM</t>
        </is>
      </c>
      <c r="B288" t="inlineStr">
        <is>
          <t>SW-TRD-430</t>
        </is>
      </c>
      <c r="C288" t="inlineStr">
        <is>
          <t>DÀN LẠNH IDU-A1.2-1F-03 14kW</t>
        </is>
      </c>
      <c r="D288" t="inlineStr">
        <is>
          <t>THUONG_MAI</t>
        </is>
      </c>
      <c r="E288" t="inlineStr">
        <is>
          <t>MAT-THUONG_MAI-DAN_LANH_IDU_A1_2_1F_03_14KW</t>
        </is>
      </c>
      <c r="F288" t="inlineStr">
        <is>
          <t>Bộ</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Hàng thương mại mua ngoài</t>
        </is>
      </c>
    </row>
    <row r="289">
      <c r="A289" t="inlineStr">
        <is>
          <t>SW-TRD-431-TM</t>
        </is>
      </c>
      <c r="B289" t="inlineStr">
        <is>
          <t>SW-TRD-431</t>
        </is>
      </c>
      <c r="C289" t="inlineStr">
        <is>
          <t>DÀN LẠNH IDU-A1.2-1F-04, 05 9kW</t>
        </is>
      </c>
      <c r="D289" t="inlineStr">
        <is>
          <t>THUONG_MAI</t>
        </is>
      </c>
      <c r="E289" t="inlineStr">
        <is>
          <t>MAT-THUONG_MAI-DAN_LANH_IDU_A1_2_1F_04_05_9KW</t>
        </is>
      </c>
      <c r="F289" t="inlineStr">
        <is>
          <t>Bộ</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Hàng thương mại mua ngoài</t>
        </is>
      </c>
    </row>
    <row r="290">
      <c r="A290" t="inlineStr">
        <is>
          <t>SW-TRD-432-TM</t>
        </is>
      </c>
      <c r="B290" t="inlineStr">
        <is>
          <t>SW-TRD-432</t>
        </is>
      </c>
      <c r="C290" t="inlineStr">
        <is>
          <t>DÀN LẠNH IDU-A1.2-1F-06, 07 14kW</t>
        </is>
      </c>
      <c r="D290" t="inlineStr">
        <is>
          <t>THUONG_MAI</t>
        </is>
      </c>
      <c r="E290" t="inlineStr">
        <is>
          <t>MAT-THUONG_MAI-DAN_LANH_IDU_A1_2_1F_06_07_14KW</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Hàng thương mại mua ngoài</t>
        </is>
      </c>
    </row>
    <row r="291">
      <c r="A291" t="inlineStr">
        <is>
          <t>SW-TRD-433-TM</t>
        </is>
      </c>
      <c r="B291" t="inlineStr">
        <is>
          <t>SW-TRD-433</t>
        </is>
      </c>
      <c r="C291" t="inlineStr">
        <is>
          <t>DÀN LẠNH IDU-A1.2-1F-08, 09 11.2kW</t>
        </is>
      </c>
      <c r="D291" t="inlineStr">
        <is>
          <t>THUONG_MAI</t>
        </is>
      </c>
      <c r="E291" t="inlineStr">
        <is>
          <t>MAT-THUONG_MAI-DAN_LANH_IDU_A1_2_1F_08_09_11_2KW</t>
        </is>
      </c>
      <c r="F291" t="inlineStr">
        <is>
          <t>Bộ</t>
        </is>
      </c>
      <c r="G291" s="394" t="n">
        <v>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Hàng thương mại mua ngoài</t>
        </is>
      </c>
    </row>
    <row r="292">
      <c r="A292" t="inlineStr">
        <is>
          <t>SW-TRD-434-TM</t>
        </is>
      </c>
      <c r="B292" t="inlineStr">
        <is>
          <t>SW-TRD-434</t>
        </is>
      </c>
      <c r="C292" t="inlineStr">
        <is>
          <t>DÀN LẠNH IDU-A1.2-1F-10, 11 11.2kW</t>
        </is>
      </c>
      <c r="D292" t="inlineStr">
        <is>
          <t>THUONG_MAI</t>
        </is>
      </c>
      <c r="E292" t="inlineStr">
        <is>
          <t>MAT-THUONG_MAI-DAN_LANH_IDU_A1_2_1F_10_11_11_2KW</t>
        </is>
      </c>
      <c r="F292" t="inlineStr">
        <is>
          <t>Bộ</t>
        </is>
      </c>
      <c r="G292" s="394" t="n">
        <v>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Hàng thương mại mua ngoài</t>
        </is>
      </c>
    </row>
    <row r="293">
      <c r="A293" t="inlineStr">
        <is>
          <t>SW-TRD-435-TM</t>
        </is>
      </c>
      <c r="B293" t="inlineStr">
        <is>
          <t>SW-TRD-435</t>
        </is>
      </c>
      <c r="C293" t="inlineStr">
        <is>
          <t>DÀN LẠNH IDU-A1.2-1F-12, 13 7.1kW</t>
        </is>
      </c>
      <c r="D293" t="inlineStr">
        <is>
          <t>THUONG_MAI</t>
        </is>
      </c>
      <c r="E293" t="inlineStr">
        <is>
          <t>MAT-THUONG_MAI-DAN_LANH_IDU_A1_2_1F_12_13_7_1KW</t>
        </is>
      </c>
      <c r="F293" t="inlineStr">
        <is>
          <t>Bộ</t>
        </is>
      </c>
      <c r="G293" s="394" t="n">
        <v>1</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Hàng thương mại mua ngoài</t>
        </is>
      </c>
    </row>
    <row r="294">
      <c r="A294" t="inlineStr">
        <is>
          <t>SW-TRD-436-TM</t>
        </is>
      </c>
      <c r="B294" t="inlineStr">
        <is>
          <t>SW-TRD-436</t>
        </is>
      </c>
      <c r="C294" t="inlineStr">
        <is>
          <t>DÀN LẠNH IDU-A1.2-1F-14, 15 11.2kW</t>
        </is>
      </c>
      <c r="D294" t="inlineStr">
        <is>
          <t>THUONG_MAI</t>
        </is>
      </c>
      <c r="E294" t="inlineStr">
        <is>
          <t>MAT-THUONG_MAI-DAN_LANH_IDU_A1_2_1F_14_15_11_2KW</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Hàng thương mại mua ngoài</t>
        </is>
      </c>
    </row>
    <row r="295">
      <c r="A295" t="inlineStr">
        <is>
          <t>SW-TRD-437-TM</t>
        </is>
      </c>
      <c r="B295" t="inlineStr">
        <is>
          <t>SW-TRD-437</t>
        </is>
      </c>
      <c r="C295" t="inlineStr">
        <is>
          <t>DÀN LẠNH IDU-A1.2-1F-16, 17 9kW</t>
        </is>
      </c>
      <c r="D295" t="inlineStr">
        <is>
          <t>THUONG_MAI</t>
        </is>
      </c>
      <c r="E295" t="inlineStr">
        <is>
          <t>MAT-THUONG_MAI-DAN_LANH_IDU_A1_2_1F_16_17_9KW</t>
        </is>
      </c>
      <c r="F295" t="inlineStr">
        <is>
          <t>Bộ</t>
        </is>
      </c>
      <c r="G295" s="394" t="n">
        <v>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Hàng thương mại mua ngoài</t>
        </is>
      </c>
    </row>
    <row r="296">
      <c r="A296" t="inlineStr">
        <is>
          <t>SW-TRD-438-TM</t>
        </is>
      </c>
      <c r="B296" t="inlineStr">
        <is>
          <t>SW-TRD-438</t>
        </is>
      </c>
      <c r="C296" t="inlineStr">
        <is>
          <t>DÀN LẠNH IDU-A1.2-2F-01, 02 11.2kW</t>
        </is>
      </c>
      <c r="D296" t="inlineStr">
        <is>
          <t>THUONG_MAI</t>
        </is>
      </c>
      <c r="E296" t="inlineStr">
        <is>
          <t>MAT-THUONG_MAI-DAN_LANH_IDU_A1_2_2F_01_02_11_2KW</t>
        </is>
      </c>
      <c r="F296" t="inlineStr">
        <is>
          <t>Bộ</t>
        </is>
      </c>
      <c r="G296" s="394" t="n">
        <v>1</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Hàng thương mại mua ngoài</t>
        </is>
      </c>
    </row>
    <row r="297">
      <c r="A297" t="inlineStr">
        <is>
          <t>SW-TRD-439-TM</t>
        </is>
      </c>
      <c r="B297" t="inlineStr">
        <is>
          <t>SW-TRD-439</t>
        </is>
      </c>
      <c r="C297" t="inlineStr">
        <is>
          <t>DÀN LẠNH IDU-A1.2-2F-03, 04 11.2kW</t>
        </is>
      </c>
      <c r="D297" t="inlineStr">
        <is>
          <t>THUONG_MAI</t>
        </is>
      </c>
      <c r="E297" t="inlineStr">
        <is>
          <t>MAT-THUONG_MAI-DAN_LANH_IDU_A1_2_2F_03_04_11_2KW</t>
        </is>
      </c>
      <c r="F297" t="inlineStr">
        <is>
          <t>Bộ</t>
        </is>
      </c>
      <c r="G297" s="394" t="n">
        <v>1</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Hàng thương mại mua ngoài</t>
        </is>
      </c>
    </row>
    <row r="298">
      <c r="A298" t="inlineStr">
        <is>
          <t>SW-TRD-440-TM</t>
        </is>
      </c>
      <c r="B298" t="inlineStr">
        <is>
          <t>SW-TRD-440</t>
        </is>
      </c>
      <c r="C298" t="inlineStr">
        <is>
          <t>DÀN LẠNH IDU-A1.2-2F-05 9kW</t>
        </is>
      </c>
      <c r="D298" t="inlineStr">
        <is>
          <t>THUONG_MAI</t>
        </is>
      </c>
      <c r="E298" t="inlineStr">
        <is>
          <t>MAT-THUONG_MAI-DAN_LANH_IDU_A1_2_2F_05_9KW</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Hàng thương mại mua ngoài</t>
        </is>
      </c>
    </row>
    <row r="299">
      <c r="A299" t="inlineStr">
        <is>
          <t>SW-TRD-441-TM</t>
        </is>
      </c>
      <c r="B299" t="inlineStr">
        <is>
          <t>SW-TRD-441</t>
        </is>
      </c>
      <c r="C299" t="inlineStr">
        <is>
          <t>DÀN LẠNH IDU-A1.2-2F-06, 07 14kW</t>
        </is>
      </c>
      <c r="D299" t="inlineStr">
        <is>
          <t>THUONG_MAI</t>
        </is>
      </c>
      <c r="E299" t="inlineStr">
        <is>
          <t>MAT-THUONG_MAI-DAN_LANH_IDU_A1_2_2F_06_07_14KW</t>
        </is>
      </c>
      <c r="F299" t="inlineStr">
        <is>
          <t>Bộ</t>
        </is>
      </c>
      <c r="G299" s="394" t="n">
        <v>1</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Hàng thương mại mua ngoài</t>
        </is>
      </c>
    </row>
    <row r="300">
      <c r="A300" t="inlineStr">
        <is>
          <t>SW-TRD-442-TM</t>
        </is>
      </c>
      <c r="B300" t="inlineStr">
        <is>
          <t>SW-TRD-442</t>
        </is>
      </c>
      <c r="C300" t="inlineStr">
        <is>
          <t>DÀN LẠNH IDU-A1.2-2F-08, 09 14kW</t>
        </is>
      </c>
      <c r="D300" t="inlineStr">
        <is>
          <t>THUONG_MAI</t>
        </is>
      </c>
      <c r="E300" t="inlineStr">
        <is>
          <t>MAT-THUONG_MAI-DAN_LANH_IDU_A1_2_2F_08_09_14KW</t>
        </is>
      </c>
      <c r="F300" t="inlineStr">
        <is>
          <t>Bộ</t>
        </is>
      </c>
      <c r="G300" s="394" t="n">
        <v>1</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Hàng thương mại mua ngoài</t>
        </is>
      </c>
    </row>
    <row r="301">
      <c r="A301" t="inlineStr">
        <is>
          <t>SW-TRD-443-TM</t>
        </is>
      </c>
      <c r="B301" t="inlineStr">
        <is>
          <t>SW-TRD-443</t>
        </is>
      </c>
      <c r="C301" t="inlineStr">
        <is>
          <t>DÀN LẠNH IDU-A1.2-2F-10, 11, 12 11.2kW</t>
        </is>
      </c>
      <c r="D301" t="inlineStr">
        <is>
          <t>THUONG_MAI</t>
        </is>
      </c>
      <c r="E301" t="inlineStr">
        <is>
          <t>MAT-THUONG_MAI-DAN_LANH_IDU_A1_2_2F_10_11_12_5F74</t>
        </is>
      </c>
      <c r="F301" t="inlineStr">
        <is>
          <t>Bộ</t>
        </is>
      </c>
      <c r="G301" s="394" t="n">
        <v>1</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Hàng thương mại mua ngoài</t>
        </is>
      </c>
    </row>
    <row r="302">
      <c r="A302" t="inlineStr">
        <is>
          <t>SW-TRD-444-TM</t>
        </is>
      </c>
      <c r="B302" t="inlineStr">
        <is>
          <t>SW-TRD-444</t>
        </is>
      </c>
      <c r="C302" t="inlineStr">
        <is>
          <t>DÀN LẠNH IDU-A1.2-2F-13 9kW</t>
        </is>
      </c>
      <c r="D302" t="inlineStr">
        <is>
          <t>THUONG_MAI</t>
        </is>
      </c>
      <c r="E302" t="inlineStr">
        <is>
          <t>MAT-THUONG_MAI-DAN_LANH_IDU_A1_2_2F_13_9KW</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Hàng thương mại mua ngoài</t>
        </is>
      </c>
    </row>
    <row r="303">
      <c r="A303" t="inlineStr">
        <is>
          <t>SW-TRD-445-TM</t>
        </is>
      </c>
      <c r="B303" t="inlineStr">
        <is>
          <t>SW-TRD-445</t>
        </is>
      </c>
      <c r="C303" t="inlineStr">
        <is>
          <t>DÀN LẠNH IDU-A1.2-2F-14 7.1kW</t>
        </is>
      </c>
      <c r="D303" t="inlineStr">
        <is>
          <t>THUONG_MAI</t>
        </is>
      </c>
      <c r="E303" t="inlineStr">
        <is>
          <t>MAT-THUONG_MAI-DAN_LANH_IDU_A1_2_2F_14_7_1KW</t>
        </is>
      </c>
      <c r="F303" t="inlineStr">
        <is>
          <t>Bộ</t>
        </is>
      </c>
      <c r="G303" s="394" t="n">
        <v>1</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Hàng thương mại mua ngoài</t>
        </is>
      </c>
    </row>
    <row r="304">
      <c r="A304" t="inlineStr">
        <is>
          <t>SW-TRD-446-TM</t>
        </is>
      </c>
      <c r="B304" t="inlineStr">
        <is>
          <t>SW-TRD-446</t>
        </is>
      </c>
      <c r="C304" t="inlineStr">
        <is>
          <t>DÀN LẠNH IDU-A1.2-2F-15, 16 5.6kW</t>
        </is>
      </c>
      <c r="D304" t="inlineStr">
        <is>
          <t>THUONG_MAI</t>
        </is>
      </c>
      <c r="E304" t="inlineStr">
        <is>
          <t>MAT-THUONG_MAI-DAN_LANH_IDU_A1_2_2F_15_16_5_6KW</t>
        </is>
      </c>
      <c r="F304" t="inlineStr">
        <is>
          <t>Bộ</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Hàng thương mại mua ngoài</t>
        </is>
      </c>
    </row>
    <row r="305">
      <c r="A305" t="inlineStr">
        <is>
          <t>SW-TRD-447-TM</t>
        </is>
      </c>
      <c r="B305" t="inlineStr">
        <is>
          <t>SW-TRD-447</t>
        </is>
      </c>
      <c r="C305" t="inlineStr">
        <is>
          <t>DÀN LẠNH IDU-A1.2-2F-17, 18 5.6kW</t>
        </is>
      </c>
      <c r="D305" t="inlineStr">
        <is>
          <t>THUONG_MAI</t>
        </is>
      </c>
      <c r="E305" t="inlineStr">
        <is>
          <t>MAT-THUONG_MAI-DAN_LANH_IDU_A1_2_2F_17_18_5_6KW</t>
        </is>
      </c>
      <c r="F305" t="inlineStr">
        <is>
          <t>Bộ</t>
        </is>
      </c>
      <c r="G305" s="394" t="n">
        <v>1</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Hàng thương mại mua ngoài</t>
        </is>
      </c>
    </row>
    <row r="306">
      <c r="A306" t="inlineStr">
        <is>
          <t>SW-TRD-448-TM</t>
        </is>
      </c>
      <c r="B306" t="inlineStr">
        <is>
          <t>SW-TRD-448</t>
        </is>
      </c>
      <c r="C306" t="inlineStr">
        <is>
          <t>DÀN LẠNH IDU-A1.2-2F-19, 20 5.6kW</t>
        </is>
      </c>
      <c r="D306" t="inlineStr">
        <is>
          <t>THUONG_MAI</t>
        </is>
      </c>
      <c r="E306" t="inlineStr">
        <is>
          <t>MAT-THUONG_MAI-DAN_LANH_IDU_A1_2_2F_19_20_5_6KW</t>
        </is>
      </c>
      <c r="F306" t="inlineStr">
        <is>
          <t>Bộ</t>
        </is>
      </c>
      <c r="G306" s="394" t="n">
        <v>1</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Hàng thương mại mua ngoài</t>
        </is>
      </c>
    </row>
    <row r="307">
      <c r="A307" t="inlineStr">
        <is>
          <t>SW-TRD-449-TM</t>
        </is>
      </c>
      <c r="B307" t="inlineStr">
        <is>
          <t>SW-TRD-449</t>
        </is>
      </c>
      <c r="C307" t="inlineStr">
        <is>
          <t>DÀN LẠNH IDU-A1.2-2F-21, 22 4.5kW</t>
        </is>
      </c>
      <c r="D307" t="inlineStr">
        <is>
          <t>THUONG_MAI</t>
        </is>
      </c>
      <c r="E307" t="inlineStr">
        <is>
          <t>MAT-THUONG_MAI-DAN_LANH_IDU_A1_2_2F_21_22_4_5KW</t>
        </is>
      </c>
      <c r="F307" t="inlineStr">
        <is>
          <t>Bộ</t>
        </is>
      </c>
      <c r="G307" s="394" t="n">
        <v>1</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Hàng thương mại mua ngoài</t>
        </is>
      </c>
    </row>
    <row r="308">
      <c r="A308" t="inlineStr">
        <is>
          <t>SW-TRD-450-TM</t>
        </is>
      </c>
      <c r="B308" t="inlineStr">
        <is>
          <t>SW-TRD-450</t>
        </is>
      </c>
      <c r="C308" t="inlineStr">
        <is>
          <t>DÀN LẠNH IDU-A1.2-2F-23, 24 5.6kW</t>
        </is>
      </c>
      <c r="D308" t="inlineStr">
        <is>
          <t>THUONG_MAI</t>
        </is>
      </c>
      <c r="E308" t="inlineStr">
        <is>
          <t>MAT-THUONG_MAI-DAN_LANH_IDU_A1_2_2F_23_24_5_6KW</t>
        </is>
      </c>
      <c r="F308" t="inlineStr">
        <is>
          <t>Bộ</t>
        </is>
      </c>
      <c r="G308" s="394" t="n">
        <v>1</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Hàng thương mại mua ngoài</t>
        </is>
      </c>
    </row>
    <row r="309">
      <c r="A309" t="inlineStr">
        <is>
          <t>SW-TRD-451-TM</t>
        </is>
      </c>
      <c r="B309" t="inlineStr">
        <is>
          <t>SW-TRD-451</t>
        </is>
      </c>
      <c r="C309" t="inlineStr">
        <is>
          <t>DÀN LẠNH IDU-A1.2-2F-25, 26 7.1kW</t>
        </is>
      </c>
      <c r="D309" t="inlineStr">
        <is>
          <t>THUONG_MAI</t>
        </is>
      </c>
      <c r="E309" t="inlineStr">
        <is>
          <t>MAT-THUONG_MAI-DAN_LANH_IDU_A1_2_2F_25_26_7_1KW</t>
        </is>
      </c>
      <c r="F309" t="inlineStr">
        <is>
          <t>Bộ</t>
        </is>
      </c>
      <c r="G309" s="394" t="n">
        <v>1</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Hàng thương mại mua ngoài</t>
        </is>
      </c>
    </row>
    <row r="310">
      <c r="A310" t="inlineStr">
        <is>
          <t>SW-TRD-452-TM</t>
        </is>
      </c>
      <c r="B310" t="inlineStr">
        <is>
          <t>SW-TRD-452</t>
        </is>
      </c>
      <c r="C310" t="inlineStr">
        <is>
          <t>DÀN LẠNH IDU-A1.3-1F-01~04 14kW</t>
        </is>
      </c>
      <c r="D310" t="inlineStr">
        <is>
          <t>THUONG_MAI</t>
        </is>
      </c>
      <c r="E310" t="inlineStr">
        <is>
          <t>MAT-THUONG_MAI-DAN_LANH_IDU_A1_3_1F_01_04_14KW</t>
        </is>
      </c>
      <c r="F310" t="inlineStr">
        <is>
          <t>Bộ</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Hàng thương mại mua ngoài</t>
        </is>
      </c>
    </row>
    <row r="311">
      <c r="A311" t="inlineStr">
        <is>
          <t>SW-TRD-453-TM</t>
        </is>
      </c>
      <c r="B311" t="inlineStr">
        <is>
          <t>SW-TRD-453</t>
        </is>
      </c>
      <c r="C311" t="inlineStr">
        <is>
          <t>DÀN LẠNH IDU-A1.3-1F-05~08 11.2kW</t>
        </is>
      </c>
      <c r="D311" t="inlineStr">
        <is>
          <t>THUONG_MAI</t>
        </is>
      </c>
      <c r="E311" t="inlineStr">
        <is>
          <t>MAT-THUONG_MAI-DAN_LANH_IDU_A1_3_1F_05_08_11_2KW</t>
        </is>
      </c>
      <c r="F311" t="inlineStr">
        <is>
          <t>Bộ</t>
        </is>
      </c>
      <c r="G311" s="394" t="n">
        <v>1</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Hàng thương mại mua ngoài</t>
        </is>
      </c>
    </row>
    <row r="312">
      <c r="A312" t="inlineStr">
        <is>
          <t>SW-TRD-454-TM</t>
        </is>
      </c>
      <c r="B312" t="inlineStr">
        <is>
          <t>SW-TRD-454</t>
        </is>
      </c>
      <c r="C312" t="inlineStr">
        <is>
          <t>DÀN LẠNH IDU-A1.3-1F-09, 10 14kW</t>
        </is>
      </c>
      <c r="D312" t="inlineStr">
        <is>
          <t>THUONG_MAI</t>
        </is>
      </c>
      <c r="E312" t="inlineStr">
        <is>
          <t>MAT-THUONG_MAI-DAN_LANH_IDU_A1_3_1F_09_10_14KW</t>
        </is>
      </c>
      <c r="F312" t="inlineStr">
        <is>
          <t>Bộ</t>
        </is>
      </c>
      <c r="G312" s="394" t="n">
        <v>1</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Hàng thương mại mua ngoài</t>
        </is>
      </c>
    </row>
    <row r="313">
      <c r="A313" t="inlineStr">
        <is>
          <t>SW-TRD-455-TM</t>
        </is>
      </c>
      <c r="B313" t="inlineStr">
        <is>
          <t>SW-TRD-455</t>
        </is>
      </c>
      <c r="C313" t="inlineStr">
        <is>
          <t>DÀN LẠNH IDU-A1.3-1F-05A-11, 12 11.2kW</t>
        </is>
      </c>
      <c r="D313" t="inlineStr">
        <is>
          <t>THUONG_MAI</t>
        </is>
      </c>
      <c r="E313" t="inlineStr">
        <is>
          <t>MAT-THUONG_MAI-DAN_LANH_IDU_A1_3_1F_05A_11_12_1660</t>
        </is>
      </c>
      <c r="F313" t="inlineStr">
        <is>
          <t>Bộ</t>
        </is>
      </c>
      <c r="G313" s="394" t="n">
        <v>1</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Hàng thương mại mua ngoài</t>
        </is>
      </c>
    </row>
    <row r="314">
      <c r="A314" t="inlineStr">
        <is>
          <t>SW-TRD-456-TM</t>
        </is>
      </c>
      <c r="B314" t="inlineStr">
        <is>
          <t>SW-TRD-456</t>
        </is>
      </c>
      <c r="C314" t="inlineStr">
        <is>
          <t>DÀN LẠNH IDU-A1.3-1F-05A-13 14kW</t>
        </is>
      </c>
      <c r="D314" t="inlineStr">
        <is>
          <t>THUONG_MAI</t>
        </is>
      </c>
      <c r="E314" t="inlineStr">
        <is>
          <t>MAT-THUONG_MAI-DAN_LANH_IDU_A1_3_1F_05A_13_14KW</t>
        </is>
      </c>
      <c r="F314" t="inlineStr">
        <is>
          <t>Bộ</t>
        </is>
      </c>
      <c r="G314" s="394" t="n">
        <v>1</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Hàng thương mại mua ngoài</t>
        </is>
      </c>
    </row>
    <row r="315">
      <c r="A315" t="inlineStr">
        <is>
          <t>SW-TRD-457-TM</t>
        </is>
      </c>
      <c r="B315" t="inlineStr">
        <is>
          <t>SW-TRD-457</t>
        </is>
      </c>
      <c r="C315" t="inlineStr">
        <is>
          <t>DÀN LẠNH IDU-A1.3-1F-14 11.2kW</t>
        </is>
      </c>
      <c r="D315" t="inlineStr">
        <is>
          <t>THUONG_MAI</t>
        </is>
      </c>
      <c r="E315" t="inlineStr">
        <is>
          <t>MAT-THUONG_MAI-DAN_LANH_IDU_A1_3_1F_14_11_2KW</t>
        </is>
      </c>
      <c r="F315" t="inlineStr">
        <is>
          <t>Bộ</t>
        </is>
      </c>
      <c r="G315" s="394" t="n">
        <v>1</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Hàng thương mại mua ngoài</t>
        </is>
      </c>
    </row>
    <row r="316">
      <c r="A316" t="inlineStr">
        <is>
          <t>SW-TRD-458-TM</t>
        </is>
      </c>
      <c r="B316" t="inlineStr">
        <is>
          <t>SW-TRD-458</t>
        </is>
      </c>
      <c r="C316" t="inlineStr">
        <is>
          <t>DÀN LẠNH IDU-A1.3-1F-15, 16 14kW</t>
        </is>
      </c>
      <c r="D316" t="inlineStr">
        <is>
          <t>THUONG_MAI</t>
        </is>
      </c>
      <c r="E316" t="inlineStr">
        <is>
          <t>MAT-THUONG_MAI-DAN_LANH_IDU_A1_3_1F_15_16_14KW</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Hàng thương mại mua ngoài</t>
        </is>
      </c>
    </row>
    <row r="317">
      <c r="A317" t="inlineStr">
        <is>
          <t>SW-TRD-459-TM</t>
        </is>
      </c>
      <c r="B317" t="inlineStr">
        <is>
          <t>SW-TRD-459</t>
        </is>
      </c>
      <c r="C317" t="inlineStr">
        <is>
          <t>DÀN LẠNH IDU-A1.3-1F-17, 18 7.1kW</t>
        </is>
      </c>
      <c r="D317" t="inlineStr">
        <is>
          <t>THUONG_MAI</t>
        </is>
      </c>
      <c r="E317" t="inlineStr">
        <is>
          <t>MAT-THUONG_MAI-DAN_LANH_IDU_A1_3_1F_17_18_7_1KW</t>
        </is>
      </c>
      <c r="F317" t="inlineStr">
        <is>
          <t>Bộ</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Hàng thương mại mua ngoài</t>
        </is>
      </c>
    </row>
    <row r="318">
      <c r="A318" t="inlineStr">
        <is>
          <t>SW-TRD-460-TM</t>
        </is>
      </c>
      <c r="B318" t="inlineStr">
        <is>
          <t>SW-TRD-460</t>
        </is>
      </c>
      <c r="C318" t="inlineStr">
        <is>
          <t>DÀN LẠNH IDU-A1.3-2F-01~04 11.2kW</t>
        </is>
      </c>
      <c r="D318" t="inlineStr">
        <is>
          <t>THUONG_MAI</t>
        </is>
      </c>
      <c r="E318" t="inlineStr">
        <is>
          <t>MAT-THUONG_MAI-DAN_LANH_IDU_A1_3_2F_01_04_11_2KW</t>
        </is>
      </c>
      <c r="F318" t="inlineStr">
        <is>
          <t>Bộ</t>
        </is>
      </c>
      <c r="G318" s="394" t="n">
        <v>1</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Hàng thương mại mua ngoài</t>
        </is>
      </c>
    </row>
    <row r="319">
      <c r="A319" t="inlineStr">
        <is>
          <t>SW-TRD-461-TM</t>
        </is>
      </c>
      <c r="B319" t="inlineStr">
        <is>
          <t>SW-TRD-461</t>
        </is>
      </c>
      <c r="C319" t="inlineStr">
        <is>
          <t>DÀN LẠNH IDU-A1.3-2F-05, 06, 07 9kW</t>
        </is>
      </c>
      <c r="D319" t="inlineStr">
        <is>
          <t>THUONG_MAI</t>
        </is>
      </c>
      <c r="E319" t="inlineStr">
        <is>
          <t>MAT-THUONG_MAI-DAN_LANH_IDU_A1_3_2F_05_06_07_9KW</t>
        </is>
      </c>
      <c r="F319" t="inlineStr">
        <is>
          <t>Bộ</t>
        </is>
      </c>
      <c r="G319" s="394" t="n">
        <v>1</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Hàng thương mại mua ngoài</t>
        </is>
      </c>
    </row>
    <row r="320">
      <c r="A320" t="inlineStr">
        <is>
          <t>SW-TRD-462-TM</t>
        </is>
      </c>
      <c r="B320" t="inlineStr">
        <is>
          <t>SW-TRD-462</t>
        </is>
      </c>
      <c r="C320" t="inlineStr">
        <is>
          <t>DÀN LẠNH IDU-A1.3-2F-08~11 11.2kW</t>
        </is>
      </c>
      <c r="D320" t="inlineStr">
        <is>
          <t>THUONG_MAI</t>
        </is>
      </c>
      <c r="E320" t="inlineStr">
        <is>
          <t>MAT-THUONG_MAI-DAN_LANH_IDU_A1_3_2F_08_11_11_2KW</t>
        </is>
      </c>
      <c r="F320" t="inlineStr">
        <is>
          <t>Bộ</t>
        </is>
      </c>
      <c r="G320" s="394" t="n">
        <v>1</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Hàng thương mại mua ngoài</t>
        </is>
      </c>
    </row>
    <row r="321">
      <c r="A321" t="inlineStr">
        <is>
          <t>SW-TRD-463-TM</t>
        </is>
      </c>
      <c r="B321" t="inlineStr">
        <is>
          <t>SW-TRD-463</t>
        </is>
      </c>
      <c r="C321" t="inlineStr">
        <is>
          <t>DÀN LẠNH IDU-A1.3-2F-12, 13 14kW</t>
        </is>
      </c>
      <c r="D321" t="inlineStr">
        <is>
          <t>THUONG_MAI</t>
        </is>
      </c>
      <c r="E321" t="inlineStr">
        <is>
          <t>MAT-THUONG_MAI-DAN_LANH_IDU_A1_3_2F_12_13_14KW</t>
        </is>
      </c>
      <c r="F321" t="inlineStr">
        <is>
          <t>Bộ</t>
        </is>
      </c>
      <c r="G321" s="394" t="n">
        <v>1</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Hàng thương mại mua ngoài</t>
        </is>
      </c>
    </row>
    <row r="322">
      <c r="A322" t="inlineStr">
        <is>
          <t>SW-TRD-464-TM</t>
        </is>
      </c>
      <c r="B322" t="inlineStr">
        <is>
          <t>SW-TRD-464</t>
        </is>
      </c>
      <c r="C322" t="inlineStr">
        <is>
          <t>DÀN LẠNH IDU-A1.3-2F-14, 15 7.1kW</t>
        </is>
      </c>
      <c r="D322" t="inlineStr">
        <is>
          <t>THUONG_MAI</t>
        </is>
      </c>
      <c r="E322" t="inlineStr">
        <is>
          <t>MAT-THUONG_MAI-DAN_LANH_IDU_A1_3_2F_14_15_7_1KW</t>
        </is>
      </c>
      <c r="F322" t="inlineStr">
        <is>
          <t>Bộ</t>
        </is>
      </c>
      <c r="G322" s="394" t="n">
        <v>1</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Hàng thương mại mua ngoài</t>
        </is>
      </c>
    </row>
    <row r="323">
      <c r="A323" t="inlineStr">
        <is>
          <t>SW-TRD-465-TM</t>
        </is>
      </c>
      <c r="B323" t="inlineStr">
        <is>
          <t>SW-TRD-465</t>
        </is>
      </c>
      <c r="C323" t="inlineStr">
        <is>
          <t>DÀN LẠNH IDU-A1.3-2F-16, 17 4.5kW</t>
        </is>
      </c>
      <c r="D323" t="inlineStr">
        <is>
          <t>THUONG_MAI</t>
        </is>
      </c>
      <c r="E323" t="inlineStr">
        <is>
          <t>MAT-THUONG_MAI-DAN_LANH_IDU_A1_3_2F_16_17_4_5KW</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Hàng thương mại mua ngoài</t>
        </is>
      </c>
    </row>
    <row r="324">
      <c r="A324" t="inlineStr">
        <is>
          <t>SW-TRD-466-TM</t>
        </is>
      </c>
      <c r="B324" t="inlineStr">
        <is>
          <t>SW-TRD-466</t>
        </is>
      </c>
      <c r="C324" t="inlineStr">
        <is>
          <t>DÀN LẠNH IDU-A1.3-2F-18, 19 5.6kW</t>
        </is>
      </c>
      <c r="D324" t="inlineStr">
        <is>
          <t>THUONG_MAI</t>
        </is>
      </c>
      <c r="E324" t="inlineStr">
        <is>
          <t>MAT-THUONG_MAI-DAN_LANH_IDU_A1_3_2F_18_19_5_6KW</t>
        </is>
      </c>
      <c r="F324" t="inlineStr">
        <is>
          <t>Bộ</t>
        </is>
      </c>
      <c r="G324" s="394" t="n">
        <v>1</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Hàng thương mại mua ngoài</t>
        </is>
      </c>
    </row>
    <row r="325">
      <c r="A325" t="inlineStr">
        <is>
          <t>SW-TRD-467-TM</t>
        </is>
      </c>
      <c r="B325" t="inlineStr">
        <is>
          <t>SW-TRD-467</t>
        </is>
      </c>
      <c r="C325" t="inlineStr">
        <is>
          <t>DÀN LẠNH Điều khiển nhiệt độ (có dây)</t>
        </is>
      </c>
      <c r="D325" t="inlineStr">
        <is>
          <t>THUONG_MAI</t>
        </is>
      </c>
      <c r="E325" t="inlineStr">
        <is>
          <t>MAT-THUONG_MAI-DAN_LANH_DIEU_KHIEN_NHIET_DO_CO_DAY</t>
        </is>
      </c>
      <c r="F325" t="inlineStr">
        <is>
          <t>Bộ</t>
        </is>
      </c>
      <c r="G325" s="394" t="n">
        <v>1</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Hàng thương mại mua ngoài</t>
        </is>
      </c>
    </row>
    <row r="326">
      <c r="A326" t="inlineStr">
        <is>
          <t>SW-TRD-468-TM</t>
        </is>
      </c>
      <c r="B326" t="inlineStr">
        <is>
          <t>SW-TRD-468</t>
        </is>
      </c>
      <c r="C326" t="inlineStr">
        <is>
          <t>DÀN LẠNH Vật tư phụ, phụ kiện</t>
        </is>
      </c>
      <c r="D326" t="inlineStr">
        <is>
          <t>THUONG_MAI</t>
        </is>
      </c>
      <c r="E326" t="inlineStr">
        <is>
          <t>MAT-THUONG_MAI-DAN_LANH_VAT_TU_PHU_PHU_KIEN</t>
        </is>
      </c>
      <c r="F326" t="inlineStr">
        <is>
          <t>Lô</t>
        </is>
      </c>
      <c r="G326" s="394" t="n">
        <v>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Hàng thương mại mua ngoài</t>
        </is>
      </c>
    </row>
    <row r="327">
      <c r="A327" t="inlineStr">
        <is>
          <t>SW-TRD-469-TM</t>
        </is>
      </c>
      <c r="B327" t="inlineStr">
        <is>
          <t>SW-TRD-469</t>
        </is>
      </c>
      <c r="C327" t="inlineStr">
        <is>
          <t>MÁY LẠNH CỤC BỘ ODU-B1-Z2-01,02 7.1 KW</t>
        </is>
      </c>
      <c r="D327" t="inlineStr">
        <is>
          <t>THUONG_MAI</t>
        </is>
      </c>
      <c r="E327" t="inlineStr">
        <is>
          <t>MAT-THUONG_MAI-MAY_LANH_CUC_BO_ODU_B1_Z2_01_0_187F</t>
        </is>
      </c>
      <c r="F327" t="inlineStr">
        <is>
          <t>Bộ</t>
        </is>
      </c>
      <c r="G327" s="394" t="n">
        <v>1</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Hàng thương mại mua ngoài</t>
        </is>
      </c>
    </row>
    <row r="328">
      <c r="A328" t="inlineStr">
        <is>
          <t>SW-TRD-470-TM</t>
        </is>
      </c>
      <c r="B328" t="inlineStr">
        <is>
          <t>SW-TRD-470</t>
        </is>
      </c>
      <c r="C328" t="inlineStr">
        <is>
          <t>MÁY LẠNH CỤC BỘ ODU-B1-Z2-03,04  14 KW</t>
        </is>
      </c>
      <c r="D328" t="inlineStr">
        <is>
          <t>THUONG_MAI</t>
        </is>
      </c>
      <c r="E328" t="inlineStr">
        <is>
          <t>MAT-THUONG_MAI-MAY_LANH_CUC_BO_ODU_B1_Z2_03_0_3E9C</t>
        </is>
      </c>
      <c r="F328" t="inlineStr">
        <is>
          <t>Bộ</t>
        </is>
      </c>
      <c r="G328" s="394" t="n">
        <v>1</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Hàng thương mại mua ngoài</t>
        </is>
      </c>
    </row>
    <row r="329">
      <c r="A329" t="inlineStr">
        <is>
          <t>SW-TRD-471-TM</t>
        </is>
      </c>
      <c r="B329" t="inlineStr">
        <is>
          <t>SW-TRD-471</t>
        </is>
      </c>
      <c r="C329" t="inlineStr">
        <is>
          <t>MÁY LẠNH CỤC BỘ ODU-B1-Z2-05,06 7.1 KW</t>
        </is>
      </c>
      <c r="D329" t="inlineStr">
        <is>
          <t>THUONG_MAI</t>
        </is>
      </c>
      <c r="E329" t="inlineStr">
        <is>
          <t>MAT-THUONG_MAI-MAY_LANH_CUC_BO_ODU_B1_Z2_05_0_E303</t>
        </is>
      </c>
      <c r="F329" t="inlineStr">
        <is>
          <t>Bộ</t>
        </is>
      </c>
      <c r="G329" s="394" t="n">
        <v>1</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Hàng thương mại mua ngoài</t>
        </is>
      </c>
    </row>
    <row r="330">
      <c r="A330" t="inlineStr">
        <is>
          <t>SW-TRD-472-TM</t>
        </is>
      </c>
      <c r="B330" t="inlineStr">
        <is>
          <t>SW-TRD-472</t>
        </is>
      </c>
      <c r="C330" t="inlineStr">
        <is>
          <t>MÁY LẠNH CỤC BỘ ODU-B1-Z2-07,08 7.1 KW</t>
        </is>
      </c>
      <c r="D330" t="inlineStr">
        <is>
          <t>THUONG_MAI</t>
        </is>
      </c>
      <c r="E330" t="inlineStr">
        <is>
          <t>MAT-THUONG_MAI-MAY_LANH_CUC_BO_ODU_B1_Z2_07_0_9F23</t>
        </is>
      </c>
      <c r="F330" t="inlineStr">
        <is>
          <t>Bộ</t>
        </is>
      </c>
      <c r="G330" s="394" t="n">
        <v>1</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Hàng thương mại mua ngoài</t>
        </is>
      </c>
    </row>
    <row r="331">
      <c r="A331" t="inlineStr">
        <is>
          <t>SW-TRD-473-TM</t>
        </is>
      </c>
      <c r="B331" t="inlineStr">
        <is>
          <t>SW-TRD-473</t>
        </is>
      </c>
      <c r="C331" t="inlineStr">
        <is>
          <t>MÁY LẠNH CỤC BỘ ACU-B1-Z2-01,02</t>
        </is>
      </c>
      <c r="D331" t="inlineStr">
        <is>
          <t>THUONG_MAI</t>
        </is>
      </c>
      <c r="E331" t="inlineStr">
        <is>
          <t>MAT-THUONG_MAI-MAY_LANH_CUC_BO_ACU_B1_Z2_01_02</t>
        </is>
      </c>
      <c r="F331" t="inlineStr">
        <is>
          <t>Bộ</t>
        </is>
      </c>
      <c r="G331" s="394" t="n">
        <v>1</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Hàng thương mại mua ngoài</t>
        </is>
      </c>
    </row>
    <row r="332">
      <c r="A332" t="inlineStr">
        <is>
          <t>SW-TRD-474-TM</t>
        </is>
      </c>
      <c r="B332" t="inlineStr">
        <is>
          <t>SW-TRD-474</t>
        </is>
      </c>
      <c r="C332" t="inlineStr">
        <is>
          <t>MÁY LẠNH CỤC BỘ ACU-B1-Z2-03,04</t>
        </is>
      </c>
      <c r="D332" t="inlineStr">
        <is>
          <t>THUONG_MAI</t>
        </is>
      </c>
      <c r="E332" t="inlineStr">
        <is>
          <t>MAT-THUONG_MAI-MAY_LANH_CUC_BO_ACU_B1_Z2_03_04</t>
        </is>
      </c>
      <c r="F332" t="inlineStr">
        <is>
          <t>Bộ</t>
        </is>
      </c>
      <c r="G332" s="394" t="n">
        <v>1</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Hàng thương mại mua ngoài</t>
        </is>
      </c>
    </row>
    <row r="333">
      <c r="A333" t="inlineStr">
        <is>
          <t>SW-TRD-475-TM</t>
        </is>
      </c>
      <c r="B333" t="inlineStr">
        <is>
          <t>SW-TRD-475</t>
        </is>
      </c>
      <c r="C333" t="inlineStr">
        <is>
          <t>MÁY LẠNH CỤC BỘ ACU-B1-Z2-05,06</t>
        </is>
      </c>
      <c r="D333" t="inlineStr">
        <is>
          <t>THUONG_MAI</t>
        </is>
      </c>
      <c r="E333" t="inlineStr">
        <is>
          <t>MAT-THUONG_MAI-MAY_LANH_CUC_BO_ACU_B1_Z2_05_06</t>
        </is>
      </c>
      <c r="F333" t="inlineStr">
        <is>
          <t>Bộ</t>
        </is>
      </c>
      <c r="G333" s="394" t="n">
        <v>1</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Hàng thương mại mua ngoài</t>
        </is>
      </c>
    </row>
    <row r="334">
      <c r="A334" t="inlineStr">
        <is>
          <t>SW-TRD-476-TM</t>
        </is>
      </c>
      <c r="B334" t="inlineStr">
        <is>
          <t>SW-TRD-476</t>
        </is>
      </c>
      <c r="C334" t="inlineStr">
        <is>
          <t>MÁY LẠNH CỤC BỘ ACU-B1-Z2-07,08</t>
        </is>
      </c>
      <c r="D334" t="inlineStr">
        <is>
          <t>THUONG_MAI</t>
        </is>
      </c>
      <c r="E334" t="inlineStr">
        <is>
          <t>MAT-THUONG_MAI-MAY_LANH_CUC_BO_ACU_B1_Z2_07_08</t>
        </is>
      </c>
      <c r="F334" t="inlineStr">
        <is>
          <t>Bộ</t>
        </is>
      </c>
      <c r="G334" s="394" t="n">
        <v>1</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Hàng thương mại mua ngoài</t>
        </is>
      </c>
    </row>
    <row r="335">
      <c r="A335" t="inlineStr">
        <is>
          <t>SW-TRD-477-TM</t>
        </is>
      </c>
      <c r="B335" t="inlineStr">
        <is>
          <t>SW-TRD-477</t>
        </is>
      </c>
      <c r="C335" t="inlineStr">
        <is>
          <t>MÁY LẠNH CỤC BỘ Vật tư phụ, phụ kiện</t>
        </is>
      </c>
      <c r="D335" t="inlineStr">
        <is>
          <t>THUONG_MAI</t>
        </is>
      </c>
      <c r="E335" t="inlineStr">
        <is>
          <t>MAT-THUONG_MAI-MAY_LANH_CUC_BO_VAT_TU_PHU_PHU_KIEN</t>
        </is>
      </c>
      <c r="F335" t="inlineStr">
        <is>
          <t>Lô</t>
        </is>
      </c>
      <c r="G335" s="394" t="n">
        <v>1</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Hàng thương mại mua ngoài</t>
        </is>
      </c>
    </row>
    <row r="336">
      <c r="A336" t="inlineStr">
        <is>
          <t>SW-ACST-478-ROCKWOOL</t>
        </is>
      </c>
      <c r="B336" t="inlineStr">
        <is>
          <t>SW-ACST-478</t>
        </is>
      </c>
      <c r="C336" t="inlineStr">
        <is>
          <t>Bông Rockwool tỷ trọng 50kg/m3 dày 50mm</t>
        </is>
      </c>
      <c r="D336" t="inlineStr">
        <is>
          <t>VẬT_LIỆU_TIÊU_ÂM</t>
        </is>
      </c>
      <c r="E336" t="inlineStr">
        <is>
          <t>ROCKWOOL_50MM_50KG</t>
        </is>
      </c>
      <c r="F336" t="inlineStr">
        <is>
          <t>m2</t>
        </is>
      </c>
      <c r="G336" s="394" t="n">
        <v>1.1</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Diện tích vách 1.00m2</t>
        </is>
      </c>
    </row>
    <row r="337">
      <c r="A337" t="inlineStr">
        <is>
          <t>SW-ACST-478-GLASSCLOTH</t>
        </is>
      </c>
      <c r="B337" t="inlineStr">
        <is>
          <t>SW-ACST-478</t>
        </is>
      </c>
      <c r="C337" t="inlineStr">
        <is>
          <t>Vải thủy tinh bọc tiêu âm</t>
        </is>
      </c>
      <c r="D337" t="inlineStr">
        <is>
          <t>VẬT_LIỆU_TIÊU_ÂM</t>
        </is>
      </c>
      <c r="E337" t="inlineStr">
        <is>
          <t>GLASS_CLOTH</t>
        </is>
      </c>
      <c r="F337" t="inlineStr">
        <is>
          <t>m2</t>
        </is>
      </c>
      <c r="G337" s="394" t="n">
        <v>1.1</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Diện tích vách 1.00m2</t>
        </is>
      </c>
    </row>
    <row r="338">
      <c r="A338" t="inlineStr">
        <is>
          <t>SW-ACST-478-PERFORATED</t>
        </is>
      </c>
      <c r="B338" t="inlineStr">
        <is>
          <t>SW-ACST-478</t>
        </is>
      </c>
      <c r="C338" t="inlineStr">
        <is>
          <t>Tôn đục lỗ tiêu âm</t>
        </is>
      </c>
      <c r="D338" t="inlineStr">
        <is>
          <t>VẬT_LIỆU_TIÊU_ÂM</t>
        </is>
      </c>
      <c r="E338" t="inlineStr">
        <is>
          <t>PERFORATED_SHEET</t>
        </is>
      </c>
      <c r="F338" t="inlineStr">
        <is>
          <t>m2</t>
        </is>
      </c>
      <c r="G338" s="394" t="n">
        <v>1.1</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Bọc mặt ngoài</t>
        </is>
      </c>
    </row>
    <row r="339">
      <c r="A339" t="inlineStr">
        <is>
          <t>SW-ACST-478-BOX</t>
        </is>
      </c>
      <c r="B339" t="inlineStr">
        <is>
          <t>SW-ACST-478</t>
        </is>
      </c>
      <c r="C339" t="inlineStr">
        <is>
          <t>Box phụ kiện -</t>
        </is>
      </c>
      <c r="D339" t="inlineStr">
        <is>
          <t>THUONG_MAI</t>
        </is>
      </c>
      <c r="E339" t="inlineStr">
        <is>
          <t>MAT-BOX-MIENG_GIO_BOX_GIO_CA_B991</t>
        </is>
      </c>
      <c r="F339" t="inlineStr">
        <is>
          <t>Cái</t>
        </is>
      </c>
      <c r="G339" s="394" t="n">
        <v>1</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Phụ kiện bóc tách động (Rule-based)</t>
        </is>
      </c>
    </row>
    <row r="340">
      <c r="A340" t="inlineStr">
        <is>
          <t>SW-ACST-479-ROCKWOOL</t>
        </is>
      </c>
      <c r="B340" t="inlineStr">
        <is>
          <t>SW-ACST-479</t>
        </is>
      </c>
      <c r="C340" t="inlineStr">
        <is>
          <t>Bông Rockwool tỷ trọng 50kg/m3 dày 50mm</t>
        </is>
      </c>
      <c r="D340" t="inlineStr">
        <is>
          <t>VẬT_LIỆU_TIÊU_ÂM</t>
        </is>
      </c>
      <c r="E340" t="inlineStr">
        <is>
          <t>ROCKWOOL_50MM_50KG</t>
        </is>
      </c>
      <c r="F340" t="inlineStr">
        <is>
          <t>m2</t>
        </is>
      </c>
      <c r="G340" s="394" t="n">
        <v>1.1</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Diện tích vách 1.00m2</t>
        </is>
      </c>
    </row>
    <row r="341">
      <c r="A341" t="inlineStr">
        <is>
          <t>SW-ACST-479-GLASSCLOTH</t>
        </is>
      </c>
      <c r="B341" t="inlineStr">
        <is>
          <t>SW-ACST-479</t>
        </is>
      </c>
      <c r="C341" t="inlineStr">
        <is>
          <t>Vải thủy tinh bọc tiêu âm</t>
        </is>
      </c>
      <c r="D341" t="inlineStr">
        <is>
          <t>VẬT_LIỆU_TIÊU_ÂM</t>
        </is>
      </c>
      <c r="E341" t="inlineStr">
        <is>
          <t>GLASS_CLOTH</t>
        </is>
      </c>
      <c r="F341" t="inlineStr">
        <is>
          <t>m2</t>
        </is>
      </c>
      <c r="G341" s="394" t="n">
        <v>1.1</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Diện tích vách 1.00m2</t>
        </is>
      </c>
    </row>
    <row r="342">
      <c r="A342" t="inlineStr">
        <is>
          <t>SW-ACST-479-PERFORATED</t>
        </is>
      </c>
      <c r="B342" t="inlineStr">
        <is>
          <t>SW-ACST-479</t>
        </is>
      </c>
      <c r="C342" t="inlineStr">
        <is>
          <t>Tôn đục lỗ tiêu âm</t>
        </is>
      </c>
      <c r="D342" t="inlineStr">
        <is>
          <t>VẬT_LIỆU_TIÊU_ÂM</t>
        </is>
      </c>
      <c r="E342" t="inlineStr">
        <is>
          <t>PERFORATED_SHEET</t>
        </is>
      </c>
      <c r="F342" t="inlineStr">
        <is>
          <t>m2</t>
        </is>
      </c>
      <c r="G342" s="394" t="n">
        <v>1.1</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Bọc mặt ngoài</t>
        </is>
      </c>
    </row>
    <row r="343">
      <c r="A343" t="inlineStr">
        <is>
          <t>SW-ACST-479-BOX</t>
        </is>
      </c>
      <c r="B343" t="inlineStr">
        <is>
          <t>SW-ACST-479</t>
        </is>
      </c>
      <c r="C343" t="inlineStr">
        <is>
          <t>Box phụ kiện -</t>
        </is>
      </c>
      <c r="D343" t="inlineStr">
        <is>
          <t>THUONG_MAI</t>
        </is>
      </c>
      <c r="E343" t="inlineStr">
        <is>
          <t>MAT-BOX-MIENG_GIO_BOX_GIO_CA_2E17</t>
        </is>
      </c>
      <c r="F343" t="inlineStr">
        <is>
          <t>Cái</t>
        </is>
      </c>
      <c r="G343" s="394" t="n">
        <v>1</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Phụ kiện bóc tách động (Rule-based)</t>
        </is>
      </c>
    </row>
    <row r="344">
      <c r="A344" t="inlineStr">
        <is>
          <t>SW-ACST-480-ROCKWOOL</t>
        </is>
      </c>
      <c r="B344" t="inlineStr">
        <is>
          <t>SW-ACST-480</t>
        </is>
      </c>
      <c r="C344" t="inlineStr">
        <is>
          <t>Bông Rockwool tỷ trọng 50kg/m3 dày 50mm</t>
        </is>
      </c>
      <c r="D344" t="inlineStr">
        <is>
          <t>VẬT_LIỆU_TIÊU_ÂM</t>
        </is>
      </c>
      <c r="E344" t="inlineStr">
        <is>
          <t>ROCKWOOL_50MM_50KG</t>
        </is>
      </c>
      <c r="F344" t="inlineStr">
        <is>
          <t>m2</t>
        </is>
      </c>
      <c r="G344" s="394" t="n">
        <v>1.1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Diện tích vách 1.00m2</t>
        </is>
      </c>
    </row>
    <row r="345">
      <c r="A345" t="inlineStr">
        <is>
          <t>SW-ACST-480-GLASSCLOTH</t>
        </is>
      </c>
      <c r="B345" t="inlineStr">
        <is>
          <t>SW-ACST-480</t>
        </is>
      </c>
      <c r="C345" t="inlineStr">
        <is>
          <t>Vải thủy tinh bọc tiêu âm</t>
        </is>
      </c>
      <c r="D345" t="inlineStr">
        <is>
          <t>VẬT_LIỆU_TIÊU_ÂM</t>
        </is>
      </c>
      <c r="E345" t="inlineStr">
        <is>
          <t>GLASS_CLOTH</t>
        </is>
      </c>
      <c r="F345" t="inlineStr">
        <is>
          <t>m2</t>
        </is>
      </c>
      <c r="G345" s="394" t="n">
        <v>1.1</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Diện tích vách 1.00m2</t>
        </is>
      </c>
    </row>
    <row r="346">
      <c r="A346" t="inlineStr">
        <is>
          <t>SW-ACST-480-PERFORATED</t>
        </is>
      </c>
      <c r="B346" t="inlineStr">
        <is>
          <t>SW-ACST-480</t>
        </is>
      </c>
      <c r="C346" t="inlineStr">
        <is>
          <t>Tôn đục lỗ tiêu âm</t>
        </is>
      </c>
      <c r="D346" t="inlineStr">
        <is>
          <t>VẬT_LIỆU_TIÊU_ÂM</t>
        </is>
      </c>
      <c r="E346" t="inlineStr">
        <is>
          <t>PERFORATED_SHEET</t>
        </is>
      </c>
      <c r="F346" t="inlineStr">
        <is>
          <t>m2</t>
        </is>
      </c>
      <c r="G346" s="394" t="n">
        <v>1.1</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Bọc mặt ngoài</t>
        </is>
      </c>
    </row>
    <row r="347">
      <c r="A347" t="inlineStr">
        <is>
          <t>SW-ACST-480-BOX</t>
        </is>
      </c>
      <c r="B347" t="inlineStr">
        <is>
          <t>SW-ACST-480</t>
        </is>
      </c>
      <c r="C347" t="inlineStr">
        <is>
          <t>Box phụ kiện -</t>
        </is>
      </c>
      <c r="D347" t="inlineStr">
        <is>
          <t>THUONG_MAI</t>
        </is>
      </c>
      <c r="E347" t="inlineStr">
        <is>
          <t>MAT-BOX-MIENG_GIO_BOX_GIO_CA_6D80</t>
        </is>
      </c>
      <c r="F347" t="inlineStr">
        <is>
          <t>Cái</t>
        </is>
      </c>
      <c r="G347" s="394" t="n">
        <v>1</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Phụ kiện bóc tách động (Rule-based)</t>
        </is>
      </c>
    </row>
    <row r="348">
      <c r="A348" t="inlineStr">
        <is>
          <t>SW-ACST-481-ROCKWOOL</t>
        </is>
      </c>
      <c r="B348" t="inlineStr">
        <is>
          <t>SW-ACST-481</t>
        </is>
      </c>
      <c r="C348" t="inlineStr">
        <is>
          <t>Bông Rockwool tỷ trọng 50kg/m3 dày 50mm</t>
        </is>
      </c>
      <c r="D348" t="inlineStr">
        <is>
          <t>VẬT_LIỆU_TIÊU_ÂM</t>
        </is>
      </c>
      <c r="E348" t="inlineStr">
        <is>
          <t>ROCKWOOL_50MM_50KG</t>
        </is>
      </c>
      <c r="F348" t="inlineStr">
        <is>
          <t>m2</t>
        </is>
      </c>
      <c r="G348" s="394" t="n">
        <v>1.1</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Diện tích vách 1.00m2</t>
        </is>
      </c>
    </row>
    <row r="349">
      <c r="A349" t="inlineStr">
        <is>
          <t>SW-ACST-481-GLASSCLOTH</t>
        </is>
      </c>
      <c r="B349" t="inlineStr">
        <is>
          <t>SW-ACST-481</t>
        </is>
      </c>
      <c r="C349" t="inlineStr">
        <is>
          <t>Vải thủy tinh bọc tiêu âm</t>
        </is>
      </c>
      <c r="D349" t="inlineStr">
        <is>
          <t>VẬT_LIỆU_TIÊU_ÂM</t>
        </is>
      </c>
      <c r="E349" t="inlineStr">
        <is>
          <t>GLASS_CLOTH</t>
        </is>
      </c>
      <c r="F349" t="inlineStr">
        <is>
          <t>m2</t>
        </is>
      </c>
      <c r="G349" s="394" t="n">
        <v>1.1</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Diện tích vách 1.00m2</t>
        </is>
      </c>
    </row>
    <row r="350">
      <c r="A350" t="inlineStr">
        <is>
          <t>SW-ACST-481-PERFORATED</t>
        </is>
      </c>
      <c r="B350" t="inlineStr">
        <is>
          <t>SW-ACST-481</t>
        </is>
      </c>
      <c r="C350" t="inlineStr">
        <is>
          <t>Tôn đục lỗ tiêu âm</t>
        </is>
      </c>
      <c r="D350" t="inlineStr">
        <is>
          <t>VẬT_LIỆU_TIÊU_ÂM</t>
        </is>
      </c>
      <c r="E350" t="inlineStr">
        <is>
          <t>PERFORATED_SHEET</t>
        </is>
      </c>
      <c r="F350" t="inlineStr">
        <is>
          <t>m2</t>
        </is>
      </c>
      <c r="G350" s="394" t="n">
        <v>1.1</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Bọc mặt ngoài</t>
        </is>
      </c>
    </row>
    <row r="351">
      <c r="A351" t="inlineStr">
        <is>
          <t>SW-ACST-481-BOX</t>
        </is>
      </c>
      <c r="B351" t="inlineStr">
        <is>
          <t>SW-ACST-481</t>
        </is>
      </c>
      <c r="C351" t="inlineStr">
        <is>
          <t>Box phụ kiện -</t>
        </is>
      </c>
      <c r="D351" t="inlineStr">
        <is>
          <t>THUONG_MAI</t>
        </is>
      </c>
      <c r="E351" t="inlineStr">
        <is>
          <t>MAT-BOX-MIENG_GIO_BOX_GIO_CA_A68B</t>
        </is>
      </c>
      <c r="F351" t="inlineStr">
        <is>
          <t>Cái</t>
        </is>
      </c>
      <c r="G351" s="394" t="n">
        <v>1</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Phụ kiện bóc tách động (Rule-based)</t>
        </is>
      </c>
    </row>
    <row r="352">
      <c r="A352" t="inlineStr">
        <is>
          <t>SW-ACST-482-ROCKWOOL</t>
        </is>
      </c>
      <c r="B352" t="inlineStr">
        <is>
          <t>SW-ACST-482</t>
        </is>
      </c>
      <c r="C352" t="inlineStr">
        <is>
          <t>Bông Rockwool tỷ trọng 50kg/m3 dày 50mm</t>
        </is>
      </c>
      <c r="D352" t="inlineStr">
        <is>
          <t>VẬT_LIỆU_TIÊU_ÂM</t>
        </is>
      </c>
      <c r="E352" t="inlineStr">
        <is>
          <t>ROCKWOOL_50MM_50KG</t>
        </is>
      </c>
      <c r="F352" t="inlineStr">
        <is>
          <t>m2</t>
        </is>
      </c>
      <c r="G352" s="394" t="n">
        <v>1.1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Diện tích vách 1.00m2</t>
        </is>
      </c>
    </row>
    <row r="353">
      <c r="A353" t="inlineStr">
        <is>
          <t>SW-ACST-482-GLASSCLOTH</t>
        </is>
      </c>
      <c r="B353" t="inlineStr">
        <is>
          <t>SW-ACST-482</t>
        </is>
      </c>
      <c r="C353" t="inlineStr">
        <is>
          <t>Vải thủy tinh bọc tiêu âm</t>
        </is>
      </c>
      <c r="D353" t="inlineStr">
        <is>
          <t>VẬT_LIỆU_TIÊU_ÂM</t>
        </is>
      </c>
      <c r="E353" t="inlineStr">
        <is>
          <t>GLASS_CLOTH</t>
        </is>
      </c>
      <c r="F353" t="inlineStr">
        <is>
          <t>m2</t>
        </is>
      </c>
      <c r="G353" s="394" t="n">
        <v>1.1</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Diện tích vách 1.00m2</t>
        </is>
      </c>
    </row>
    <row r="354">
      <c r="A354" t="inlineStr">
        <is>
          <t>SW-ACST-482-PERFORATED</t>
        </is>
      </c>
      <c r="B354" t="inlineStr">
        <is>
          <t>SW-ACST-482</t>
        </is>
      </c>
      <c r="C354" t="inlineStr">
        <is>
          <t>Tôn đục lỗ tiêu âm</t>
        </is>
      </c>
      <c r="D354" t="inlineStr">
        <is>
          <t>VẬT_LIỆU_TIÊU_ÂM</t>
        </is>
      </c>
      <c r="E354" t="inlineStr">
        <is>
          <t>PERFORATED_SHEET</t>
        </is>
      </c>
      <c r="F354" t="inlineStr">
        <is>
          <t>m2</t>
        </is>
      </c>
      <c r="G354" s="394" t="n">
        <v>1.1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Bọc mặt ngoài</t>
        </is>
      </c>
    </row>
    <row r="355">
      <c r="A355" t="inlineStr">
        <is>
          <t>SW-ACST-482-BOX</t>
        </is>
      </c>
      <c r="B355" t="inlineStr">
        <is>
          <t>SW-ACST-482</t>
        </is>
      </c>
      <c r="C355" t="inlineStr">
        <is>
          <t>Box phụ kiện -</t>
        </is>
      </c>
      <c r="D355" t="inlineStr">
        <is>
          <t>THUONG_MAI</t>
        </is>
      </c>
      <c r="E355" t="inlineStr">
        <is>
          <t>MAT-BOX-MIENG_GIO_BOX_GIO_CA_052A</t>
        </is>
      </c>
      <c r="F355" t="inlineStr">
        <is>
          <t>Cái</t>
        </is>
      </c>
      <c r="G355" s="394" t="n">
        <v>1</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Phụ kiện bóc tách động (Rule-based)</t>
        </is>
      </c>
    </row>
    <row r="356">
      <c r="A356" t="inlineStr">
        <is>
          <t>SW-ACST-483-ROCKWOOL</t>
        </is>
      </c>
      <c r="B356" t="inlineStr">
        <is>
          <t>SW-ACST-483</t>
        </is>
      </c>
      <c r="C356" t="inlineStr">
        <is>
          <t>Bông Rockwool tỷ trọng 50kg/m3 dày 50mm</t>
        </is>
      </c>
      <c r="D356" t="inlineStr">
        <is>
          <t>VẬT_LIỆU_TIÊU_ÂM</t>
        </is>
      </c>
      <c r="E356" t="inlineStr">
        <is>
          <t>ROCKWOOL_50MM_50KG</t>
        </is>
      </c>
      <c r="F356" t="inlineStr">
        <is>
          <t>m2</t>
        </is>
      </c>
      <c r="G356" s="394" t="n">
        <v>1.1</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Diện tích vách 1.00m2</t>
        </is>
      </c>
    </row>
    <row r="357">
      <c r="A357" t="inlineStr">
        <is>
          <t>SW-ACST-483-GLASSCLOTH</t>
        </is>
      </c>
      <c r="B357" t="inlineStr">
        <is>
          <t>SW-ACST-483</t>
        </is>
      </c>
      <c r="C357" t="inlineStr">
        <is>
          <t>Vải thủy tinh bọc tiêu âm</t>
        </is>
      </c>
      <c r="D357" t="inlineStr">
        <is>
          <t>VẬT_LIỆU_TIÊU_ÂM</t>
        </is>
      </c>
      <c r="E357" t="inlineStr">
        <is>
          <t>GLASS_CLOTH</t>
        </is>
      </c>
      <c r="F357" t="inlineStr">
        <is>
          <t>m2</t>
        </is>
      </c>
      <c r="G357" s="394" t="n">
        <v>1.1</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Diện tích vách 1.00m2</t>
        </is>
      </c>
    </row>
    <row r="358">
      <c r="A358" t="inlineStr">
        <is>
          <t>SW-ACST-483-PERFORATED</t>
        </is>
      </c>
      <c r="B358" t="inlineStr">
        <is>
          <t>SW-ACST-483</t>
        </is>
      </c>
      <c r="C358" t="inlineStr">
        <is>
          <t>Tôn đục lỗ tiêu âm</t>
        </is>
      </c>
      <c r="D358" t="inlineStr">
        <is>
          <t>VẬT_LIỆU_TIÊU_ÂM</t>
        </is>
      </c>
      <c r="E358" t="inlineStr">
        <is>
          <t>PERFORATED_SHEET</t>
        </is>
      </c>
      <c r="F358" t="inlineStr">
        <is>
          <t>m2</t>
        </is>
      </c>
      <c r="G358" s="394" t="n">
        <v>1.1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Bọc mặt ngoài</t>
        </is>
      </c>
    </row>
    <row r="359">
      <c r="A359" t="inlineStr">
        <is>
          <t>SW-ACST-483-BOX</t>
        </is>
      </c>
      <c r="B359" t="inlineStr">
        <is>
          <t>SW-ACST-483</t>
        </is>
      </c>
      <c r="C359" t="inlineStr">
        <is>
          <t>Box phụ kiện -</t>
        </is>
      </c>
      <c r="D359" t="inlineStr">
        <is>
          <t>THUONG_MAI</t>
        </is>
      </c>
      <c r="E359" t="inlineStr">
        <is>
          <t>MAT-BOX-MIENG_GIO_BOX_GIO_CA_3AC7</t>
        </is>
      </c>
      <c r="F359" t="inlineStr">
        <is>
          <t>Cái</t>
        </is>
      </c>
      <c r="G359" s="394" t="n">
        <v>1</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Phụ kiện bóc tách động (Rule-based)</t>
        </is>
      </c>
    </row>
    <row r="360">
      <c r="A360" t="inlineStr">
        <is>
          <t>SW-DIFF-484-BOX</t>
        </is>
      </c>
      <c r="B360" t="inlineStr">
        <is>
          <t>SW-DIFF-484</t>
        </is>
      </c>
      <c r="C360" t="inlineStr">
        <is>
          <t>Box phụ kiện 600x600</t>
        </is>
      </c>
      <c r="D360" t="inlineStr">
        <is>
          <t>THUONG_MAI</t>
        </is>
      </c>
      <c r="E360" t="inlineStr">
        <is>
          <t>MAT-BOX-MIENG_GIO_CAP_SAG600_BACF</t>
        </is>
      </c>
      <c r="F360" t="inlineStr">
        <is>
          <t>Cái</t>
        </is>
      </c>
      <c r="G360" s="394" t="n">
        <v>1</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Phụ kiện bóc tách động (Rule-based)</t>
        </is>
      </c>
    </row>
    <row r="361">
      <c r="A361" t="inlineStr">
        <is>
          <t>SW-DIFF-485-BOX</t>
        </is>
      </c>
      <c r="B361" t="inlineStr">
        <is>
          <t>SW-DIFF-485</t>
        </is>
      </c>
      <c r="C361" t="inlineStr">
        <is>
          <t>Box phụ kiện 600x600</t>
        </is>
      </c>
      <c r="D361" t="inlineStr">
        <is>
          <t>THUONG_MAI</t>
        </is>
      </c>
      <c r="E361" t="inlineStr">
        <is>
          <t>MAT-BOX-MIENG_GIO_HOI_RAG600_7262</t>
        </is>
      </c>
      <c r="F361" t="inlineStr">
        <is>
          <t>Cái</t>
        </is>
      </c>
      <c r="G361" s="394" t="n">
        <v>1</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Phụ kiện bóc tách động (Rule-based)</t>
        </is>
      </c>
    </row>
    <row r="362">
      <c r="A362" t="inlineStr">
        <is>
          <t>SW-TRD-486-TM</t>
        </is>
      </c>
      <c r="B362" t="inlineStr">
        <is>
          <t>SW-TRD-486</t>
        </is>
      </c>
      <c r="C362" t="inlineStr">
        <is>
          <t>MIỆNG GIÓ Vật tư phụ, phụ kiện</t>
        </is>
      </c>
      <c r="D362" t="inlineStr">
        <is>
          <t>THUONG_MAI</t>
        </is>
      </c>
      <c r="E362" t="inlineStr">
        <is>
          <t>MAT-THUONG_MAI-MIENG_GIO_VAT_TU_PHU_PHU_KIEN</t>
        </is>
      </c>
      <c r="F362" t="inlineStr">
        <is>
          <t>Lô</t>
        </is>
      </c>
      <c r="G362" s="394" t="n">
        <v>1</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Hàng thương mại mua ngoài</t>
        </is>
      </c>
    </row>
    <row r="363">
      <c r="A363" t="inlineStr">
        <is>
          <t>SW-DUCT-487-BODY</t>
        </is>
      </c>
      <c r="B363" t="inlineStr">
        <is>
          <t>SW-DUCT-487</t>
        </is>
      </c>
      <c r="C363" t="inlineStr">
        <is>
          <t>Tôn mạ kẽm PN (0.58mm) - Định mức m²</t>
        </is>
      </c>
      <c r="D363" t="inlineStr">
        <is>
          <t>TÔN_CUỘN_MẠ_KẼM</t>
        </is>
      </c>
      <c r="E363" t="inlineStr">
        <is>
          <t>MAT-STEEL-PN-0.58</t>
        </is>
      </c>
      <c r="F363" t="inlineStr">
        <is>
          <t>kg</t>
        </is>
      </c>
      <c r="G363" s="394" t="n">
        <v>5.163101999999999</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Định mức tôn cho 1m² ống: phôi x1.08, hao hụt x1.05</t>
        </is>
      </c>
    </row>
    <row r="364">
      <c r="A364" t="inlineStr">
        <is>
          <t>SW-DUCT-488-BODY</t>
        </is>
      </c>
      <c r="B364" t="inlineStr">
        <is>
          <t>SW-DUCT-488</t>
        </is>
      </c>
      <c r="C364" t="inlineStr">
        <is>
          <t>Tôn mạ kẽm PN (0.75mm) - Định mức m²</t>
        </is>
      </c>
      <c r="D364" t="inlineStr">
        <is>
          <t>TÔN_CUỘN_MẠ_KẼM</t>
        </is>
      </c>
      <c r="E364" t="inlineStr">
        <is>
          <t>MAT-STEEL-PN-0.75</t>
        </is>
      </c>
      <c r="F364" t="inlineStr">
        <is>
          <t>kg</t>
        </is>
      </c>
      <c r="G364" s="394" t="n">
        <v>6.676425</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Định mức tôn cho 1m² ống: phôi x1.08, hao hụt x1.05</t>
        </is>
      </c>
    </row>
    <row r="365">
      <c r="A365" t="inlineStr">
        <is>
          <t>SW-ACST-489-ROCKWOOL</t>
        </is>
      </c>
      <c r="B365" t="inlineStr">
        <is>
          <t>SW-ACST-489</t>
        </is>
      </c>
      <c r="C365" t="inlineStr">
        <is>
          <t>Bông Rockwool tỷ trọng 50kg/m3 dày 50mm</t>
        </is>
      </c>
      <c r="D365" t="inlineStr">
        <is>
          <t>VẬT_LIỆU_TIÊU_ÂM</t>
        </is>
      </c>
      <c r="E365" t="inlineStr">
        <is>
          <t>ROCKWOOL_50MM_50KG</t>
        </is>
      </c>
      <c r="F365" t="inlineStr">
        <is>
          <t>m2</t>
        </is>
      </c>
      <c r="G365" s="394" t="n">
        <v>1.1</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Diện tích vách 1.00m2</t>
        </is>
      </c>
    </row>
    <row r="366">
      <c r="A366" t="inlineStr">
        <is>
          <t>SW-ACST-489-GLASSCLOTH</t>
        </is>
      </c>
      <c r="B366" t="inlineStr">
        <is>
          <t>SW-ACST-489</t>
        </is>
      </c>
      <c r="C366" t="inlineStr">
        <is>
          <t>Vải thủy tinh bọc tiêu âm</t>
        </is>
      </c>
      <c r="D366" t="inlineStr">
        <is>
          <t>VẬT_LIỆU_TIÊU_ÂM</t>
        </is>
      </c>
      <c r="E366" t="inlineStr">
        <is>
          <t>GLASS_CLOTH</t>
        </is>
      </c>
      <c r="F366" t="inlineStr">
        <is>
          <t>m2</t>
        </is>
      </c>
      <c r="G366" s="394" t="n">
        <v>1.1</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Diện tích vách 1.00m2</t>
        </is>
      </c>
    </row>
    <row r="367">
      <c r="A367" t="inlineStr">
        <is>
          <t>SW-ACST-489-PERFORATED</t>
        </is>
      </c>
      <c r="B367" t="inlineStr">
        <is>
          <t>SW-ACST-489</t>
        </is>
      </c>
      <c r="C367" t="inlineStr">
        <is>
          <t>Tôn đục lỗ tiêu âm</t>
        </is>
      </c>
      <c r="D367" t="inlineStr">
        <is>
          <t>VẬT_LIỆU_TIÊU_ÂM</t>
        </is>
      </c>
      <c r="E367" t="inlineStr">
        <is>
          <t>PERFORATED_SHEET</t>
        </is>
      </c>
      <c r="F367" t="inlineStr">
        <is>
          <t>m2</t>
        </is>
      </c>
      <c r="G367" s="394" t="n">
        <v>1.1</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Bọc mặt ngoài</t>
        </is>
      </c>
    </row>
    <row r="368">
      <c r="A368" t="inlineStr">
        <is>
          <t>SW-FLEX-490-TM</t>
        </is>
      </c>
      <c r="B368" t="inlineStr">
        <is>
          <t>SW-FLEX-490</t>
        </is>
      </c>
      <c r="C368" t="inlineStr">
        <is>
          <t>ỐNG GIÓ LẠNH Ống gió mềm D400 cách nhiệt dày 25mm</t>
        </is>
      </c>
      <c r="D368" t="inlineStr">
        <is>
          <t>ONG_MEM</t>
        </is>
      </c>
      <c r="E368" t="inlineStr">
        <is>
          <t>FLEX_DUCT_D400_INSULATED</t>
        </is>
      </c>
      <c r="F368" t="inlineStr">
        <is>
          <t>m</t>
        </is>
      </c>
      <c r="G368" s="394" t="n">
        <v>1</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Hàng thương mại mua ngoài</t>
        </is>
      </c>
    </row>
    <row r="369">
      <c r="A369" t="inlineStr">
        <is>
          <t>SW-FLEX-491-TM</t>
        </is>
      </c>
      <c r="B369" t="inlineStr">
        <is>
          <t>SW-FLEX-491</t>
        </is>
      </c>
      <c r="C369" t="inlineStr">
        <is>
          <t>ỐNG GIÓ LẠNH Ống gió mềm D350 cách nhiệt dày 25mm</t>
        </is>
      </c>
      <c r="D369" t="inlineStr">
        <is>
          <t>ONG_MEM</t>
        </is>
      </c>
      <c r="E369" t="inlineStr">
        <is>
          <t>FLEX_DUCT_D350_INSULATED</t>
        </is>
      </c>
      <c r="F369" t="inlineStr">
        <is>
          <t>m</t>
        </is>
      </c>
      <c r="G369" s="394" t="n">
        <v>1</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Hàng thương mại mua ngoài</t>
        </is>
      </c>
    </row>
    <row r="370">
      <c r="A370" t="inlineStr">
        <is>
          <t>SW-FLEX-492-TM</t>
        </is>
      </c>
      <c r="B370" t="inlineStr">
        <is>
          <t>SW-FLEX-492</t>
        </is>
      </c>
      <c r="C370" t="inlineStr">
        <is>
          <t>ỐNG GIÓ LẠNH Ống gió mềm D300 cách nhiệt dày 25mm</t>
        </is>
      </c>
      <c r="D370" t="inlineStr">
        <is>
          <t>ONG_MEM</t>
        </is>
      </c>
      <c r="E370" t="inlineStr">
        <is>
          <t>FLEX_DUCT_D300_INSULATED</t>
        </is>
      </c>
      <c r="F370" t="inlineStr">
        <is>
          <t>m</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Hàng thương mại mua ngoài</t>
        </is>
      </c>
    </row>
    <row r="371">
      <c r="A371" t="inlineStr">
        <is>
          <t>SW-FLEX-493-TM</t>
        </is>
      </c>
      <c r="B371" t="inlineStr">
        <is>
          <t>SW-FLEX-493</t>
        </is>
      </c>
      <c r="C371" t="inlineStr">
        <is>
          <t>ỐNG GIÓ LẠNH Ống gió mềm D250 cách nhiệt dày 25mm</t>
        </is>
      </c>
      <c r="D371" t="inlineStr">
        <is>
          <t>ONG_MEM</t>
        </is>
      </c>
      <c r="E371" t="inlineStr">
        <is>
          <t>FLEX_DUCT_D250_INSULATED</t>
        </is>
      </c>
      <c r="F371" t="inlineStr">
        <is>
          <t>m</t>
        </is>
      </c>
      <c r="G371" s="394" t="n">
        <v>1</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Hàng thương mại mua ngoài</t>
        </is>
      </c>
    </row>
    <row r="372">
      <c r="A372" t="inlineStr">
        <is>
          <t>SW-FLEX-494-TM</t>
        </is>
      </c>
      <c r="B372" t="inlineStr">
        <is>
          <t>SW-FLEX-494</t>
        </is>
      </c>
      <c r="C372" t="inlineStr">
        <is>
          <t>ỐNG GIÓ LẠNH Ống gió mềm D400 không cách nhiệt</t>
        </is>
      </c>
      <c r="D372" t="inlineStr">
        <is>
          <t>ONG_MEM</t>
        </is>
      </c>
      <c r="E372" t="inlineStr">
        <is>
          <t>FLEX_DUCT_D400_INSULATED</t>
        </is>
      </c>
      <c r="F372" t="inlineStr">
        <is>
          <t>m</t>
        </is>
      </c>
      <c r="G372" s="394" t="n">
        <v>1</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Hàng thương mại mua ngoài</t>
        </is>
      </c>
    </row>
    <row r="373">
      <c r="A373" t="inlineStr">
        <is>
          <t>SW-FLEX-495-TM</t>
        </is>
      </c>
      <c r="B373" t="inlineStr">
        <is>
          <t>SW-FLEX-495</t>
        </is>
      </c>
      <c r="C373" t="inlineStr">
        <is>
          <t>ỐNG GIÓ LẠNH Ống gió mềm D350 không cách nhiệt</t>
        </is>
      </c>
      <c r="D373" t="inlineStr">
        <is>
          <t>ONG_MEM</t>
        </is>
      </c>
      <c r="E373" t="inlineStr">
        <is>
          <t>FLEX_DUCT_D350_INSULATED</t>
        </is>
      </c>
      <c r="F373" t="inlineStr">
        <is>
          <t>m</t>
        </is>
      </c>
      <c r="G373" s="394" t="n">
        <v>1</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Hàng thương mại mua ngoài</t>
        </is>
      </c>
    </row>
    <row r="374">
      <c r="A374" t="inlineStr">
        <is>
          <t>SW-FLEX-496-TM</t>
        </is>
      </c>
      <c r="B374" t="inlineStr">
        <is>
          <t>SW-FLEX-496</t>
        </is>
      </c>
      <c r="C374" t="inlineStr">
        <is>
          <t>ỐNG GIÓ LẠNH Ống gió mềm D300 không cách nhiệt</t>
        </is>
      </c>
      <c r="D374" t="inlineStr">
        <is>
          <t>ONG_MEM</t>
        </is>
      </c>
      <c r="E374" t="inlineStr">
        <is>
          <t>FLEX_DUCT_D300_INSULATED</t>
        </is>
      </c>
      <c r="F374" t="inlineStr">
        <is>
          <t>m</t>
        </is>
      </c>
      <c r="G374" s="394" t="n">
        <v>1</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Hàng thương mại mua ngoài</t>
        </is>
      </c>
    </row>
    <row r="375">
      <c r="A375" t="inlineStr">
        <is>
          <t>SW-FLEX-497-TM</t>
        </is>
      </c>
      <c r="B375" t="inlineStr">
        <is>
          <t>SW-FLEX-497</t>
        </is>
      </c>
      <c r="C375" t="inlineStr">
        <is>
          <t>ỐNG GIÓ LẠNH Ống gió mềm D250 không cách nhiệt</t>
        </is>
      </c>
      <c r="D375" t="inlineStr">
        <is>
          <t>ONG_MEM</t>
        </is>
      </c>
      <c r="E375" t="inlineStr">
        <is>
          <t>FLEX_DUCT_D250_INSULATED</t>
        </is>
      </c>
      <c r="F375" t="inlineStr">
        <is>
          <t>m</t>
        </is>
      </c>
      <c r="G375" s="394" t="n">
        <v>1</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Hàng thương mại mua ngoài</t>
        </is>
      </c>
    </row>
    <row r="376">
      <c r="A376" t="inlineStr">
        <is>
          <t>SW-TRD-498-TM</t>
        </is>
      </c>
      <c r="B376" t="inlineStr">
        <is>
          <t>SW-TRD-498</t>
        </is>
      </c>
      <c r="C376" t="inlineStr">
        <is>
          <t>ỐNG GIÓ LẠNH Vật tư phụ, phụ kiện</t>
        </is>
      </c>
      <c r="D376" t="inlineStr">
        <is>
          <t>THUONG_MAI</t>
        </is>
      </c>
      <c r="E376" t="inlineStr">
        <is>
          <t>MAT-THUONG_MAI-ONG_GIO_LANH_VAT_TU_PHU_PHU_KIEN</t>
        </is>
      </c>
      <c r="F376" t="inlineStr">
        <is>
          <t>Lô</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Hàng thương mại mua ngoài</t>
        </is>
      </c>
    </row>
    <row r="377">
      <c r="A377" t="inlineStr">
        <is>
          <t>SW-TRD-499-TM</t>
        </is>
      </c>
      <c r="B377" t="inlineStr">
        <is>
          <t>SW-TRD-499</t>
        </is>
      </c>
      <c r="C377" t="inlineStr">
        <is>
          <t>Cách nhiệt ông đồng D28,6 Bộ chia gas</t>
        </is>
      </c>
      <c r="D377" t="inlineStr">
        <is>
          <t>THUONG_MAI</t>
        </is>
      </c>
      <c r="E377" t="inlineStr">
        <is>
          <t>MAT-THUONG_MAI-CACH_NHIET_ONG_DONG_D28_6_BO_C_A499</t>
        </is>
      </c>
      <c r="F377" t="inlineStr">
        <is>
          <t>Bộ</t>
        </is>
      </c>
      <c r="G377" s="394" t="n">
        <v>1</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Hàng thương mại mua ngoài</t>
        </is>
      </c>
    </row>
    <row r="378">
      <c r="A378" t="inlineStr">
        <is>
          <t>SW-TRD-500-TM</t>
        </is>
      </c>
      <c r="B378" t="inlineStr">
        <is>
          <t>SW-TRD-500</t>
        </is>
      </c>
      <c r="C378" t="inlineStr">
        <is>
          <t>Cách nhiệt ông đồng D28,6 Nap ga bổ sung</t>
        </is>
      </c>
      <c r="D378" t="inlineStr">
        <is>
          <t>THUONG_MAI</t>
        </is>
      </c>
      <c r="E378" t="inlineStr">
        <is>
          <t>MAT-THUONG_MAI-CACH_NHIET_ONG_DONG_D28_6_NAP_E095</t>
        </is>
      </c>
      <c r="F378" t="inlineStr">
        <is>
          <t>Lô</t>
        </is>
      </c>
      <c r="G378" s="394" t="n">
        <v>1</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Hàng thương mại mua ngoài</t>
        </is>
      </c>
    </row>
    <row r="379">
      <c r="A379" t="inlineStr">
        <is>
          <t>SW-TRD-501-TM</t>
        </is>
      </c>
      <c r="B379" t="inlineStr">
        <is>
          <t>SW-TRD-501</t>
        </is>
      </c>
      <c r="C379" t="inlineStr">
        <is>
          <t>Cách nhiệt ông đồng D28,6 Vật tư phụ, phụ kiện</t>
        </is>
      </c>
      <c r="D379" t="inlineStr">
        <is>
          <t>THUONG_MAI</t>
        </is>
      </c>
      <c r="E379" t="inlineStr">
        <is>
          <t>MAT-THUONG_MAI-CACH_NHIET_ONG_DONG_D28_6_VAT_1DE1</t>
        </is>
      </c>
      <c r="F379" t="inlineStr">
        <is>
          <t>Lô</t>
        </is>
      </c>
      <c r="G379" s="394" t="n">
        <v>1</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Hàng thương mại mua ngoài</t>
        </is>
      </c>
    </row>
    <row r="380">
      <c r="A380" t="inlineStr">
        <is>
          <t>SW-TRD-502-TM</t>
        </is>
      </c>
      <c r="B380" t="inlineStr">
        <is>
          <t>SW-TRD-502</t>
        </is>
      </c>
      <c r="C380" t="inlineStr">
        <is>
          <t>NƯỚC NGƯNG Ống uPVC D27</t>
        </is>
      </c>
      <c r="D380" t="inlineStr">
        <is>
          <t>THUONG_MAI</t>
        </is>
      </c>
      <c r="E380" t="inlineStr">
        <is>
          <t>MAT-THUONG_MAI-NUOC_NGUNG_ONG_UPVC_D27</t>
        </is>
      </c>
      <c r="F380" t="inlineStr">
        <is>
          <t>m</t>
        </is>
      </c>
      <c r="G380" s="394" t="n">
        <v>1</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Hàng thương mại mua ngoài</t>
        </is>
      </c>
    </row>
    <row r="381">
      <c r="A381" t="inlineStr">
        <is>
          <t>SW-TRD-503-TM</t>
        </is>
      </c>
      <c r="B381" t="inlineStr">
        <is>
          <t>SW-TRD-503</t>
        </is>
      </c>
      <c r="C381" t="inlineStr">
        <is>
          <t>NƯỚC NGƯNG Ống uPVC D34</t>
        </is>
      </c>
      <c r="D381" t="inlineStr">
        <is>
          <t>THUONG_MAI</t>
        </is>
      </c>
      <c r="E381" t="inlineStr">
        <is>
          <t>MAT-THUONG_MAI-NUOC_NGUNG_ONG_UPVC_D34</t>
        </is>
      </c>
      <c r="F381" t="inlineStr">
        <is>
          <t>m</t>
        </is>
      </c>
      <c r="G381" s="394" t="n">
        <v>1</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Hàng thương mại mua ngoài</t>
        </is>
      </c>
    </row>
    <row r="382">
      <c r="A382" t="inlineStr">
        <is>
          <t>SW-TRD-504-TM</t>
        </is>
      </c>
      <c r="B382" t="inlineStr">
        <is>
          <t>SW-TRD-504</t>
        </is>
      </c>
      <c r="C382" t="inlineStr">
        <is>
          <t>NƯỚC NGƯNG Ống uPVC D42</t>
        </is>
      </c>
      <c r="D382" t="inlineStr">
        <is>
          <t>THUONG_MAI</t>
        </is>
      </c>
      <c r="E382" t="inlineStr">
        <is>
          <t>MAT-THUONG_MAI-NUOC_NGUNG_ONG_UPVC_D42</t>
        </is>
      </c>
      <c r="F382" t="inlineStr">
        <is>
          <t>m</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Hàng thương mại mua ngoài</t>
        </is>
      </c>
    </row>
    <row r="383">
      <c r="A383" t="inlineStr">
        <is>
          <t>SW-TRD-505-TM</t>
        </is>
      </c>
      <c r="B383" t="inlineStr">
        <is>
          <t>SW-TRD-505</t>
        </is>
      </c>
      <c r="C383" t="inlineStr">
        <is>
          <t>NƯỚC NGƯNG Ống uPVC D60</t>
        </is>
      </c>
      <c r="D383" t="inlineStr">
        <is>
          <t>THUONG_MAI</t>
        </is>
      </c>
      <c r="E383" t="inlineStr">
        <is>
          <t>MAT-THUONG_MAI-NUOC_NGUNG_ONG_UPVC_D60</t>
        </is>
      </c>
      <c r="F383" t="inlineStr">
        <is>
          <t>m</t>
        </is>
      </c>
      <c r="G383" s="394" t="n">
        <v>1</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Hàng thương mại mua ngoài</t>
        </is>
      </c>
    </row>
    <row r="384">
      <c r="A384" t="inlineStr">
        <is>
          <t>SW-TRD-506-TM</t>
        </is>
      </c>
      <c r="B384" t="inlineStr">
        <is>
          <t>SW-TRD-506</t>
        </is>
      </c>
      <c r="C384" t="inlineStr">
        <is>
          <t>NƯỚC NGƯNG Cách nhiệt ống uPVC D27</t>
        </is>
      </c>
      <c r="D384" t="inlineStr">
        <is>
          <t>THUONG_MAI</t>
        </is>
      </c>
      <c r="E384" t="inlineStr">
        <is>
          <t>MAT-THUONG_MAI-NUOC_NGUNG_CACH_NHIET_ONG_UPVC_D27</t>
        </is>
      </c>
      <c r="F384" t="inlineStr">
        <is>
          <t>m</t>
        </is>
      </c>
      <c r="G384" s="394" t="n">
        <v>1</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Hàng thương mại mua ngoài</t>
        </is>
      </c>
    </row>
    <row r="385">
      <c r="A385" t="inlineStr">
        <is>
          <t>SW-TRD-507-TM</t>
        </is>
      </c>
      <c r="B385" t="inlineStr">
        <is>
          <t>SW-TRD-507</t>
        </is>
      </c>
      <c r="C385" t="inlineStr">
        <is>
          <t>NƯỚC NGƯNG Cách nhiệt ống uPVC D34</t>
        </is>
      </c>
      <c r="D385" t="inlineStr">
        <is>
          <t>THUONG_MAI</t>
        </is>
      </c>
      <c r="E385" t="inlineStr">
        <is>
          <t>MAT-THUONG_MAI-NUOC_NGUNG_CACH_NHIET_ONG_UPVC_D34</t>
        </is>
      </c>
      <c r="F385" t="inlineStr">
        <is>
          <t>m</t>
        </is>
      </c>
      <c r="G385" s="394" t="n">
        <v>1</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Hàng thương mại mua ngoài</t>
        </is>
      </c>
    </row>
    <row r="386">
      <c r="A386" t="inlineStr">
        <is>
          <t>SW-TRD-508-TM</t>
        </is>
      </c>
      <c r="B386" t="inlineStr">
        <is>
          <t>SW-TRD-508</t>
        </is>
      </c>
      <c r="C386" t="inlineStr">
        <is>
          <t>NƯỚC NGƯNG Cách nhiệt ống uPVC D42</t>
        </is>
      </c>
      <c r="D386" t="inlineStr">
        <is>
          <t>THUONG_MAI</t>
        </is>
      </c>
      <c r="E386" t="inlineStr">
        <is>
          <t>MAT-THUONG_MAI-NUOC_NGUNG_CACH_NHIET_ONG_UPVC_D42</t>
        </is>
      </c>
      <c r="F386" t="inlineStr">
        <is>
          <t>m</t>
        </is>
      </c>
      <c r="G386" s="394" t="n">
        <v>1</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Hàng thương mại mua ngoài</t>
        </is>
      </c>
    </row>
    <row r="387">
      <c r="A387" t="inlineStr">
        <is>
          <t>SW-TRD-509-TM</t>
        </is>
      </c>
      <c r="B387" t="inlineStr">
        <is>
          <t>SW-TRD-509</t>
        </is>
      </c>
      <c r="C387" t="inlineStr">
        <is>
          <t>NƯỚC NGƯNG Cách nhiệt ống uPVC D60</t>
        </is>
      </c>
      <c r="D387" t="inlineStr">
        <is>
          <t>THUONG_MAI</t>
        </is>
      </c>
      <c r="E387" t="inlineStr">
        <is>
          <t>MAT-THUONG_MAI-NUOC_NGUNG_CACH_NHIET_ONG_UPVC_D60</t>
        </is>
      </c>
      <c r="F387" t="inlineStr">
        <is>
          <t>m</t>
        </is>
      </c>
      <c r="G387" s="394" t="n">
        <v>1</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Hàng thương mại mua ngoài</t>
        </is>
      </c>
    </row>
    <row r="388">
      <c r="A388" t="inlineStr">
        <is>
          <t>SW-TRD-510-TM</t>
        </is>
      </c>
      <c r="B388" t="inlineStr">
        <is>
          <t>SW-TRD-510</t>
        </is>
      </c>
      <c r="C388" t="inlineStr">
        <is>
          <t>NƯỚC NGƯNG Vật tư phụ, phụ kiện</t>
        </is>
      </c>
      <c r="D388" t="inlineStr">
        <is>
          <t>THUONG_MAI</t>
        </is>
      </c>
      <c r="E388" t="inlineStr">
        <is>
          <t>MAT-THUONG_MAI-NUOC_NGUNG_VAT_TU_PHU_PHU_KIEN</t>
        </is>
      </c>
      <c r="F388" t="inlineStr">
        <is>
          <t>Lô</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Hàng thương mại mua ngoài</t>
        </is>
      </c>
    </row>
    <row r="389">
      <c r="A389" t="inlineStr">
        <is>
          <t>SW-DUCT-511-BODY</t>
        </is>
      </c>
      <c r="B389" t="inlineStr">
        <is>
          <t>SW-DUCT-511</t>
        </is>
      </c>
      <c r="C389" t="inlineStr">
        <is>
          <t>Tôn mạ kẽm PN (1.50mm) - Định mức mét dài</t>
        </is>
      </c>
      <c r="D389" t="inlineStr">
        <is>
          <t>TÔN_CUỘN_MẠ_KẼM</t>
        </is>
      </c>
      <c r="E389" t="inlineStr">
        <is>
          <t>MAT-STEEL-PN-1.50</t>
        </is>
      </c>
      <c r="F389" t="inlineStr">
        <is>
          <t>kg</t>
        </is>
      </c>
      <c r="G389" s="394" t="n">
        <v>14.949010125</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Quy cách 400x150mm, Chu vi phôi 1.130m</t>
        </is>
      </c>
    </row>
    <row r="390">
      <c r="A390" t="inlineStr">
        <is>
          <t>SW-DUCT-512-BODY</t>
        </is>
      </c>
      <c r="B390" t="inlineStr">
        <is>
          <t>SW-DUCT-512</t>
        </is>
      </c>
      <c r="C390" t="inlineStr">
        <is>
          <t>Tôn mạ kẽm PN (1.50mm) - Định mức mét dài</t>
        </is>
      </c>
      <c r="D390" t="inlineStr">
        <is>
          <t>TÔN_CUỘN_MẠ_KẼM</t>
        </is>
      </c>
      <c r="E390" t="inlineStr">
        <is>
          <t>MAT-STEEL-PN-1.50</t>
        </is>
      </c>
      <c r="F390" t="inlineStr">
        <is>
          <t>kg</t>
        </is>
      </c>
      <c r="G390" s="394" t="n">
        <v>17.594852625</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Quy cách 400x250mm, Chu vi phôi 1.330m</t>
        </is>
      </c>
    </row>
    <row r="391">
      <c r="A391" t="inlineStr">
        <is>
          <t>SW-DUCT-513-BODY</t>
        </is>
      </c>
      <c r="B391" t="inlineStr">
        <is>
          <t>SW-DUCT-513</t>
        </is>
      </c>
      <c r="C391" t="inlineStr">
        <is>
          <t>Tôn mạ kẽm PN (1.50mm) - Định mức mét dài</t>
        </is>
      </c>
      <c r="D391" t="inlineStr">
        <is>
          <t>TÔN_CUỘN_MẠ_KẼM</t>
        </is>
      </c>
      <c r="E391" t="inlineStr">
        <is>
          <t>MAT-STEEL-PN-1.50</t>
        </is>
      </c>
      <c r="F391" t="inlineStr">
        <is>
          <t>kg</t>
        </is>
      </c>
      <c r="G391" s="394" t="n">
        <v>20.240695125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Quy cách 400x350mm, Chu vi phôi 1.530m</t>
        </is>
      </c>
    </row>
    <row r="392">
      <c r="A392" t="inlineStr">
        <is>
          <t>SW-DUCT-514-BODY</t>
        </is>
      </c>
      <c r="B392" t="inlineStr">
        <is>
          <t>SW-DUCT-514</t>
        </is>
      </c>
      <c r="C392" t="inlineStr">
        <is>
          <t>Tôn mạ kẽm PN (1.50mm) - Định mức mét dài</t>
        </is>
      </c>
      <c r="D392" t="inlineStr">
        <is>
          <t>TÔN_CUỘN_MẠ_KẼM</t>
        </is>
      </c>
      <c r="E392" t="inlineStr">
        <is>
          <t>MAT-STEEL-PN-1.50</t>
        </is>
      </c>
      <c r="F392" t="inlineStr">
        <is>
          <t>kg</t>
        </is>
      </c>
      <c r="G392" s="394" t="n">
        <v>18.917773875</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Quy cách 500x200mm, Chu vi phôi 1.430m</t>
        </is>
      </c>
    </row>
    <row r="393">
      <c r="A393" t="inlineStr">
        <is>
          <t>SW-DUCT-515-BODY</t>
        </is>
      </c>
      <c r="B393" t="inlineStr">
        <is>
          <t>SW-DUCT-515</t>
        </is>
      </c>
      <c r="C393" t="inlineStr">
        <is>
          <t>Tôn mạ kẽm PN (1.50mm) - Định mức mét dài</t>
        </is>
      </c>
      <c r="D393" t="inlineStr">
        <is>
          <t>TÔN_CUỘN_MẠ_KẼM</t>
        </is>
      </c>
      <c r="E393" t="inlineStr">
        <is>
          <t>MAT-STEEL-PN-1.50</t>
        </is>
      </c>
      <c r="F393" t="inlineStr">
        <is>
          <t>kg</t>
        </is>
      </c>
      <c r="G393" s="394" t="n">
        <v>20.240695125</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Quy cách 500x250mm, Chu vi phôi 1.530m</t>
        </is>
      </c>
    </row>
    <row r="394">
      <c r="A394" t="inlineStr">
        <is>
          <t>SW-DUCT-516-BODY</t>
        </is>
      </c>
      <c r="B394" t="inlineStr">
        <is>
          <t>SW-DUCT-516</t>
        </is>
      </c>
      <c r="C394" t="inlineStr">
        <is>
          <t>Tôn mạ kẽm PN (1.50mm) - Định mức mét dài</t>
        </is>
      </c>
      <c r="D394" t="inlineStr">
        <is>
          <t>TÔN_CUỘN_MẠ_KẼM</t>
        </is>
      </c>
      <c r="E394" t="inlineStr">
        <is>
          <t>MAT-STEEL-PN-1.50</t>
        </is>
      </c>
      <c r="F394" t="inlineStr">
        <is>
          <t>kg</t>
        </is>
      </c>
      <c r="G394" s="394" t="n">
        <v>21.563616375</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Quy cách 500x300mm, Chu vi phôi 1.630m</t>
        </is>
      </c>
    </row>
    <row r="395">
      <c r="A395" t="inlineStr">
        <is>
          <t>SW-DUCT-517-BODY</t>
        </is>
      </c>
      <c r="B395" t="inlineStr">
        <is>
          <t>SW-DUCT-517</t>
        </is>
      </c>
      <c r="C395" t="inlineStr">
        <is>
          <t>Tôn mạ kẽm PN (1.50mm) - Định mức mét dài</t>
        </is>
      </c>
      <c r="D395" t="inlineStr">
        <is>
          <t>TÔN_CUỘN_MẠ_KẼM</t>
        </is>
      </c>
      <c r="E395" t="inlineStr">
        <is>
          <t>MAT-STEEL-PN-1.50</t>
        </is>
      </c>
      <c r="F395" t="inlineStr">
        <is>
          <t>kg</t>
        </is>
      </c>
      <c r="G395" s="394" t="n">
        <v>21.563616375</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Quy cách 500x300mm, Chu vi phôi 1.630m</t>
        </is>
      </c>
    </row>
    <row r="396">
      <c r="A396" t="inlineStr">
        <is>
          <t>SW-DUCT-518-BODY</t>
        </is>
      </c>
      <c r="B396" t="inlineStr">
        <is>
          <t>SW-DUCT-518</t>
        </is>
      </c>
      <c r="C396" t="inlineStr">
        <is>
          <t>Tôn mạ kẽm PN (1.50mm) - Định mức mét dài</t>
        </is>
      </c>
      <c r="D396" t="inlineStr">
        <is>
          <t>TÔN_CUỘN_MẠ_KẼM</t>
        </is>
      </c>
      <c r="E396" t="inlineStr">
        <is>
          <t>MAT-STEEL-PN-1.50</t>
        </is>
      </c>
      <c r="F396" t="inlineStr">
        <is>
          <t>kg</t>
        </is>
      </c>
      <c r="G396" s="394" t="n">
        <v>21.563616375</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Quy cách 600x200mm, Chu vi phôi 1.630m</t>
        </is>
      </c>
    </row>
    <row r="397">
      <c r="A397" t="inlineStr">
        <is>
          <t>SW-DUCT-519-BODY</t>
        </is>
      </c>
      <c r="B397" t="inlineStr">
        <is>
          <t>SW-DUCT-519</t>
        </is>
      </c>
      <c r="C397" t="inlineStr">
        <is>
          <t>Tôn mạ kẽm PN (1.50mm) - Định mức mét dài</t>
        </is>
      </c>
      <c r="D397" t="inlineStr">
        <is>
          <t>TÔN_CUỘN_MẠ_KẼM</t>
        </is>
      </c>
      <c r="E397" t="inlineStr">
        <is>
          <t>MAT-STEEL-PN-1.50</t>
        </is>
      </c>
      <c r="F397" t="inlineStr">
        <is>
          <t>kg</t>
        </is>
      </c>
      <c r="G397" s="394" t="n">
        <v>22.886537625</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Quy cách 600x250mm, Chu vi phôi 1.730m</t>
        </is>
      </c>
    </row>
    <row r="398">
      <c r="A398" t="inlineStr">
        <is>
          <t>SW-DUCT-520-BODY</t>
        </is>
      </c>
      <c r="B398" t="inlineStr">
        <is>
          <t>SW-DUCT-520</t>
        </is>
      </c>
      <c r="C398" t="inlineStr">
        <is>
          <t>Tôn mạ kẽm PN (1.50mm) - Định mức mét dài</t>
        </is>
      </c>
      <c r="D398" t="inlineStr">
        <is>
          <t>TÔN_CUỘN_MẠ_KẼM</t>
        </is>
      </c>
      <c r="E398" t="inlineStr">
        <is>
          <t>MAT-STEEL-PN-1.50</t>
        </is>
      </c>
      <c r="F398" t="inlineStr">
        <is>
          <t>kg</t>
        </is>
      </c>
      <c r="G398" s="394" t="n">
        <v>24.209458875</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Quy cách 600x300mm, Chu vi phôi 1.830m</t>
        </is>
      </c>
    </row>
    <row r="399">
      <c r="A399" t="inlineStr">
        <is>
          <t>SW-DUCT-521-BODY</t>
        </is>
      </c>
      <c r="B399" t="inlineStr">
        <is>
          <t>SW-DUCT-521</t>
        </is>
      </c>
      <c r="C399" t="inlineStr">
        <is>
          <t>Tôn mạ kẽm PN (1.50mm) - Định mức mét dài</t>
        </is>
      </c>
      <c r="D399" t="inlineStr">
        <is>
          <t>TÔN_CUỘN_MẠ_KẼM</t>
        </is>
      </c>
      <c r="E399" t="inlineStr">
        <is>
          <t>MAT-STEEL-PN-1.50</t>
        </is>
      </c>
      <c r="F399" t="inlineStr">
        <is>
          <t>kg</t>
        </is>
      </c>
      <c r="G399" s="394" t="n">
        <v>25.532380125</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Quy cách 600x350mm, Chu vi phôi 1.930m</t>
        </is>
      </c>
    </row>
    <row r="400">
      <c r="A400" t="inlineStr">
        <is>
          <t>SW-DUCT-522-BODY</t>
        </is>
      </c>
      <c r="B400" t="inlineStr">
        <is>
          <t>SW-DUCT-522</t>
        </is>
      </c>
      <c r="C400" t="inlineStr">
        <is>
          <t>Tôn mạ kẽm PN (1.50mm) - Định mức mét dài</t>
        </is>
      </c>
      <c r="D400" t="inlineStr">
        <is>
          <t>TÔN_CUỘN_MẠ_KẼM</t>
        </is>
      </c>
      <c r="E400" t="inlineStr">
        <is>
          <t>MAT-STEEL-PN-1.50</t>
        </is>
      </c>
      <c r="F400" t="inlineStr">
        <is>
          <t>kg</t>
        </is>
      </c>
      <c r="G400" s="394" t="n">
        <v>28.178222625</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Quy cách 850x200mm, Chu vi phôi 2.130m</t>
        </is>
      </c>
    </row>
    <row r="401">
      <c r="A401" t="inlineStr">
        <is>
          <t>SW-DUCT-523-BODY</t>
        </is>
      </c>
      <c r="B401" t="inlineStr">
        <is>
          <t>SW-DUCT-523</t>
        </is>
      </c>
      <c r="C401" t="inlineStr">
        <is>
          <t>Tôn mạ kẽm PN (1.50mm) - Định mức mét dài</t>
        </is>
      </c>
      <c r="D401" t="inlineStr">
        <is>
          <t>TÔN_CUỘN_MẠ_KẼM</t>
        </is>
      </c>
      <c r="E401" t="inlineStr">
        <is>
          <t>MAT-STEEL-PN-1.50</t>
        </is>
      </c>
      <c r="F401" t="inlineStr">
        <is>
          <t>kg</t>
        </is>
      </c>
      <c r="G401" s="394" t="n">
        <v>33.469907625</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Quy cách 1000x250mm, Chu vi phôi 2.530m</t>
        </is>
      </c>
    </row>
    <row r="402">
      <c r="A402" t="inlineStr">
        <is>
          <t>SW-DUCT-524-BODY</t>
        </is>
      </c>
      <c r="B402" t="inlineStr">
        <is>
          <t>SW-DUCT-524</t>
        </is>
      </c>
      <c r="C402" t="inlineStr">
        <is>
          <t>Tôn mạ kẽm PN (1.50mm) - Định mức mét dài</t>
        </is>
      </c>
      <c r="D402" t="inlineStr">
        <is>
          <t>TÔN_CUỘN_MẠ_KẼM</t>
        </is>
      </c>
      <c r="E402" t="inlineStr">
        <is>
          <t>MAT-STEEL-PN-1.50</t>
        </is>
      </c>
      <c r="F402" t="inlineStr">
        <is>
          <t>kg</t>
        </is>
      </c>
      <c r="G402" s="394" t="n">
        <v>37.438671375</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Quy cách 1200x200mm, Chu vi phôi 2.830m</t>
        </is>
      </c>
    </row>
    <row r="403">
      <c r="A403" t="inlineStr">
        <is>
          <t>SW-DUCT-525-BODY</t>
        </is>
      </c>
      <c r="B403" t="inlineStr">
        <is>
          <t>SW-DUCT-525</t>
        </is>
      </c>
      <c r="C403" t="inlineStr">
        <is>
          <t>Tôn mạ kẽm PN (1.50mm) - Định mức mét dài</t>
        </is>
      </c>
      <c r="D403" t="inlineStr">
        <is>
          <t>TÔN_CUỘN_MẠ_KẼM</t>
        </is>
      </c>
      <c r="E403" t="inlineStr">
        <is>
          <t>MAT-STEEL-PN-1.50</t>
        </is>
      </c>
      <c r="F403" t="inlineStr">
        <is>
          <t>kg</t>
        </is>
      </c>
      <c r="G403" s="394" t="n">
        <v>51.99080512500001</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Quy cách 1700x250mm, Chu vi phôi 3.930m</t>
        </is>
      </c>
    </row>
    <row r="404">
      <c r="A404" t="inlineStr">
        <is>
          <t>SW-TRD-526-TM</t>
        </is>
      </c>
      <c r="B404" t="inlineStr">
        <is>
          <t>SW-TRD-526</t>
        </is>
      </c>
      <c r="C404" t="inlineStr">
        <is>
          <t>MÁNG TÔN ZAM (ĐI ỐNG ĐỒNG NGOÀI TRỜI), KÈM NẮP Vật tư phụ, phụ kiện</t>
        </is>
      </c>
      <c r="D404" t="inlineStr">
        <is>
          <t>THUONG_MAI</t>
        </is>
      </c>
      <c r="E404" t="inlineStr">
        <is>
          <t>MAT-THUONG_MAI-MANG_TON_ZAM_DI_ONG_DONG_NGOAI_9BD8</t>
        </is>
      </c>
      <c r="F404" t="inlineStr">
        <is>
          <t>Lô</t>
        </is>
      </c>
      <c r="G404" s="394" t="n">
        <v>1</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Hàng thương mại mua ngoài</t>
        </is>
      </c>
    </row>
    <row r="405">
      <c r="A405" t="inlineStr">
        <is>
          <t>SW-TRD-527-TM</t>
        </is>
      </c>
      <c r="B405" t="inlineStr">
        <is>
          <t>SW-TRD-527</t>
        </is>
      </c>
      <c r="C405" t="inlineStr">
        <is>
          <t>A1.1 Dàn nóng</t>
        </is>
      </c>
      <c r="D405" t="inlineStr">
        <is>
          <t>THUONG_MAI</t>
        </is>
      </c>
      <c r="E405" t="inlineStr">
        <is>
          <t>MAT-THUONG_MAI-A1_1_DAN_NONG</t>
        </is>
      </c>
      <c r="F405" t="inlineStr">
        <is>
          <t>Bộ</t>
        </is>
      </c>
      <c r="G405" s="394" t="n">
        <v>1</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Hàng thương mại mua ngoài</t>
        </is>
      </c>
    </row>
    <row r="406">
      <c r="A406" t="inlineStr">
        <is>
          <t>SW-TRD-528-TM</t>
        </is>
      </c>
      <c r="B406" t="inlineStr">
        <is>
          <t>SW-TRD-528</t>
        </is>
      </c>
      <c r="C406" t="inlineStr">
        <is>
          <t>A1.1 Dàn lạnh</t>
        </is>
      </c>
      <c r="D406" t="inlineStr">
        <is>
          <t>THUONG_MAI</t>
        </is>
      </c>
      <c r="E406" t="inlineStr">
        <is>
          <t>MAT-THUONG_MAI-A1_1_DAN_LANH</t>
        </is>
      </c>
      <c r="F406" t="inlineStr">
        <is>
          <t>Bộ</t>
        </is>
      </c>
      <c r="G406" s="394" t="n">
        <v>1</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Hàng thương mại mua ngoài</t>
        </is>
      </c>
    </row>
    <row r="407">
      <c r="A407" t="inlineStr">
        <is>
          <t>SW-TRD-529-TM</t>
        </is>
      </c>
      <c r="B407" t="inlineStr">
        <is>
          <t>SW-TRD-529</t>
        </is>
      </c>
      <c r="C407" t="inlineStr">
        <is>
          <t>A1.1 Dàn lạnh</t>
        </is>
      </c>
      <c r="D407" t="inlineStr">
        <is>
          <t>THUONG_MAI</t>
        </is>
      </c>
      <c r="E407" t="inlineStr">
        <is>
          <t>MAT-THUONG_MAI-A1_1_DAN_LANH</t>
        </is>
      </c>
      <c r="F407" t="inlineStr">
        <is>
          <t>Bộ</t>
        </is>
      </c>
      <c r="G407" s="394" t="n">
        <v>1</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Hàng thương mại mua ngoài</t>
        </is>
      </c>
    </row>
    <row r="408">
      <c r="A408" t="inlineStr">
        <is>
          <t>SW-TRD-530-TM</t>
        </is>
      </c>
      <c r="B408" t="inlineStr">
        <is>
          <t>SW-TRD-530</t>
        </is>
      </c>
      <c r="C408" t="inlineStr">
        <is>
          <t>A1.1 Dàn lạnh</t>
        </is>
      </c>
      <c r="D408" t="inlineStr">
        <is>
          <t>THUONG_MAI</t>
        </is>
      </c>
      <c r="E408" t="inlineStr">
        <is>
          <t>MAT-THUONG_MAI-A1_1_DAN_LANH</t>
        </is>
      </c>
      <c r="F408" t="inlineStr">
        <is>
          <t>Bộ</t>
        </is>
      </c>
      <c r="G408" s="394" t="n">
        <v>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Hàng thương mại mua ngoài</t>
        </is>
      </c>
    </row>
    <row r="409">
      <c r="A409" t="inlineStr">
        <is>
          <t>SW-TRD-531-TM</t>
        </is>
      </c>
      <c r="B409" t="inlineStr">
        <is>
          <t>SW-TRD-531</t>
        </is>
      </c>
      <c r="C409" t="inlineStr">
        <is>
          <t>A1.1 Dàn lạnh</t>
        </is>
      </c>
      <c r="D409" t="inlineStr">
        <is>
          <t>THUONG_MAI</t>
        </is>
      </c>
      <c r="E409" t="inlineStr">
        <is>
          <t>MAT-THUONG_MAI-A1_1_DAN_LANH</t>
        </is>
      </c>
      <c r="F409" t="inlineStr">
        <is>
          <t>Bộ</t>
        </is>
      </c>
      <c r="G409" s="394" t="n">
        <v>1</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Hàng thương mại mua ngoài</t>
        </is>
      </c>
    </row>
    <row r="410">
      <c r="A410" t="inlineStr">
        <is>
          <t>SW-TRD-532-TM</t>
        </is>
      </c>
      <c r="B410" t="inlineStr">
        <is>
          <t>SW-TRD-532</t>
        </is>
      </c>
      <c r="C410" t="inlineStr">
        <is>
          <t>A1.1 Dàn nóng</t>
        </is>
      </c>
      <c r="D410" t="inlineStr">
        <is>
          <t>THUONG_MAI</t>
        </is>
      </c>
      <c r="E410" t="inlineStr">
        <is>
          <t>MAT-THUONG_MAI-A1_1_DAN_NONG</t>
        </is>
      </c>
      <c r="F410" t="inlineStr">
        <is>
          <t>Bộ</t>
        </is>
      </c>
      <c r="G410" s="394" t="n">
        <v>1</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Hàng thương mại mua ngoài</t>
        </is>
      </c>
    </row>
    <row r="411">
      <c r="A411" t="inlineStr">
        <is>
          <t>SW-TRD-533-TM</t>
        </is>
      </c>
      <c r="B411" t="inlineStr">
        <is>
          <t>SW-TRD-533</t>
        </is>
      </c>
      <c r="C411" t="inlineStr">
        <is>
          <t>A1.1 Dàn lạnh</t>
        </is>
      </c>
      <c r="D411" t="inlineStr">
        <is>
          <t>THUONG_MAI</t>
        </is>
      </c>
      <c r="E411" t="inlineStr">
        <is>
          <t>MAT-THUONG_MAI-A1_1_DAN_LANH</t>
        </is>
      </c>
      <c r="F411" t="inlineStr">
        <is>
          <t>Bộ</t>
        </is>
      </c>
      <c r="G411" s="394" t="n">
        <v>1</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Hàng thương mại mua ngoài</t>
        </is>
      </c>
    </row>
    <row r="412">
      <c r="A412" t="inlineStr">
        <is>
          <t>SW-TRD-534-TM</t>
        </is>
      </c>
      <c r="B412" t="inlineStr">
        <is>
          <t>SW-TRD-534</t>
        </is>
      </c>
      <c r="C412" t="inlineStr">
        <is>
          <t>A1.1 Dàn lạnh</t>
        </is>
      </c>
      <c r="D412" t="inlineStr">
        <is>
          <t>THUONG_MAI</t>
        </is>
      </c>
      <c r="E412" t="inlineStr">
        <is>
          <t>MAT-THUONG_MAI-A1_1_DAN_LANH</t>
        </is>
      </c>
      <c r="F412" t="inlineStr">
        <is>
          <t>Bộ</t>
        </is>
      </c>
      <c r="G412" s="394" t="n">
        <v>1</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Hàng thương mại mua ngoài</t>
        </is>
      </c>
    </row>
    <row r="413">
      <c r="A413" t="inlineStr">
        <is>
          <t>SW-TRD-535-TM</t>
        </is>
      </c>
      <c r="B413" t="inlineStr">
        <is>
          <t>SW-TRD-535</t>
        </is>
      </c>
      <c r="C413" t="inlineStr">
        <is>
          <t>A1.1 Dàn nóng</t>
        </is>
      </c>
      <c r="D413" t="inlineStr">
        <is>
          <t>THUONG_MAI</t>
        </is>
      </c>
      <c r="E413" t="inlineStr">
        <is>
          <t>MAT-THUONG_MAI-A1_1_DAN_NONG</t>
        </is>
      </c>
      <c r="F413" t="inlineStr">
        <is>
          <t>Bộ</t>
        </is>
      </c>
      <c r="G413" s="394" t="n">
        <v>1</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Hàng thương mại mua ngoài</t>
        </is>
      </c>
    </row>
    <row r="414">
      <c r="A414" t="inlineStr">
        <is>
          <t>SW-TRD-536-TM</t>
        </is>
      </c>
      <c r="B414" t="inlineStr">
        <is>
          <t>SW-TRD-536</t>
        </is>
      </c>
      <c r="C414" t="inlineStr">
        <is>
          <t>A1.1 Dàn lạnh</t>
        </is>
      </c>
      <c r="D414" t="inlineStr">
        <is>
          <t>THUONG_MAI</t>
        </is>
      </c>
      <c r="E414" t="inlineStr">
        <is>
          <t>MAT-THUONG_MAI-A1_1_DAN_LANH</t>
        </is>
      </c>
      <c r="F414" t="inlineStr">
        <is>
          <t>Bộ</t>
        </is>
      </c>
      <c r="G414" s="394" t="n">
        <v>1</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Hàng thương mại mua ngoài</t>
        </is>
      </c>
    </row>
    <row r="415">
      <c r="A415" t="inlineStr">
        <is>
          <t>SW-TRD-537-TM</t>
        </is>
      </c>
      <c r="B415" t="inlineStr">
        <is>
          <t>SW-TRD-537</t>
        </is>
      </c>
      <c r="C415" t="inlineStr">
        <is>
          <t>A1.1 Dàn lạnh</t>
        </is>
      </c>
      <c r="D415" t="inlineStr">
        <is>
          <t>THUONG_MAI</t>
        </is>
      </c>
      <c r="E415" t="inlineStr">
        <is>
          <t>MAT-THUONG_MAI-A1_1_DAN_LANH</t>
        </is>
      </c>
      <c r="F415" t="inlineStr">
        <is>
          <t>Bộ</t>
        </is>
      </c>
      <c r="G415" s="394" t="n">
        <v>1</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Hàng thương mại mua ngoài</t>
        </is>
      </c>
    </row>
    <row r="416">
      <c r="A416" t="inlineStr">
        <is>
          <t>SW-TRD-538-TM</t>
        </is>
      </c>
      <c r="B416" t="inlineStr">
        <is>
          <t>SW-TRD-538</t>
        </is>
      </c>
      <c r="C416" t="inlineStr">
        <is>
          <t>A1.1 Dàn lạnh</t>
        </is>
      </c>
      <c r="D416" t="inlineStr">
        <is>
          <t>THUONG_MAI</t>
        </is>
      </c>
      <c r="E416" t="inlineStr">
        <is>
          <t>MAT-THUONG_MAI-A1_1_DAN_LANH</t>
        </is>
      </c>
      <c r="F416" t="inlineStr">
        <is>
          <t>Bộ</t>
        </is>
      </c>
      <c r="G416" s="394" t="n">
        <v>1</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Hàng thương mại mua ngoài</t>
        </is>
      </c>
    </row>
    <row r="417">
      <c r="A417" t="inlineStr">
        <is>
          <t>SW-TRD-539-TM</t>
        </is>
      </c>
      <c r="B417" t="inlineStr">
        <is>
          <t>SW-TRD-539</t>
        </is>
      </c>
      <c r="C417" t="inlineStr">
        <is>
          <t>A1.1 Dàn nóng</t>
        </is>
      </c>
      <c r="D417" t="inlineStr">
        <is>
          <t>THUONG_MAI</t>
        </is>
      </c>
      <c r="E417" t="inlineStr">
        <is>
          <t>MAT-THUONG_MAI-A1_1_DAN_NONG</t>
        </is>
      </c>
      <c r="F417" t="inlineStr">
        <is>
          <t>Bộ</t>
        </is>
      </c>
      <c r="G417" s="394" t="n">
        <v>1</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Hàng thương mại mua ngoài</t>
        </is>
      </c>
    </row>
    <row r="418">
      <c r="A418" t="inlineStr">
        <is>
          <t>SW-TRD-540-TM</t>
        </is>
      </c>
      <c r="B418" t="inlineStr">
        <is>
          <t>SW-TRD-540</t>
        </is>
      </c>
      <c r="C418" t="inlineStr">
        <is>
          <t>A1.1 Dàn lạnh</t>
        </is>
      </c>
      <c r="D418" t="inlineStr">
        <is>
          <t>THUONG_MAI</t>
        </is>
      </c>
      <c r="E418" t="inlineStr">
        <is>
          <t>MAT-THUONG_MAI-A1_1_DAN_LANH</t>
        </is>
      </c>
      <c r="F418" t="inlineStr">
        <is>
          <t>Bộ</t>
        </is>
      </c>
      <c r="G418" s="394" t="n">
        <v>1</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Hàng thương mại mua ngoài</t>
        </is>
      </c>
    </row>
    <row r="419">
      <c r="A419" t="inlineStr">
        <is>
          <t>SW-TRD-541-TM</t>
        </is>
      </c>
      <c r="B419" t="inlineStr">
        <is>
          <t>SW-TRD-541</t>
        </is>
      </c>
      <c r="C419" t="inlineStr">
        <is>
          <t>A1.1 Dàn lạnh</t>
        </is>
      </c>
      <c r="D419" t="inlineStr">
        <is>
          <t>THUONG_MAI</t>
        </is>
      </c>
      <c r="E419" t="inlineStr">
        <is>
          <t>MAT-THUONG_MAI-A1_1_DAN_LANH</t>
        </is>
      </c>
      <c r="F419" t="inlineStr">
        <is>
          <t>Bộ</t>
        </is>
      </c>
      <c r="G419" s="394" t="n">
        <v>1</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Hàng thương mại mua ngoài</t>
        </is>
      </c>
    </row>
    <row r="420">
      <c r="A420" t="inlineStr">
        <is>
          <t>SW-TRD-542-TM</t>
        </is>
      </c>
      <c r="B420" t="inlineStr">
        <is>
          <t>SW-TRD-542</t>
        </is>
      </c>
      <c r="C420" t="inlineStr">
        <is>
          <t>A1.1 Dàn lạnh</t>
        </is>
      </c>
      <c r="D420" t="inlineStr">
        <is>
          <t>THUONG_MAI</t>
        </is>
      </c>
      <c r="E420" t="inlineStr">
        <is>
          <t>MAT-THUONG_MAI-A1_1_DAN_LANH</t>
        </is>
      </c>
      <c r="F420" t="inlineStr">
        <is>
          <t>Bộ</t>
        </is>
      </c>
      <c r="G420" s="394" t="n">
        <v>1</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Hàng thương mại mua ngoài</t>
        </is>
      </c>
    </row>
    <row r="421">
      <c r="A421" t="inlineStr">
        <is>
          <t>SW-TRD-543-TM</t>
        </is>
      </c>
      <c r="B421" t="inlineStr">
        <is>
          <t>SW-TRD-543</t>
        </is>
      </c>
      <c r="C421" t="inlineStr">
        <is>
          <t>A1.1 Dàn nóng</t>
        </is>
      </c>
      <c r="D421" t="inlineStr">
        <is>
          <t>THUONG_MAI</t>
        </is>
      </c>
      <c r="E421" t="inlineStr">
        <is>
          <t>MAT-THUONG_MAI-A1_1_DAN_NONG</t>
        </is>
      </c>
      <c r="F421" t="inlineStr">
        <is>
          <t>Bộ</t>
        </is>
      </c>
      <c r="G421" s="394" t="n">
        <v>1</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Hàng thương mại mua ngoài</t>
        </is>
      </c>
    </row>
    <row r="422">
      <c r="A422" t="inlineStr">
        <is>
          <t>SW-TRD-544-TM</t>
        </is>
      </c>
      <c r="B422" t="inlineStr">
        <is>
          <t>SW-TRD-544</t>
        </is>
      </c>
      <c r="C422" t="inlineStr">
        <is>
          <t>A1.1 Dàn lạnh</t>
        </is>
      </c>
      <c r="D422" t="inlineStr">
        <is>
          <t>THUONG_MAI</t>
        </is>
      </c>
      <c r="E422" t="inlineStr">
        <is>
          <t>MAT-THUONG_MAI-A1_1_DAN_LANH</t>
        </is>
      </c>
      <c r="F422" t="inlineStr">
        <is>
          <t>Bộ</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Hàng thương mại mua ngoài</t>
        </is>
      </c>
    </row>
    <row r="423">
      <c r="A423" t="inlineStr">
        <is>
          <t>SW-TRD-545-TM</t>
        </is>
      </c>
      <c r="B423" t="inlineStr">
        <is>
          <t>SW-TRD-545</t>
        </is>
      </c>
      <c r="C423" t="inlineStr">
        <is>
          <t>A1.1 Dàn lạnh</t>
        </is>
      </c>
      <c r="D423" t="inlineStr">
        <is>
          <t>THUONG_MAI</t>
        </is>
      </c>
      <c r="E423" t="inlineStr">
        <is>
          <t>MAT-THUONG_MAI-A1_1_DAN_LANH</t>
        </is>
      </c>
      <c r="F423" t="inlineStr">
        <is>
          <t>Bộ</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Hàng thương mại mua ngoài</t>
        </is>
      </c>
    </row>
    <row r="424">
      <c r="A424" t="inlineStr">
        <is>
          <t>SW-TRD-546-TM</t>
        </is>
      </c>
      <c r="B424" t="inlineStr">
        <is>
          <t>SW-TRD-546</t>
        </is>
      </c>
      <c r="C424" t="inlineStr">
        <is>
          <t>A1.1 Dàn lạnh</t>
        </is>
      </c>
      <c r="D424" t="inlineStr">
        <is>
          <t>THUONG_MAI</t>
        </is>
      </c>
      <c r="E424" t="inlineStr">
        <is>
          <t>MAT-THUONG_MAI-A1_1_DAN_LANH</t>
        </is>
      </c>
      <c r="F424" t="inlineStr">
        <is>
          <t>Bộ</t>
        </is>
      </c>
      <c r="G424" s="394" t="n">
        <v>1</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Hàng thương mại mua ngoài</t>
        </is>
      </c>
    </row>
    <row r="425">
      <c r="A425" t="inlineStr">
        <is>
          <t>SW-TRD-547-TM</t>
        </is>
      </c>
      <c r="B425" t="inlineStr">
        <is>
          <t>SW-TRD-547</t>
        </is>
      </c>
      <c r="C425" t="inlineStr">
        <is>
          <t>A1.2 Dàn nóng</t>
        </is>
      </c>
      <c r="D425" t="inlineStr">
        <is>
          <t>THUONG_MAI</t>
        </is>
      </c>
      <c r="E425" t="inlineStr">
        <is>
          <t>MAT-THUONG_MAI-A1_2_DAN_NONG</t>
        </is>
      </c>
      <c r="F425" t="inlineStr">
        <is>
          <t>Bộ</t>
        </is>
      </c>
      <c r="G425" s="394" t="n">
        <v>1</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Hàng thương mại mua ngoài</t>
        </is>
      </c>
    </row>
    <row r="426">
      <c r="A426" t="inlineStr">
        <is>
          <t>SW-TRD-548-TM</t>
        </is>
      </c>
      <c r="B426" t="inlineStr">
        <is>
          <t>SW-TRD-548</t>
        </is>
      </c>
      <c r="C426" t="inlineStr">
        <is>
          <t>A1.2 Dàn lạnh</t>
        </is>
      </c>
      <c r="D426" t="inlineStr">
        <is>
          <t>THUONG_MAI</t>
        </is>
      </c>
      <c r="E426" t="inlineStr">
        <is>
          <t>MAT-THUONG_MAI-A1_2_DAN_LANH</t>
        </is>
      </c>
      <c r="F426" t="inlineStr">
        <is>
          <t>Bộ</t>
        </is>
      </c>
      <c r="G426" s="394" t="n">
        <v>1</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Hàng thương mại mua ngoài</t>
        </is>
      </c>
    </row>
    <row r="427">
      <c r="A427" t="inlineStr">
        <is>
          <t>SW-TRD-549-TM</t>
        </is>
      </c>
      <c r="B427" t="inlineStr">
        <is>
          <t>SW-TRD-549</t>
        </is>
      </c>
      <c r="C427" t="inlineStr">
        <is>
          <t>A1.2 Dàn lạnh</t>
        </is>
      </c>
      <c r="D427" t="inlineStr">
        <is>
          <t>THUONG_MAI</t>
        </is>
      </c>
      <c r="E427" t="inlineStr">
        <is>
          <t>MAT-THUONG_MAI-A1_2_DAN_LANH</t>
        </is>
      </c>
      <c r="F427" t="inlineStr">
        <is>
          <t>Bộ</t>
        </is>
      </c>
      <c r="G427" s="394" t="n">
        <v>1</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Hàng thương mại mua ngoài</t>
        </is>
      </c>
    </row>
    <row r="428">
      <c r="A428" t="inlineStr">
        <is>
          <t>SW-TRD-550-TM</t>
        </is>
      </c>
      <c r="B428" t="inlineStr">
        <is>
          <t>SW-TRD-550</t>
        </is>
      </c>
      <c r="C428" t="inlineStr">
        <is>
          <t>A1.2 Dàn lạnh</t>
        </is>
      </c>
      <c r="D428" t="inlineStr">
        <is>
          <t>THUONG_MAI</t>
        </is>
      </c>
      <c r="E428" t="inlineStr">
        <is>
          <t>MAT-THUONG_MAI-A1_2_DAN_LANH</t>
        </is>
      </c>
      <c r="F428" t="inlineStr">
        <is>
          <t>Bộ</t>
        </is>
      </c>
      <c r="G428" s="394" t="n">
        <v>1</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Hàng thương mại mua ngoài</t>
        </is>
      </c>
    </row>
    <row r="429">
      <c r="A429" t="inlineStr">
        <is>
          <t>SW-TRD-551-TM</t>
        </is>
      </c>
      <c r="B429" t="inlineStr">
        <is>
          <t>SW-TRD-551</t>
        </is>
      </c>
      <c r="C429" t="inlineStr">
        <is>
          <t>A1.2 Dàn nóng</t>
        </is>
      </c>
      <c r="D429" t="inlineStr">
        <is>
          <t>THUONG_MAI</t>
        </is>
      </c>
      <c r="E429" t="inlineStr">
        <is>
          <t>MAT-THUONG_MAI-A1_2_DAN_NONG</t>
        </is>
      </c>
      <c r="F429" t="inlineStr">
        <is>
          <t>Bộ</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Hàng thương mại mua ngoài</t>
        </is>
      </c>
    </row>
    <row r="430">
      <c r="A430" t="inlineStr">
        <is>
          <t>SW-TRD-552-TM</t>
        </is>
      </c>
      <c r="B430" t="inlineStr">
        <is>
          <t>SW-TRD-552</t>
        </is>
      </c>
      <c r="C430" t="inlineStr">
        <is>
          <t>A1.2 Dàn lạnh</t>
        </is>
      </c>
      <c r="D430" t="inlineStr">
        <is>
          <t>THUONG_MAI</t>
        </is>
      </c>
      <c r="E430" t="inlineStr">
        <is>
          <t>MAT-THUONG_MAI-A1_2_DAN_LANH</t>
        </is>
      </c>
      <c r="F430" t="inlineStr">
        <is>
          <t>Bộ</t>
        </is>
      </c>
      <c r="G430" s="394" t="n">
        <v>1</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Hàng thương mại mua ngoài</t>
        </is>
      </c>
    </row>
    <row r="431">
      <c r="A431" t="inlineStr">
        <is>
          <t>SW-TRD-553-TM</t>
        </is>
      </c>
      <c r="B431" t="inlineStr">
        <is>
          <t>SW-TRD-553</t>
        </is>
      </c>
      <c r="C431" t="inlineStr">
        <is>
          <t>A1.2 Dàn lạnh</t>
        </is>
      </c>
      <c r="D431" t="inlineStr">
        <is>
          <t>THUONG_MAI</t>
        </is>
      </c>
      <c r="E431" t="inlineStr">
        <is>
          <t>MAT-THUONG_MAI-A1_2_DAN_LANH</t>
        </is>
      </c>
      <c r="F431" t="inlineStr">
        <is>
          <t>Bộ</t>
        </is>
      </c>
      <c r="G431" s="394" t="n">
        <v>1</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Hàng thương mại mua ngoài</t>
        </is>
      </c>
    </row>
    <row r="432">
      <c r="A432" t="inlineStr">
        <is>
          <t>SW-TRD-554-TM</t>
        </is>
      </c>
      <c r="B432" t="inlineStr">
        <is>
          <t>SW-TRD-554</t>
        </is>
      </c>
      <c r="C432" t="inlineStr">
        <is>
          <t>A1.2 Dàn lạnh</t>
        </is>
      </c>
      <c r="D432" t="inlineStr">
        <is>
          <t>THUONG_MAI</t>
        </is>
      </c>
      <c r="E432" t="inlineStr">
        <is>
          <t>MAT-THUONG_MAI-A1_2_DAN_LANH</t>
        </is>
      </c>
      <c r="F432" t="inlineStr">
        <is>
          <t>Bộ</t>
        </is>
      </c>
      <c r="G432" s="394" t="n">
        <v>1</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Hàng thương mại mua ngoài</t>
        </is>
      </c>
    </row>
    <row r="433">
      <c r="A433" t="inlineStr">
        <is>
          <t>SW-TRD-555-TM</t>
        </is>
      </c>
      <c r="B433" t="inlineStr">
        <is>
          <t>SW-TRD-555</t>
        </is>
      </c>
      <c r="C433" t="inlineStr">
        <is>
          <t>A1.2 Dàn nóng</t>
        </is>
      </c>
      <c r="D433" t="inlineStr">
        <is>
          <t>THUONG_MAI</t>
        </is>
      </c>
      <c r="E433" t="inlineStr">
        <is>
          <t>MAT-THUONG_MAI-A1_2_DAN_NONG</t>
        </is>
      </c>
      <c r="F433" t="inlineStr">
        <is>
          <t>Bộ</t>
        </is>
      </c>
      <c r="G433" s="394" t="n">
        <v>1</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Hàng thương mại mua ngoài</t>
        </is>
      </c>
    </row>
    <row r="434">
      <c r="A434" t="inlineStr">
        <is>
          <t>SW-TRD-556-TM</t>
        </is>
      </c>
      <c r="B434" t="inlineStr">
        <is>
          <t>SW-TRD-556</t>
        </is>
      </c>
      <c r="C434" t="inlineStr">
        <is>
          <t>A1.2 Dàn lạnh</t>
        </is>
      </c>
      <c r="D434" t="inlineStr">
        <is>
          <t>THUONG_MAI</t>
        </is>
      </c>
      <c r="E434" t="inlineStr">
        <is>
          <t>MAT-THUONG_MAI-A1_2_DAN_LANH</t>
        </is>
      </c>
      <c r="F434" t="inlineStr">
        <is>
          <t>Bộ</t>
        </is>
      </c>
      <c r="G434" s="394" t="n">
        <v>1</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Hàng thương mại mua ngoài</t>
        </is>
      </c>
    </row>
    <row r="435">
      <c r="A435" t="inlineStr">
        <is>
          <t>SW-TRD-557-TM</t>
        </is>
      </c>
      <c r="B435" t="inlineStr">
        <is>
          <t>SW-TRD-557</t>
        </is>
      </c>
      <c r="C435" t="inlineStr">
        <is>
          <t>A1.2 Dàn lạnh</t>
        </is>
      </c>
      <c r="D435" t="inlineStr">
        <is>
          <t>THUONG_MAI</t>
        </is>
      </c>
      <c r="E435" t="inlineStr">
        <is>
          <t>MAT-THUONG_MAI-A1_2_DAN_LANH</t>
        </is>
      </c>
      <c r="F435" t="inlineStr">
        <is>
          <t>Bộ</t>
        </is>
      </c>
      <c r="G435" s="394" t="n">
        <v>1</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Hàng thương mại mua ngoài</t>
        </is>
      </c>
    </row>
    <row r="436">
      <c r="A436" t="inlineStr">
        <is>
          <t>SW-TRD-558-TM</t>
        </is>
      </c>
      <c r="B436" t="inlineStr">
        <is>
          <t>SW-TRD-558</t>
        </is>
      </c>
      <c r="C436" t="inlineStr">
        <is>
          <t>A1.2 Dàn lạnh</t>
        </is>
      </c>
      <c r="D436" t="inlineStr">
        <is>
          <t>THUONG_MAI</t>
        </is>
      </c>
      <c r="E436" t="inlineStr">
        <is>
          <t>MAT-THUONG_MAI-A1_2_DAN_LANH</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Hàng thương mại mua ngoài</t>
        </is>
      </c>
    </row>
    <row r="437">
      <c r="A437" t="inlineStr">
        <is>
          <t>SW-TRD-559-TM</t>
        </is>
      </c>
      <c r="B437" t="inlineStr">
        <is>
          <t>SW-TRD-559</t>
        </is>
      </c>
      <c r="C437" t="inlineStr">
        <is>
          <t>A1.2 Dàn nóng</t>
        </is>
      </c>
      <c r="D437" t="inlineStr">
        <is>
          <t>THUONG_MAI</t>
        </is>
      </c>
      <c r="E437" t="inlineStr">
        <is>
          <t>MAT-THUONG_MAI-A1_2_DAN_NONG</t>
        </is>
      </c>
      <c r="F437" t="inlineStr">
        <is>
          <t>Bộ</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Hàng thương mại mua ngoài</t>
        </is>
      </c>
    </row>
    <row r="438">
      <c r="A438" t="inlineStr">
        <is>
          <t>SW-TRD-560-TM</t>
        </is>
      </c>
      <c r="B438" t="inlineStr">
        <is>
          <t>SW-TRD-560</t>
        </is>
      </c>
      <c r="C438" t="inlineStr">
        <is>
          <t>A1.2 Dàn lạnh</t>
        </is>
      </c>
      <c r="D438" t="inlineStr">
        <is>
          <t>THUONG_MAI</t>
        </is>
      </c>
      <c r="E438" t="inlineStr">
        <is>
          <t>MAT-THUONG_MAI-A1_2_DAN_LANH</t>
        </is>
      </c>
      <c r="F438" t="inlineStr">
        <is>
          <t>Bộ</t>
        </is>
      </c>
      <c r="G438" s="394" t="n">
        <v>1</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Hàng thương mại mua ngoài</t>
        </is>
      </c>
    </row>
    <row r="439">
      <c r="A439" t="inlineStr">
        <is>
          <t>SW-TRD-561-TM</t>
        </is>
      </c>
      <c r="B439" t="inlineStr">
        <is>
          <t>SW-TRD-561</t>
        </is>
      </c>
      <c r="C439" t="inlineStr">
        <is>
          <t>A1.2 Dàn lạnh</t>
        </is>
      </c>
      <c r="D439" t="inlineStr">
        <is>
          <t>THUONG_MAI</t>
        </is>
      </c>
      <c r="E439" t="inlineStr">
        <is>
          <t>MAT-THUONG_MAI-A1_2_DAN_LANH</t>
        </is>
      </c>
      <c r="F439" t="inlineStr">
        <is>
          <t>Bộ</t>
        </is>
      </c>
      <c r="G439" s="394" t="n">
        <v>1</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Hàng thương mại mua ngoài</t>
        </is>
      </c>
    </row>
    <row r="440">
      <c r="A440" t="inlineStr">
        <is>
          <t>SW-TRD-562-TM</t>
        </is>
      </c>
      <c r="B440" t="inlineStr">
        <is>
          <t>SW-TRD-562</t>
        </is>
      </c>
      <c r="C440" t="inlineStr">
        <is>
          <t>A1.2 Dàn lạnh</t>
        </is>
      </c>
      <c r="D440" t="inlineStr">
        <is>
          <t>THUONG_MAI</t>
        </is>
      </c>
      <c r="E440" t="inlineStr">
        <is>
          <t>MAT-THUONG_MAI-A1_2_DAN_LANH</t>
        </is>
      </c>
      <c r="F440" t="inlineStr">
        <is>
          <t>Bộ</t>
        </is>
      </c>
      <c r="G440" s="394" t="n">
        <v>1</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Hàng thương mại mua ngoài</t>
        </is>
      </c>
    </row>
    <row r="441">
      <c r="A441" t="inlineStr">
        <is>
          <t>SW-TRD-563-TM</t>
        </is>
      </c>
      <c r="B441" t="inlineStr">
        <is>
          <t>SW-TRD-563</t>
        </is>
      </c>
      <c r="C441" t="inlineStr">
        <is>
          <t>A1.2 Dàn nóng</t>
        </is>
      </c>
      <c r="D441" t="inlineStr">
        <is>
          <t>THUONG_MAI</t>
        </is>
      </c>
      <c r="E441" t="inlineStr">
        <is>
          <t>MAT-THUONG_MAI-A1_2_DAN_NONG</t>
        </is>
      </c>
      <c r="F441" t="inlineStr">
        <is>
          <t>Bộ</t>
        </is>
      </c>
      <c r="G441" s="394" t="n">
        <v>1</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Hàng thương mại mua ngoài</t>
        </is>
      </c>
    </row>
    <row r="442">
      <c r="A442" t="inlineStr">
        <is>
          <t>SW-TRD-564-TM</t>
        </is>
      </c>
      <c r="B442" t="inlineStr">
        <is>
          <t>SW-TRD-564</t>
        </is>
      </c>
      <c r="C442" t="inlineStr">
        <is>
          <t>A1.2 Dàn lạnh</t>
        </is>
      </c>
      <c r="D442" t="inlineStr">
        <is>
          <t>THUONG_MAI</t>
        </is>
      </c>
      <c r="E442" t="inlineStr">
        <is>
          <t>MAT-THUONG_MAI-A1_2_DAN_LANH</t>
        </is>
      </c>
      <c r="F442" t="inlineStr">
        <is>
          <t>Bộ</t>
        </is>
      </c>
      <c r="G442" s="394" t="n">
        <v>1</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Hàng thương mại mua ngoài</t>
        </is>
      </c>
    </row>
    <row r="443">
      <c r="A443" t="inlineStr">
        <is>
          <t>SW-TRD-565-TM</t>
        </is>
      </c>
      <c r="B443" t="inlineStr">
        <is>
          <t>SW-TRD-565</t>
        </is>
      </c>
      <c r="C443" t="inlineStr">
        <is>
          <t>A1.2 Dàn lạnh</t>
        </is>
      </c>
      <c r="D443" t="inlineStr">
        <is>
          <t>THUONG_MAI</t>
        </is>
      </c>
      <c r="E443" t="inlineStr">
        <is>
          <t>MAT-THUONG_MAI-A1_2_DAN_LANH</t>
        </is>
      </c>
      <c r="F443" t="inlineStr">
        <is>
          <t>Bộ</t>
        </is>
      </c>
      <c r="G443" s="394" t="n">
        <v>1</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Hàng thương mại mua ngoài</t>
        </is>
      </c>
    </row>
    <row r="444">
      <c r="A444" t="inlineStr">
        <is>
          <t>SW-TRD-566-TM</t>
        </is>
      </c>
      <c r="B444" t="inlineStr">
        <is>
          <t>SW-TRD-566</t>
        </is>
      </c>
      <c r="C444" t="inlineStr">
        <is>
          <t>A1.2 Dàn nóng</t>
        </is>
      </c>
      <c r="D444" t="inlineStr">
        <is>
          <t>THUONG_MAI</t>
        </is>
      </c>
      <c r="E444" t="inlineStr">
        <is>
          <t>MAT-THUONG_MAI-A1_2_DAN_NONG</t>
        </is>
      </c>
      <c r="F444" t="inlineStr">
        <is>
          <t>Bộ</t>
        </is>
      </c>
      <c r="G444" s="394" t="n">
        <v>1</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Hàng thương mại mua ngoài</t>
        </is>
      </c>
    </row>
    <row r="445">
      <c r="A445" t="inlineStr">
        <is>
          <t>SW-TRD-567-TM</t>
        </is>
      </c>
      <c r="B445" t="inlineStr">
        <is>
          <t>SW-TRD-567</t>
        </is>
      </c>
      <c r="C445" t="inlineStr">
        <is>
          <t>A1.2 Dàn lạnh</t>
        </is>
      </c>
      <c r="D445" t="inlineStr">
        <is>
          <t>THUONG_MAI</t>
        </is>
      </c>
      <c r="E445" t="inlineStr">
        <is>
          <t>MAT-THUONG_MAI-A1_2_DAN_LANH</t>
        </is>
      </c>
      <c r="F445" t="inlineStr">
        <is>
          <t>Bộ</t>
        </is>
      </c>
      <c r="G445" s="394" t="n">
        <v>1</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Hàng thương mại mua ngoài</t>
        </is>
      </c>
    </row>
    <row r="446">
      <c r="A446" t="inlineStr">
        <is>
          <t>SW-TRD-568-TM</t>
        </is>
      </c>
      <c r="B446" t="inlineStr">
        <is>
          <t>SW-TRD-568</t>
        </is>
      </c>
      <c r="C446" t="inlineStr">
        <is>
          <t>A1.2 Dàn lạnh</t>
        </is>
      </c>
      <c r="D446" t="inlineStr">
        <is>
          <t>THUONG_MAI</t>
        </is>
      </c>
      <c r="E446" t="inlineStr">
        <is>
          <t>MAT-THUONG_MAI-A1_2_DAN_LANH</t>
        </is>
      </c>
      <c r="F446" t="inlineStr">
        <is>
          <t>Bộ</t>
        </is>
      </c>
      <c r="G446" s="394" t="n">
        <v>1</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Hàng thương mại mua ngoài</t>
        </is>
      </c>
    </row>
    <row r="447">
      <c r="A447" t="inlineStr">
        <is>
          <t>SW-TRD-569-TM</t>
        </is>
      </c>
      <c r="B447" t="inlineStr">
        <is>
          <t>SW-TRD-569</t>
        </is>
      </c>
      <c r="C447" t="inlineStr">
        <is>
          <t>A1.3 Dàn nóng</t>
        </is>
      </c>
      <c r="D447" t="inlineStr">
        <is>
          <t>THUONG_MAI</t>
        </is>
      </c>
      <c r="E447" t="inlineStr">
        <is>
          <t>MAT-THUONG_MAI-A1_3_DAN_NONG</t>
        </is>
      </c>
      <c r="F447" t="inlineStr">
        <is>
          <t>Bộ</t>
        </is>
      </c>
      <c r="G447" s="394" t="n">
        <v>1</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Hàng thương mại mua ngoài</t>
        </is>
      </c>
    </row>
    <row r="448">
      <c r="A448" t="inlineStr">
        <is>
          <t>SW-TRD-570-TM</t>
        </is>
      </c>
      <c r="B448" t="inlineStr">
        <is>
          <t>SW-TRD-570</t>
        </is>
      </c>
      <c r="C448" t="inlineStr">
        <is>
          <t>A1.3 Dàn lạnh</t>
        </is>
      </c>
      <c r="D448" t="inlineStr">
        <is>
          <t>THUONG_MAI</t>
        </is>
      </c>
      <c r="E448" t="inlineStr">
        <is>
          <t>MAT-THUONG_MAI-A1_3_DAN_LANH</t>
        </is>
      </c>
      <c r="F448" t="inlineStr">
        <is>
          <t>Bộ</t>
        </is>
      </c>
      <c r="G448" s="394" t="n">
        <v>1</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Hàng thương mại mua ngoài</t>
        </is>
      </c>
    </row>
    <row r="449">
      <c r="A449" t="inlineStr">
        <is>
          <t>SW-TRD-571-TM</t>
        </is>
      </c>
      <c r="B449" t="inlineStr">
        <is>
          <t>SW-TRD-571</t>
        </is>
      </c>
      <c r="C449" t="inlineStr">
        <is>
          <t>A1.3 Dàn lạnh</t>
        </is>
      </c>
      <c r="D449" t="inlineStr">
        <is>
          <t>THUONG_MAI</t>
        </is>
      </c>
      <c r="E449" t="inlineStr">
        <is>
          <t>MAT-THUONG_MAI-A1_3_DAN_LANH</t>
        </is>
      </c>
      <c r="F449" t="inlineStr">
        <is>
          <t>Bộ</t>
        </is>
      </c>
      <c r="G449" s="394" t="n">
        <v>1</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Hàng thương mại mua ngoài</t>
        </is>
      </c>
    </row>
    <row r="450">
      <c r="A450" t="inlineStr">
        <is>
          <t>SW-TRD-572-TM</t>
        </is>
      </c>
      <c r="B450" t="inlineStr">
        <is>
          <t>SW-TRD-572</t>
        </is>
      </c>
      <c r="C450" t="inlineStr">
        <is>
          <t>A1.3 Dàn nóng</t>
        </is>
      </c>
      <c r="D450" t="inlineStr">
        <is>
          <t>THUONG_MAI</t>
        </is>
      </c>
      <c r="E450" t="inlineStr">
        <is>
          <t>MAT-THUONG_MAI-A1_3_DAN_NONG</t>
        </is>
      </c>
      <c r="F450" t="inlineStr">
        <is>
          <t>Bộ</t>
        </is>
      </c>
      <c r="G450" s="394" t="n">
        <v>1</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Hàng thương mại mua ngoài</t>
        </is>
      </c>
    </row>
    <row r="451">
      <c r="A451" t="inlineStr">
        <is>
          <t>SW-TRD-573-TM</t>
        </is>
      </c>
      <c r="B451" t="inlineStr">
        <is>
          <t>SW-TRD-573</t>
        </is>
      </c>
      <c r="C451" t="inlineStr">
        <is>
          <t>A1.3 Dàn lạnh</t>
        </is>
      </c>
      <c r="D451" t="inlineStr">
        <is>
          <t>THUONG_MAI</t>
        </is>
      </c>
      <c r="E451" t="inlineStr">
        <is>
          <t>MAT-THUONG_MAI-A1_3_DAN_LANH</t>
        </is>
      </c>
      <c r="F451" t="inlineStr">
        <is>
          <t>Bộ</t>
        </is>
      </c>
      <c r="G451" s="394" t="n">
        <v>1</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Hàng thương mại mua ngoài</t>
        </is>
      </c>
    </row>
    <row r="452">
      <c r="A452" t="inlineStr">
        <is>
          <t>SW-TRD-574-TM</t>
        </is>
      </c>
      <c r="B452" t="inlineStr">
        <is>
          <t>SW-TRD-574</t>
        </is>
      </c>
      <c r="C452" t="inlineStr">
        <is>
          <t>A1.3 Dàn lạnh</t>
        </is>
      </c>
      <c r="D452" t="inlineStr">
        <is>
          <t>THUONG_MAI</t>
        </is>
      </c>
      <c r="E452" t="inlineStr">
        <is>
          <t>MAT-THUONG_MAI-A1_3_DAN_LANH</t>
        </is>
      </c>
      <c r="F452" t="inlineStr">
        <is>
          <t>Bộ</t>
        </is>
      </c>
      <c r="G452" s="394" t="n">
        <v>1</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Hàng thương mại mua ngoài</t>
        </is>
      </c>
    </row>
    <row r="453">
      <c r="A453" t="inlineStr">
        <is>
          <t>SW-TRD-575-TM</t>
        </is>
      </c>
      <c r="B453" t="inlineStr">
        <is>
          <t>SW-TRD-575</t>
        </is>
      </c>
      <c r="C453" t="inlineStr">
        <is>
          <t>A1.3 Dàn nóng</t>
        </is>
      </c>
      <c r="D453" t="inlineStr">
        <is>
          <t>THUONG_MAI</t>
        </is>
      </c>
      <c r="E453" t="inlineStr">
        <is>
          <t>MAT-THUONG_MAI-A1_3_DAN_NONG</t>
        </is>
      </c>
      <c r="F453" t="inlineStr">
        <is>
          <t>Bộ</t>
        </is>
      </c>
      <c r="G453" s="394" t="n">
        <v>1</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Hàng thương mại mua ngoài</t>
        </is>
      </c>
    </row>
    <row r="454">
      <c r="A454" t="inlineStr">
        <is>
          <t>SW-TRD-576-TM</t>
        </is>
      </c>
      <c r="B454" t="inlineStr">
        <is>
          <t>SW-TRD-576</t>
        </is>
      </c>
      <c r="C454" t="inlineStr">
        <is>
          <t>A1.3 Dàn lạnh</t>
        </is>
      </c>
      <c r="D454" t="inlineStr">
        <is>
          <t>THUONG_MAI</t>
        </is>
      </c>
      <c r="E454" t="inlineStr">
        <is>
          <t>MAT-THUONG_MAI-A1_3_DAN_LANH</t>
        </is>
      </c>
      <c r="F454" t="inlineStr">
        <is>
          <t>Bộ</t>
        </is>
      </c>
      <c r="G454" s="394" t="n">
        <v>1</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Hàng thương mại mua ngoài</t>
        </is>
      </c>
    </row>
    <row r="455">
      <c r="A455" t="inlineStr">
        <is>
          <t>SW-TRD-577-TM</t>
        </is>
      </c>
      <c r="B455" t="inlineStr">
        <is>
          <t>SW-TRD-577</t>
        </is>
      </c>
      <c r="C455" t="inlineStr">
        <is>
          <t>A1.3 Dàn lạnh</t>
        </is>
      </c>
      <c r="D455" t="inlineStr">
        <is>
          <t>THUONG_MAI</t>
        </is>
      </c>
      <c r="E455" t="inlineStr">
        <is>
          <t>MAT-THUONG_MAI-A1_3_DAN_LANH</t>
        </is>
      </c>
      <c r="F455" t="inlineStr">
        <is>
          <t>Bộ</t>
        </is>
      </c>
      <c r="G455" s="394" t="n">
        <v>1</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Hàng thương mại mua ngoài</t>
        </is>
      </c>
    </row>
    <row r="456">
      <c r="A456" t="inlineStr">
        <is>
          <t>SW-TRD-578-TM</t>
        </is>
      </c>
      <c r="B456" t="inlineStr">
        <is>
          <t>SW-TRD-578</t>
        </is>
      </c>
      <c r="C456" t="inlineStr">
        <is>
          <t>A1.3 Dàn nóng</t>
        </is>
      </c>
      <c r="D456" t="inlineStr">
        <is>
          <t>THUONG_MAI</t>
        </is>
      </c>
      <c r="E456" t="inlineStr">
        <is>
          <t>MAT-THUONG_MAI-A1_3_DAN_NONG</t>
        </is>
      </c>
      <c r="F456" t="inlineStr">
        <is>
          <t>Bộ</t>
        </is>
      </c>
      <c r="G456" s="394" t="n">
        <v>1</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Hàng thương mại mua ngoài</t>
        </is>
      </c>
    </row>
    <row r="457">
      <c r="A457" t="inlineStr">
        <is>
          <t>SW-TRD-579-TM</t>
        </is>
      </c>
      <c r="B457" t="inlineStr">
        <is>
          <t>SW-TRD-579</t>
        </is>
      </c>
      <c r="C457" t="inlineStr">
        <is>
          <t>A1.3 Dàn lạnh</t>
        </is>
      </c>
      <c r="D457" t="inlineStr">
        <is>
          <t>THUONG_MAI</t>
        </is>
      </c>
      <c r="E457" t="inlineStr">
        <is>
          <t>MAT-THUONG_MAI-A1_3_DAN_LANH</t>
        </is>
      </c>
      <c r="F457" t="inlineStr">
        <is>
          <t>Bộ</t>
        </is>
      </c>
      <c r="G457" s="394" t="n">
        <v>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Hàng thương mại mua ngoài</t>
        </is>
      </c>
    </row>
    <row r="458">
      <c r="A458" t="inlineStr">
        <is>
          <t>SW-TRD-580-TM</t>
        </is>
      </c>
      <c r="B458" t="inlineStr">
        <is>
          <t>SW-TRD-580</t>
        </is>
      </c>
      <c r="C458" t="inlineStr">
        <is>
          <t>A1.3 Dàn lạnh</t>
        </is>
      </c>
      <c r="D458" t="inlineStr">
        <is>
          <t>THUONG_MAI</t>
        </is>
      </c>
      <c r="E458" t="inlineStr">
        <is>
          <t>MAT-THUONG_MAI-A1_3_DAN_LANH</t>
        </is>
      </c>
      <c r="F458" t="inlineStr">
        <is>
          <t>Bộ</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Hàng thương mại mua ngoài</t>
        </is>
      </c>
    </row>
    <row r="459">
      <c r="A459" t="inlineStr">
        <is>
          <t>SW-TRD-581-TM</t>
        </is>
      </c>
      <c r="B459" t="inlineStr">
        <is>
          <t>SW-TRD-581</t>
        </is>
      </c>
      <c r="C459" t="inlineStr">
        <is>
          <t>A1.3 Dàn lạnh</t>
        </is>
      </c>
      <c r="D459" t="inlineStr">
        <is>
          <t>THUONG_MAI</t>
        </is>
      </c>
      <c r="E459" t="inlineStr">
        <is>
          <t>MAT-THUONG_MAI-A1_3_DAN_LANH</t>
        </is>
      </c>
      <c r="F459" t="inlineStr">
        <is>
          <t>Bộ</t>
        </is>
      </c>
      <c r="G459" s="394" t="n">
        <v>1</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Hàng thương mại mua ngoài</t>
        </is>
      </c>
    </row>
    <row r="460">
      <c r="A460" t="inlineStr">
        <is>
          <t>SW-TRD-582-TM</t>
        </is>
      </c>
      <c r="B460" t="inlineStr">
        <is>
          <t>SW-TRD-582</t>
        </is>
      </c>
      <c r="C460" t="inlineStr">
        <is>
          <t>A1.3 Dàn nóng</t>
        </is>
      </c>
      <c r="D460" t="inlineStr">
        <is>
          <t>THUONG_MAI</t>
        </is>
      </c>
      <c r="E460" t="inlineStr">
        <is>
          <t>MAT-THUONG_MAI-A1_3_DAN_NONG</t>
        </is>
      </c>
      <c r="F460" t="inlineStr">
        <is>
          <t>Bộ</t>
        </is>
      </c>
      <c r="G460" s="394" t="n">
        <v>1</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Hàng thương mại mua ngoài</t>
        </is>
      </c>
    </row>
    <row r="461">
      <c r="A461" t="inlineStr">
        <is>
          <t>SW-TRD-583-TM</t>
        </is>
      </c>
      <c r="B461" t="inlineStr">
        <is>
          <t>SW-TRD-583</t>
        </is>
      </c>
      <c r="C461" t="inlineStr">
        <is>
          <t>A1.3 Dàn lạnh</t>
        </is>
      </c>
      <c r="D461" t="inlineStr">
        <is>
          <t>THUONG_MAI</t>
        </is>
      </c>
      <c r="E461" t="inlineStr">
        <is>
          <t>MAT-THUONG_MAI-A1_3_DAN_LANH</t>
        </is>
      </c>
      <c r="F461" t="inlineStr">
        <is>
          <t>Bộ</t>
        </is>
      </c>
      <c r="G461" s="394" t="n">
        <v>1</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Hàng thương mại mua ngoài</t>
        </is>
      </c>
    </row>
    <row r="462">
      <c r="A462" t="inlineStr">
        <is>
          <t>SW-TRD-584-TM</t>
        </is>
      </c>
      <c r="B462" t="inlineStr">
        <is>
          <t>SW-TRD-584</t>
        </is>
      </c>
      <c r="C462" t="inlineStr">
        <is>
          <t>A1.3 Dàn lạnh</t>
        </is>
      </c>
      <c r="D462" t="inlineStr">
        <is>
          <t>THUONG_MAI</t>
        </is>
      </c>
      <c r="E462" t="inlineStr">
        <is>
          <t>MAT-THUONG_MAI-A1_3_DAN_LANH</t>
        </is>
      </c>
      <c r="F462" t="inlineStr">
        <is>
          <t>Bộ</t>
        </is>
      </c>
      <c r="G462" s="394" t="n">
        <v>1</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Hàng thương mại mua ngoài</t>
        </is>
      </c>
    </row>
    <row r="463">
      <c r="A463" t="inlineStr">
        <is>
          <t>SW-TRD-585-TM</t>
        </is>
      </c>
      <c r="B463" t="inlineStr">
        <is>
          <t>SW-TRD-585</t>
        </is>
      </c>
      <c r="C463" t="inlineStr">
        <is>
          <t>A1.3 Dàn nóng</t>
        </is>
      </c>
      <c r="D463" t="inlineStr">
        <is>
          <t>THUONG_MAI</t>
        </is>
      </c>
      <c r="E463" t="inlineStr">
        <is>
          <t>MAT-THUONG_MAI-A1_3_DAN_NONG</t>
        </is>
      </c>
      <c r="F463" t="inlineStr">
        <is>
          <t>Bộ</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Hàng thương mại mua ngoài</t>
        </is>
      </c>
    </row>
    <row r="464">
      <c r="A464" t="inlineStr">
        <is>
          <t>SW-TRD-586-TM</t>
        </is>
      </c>
      <c r="B464" t="inlineStr">
        <is>
          <t>SW-TRD-586</t>
        </is>
      </c>
      <c r="C464" t="inlineStr">
        <is>
          <t>A1.3 Dàn lạnh</t>
        </is>
      </c>
      <c r="D464" t="inlineStr">
        <is>
          <t>THUONG_MAI</t>
        </is>
      </c>
      <c r="E464" t="inlineStr">
        <is>
          <t>MAT-THUONG_MAI-A1_3_DAN_LANH</t>
        </is>
      </c>
      <c r="F464" t="inlineStr">
        <is>
          <t>Bộ</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Hàng thương mại mua ngoài</t>
        </is>
      </c>
    </row>
    <row r="465">
      <c r="A465" t="inlineStr">
        <is>
          <t>SW-TRD-587-TM</t>
        </is>
      </c>
      <c r="B465" t="inlineStr">
        <is>
          <t>SW-TRD-587</t>
        </is>
      </c>
      <c r="C465" t="inlineStr">
        <is>
          <t>A1.3 Dàn lạnh</t>
        </is>
      </c>
      <c r="D465" t="inlineStr">
        <is>
          <t>THUONG_MAI</t>
        </is>
      </c>
      <c r="E465" t="inlineStr">
        <is>
          <t>MAT-THUONG_MAI-A1_3_DAN_LANH</t>
        </is>
      </c>
      <c r="F465" t="inlineStr">
        <is>
          <t>Bộ</t>
        </is>
      </c>
      <c r="G465" s="394" t="n">
        <v>1</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Hàng thương mại mua ngoài</t>
        </is>
      </c>
    </row>
    <row r="466">
      <c r="A466" t="inlineStr">
        <is>
          <t>SW-TRD-588-TM</t>
        </is>
      </c>
      <c r="B466" t="inlineStr">
        <is>
          <t>SW-TRD-588</t>
        </is>
      </c>
      <c r="C466" t="inlineStr">
        <is>
          <t>Dàn lạnh Điều khiển nhiệt độ (có dây)</t>
        </is>
      </c>
      <c r="D466" t="inlineStr">
        <is>
          <t>THUONG_MAI</t>
        </is>
      </c>
      <c r="E466" t="inlineStr">
        <is>
          <t>MAT-THUONG_MAI-DAN_LANH_DIEU_KHIEN_NHIET_DO_CO_DAY</t>
        </is>
      </c>
      <c r="F466" t="inlineStr">
        <is>
          <t>Bộ</t>
        </is>
      </c>
      <c r="G466" s="394" t="n">
        <v>1</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Hàng thương mại mua ngoài</t>
        </is>
      </c>
    </row>
    <row r="467">
      <c r="A467" t="inlineStr">
        <is>
          <t>SW-TRD-589-TM</t>
        </is>
      </c>
      <c r="B467" t="inlineStr">
        <is>
          <t>SW-TRD-589</t>
        </is>
      </c>
      <c r="C467" t="inlineStr">
        <is>
          <t>Dàn lạnh Vật tư phụ, phụ kiện</t>
        </is>
      </c>
      <c r="D467" t="inlineStr">
        <is>
          <t>THUONG_MAI</t>
        </is>
      </c>
      <c r="E467" t="inlineStr">
        <is>
          <t>MAT-THUONG_MAI-DAN_LANH_VAT_TU_PHU_PHU_KIEN</t>
        </is>
      </c>
      <c r="F467" t="inlineStr">
        <is>
          <t>Lô</t>
        </is>
      </c>
      <c r="G467" s="394" t="n">
        <v>1</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Hàng thương mại mua ngoài</t>
        </is>
      </c>
    </row>
    <row r="468">
      <c r="A468" t="inlineStr">
        <is>
          <t>SW-ACST-590-ROCKWOOL</t>
        </is>
      </c>
      <c r="B468" t="inlineStr">
        <is>
          <t>SW-ACST-590</t>
        </is>
      </c>
      <c r="C468" t="inlineStr">
        <is>
          <t>Bông Rockwool tỷ trọng 50kg/m3 dày 50mm</t>
        </is>
      </c>
      <c r="D468" t="inlineStr">
        <is>
          <t>VẬT_LIỆU_TIÊU_ÂM</t>
        </is>
      </c>
      <c r="E468" t="inlineStr">
        <is>
          <t>ROCKWOOL_50MM_50KG</t>
        </is>
      </c>
      <c r="F468" t="inlineStr">
        <is>
          <t>m2</t>
        </is>
      </c>
      <c r="G468" s="394" t="n">
        <v>1.1</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Diện tích vách 1.00m2</t>
        </is>
      </c>
    </row>
    <row r="469">
      <c r="A469" t="inlineStr">
        <is>
          <t>SW-ACST-590-GLASSCLOTH</t>
        </is>
      </c>
      <c r="B469" t="inlineStr">
        <is>
          <t>SW-ACST-590</t>
        </is>
      </c>
      <c r="C469" t="inlineStr">
        <is>
          <t>Vải thủy tinh bọc tiêu âm</t>
        </is>
      </c>
      <c r="D469" t="inlineStr">
        <is>
          <t>VẬT_LIỆU_TIÊU_ÂM</t>
        </is>
      </c>
      <c r="E469" t="inlineStr">
        <is>
          <t>GLASS_CLOTH</t>
        </is>
      </c>
      <c r="F469" t="inlineStr">
        <is>
          <t>m2</t>
        </is>
      </c>
      <c r="G469" s="394" t="n">
        <v>1.1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Diện tích vách 1.00m2</t>
        </is>
      </c>
    </row>
    <row r="470">
      <c r="A470" t="inlineStr">
        <is>
          <t>SW-ACST-590-PERFORATED</t>
        </is>
      </c>
      <c r="B470" t="inlineStr">
        <is>
          <t>SW-ACST-590</t>
        </is>
      </c>
      <c r="C470" t="inlineStr">
        <is>
          <t>Tôn đục lỗ tiêu âm</t>
        </is>
      </c>
      <c r="D470" t="inlineStr">
        <is>
          <t>VẬT_LIỆU_TIÊU_ÂM</t>
        </is>
      </c>
      <c r="E470" t="inlineStr">
        <is>
          <t>PERFORATED_SHEET</t>
        </is>
      </c>
      <c r="F470" t="inlineStr">
        <is>
          <t>m2</t>
        </is>
      </c>
      <c r="G470" s="394" t="n">
        <v>1.1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Bọc mặt ngoài</t>
        </is>
      </c>
    </row>
    <row r="471">
      <c r="A471" t="inlineStr">
        <is>
          <t>SW-ACST-590-BOX</t>
        </is>
      </c>
      <c r="B471" t="inlineStr">
        <is>
          <t>SW-ACST-590</t>
        </is>
      </c>
      <c r="C471" t="inlineStr">
        <is>
          <t>Box phụ kiện -</t>
        </is>
      </c>
      <c r="D471" t="inlineStr">
        <is>
          <t>THUONG_MAI</t>
        </is>
      </c>
      <c r="E471" t="inlineStr">
        <is>
          <t>MAT-BOX-MIENG_GIO_CHO_CAP_NH_DA3E</t>
        </is>
      </c>
      <c r="F471" t="inlineStr">
        <is>
          <t>Cái</t>
        </is>
      </c>
      <c r="G471" s="394" t="n">
        <v>1</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Phụ kiện bóc tách động (Rule-based)</t>
        </is>
      </c>
    </row>
    <row r="472">
      <c r="A472" t="inlineStr">
        <is>
          <t>SW-ACST-591-ROCKWOOL</t>
        </is>
      </c>
      <c r="B472" t="inlineStr">
        <is>
          <t>SW-ACST-591</t>
        </is>
      </c>
      <c r="C472" t="inlineStr">
        <is>
          <t>Bông Rockwool tỷ trọng 50kg/m3 dày 50mm</t>
        </is>
      </c>
      <c r="D472" t="inlineStr">
        <is>
          <t>VẬT_LIỆU_TIÊU_ÂM</t>
        </is>
      </c>
      <c r="E472" t="inlineStr">
        <is>
          <t>ROCKWOOL_50MM_50KG</t>
        </is>
      </c>
      <c r="F472" t="inlineStr">
        <is>
          <t>m2</t>
        </is>
      </c>
      <c r="G472" s="394" t="n">
        <v>1.1</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Diện tích vách 1.00m2</t>
        </is>
      </c>
    </row>
    <row r="473">
      <c r="A473" t="inlineStr">
        <is>
          <t>SW-ACST-591-GLASSCLOTH</t>
        </is>
      </c>
      <c r="B473" t="inlineStr">
        <is>
          <t>SW-ACST-591</t>
        </is>
      </c>
      <c r="C473" t="inlineStr">
        <is>
          <t>Vải thủy tinh bọc tiêu âm</t>
        </is>
      </c>
      <c r="D473" t="inlineStr">
        <is>
          <t>VẬT_LIỆU_TIÊU_ÂM</t>
        </is>
      </c>
      <c r="E473" t="inlineStr">
        <is>
          <t>GLASS_CLOTH</t>
        </is>
      </c>
      <c r="F473" t="inlineStr">
        <is>
          <t>m2</t>
        </is>
      </c>
      <c r="G473" s="394" t="n">
        <v>1.1</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Diện tích vách 1.00m2</t>
        </is>
      </c>
    </row>
    <row r="474">
      <c r="A474" t="inlineStr">
        <is>
          <t>SW-ACST-591-PERFORATED</t>
        </is>
      </c>
      <c r="B474" t="inlineStr">
        <is>
          <t>SW-ACST-591</t>
        </is>
      </c>
      <c r="C474" t="inlineStr">
        <is>
          <t>Tôn đục lỗ tiêu âm</t>
        </is>
      </c>
      <c r="D474" t="inlineStr">
        <is>
          <t>VẬT_LIỆU_TIÊU_ÂM</t>
        </is>
      </c>
      <c r="E474" t="inlineStr">
        <is>
          <t>PERFORATED_SHEET</t>
        </is>
      </c>
      <c r="F474" t="inlineStr">
        <is>
          <t>m2</t>
        </is>
      </c>
      <c r="G474" s="394" t="n">
        <v>1.1</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Bọc mặt ngoài</t>
        </is>
      </c>
    </row>
    <row r="475">
      <c r="A475" t="inlineStr">
        <is>
          <t>SW-ACST-591-BOX</t>
        </is>
      </c>
      <c r="B475" t="inlineStr">
        <is>
          <t>SW-ACST-591</t>
        </is>
      </c>
      <c r="C475" t="inlineStr">
        <is>
          <t>Box phụ kiện -</t>
        </is>
      </c>
      <c r="D475" t="inlineStr">
        <is>
          <t>THUONG_MAI</t>
        </is>
      </c>
      <c r="E475" t="inlineStr">
        <is>
          <t>MAT-BOX-MIENG_GIO_CHO_CAP_NH_FBD0</t>
        </is>
      </c>
      <c r="F475" t="inlineStr">
        <is>
          <t>Cái</t>
        </is>
      </c>
      <c r="G475" s="394" t="n">
        <v>1</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Phụ kiện bóc tách động (Rule-based)</t>
        </is>
      </c>
    </row>
    <row r="476">
      <c r="A476" t="inlineStr">
        <is>
          <t>SW-ACST-592-ROCKWOOL</t>
        </is>
      </c>
      <c r="B476" t="inlineStr">
        <is>
          <t>SW-ACST-592</t>
        </is>
      </c>
      <c r="C476" t="inlineStr">
        <is>
          <t>Bông Rockwool tỷ trọng 50kg/m3 dày 50mm</t>
        </is>
      </c>
      <c r="D476" t="inlineStr">
        <is>
          <t>VẬT_LIỆU_TIÊU_ÂM</t>
        </is>
      </c>
      <c r="E476" t="inlineStr">
        <is>
          <t>ROCKWOOL_50MM_50KG</t>
        </is>
      </c>
      <c r="F476" t="inlineStr">
        <is>
          <t>m2</t>
        </is>
      </c>
      <c r="G476" s="394" t="n">
        <v>1.1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Diện tích vách 1.00m2</t>
        </is>
      </c>
    </row>
    <row r="477">
      <c r="A477" t="inlineStr">
        <is>
          <t>SW-ACST-592-GLASSCLOTH</t>
        </is>
      </c>
      <c r="B477" t="inlineStr">
        <is>
          <t>SW-ACST-592</t>
        </is>
      </c>
      <c r="C477" t="inlineStr">
        <is>
          <t>Vải thủy tinh bọc tiêu âm</t>
        </is>
      </c>
      <c r="D477" t="inlineStr">
        <is>
          <t>VẬT_LIỆU_TIÊU_ÂM</t>
        </is>
      </c>
      <c r="E477" t="inlineStr">
        <is>
          <t>GLASS_CLOTH</t>
        </is>
      </c>
      <c r="F477" t="inlineStr">
        <is>
          <t>m2</t>
        </is>
      </c>
      <c r="G477" s="394" t="n">
        <v>1.1</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Diện tích vách 1.00m2</t>
        </is>
      </c>
    </row>
    <row r="478">
      <c r="A478" t="inlineStr">
        <is>
          <t>SW-ACST-592-PERFORATED</t>
        </is>
      </c>
      <c r="B478" t="inlineStr">
        <is>
          <t>SW-ACST-592</t>
        </is>
      </c>
      <c r="C478" t="inlineStr">
        <is>
          <t>Tôn đục lỗ tiêu âm</t>
        </is>
      </c>
      <c r="D478" t="inlineStr">
        <is>
          <t>VẬT_LIỆU_TIÊU_ÂM</t>
        </is>
      </c>
      <c r="E478" t="inlineStr">
        <is>
          <t>PERFORATED_SHEET</t>
        </is>
      </c>
      <c r="F478" t="inlineStr">
        <is>
          <t>m2</t>
        </is>
      </c>
      <c r="G478" s="394" t="n">
        <v>1.1</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Bọc mặt ngoài</t>
        </is>
      </c>
    </row>
    <row r="479">
      <c r="A479" t="inlineStr">
        <is>
          <t>SW-ACST-592-BOX</t>
        </is>
      </c>
      <c r="B479" t="inlineStr">
        <is>
          <t>SW-ACST-592</t>
        </is>
      </c>
      <c r="C479" t="inlineStr">
        <is>
          <t>Box phụ kiện -</t>
        </is>
      </c>
      <c r="D479" t="inlineStr">
        <is>
          <t>THUONG_MAI</t>
        </is>
      </c>
      <c r="E479" t="inlineStr">
        <is>
          <t>MAT-BOX-MIENG_GIO_CHO_CAP_NH_3914</t>
        </is>
      </c>
      <c r="F479" t="inlineStr">
        <is>
          <t>Cái</t>
        </is>
      </c>
      <c r="G479" s="394" t="n">
        <v>1</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Phụ kiện bóc tách động (Rule-based)</t>
        </is>
      </c>
    </row>
    <row r="480">
      <c r="A480" t="inlineStr">
        <is>
          <t>SW-ACST-593-ROCKWOOL</t>
        </is>
      </c>
      <c r="B480" t="inlineStr">
        <is>
          <t>SW-ACST-593</t>
        </is>
      </c>
      <c r="C480" t="inlineStr">
        <is>
          <t>Bông Rockwool tỷ trọng 50kg/m3 dày 50mm</t>
        </is>
      </c>
      <c r="D480" t="inlineStr">
        <is>
          <t>VẬT_LIỆU_TIÊU_ÂM</t>
        </is>
      </c>
      <c r="E480" t="inlineStr">
        <is>
          <t>ROCKWOOL_50MM_50KG</t>
        </is>
      </c>
      <c r="F480" t="inlineStr">
        <is>
          <t>m2</t>
        </is>
      </c>
      <c r="G480" s="394" t="n">
        <v>1.1</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Diện tích vách 1.00m2</t>
        </is>
      </c>
    </row>
    <row r="481">
      <c r="A481" t="inlineStr">
        <is>
          <t>SW-ACST-593-GLASSCLOTH</t>
        </is>
      </c>
      <c r="B481" t="inlineStr">
        <is>
          <t>SW-ACST-593</t>
        </is>
      </c>
      <c r="C481" t="inlineStr">
        <is>
          <t>Vải thủy tinh bọc tiêu âm</t>
        </is>
      </c>
      <c r="D481" t="inlineStr">
        <is>
          <t>VẬT_LIỆU_TIÊU_ÂM</t>
        </is>
      </c>
      <c r="E481" t="inlineStr">
        <is>
          <t>GLASS_CLOTH</t>
        </is>
      </c>
      <c r="F481" t="inlineStr">
        <is>
          <t>m2</t>
        </is>
      </c>
      <c r="G481" s="394" t="n">
        <v>1.1</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Diện tích vách 1.00m2</t>
        </is>
      </c>
    </row>
    <row r="482">
      <c r="A482" t="inlineStr">
        <is>
          <t>SW-ACST-593-PERFORATED</t>
        </is>
      </c>
      <c r="B482" t="inlineStr">
        <is>
          <t>SW-ACST-593</t>
        </is>
      </c>
      <c r="C482" t="inlineStr">
        <is>
          <t>Tôn đục lỗ tiêu âm</t>
        </is>
      </c>
      <c r="D482" t="inlineStr">
        <is>
          <t>VẬT_LIỆU_TIÊU_ÂM</t>
        </is>
      </c>
      <c r="E482" t="inlineStr">
        <is>
          <t>PERFORATED_SHEET</t>
        </is>
      </c>
      <c r="F482" t="inlineStr">
        <is>
          <t>m2</t>
        </is>
      </c>
      <c r="G482" s="394" t="n">
        <v>1.1</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Bọc mặt ngoài</t>
        </is>
      </c>
    </row>
    <row r="483">
      <c r="A483" t="inlineStr">
        <is>
          <t>SW-ACST-593-BOX</t>
        </is>
      </c>
      <c r="B483" t="inlineStr">
        <is>
          <t>SW-ACST-593</t>
        </is>
      </c>
      <c r="C483" t="inlineStr">
        <is>
          <t>Box phụ kiện -</t>
        </is>
      </c>
      <c r="D483" t="inlineStr">
        <is>
          <t>THUONG_MAI</t>
        </is>
      </c>
      <c r="E483" t="inlineStr">
        <is>
          <t>MAT-BOX-MIENG_GIO_CHO_CAP_NH_87A5</t>
        </is>
      </c>
      <c r="F483" t="inlineStr">
        <is>
          <t>Cái</t>
        </is>
      </c>
      <c r="G483" s="394" t="n">
        <v>1</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Phụ kiện bóc tách động (Rule-based)</t>
        </is>
      </c>
    </row>
    <row r="484">
      <c r="A484" t="inlineStr">
        <is>
          <t>SW-ACST-594-ROCKWOOL</t>
        </is>
      </c>
      <c r="B484" t="inlineStr">
        <is>
          <t>SW-ACST-594</t>
        </is>
      </c>
      <c r="C484" t="inlineStr">
        <is>
          <t>Bông Rockwool tỷ trọng 50kg/m3 dày 50mm</t>
        </is>
      </c>
      <c r="D484" t="inlineStr">
        <is>
          <t>VẬT_LIỆU_TIÊU_ÂM</t>
        </is>
      </c>
      <c r="E484" t="inlineStr">
        <is>
          <t>ROCKWOOL_50MM_50KG</t>
        </is>
      </c>
      <c r="F484" t="inlineStr">
        <is>
          <t>m2</t>
        </is>
      </c>
      <c r="G484" s="394" t="n">
        <v>1.1</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Diện tích vách 1.00m2</t>
        </is>
      </c>
    </row>
    <row r="485">
      <c r="A485" t="inlineStr">
        <is>
          <t>SW-ACST-594-GLASSCLOTH</t>
        </is>
      </c>
      <c r="B485" t="inlineStr">
        <is>
          <t>SW-ACST-594</t>
        </is>
      </c>
      <c r="C485" t="inlineStr">
        <is>
          <t>Vải thủy tinh bọc tiêu âm</t>
        </is>
      </c>
      <c r="D485" t="inlineStr">
        <is>
          <t>VẬT_LIỆU_TIÊU_ÂM</t>
        </is>
      </c>
      <c r="E485" t="inlineStr">
        <is>
          <t>GLASS_CLOTH</t>
        </is>
      </c>
      <c r="F485" t="inlineStr">
        <is>
          <t>m2</t>
        </is>
      </c>
      <c r="G485" s="394" t="n">
        <v>1.1</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Diện tích vách 1.00m2</t>
        </is>
      </c>
    </row>
    <row r="486">
      <c r="A486" t="inlineStr">
        <is>
          <t>SW-ACST-594-PERFORATED</t>
        </is>
      </c>
      <c r="B486" t="inlineStr">
        <is>
          <t>SW-ACST-594</t>
        </is>
      </c>
      <c r="C486" t="inlineStr">
        <is>
          <t>Tôn đục lỗ tiêu âm</t>
        </is>
      </c>
      <c r="D486" t="inlineStr">
        <is>
          <t>VẬT_LIỆU_TIÊU_ÂM</t>
        </is>
      </c>
      <c r="E486" t="inlineStr">
        <is>
          <t>PERFORATED_SHEET</t>
        </is>
      </c>
      <c r="F486" t="inlineStr">
        <is>
          <t>m2</t>
        </is>
      </c>
      <c r="G486" s="394" t="n">
        <v>1.1</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Bọc mặt ngoài</t>
        </is>
      </c>
    </row>
    <row r="487">
      <c r="A487" t="inlineStr">
        <is>
          <t>SW-ACST-594-BOX</t>
        </is>
      </c>
      <c r="B487" t="inlineStr">
        <is>
          <t>SW-ACST-594</t>
        </is>
      </c>
      <c r="C487" t="inlineStr">
        <is>
          <t>Box phụ kiện -</t>
        </is>
      </c>
      <c r="D487" t="inlineStr">
        <is>
          <t>THUONG_MAI</t>
        </is>
      </c>
      <c r="E487" t="inlineStr">
        <is>
          <t>MAT-BOX-MIENG_GIO_CHO_CAP_NH_34FC</t>
        </is>
      </c>
      <c r="F487" t="inlineStr">
        <is>
          <t>Cái</t>
        </is>
      </c>
      <c r="G487" s="394" t="n">
        <v>1</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Phụ kiện bóc tách động (Rule-based)</t>
        </is>
      </c>
    </row>
    <row r="488">
      <c r="A488" t="inlineStr">
        <is>
          <t>SW-ACST-595-ROCKWOOL</t>
        </is>
      </c>
      <c r="B488" t="inlineStr">
        <is>
          <t>SW-ACST-595</t>
        </is>
      </c>
      <c r="C488" t="inlineStr">
        <is>
          <t>Bông Rockwool tỷ trọng 50kg/m3 dày 50mm</t>
        </is>
      </c>
      <c r="D488" t="inlineStr">
        <is>
          <t>VẬT_LIỆU_TIÊU_ÂM</t>
        </is>
      </c>
      <c r="E488" t="inlineStr">
        <is>
          <t>ROCKWOOL_50MM_50KG</t>
        </is>
      </c>
      <c r="F488" t="inlineStr">
        <is>
          <t>m2</t>
        </is>
      </c>
      <c r="G488" s="394" t="n">
        <v>1.1</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Diện tích vách 1.00m2</t>
        </is>
      </c>
    </row>
    <row r="489">
      <c r="A489" t="inlineStr">
        <is>
          <t>SW-ACST-595-GLASSCLOTH</t>
        </is>
      </c>
      <c r="B489" t="inlineStr">
        <is>
          <t>SW-ACST-595</t>
        </is>
      </c>
      <c r="C489" t="inlineStr">
        <is>
          <t>Vải thủy tinh bọc tiêu âm</t>
        </is>
      </c>
      <c r="D489" t="inlineStr">
        <is>
          <t>VẬT_LIỆU_TIÊU_ÂM</t>
        </is>
      </c>
      <c r="E489" t="inlineStr">
        <is>
          <t>GLASS_CLOTH</t>
        </is>
      </c>
      <c r="F489" t="inlineStr">
        <is>
          <t>m2</t>
        </is>
      </c>
      <c r="G489" s="394" t="n">
        <v>1.1</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Diện tích vách 1.00m2</t>
        </is>
      </c>
    </row>
    <row r="490">
      <c r="A490" t="inlineStr">
        <is>
          <t>SW-ACST-595-PERFORATED</t>
        </is>
      </c>
      <c r="B490" t="inlineStr">
        <is>
          <t>SW-ACST-595</t>
        </is>
      </c>
      <c r="C490" t="inlineStr">
        <is>
          <t>Tôn đục lỗ tiêu âm</t>
        </is>
      </c>
      <c r="D490" t="inlineStr">
        <is>
          <t>VẬT_LIỆU_TIÊU_ÂM</t>
        </is>
      </c>
      <c r="E490" t="inlineStr">
        <is>
          <t>PERFORATED_SHEET</t>
        </is>
      </c>
      <c r="F490" t="inlineStr">
        <is>
          <t>m2</t>
        </is>
      </c>
      <c r="G490" s="394" t="n">
        <v>1.1</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Bọc mặt ngoài</t>
        </is>
      </c>
    </row>
    <row r="491">
      <c r="A491" t="inlineStr">
        <is>
          <t>SW-ACST-595-BOX</t>
        </is>
      </c>
      <c r="B491" t="inlineStr">
        <is>
          <t>SW-ACST-595</t>
        </is>
      </c>
      <c r="C491" t="inlineStr">
        <is>
          <t>Box phụ kiện -</t>
        </is>
      </c>
      <c r="D491" t="inlineStr">
        <is>
          <t>THUONG_MAI</t>
        </is>
      </c>
      <c r="E491" t="inlineStr">
        <is>
          <t>MAT-BOX-MIENG_GIO_CHO_CAP_NH_7090</t>
        </is>
      </c>
      <c r="F491" t="inlineStr">
        <is>
          <t>Cái</t>
        </is>
      </c>
      <c r="G491" s="394" t="n">
        <v>1</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Phụ kiện bóc tách động (Rule-based)</t>
        </is>
      </c>
    </row>
    <row r="492">
      <c r="A492" t="inlineStr">
        <is>
          <t>SW-ACST-596-ROCKWOOL</t>
        </is>
      </c>
      <c r="B492" t="inlineStr">
        <is>
          <t>SW-ACST-596</t>
        </is>
      </c>
      <c r="C492" t="inlineStr">
        <is>
          <t>Bông Rockwool tỷ trọng 50kg/m3 dày 50mm</t>
        </is>
      </c>
      <c r="D492" t="inlineStr">
        <is>
          <t>VẬT_LIỆU_TIÊU_ÂM</t>
        </is>
      </c>
      <c r="E492" t="inlineStr">
        <is>
          <t>ROCKWOOL_50MM_50KG</t>
        </is>
      </c>
      <c r="F492" t="inlineStr">
        <is>
          <t>m2</t>
        </is>
      </c>
      <c r="G492" s="394" t="n">
        <v>1.1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Diện tích vách 1.00m2</t>
        </is>
      </c>
    </row>
    <row r="493">
      <c r="A493" t="inlineStr">
        <is>
          <t>SW-ACST-596-GLASSCLOTH</t>
        </is>
      </c>
      <c r="B493" t="inlineStr">
        <is>
          <t>SW-ACST-596</t>
        </is>
      </c>
      <c r="C493" t="inlineStr">
        <is>
          <t>Vải thủy tinh bọc tiêu âm</t>
        </is>
      </c>
      <c r="D493" t="inlineStr">
        <is>
          <t>VẬT_LIỆU_TIÊU_ÂM</t>
        </is>
      </c>
      <c r="E493" t="inlineStr">
        <is>
          <t>GLASS_CLOTH</t>
        </is>
      </c>
      <c r="F493" t="inlineStr">
        <is>
          <t>m2</t>
        </is>
      </c>
      <c r="G493" s="394" t="n">
        <v>1.1</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Diện tích vách 1.00m2</t>
        </is>
      </c>
    </row>
    <row r="494">
      <c r="A494" t="inlineStr">
        <is>
          <t>SW-ACST-596-PERFORATED</t>
        </is>
      </c>
      <c r="B494" t="inlineStr">
        <is>
          <t>SW-ACST-596</t>
        </is>
      </c>
      <c r="C494" t="inlineStr">
        <is>
          <t>Tôn đục lỗ tiêu âm</t>
        </is>
      </c>
      <c r="D494" t="inlineStr">
        <is>
          <t>VẬT_LIỆU_TIÊU_ÂM</t>
        </is>
      </c>
      <c r="E494" t="inlineStr">
        <is>
          <t>PERFORATED_SHEET</t>
        </is>
      </c>
      <c r="F494" t="inlineStr">
        <is>
          <t>m2</t>
        </is>
      </c>
      <c r="G494" s="394" t="n">
        <v>1.1</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Bọc mặt ngoài</t>
        </is>
      </c>
    </row>
    <row r="495">
      <c r="A495" t="inlineStr">
        <is>
          <t>SW-ACST-596-BOX</t>
        </is>
      </c>
      <c r="B495" t="inlineStr">
        <is>
          <t>SW-ACST-596</t>
        </is>
      </c>
      <c r="C495" t="inlineStr">
        <is>
          <t>Box phụ kiện -</t>
        </is>
      </c>
      <c r="D495" t="inlineStr">
        <is>
          <t>THUONG_MAI</t>
        </is>
      </c>
      <c r="E495" t="inlineStr">
        <is>
          <t>MAT-BOX-MIENG_GIO_CHO_CAP_NH_0FBB</t>
        </is>
      </c>
      <c r="F495" t="inlineStr">
        <is>
          <t>Cái</t>
        </is>
      </c>
      <c r="G495" s="394" t="n">
        <v>1</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Phụ kiện bóc tách động (Rule-based)</t>
        </is>
      </c>
    </row>
    <row r="496">
      <c r="A496" t="inlineStr">
        <is>
          <t>SW-TRD-606-TM</t>
        </is>
      </c>
      <c r="B496" t="inlineStr">
        <is>
          <t>SW-TRD-606</t>
        </is>
      </c>
      <c r="C496" t="inlineStr">
        <is>
          <t>Miệng gió cấp,hồi cho máy lạnh Vật tư phụ, phụ kiện</t>
        </is>
      </c>
      <c r="D496" t="inlineStr">
        <is>
          <t>THUONG_MAI</t>
        </is>
      </c>
      <c r="E496" t="inlineStr">
        <is>
          <t>MAT-THUONG_MAI-MIENG_GIO_CAP_HOI_CHO_MAY_LANH_A4B2</t>
        </is>
      </c>
      <c r="F496" t="inlineStr">
        <is>
          <t>Lô</t>
        </is>
      </c>
      <c r="G496" s="394" t="n">
        <v>1</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Hàng thương mại mua ngoài</t>
        </is>
      </c>
    </row>
    <row r="497">
      <c r="A497" t="inlineStr">
        <is>
          <t>SW-DUCT-607-BODY</t>
        </is>
      </c>
      <c r="B497" t="inlineStr">
        <is>
          <t>SW-DUCT-607</t>
        </is>
      </c>
      <c r="C497" t="inlineStr">
        <is>
          <t>Tôn mạ kẽm PN (0.58mm) - Định mức m²</t>
        </is>
      </c>
      <c r="D497" t="inlineStr">
        <is>
          <t>TÔN_CUỘN_MẠ_KẼM</t>
        </is>
      </c>
      <c r="E497" t="inlineStr">
        <is>
          <t>MAT-STEEL-PN-0.58</t>
        </is>
      </c>
      <c r="F497" t="inlineStr">
        <is>
          <t>kg</t>
        </is>
      </c>
      <c r="G497" s="394" t="n">
        <v>5.163101999999999</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Định mức tôn cho 1m² ống: phôi x1.08, hao hụt x1.05</t>
        </is>
      </c>
    </row>
    <row r="498">
      <c r="A498" t="inlineStr">
        <is>
          <t>SW-DUCT-607-BOX</t>
        </is>
      </c>
      <c r="B498" t="inlineStr">
        <is>
          <t>SW-DUCT-607</t>
        </is>
      </c>
      <c r="C498" t="inlineStr">
        <is>
          <t>Box phụ kiện 0.58mm</t>
        </is>
      </c>
      <c r="D498" t="inlineStr">
        <is>
          <t>THUONG_MAI</t>
        </is>
      </c>
      <c r="E498" t="inlineStr">
        <is>
          <t>MAT-BOX-ONG_GIO_LANH_BOX_MIE_8C68</t>
        </is>
      </c>
      <c r="F498" t="inlineStr">
        <is>
          <t>Cái</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Phụ kiện bóc tách động (Rule-based)</t>
        </is>
      </c>
    </row>
    <row r="499">
      <c r="A499" t="inlineStr">
        <is>
          <t>SW-DUCT-608-BODY</t>
        </is>
      </c>
      <c r="B499" t="inlineStr">
        <is>
          <t>SW-DUCT-608</t>
        </is>
      </c>
      <c r="C499" t="inlineStr">
        <is>
          <t>Tôn mạ kẽm PN (0.75mm) - Định mức m²</t>
        </is>
      </c>
      <c r="D499" t="inlineStr">
        <is>
          <t>TÔN_CUỘN_MẠ_KẼM</t>
        </is>
      </c>
      <c r="E499" t="inlineStr">
        <is>
          <t>MAT-STEEL-PN-0.75</t>
        </is>
      </c>
      <c r="F499" t="inlineStr">
        <is>
          <t>kg</t>
        </is>
      </c>
      <c r="G499" s="394" t="n">
        <v>6.676425</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Định mức tôn cho 1m² ống: phôi x1.08, hao hụt x1.05</t>
        </is>
      </c>
    </row>
    <row r="500">
      <c r="A500" t="inlineStr">
        <is>
          <t>SW-DUCT-608-BOX</t>
        </is>
      </c>
      <c r="B500" t="inlineStr">
        <is>
          <t>SW-DUCT-608</t>
        </is>
      </c>
      <c r="C500" t="inlineStr">
        <is>
          <t>Box phụ kiện 0.75mm</t>
        </is>
      </c>
      <c r="D500" t="inlineStr">
        <is>
          <t>THUONG_MAI</t>
        </is>
      </c>
      <c r="E500" t="inlineStr">
        <is>
          <t>MAT-BOX-ONG_GIO_LANH_BOX_MIE_88E9</t>
        </is>
      </c>
      <c r="F500" t="inlineStr">
        <is>
          <t>Cái</t>
        </is>
      </c>
      <c r="G500" s="394" t="n">
        <v>1</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Phụ kiện bóc tách động (Rule-based)</t>
        </is>
      </c>
    </row>
    <row r="501">
      <c r="A501" t="inlineStr">
        <is>
          <t>SW-FLEX-609-TM</t>
        </is>
      </c>
      <c r="B501" t="inlineStr">
        <is>
          <t>SW-FLEX-609</t>
        </is>
      </c>
      <c r="C501" t="inlineStr">
        <is>
          <t>ỐNG GIÓ LẠNH, BOX MIỆNG GIÓ Ống gió mềm D350 cách nhiệt dày 25mm</t>
        </is>
      </c>
      <c r="D501" t="inlineStr">
        <is>
          <t>ONG_MEM</t>
        </is>
      </c>
      <c r="E501" t="inlineStr">
        <is>
          <t>FLEX_DUCT_D350_INSULATED</t>
        </is>
      </c>
      <c r="F501" t="inlineStr">
        <is>
          <t>m</t>
        </is>
      </c>
      <c r="G501" s="394" t="n">
        <v>1</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Hàng thương mại mua ngoài</t>
        </is>
      </c>
    </row>
    <row r="502">
      <c r="A502" t="inlineStr">
        <is>
          <t>SW-FLEX-609-BOX</t>
        </is>
      </c>
      <c r="B502" t="inlineStr">
        <is>
          <t>SW-FLEX-609</t>
        </is>
      </c>
      <c r="C502" t="inlineStr">
        <is>
          <t>Box phụ kiện -</t>
        </is>
      </c>
      <c r="D502" t="inlineStr">
        <is>
          <t>THUONG_MAI</t>
        </is>
      </c>
      <c r="E502" t="inlineStr">
        <is>
          <t>MAT-BOX-ONG_GIO_LANH_BOX_MIE_1FDC</t>
        </is>
      </c>
      <c r="F502" t="inlineStr">
        <is>
          <t>Cái</t>
        </is>
      </c>
      <c r="G502" s="394" t="n">
        <v>1</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Phụ kiện bóc tách động (Rule-based)</t>
        </is>
      </c>
    </row>
    <row r="503">
      <c r="A503" t="inlineStr">
        <is>
          <t>SW-FLEX-610-TM</t>
        </is>
      </c>
      <c r="B503" t="inlineStr">
        <is>
          <t>SW-FLEX-610</t>
        </is>
      </c>
      <c r="C503" t="inlineStr">
        <is>
          <t>ỐNG GIÓ LẠNH, BOX MIỆNG GIÓ Ống gió mềm D300 cách nhiệt dày 25mm</t>
        </is>
      </c>
      <c r="D503" t="inlineStr">
        <is>
          <t>ONG_MEM</t>
        </is>
      </c>
      <c r="E503" t="inlineStr">
        <is>
          <t>FLEX_DUCT_D300_INSULATED</t>
        </is>
      </c>
      <c r="F503" t="inlineStr">
        <is>
          <t>m</t>
        </is>
      </c>
      <c r="G503" s="394" t="n">
        <v>1</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Hàng thương mại mua ngoài</t>
        </is>
      </c>
    </row>
    <row r="504">
      <c r="A504" t="inlineStr">
        <is>
          <t>SW-FLEX-610-BOX</t>
        </is>
      </c>
      <c r="B504" t="inlineStr">
        <is>
          <t>SW-FLEX-610</t>
        </is>
      </c>
      <c r="C504" t="inlineStr">
        <is>
          <t>Box phụ kiện -</t>
        </is>
      </c>
      <c r="D504" t="inlineStr">
        <is>
          <t>THUONG_MAI</t>
        </is>
      </c>
      <c r="E504" t="inlineStr">
        <is>
          <t>MAT-BOX-ONG_GIO_LANH_BOX_MIE_EF26</t>
        </is>
      </c>
      <c r="F504" t="inlineStr">
        <is>
          <t>Cái</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Phụ kiện bóc tách động (Rule-based)</t>
        </is>
      </c>
    </row>
    <row r="505">
      <c r="A505" t="inlineStr">
        <is>
          <t>SW-FLEX-611-TM</t>
        </is>
      </c>
      <c r="B505" t="inlineStr">
        <is>
          <t>SW-FLEX-611</t>
        </is>
      </c>
      <c r="C505" t="inlineStr">
        <is>
          <t>ỐNG GIÓ LẠNH, BOX MIỆNG GIÓ Ống gió mềm D250 cách nhiệt dày 25mm</t>
        </is>
      </c>
      <c r="D505" t="inlineStr">
        <is>
          <t>ONG_MEM</t>
        </is>
      </c>
      <c r="E505" t="inlineStr">
        <is>
          <t>FLEX_DUCT_D250_INSULATED</t>
        </is>
      </c>
      <c r="F505" t="inlineStr">
        <is>
          <t>m</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Hàng thương mại mua ngoài</t>
        </is>
      </c>
    </row>
    <row r="506">
      <c r="A506" t="inlineStr">
        <is>
          <t>SW-FLEX-611-BOX</t>
        </is>
      </c>
      <c r="B506" t="inlineStr">
        <is>
          <t>SW-FLEX-611</t>
        </is>
      </c>
      <c r="C506" t="inlineStr">
        <is>
          <t>Box phụ kiện -</t>
        </is>
      </c>
      <c r="D506" t="inlineStr">
        <is>
          <t>THUONG_MAI</t>
        </is>
      </c>
      <c r="E506" t="inlineStr">
        <is>
          <t>MAT-BOX-ONG_GIO_LANH_BOX_MIE_3A3C</t>
        </is>
      </c>
      <c r="F506" t="inlineStr">
        <is>
          <t>Cái</t>
        </is>
      </c>
      <c r="G506" s="394" t="n">
        <v>1</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Phụ kiện bóc tách động (Rule-based)</t>
        </is>
      </c>
    </row>
    <row r="507">
      <c r="A507" t="inlineStr">
        <is>
          <t>SW-FLEX-612-TM</t>
        </is>
      </c>
      <c r="B507" t="inlineStr">
        <is>
          <t>SW-FLEX-612</t>
        </is>
      </c>
      <c r="C507" t="inlineStr">
        <is>
          <t>ỐNG GIÓ LẠNH, BOX MIỆNG GIÓ Ống gió mềm D200 cách nhiệt dày 25mm</t>
        </is>
      </c>
      <c r="D507" t="inlineStr">
        <is>
          <t>ONG_MEM</t>
        </is>
      </c>
      <c r="E507" t="inlineStr">
        <is>
          <t>FLEX_DUCT_D200_INSULATED</t>
        </is>
      </c>
      <c r="F507" t="inlineStr">
        <is>
          <t>m</t>
        </is>
      </c>
      <c r="G507" s="394" t="n">
        <v>1</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Hàng thương mại mua ngoài</t>
        </is>
      </c>
    </row>
    <row r="508">
      <c r="A508" t="inlineStr">
        <is>
          <t>SW-FLEX-612-BOX</t>
        </is>
      </c>
      <c r="B508" t="inlineStr">
        <is>
          <t>SW-FLEX-612</t>
        </is>
      </c>
      <c r="C508" t="inlineStr">
        <is>
          <t>Box phụ kiện -</t>
        </is>
      </c>
      <c r="D508" t="inlineStr">
        <is>
          <t>THUONG_MAI</t>
        </is>
      </c>
      <c r="E508" t="inlineStr">
        <is>
          <t>MAT-BOX-ONG_GIO_LANH_BOX_MIE_B255</t>
        </is>
      </c>
      <c r="F508" t="inlineStr">
        <is>
          <t>Cái</t>
        </is>
      </c>
      <c r="G508" s="394" t="n">
        <v>1</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Phụ kiện bóc tách động (Rule-based)</t>
        </is>
      </c>
    </row>
    <row r="509">
      <c r="A509" t="inlineStr">
        <is>
          <t>SW-TRD-613-TM</t>
        </is>
      </c>
      <c r="B509" t="inlineStr">
        <is>
          <t>SW-TRD-613</t>
        </is>
      </c>
      <c r="C509" t="inlineStr">
        <is>
          <t>ỐNG GIÓ LẠNH, BOX MIỆNG GIÓ Vật tư phụ, phụ kiện</t>
        </is>
      </c>
      <c r="D509" t="inlineStr">
        <is>
          <t>THUONG_MAI</t>
        </is>
      </c>
      <c r="E509" t="inlineStr">
        <is>
          <t>MAT-THUONG_MAI-ONG_GIO_LANH_BOX_MIENG_GIO_VAT_B1A1</t>
        </is>
      </c>
      <c r="F509" t="inlineStr">
        <is>
          <t>Lô</t>
        </is>
      </c>
      <c r="G509" s="394" t="n">
        <v>1</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Hàng thương mại mua ngoài</t>
        </is>
      </c>
    </row>
    <row r="510">
      <c r="A510" t="inlineStr">
        <is>
          <t>SW-TRD-613-BOX</t>
        </is>
      </c>
      <c r="B510" t="inlineStr">
        <is>
          <t>SW-TRD-613</t>
        </is>
      </c>
      <c r="C510" t="inlineStr">
        <is>
          <t>Box phụ kiện -</t>
        </is>
      </c>
      <c r="D510" t="inlineStr">
        <is>
          <t>THUONG_MAI</t>
        </is>
      </c>
      <c r="E510" t="inlineStr">
        <is>
          <t>MAT-BOX-ONG_GIO_LANH_BOX_MIE_B1A1</t>
        </is>
      </c>
      <c r="F510" t="inlineStr">
        <is>
          <t>Cái</t>
        </is>
      </c>
      <c r="G510" s="394" t="n">
        <v>1</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Phụ kiện bóc tách động (Rule-based)</t>
        </is>
      </c>
    </row>
    <row r="511">
      <c r="A511" t="inlineStr">
        <is>
          <t>SW-TRD-614-TM</t>
        </is>
      </c>
      <c r="B511" t="inlineStr">
        <is>
          <t>SW-TRD-614</t>
        </is>
      </c>
      <c r="C511" t="inlineStr">
        <is>
          <t>Ống đồng D6.4</t>
        </is>
      </c>
      <c r="D511" t="inlineStr">
        <is>
          <t>THUONG_MAI</t>
        </is>
      </c>
      <c r="E511" t="inlineStr">
        <is>
          <t>MAT-THUONG_MAI-ONG_DONG_D6_4</t>
        </is>
      </c>
      <c r="F511" t="inlineStr">
        <is>
          <t>m</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Hàng thương mại mua ngoài</t>
        </is>
      </c>
    </row>
    <row r="512">
      <c r="A512" t="inlineStr">
        <is>
          <t>SW-TRD-615-TM</t>
        </is>
      </c>
      <c r="B512" t="inlineStr">
        <is>
          <t>SW-TRD-615</t>
        </is>
      </c>
      <c r="C512" t="inlineStr">
        <is>
          <t>Ống đồng D9.5</t>
        </is>
      </c>
      <c r="D512" t="inlineStr">
        <is>
          <t>THUONG_MAI</t>
        </is>
      </c>
      <c r="E512" t="inlineStr">
        <is>
          <t>MAT-THUONG_MAI-ONG_DONG_D9_5</t>
        </is>
      </c>
      <c r="F512" t="inlineStr">
        <is>
          <t>m</t>
        </is>
      </c>
      <c r="G512" s="394" t="n">
        <v>1</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Hàng thương mại mua ngoài</t>
        </is>
      </c>
    </row>
    <row r="513">
      <c r="A513" t="inlineStr">
        <is>
          <t>SW-TRD-616-TM</t>
        </is>
      </c>
      <c r="B513" t="inlineStr">
        <is>
          <t>SW-TRD-616</t>
        </is>
      </c>
      <c r="C513" t="inlineStr">
        <is>
          <t>Ống đồng D12.7</t>
        </is>
      </c>
      <c r="D513" t="inlineStr">
        <is>
          <t>THUONG_MAI</t>
        </is>
      </c>
      <c r="E513" t="inlineStr">
        <is>
          <t>MAT-THUONG_MAI-ONG_DONG_D12_7</t>
        </is>
      </c>
      <c r="F513" t="inlineStr">
        <is>
          <t>m</t>
        </is>
      </c>
      <c r="G513" s="394" t="n">
        <v>1</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Hàng thương mại mua ngoài</t>
        </is>
      </c>
    </row>
    <row r="514">
      <c r="A514" t="inlineStr">
        <is>
          <t>SW-TRD-617-TM</t>
        </is>
      </c>
      <c r="B514" t="inlineStr">
        <is>
          <t>SW-TRD-617</t>
        </is>
      </c>
      <c r="C514" t="inlineStr">
        <is>
          <t>Ống đồng D15.9</t>
        </is>
      </c>
      <c r="D514" t="inlineStr">
        <is>
          <t>THUONG_MAI</t>
        </is>
      </c>
      <c r="E514" t="inlineStr">
        <is>
          <t>MAT-THUONG_MAI-ONG_DONG_D15_9</t>
        </is>
      </c>
      <c r="F514" t="inlineStr">
        <is>
          <t>m</t>
        </is>
      </c>
      <c r="G514" s="394" t="n">
        <v>1</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Hàng thương mại mua ngoài</t>
        </is>
      </c>
    </row>
    <row r="515">
      <c r="A515" t="inlineStr">
        <is>
          <t>SW-TRD-618-TM</t>
        </is>
      </c>
      <c r="B515" t="inlineStr">
        <is>
          <t>SW-TRD-618</t>
        </is>
      </c>
      <c r="C515" t="inlineStr">
        <is>
          <t>Ống đồng D19,1</t>
        </is>
      </c>
      <c r="D515" t="inlineStr">
        <is>
          <t>THUONG_MAI</t>
        </is>
      </c>
      <c r="E515" t="inlineStr">
        <is>
          <t>MAT-THUONG_MAI-ONG_DONG_D19_1</t>
        </is>
      </c>
      <c r="F515" t="inlineStr">
        <is>
          <t>m</t>
        </is>
      </c>
      <c r="G515" s="394" t="n">
        <v>1</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Hàng thương mại mua ngoài</t>
        </is>
      </c>
    </row>
    <row r="516">
      <c r="A516" t="inlineStr">
        <is>
          <t>SW-TRD-619-TM</t>
        </is>
      </c>
      <c r="B516" t="inlineStr">
        <is>
          <t>SW-TRD-619</t>
        </is>
      </c>
      <c r="C516" t="inlineStr">
        <is>
          <t>ỐNG ĐỒNG Cách nhiệt ông đồng D6.4</t>
        </is>
      </c>
      <c r="D516" t="inlineStr">
        <is>
          <t>THUONG_MAI</t>
        </is>
      </c>
      <c r="E516" t="inlineStr">
        <is>
          <t>MAT-THUONG_MAI-ONG_DONG_CACH_NHIET_ONG_DONG_D6_4</t>
        </is>
      </c>
      <c r="F516" t="inlineStr">
        <is>
          <t>m</t>
        </is>
      </c>
      <c r="G516" s="394" t="n">
        <v>1</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Hàng thương mại mua ngoài</t>
        </is>
      </c>
    </row>
    <row r="517">
      <c r="A517" t="inlineStr">
        <is>
          <t>SW-TRD-620-TM</t>
        </is>
      </c>
      <c r="B517" t="inlineStr">
        <is>
          <t>SW-TRD-620</t>
        </is>
      </c>
      <c r="C517" t="inlineStr">
        <is>
          <t>ỐNG ĐỒNG Cách nhiệt ông đồng D9.5</t>
        </is>
      </c>
      <c r="D517" t="inlineStr">
        <is>
          <t>THUONG_MAI</t>
        </is>
      </c>
      <c r="E517" t="inlineStr">
        <is>
          <t>MAT-THUONG_MAI-ONG_DONG_CACH_NHIET_ONG_DONG_D9_5</t>
        </is>
      </c>
      <c r="F517" t="inlineStr">
        <is>
          <t>m</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Hàng thương mại mua ngoài</t>
        </is>
      </c>
    </row>
    <row r="518">
      <c r="A518" t="inlineStr">
        <is>
          <t>SW-TRD-621-TM</t>
        </is>
      </c>
      <c r="B518" t="inlineStr">
        <is>
          <t>SW-TRD-621</t>
        </is>
      </c>
      <c r="C518" t="inlineStr">
        <is>
          <t>ỐNG ĐỒNG Cách nhiệt ông đồng D12.7</t>
        </is>
      </c>
      <c r="D518" t="inlineStr">
        <is>
          <t>THUONG_MAI</t>
        </is>
      </c>
      <c r="E518" t="inlineStr">
        <is>
          <t>MAT-THUONG_MAI-ONG_DONG_CACH_NHIET_ONG_DONG_D12_7</t>
        </is>
      </c>
      <c r="F518" t="inlineStr">
        <is>
          <t>m</t>
        </is>
      </c>
      <c r="G518" s="394" t="n">
        <v>1</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Hàng thương mại mua ngoài</t>
        </is>
      </c>
    </row>
    <row r="519">
      <c r="A519" t="inlineStr">
        <is>
          <t>SW-TRD-622-TM</t>
        </is>
      </c>
      <c r="B519" t="inlineStr">
        <is>
          <t>SW-TRD-622</t>
        </is>
      </c>
      <c r="C519" t="inlineStr">
        <is>
          <t>ỐNG ĐỒNG Cách nhiệt ông đồng D15.9</t>
        </is>
      </c>
      <c r="D519" t="inlineStr">
        <is>
          <t>THUONG_MAI</t>
        </is>
      </c>
      <c r="E519" t="inlineStr">
        <is>
          <t>MAT-THUONG_MAI-ONG_DONG_CACH_NHIET_ONG_DONG_D15_9</t>
        </is>
      </c>
      <c r="F519" t="inlineStr">
        <is>
          <t>m</t>
        </is>
      </c>
      <c r="G519" s="394" t="n">
        <v>1</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Hàng thương mại mua ngoài</t>
        </is>
      </c>
    </row>
    <row r="520">
      <c r="A520" t="inlineStr">
        <is>
          <t>SW-TRD-623-TM</t>
        </is>
      </c>
      <c r="B520" t="inlineStr">
        <is>
          <t>SW-TRD-623</t>
        </is>
      </c>
      <c r="C520" t="inlineStr">
        <is>
          <t>ỐNG ĐỒNG Cách nhiệt ông đồng D19,1</t>
        </is>
      </c>
      <c r="D520" t="inlineStr">
        <is>
          <t>THUONG_MAI</t>
        </is>
      </c>
      <c r="E520" t="inlineStr">
        <is>
          <t>MAT-THUONG_MAI-ONG_DONG_CACH_NHIET_ONG_DONG_D19_1</t>
        </is>
      </c>
      <c r="F520" t="inlineStr">
        <is>
          <t>m</t>
        </is>
      </c>
      <c r="G520" s="394" t="n">
        <v>1</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Hàng thương mại mua ngoài</t>
        </is>
      </c>
    </row>
    <row r="521">
      <c r="A521" t="inlineStr">
        <is>
          <t>SW-TRD-624-TM</t>
        </is>
      </c>
      <c r="B521" t="inlineStr">
        <is>
          <t>SW-TRD-624</t>
        </is>
      </c>
      <c r="C521" t="inlineStr">
        <is>
          <t>ỐNG ĐỒNG Bộ chia gas</t>
        </is>
      </c>
      <c r="D521" t="inlineStr">
        <is>
          <t>THUONG_MAI</t>
        </is>
      </c>
      <c r="E521" t="inlineStr">
        <is>
          <t>MAT-THUONG_MAI-ONG_DONG_BO_CHIA_GAS</t>
        </is>
      </c>
      <c r="F521" t="inlineStr">
        <is>
          <t>Bộ</t>
        </is>
      </c>
      <c r="G521" s="394" t="n">
        <v>1</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Hàng thương mại mua ngoài</t>
        </is>
      </c>
    </row>
    <row r="522">
      <c r="A522" t="inlineStr">
        <is>
          <t>SW-TRD-625-TM</t>
        </is>
      </c>
      <c r="B522" t="inlineStr">
        <is>
          <t>SW-TRD-625</t>
        </is>
      </c>
      <c r="C522" t="inlineStr">
        <is>
          <t>ỐNG ĐỒNG Nap ga bổ sung</t>
        </is>
      </c>
      <c r="D522" t="inlineStr">
        <is>
          <t>THUONG_MAI</t>
        </is>
      </c>
      <c r="E522" t="inlineStr">
        <is>
          <t>MAT-THUONG_MAI-ONG_DONG_NAP_GA_BO_SUNG</t>
        </is>
      </c>
      <c r="F522" t="inlineStr">
        <is>
          <t>Lô</t>
        </is>
      </c>
      <c r="G522" s="394" t="n">
        <v>1</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Hàng thương mại mua ngoài</t>
        </is>
      </c>
    </row>
    <row r="523">
      <c r="A523" t="inlineStr">
        <is>
          <t>SW-TRD-626-TM</t>
        </is>
      </c>
      <c r="B523" t="inlineStr">
        <is>
          <t>SW-TRD-626</t>
        </is>
      </c>
      <c r="C523" t="inlineStr">
        <is>
          <t>ỐNG ĐỒNG Vật tư phụ, phụ kiện</t>
        </is>
      </c>
      <c r="D523" t="inlineStr">
        <is>
          <t>THUONG_MAI</t>
        </is>
      </c>
      <c r="E523" t="inlineStr">
        <is>
          <t>MAT-THUONG_MAI-ONG_DONG_VAT_TU_PHU_PHU_KIEN</t>
        </is>
      </c>
      <c r="F523" t="inlineStr">
        <is>
          <t>Lô</t>
        </is>
      </c>
      <c r="G523" s="394" t="n">
        <v>1</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Hàng thương mại mua ngoài</t>
        </is>
      </c>
    </row>
    <row r="524">
      <c r="A524" t="inlineStr">
        <is>
          <t>SW-TRD-627-TM</t>
        </is>
      </c>
      <c r="B524" t="inlineStr">
        <is>
          <t>SW-TRD-627</t>
        </is>
      </c>
      <c r="C524" t="inlineStr">
        <is>
          <t>NƯỚC NGƯNG Ống uPVC D27</t>
        </is>
      </c>
      <c r="D524" t="inlineStr">
        <is>
          <t>THUONG_MAI</t>
        </is>
      </c>
      <c r="E524" t="inlineStr">
        <is>
          <t>MAT-THUONG_MAI-NUOC_NGUNG_ONG_UPVC_D27</t>
        </is>
      </c>
      <c r="F524" t="inlineStr">
        <is>
          <t>m</t>
        </is>
      </c>
      <c r="G524" s="394" t="n">
        <v>1</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Hàng thương mại mua ngoài</t>
        </is>
      </c>
    </row>
    <row r="525">
      <c r="A525" t="inlineStr">
        <is>
          <t>SW-TRD-628-TM</t>
        </is>
      </c>
      <c r="B525" t="inlineStr">
        <is>
          <t>SW-TRD-628</t>
        </is>
      </c>
      <c r="C525" t="inlineStr">
        <is>
          <t>NƯỚC NGƯNG Ống uPVC D34</t>
        </is>
      </c>
      <c r="D525" t="inlineStr">
        <is>
          <t>THUONG_MAI</t>
        </is>
      </c>
      <c r="E525" t="inlineStr">
        <is>
          <t>MAT-THUONG_MAI-NUOC_NGUNG_ONG_UPVC_D34</t>
        </is>
      </c>
      <c r="F525" t="inlineStr">
        <is>
          <t>m</t>
        </is>
      </c>
      <c r="G525" s="394" t="n">
        <v>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Hàng thương mại mua ngoài</t>
        </is>
      </c>
    </row>
    <row r="526">
      <c r="A526" t="inlineStr">
        <is>
          <t>SW-TRD-629-TM</t>
        </is>
      </c>
      <c r="B526" t="inlineStr">
        <is>
          <t>SW-TRD-629</t>
        </is>
      </c>
      <c r="C526" t="inlineStr">
        <is>
          <t>NƯỚC NGƯNG Ống uPVC D60</t>
        </is>
      </c>
      <c r="D526" t="inlineStr">
        <is>
          <t>THUONG_MAI</t>
        </is>
      </c>
      <c r="E526" t="inlineStr">
        <is>
          <t>MAT-THUONG_MAI-NUOC_NGUNG_ONG_UPVC_D60</t>
        </is>
      </c>
      <c r="F526" t="inlineStr">
        <is>
          <t>m</t>
        </is>
      </c>
      <c r="G526" s="394" t="n">
        <v>1</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Hàng thương mại mua ngoài</t>
        </is>
      </c>
    </row>
    <row r="527">
      <c r="A527" t="inlineStr">
        <is>
          <t>SW-TRD-630-TM</t>
        </is>
      </c>
      <c r="B527" t="inlineStr">
        <is>
          <t>SW-TRD-630</t>
        </is>
      </c>
      <c r="C527" t="inlineStr">
        <is>
          <t>NƯỚC NGƯNG Cách nhiệt ống uPVC D27</t>
        </is>
      </c>
      <c r="D527" t="inlineStr">
        <is>
          <t>THUONG_MAI</t>
        </is>
      </c>
      <c r="E527" t="inlineStr">
        <is>
          <t>MAT-THUONG_MAI-NUOC_NGUNG_CACH_NHIET_ONG_UPVC_D27</t>
        </is>
      </c>
      <c r="F527" t="inlineStr">
        <is>
          <t>m</t>
        </is>
      </c>
      <c r="G527" s="394" t="n">
        <v>1</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Hàng thương mại mua ngoài</t>
        </is>
      </c>
    </row>
    <row r="528">
      <c r="A528" t="inlineStr">
        <is>
          <t>SW-TRD-631-TM</t>
        </is>
      </c>
      <c r="B528" t="inlineStr">
        <is>
          <t>SW-TRD-631</t>
        </is>
      </c>
      <c r="C528" t="inlineStr">
        <is>
          <t>NƯỚC NGƯNG Cách nhiệt ống uPVC D34</t>
        </is>
      </c>
      <c r="D528" t="inlineStr">
        <is>
          <t>THUONG_MAI</t>
        </is>
      </c>
      <c r="E528" t="inlineStr">
        <is>
          <t>MAT-THUONG_MAI-NUOC_NGUNG_CACH_NHIET_ONG_UPVC_D34</t>
        </is>
      </c>
      <c r="F528" t="inlineStr">
        <is>
          <t>m</t>
        </is>
      </c>
      <c r="G528" s="394" t="n">
        <v>1</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Hàng thương mại mua ngoài</t>
        </is>
      </c>
    </row>
    <row r="529">
      <c r="A529" t="inlineStr">
        <is>
          <t>SW-TRD-632-TM</t>
        </is>
      </c>
      <c r="B529" t="inlineStr">
        <is>
          <t>SW-TRD-632</t>
        </is>
      </c>
      <c r="C529" t="inlineStr">
        <is>
          <t>NƯỚC NGƯNG Cách nhiệt ống uPVC D60</t>
        </is>
      </c>
      <c r="D529" t="inlineStr">
        <is>
          <t>THUONG_MAI</t>
        </is>
      </c>
      <c r="E529" t="inlineStr">
        <is>
          <t>MAT-THUONG_MAI-NUOC_NGUNG_CACH_NHIET_ONG_UPVC_D60</t>
        </is>
      </c>
      <c r="F529" t="inlineStr">
        <is>
          <t>m</t>
        </is>
      </c>
      <c r="G529" s="394" t="n">
        <v>1</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Hàng thương mại mua ngoài</t>
        </is>
      </c>
    </row>
    <row r="530">
      <c r="A530" t="inlineStr">
        <is>
          <t>SW-TRD-633-TM</t>
        </is>
      </c>
      <c r="B530" t="inlineStr">
        <is>
          <t>SW-TRD-633</t>
        </is>
      </c>
      <c r="C530" t="inlineStr">
        <is>
          <t>NƯỚC NGƯNG Vật tư phụ, phụ kiện</t>
        </is>
      </c>
      <c r="D530" t="inlineStr">
        <is>
          <t>THUONG_MAI</t>
        </is>
      </c>
      <c r="E530" t="inlineStr">
        <is>
          <t>MAT-THUONG_MAI-NUOC_NGUNG_VAT_TU_PHU_PHU_KIEN</t>
        </is>
      </c>
      <c r="F530" t="inlineStr">
        <is>
          <t>Lô</t>
        </is>
      </c>
      <c r="G530" s="394" t="n">
        <v>1</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Hàng thương mại mua ngoài</t>
        </is>
      </c>
    </row>
    <row r="531">
      <c r="A531" t="inlineStr">
        <is>
          <t>SW-TRD-634-TM</t>
        </is>
      </c>
      <c r="B531" t="inlineStr">
        <is>
          <t>SW-TRD-634</t>
        </is>
      </c>
      <c r="C531" t="inlineStr">
        <is>
          <t>CHI PHÍ CHUNG Kiểm tra, nghiệm thu và bàn giao hệ thống</t>
        </is>
      </c>
      <c r="D531" t="inlineStr">
        <is>
          <t>THUONG_MAI</t>
        </is>
      </c>
      <c r="E531" t="inlineStr">
        <is>
          <t>MAT-THUONG_MAI-CHI_PHI_CHUNG_KIEM_TRA_NGHIEM_FCB5</t>
        </is>
      </c>
      <c r="F531" t="inlineStr">
        <is>
          <t>Lô</t>
        </is>
      </c>
      <c r="G531" s="394" t="n">
        <v>1</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Hàng thương mại mua ngoài</t>
        </is>
      </c>
    </row>
    <row r="532">
      <c r="A532" t="inlineStr">
        <is>
          <t>SW-TRD-635-TM</t>
        </is>
      </c>
      <c r="B532" t="inlineStr">
        <is>
          <t>SW-TRD-635</t>
        </is>
      </c>
      <c r="C532" t="inlineStr">
        <is>
          <t>CHI PHÍ CHUNG Chi phí cắt đục, đóng lưới trám trét tường</t>
        </is>
      </c>
      <c r="D532" t="inlineStr">
        <is>
          <t>THUONG_MAI</t>
        </is>
      </c>
      <c r="E532" t="inlineStr">
        <is>
          <t>MAT-THUONG_MAI-CHI_PHI_CHUNG_CHI_PHI_CAT_DUC_7600</t>
        </is>
      </c>
      <c r="F532" t="inlineStr">
        <is>
          <t>Lô</t>
        </is>
      </c>
      <c r="G532" s="394" t="n">
        <v>1</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Hàng thương mại mua ngoài</t>
        </is>
      </c>
    </row>
    <row r="533">
      <c r="A533" t="inlineStr">
        <is>
          <t>SW-TRD-636-TM</t>
        </is>
      </c>
      <c r="B533" t="inlineStr">
        <is>
          <t>SW-TRD-636</t>
        </is>
      </c>
      <c r="C533" t="inlineStr">
        <is>
          <t>CHI PHÍ CHUNG Chi phí chống cháy lan</t>
        </is>
      </c>
      <c r="D533" t="inlineStr">
        <is>
          <t>THUONG_MAI</t>
        </is>
      </c>
      <c r="E533" t="inlineStr">
        <is>
          <t>MAT-THUONG_MAI-CHI_PHI_CHUNG_CHI_PHI_CHONG_CH_147A</t>
        </is>
      </c>
      <c r="F533" t="inlineStr">
        <is>
          <t>Lô</t>
        </is>
      </c>
      <c r="G533" s="394" t="n">
        <v>1</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Hàng thương mại mua ngoài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SW-DIFF-039-FRAME</t>
        </is>
      </c>
      <c r="B2" t="inlineStr">
        <is>
          <t>SW-DIFF-039</t>
        </is>
      </c>
      <c r="C2" t="inlineStr">
        <is>
          <t>Khung nhôm định hình (BD)</t>
        </is>
      </c>
      <c r="D2" t="inlineStr">
        <is>
          <t>NHÔM_ĐỊNH_HÌNH</t>
        </is>
      </c>
      <c r="E2" t="inlineStr">
        <is>
          <t>MAT-ALU-KHUNG-BD</t>
        </is>
      </c>
      <c r="F2" t="inlineStr">
        <is>
          <t>kg</t>
        </is>
      </c>
      <c r="G2" s="394" t="n">
        <v>0.3780000000000001</v>
      </c>
      <c r="H2" s="390">
        <f>IFERROR(INDEX('00_TONG_HOP_BAO_GIA'!$G$1:$G$5000, MATCH(B2, '00_TONG_HOP_BAO_GIA'!$B$1:$B$5000, 0)), 1)</f>
        <v/>
      </c>
      <c r="I2" s="395">
        <f>G2*H2</f>
        <v/>
      </c>
      <c r="J2" s="390">
        <f>IFERROR(INDEX('06_BANG_GIA_VAT_TU_AP_DUNG'!$E$1:$E$5000, MATCH(E2, '06_BANG_GIA_VAT_TU_AP_DUNG'!$B$1:$B$5000, 0)), 0)</f>
        <v/>
      </c>
      <c r="K2" s="390">
        <f>I2*J2</f>
        <v/>
      </c>
      <c r="L2" t="inlineStr">
        <is>
          <t>Dài cắt 1.89m @ 0.2kg/m</t>
        </is>
      </c>
    </row>
    <row r="3">
      <c r="A3" t="inlineStr">
        <is>
          <t>SW-DIFF-039-BLADE</t>
        </is>
      </c>
      <c r="B3" t="inlineStr">
        <is>
          <t>SW-DIFF-039</t>
        </is>
      </c>
      <c r="C3" t="inlineStr">
        <is>
          <t>Nan nhôm định hình (BD)</t>
        </is>
      </c>
      <c r="D3" t="inlineStr">
        <is>
          <t>NHÔM_ĐỊNH_HÌNH</t>
        </is>
      </c>
      <c r="E3" t="inlineStr">
        <is>
          <t>MAT-ALU-NAN-BD</t>
        </is>
      </c>
      <c r="F3" t="inlineStr">
        <is>
          <t>kg</t>
        </is>
      </c>
      <c r="G3" s="394" t="n">
        <v>0.4311720000000001</v>
      </c>
      <c r="H3" s="390">
        <f>IFERROR(INDEX('00_TONG_HOP_BAO_GIA'!$G$1:$G$5000, MATCH(B3, '00_TONG_HOP_BAO_GIA'!$B$1:$B$5000, 0)), 1)</f>
        <v/>
      </c>
      <c r="I3" s="395">
        <f>G3*H3</f>
        <v/>
      </c>
      <c r="J3" s="390">
        <f>IFERROR(INDEX('06_BANG_GIA_VAT_TU_AP_DUNG'!$E$1:$E$5000, MATCH(E3, '06_BANG_GIA_VAT_TU_AP_DUNG'!$B$1:$B$5000, 0)), 0)</f>
        <v/>
      </c>
      <c r="K3" s="390">
        <f>I3*J3</f>
        <v/>
      </c>
      <c r="L3" t="inlineStr">
        <is>
          <t>12 nan dài 7.43m @ 0.058kg/m</t>
        </is>
      </c>
    </row>
    <row r="4">
      <c r="A4" t="inlineStr">
        <is>
          <t>SW-DIFF-039-ACCESSORY</t>
        </is>
      </c>
      <c r="B4" t="inlineStr">
        <is>
          <t>SW-DIFF-039</t>
        </is>
      </c>
      <c r="C4" t="inlineStr">
        <is>
          <t>Phụ kiện lắp ghép / Ke góc cửa gió</t>
        </is>
      </c>
      <c r="D4" t="inlineStr">
        <is>
          <t>PHỤ_KIỆN_CỬA</t>
        </is>
      </c>
      <c r="E4" t="inlineStr">
        <is>
          <t>MAT-DOOR-ACCESSORY</t>
        </is>
      </c>
      <c r="F4" t="inlineStr">
        <is>
          <t>Bộ</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4 ke góc chìm và vít ghép khung</t>
        </is>
      </c>
    </row>
    <row r="5">
      <c r="A5" t="inlineStr">
        <is>
          <t>SW-DIFF-039-PAINT</t>
        </is>
      </c>
      <c r="B5" t="inlineStr">
        <is>
          <t>SW-DIFF-039</t>
        </is>
      </c>
      <c r="C5" t="inlineStr">
        <is>
          <t>Sơn tĩnh điện tiêu chuẩn Polyester</t>
        </is>
      </c>
      <c r="D5" t="inlineStr">
        <is>
          <t>SƠN_TĨNH_ĐIỆN</t>
        </is>
      </c>
      <c r="E5" t="inlineStr">
        <is>
          <t>MAT-PAINT-POWDER</t>
        </is>
      </c>
      <c r="F5" t="inlineStr">
        <is>
          <t>m2</t>
        </is>
      </c>
      <c r="G5" s="394" t="n">
        <v>0.27</v>
      </c>
      <c r="H5" s="390">
        <f>IFERROR(INDEX('00_TONG_HOP_BAO_GIA'!$G$1:$G$5000, MATCH(B5, '00_TONG_HOP_BAO_GIA'!$B$1:$B$5000, 0)), 1)</f>
        <v/>
      </c>
      <c r="I5" s="395">
        <f>G5*H5</f>
        <v/>
      </c>
      <c r="J5" s="390">
        <f>IFERROR(INDEX('06_BANG_GIA_VAT_TU_AP_DUNG'!$E$1:$E$5000, MATCH(E5, '06_BANG_GIA_VAT_TU_AP_DUNG'!$B$1:$B$5000, 0)), 0)</f>
        <v/>
      </c>
      <c r="K5" s="390">
        <f>I5*J5</f>
        <v/>
      </c>
      <c r="L5" t="inlineStr">
        <is>
          <t>Diện tích phủ sơn 0.270m2</t>
        </is>
      </c>
    </row>
    <row r="6">
      <c r="A6" t="inlineStr">
        <is>
          <t>SW-DIFF-040-FRAME</t>
        </is>
      </c>
      <c r="B6" t="inlineStr">
        <is>
          <t>SW-DIFF-040</t>
        </is>
      </c>
      <c r="C6" t="inlineStr">
        <is>
          <t>Khung nhôm định hình (BD)</t>
        </is>
      </c>
      <c r="D6" t="inlineStr">
        <is>
          <t>NHÔM_ĐỊNH_HÌNH</t>
        </is>
      </c>
      <c r="E6" t="inlineStr">
        <is>
          <t>MAT-ALU-KHUNG-BD</t>
        </is>
      </c>
      <c r="F6" t="inlineStr">
        <is>
          <t>kg</t>
        </is>
      </c>
      <c r="G6" s="394" t="n">
        <v>0.7560000000000001</v>
      </c>
      <c r="H6" s="390">
        <f>IFERROR(INDEX('00_TONG_HOP_BAO_GIA'!$G$1:$G$5000, MATCH(B6, '00_TONG_HOP_BAO_GIA'!$B$1:$B$5000, 0)), 1)</f>
        <v/>
      </c>
      <c r="I6" s="395">
        <f>G6*H6</f>
        <v/>
      </c>
      <c r="J6" s="390">
        <f>IFERROR(INDEX('06_BANG_GIA_VAT_TU_AP_DUNG'!$E$1:$E$5000, MATCH(E6, '06_BANG_GIA_VAT_TU_AP_DUNG'!$B$1:$B$5000, 0)), 0)</f>
        <v/>
      </c>
      <c r="K6" s="390">
        <f>I6*J6</f>
        <v/>
      </c>
      <c r="L6" t="inlineStr">
        <is>
          <t>Dài cắt 3.78m @ 0.2kg/m</t>
        </is>
      </c>
    </row>
    <row r="7">
      <c r="A7" t="inlineStr">
        <is>
          <t>SW-DIFF-040-BLADE</t>
        </is>
      </c>
      <c r="B7" t="inlineStr">
        <is>
          <t>SW-DIFF-040</t>
        </is>
      </c>
      <c r="C7" t="inlineStr">
        <is>
          <t>Nan nhôm định hình (BD)</t>
        </is>
      </c>
      <c r="D7" t="inlineStr">
        <is>
          <t>NHÔM_ĐỊNH_HÌNH</t>
        </is>
      </c>
      <c r="E7" t="inlineStr">
        <is>
          <t>MAT-ALU-NAN-BD</t>
        </is>
      </c>
      <c r="F7" t="inlineStr">
        <is>
          <t>kg</t>
        </is>
      </c>
      <c r="G7" s="394" t="n">
        <v>1.739304</v>
      </c>
      <c r="H7" s="390">
        <f>IFERROR(INDEX('00_TONG_HOP_BAO_GIA'!$G$1:$G$5000, MATCH(B7, '00_TONG_HOP_BAO_GIA'!$B$1:$B$5000, 0)), 1)</f>
        <v/>
      </c>
      <c r="I7" s="395">
        <f>G7*H7</f>
        <v/>
      </c>
      <c r="J7" s="390">
        <f>IFERROR(INDEX('06_BANG_GIA_VAT_TU_AP_DUNG'!$E$1:$E$5000, MATCH(E7, '06_BANG_GIA_VAT_TU_AP_DUNG'!$B$1:$B$5000, 0)), 0)</f>
        <v/>
      </c>
      <c r="K7" s="390">
        <f>I7*J7</f>
        <v/>
      </c>
      <c r="L7" t="inlineStr">
        <is>
          <t>24 nan dài 29.99m @ 0.058kg/m</t>
        </is>
      </c>
    </row>
    <row r="8">
      <c r="A8" t="inlineStr">
        <is>
          <t>SW-DIFF-040-ACCESSORY</t>
        </is>
      </c>
      <c r="B8" t="inlineStr">
        <is>
          <t>SW-DIFF-040</t>
        </is>
      </c>
      <c r="C8" t="inlineStr">
        <is>
          <t>Phụ kiện lắp ghép / Ke góc cửa gió</t>
        </is>
      </c>
      <c r="D8" t="inlineStr">
        <is>
          <t>PHỤ_KIỆN_CỬA</t>
        </is>
      </c>
      <c r="E8" t="inlineStr">
        <is>
          <t>MAT-DOOR-ACCESSORY</t>
        </is>
      </c>
      <c r="F8" t="inlineStr">
        <is>
          <t>Bộ</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4 ke góc chìm và vít ghép khung</t>
        </is>
      </c>
    </row>
    <row r="9">
      <c r="A9" t="inlineStr">
        <is>
          <t>SW-DIFF-040-PAINT</t>
        </is>
      </c>
      <c r="B9" t="inlineStr">
        <is>
          <t>SW-DIFF-040</t>
        </is>
      </c>
      <c r="C9" t="inlineStr">
        <is>
          <t>Sơn tĩnh điện tiêu chuẩn Polyester</t>
        </is>
      </c>
      <c r="D9" t="inlineStr">
        <is>
          <t>SƠN_TĨNH_ĐIỆN</t>
        </is>
      </c>
      <c r="E9" t="inlineStr">
        <is>
          <t>MAT-PAINT-POWDER</t>
        </is>
      </c>
      <c r="F9" t="inlineStr">
        <is>
          <t>m2</t>
        </is>
      </c>
      <c r="G9" s="394" t="n">
        <v>1.08</v>
      </c>
      <c r="H9" s="390">
        <f>IFERROR(INDEX('00_TONG_HOP_BAO_GIA'!$G$1:$G$5000, MATCH(B9, '00_TONG_HOP_BAO_GIA'!$B$1:$B$5000, 0)), 1)</f>
        <v/>
      </c>
      <c r="I9" s="395">
        <f>G9*H9</f>
        <v/>
      </c>
      <c r="J9" s="390">
        <f>IFERROR(INDEX('06_BANG_GIA_VAT_TU_AP_DUNG'!$E$1:$E$5000, MATCH(E9, '06_BANG_GIA_VAT_TU_AP_DUNG'!$B$1:$B$5000, 0)), 0)</f>
        <v/>
      </c>
      <c r="K9" s="390">
        <f>I9*J9</f>
        <v/>
      </c>
      <c r="L9" t="inlineStr">
        <is>
          <t>Diện tích phủ sơn 1.080m2</t>
        </is>
      </c>
    </row>
    <row r="10">
      <c r="A10" t="inlineStr">
        <is>
          <t>SW-DIFF-041-FRAME</t>
        </is>
      </c>
      <c r="B10" t="inlineStr">
        <is>
          <t>SW-DIFF-041</t>
        </is>
      </c>
      <c r="C10" t="inlineStr">
        <is>
          <t>Khung nhôm định hình (BD)</t>
        </is>
      </c>
      <c r="D10" t="inlineStr">
        <is>
          <t>NHÔM_ĐỊNH_HÌNH</t>
        </is>
      </c>
      <c r="E10" t="inlineStr">
        <is>
          <t>MAT-ALU-KHUNG-BD</t>
        </is>
      </c>
      <c r="F10" t="inlineStr">
        <is>
          <t>kg</t>
        </is>
      </c>
      <c r="G10" s="394" t="n">
        <v>0.6720000000000002</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Dài cắt 3.36m @ 0.2kg/m</t>
        </is>
      </c>
    </row>
    <row r="11">
      <c r="A11" t="inlineStr">
        <is>
          <t>SW-DIFF-041-BLADE</t>
        </is>
      </c>
      <c r="B11" t="inlineStr">
        <is>
          <t>SW-DIFF-041</t>
        </is>
      </c>
      <c r="C11" t="inlineStr">
        <is>
          <t>Nan nhôm định hình (BD)</t>
        </is>
      </c>
      <c r="D11" t="inlineStr">
        <is>
          <t>NHÔM_ĐỊNH_HÌNH</t>
        </is>
      </c>
      <c r="E11" t="inlineStr">
        <is>
          <t>MAT-ALU-NAN-BD</t>
        </is>
      </c>
      <c r="F11" t="inlineStr">
        <is>
          <t>kg</t>
        </is>
      </c>
      <c r="G11" s="394" t="n">
        <v>1.446984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24 nan dài 24.95m @ 0.058kg/m</t>
        </is>
      </c>
    </row>
    <row r="12">
      <c r="A12" t="inlineStr">
        <is>
          <t>SW-DIFF-041-ACCESSORY</t>
        </is>
      </c>
      <c r="B12" t="inlineStr">
        <is>
          <t>SW-DIFF-041</t>
        </is>
      </c>
      <c r="C12" t="inlineStr">
        <is>
          <t>Phụ kiện lắp ghép / Ke góc cửa gió</t>
        </is>
      </c>
      <c r="D12" t="inlineStr">
        <is>
          <t>PHỤ_KIỆN_CỬA</t>
        </is>
      </c>
      <c r="E12" t="inlineStr">
        <is>
          <t>MAT-DOOR-ACCESSORY</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4 ke góc chìm và vít ghép khung</t>
        </is>
      </c>
    </row>
    <row r="13">
      <c r="A13" t="inlineStr">
        <is>
          <t>SW-DIFF-041-PAINT</t>
        </is>
      </c>
      <c r="B13" t="inlineStr">
        <is>
          <t>SW-DIFF-041</t>
        </is>
      </c>
      <c r="C13" t="inlineStr">
        <is>
          <t>Sơn tĩnh điện tiêu chuẩn Polyester</t>
        </is>
      </c>
      <c r="D13" t="inlineStr">
        <is>
          <t>SƠN_TĨNH_ĐIỆN</t>
        </is>
      </c>
      <c r="E13" t="inlineStr">
        <is>
          <t>MAT-PAINT-POWDER</t>
        </is>
      </c>
      <c r="F13" t="inlineStr">
        <is>
          <t>m2</t>
        </is>
      </c>
      <c r="G13" s="394" t="n">
        <v>0.8999999999999999</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Diện tích phủ sơn 0.900m2</t>
        </is>
      </c>
    </row>
    <row r="14">
      <c r="A14" t="inlineStr">
        <is>
          <t>SW-DIFF-042-FRAME</t>
        </is>
      </c>
      <c r="B14" t="inlineStr">
        <is>
          <t>SW-DIFF-042</t>
        </is>
      </c>
      <c r="C14" t="inlineStr">
        <is>
          <t>Khung nhôm định hình (Z)</t>
        </is>
      </c>
      <c r="D14" t="inlineStr">
        <is>
          <t>NHÔM_ĐỊNH_HÌNH</t>
        </is>
      </c>
      <c r="E14" t="inlineStr">
        <is>
          <t>MAT-ALU-KHUNG-Z-2-LOP</t>
        </is>
      </c>
      <c r="F14" t="inlineStr">
        <is>
          <t>kg</t>
        </is>
      </c>
      <c r="G14" s="394" t="n">
        <v>3.8136</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Dài cắt 16.80m @ 0.227kg/m</t>
        </is>
      </c>
    </row>
    <row r="15">
      <c r="A15" t="inlineStr">
        <is>
          <t>SW-DIFF-042-BLADE</t>
        </is>
      </c>
      <c r="B15" t="inlineStr">
        <is>
          <t>SW-DIFF-042</t>
        </is>
      </c>
      <c r="C15" t="inlineStr">
        <is>
          <t>Nan nhôm định hình (Z)</t>
        </is>
      </c>
      <c r="D15" t="inlineStr">
        <is>
          <t>NHÔM_ĐỊNH_HÌNH</t>
        </is>
      </c>
      <c r="E15" t="inlineStr">
        <is>
          <t>MAT-ALU-NAN-Z-DAY</t>
        </is>
      </c>
      <c r="F15" t="inlineStr">
        <is>
          <t>kg</t>
        </is>
      </c>
      <c r="G15" s="394" t="n">
        <v>22.1857545</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13 nan dài 102.24m @ 0.217kg/m</t>
        </is>
      </c>
    </row>
    <row r="16">
      <c r="A16" t="inlineStr">
        <is>
          <t>SW-DIFF-042-ACCESSORY</t>
        </is>
      </c>
      <c r="B16" t="inlineStr">
        <is>
          <t>SW-DIFF-042</t>
        </is>
      </c>
      <c r="C16" t="inlineStr">
        <is>
          <t>Phụ kiện lắp ghép / Ke góc cửa gió</t>
        </is>
      </c>
      <c r="D16" t="inlineStr">
        <is>
          <t>PHỤ_KIỆN_CỬA</t>
        </is>
      </c>
      <c r="E16" t="inlineStr">
        <is>
          <t>MAT-DOOR-ACCESSORY</t>
        </is>
      </c>
      <c r="F16" t="inlineStr">
        <is>
          <t>Bộ</t>
        </is>
      </c>
      <c r="G16" s="394" t="n">
        <v>1</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4 ke góc chìm và vít ghép khung</t>
        </is>
      </c>
    </row>
    <row r="17">
      <c r="A17" t="inlineStr">
        <is>
          <t>SW-DIFF-042-PAINT</t>
        </is>
      </c>
      <c r="B17" t="inlineStr">
        <is>
          <t>SW-DIFF-042</t>
        </is>
      </c>
      <c r="C17" t="inlineStr">
        <is>
          <t>Sơn tĩnh điện tiêu chuẩn Polyester</t>
        </is>
      </c>
      <c r="D17" t="inlineStr">
        <is>
          <t>SƠN_TĨNH_ĐIỆN</t>
        </is>
      </c>
      <c r="E17" t="inlineStr">
        <is>
          <t>MAT-PAINT-POWDER</t>
        </is>
      </c>
      <c r="F17" t="inlineStr">
        <is>
          <t>m2</t>
        </is>
      </c>
      <c r="G17" s="394" t="n">
        <v>5.625</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Diện tích phủ sơn 5.625m2</t>
        </is>
      </c>
    </row>
    <row r="18">
      <c r="A18" t="inlineStr">
        <is>
          <t>SW-DIFF-043-FRAME</t>
        </is>
      </c>
      <c r="B18" t="inlineStr">
        <is>
          <t>SW-DIFF-043</t>
        </is>
      </c>
      <c r="C18" t="inlineStr">
        <is>
          <t>Khung nhôm định hình (Z)</t>
        </is>
      </c>
      <c r="D18" t="inlineStr">
        <is>
          <t>NHÔM_ĐỊNH_HÌNH</t>
        </is>
      </c>
      <c r="E18" t="inlineStr">
        <is>
          <t>MAT-ALU-KHUNG-Z-2-LOP</t>
        </is>
      </c>
      <c r="F18" t="inlineStr">
        <is>
          <t>kg</t>
        </is>
      </c>
      <c r="G18" s="394" t="n">
        <v>2.3835</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Dài cắt 10.50m @ 0.227kg/m</t>
        </is>
      </c>
    </row>
    <row r="19">
      <c r="A19" t="inlineStr">
        <is>
          <t>SW-DIFF-043-BLADE</t>
        </is>
      </c>
      <c r="B19" t="inlineStr">
        <is>
          <t>SW-DIFF-043</t>
        </is>
      </c>
      <c r="C19" t="inlineStr">
        <is>
          <t>Nan nhôm định hình (Z)</t>
        </is>
      </c>
      <c r="D19" t="inlineStr">
        <is>
          <t>NHÔM_ĐỊNH_HÌNH</t>
        </is>
      </c>
      <c r="E19" t="inlineStr">
        <is>
          <t>MAT-ALU-NAN-Z-DAY</t>
        </is>
      </c>
      <c r="F19" t="inlineStr">
        <is>
          <t>kg</t>
        </is>
      </c>
      <c r="G19" s="394" t="n">
        <v>13.2996045</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13 nan dài 61.29m @ 0.217kg/m</t>
        </is>
      </c>
    </row>
    <row r="20">
      <c r="A20" t="inlineStr">
        <is>
          <t>SW-DIFF-043-ACCESSORY</t>
        </is>
      </c>
      <c r="B20" t="inlineStr">
        <is>
          <t>SW-DIFF-043</t>
        </is>
      </c>
      <c r="C20" t="inlineStr">
        <is>
          <t>Phụ kiện lắp ghép / Ke góc cửa gió</t>
        </is>
      </c>
      <c r="D20" t="inlineStr">
        <is>
          <t>PHỤ_KIỆN_CỬA</t>
        </is>
      </c>
      <c r="E20" t="inlineStr">
        <is>
          <t>MAT-DOOR-ACCESSORY</t>
        </is>
      </c>
      <c r="F20" t="inlineStr">
        <is>
          <t>Bộ</t>
        </is>
      </c>
      <c r="G20" s="394" t="n">
        <v>1</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4 ke góc chìm và vít ghép khung</t>
        </is>
      </c>
    </row>
    <row r="21">
      <c r="A21" t="inlineStr">
        <is>
          <t>SW-DIFF-043-PAINT</t>
        </is>
      </c>
      <c r="B21" t="inlineStr">
        <is>
          <t>SW-DIFF-043</t>
        </is>
      </c>
      <c r="C21" t="inlineStr">
        <is>
          <t>Sơn tĩnh điện tiêu chuẩn Polyester</t>
        </is>
      </c>
      <c r="D21" t="inlineStr">
        <is>
          <t>SƠN_TĨNH_ĐIỆN</t>
        </is>
      </c>
      <c r="E21" t="inlineStr">
        <is>
          <t>MAT-PAINT-POWDER</t>
        </is>
      </c>
      <c r="F21" t="inlineStr">
        <is>
          <t>m2</t>
        </is>
      </c>
      <c r="G21" s="394" t="n">
        <v>3.375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Diện tích phủ sơn 3.375m2</t>
        </is>
      </c>
    </row>
    <row r="22">
      <c r="A22" t="inlineStr">
        <is>
          <t>SW-DIFF-044-FRAME</t>
        </is>
      </c>
      <c r="B22" t="inlineStr">
        <is>
          <t>SW-DIFF-044</t>
        </is>
      </c>
      <c r="C22" t="inlineStr">
        <is>
          <t>Khung nhôm định hình (Z)</t>
        </is>
      </c>
      <c r="D22" t="inlineStr">
        <is>
          <t>NHÔM_ĐỊNH_HÌNH</t>
        </is>
      </c>
      <c r="E22" t="inlineStr">
        <is>
          <t>MAT-ALU-KHUNG-Z-2-LOP</t>
        </is>
      </c>
      <c r="F22" t="inlineStr">
        <is>
          <t>kg</t>
        </is>
      </c>
      <c r="G22" s="394" t="n">
        <v>2.14515</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Dài cắt 9.45m @ 0.227kg/m</t>
        </is>
      </c>
    </row>
    <row r="23">
      <c r="A23" t="inlineStr">
        <is>
          <t>SW-DIFF-044-BLADE</t>
        </is>
      </c>
      <c r="B23" t="inlineStr">
        <is>
          <t>SW-DIFF-044</t>
        </is>
      </c>
      <c r="C23" t="inlineStr">
        <is>
          <t>Nan nhôm định hình (Z)</t>
        </is>
      </c>
      <c r="D23" t="inlineStr">
        <is>
          <t>NHÔM_ĐỊNH_HÌNH</t>
        </is>
      </c>
      <c r="E23" t="inlineStr">
        <is>
          <t>MAT-ALU-NAN-Z-DAY</t>
        </is>
      </c>
      <c r="F23" t="inlineStr">
        <is>
          <t>kg</t>
        </is>
      </c>
      <c r="G23" s="394" t="n">
        <v>11.8185795</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13 nan dài 54.46m @ 0.217kg/m</t>
        </is>
      </c>
    </row>
    <row r="24">
      <c r="A24" t="inlineStr">
        <is>
          <t>SW-DIFF-044-ACCESSORY</t>
        </is>
      </c>
      <c r="B24" t="inlineStr">
        <is>
          <t>SW-DIFF-044</t>
        </is>
      </c>
      <c r="C24" t="inlineStr">
        <is>
          <t>Phụ kiện lắp ghép / Ke góc cửa gió</t>
        </is>
      </c>
      <c r="D24" t="inlineStr">
        <is>
          <t>PHỤ_KIỆN_CỬA</t>
        </is>
      </c>
      <c r="E24" t="inlineStr">
        <is>
          <t>MAT-DOOR-ACCESSORY</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4 ke góc chìm và vít ghép khung</t>
        </is>
      </c>
    </row>
    <row r="25">
      <c r="A25" t="inlineStr">
        <is>
          <t>SW-DIFF-044-PAINT</t>
        </is>
      </c>
      <c r="B25" t="inlineStr">
        <is>
          <t>SW-DIFF-044</t>
        </is>
      </c>
      <c r="C25" t="inlineStr">
        <is>
          <t>Sơn tĩnh điện tiêu chuẩn Polyester</t>
        </is>
      </c>
      <c r="D25" t="inlineStr">
        <is>
          <t>SƠN_TĨNH_ĐIỆN</t>
        </is>
      </c>
      <c r="E25" t="inlineStr">
        <is>
          <t>MAT-PAINT-POWDER</t>
        </is>
      </c>
      <c r="F25" t="inlineStr">
        <is>
          <t>m2</t>
        </is>
      </c>
      <c r="G25" s="394" t="n">
        <v>3</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Diện tích phủ sơn 3.000m2</t>
        </is>
      </c>
    </row>
    <row r="26">
      <c r="A26" t="inlineStr">
        <is>
          <t>SW-DIFF-045-FRAME</t>
        </is>
      </c>
      <c r="B26" t="inlineStr">
        <is>
          <t>SW-DIFF-045</t>
        </is>
      </c>
      <c r="C26" t="inlineStr">
        <is>
          <t>Khung nhôm định hình (Z)</t>
        </is>
      </c>
      <c r="D26" t="inlineStr">
        <is>
          <t>NHÔM_ĐỊNH_HÌNH</t>
        </is>
      </c>
      <c r="E26" t="inlineStr">
        <is>
          <t>MAT-ALU-KHUNG-Z-2-LOP</t>
        </is>
      </c>
      <c r="F26" t="inlineStr">
        <is>
          <t>kg</t>
        </is>
      </c>
      <c r="G26" s="394" t="n">
        <v>1.66845</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Dài cắt 7.35m @ 0.227kg/m</t>
        </is>
      </c>
    </row>
    <row r="27">
      <c r="A27" t="inlineStr">
        <is>
          <t>SW-DIFF-045-BLADE</t>
        </is>
      </c>
      <c r="B27" t="inlineStr">
        <is>
          <t>SW-DIFF-045</t>
        </is>
      </c>
      <c r="C27" t="inlineStr">
        <is>
          <t>Nan nhôm định hình (Z)</t>
        </is>
      </c>
      <c r="D27" t="inlineStr">
        <is>
          <t>NHÔM_ĐỊNH_HÌNH</t>
        </is>
      </c>
      <c r="E27" t="inlineStr">
        <is>
          <t>MAT-ALU-NAN-Z-DAY</t>
        </is>
      </c>
      <c r="F27" t="inlineStr">
        <is>
          <t>kg</t>
        </is>
      </c>
      <c r="G27" s="394" t="n">
        <v>8.856529500000001</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13 nan dài 40.81m @ 0.217kg/m</t>
        </is>
      </c>
    </row>
    <row r="28">
      <c r="A28" t="inlineStr">
        <is>
          <t>SW-DIFF-045-ACCESSORY</t>
        </is>
      </c>
      <c r="B28" t="inlineStr">
        <is>
          <t>SW-DIFF-045</t>
        </is>
      </c>
      <c r="C28" t="inlineStr">
        <is>
          <t>Phụ kiện lắp ghép / Ke góc cửa gió</t>
        </is>
      </c>
      <c r="D28" t="inlineStr">
        <is>
          <t>PHỤ_KIỆN_CỬA</t>
        </is>
      </c>
      <c r="E28" t="inlineStr">
        <is>
          <t>MAT-DOOR-ACCESSORY</t>
        </is>
      </c>
      <c r="F28" t="inlineStr">
        <is>
          <t>Bộ</t>
        </is>
      </c>
      <c r="G28" s="394" t="n">
        <v>1</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ke góc chìm và vít ghép khung</t>
        </is>
      </c>
    </row>
    <row r="29">
      <c r="A29" t="inlineStr">
        <is>
          <t>SW-DIFF-045-PAINT</t>
        </is>
      </c>
      <c r="B29" t="inlineStr">
        <is>
          <t>SW-DIFF-045</t>
        </is>
      </c>
      <c r="C29" t="inlineStr">
        <is>
          <t>Sơn tĩnh điện tiêu chuẩn Polyester</t>
        </is>
      </c>
      <c r="D29" t="inlineStr">
        <is>
          <t>SƠN_TĨNH_ĐIỆN</t>
        </is>
      </c>
      <c r="E29" t="inlineStr">
        <is>
          <t>MAT-PAINT-POWDER</t>
        </is>
      </c>
      <c r="F29" t="inlineStr">
        <is>
          <t>m2</t>
        </is>
      </c>
      <c r="G29" s="394" t="n">
        <v>2.25</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Diện tích phủ sơn 2.250m2</t>
        </is>
      </c>
    </row>
    <row r="30">
      <c r="A30" t="inlineStr">
        <is>
          <t>SW-DIFF-046-FRAME</t>
        </is>
      </c>
      <c r="B30" t="inlineStr">
        <is>
          <t>SW-DIFF-046</t>
        </is>
      </c>
      <c r="C30" t="inlineStr">
        <is>
          <t>Khung nhôm định hình (Z)</t>
        </is>
      </c>
      <c r="D30" t="inlineStr">
        <is>
          <t>NHÔM_ĐỊNH_HÌNH</t>
        </is>
      </c>
      <c r="E30" t="inlineStr">
        <is>
          <t>MAT-ALU-KHUNG-Z-2-LOP</t>
        </is>
      </c>
      <c r="F30" t="inlineStr">
        <is>
          <t>kg</t>
        </is>
      </c>
      <c r="G30" s="394" t="n">
        <v>1.66845</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Dài cắt 7.35m @ 0.227kg/m</t>
        </is>
      </c>
    </row>
    <row r="31">
      <c r="A31" t="inlineStr">
        <is>
          <t>SW-DIFF-046-BLADE</t>
        </is>
      </c>
      <c r="B31" t="inlineStr">
        <is>
          <t>SW-DIFF-046</t>
        </is>
      </c>
      <c r="C31" t="inlineStr">
        <is>
          <t>Nan nhôm định hình (Z)</t>
        </is>
      </c>
      <c r="D31" t="inlineStr">
        <is>
          <t>NHÔM_ĐỊNH_HÌNH</t>
        </is>
      </c>
      <c r="E31" t="inlineStr">
        <is>
          <t>MAT-ALU-NAN-Z-DAY</t>
        </is>
      </c>
      <c r="F31" t="inlineStr">
        <is>
          <t>kg</t>
        </is>
      </c>
      <c r="G31" s="394" t="n">
        <v>11.861871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19 nan dài 54.66m @ 0.217kg/m</t>
        </is>
      </c>
    </row>
    <row r="32">
      <c r="A32" t="inlineStr">
        <is>
          <t>SW-DIFF-046-ACCESSORY</t>
        </is>
      </c>
      <c r="B32" t="inlineStr">
        <is>
          <t>SW-DIFF-046</t>
        </is>
      </c>
      <c r="C32" t="inlineStr">
        <is>
          <t>Phụ kiện lắp ghép / Ke góc cửa gió</t>
        </is>
      </c>
      <c r="D32" t="inlineStr">
        <is>
          <t>PHỤ_KIỆN_CỬA</t>
        </is>
      </c>
      <c r="E32" t="inlineStr">
        <is>
          <t>MAT-DOOR-ACCESSORY</t>
        </is>
      </c>
      <c r="F32" t="inlineStr">
        <is>
          <t>Bộ</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4 ke góc chìm và vít ghép khung</t>
        </is>
      </c>
    </row>
    <row r="33">
      <c r="A33" t="inlineStr">
        <is>
          <t>SW-DIFF-046-PAINT</t>
        </is>
      </c>
      <c r="B33" t="inlineStr">
        <is>
          <t>SW-DIFF-046</t>
        </is>
      </c>
      <c r="C33" t="inlineStr">
        <is>
          <t>Sơn tĩnh điện tiêu chuẩn Polyester</t>
        </is>
      </c>
      <c r="D33" t="inlineStr">
        <is>
          <t>SƠN_TĨNH_ĐIỆN</t>
        </is>
      </c>
      <c r="E33" t="inlineStr">
        <is>
          <t>MAT-PAINT-POWDER</t>
        </is>
      </c>
      <c r="F33" t="inlineStr">
        <is>
          <t>m2</t>
        </is>
      </c>
      <c r="G33" s="394" t="n">
        <v>3.09375</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Diện tích phủ sơn 3.094m2</t>
        </is>
      </c>
    </row>
    <row r="34">
      <c r="A34" t="inlineStr">
        <is>
          <t>SW-DIFF-047-FRAME</t>
        </is>
      </c>
      <c r="B34" t="inlineStr">
        <is>
          <t>SW-DIFF-047</t>
        </is>
      </c>
      <c r="C34" t="inlineStr">
        <is>
          <t>Khung nhôm định hình (BD)</t>
        </is>
      </c>
      <c r="D34" t="inlineStr">
        <is>
          <t>NHÔM_ĐỊNH_HÌNH</t>
        </is>
      </c>
      <c r="E34" t="inlineStr">
        <is>
          <t>MAT-ALU-KHUNG-BD</t>
        </is>
      </c>
      <c r="F34" t="inlineStr">
        <is>
          <t>kg</t>
        </is>
      </c>
      <c r="G34" s="394" t="n">
        <v>0.3780000000000001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Dài cắt 1.89m @ 0.2kg/m</t>
        </is>
      </c>
    </row>
    <row r="35">
      <c r="A35" t="inlineStr">
        <is>
          <t>SW-DIFF-047-BLADE</t>
        </is>
      </c>
      <c r="B35" t="inlineStr">
        <is>
          <t>SW-DIFF-047</t>
        </is>
      </c>
      <c r="C35" t="inlineStr">
        <is>
          <t>Nan nhôm định hình (BD)</t>
        </is>
      </c>
      <c r="D35" t="inlineStr">
        <is>
          <t>NHÔM_ĐỊNH_HÌNH</t>
        </is>
      </c>
      <c r="E35" t="inlineStr">
        <is>
          <t>MAT-ALU-NAN-BD</t>
        </is>
      </c>
      <c r="F35" t="inlineStr">
        <is>
          <t>kg</t>
        </is>
      </c>
      <c r="G35" s="394" t="n">
        <v>0.4311720000000001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12 nan dài 7.43m @ 0.058kg/m</t>
        </is>
      </c>
    </row>
    <row r="36">
      <c r="A36" t="inlineStr">
        <is>
          <t>SW-DIFF-047-ACCESSORY</t>
        </is>
      </c>
      <c r="B36" t="inlineStr">
        <is>
          <t>SW-DIFF-047</t>
        </is>
      </c>
      <c r="C36" t="inlineStr">
        <is>
          <t>Phụ kiện lắp ghép / Ke góc cửa gió</t>
        </is>
      </c>
      <c r="D36" t="inlineStr">
        <is>
          <t>PHỤ_KIỆN_CỬA</t>
        </is>
      </c>
      <c r="E36" t="inlineStr">
        <is>
          <t>MAT-DOOR-ACCESSORY</t>
        </is>
      </c>
      <c r="F36" t="inlineStr">
        <is>
          <t>Bộ</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4 ke góc chìm và vít ghép khung</t>
        </is>
      </c>
    </row>
    <row r="37">
      <c r="A37" t="inlineStr">
        <is>
          <t>SW-DIFF-047-PAINT</t>
        </is>
      </c>
      <c r="B37" t="inlineStr">
        <is>
          <t>SW-DIFF-047</t>
        </is>
      </c>
      <c r="C37" t="inlineStr">
        <is>
          <t>Sơn tĩnh điện tiêu chuẩn Polyester</t>
        </is>
      </c>
      <c r="D37" t="inlineStr">
        <is>
          <t>SƠN_TĨNH_ĐIỆN</t>
        </is>
      </c>
      <c r="E37" t="inlineStr">
        <is>
          <t>MAT-PAINT-POWDER</t>
        </is>
      </c>
      <c r="F37" t="inlineStr">
        <is>
          <t>m2</t>
        </is>
      </c>
      <c r="G37" s="394" t="n">
        <v>0.27</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Diện tích phủ sơn 0.270m2</t>
        </is>
      </c>
    </row>
    <row r="38">
      <c r="A38" t="inlineStr">
        <is>
          <t>SW-DIFF-048-FRAME</t>
        </is>
      </c>
      <c r="B38" t="inlineStr">
        <is>
          <t>SW-DIFF-048</t>
        </is>
      </c>
      <c r="C38" t="inlineStr">
        <is>
          <t>Khung nhôm định hình (BD)</t>
        </is>
      </c>
      <c r="D38" t="inlineStr">
        <is>
          <t>NHÔM_ĐỊNH_HÌNH</t>
        </is>
      </c>
      <c r="E38" t="inlineStr">
        <is>
          <t>MAT-ALU-KHUNG-BD</t>
        </is>
      </c>
      <c r="F38" t="inlineStr">
        <is>
          <t>kg</t>
        </is>
      </c>
      <c r="G38" s="394" t="n">
        <v>0.7560000000000001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Dài cắt 3.78m @ 0.2kg/m</t>
        </is>
      </c>
    </row>
    <row r="39">
      <c r="A39" t="inlineStr">
        <is>
          <t>SW-DIFF-048-BLADE</t>
        </is>
      </c>
      <c r="B39" t="inlineStr">
        <is>
          <t>SW-DIFF-048</t>
        </is>
      </c>
      <c r="C39" t="inlineStr">
        <is>
          <t>Nan nhôm định hình (BD)</t>
        </is>
      </c>
      <c r="D39" t="inlineStr">
        <is>
          <t>NHÔM_ĐỊNH_HÌNH</t>
        </is>
      </c>
      <c r="E39" t="inlineStr">
        <is>
          <t>MAT-ALU-NAN-BD</t>
        </is>
      </c>
      <c r="F39" t="inlineStr">
        <is>
          <t>kg</t>
        </is>
      </c>
      <c r="G39" s="394" t="n">
        <v>1.739304</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24 nan dài 29.99m @ 0.058kg/m</t>
        </is>
      </c>
    </row>
    <row r="40">
      <c r="A40" t="inlineStr">
        <is>
          <t>SW-DIFF-048-ACCESSORY</t>
        </is>
      </c>
      <c r="B40" t="inlineStr">
        <is>
          <t>SW-DIFF-048</t>
        </is>
      </c>
      <c r="C40" t="inlineStr">
        <is>
          <t>Phụ kiện lắp ghép / Ke góc cửa gió</t>
        </is>
      </c>
      <c r="D40" t="inlineStr">
        <is>
          <t>PHỤ_KIỆN_CỬA</t>
        </is>
      </c>
      <c r="E40" t="inlineStr">
        <is>
          <t>MAT-DOOR-ACCESSORY</t>
        </is>
      </c>
      <c r="F40" t="inlineStr">
        <is>
          <t>Bộ</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4 ke góc chìm và vít ghép khung</t>
        </is>
      </c>
    </row>
    <row r="41">
      <c r="A41" t="inlineStr">
        <is>
          <t>SW-DIFF-048-PAINT</t>
        </is>
      </c>
      <c r="B41" t="inlineStr">
        <is>
          <t>SW-DIFF-048</t>
        </is>
      </c>
      <c r="C41" t="inlineStr">
        <is>
          <t>Sơn tĩnh điện tiêu chuẩn Polyester</t>
        </is>
      </c>
      <c r="D41" t="inlineStr">
        <is>
          <t>SƠN_TĨNH_ĐIỆN</t>
        </is>
      </c>
      <c r="E41" t="inlineStr">
        <is>
          <t>MAT-PAINT-POWDER</t>
        </is>
      </c>
      <c r="F41" t="inlineStr">
        <is>
          <t>m2</t>
        </is>
      </c>
      <c r="G41" s="394" t="n">
        <v>1.08</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Diện tích phủ sơn 1.080m2</t>
        </is>
      </c>
    </row>
    <row r="42">
      <c r="A42" t="inlineStr">
        <is>
          <t>SW-DIFF-049-FRAME</t>
        </is>
      </c>
      <c r="B42" t="inlineStr">
        <is>
          <t>SW-DIFF-049</t>
        </is>
      </c>
      <c r="C42" t="inlineStr">
        <is>
          <t>Khung nhôm định hình (BD)</t>
        </is>
      </c>
      <c r="D42" t="inlineStr">
        <is>
          <t>NHÔM_ĐỊNH_HÌNH</t>
        </is>
      </c>
      <c r="E42" t="inlineStr">
        <is>
          <t>MAT-ALU-KHUNG-BD</t>
        </is>
      </c>
      <c r="F42" t="inlineStr">
        <is>
          <t>kg</t>
        </is>
      </c>
      <c r="G42" s="394" t="n">
        <v>0.252</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Dài cắt 1.26m @ 0.2kg/m</t>
        </is>
      </c>
    </row>
    <row r="43">
      <c r="A43" t="inlineStr">
        <is>
          <t>SW-DIFF-049-BLADE</t>
        </is>
      </c>
      <c r="B43" t="inlineStr">
        <is>
          <t>SW-DIFF-049</t>
        </is>
      </c>
      <c r="C43" t="inlineStr">
        <is>
          <t>Nan nhôm định hình (BD)</t>
        </is>
      </c>
      <c r="D43" t="inlineStr">
        <is>
          <t>NHÔM_ĐỊNH_HÌNH</t>
        </is>
      </c>
      <c r="E43" t="inlineStr">
        <is>
          <t>MAT-ALU-NAN-BD</t>
        </is>
      </c>
      <c r="F43" t="inlineStr">
        <is>
          <t>kg</t>
        </is>
      </c>
      <c r="G43" s="394" t="n">
        <v>0.211932</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12 nan dài 3.65m @ 0.058kg/m</t>
        </is>
      </c>
    </row>
    <row r="44">
      <c r="A44" t="inlineStr">
        <is>
          <t>SW-DIFF-049-ACCESSORY</t>
        </is>
      </c>
      <c r="B44" t="inlineStr">
        <is>
          <t>SW-DIFF-049</t>
        </is>
      </c>
      <c r="C44" t="inlineStr">
        <is>
          <t>Phụ kiện lắp ghép / Ke góc cửa gió</t>
        </is>
      </c>
      <c r="D44" t="inlineStr">
        <is>
          <t>PHỤ_KIỆN_CỬA</t>
        </is>
      </c>
      <c r="E44" t="inlineStr">
        <is>
          <t>MAT-DOOR-ACCESSORY</t>
        </is>
      </c>
      <c r="F44" t="inlineStr">
        <is>
          <t>Bộ</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4 ke góc chìm và vít ghép khung</t>
        </is>
      </c>
    </row>
    <row r="45">
      <c r="A45" t="inlineStr">
        <is>
          <t>SW-DIFF-049-PAINT</t>
        </is>
      </c>
      <c r="B45" t="inlineStr">
        <is>
          <t>SW-DIFF-049</t>
        </is>
      </c>
      <c r="C45" t="inlineStr">
        <is>
          <t>Sơn tĩnh điện tiêu chuẩn Polyester</t>
        </is>
      </c>
      <c r="D45" t="inlineStr">
        <is>
          <t>SƠN_TĨNH_ĐIỆN</t>
        </is>
      </c>
      <c r="E45" t="inlineStr">
        <is>
          <t>MAT-PAINT-POWDER</t>
        </is>
      </c>
      <c r="F45" t="inlineStr">
        <is>
          <t>m2</t>
        </is>
      </c>
      <c r="G45" s="394" t="n">
        <v>0.135</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Diện tích phủ sơn 0.135m2</t>
        </is>
      </c>
    </row>
    <row r="46">
      <c r="A46" t="inlineStr">
        <is>
          <t>SW-TRD-055-LƯỚI</t>
        </is>
      </c>
      <c r="B46" t="inlineStr">
        <is>
          <t>SW-TRD-055</t>
        </is>
      </c>
      <c r="C46" t="inlineStr">
        <is>
          <t>Lưới bảo vệ -</t>
        </is>
      </c>
      <c r="D46" t="inlineStr">
        <is>
          <t>THUONG_MAI</t>
        </is>
      </c>
      <c r="E46" t="inlineStr">
        <is>
          <t>MAT-LUOI-ONG_THONG_GIO_VA_PHU_11DB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SW-DIFF-125-FRAME</t>
        </is>
      </c>
      <c r="B47" t="inlineStr">
        <is>
          <t>SW-DIFF-125</t>
        </is>
      </c>
      <c r="C47" t="inlineStr">
        <is>
          <t>Khung nhôm định hình (BD)</t>
        </is>
      </c>
      <c r="D47" t="inlineStr">
        <is>
          <t>NHÔM_ĐỊNH_HÌNH</t>
        </is>
      </c>
      <c r="E47" t="inlineStr">
        <is>
          <t>MAT-ALU-KHUNG-BD</t>
        </is>
      </c>
      <c r="F47" t="inlineStr">
        <is>
          <t>kg</t>
        </is>
      </c>
      <c r="G47" s="394" t="n">
        <v>0.5460000000000002</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Dài cắt 2.73m @ 0.2kg/m</t>
        </is>
      </c>
    </row>
    <row r="48">
      <c r="A48" t="inlineStr">
        <is>
          <t>SW-DIFF-125-BLADE</t>
        </is>
      </c>
      <c r="B48" t="inlineStr">
        <is>
          <t>SW-DIFF-125</t>
        </is>
      </c>
      <c r="C48" t="inlineStr">
        <is>
          <t>Nan nhôm định hình (BD)</t>
        </is>
      </c>
      <c r="D48" t="inlineStr">
        <is>
          <t>NHÔM_ĐỊNH_HÌNH</t>
        </is>
      </c>
      <c r="E48" t="inlineStr">
        <is>
          <t>MAT-ALU-NAN-BD</t>
        </is>
      </c>
      <c r="F48" t="inlineStr">
        <is>
          <t>kg</t>
        </is>
      </c>
      <c r="G48" s="394" t="n">
        <v>0.8672160000000001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16 nan dài 14.95m @ 0.058kg/m</t>
        </is>
      </c>
    </row>
    <row r="49">
      <c r="A49" t="inlineStr">
        <is>
          <t>SW-DIFF-125-ACCESSORY</t>
        </is>
      </c>
      <c r="B49" t="inlineStr">
        <is>
          <t>SW-DIFF-125</t>
        </is>
      </c>
      <c r="C49" t="inlineStr">
        <is>
          <t>Phụ kiện lắp ghép / Ke góc cửa gió</t>
        </is>
      </c>
      <c r="D49" t="inlineStr">
        <is>
          <t>PHỤ_KIỆN_CỬA</t>
        </is>
      </c>
      <c r="E49" t="inlineStr">
        <is>
          <t>MAT-DOOR-ACCESSORY</t>
        </is>
      </c>
      <c r="F49" t="inlineStr">
        <is>
          <t>Bộ</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4 ke góc chìm và vít ghép khung</t>
        </is>
      </c>
    </row>
    <row r="50">
      <c r="A50" t="inlineStr">
        <is>
          <t>SW-DIFF-125-PAINT</t>
        </is>
      </c>
      <c r="B50" t="inlineStr">
        <is>
          <t>SW-DIFF-125</t>
        </is>
      </c>
      <c r="C50" t="inlineStr">
        <is>
          <t>Sơn tĩnh điện tiêu chuẩn Polyester</t>
        </is>
      </c>
      <c r="D50" t="inlineStr">
        <is>
          <t>SƠN_TĨNH_ĐIỆN</t>
        </is>
      </c>
      <c r="E50" t="inlineStr">
        <is>
          <t>MAT-PAINT-POWDER</t>
        </is>
      </c>
      <c r="F50" t="inlineStr">
        <is>
          <t>m2</t>
        </is>
      </c>
      <c r="G50" s="394" t="n">
        <v>0.54</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Diện tích phủ sơn 0.540m2</t>
        </is>
      </c>
    </row>
    <row r="51">
      <c r="A51" t="inlineStr">
        <is>
          <t>SW-DIFF-126-FRAME</t>
        </is>
      </c>
      <c r="B51" t="inlineStr">
        <is>
          <t>SW-DIFF-126</t>
        </is>
      </c>
      <c r="C51" t="inlineStr">
        <is>
          <t>Khung nhôm định hình (BD)</t>
        </is>
      </c>
      <c r="D51" t="inlineStr">
        <is>
          <t>NHÔM_ĐỊNH_HÌNH</t>
        </is>
      </c>
      <c r="E51" t="inlineStr">
        <is>
          <t>MAT-ALU-KHUNG-BD</t>
        </is>
      </c>
      <c r="F51" t="inlineStr">
        <is>
          <t>kg</t>
        </is>
      </c>
      <c r="G51" s="394" t="n">
        <v>0.252</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Dài cắt 1.26m @ 0.2kg/m</t>
        </is>
      </c>
    </row>
    <row r="52">
      <c r="A52" t="inlineStr">
        <is>
          <t>SW-DIFF-126-BLADE</t>
        </is>
      </c>
      <c r="B52" t="inlineStr">
        <is>
          <t>SW-DIFF-126</t>
        </is>
      </c>
      <c r="C52" t="inlineStr">
        <is>
          <t>Nan nhôm định hình (BD)</t>
        </is>
      </c>
      <c r="D52" t="inlineStr">
        <is>
          <t>NHÔM_ĐỊNH_HÌNH</t>
        </is>
      </c>
      <c r="E52" t="inlineStr">
        <is>
          <t>MAT-ALU-NAN-BD</t>
        </is>
      </c>
      <c r="F52" t="inlineStr">
        <is>
          <t>kg</t>
        </is>
      </c>
      <c r="G52" s="394" t="n">
        <v>0.211932</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12 nan dài 3.65m @ 0.058kg/m</t>
        </is>
      </c>
    </row>
    <row r="53">
      <c r="A53" t="inlineStr">
        <is>
          <t>SW-DIFF-126-ACCESSORY</t>
        </is>
      </c>
      <c r="B53" t="inlineStr">
        <is>
          <t>SW-DIFF-126</t>
        </is>
      </c>
      <c r="C53" t="inlineStr">
        <is>
          <t>Phụ kiện lắp ghép / Ke góc cửa gió</t>
        </is>
      </c>
      <c r="D53" t="inlineStr">
        <is>
          <t>PHỤ_KIỆN_CỬA</t>
        </is>
      </c>
      <c r="E53" t="inlineStr">
        <is>
          <t>MAT-DOOR-ACCESSORY</t>
        </is>
      </c>
      <c r="F53" t="inlineStr">
        <is>
          <t>Bộ</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4 ke góc chìm và vít ghép khung</t>
        </is>
      </c>
    </row>
    <row r="54">
      <c r="A54" t="inlineStr">
        <is>
          <t>SW-DIFF-126-PAINT</t>
        </is>
      </c>
      <c r="B54" t="inlineStr">
        <is>
          <t>SW-DIFF-126</t>
        </is>
      </c>
      <c r="C54" t="inlineStr">
        <is>
          <t>Sơn tĩnh điện tiêu chuẩn Polyester</t>
        </is>
      </c>
      <c r="D54" t="inlineStr">
        <is>
          <t>SƠN_TĨNH_ĐIỆN</t>
        </is>
      </c>
      <c r="E54" t="inlineStr">
        <is>
          <t>MAT-PAINT-POWDER</t>
        </is>
      </c>
      <c r="F54" t="inlineStr">
        <is>
          <t>m2</t>
        </is>
      </c>
      <c r="G54" s="394" t="n">
        <v>0.135</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Diện tích phủ sơn 0.135m2</t>
        </is>
      </c>
    </row>
    <row r="55">
      <c r="A55" t="inlineStr">
        <is>
          <t>SW-DIFF-127-FRAME</t>
        </is>
      </c>
      <c r="B55" t="inlineStr">
        <is>
          <t>SW-DIFF-127</t>
        </is>
      </c>
      <c r="C55" t="inlineStr">
        <is>
          <t>Khung nhôm định hình (BD)</t>
        </is>
      </c>
      <c r="D55" t="inlineStr">
        <is>
          <t>NHÔM_ĐỊNH_HÌNH</t>
        </is>
      </c>
      <c r="E55" t="inlineStr">
        <is>
          <t>MAT-ALU-KHUNG-BD</t>
        </is>
      </c>
      <c r="F55" t="inlineStr">
        <is>
          <t>kg</t>
        </is>
      </c>
      <c r="G55" s="394" t="n">
        <v>0.7560000000000001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Dài cắt 3.78m @ 0.2kg/m</t>
        </is>
      </c>
    </row>
    <row r="56">
      <c r="A56" t="inlineStr">
        <is>
          <t>SW-DIFF-127-BLADE</t>
        </is>
      </c>
      <c r="B56" t="inlineStr">
        <is>
          <t>SW-DIFF-127</t>
        </is>
      </c>
      <c r="C56" t="inlineStr">
        <is>
          <t>Nan nhôm định hình (BD)</t>
        </is>
      </c>
      <c r="D56" t="inlineStr">
        <is>
          <t>NHÔM_ĐỊNH_HÌNH</t>
        </is>
      </c>
      <c r="E56" t="inlineStr">
        <is>
          <t>MAT-ALU-NAN-BD</t>
        </is>
      </c>
      <c r="F56" t="inlineStr">
        <is>
          <t>kg</t>
        </is>
      </c>
      <c r="G56" s="394" t="n">
        <v>1.739304</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24 nan dài 29.99m @ 0.058kg/m</t>
        </is>
      </c>
    </row>
    <row r="57">
      <c r="A57" t="inlineStr">
        <is>
          <t>SW-DIFF-127-ACCESSORY</t>
        </is>
      </c>
      <c r="B57" t="inlineStr">
        <is>
          <t>SW-DIFF-127</t>
        </is>
      </c>
      <c r="C57" t="inlineStr">
        <is>
          <t>Phụ kiện lắp ghép / Ke góc cửa gió</t>
        </is>
      </c>
      <c r="D57" t="inlineStr">
        <is>
          <t>PHỤ_KIỆN_CỬA</t>
        </is>
      </c>
      <c r="E57" t="inlineStr">
        <is>
          <t>MAT-DOOR-ACCESSORY</t>
        </is>
      </c>
      <c r="F57" t="inlineStr">
        <is>
          <t>Bộ</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4 ke góc chìm và vít ghép khung</t>
        </is>
      </c>
    </row>
    <row r="58">
      <c r="A58" t="inlineStr">
        <is>
          <t>SW-DIFF-127-PAINT</t>
        </is>
      </c>
      <c r="B58" t="inlineStr">
        <is>
          <t>SW-DIFF-127</t>
        </is>
      </c>
      <c r="C58" t="inlineStr">
        <is>
          <t>Sơn tĩnh điện tiêu chuẩn Polyester</t>
        </is>
      </c>
      <c r="D58" t="inlineStr">
        <is>
          <t>SƠN_TĨNH_ĐIỆN</t>
        </is>
      </c>
      <c r="E58" t="inlineStr">
        <is>
          <t>MAT-PAINT-POWDER</t>
        </is>
      </c>
      <c r="F58" t="inlineStr">
        <is>
          <t>m2</t>
        </is>
      </c>
      <c r="G58" s="394" t="n">
        <v>1.08</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Diện tích phủ sơn 1.080m2</t>
        </is>
      </c>
    </row>
    <row r="59">
      <c r="A59" t="inlineStr">
        <is>
          <t>SW-DIFF-128-FRAME</t>
        </is>
      </c>
      <c r="B59" t="inlineStr">
        <is>
          <t>SW-DIFF-128</t>
        </is>
      </c>
      <c r="C59" t="inlineStr">
        <is>
          <t>Khung nhôm định hình (BD)</t>
        </is>
      </c>
      <c r="D59" t="inlineStr">
        <is>
          <t>NHÔM_ĐỊNH_HÌNH</t>
        </is>
      </c>
      <c r="E59" t="inlineStr">
        <is>
          <t>MAT-ALU-KHUNG-BD</t>
        </is>
      </c>
      <c r="F59" t="inlineStr">
        <is>
          <t>kg</t>
        </is>
      </c>
      <c r="G59" s="394" t="n">
        <v>0.9240000000000003</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Dài cắt 4.62m @ 0.2kg/m</t>
        </is>
      </c>
    </row>
    <row r="60">
      <c r="A60" t="inlineStr">
        <is>
          <t>SW-DIFF-128-BLADE</t>
        </is>
      </c>
      <c r="B60" t="inlineStr">
        <is>
          <t>SW-DIFF-128</t>
        </is>
      </c>
      <c r="C60" t="inlineStr">
        <is>
          <t>Nan nhôm định hình (BD)</t>
        </is>
      </c>
      <c r="D60" t="inlineStr">
        <is>
          <t>NHÔM_ĐỊNH_HÌNH</t>
        </is>
      </c>
      <c r="E60" t="inlineStr">
        <is>
          <t>MAT-ALU-NAN-BD</t>
        </is>
      </c>
      <c r="F60" t="inlineStr">
        <is>
          <t>kg</t>
        </is>
      </c>
      <c r="G60" s="394" t="n">
        <v>2.708832</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32 nan dài 46.70m @ 0.058kg/m</t>
        </is>
      </c>
    </row>
    <row r="61">
      <c r="A61" t="inlineStr">
        <is>
          <t>SW-DIFF-128-ACCESSORY</t>
        </is>
      </c>
      <c r="B61" t="inlineStr">
        <is>
          <t>SW-DIFF-128</t>
        </is>
      </c>
      <c r="C61" t="inlineStr">
        <is>
          <t>Phụ kiện lắp ghép / Ke góc cửa gió</t>
        </is>
      </c>
      <c r="D61" t="inlineStr">
        <is>
          <t>PHỤ_KIỆN_CỬA</t>
        </is>
      </c>
      <c r="E61" t="inlineStr">
        <is>
          <t>MAT-DOOR-ACCESSORY</t>
        </is>
      </c>
      <c r="F61" t="inlineStr">
        <is>
          <t>Bộ</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4 ke góc chìm và vít ghép khung</t>
        </is>
      </c>
    </row>
    <row r="62">
      <c r="A62" t="inlineStr">
        <is>
          <t>SW-DIFF-128-PAINT</t>
        </is>
      </c>
      <c r="B62" t="inlineStr">
        <is>
          <t>SW-DIFF-128</t>
        </is>
      </c>
      <c r="C62" t="inlineStr">
        <is>
          <t>Sơn tĩnh điện tiêu chuẩn Polyester</t>
        </is>
      </c>
      <c r="D62" t="inlineStr">
        <is>
          <t>SƠN_TĨNH_ĐIỆN</t>
        </is>
      </c>
      <c r="E62" t="inlineStr">
        <is>
          <t>MAT-PAINT-POWDER</t>
        </is>
      </c>
      <c r="F62" t="inlineStr">
        <is>
          <t>m2</t>
        </is>
      </c>
      <c r="G62" s="394" t="n">
        <v>1.68</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Diện tích phủ sơn 1.680m2</t>
        </is>
      </c>
    </row>
    <row r="63">
      <c r="A63" t="inlineStr">
        <is>
          <t>SW-DIFF-129-FRAME</t>
        </is>
      </c>
      <c r="B63" t="inlineStr">
        <is>
          <t>SW-DIFF-129</t>
        </is>
      </c>
      <c r="C63" t="inlineStr">
        <is>
          <t>Khung nhôm định hình (BD)</t>
        </is>
      </c>
      <c r="D63" t="inlineStr">
        <is>
          <t>NHÔM_ĐỊNH_HÌNH</t>
        </is>
      </c>
      <c r="E63" t="inlineStr">
        <is>
          <t>MAT-ALU-KHUNG-BD</t>
        </is>
      </c>
      <c r="F63" t="inlineStr">
        <is>
          <t>kg</t>
        </is>
      </c>
      <c r="G63" s="394" t="n">
        <v>0.7560000000000001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Dài cắt 3.78m @ 0.2kg/m</t>
        </is>
      </c>
    </row>
    <row r="64">
      <c r="A64" t="inlineStr">
        <is>
          <t>SW-DIFF-129-BLADE</t>
        </is>
      </c>
      <c r="B64" t="inlineStr">
        <is>
          <t>SW-DIFF-129</t>
        </is>
      </c>
      <c r="C64" t="inlineStr">
        <is>
          <t>Nan nhôm định hình (BD)</t>
        </is>
      </c>
      <c r="D64" t="inlineStr">
        <is>
          <t>NHÔM_ĐỊNH_HÌNH</t>
        </is>
      </c>
      <c r="E64" t="inlineStr">
        <is>
          <t>MAT-ALU-NAN-BD</t>
        </is>
      </c>
      <c r="F64" t="inlineStr">
        <is>
          <t>kg</t>
        </is>
      </c>
      <c r="G64" s="394" t="n">
        <v>1.739304</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24 nan dài 29.99m @ 0.058kg/m</t>
        </is>
      </c>
    </row>
    <row r="65">
      <c r="A65" t="inlineStr">
        <is>
          <t>SW-DIFF-129-ACCESSORY</t>
        </is>
      </c>
      <c r="B65" t="inlineStr">
        <is>
          <t>SW-DIFF-129</t>
        </is>
      </c>
      <c r="C65" t="inlineStr">
        <is>
          <t>Phụ kiện lắp ghép / Ke góc cửa gió</t>
        </is>
      </c>
      <c r="D65" t="inlineStr">
        <is>
          <t>PHỤ_KIỆN_CỬA</t>
        </is>
      </c>
      <c r="E65" t="inlineStr">
        <is>
          <t>MAT-DOOR-ACCESSORY</t>
        </is>
      </c>
      <c r="F65" t="inlineStr">
        <is>
          <t>Bộ</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4 ke góc chìm và vít ghép khung</t>
        </is>
      </c>
    </row>
    <row r="66">
      <c r="A66" t="inlineStr">
        <is>
          <t>SW-DIFF-129-PAINT</t>
        </is>
      </c>
      <c r="B66" t="inlineStr">
        <is>
          <t>SW-DIFF-129</t>
        </is>
      </c>
      <c r="C66" t="inlineStr">
        <is>
          <t>Sơn tĩnh điện tiêu chuẩn Polyester</t>
        </is>
      </c>
      <c r="D66" t="inlineStr">
        <is>
          <t>SƠN_TĨNH_ĐIỆN</t>
        </is>
      </c>
      <c r="E66" t="inlineStr">
        <is>
          <t>MAT-PAINT-POWDER</t>
        </is>
      </c>
      <c r="F66" t="inlineStr">
        <is>
          <t>m2</t>
        </is>
      </c>
      <c r="G66" s="394" t="n">
        <v>1.08</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Diện tích phủ sơn 1.080m2</t>
        </is>
      </c>
    </row>
    <row r="67">
      <c r="A67" t="inlineStr">
        <is>
          <t>SW-DIFF-130-FRAME</t>
        </is>
      </c>
      <c r="B67" t="inlineStr">
        <is>
          <t>SW-DIFF-130</t>
        </is>
      </c>
      <c r="C67" t="inlineStr">
        <is>
          <t>Khung nhôm định hình (BD)</t>
        </is>
      </c>
      <c r="D67" t="inlineStr">
        <is>
          <t>NHÔM_ĐỊNH_HÌNH</t>
        </is>
      </c>
      <c r="E67" t="inlineStr">
        <is>
          <t>MAT-ALU-KHUNG-BD</t>
        </is>
      </c>
      <c r="F67" t="inlineStr">
        <is>
          <t>kg</t>
        </is>
      </c>
      <c r="G67" s="394" t="n">
        <v>0.252</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Dài cắt 1.26m @ 0.2kg/m</t>
        </is>
      </c>
    </row>
    <row r="68">
      <c r="A68" t="inlineStr">
        <is>
          <t>SW-DIFF-130-BLADE</t>
        </is>
      </c>
      <c r="B68" t="inlineStr">
        <is>
          <t>SW-DIFF-130</t>
        </is>
      </c>
      <c r="C68" t="inlineStr">
        <is>
          <t>Nan nhôm định hình (BD)</t>
        </is>
      </c>
      <c r="D68" t="inlineStr">
        <is>
          <t>NHÔM_ĐỊNH_HÌNH</t>
        </is>
      </c>
      <c r="E68" t="inlineStr">
        <is>
          <t>MAT-ALU-NAN-BD</t>
        </is>
      </c>
      <c r="F68" t="inlineStr">
        <is>
          <t>kg</t>
        </is>
      </c>
      <c r="G68" s="394" t="n">
        <v>0.211932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12 nan dài 3.65m @ 0.058kg/m</t>
        </is>
      </c>
    </row>
    <row r="69">
      <c r="A69" t="inlineStr">
        <is>
          <t>SW-DIFF-130-ACCESSORY</t>
        </is>
      </c>
      <c r="B69" t="inlineStr">
        <is>
          <t>SW-DIFF-130</t>
        </is>
      </c>
      <c r="C69" t="inlineStr">
        <is>
          <t>Phụ kiện lắp ghép / Ke góc cửa gió</t>
        </is>
      </c>
      <c r="D69" t="inlineStr">
        <is>
          <t>PHỤ_KIỆN_CỬA</t>
        </is>
      </c>
      <c r="E69" t="inlineStr">
        <is>
          <t>MAT-DOOR-ACCESSORY</t>
        </is>
      </c>
      <c r="F69" t="inlineStr">
        <is>
          <t>Bộ</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4 ke góc chìm và vít ghép khung</t>
        </is>
      </c>
    </row>
    <row r="70">
      <c r="A70" t="inlineStr">
        <is>
          <t>SW-DIFF-130-PAINT</t>
        </is>
      </c>
      <c r="B70" t="inlineStr">
        <is>
          <t>SW-DIFF-130</t>
        </is>
      </c>
      <c r="C70" t="inlineStr">
        <is>
          <t>Sơn tĩnh điện tiêu chuẩn Polyester</t>
        </is>
      </c>
      <c r="D70" t="inlineStr">
        <is>
          <t>SƠN_TĨNH_ĐIỆN</t>
        </is>
      </c>
      <c r="E70" t="inlineStr">
        <is>
          <t>MAT-PAINT-POWDER</t>
        </is>
      </c>
      <c r="F70" t="inlineStr">
        <is>
          <t>m2</t>
        </is>
      </c>
      <c r="G70" s="394" t="n">
        <v>0.135</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Diện tích phủ sơn 0.135m2</t>
        </is>
      </c>
    </row>
    <row r="71">
      <c r="A71" t="inlineStr">
        <is>
          <t>SW-DIFF-131-FRAME</t>
        </is>
      </c>
      <c r="B71" t="inlineStr">
        <is>
          <t>SW-DIFF-131</t>
        </is>
      </c>
      <c r="C71" t="inlineStr">
        <is>
          <t>Khung nhôm định hình (BD)</t>
        </is>
      </c>
      <c r="D71" t="inlineStr">
        <is>
          <t>NHÔM_ĐỊNH_HÌNH</t>
        </is>
      </c>
      <c r="E71" t="inlineStr">
        <is>
          <t>MAT-ALU-KHUNG-BD</t>
        </is>
      </c>
      <c r="F71" t="inlineStr">
        <is>
          <t>kg</t>
        </is>
      </c>
      <c r="G71" s="394" t="n">
        <v>0.294</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Dài cắt 1.47m @ 0.2kg/m</t>
        </is>
      </c>
    </row>
    <row r="72">
      <c r="A72" t="inlineStr">
        <is>
          <t>SW-DIFF-131-BLADE</t>
        </is>
      </c>
      <c r="B72" t="inlineStr">
        <is>
          <t>SW-DIFF-131</t>
        </is>
      </c>
      <c r="C72" t="inlineStr">
        <is>
          <t>Nan nhôm định hình (BD)</t>
        </is>
      </c>
      <c r="D72" t="inlineStr">
        <is>
          <t>NHÔM_ĐỊNH_HÌNH</t>
        </is>
      </c>
      <c r="E72" t="inlineStr">
        <is>
          <t>MAT-ALU-NAN-BD</t>
        </is>
      </c>
      <c r="F72" t="inlineStr">
        <is>
          <t>kg</t>
        </is>
      </c>
      <c r="G72" s="394" t="n">
        <v>0.238728</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8 nan dài 4.12m @ 0.058kg/m</t>
        </is>
      </c>
    </row>
    <row r="73">
      <c r="A73" t="inlineStr">
        <is>
          <t>SW-DIFF-131-ACCESSORY</t>
        </is>
      </c>
      <c r="B73" t="inlineStr">
        <is>
          <t>SW-DIFF-131</t>
        </is>
      </c>
      <c r="C73" t="inlineStr">
        <is>
          <t>Phụ kiện lắp ghép / Ke góc cửa gió</t>
        </is>
      </c>
      <c r="D73" t="inlineStr">
        <is>
          <t>PHỤ_KIỆN_CỬA</t>
        </is>
      </c>
      <c r="E73" t="inlineStr">
        <is>
          <t>MAT-DOOR-ACCESSORY</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4 ke góc chìm và vít ghép khung</t>
        </is>
      </c>
    </row>
    <row r="74">
      <c r="A74" t="inlineStr">
        <is>
          <t>SW-DIFF-131-PAINT</t>
        </is>
      </c>
      <c r="B74" t="inlineStr">
        <is>
          <t>SW-DIFF-131</t>
        </is>
      </c>
      <c r="C74" t="inlineStr">
        <is>
          <t>Sơn tĩnh điện tiêu chuẩn Polyester</t>
        </is>
      </c>
      <c r="D74" t="inlineStr">
        <is>
          <t>SƠN_TĨNH_ĐIỆN</t>
        </is>
      </c>
      <c r="E74" t="inlineStr">
        <is>
          <t>MAT-PAINT-POWDER</t>
        </is>
      </c>
      <c r="F74" t="inlineStr">
        <is>
          <t>m2</t>
        </is>
      </c>
      <c r="G74" s="394" t="n">
        <v>0.15</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Diện tích phủ sơn 0.150m2</t>
        </is>
      </c>
    </row>
    <row r="75">
      <c r="A75" t="inlineStr">
        <is>
          <t>SW-DIFF-132-FRAME</t>
        </is>
      </c>
      <c r="B75" t="inlineStr">
        <is>
          <t>SW-DIFF-132</t>
        </is>
      </c>
      <c r="C75" t="inlineStr">
        <is>
          <t>Khung nhôm định hình (BD)</t>
        </is>
      </c>
      <c r="D75" t="inlineStr">
        <is>
          <t>NHÔM_ĐỊNH_HÌNH</t>
        </is>
      </c>
      <c r="E75" t="inlineStr">
        <is>
          <t>MAT-ALU-KHUNG-BD</t>
        </is>
      </c>
      <c r="F75" t="inlineStr">
        <is>
          <t>kg</t>
        </is>
      </c>
      <c r="G75" s="394" t="n">
        <v>0.9240000000000003</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Dài cắt 4.62m @ 0.2kg/m</t>
        </is>
      </c>
    </row>
    <row r="76">
      <c r="A76" t="inlineStr">
        <is>
          <t>SW-DIFF-132-BLADE</t>
        </is>
      </c>
      <c r="B76" t="inlineStr">
        <is>
          <t>SW-DIFF-132</t>
        </is>
      </c>
      <c r="C76" t="inlineStr">
        <is>
          <t>Nan nhôm định hình (BD)</t>
        </is>
      </c>
      <c r="D76" t="inlineStr">
        <is>
          <t>NHÔM_ĐỊNH_HÌNH</t>
        </is>
      </c>
      <c r="E76" t="inlineStr">
        <is>
          <t>MAT-ALU-NAN-BD</t>
        </is>
      </c>
      <c r="F76" t="inlineStr">
        <is>
          <t>kg</t>
        </is>
      </c>
      <c r="G76" s="394" t="n">
        <v>2.708832</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32 nan dài 46.70m @ 0.058kg/m</t>
        </is>
      </c>
    </row>
    <row r="77">
      <c r="A77" t="inlineStr">
        <is>
          <t>SW-DIFF-132-ACCESSORY</t>
        </is>
      </c>
      <c r="B77" t="inlineStr">
        <is>
          <t>SW-DIFF-132</t>
        </is>
      </c>
      <c r="C77" t="inlineStr">
        <is>
          <t>Phụ kiện lắp ghép / Ke góc cửa gió</t>
        </is>
      </c>
      <c r="D77" t="inlineStr">
        <is>
          <t>PHỤ_KIỆN_CỬA</t>
        </is>
      </c>
      <c r="E77" t="inlineStr">
        <is>
          <t>MAT-DOOR-ACCESSORY</t>
        </is>
      </c>
      <c r="F77" t="inlineStr">
        <is>
          <t>Bộ</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4 ke góc chìm và vít ghép khung</t>
        </is>
      </c>
    </row>
    <row r="78">
      <c r="A78" t="inlineStr">
        <is>
          <t>SW-DIFF-132-PAINT</t>
        </is>
      </c>
      <c r="B78" t="inlineStr">
        <is>
          <t>SW-DIFF-132</t>
        </is>
      </c>
      <c r="C78" t="inlineStr">
        <is>
          <t>Sơn tĩnh điện tiêu chuẩn Polyester</t>
        </is>
      </c>
      <c r="D78" t="inlineStr">
        <is>
          <t>SƠN_TĨNH_ĐIỆN</t>
        </is>
      </c>
      <c r="E78" t="inlineStr">
        <is>
          <t>MAT-PAINT-POWDER</t>
        </is>
      </c>
      <c r="F78" t="inlineStr">
        <is>
          <t>m2</t>
        </is>
      </c>
      <c r="G78" s="394" t="n">
        <v>1.68</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Diện tích phủ sơn 1.680m2</t>
        </is>
      </c>
    </row>
    <row r="79">
      <c r="A79" t="inlineStr">
        <is>
          <t>SW-DIFF-133-FRAME</t>
        </is>
      </c>
      <c r="B79" t="inlineStr">
        <is>
          <t>SW-DIFF-133</t>
        </is>
      </c>
      <c r="C79" t="inlineStr">
        <is>
          <t>Khung nhôm định hình (BD)</t>
        </is>
      </c>
      <c r="D79" t="inlineStr">
        <is>
          <t>NHÔM_ĐỊNH_HÌNH</t>
        </is>
      </c>
      <c r="E79" t="inlineStr">
        <is>
          <t>MAT-ALU-KHUNG-BD</t>
        </is>
      </c>
      <c r="F79" t="inlineStr">
        <is>
          <t>kg</t>
        </is>
      </c>
      <c r="G79" s="394" t="n">
        <v>0.525</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Dài cắt 2.62m @ 0.2kg/m</t>
        </is>
      </c>
    </row>
    <row r="80">
      <c r="A80" t="inlineStr">
        <is>
          <t>SW-DIFF-133-BLADE</t>
        </is>
      </c>
      <c r="B80" t="inlineStr">
        <is>
          <t>SW-DIFF-133</t>
        </is>
      </c>
      <c r="C80" t="inlineStr">
        <is>
          <t>Nan nhôm định hình (BD)</t>
        </is>
      </c>
      <c r="D80" t="inlineStr">
        <is>
          <t>NHÔM_ĐỊNH_HÌNH</t>
        </is>
      </c>
      <c r="E80" t="inlineStr">
        <is>
          <t>MAT-ALU-NAN-BD</t>
        </is>
      </c>
      <c r="F80" t="inlineStr">
        <is>
          <t>kg</t>
        </is>
      </c>
      <c r="G80" s="394" t="n">
        <v>0.7588140000000001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14 nan dài 13.08m @ 0.058kg/m</t>
        </is>
      </c>
    </row>
    <row r="81">
      <c r="A81" t="inlineStr">
        <is>
          <t>SW-DIFF-133-ACCESSORY</t>
        </is>
      </c>
      <c r="B81" t="inlineStr">
        <is>
          <t>SW-DIFF-133</t>
        </is>
      </c>
      <c r="C81" t="inlineStr">
        <is>
          <t>Phụ kiện lắp ghép / Ke góc cửa gió</t>
        </is>
      </c>
      <c r="D81" t="inlineStr">
        <is>
          <t>PHỤ_KIỆN_CỬA</t>
        </is>
      </c>
      <c r="E81" t="inlineStr">
        <is>
          <t>MAT-DOOR-ACCESSORY</t>
        </is>
      </c>
      <c r="F81" t="inlineStr">
        <is>
          <t>Bộ</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4 ke góc chìm và vít ghép khung</t>
        </is>
      </c>
    </row>
    <row r="82">
      <c r="A82" t="inlineStr">
        <is>
          <t>SW-DIFF-133-PAINT</t>
        </is>
      </c>
      <c r="B82" t="inlineStr">
        <is>
          <t>SW-DIFF-133</t>
        </is>
      </c>
      <c r="C82" t="inlineStr">
        <is>
          <t>Sơn tĩnh điện tiêu chuẩn Polyester</t>
        </is>
      </c>
      <c r="D82" t="inlineStr">
        <is>
          <t>SƠN_TĨNH_ĐIỆN</t>
        </is>
      </c>
      <c r="E82" t="inlineStr">
        <is>
          <t>MAT-PAINT-POWDER</t>
        </is>
      </c>
      <c r="F82" t="inlineStr">
        <is>
          <t>m2</t>
        </is>
      </c>
      <c r="G82" s="394" t="n">
        <v>0.4725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Diện tích phủ sơn 0.473m2</t>
        </is>
      </c>
    </row>
    <row r="83">
      <c r="A83" t="inlineStr">
        <is>
          <t>SW-DIFF-134-FRAME</t>
        </is>
      </c>
      <c r="B83" t="inlineStr">
        <is>
          <t>SW-DIFF-134</t>
        </is>
      </c>
      <c r="C83" t="inlineStr">
        <is>
          <t>Khung nhôm định hình (BD)</t>
        </is>
      </c>
      <c r="D83" t="inlineStr">
        <is>
          <t>NHÔM_ĐỊNH_HÌNH</t>
        </is>
      </c>
      <c r="E83" t="inlineStr">
        <is>
          <t>MAT-ALU-KHUNG-BD</t>
        </is>
      </c>
      <c r="F83" t="inlineStr">
        <is>
          <t>kg</t>
        </is>
      </c>
      <c r="G83" s="394" t="n">
        <v>0.399</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Dài cắt 1.99m @ 0.2kg/m</t>
        </is>
      </c>
    </row>
    <row r="84">
      <c r="A84" t="inlineStr">
        <is>
          <t>SW-DIFF-134-BLADE</t>
        </is>
      </c>
      <c r="B84" t="inlineStr">
        <is>
          <t>SW-DIFF-134</t>
        </is>
      </c>
      <c r="C84" t="inlineStr">
        <is>
          <t>Nan nhôm định hình (BD)</t>
        </is>
      </c>
      <c r="D84" t="inlineStr">
        <is>
          <t>NHÔM_ĐỊNH_HÌNH</t>
        </is>
      </c>
      <c r="E84" t="inlineStr">
        <is>
          <t>MAT-ALU-NAN-BD</t>
        </is>
      </c>
      <c r="F84" t="inlineStr">
        <is>
          <t>kg</t>
        </is>
      </c>
      <c r="G84" s="394" t="n">
        <v>0.4969440000000001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24 nan dài 8.57m @ 0.058kg/m</t>
        </is>
      </c>
    </row>
    <row r="85">
      <c r="A85" t="inlineStr">
        <is>
          <t>SW-DIFF-134-ACCESSORY</t>
        </is>
      </c>
      <c r="B85" t="inlineStr">
        <is>
          <t>SW-DIFF-134</t>
        </is>
      </c>
      <c r="C85" t="inlineStr">
        <is>
          <t>Phụ kiện lắp ghép / Ke góc cửa gió</t>
        </is>
      </c>
      <c r="D85" t="inlineStr">
        <is>
          <t>PHỤ_KIỆN_CỬA</t>
        </is>
      </c>
      <c r="E85" t="inlineStr">
        <is>
          <t>MAT-DOOR-ACCESSORY</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4 ke góc chìm và vít ghép khung</t>
        </is>
      </c>
    </row>
    <row r="86">
      <c r="A86" t="inlineStr">
        <is>
          <t>SW-DIFF-134-PAINT</t>
        </is>
      </c>
      <c r="B86" t="inlineStr">
        <is>
          <t>SW-DIFF-134</t>
        </is>
      </c>
      <c r="C86" t="inlineStr">
        <is>
          <t>Sơn tĩnh điện tiêu chuẩn Polyester</t>
        </is>
      </c>
      <c r="D86" t="inlineStr">
        <is>
          <t>SƠN_TĨNH_ĐIỆN</t>
        </is>
      </c>
      <c r="E86" t="inlineStr">
        <is>
          <t>MAT-PAINT-POWDER</t>
        </is>
      </c>
      <c r="F86" t="inlineStr">
        <is>
          <t>m2</t>
        </is>
      </c>
      <c r="G86" s="394" t="n">
        <v>0.315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Diện tích phủ sơn 0.315m2</t>
        </is>
      </c>
    </row>
    <row r="87">
      <c r="A87" t="inlineStr">
        <is>
          <t>SW-DIFF-135-FRAME</t>
        </is>
      </c>
      <c r="B87" t="inlineStr">
        <is>
          <t>SW-DIFF-135</t>
        </is>
      </c>
      <c r="C87" t="inlineStr">
        <is>
          <t>Khung nhôm định hình (BD)</t>
        </is>
      </c>
      <c r="D87" t="inlineStr">
        <is>
          <t>NHÔM_ĐỊNH_HÌNH</t>
        </is>
      </c>
      <c r="E87" t="inlineStr">
        <is>
          <t>MAT-ALU-KHUNG-BD</t>
        </is>
      </c>
      <c r="F87" t="inlineStr">
        <is>
          <t>kg</t>
        </is>
      </c>
      <c r="G87" s="394" t="n">
        <v>0.504</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Dài cắt 2.52m @ 0.2kg/m</t>
        </is>
      </c>
    </row>
    <row r="88">
      <c r="A88" t="inlineStr">
        <is>
          <t>SW-DIFF-135-BLADE</t>
        </is>
      </c>
      <c r="B88" t="inlineStr">
        <is>
          <t>SW-DIFF-135</t>
        </is>
      </c>
      <c r="C88" t="inlineStr">
        <is>
          <t>Nan nhôm định hình (BD)</t>
        </is>
      </c>
      <c r="D88" t="inlineStr">
        <is>
          <t>NHÔM_ĐỊNH_HÌNH</t>
        </is>
      </c>
      <c r="E88" t="inlineStr">
        <is>
          <t>MAT-ALU-NAN-BD</t>
        </is>
      </c>
      <c r="F88" t="inlineStr">
        <is>
          <t>kg</t>
        </is>
      </c>
      <c r="G88" s="394" t="n">
        <v>0.7697760000000001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16 nan dài 13.27m @ 0.058kg/m</t>
        </is>
      </c>
    </row>
    <row r="89">
      <c r="A89" t="inlineStr">
        <is>
          <t>SW-DIFF-135-ACCESSORY</t>
        </is>
      </c>
      <c r="B89" t="inlineStr">
        <is>
          <t>SW-DIFF-135</t>
        </is>
      </c>
      <c r="C89" t="inlineStr">
        <is>
          <t>Phụ kiện lắp ghép / Ke góc cửa gió</t>
        </is>
      </c>
      <c r="D89" t="inlineStr">
        <is>
          <t>PHỤ_KIỆN_CỬA</t>
        </is>
      </c>
      <c r="E89" t="inlineStr">
        <is>
          <t>MAT-DOOR-ACCESSORY</t>
        </is>
      </c>
      <c r="F89" t="inlineStr">
        <is>
          <t>Bộ</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4 ke góc chìm và vít ghép khung</t>
        </is>
      </c>
    </row>
    <row r="90">
      <c r="A90" t="inlineStr">
        <is>
          <t>SW-DIFF-135-PAINT</t>
        </is>
      </c>
      <c r="B90" t="inlineStr">
        <is>
          <t>SW-DIFF-135</t>
        </is>
      </c>
      <c r="C90" t="inlineStr">
        <is>
          <t>Sơn tĩnh điện tiêu chuẩn Polyester</t>
        </is>
      </c>
      <c r="D90" t="inlineStr">
        <is>
          <t>SƠN_TĨNH_ĐIỆN</t>
        </is>
      </c>
      <c r="E90" t="inlineStr">
        <is>
          <t>MAT-PAINT-POWDER</t>
        </is>
      </c>
      <c r="F90" t="inlineStr">
        <is>
          <t>m2</t>
        </is>
      </c>
      <c r="G90" s="394" t="n">
        <v>0.48</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Diện tích phủ sơn 0.480m2</t>
        </is>
      </c>
    </row>
    <row r="91">
      <c r="A91" t="inlineStr">
        <is>
          <t>SW-DIFF-136-FRAME</t>
        </is>
      </c>
      <c r="B91" t="inlineStr">
        <is>
          <t>SW-DIFF-136</t>
        </is>
      </c>
      <c r="C91" t="inlineStr">
        <is>
          <t>Khung nhôm định hình (BD)</t>
        </is>
      </c>
      <c r="D91" t="inlineStr">
        <is>
          <t>NHÔM_ĐỊNH_HÌNH</t>
        </is>
      </c>
      <c r="E91" t="inlineStr">
        <is>
          <t>MAT-ALU-KHUNG-BD</t>
        </is>
      </c>
      <c r="F91" t="inlineStr">
        <is>
          <t>kg</t>
        </is>
      </c>
      <c r="G91" s="394" t="n">
        <v>0.4620000000000001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Dài cắt 2.31m @ 0.2kg/m</t>
        </is>
      </c>
    </row>
    <row r="92">
      <c r="A92" t="inlineStr">
        <is>
          <t>SW-DIFF-136-BLADE</t>
        </is>
      </c>
      <c r="B92" t="inlineStr">
        <is>
          <t>SW-DIFF-136</t>
        </is>
      </c>
      <c r="C92" t="inlineStr">
        <is>
          <t>Nan nhôm định hình (BD)</t>
        </is>
      </c>
      <c r="D92" t="inlineStr">
        <is>
          <t>NHÔM_ĐỊNH_HÌNH</t>
        </is>
      </c>
      <c r="E92" t="inlineStr">
        <is>
          <t>MAT-ALU-NAN-BD</t>
        </is>
      </c>
      <c r="F92" t="inlineStr">
        <is>
          <t>kg</t>
        </is>
      </c>
      <c r="G92" s="394" t="n">
        <v>0.6723359999999999</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16 nan dài 11.59m @ 0.058kg/m</t>
        </is>
      </c>
    </row>
    <row r="93">
      <c r="A93" t="inlineStr">
        <is>
          <t>SW-DIFF-136-ACCESSORY</t>
        </is>
      </c>
      <c r="B93" t="inlineStr">
        <is>
          <t>SW-DIFF-136</t>
        </is>
      </c>
      <c r="C93" t="inlineStr">
        <is>
          <t>Phụ kiện lắp ghép / Ke góc cửa gió</t>
        </is>
      </c>
      <c r="D93" t="inlineStr">
        <is>
          <t>PHỤ_KIỆN_CỬA</t>
        </is>
      </c>
      <c r="E93" t="inlineStr">
        <is>
          <t>MAT-DOOR-ACCESSORY</t>
        </is>
      </c>
      <c r="F93" t="inlineStr">
        <is>
          <t>Bộ</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4 ke góc chìm và vít ghép khung</t>
        </is>
      </c>
    </row>
    <row r="94">
      <c r="A94" t="inlineStr">
        <is>
          <t>SW-DIFF-136-PAINT</t>
        </is>
      </c>
      <c r="B94" t="inlineStr">
        <is>
          <t>SW-DIFF-136</t>
        </is>
      </c>
      <c r="C94" t="inlineStr">
        <is>
          <t>Sơn tĩnh điện tiêu chuẩn Polyester</t>
        </is>
      </c>
      <c r="D94" t="inlineStr">
        <is>
          <t>SƠN_TĨNH_ĐIỆN</t>
        </is>
      </c>
      <c r="E94" t="inlineStr">
        <is>
          <t>MAT-PAINT-POWDER</t>
        </is>
      </c>
      <c r="F94" t="inlineStr">
        <is>
          <t>m2</t>
        </is>
      </c>
      <c r="G94" s="394" t="n">
        <v>0.42</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Diện tích phủ sơn 0.420m2</t>
        </is>
      </c>
    </row>
    <row r="95">
      <c r="A95" t="inlineStr">
        <is>
          <t>SW-DIFF-137-FRAME</t>
        </is>
      </c>
      <c r="B95" t="inlineStr">
        <is>
          <t>SW-DIFF-137</t>
        </is>
      </c>
      <c r="C95" t="inlineStr">
        <is>
          <t>Khung nhôm định hình (Z)</t>
        </is>
      </c>
      <c r="D95" t="inlineStr">
        <is>
          <t>NHÔM_ĐỊNH_HÌNH</t>
        </is>
      </c>
      <c r="E95" t="inlineStr">
        <is>
          <t>MAT-ALU-KHUNG-Z-2-LOP</t>
        </is>
      </c>
      <c r="F95" t="inlineStr">
        <is>
          <t>kg</t>
        </is>
      </c>
      <c r="G95" s="394" t="n">
        <v>1.072575</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Dài cắt 4.73m @ 0.227kg/m</t>
        </is>
      </c>
    </row>
    <row r="96">
      <c r="A96" t="inlineStr">
        <is>
          <t>SW-DIFF-137-BLADE</t>
        </is>
      </c>
      <c r="B96" t="inlineStr">
        <is>
          <t>SW-DIFF-137</t>
        </is>
      </c>
      <c r="C96" t="inlineStr">
        <is>
          <t>Nan nhôm định hình (Z)</t>
        </is>
      </c>
      <c r="D96" t="inlineStr">
        <is>
          <t>NHÔM_ĐỊNH_HÌNH</t>
        </is>
      </c>
      <c r="E96" t="inlineStr">
        <is>
          <t>MAT-ALU-NAN-Z-DAY</t>
        </is>
      </c>
      <c r="F96" t="inlineStr">
        <is>
          <t>kg</t>
        </is>
      </c>
      <c r="G96" s="394" t="n">
        <v>5.153967000000001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13 nan dài 23.75m @ 0.217kg/m</t>
        </is>
      </c>
    </row>
    <row r="97">
      <c r="A97" t="inlineStr">
        <is>
          <t>SW-DIFF-137-ACCESSORY</t>
        </is>
      </c>
      <c r="B97" t="inlineStr">
        <is>
          <t>SW-DIFF-137</t>
        </is>
      </c>
      <c r="C97" t="inlineStr">
        <is>
          <t>Phụ kiện lắp ghép / Ke góc cửa gió</t>
        </is>
      </c>
      <c r="D97" t="inlineStr">
        <is>
          <t>PHỤ_KIỆN_CỬA</t>
        </is>
      </c>
      <c r="E97" t="inlineStr">
        <is>
          <t>MAT-DOOR-ACCESSORY</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4 ke góc chìm và vít ghép khung</t>
        </is>
      </c>
    </row>
    <row r="98">
      <c r="A98" t="inlineStr">
        <is>
          <t>SW-DIFF-137-PAINT</t>
        </is>
      </c>
      <c r="B98" t="inlineStr">
        <is>
          <t>SW-DIFF-137</t>
        </is>
      </c>
      <c r="C98" t="inlineStr">
        <is>
          <t>Sơn tĩnh điện tiêu chuẩn Polyester</t>
        </is>
      </c>
      <c r="D98" t="inlineStr">
        <is>
          <t>SƠN_TĨNH_ĐIỆN</t>
        </is>
      </c>
      <c r="E98" t="inlineStr">
        <is>
          <t>MAT-PAINT-POWDER</t>
        </is>
      </c>
      <c r="F98" t="inlineStr">
        <is>
          <t>m2</t>
        </is>
      </c>
      <c r="G98" s="394" t="n">
        <v>1.3125</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Diện tích phủ sơn 1.312m2</t>
        </is>
      </c>
    </row>
    <row r="99">
      <c r="A99" t="inlineStr">
        <is>
          <t>SW-DIFF-138-FRAME</t>
        </is>
      </c>
      <c r="B99" t="inlineStr">
        <is>
          <t>SW-DIFF-138</t>
        </is>
      </c>
      <c r="C99" t="inlineStr">
        <is>
          <t>Khung nhôm định hình (Z)</t>
        </is>
      </c>
      <c r="D99" t="inlineStr">
        <is>
          <t>NHÔM_ĐỊNH_HÌNH</t>
        </is>
      </c>
      <c r="E99" t="inlineStr">
        <is>
          <t>MAT-ALU-KHUNG-Z-2-LOP</t>
        </is>
      </c>
      <c r="F99" t="inlineStr">
        <is>
          <t>kg</t>
        </is>
      </c>
      <c r="G99" s="394" t="n">
        <v>1.19175</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Dài cắt 5.25m @ 0.227kg/m</t>
        </is>
      </c>
    </row>
    <row r="100">
      <c r="A100" t="inlineStr">
        <is>
          <t>SW-DIFF-138-BLADE</t>
        </is>
      </c>
      <c r="B100" t="inlineStr">
        <is>
          <t>SW-DIFF-138</t>
        </is>
      </c>
      <c r="C100" t="inlineStr">
        <is>
          <t>Nan nhôm định hình (Z)</t>
        </is>
      </c>
      <c r="D100" t="inlineStr">
        <is>
          <t>NHÔM_ĐỊNH_HÌNH</t>
        </is>
      </c>
      <c r="E100" t="inlineStr">
        <is>
          <t>MAT-ALU-NAN-Z-DAY</t>
        </is>
      </c>
      <c r="F100" t="inlineStr">
        <is>
          <t>kg</t>
        </is>
      </c>
      <c r="G100" s="394" t="n">
        <v>8.487412500000001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25 nan dài 39.11m @ 0.217kg/m</t>
        </is>
      </c>
    </row>
    <row r="101">
      <c r="A101" t="inlineStr">
        <is>
          <t>SW-DIFF-138-ACCESSORY</t>
        </is>
      </c>
      <c r="B101" t="inlineStr">
        <is>
          <t>SW-DIFF-138</t>
        </is>
      </c>
      <c r="C101" t="inlineStr">
        <is>
          <t>Phụ kiện lắp ghép / Ke góc cửa gió</t>
        </is>
      </c>
      <c r="D101" t="inlineStr">
        <is>
          <t>PHỤ_KIỆN_CỬA</t>
        </is>
      </c>
      <c r="E101" t="inlineStr">
        <is>
          <t>MAT-DOOR-ACCESSORY</t>
        </is>
      </c>
      <c r="F101" t="inlineStr">
        <is>
          <t>Bộ</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4 ke góc chìm và vít ghép khung</t>
        </is>
      </c>
    </row>
    <row r="102">
      <c r="A102" t="inlineStr">
        <is>
          <t>SW-DIFF-138-PAINT</t>
        </is>
      </c>
      <c r="B102" t="inlineStr">
        <is>
          <t>SW-DIFF-138</t>
        </is>
      </c>
      <c r="C102" t="inlineStr">
        <is>
          <t>Sơn tĩnh điện tiêu chuẩn Polyester</t>
        </is>
      </c>
      <c r="D102" t="inlineStr">
        <is>
          <t>SƠN_TĨNH_ĐIỆN</t>
        </is>
      </c>
      <c r="E102" t="inlineStr">
        <is>
          <t>MAT-PAINT-POWDER</t>
        </is>
      </c>
      <c r="F102" t="inlineStr">
        <is>
          <t>m2</t>
        </is>
      </c>
      <c r="G102" s="394" t="n">
        <v>2.25</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Diện tích phủ sơn 2.250m2</t>
        </is>
      </c>
    </row>
    <row r="103">
      <c r="A103" t="inlineStr">
        <is>
          <t>SW-DIFF-139-FRAME</t>
        </is>
      </c>
      <c r="B103" t="inlineStr">
        <is>
          <t>SW-DIFF-139</t>
        </is>
      </c>
      <c r="C103" t="inlineStr">
        <is>
          <t>Khung nhôm định hình (Z)</t>
        </is>
      </c>
      <c r="D103" t="inlineStr">
        <is>
          <t>NHÔM_ĐỊNH_HÌNH</t>
        </is>
      </c>
      <c r="E103" t="inlineStr">
        <is>
          <t>MAT-ALU-KHUNG-Z-2-LOP</t>
        </is>
      </c>
      <c r="F103" t="inlineStr">
        <is>
          <t>kg</t>
        </is>
      </c>
      <c r="G103" s="394" t="n">
        <v>2.14515</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Dài cắt 9.45m @ 0.227kg/m</t>
        </is>
      </c>
    </row>
    <row r="104">
      <c r="A104" t="inlineStr">
        <is>
          <t>SW-DIFF-139-BLADE</t>
        </is>
      </c>
      <c r="B104" t="inlineStr">
        <is>
          <t>SW-DIFF-139</t>
        </is>
      </c>
      <c r="C104" t="inlineStr">
        <is>
          <t>Nan nhôm định hình (Z)</t>
        </is>
      </c>
      <c r="D104" t="inlineStr">
        <is>
          <t>NHÔM_ĐỊNH_HÌNH</t>
        </is>
      </c>
      <c r="E104" t="inlineStr">
        <is>
          <t>MAT-ALU-NAN-Z-DAY</t>
        </is>
      </c>
      <c r="F104" t="inlineStr">
        <is>
          <t>kg</t>
        </is>
      </c>
      <c r="G104" s="394" t="n">
        <v>19.8799125</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25 nan dài 91.61m @ 0.217kg/m</t>
        </is>
      </c>
    </row>
    <row r="105">
      <c r="A105" t="inlineStr">
        <is>
          <t>SW-DIFF-139-ACCESSORY</t>
        </is>
      </c>
      <c r="B105" t="inlineStr">
        <is>
          <t>SW-DIFF-139</t>
        </is>
      </c>
      <c r="C105" t="inlineStr">
        <is>
          <t>Phụ kiện lắp ghép / Ke góc cửa gió</t>
        </is>
      </c>
      <c r="D105" t="inlineStr">
        <is>
          <t>PHỤ_KIỆN_CỬA</t>
        </is>
      </c>
      <c r="E105" t="inlineStr">
        <is>
          <t>MAT-DOOR-ACCESSORY</t>
        </is>
      </c>
      <c r="F105" t="inlineStr">
        <is>
          <t>Bộ</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4 ke góc chìm và vít ghép khung</t>
        </is>
      </c>
    </row>
    <row r="106">
      <c r="A106" t="inlineStr">
        <is>
          <t>SW-DIFF-139-PAINT</t>
        </is>
      </c>
      <c r="B106" t="inlineStr">
        <is>
          <t>SW-DIFF-139</t>
        </is>
      </c>
      <c r="C106" t="inlineStr">
        <is>
          <t>Sơn tĩnh điện tiêu chuẩn Polyester</t>
        </is>
      </c>
      <c r="D106" t="inlineStr">
        <is>
          <t>SƠN_TĨNH_ĐIỆN</t>
        </is>
      </c>
      <c r="E106" t="inlineStr">
        <is>
          <t>MAT-PAINT-POWDER</t>
        </is>
      </c>
      <c r="F106" t="inlineStr">
        <is>
          <t>m2</t>
        </is>
      </c>
      <c r="G106" s="394" t="n">
        <v>5.25</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Diện tích phủ sơn 5.250m2</t>
        </is>
      </c>
    </row>
    <row r="107">
      <c r="A107" t="inlineStr">
        <is>
          <t>SW-TRD-145-LƯỚI</t>
        </is>
      </c>
      <c r="B107" t="inlineStr">
        <is>
          <t>SW-TRD-145</t>
        </is>
      </c>
      <c r="C107" t="inlineStr">
        <is>
          <t>Lưới bảo vệ -</t>
        </is>
      </c>
      <c r="D107" t="inlineStr">
        <is>
          <t>THUONG_MAI</t>
        </is>
      </c>
      <c r="E107" t="inlineStr">
        <is>
          <t>MAT-LUOI-HE_THONG_ONG_THONG_G_6A5C</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Phụ kiện bóc tách động (Rule-based)</t>
        </is>
      </c>
    </row>
    <row r="108">
      <c r="A108" t="inlineStr">
        <is>
          <t>SW-DIFF-237-FRAME</t>
        </is>
      </c>
      <c r="B108" t="inlineStr">
        <is>
          <t>SW-DIFF-237</t>
        </is>
      </c>
      <c r="C108" t="inlineStr">
        <is>
          <t>Khung nhôm định hình (BD)</t>
        </is>
      </c>
      <c r="D108" t="inlineStr">
        <is>
          <t>NHÔM_ĐỊNH_HÌNH</t>
        </is>
      </c>
      <c r="E108" t="inlineStr">
        <is>
          <t>MAT-ALU-KHUNG-BD</t>
        </is>
      </c>
      <c r="F108" t="inlineStr">
        <is>
          <t>kg</t>
        </is>
      </c>
      <c r="G108" s="394" t="n">
        <v>0.6720000000000002</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Dài cắt 3.36m @ 0.2kg/m</t>
        </is>
      </c>
    </row>
    <row r="109">
      <c r="A109" t="inlineStr">
        <is>
          <t>SW-DIFF-237-BLADE</t>
        </is>
      </c>
      <c r="B109" t="inlineStr">
        <is>
          <t>SW-DIFF-237</t>
        </is>
      </c>
      <c r="C109" t="inlineStr">
        <is>
          <t>Nan nhôm định hình (BD)</t>
        </is>
      </c>
      <c r="D109" t="inlineStr">
        <is>
          <t>NHÔM_ĐỊNH_HÌNH</t>
        </is>
      </c>
      <c r="E109" t="inlineStr">
        <is>
          <t>MAT-ALU-NAN-BD</t>
        </is>
      </c>
      <c r="F109" t="inlineStr">
        <is>
          <t>kg</t>
        </is>
      </c>
      <c r="G109" s="394" t="n">
        <v>1.446984</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24 nan dài 24.95m @ 0.058kg/m</t>
        </is>
      </c>
    </row>
    <row r="110">
      <c r="A110" t="inlineStr">
        <is>
          <t>SW-DIFF-237-ACCESSORY</t>
        </is>
      </c>
      <c r="B110" t="inlineStr">
        <is>
          <t>SW-DIFF-237</t>
        </is>
      </c>
      <c r="C110" t="inlineStr">
        <is>
          <t>Phụ kiện lắp ghép / Ke góc cửa gió</t>
        </is>
      </c>
      <c r="D110" t="inlineStr">
        <is>
          <t>PHỤ_KIỆN_CỬA</t>
        </is>
      </c>
      <c r="E110" t="inlineStr">
        <is>
          <t>MAT-DOOR-ACCESSORY</t>
        </is>
      </c>
      <c r="F110" t="inlineStr">
        <is>
          <t>Bộ</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4 ke góc chìm và vít ghép khung</t>
        </is>
      </c>
    </row>
    <row r="111">
      <c r="A111" t="inlineStr">
        <is>
          <t>SW-DIFF-237-PAINT</t>
        </is>
      </c>
      <c r="B111" t="inlineStr">
        <is>
          <t>SW-DIFF-237</t>
        </is>
      </c>
      <c r="C111" t="inlineStr">
        <is>
          <t>Sơn tĩnh điện tiêu chuẩn Polyester</t>
        </is>
      </c>
      <c r="D111" t="inlineStr">
        <is>
          <t>SƠN_TĨNH_ĐIỆN</t>
        </is>
      </c>
      <c r="E111" t="inlineStr">
        <is>
          <t>MAT-PAINT-POWDER</t>
        </is>
      </c>
      <c r="F111" t="inlineStr">
        <is>
          <t>m2</t>
        </is>
      </c>
      <c r="G111" s="394" t="n">
        <v>0.8999999999999999</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Diện tích phủ sơn 0.900m2</t>
        </is>
      </c>
    </row>
    <row r="112">
      <c r="A112" t="inlineStr">
        <is>
          <t>SW-DIFF-238-FRAME</t>
        </is>
      </c>
      <c r="B112" t="inlineStr">
        <is>
          <t>SW-DIFF-238</t>
        </is>
      </c>
      <c r="C112" t="inlineStr">
        <is>
          <t>Khung nhôm định hình (BD)</t>
        </is>
      </c>
      <c r="D112" t="inlineStr">
        <is>
          <t>NHÔM_ĐỊNH_HÌNH</t>
        </is>
      </c>
      <c r="E112" t="inlineStr">
        <is>
          <t>MAT-ALU-KHUNG-BD</t>
        </is>
      </c>
      <c r="F112" t="inlineStr">
        <is>
          <t>kg</t>
        </is>
      </c>
      <c r="G112" s="394" t="n">
        <v>0.7560000000000001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Dài cắt 3.78m @ 0.2kg/m</t>
        </is>
      </c>
    </row>
    <row r="113">
      <c r="A113" t="inlineStr">
        <is>
          <t>SW-DIFF-238-BLADE</t>
        </is>
      </c>
      <c r="B113" t="inlineStr">
        <is>
          <t>SW-DIFF-238</t>
        </is>
      </c>
      <c r="C113" t="inlineStr">
        <is>
          <t>Nan nhôm định hình (BD)</t>
        </is>
      </c>
      <c r="D113" t="inlineStr">
        <is>
          <t>NHÔM_ĐỊNH_HÌNH</t>
        </is>
      </c>
      <c r="E113" t="inlineStr">
        <is>
          <t>MAT-ALU-NAN-BD</t>
        </is>
      </c>
      <c r="F113" t="inlineStr">
        <is>
          <t>kg</t>
        </is>
      </c>
      <c r="G113" s="394" t="n">
        <v>1.739304</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24 nan dài 29.99m @ 0.058kg/m</t>
        </is>
      </c>
    </row>
    <row r="114">
      <c r="A114" t="inlineStr">
        <is>
          <t>SW-DIFF-238-ACCESSORY</t>
        </is>
      </c>
      <c r="B114" t="inlineStr">
        <is>
          <t>SW-DIFF-238</t>
        </is>
      </c>
      <c r="C114" t="inlineStr">
        <is>
          <t>Phụ kiện lắp ghép / Ke góc cửa gió</t>
        </is>
      </c>
      <c r="D114" t="inlineStr">
        <is>
          <t>PHỤ_KIỆN_CỬA</t>
        </is>
      </c>
      <c r="E114" t="inlineStr">
        <is>
          <t>MAT-DOOR-ACCESSORY</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4 ke góc chìm và vít ghép khung</t>
        </is>
      </c>
    </row>
    <row r="115">
      <c r="A115" t="inlineStr">
        <is>
          <t>SW-DIFF-238-PAINT</t>
        </is>
      </c>
      <c r="B115" t="inlineStr">
        <is>
          <t>SW-DIFF-238</t>
        </is>
      </c>
      <c r="C115" t="inlineStr">
        <is>
          <t>Sơn tĩnh điện tiêu chuẩn Polyester</t>
        </is>
      </c>
      <c r="D115" t="inlineStr">
        <is>
          <t>SƠN_TĨNH_ĐIỆN</t>
        </is>
      </c>
      <c r="E115" t="inlineStr">
        <is>
          <t>MAT-PAINT-POWDER</t>
        </is>
      </c>
      <c r="F115" t="inlineStr">
        <is>
          <t>m2</t>
        </is>
      </c>
      <c r="G115" s="394" t="n">
        <v>1.08</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Diện tích phủ sơn 1.080m2</t>
        </is>
      </c>
    </row>
    <row r="116">
      <c r="A116" t="inlineStr">
        <is>
          <t>SW-DIFF-239-FRAME</t>
        </is>
      </c>
      <c r="B116" t="inlineStr">
        <is>
          <t>SW-DIFF-239</t>
        </is>
      </c>
      <c r="C116" t="inlineStr">
        <is>
          <t>Khung nhôm định hình (BD)</t>
        </is>
      </c>
      <c r="D116" t="inlineStr">
        <is>
          <t>NHÔM_ĐỊNH_HÌNH</t>
        </is>
      </c>
      <c r="E116" t="inlineStr">
        <is>
          <t>MAT-ALU-KHUNG-BD</t>
        </is>
      </c>
      <c r="F116" t="inlineStr">
        <is>
          <t>kg</t>
        </is>
      </c>
      <c r="G116" s="394" t="n">
        <v>0.504</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Dài cắt 2.52m @ 0.2kg/m</t>
        </is>
      </c>
    </row>
    <row r="117">
      <c r="A117" t="inlineStr">
        <is>
          <t>SW-DIFF-239-BLADE</t>
        </is>
      </c>
      <c r="B117" t="inlineStr">
        <is>
          <t>SW-DIFF-239</t>
        </is>
      </c>
      <c r="C117" t="inlineStr">
        <is>
          <t>Nan nhôm định hình (BD)</t>
        </is>
      </c>
      <c r="D117" t="inlineStr">
        <is>
          <t>NHÔM_ĐỊNH_HÌNH</t>
        </is>
      </c>
      <c r="E117" t="inlineStr">
        <is>
          <t>MAT-ALU-NAN-BD</t>
        </is>
      </c>
      <c r="F117" t="inlineStr">
        <is>
          <t>kg</t>
        </is>
      </c>
      <c r="G117" s="394" t="n">
        <v>0.8623440000000001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24 nan dài 14.87m @ 0.058kg/m</t>
        </is>
      </c>
    </row>
    <row r="118">
      <c r="A118" t="inlineStr">
        <is>
          <t>SW-DIFF-239-ACCESSORY</t>
        </is>
      </c>
      <c r="B118" t="inlineStr">
        <is>
          <t>SW-DIFF-239</t>
        </is>
      </c>
      <c r="C118" t="inlineStr">
        <is>
          <t>Phụ kiện lắp ghép / Ke góc cửa gió</t>
        </is>
      </c>
      <c r="D118" t="inlineStr">
        <is>
          <t>PHỤ_KIỆN_CỬA</t>
        </is>
      </c>
      <c r="E118" t="inlineStr">
        <is>
          <t>MAT-DOOR-ACCESSORY</t>
        </is>
      </c>
      <c r="F118" t="inlineStr">
        <is>
          <t>Bộ</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4 ke góc chìm và vít ghép khung</t>
        </is>
      </c>
    </row>
    <row r="119">
      <c r="A119" t="inlineStr">
        <is>
          <t>SW-DIFF-239-PAINT</t>
        </is>
      </c>
      <c r="B119" t="inlineStr">
        <is>
          <t>SW-DIFF-239</t>
        </is>
      </c>
      <c r="C119" t="inlineStr">
        <is>
          <t>Sơn tĩnh điện tiêu chuẩn Polyester</t>
        </is>
      </c>
      <c r="D119" t="inlineStr">
        <is>
          <t>SƠN_TĨNH_ĐIỆN</t>
        </is>
      </c>
      <c r="E119" t="inlineStr">
        <is>
          <t>MAT-PAINT-POWDER</t>
        </is>
      </c>
      <c r="F119" t="inlineStr">
        <is>
          <t>m2</t>
        </is>
      </c>
      <c r="G119" s="394" t="n">
        <v>0.54</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Diện tích phủ sơn 0.540m2</t>
        </is>
      </c>
    </row>
    <row r="120">
      <c r="A120" t="inlineStr">
        <is>
          <t>SW-DIFF-240-FRAME</t>
        </is>
      </c>
      <c r="B120" t="inlineStr">
        <is>
          <t>SW-DIFF-240</t>
        </is>
      </c>
      <c r="C120" t="inlineStr">
        <is>
          <t>Khung nhôm định hình (BD)</t>
        </is>
      </c>
      <c r="D120" t="inlineStr">
        <is>
          <t>NHÔM_ĐỊNH_HÌNH</t>
        </is>
      </c>
      <c r="E120" t="inlineStr">
        <is>
          <t>MAT-ALU-KHUNG-BD</t>
        </is>
      </c>
      <c r="F120" t="inlineStr">
        <is>
          <t>kg</t>
        </is>
      </c>
      <c r="G120" s="394" t="n">
        <v>0.6300000000000001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Dài cắt 3.15m @ 0.2kg/m</t>
        </is>
      </c>
    </row>
    <row r="121">
      <c r="A121" t="inlineStr">
        <is>
          <t>SW-DIFF-240-BLADE</t>
        </is>
      </c>
      <c r="B121" t="inlineStr">
        <is>
          <t>SW-DIFF-240</t>
        </is>
      </c>
      <c r="C121" t="inlineStr">
        <is>
          <t>Nan nhôm định hình (BD)</t>
        </is>
      </c>
      <c r="D121" t="inlineStr">
        <is>
          <t>NHÔM_ĐỊNH_HÌNH</t>
        </is>
      </c>
      <c r="E121" t="inlineStr">
        <is>
          <t>MAT-ALU-NAN-BD</t>
        </is>
      </c>
      <c r="F121" t="inlineStr">
        <is>
          <t>kg</t>
        </is>
      </c>
      <c r="G121" s="394" t="n">
        <v>1.300824</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24 nan dài 22.43m @ 0.058kg/m</t>
        </is>
      </c>
    </row>
    <row r="122">
      <c r="A122" t="inlineStr">
        <is>
          <t>SW-DIFF-240-ACCESSORY</t>
        </is>
      </c>
      <c r="B122" t="inlineStr">
        <is>
          <t>SW-DIFF-240</t>
        </is>
      </c>
      <c r="C122" t="inlineStr">
        <is>
          <t>Phụ kiện lắp ghép / Ke góc cửa gió</t>
        </is>
      </c>
      <c r="D122" t="inlineStr">
        <is>
          <t>PHỤ_KIỆN_CỬA</t>
        </is>
      </c>
      <c r="E122" t="inlineStr">
        <is>
          <t>MAT-DOOR-ACCESSORY</t>
        </is>
      </c>
      <c r="F122" t="inlineStr">
        <is>
          <t>Bộ</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4 ke góc chìm và vít ghép khung</t>
        </is>
      </c>
    </row>
    <row r="123">
      <c r="A123" t="inlineStr">
        <is>
          <t>SW-DIFF-240-PAINT</t>
        </is>
      </c>
      <c r="B123" t="inlineStr">
        <is>
          <t>SW-DIFF-240</t>
        </is>
      </c>
      <c r="C123" t="inlineStr">
        <is>
          <t>Sơn tĩnh điện tiêu chuẩn Polyester</t>
        </is>
      </c>
      <c r="D123" t="inlineStr">
        <is>
          <t>SƠN_TĨNH_ĐIỆN</t>
        </is>
      </c>
      <c r="E123" t="inlineStr">
        <is>
          <t>MAT-PAINT-POWDER</t>
        </is>
      </c>
      <c r="F123" t="inlineStr">
        <is>
          <t>m2</t>
        </is>
      </c>
      <c r="G123" s="394" t="n">
        <v>0.8100000000000001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Diện tích phủ sơn 0.810m2</t>
        </is>
      </c>
    </row>
    <row r="124">
      <c r="A124" t="inlineStr">
        <is>
          <t>SW-DIFF-241-FRAME</t>
        </is>
      </c>
      <c r="B124" t="inlineStr">
        <is>
          <t>SW-DIFF-241</t>
        </is>
      </c>
      <c r="C124" t="inlineStr">
        <is>
          <t>Khung nhôm định hình (BD)</t>
        </is>
      </c>
      <c r="D124" t="inlineStr">
        <is>
          <t>NHÔM_ĐỊNH_HÌNH</t>
        </is>
      </c>
      <c r="E124" t="inlineStr">
        <is>
          <t>MAT-ALU-KHUNG-BD</t>
        </is>
      </c>
      <c r="F124" t="inlineStr">
        <is>
          <t>kg</t>
        </is>
      </c>
      <c r="G124" s="394" t="n">
        <v>0.714</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Dài cắt 3.57m @ 0.2kg/m</t>
        </is>
      </c>
    </row>
    <row r="125">
      <c r="A125" t="inlineStr">
        <is>
          <t>SW-DIFF-241-BLADE</t>
        </is>
      </c>
      <c r="B125" t="inlineStr">
        <is>
          <t>SW-DIFF-241</t>
        </is>
      </c>
      <c r="C125" t="inlineStr">
        <is>
          <t>Nan nhôm định hình (BD)</t>
        </is>
      </c>
      <c r="D125" t="inlineStr">
        <is>
          <t>NHÔM_ĐỊNH_HÌNH</t>
        </is>
      </c>
      <c r="E125" t="inlineStr">
        <is>
          <t>MAT-ALU-NAN-BD</t>
        </is>
      </c>
      <c r="F125" t="inlineStr">
        <is>
          <t>kg</t>
        </is>
      </c>
      <c r="G125" s="394" t="n">
        <v>1.739304</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34 nan dài 29.99m @ 0.058kg/m</t>
        </is>
      </c>
    </row>
    <row r="126">
      <c r="A126" t="inlineStr">
        <is>
          <t>SW-DIFF-241-ACCESSORY</t>
        </is>
      </c>
      <c r="B126" t="inlineStr">
        <is>
          <t>SW-DIFF-241</t>
        </is>
      </c>
      <c r="C126" t="inlineStr">
        <is>
          <t>Phụ kiện lắp ghép / Ke góc cửa gió</t>
        </is>
      </c>
      <c r="D126" t="inlineStr">
        <is>
          <t>PHỤ_KIỆN_CỬA</t>
        </is>
      </c>
      <c r="E126" t="inlineStr">
        <is>
          <t>MAT-DOOR-ACCESSORY</t>
        </is>
      </c>
      <c r="F126" t="inlineStr">
        <is>
          <t>Bộ</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4 ke góc chìm và vít ghép khung</t>
        </is>
      </c>
    </row>
    <row r="127">
      <c r="A127" t="inlineStr">
        <is>
          <t>SW-DIFF-241-PAINT</t>
        </is>
      </c>
      <c r="B127" t="inlineStr">
        <is>
          <t>SW-DIFF-241</t>
        </is>
      </c>
      <c r="C127" t="inlineStr">
        <is>
          <t>Sơn tĩnh điện tiêu chuẩn Polyester</t>
        </is>
      </c>
      <c r="D127" t="inlineStr">
        <is>
          <t>SƠN_TĨNH_ĐIỆN</t>
        </is>
      </c>
      <c r="E127" t="inlineStr">
        <is>
          <t>MAT-PAINT-POWDER</t>
        </is>
      </c>
      <c r="F127" t="inlineStr">
        <is>
          <t>m2</t>
        </is>
      </c>
      <c r="G127" s="394" t="n">
        <v>1.08375</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Diện tích phủ sơn 1.084m2</t>
        </is>
      </c>
    </row>
    <row r="128">
      <c r="A128" t="inlineStr">
        <is>
          <t>SW-DIFF-242-FRAME</t>
        </is>
      </c>
      <c r="B128" t="inlineStr">
        <is>
          <t>SW-DIFF-242</t>
        </is>
      </c>
      <c r="C128" t="inlineStr">
        <is>
          <t>Khung nhôm định hình (BD)</t>
        </is>
      </c>
      <c r="D128" t="inlineStr">
        <is>
          <t>NHÔM_ĐỊNH_HÌNH</t>
        </is>
      </c>
      <c r="E128" t="inlineStr">
        <is>
          <t>MAT-ALU-KHUNG-BD</t>
        </is>
      </c>
      <c r="F128" t="inlineStr">
        <is>
          <t>kg</t>
        </is>
      </c>
      <c r="G128" s="394" t="n">
        <v>0.7770000000000001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Dài cắt 3.89m @ 0.2kg/m</t>
        </is>
      </c>
    </row>
    <row r="129">
      <c r="A129" t="inlineStr">
        <is>
          <t>SW-DIFF-242-BLADE</t>
        </is>
      </c>
      <c r="B129" t="inlineStr">
        <is>
          <t>SW-DIFF-242</t>
        </is>
      </c>
      <c r="C129" t="inlineStr">
        <is>
          <t>Nan nhôm định hình (BD)</t>
        </is>
      </c>
      <c r="D129" t="inlineStr">
        <is>
          <t>NHÔM_ĐỊNH_HÌNH</t>
        </is>
      </c>
      <c r="E129" t="inlineStr">
        <is>
          <t>MAT-ALU-NAN-BD</t>
        </is>
      </c>
      <c r="F129" t="inlineStr">
        <is>
          <t>kg</t>
        </is>
      </c>
      <c r="G129" s="394" t="n">
        <v>2.026752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32 nan dài 34.94m @ 0.058kg/m</t>
        </is>
      </c>
    </row>
    <row r="130">
      <c r="A130" t="inlineStr">
        <is>
          <t>SW-DIFF-242-ACCESSORY</t>
        </is>
      </c>
      <c r="B130" t="inlineStr">
        <is>
          <t>SW-DIFF-242</t>
        </is>
      </c>
      <c r="C130" t="inlineStr">
        <is>
          <t>Phụ kiện lắp ghép / Ke góc cửa gió</t>
        </is>
      </c>
      <c r="D130" t="inlineStr">
        <is>
          <t>PHỤ_KIỆN_CỬA</t>
        </is>
      </c>
      <c r="E130" t="inlineStr">
        <is>
          <t>MAT-DOOR-ACCESSORY</t>
        </is>
      </c>
      <c r="F130" t="inlineStr">
        <is>
          <t>Bộ</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4 ke góc chìm và vít ghép khung</t>
        </is>
      </c>
    </row>
    <row r="131">
      <c r="A131" t="inlineStr">
        <is>
          <t>SW-DIFF-242-PAINT</t>
        </is>
      </c>
      <c r="B131" t="inlineStr">
        <is>
          <t>SW-DIFF-242</t>
        </is>
      </c>
      <c r="C131" t="inlineStr">
        <is>
          <t>Sơn tĩnh điện tiêu chuẩn Polyester</t>
        </is>
      </c>
      <c r="D131" t="inlineStr">
        <is>
          <t>SƠN_TĨNH_ĐIỆN</t>
        </is>
      </c>
      <c r="E131" t="inlineStr">
        <is>
          <t>MAT-PAINT-POWDER</t>
        </is>
      </c>
      <c r="F131" t="inlineStr">
        <is>
          <t>m2</t>
        </is>
      </c>
      <c r="G131" s="394" t="n">
        <v>1.26</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Diện tích phủ sơn 1.260m2</t>
        </is>
      </c>
    </row>
    <row r="132">
      <c r="A132" t="inlineStr">
        <is>
          <t>SW-DIFF-243-FRAME</t>
        </is>
      </c>
      <c r="B132" t="inlineStr">
        <is>
          <t>SW-DIFF-243</t>
        </is>
      </c>
      <c r="C132" t="inlineStr">
        <is>
          <t>Khung nhôm định hình (BD)</t>
        </is>
      </c>
      <c r="D132" t="inlineStr">
        <is>
          <t>NHÔM_ĐỊNH_HÌNH</t>
        </is>
      </c>
      <c r="E132" t="inlineStr">
        <is>
          <t>MAT-ALU-KHUNG-BD</t>
        </is>
      </c>
      <c r="F132" t="inlineStr">
        <is>
          <t>kg</t>
        </is>
      </c>
      <c r="G132" s="394" t="n">
        <v>0.714</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Dài cắt 3.57m @ 0.2kg/m</t>
        </is>
      </c>
    </row>
    <row r="133">
      <c r="A133" t="inlineStr">
        <is>
          <t>SW-DIFF-243-BLADE</t>
        </is>
      </c>
      <c r="B133" t="inlineStr">
        <is>
          <t>SW-DIFF-243</t>
        </is>
      </c>
      <c r="C133" t="inlineStr">
        <is>
          <t>Nan nhôm định hình (BD)</t>
        </is>
      </c>
      <c r="D133" t="inlineStr">
        <is>
          <t>NHÔM_ĐỊNH_HÌNH</t>
        </is>
      </c>
      <c r="E133" t="inlineStr">
        <is>
          <t>MAT-ALU-NAN-BD</t>
        </is>
      </c>
      <c r="F133" t="inlineStr">
        <is>
          <t>kg</t>
        </is>
      </c>
      <c r="G133" s="394" t="n">
        <v>1.739304</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34 nan dài 29.99m @ 0.058kg/m</t>
        </is>
      </c>
    </row>
    <row r="134">
      <c r="A134" t="inlineStr">
        <is>
          <t>SW-DIFF-243-ACCESSORY</t>
        </is>
      </c>
      <c r="B134" t="inlineStr">
        <is>
          <t>SW-DIFF-243</t>
        </is>
      </c>
      <c r="C134" t="inlineStr">
        <is>
          <t>Phụ kiện lắp ghép / Ke góc cửa gió</t>
        </is>
      </c>
      <c r="D134" t="inlineStr">
        <is>
          <t>PHỤ_KIỆN_CỬA</t>
        </is>
      </c>
      <c r="E134" t="inlineStr">
        <is>
          <t>MAT-DOOR-ACCESSORY</t>
        </is>
      </c>
      <c r="F134" t="inlineStr">
        <is>
          <t>Bộ</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4 ke góc chìm và vít ghép khung</t>
        </is>
      </c>
    </row>
    <row r="135">
      <c r="A135" t="inlineStr">
        <is>
          <t>SW-DIFF-243-PAINT</t>
        </is>
      </c>
      <c r="B135" t="inlineStr">
        <is>
          <t>SW-DIFF-243</t>
        </is>
      </c>
      <c r="C135" t="inlineStr">
        <is>
          <t>Sơn tĩnh điện tiêu chuẩn Polyester</t>
        </is>
      </c>
      <c r="D135" t="inlineStr">
        <is>
          <t>SƠN_TĨNH_ĐIỆN</t>
        </is>
      </c>
      <c r="E135" t="inlineStr">
        <is>
          <t>MAT-PAINT-POWDER</t>
        </is>
      </c>
      <c r="F135" t="inlineStr">
        <is>
          <t>m2</t>
        </is>
      </c>
      <c r="G135" s="394" t="n">
        <v>1.08375</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Diện tích phủ sơn 1.084m2</t>
        </is>
      </c>
    </row>
    <row r="136">
      <c r="A136" t="inlineStr">
        <is>
          <t>SW-DIFF-244-FRAME</t>
        </is>
      </c>
      <c r="B136" t="inlineStr">
        <is>
          <t>SW-DIFF-244</t>
        </is>
      </c>
      <c r="C136" t="inlineStr">
        <is>
          <t>Khung nhôm định hình (BD)</t>
        </is>
      </c>
      <c r="D136" t="inlineStr">
        <is>
          <t>NHÔM_ĐỊNH_HÌNH</t>
        </is>
      </c>
      <c r="E136" t="inlineStr">
        <is>
          <t>MAT-ALU-KHUNG-BD</t>
        </is>
      </c>
      <c r="F136" t="inlineStr">
        <is>
          <t>kg</t>
        </is>
      </c>
      <c r="G136" s="394" t="n">
        <v>0.714</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Dài cắt 3.57m @ 0.2kg/m</t>
        </is>
      </c>
    </row>
    <row r="137">
      <c r="A137" t="inlineStr">
        <is>
          <t>SW-DIFF-244-BLADE</t>
        </is>
      </c>
      <c r="B137" t="inlineStr">
        <is>
          <t>SW-DIFF-244</t>
        </is>
      </c>
      <c r="C137" t="inlineStr">
        <is>
          <t>Nan nhôm định hình (BD)</t>
        </is>
      </c>
      <c r="D137" t="inlineStr">
        <is>
          <t>NHÔM_ĐỊNH_HÌNH</t>
        </is>
      </c>
      <c r="E137" t="inlineStr">
        <is>
          <t>MAT-ALU-NAN-BD</t>
        </is>
      </c>
      <c r="F137" t="inlineStr">
        <is>
          <t>kg</t>
        </is>
      </c>
      <c r="G137" s="394" t="n">
        <v>1.739304</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34 nan dài 29.99m @ 0.058kg/m</t>
        </is>
      </c>
    </row>
    <row r="138">
      <c r="A138" t="inlineStr">
        <is>
          <t>SW-DIFF-244-ACCESSORY</t>
        </is>
      </c>
      <c r="B138" t="inlineStr">
        <is>
          <t>SW-DIFF-244</t>
        </is>
      </c>
      <c r="C138" t="inlineStr">
        <is>
          <t>Phụ kiện lắp ghép / Ke góc cửa gió</t>
        </is>
      </c>
      <c r="D138" t="inlineStr">
        <is>
          <t>PHỤ_KIỆN_CỬA</t>
        </is>
      </c>
      <c r="E138" t="inlineStr">
        <is>
          <t>MAT-DOOR-ACCESSORY</t>
        </is>
      </c>
      <c r="F138" t="inlineStr">
        <is>
          <t>Bộ</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4 ke góc chìm và vít ghép khung</t>
        </is>
      </c>
    </row>
    <row r="139">
      <c r="A139" t="inlineStr">
        <is>
          <t>SW-DIFF-244-PAINT</t>
        </is>
      </c>
      <c r="B139" t="inlineStr">
        <is>
          <t>SW-DIFF-244</t>
        </is>
      </c>
      <c r="C139" t="inlineStr">
        <is>
          <t>Sơn tĩnh điện tiêu chuẩn Polyester</t>
        </is>
      </c>
      <c r="D139" t="inlineStr">
        <is>
          <t>SƠN_TĨNH_ĐIỆN</t>
        </is>
      </c>
      <c r="E139" t="inlineStr">
        <is>
          <t>MAT-PAINT-POWDER</t>
        </is>
      </c>
      <c r="F139" t="inlineStr">
        <is>
          <t>m2</t>
        </is>
      </c>
      <c r="G139" s="394" t="n">
        <v>1.08375</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Diện tích phủ sơn 1.084m2</t>
        </is>
      </c>
    </row>
    <row r="140">
      <c r="A140" t="inlineStr">
        <is>
          <t>SW-DIFF-245-FRAME</t>
        </is>
      </c>
      <c r="B140" t="inlineStr">
        <is>
          <t>SW-DIFF-245</t>
        </is>
      </c>
      <c r="C140" t="inlineStr">
        <is>
          <t>Khung nhôm định hình (BD)</t>
        </is>
      </c>
      <c r="D140" t="inlineStr">
        <is>
          <t>NHÔM_ĐỊNH_HÌNH</t>
        </is>
      </c>
      <c r="E140" t="inlineStr">
        <is>
          <t>MAT-ALU-KHUNG-BD</t>
        </is>
      </c>
      <c r="F140" t="inlineStr">
        <is>
          <t>kg</t>
        </is>
      </c>
      <c r="G140" s="394" t="n">
        <v>0.21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Dài cắt 1.05m @ 0.2kg/m</t>
        </is>
      </c>
    </row>
    <row r="141">
      <c r="A141" t="inlineStr">
        <is>
          <t>SW-DIFF-245-BLADE</t>
        </is>
      </c>
      <c r="B141" t="inlineStr">
        <is>
          <t>SW-DIFF-245</t>
        </is>
      </c>
      <c r="C141" t="inlineStr">
        <is>
          <t>Nan nhôm định hình (BD)</t>
        </is>
      </c>
      <c r="D141" t="inlineStr">
        <is>
          <t>NHÔM_ĐỊNH_HÌNH</t>
        </is>
      </c>
      <c r="E141" t="inlineStr">
        <is>
          <t>MAT-ALU-NAN-BD</t>
        </is>
      </c>
      <c r="F141" t="inlineStr">
        <is>
          <t>kg</t>
        </is>
      </c>
      <c r="G141" s="394" t="n">
        <v>0.14616</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10 nan dài 2.52m @ 0.058kg/m</t>
        </is>
      </c>
    </row>
    <row r="142">
      <c r="A142" t="inlineStr">
        <is>
          <t>SW-DIFF-245-ACCESSORY</t>
        </is>
      </c>
      <c r="B142" t="inlineStr">
        <is>
          <t>SW-DIFF-245</t>
        </is>
      </c>
      <c r="C142" t="inlineStr">
        <is>
          <t>Phụ kiện lắp ghép / Ke góc cửa gió</t>
        </is>
      </c>
      <c r="D142" t="inlineStr">
        <is>
          <t>PHỤ_KIỆN_CỬA</t>
        </is>
      </c>
      <c r="E142" t="inlineStr">
        <is>
          <t>MAT-DOOR-ACCESSORY</t>
        </is>
      </c>
      <c r="F142" t="inlineStr">
        <is>
          <t>Bộ</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4 ke góc chìm và vít ghép khung</t>
        </is>
      </c>
    </row>
    <row r="143">
      <c r="A143" t="inlineStr">
        <is>
          <t>SW-DIFF-245-PAINT</t>
        </is>
      </c>
      <c r="B143" t="inlineStr">
        <is>
          <t>SW-DIFF-245</t>
        </is>
      </c>
      <c r="C143" t="inlineStr">
        <is>
          <t>Sơn tĩnh điện tiêu chuẩn Polyester</t>
        </is>
      </c>
      <c r="D143" t="inlineStr">
        <is>
          <t>SƠN_TĨNH_ĐIỆN</t>
        </is>
      </c>
      <c r="E143" t="inlineStr">
        <is>
          <t>MAT-PAINT-POWDER</t>
        </is>
      </c>
      <c r="F143" t="inlineStr">
        <is>
          <t>m2</t>
        </is>
      </c>
      <c r="G143" s="394" t="n">
        <v>0.09375</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Diện tích phủ sơn 0.094m2</t>
        </is>
      </c>
    </row>
    <row r="144">
      <c r="A144" t="inlineStr">
        <is>
          <t>SW-DIFF-246-FRAME</t>
        </is>
      </c>
      <c r="B144" t="inlineStr">
        <is>
          <t>SW-DIFF-246</t>
        </is>
      </c>
      <c r="C144" t="inlineStr">
        <is>
          <t>Khung nhôm định hình (BD)</t>
        </is>
      </c>
      <c r="D144" t="inlineStr">
        <is>
          <t>NHÔM_ĐỊNH_HÌNH</t>
        </is>
      </c>
      <c r="E144" t="inlineStr">
        <is>
          <t>MAT-ALU-KHUNG-BD</t>
        </is>
      </c>
      <c r="F144" t="inlineStr">
        <is>
          <t>kg</t>
        </is>
      </c>
      <c r="G144" s="394" t="n">
        <v>0.252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Dài cắt 1.26m @ 0.2kg/m</t>
        </is>
      </c>
    </row>
    <row r="145">
      <c r="A145" t="inlineStr">
        <is>
          <t>SW-DIFF-246-BLADE</t>
        </is>
      </c>
      <c r="B145" t="inlineStr">
        <is>
          <t>SW-DIFF-246</t>
        </is>
      </c>
      <c r="C145" t="inlineStr">
        <is>
          <t>Nan nhôm định hình (BD)</t>
        </is>
      </c>
      <c r="D145" t="inlineStr">
        <is>
          <t>NHÔM_ĐỊNH_HÌNH</t>
        </is>
      </c>
      <c r="E145" t="inlineStr">
        <is>
          <t>MAT-ALU-NAN-BD</t>
        </is>
      </c>
      <c r="F145" t="inlineStr">
        <is>
          <t>kg</t>
        </is>
      </c>
      <c r="G145" s="394" t="n">
        <v>0.211932</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12 nan dài 3.65m @ 0.058kg/m</t>
        </is>
      </c>
    </row>
    <row r="146">
      <c r="A146" t="inlineStr">
        <is>
          <t>SW-DIFF-246-ACCESSORY</t>
        </is>
      </c>
      <c r="B146" t="inlineStr">
        <is>
          <t>SW-DIFF-246</t>
        </is>
      </c>
      <c r="C146" t="inlineStr">
        <is>
          <t>Phụ kiện lắp ghép / Ke góc cửa gió</t>
        </is>
      </c>
      <c r="D146" t="inlineStr">
        <is>
          <t>PHỤ_KIỆN_CỬA</t>
        </is>
      </c>
      <c r="E146" t="inlineStr">
        <is>
          <t>MAT-DOOR-ACCESSORY</t>
        </is>
      </c>
      <c r="F146" t="inlineStr">
        <is>
          <t>Bộ</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4 ke góc chìm và vít ghép khung</t>
        </is>
      </c>
    </row>
    <row r="147">
      <c r="A147" t="inlineStr">
        <is>
          <t>SW-DIFF-246-PAINT</t>
        </is>
      </c>
      <c r="B147" t="inlineStr">
        <is>
          <t>SW-DIFF-246</t>
        </is>
      </c>
      <c r="C147" t="inlineStr">
        <is>
          <t>Sơn tĩnh điện tiêu chuẩn Polyester</t>
        </is>
      </c>
      <c r="D147" t="inlineStr">
        <is>
          <t>SƠN_TĨNH_ĐIỆN</t>
        </is>
      </c>
      <c r="E147" t="inlineStr">
        <is>
          <t>MAT-PAINT-POWDER</t>
        </is>
      </c>
      <c r="F147" t="inlineStr">
        <is>
          <t>m2</t>
        </is>
      </c>
      <c r="G147" s="394" t="n">
        <v>0.135</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Diện tích phủ sơn 0.135m2</t>
        </is>
      </c>
    </row>
    <row r="148">
      <c r="A148" t="inlineStr">
        <is>
          <t>SW-DIFF-247-FRAME</t>
        </is>
      </c>
      <c r="B148" t="inlineStr">
        <is>
          <t>SW-DIFF-247</t>
        </is>
      </c>
      <c r="C148" t="inlineStr">
        <is>
          <t>Khung nhôm định hình (BD)</t>
        </is>
      </c>
      <c r="D148" t="inlineStr">
        <is>
          <t>NHÔM_ĐỊNH_HÌNH</t>
        </is>
      </c>
      <c r="E148" t="inlineStr">
        <is>
          <t>MAT-ALU-KHUNG-BD</t>
        </is>
      </c>
      <c r="F148" t="inlineStr">
        <is>
          <t>kg</t>
        </is>
      </c>
      <c r="G148" s="394" t="n">
        <v>0.252</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Dài cắt 1.26m @ 0.2kg/m</t>
        </is>
      </c>
    </row>
    <row r="149">
      <c r="A149" t="inlineStr">
        <is>
          <t>SW-DIFF-247-BLADE</t>
        </is>
      </c>
      <c r="B149" t="inlineStr">
        <is>
          <t>SW-DIFF-247</t>
        </is>
      </c>
      <c r="C149" t="inlineStr">
        <is>
          <t>Nan nhôm định hình (BD)</t>
        </is>
      </c>
      <c r="D149" t="inlineStr">
        <is>
          <t>NHÔM_ĐỊNH_HÌNH</t>
        </is>
      </c>
      <c r="E149" t="inlineStr">
        <is>
          <t>MAT-ALU-NAN-BD</t>
        </is>
      </c>
      <c r="F149" t="inlineStr">
        <is>
          <t>kg</t>
        </is>
      </c>
      <c r="G149" s="394" t="n">
        <v>0.211932</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12 nan dài 3.65m @ 0.058kg/m</t>
        </is>
      </c>
    </row>
    <row r="150">
      <c r="A150" t="inlineStr">
        <is>
          <t>SW-DIFF-247-ACCESSORY</t>
        </is>
      </c>
      <c r="B150" t="inlineStr">
        <is>
          <t>SW-DIFF-247</t>
        </is>
      </c>
      <c r="C150" t="inlineStr">
        <is>
          <t>Phụ kiện lắp ghép / Ke góc cửa gió</t>
        </is>
      </c>
      <c r="D150" t="inlineStr">
        <is>
          <t>PHỤ_KIỆN_CỬA</t>
        </is>
      </c>
      <c r="E150" t="inlineStr">
        <is>
          <t>MAT-DOOR-ACCESSORY</t>
        </is>
      </c>
      <c r="F150" t="inlineStr">
        <is>
          <t>Bộ</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4 ke góc chìm và vít ghép khung</t>
        </is>
      </c>
    </row>
    <row r="151">
      <c r="A151" t="inlineStr">
        <is>
          <t>SW-DIFF-247-PAINT</t>
        </is>
      </c>
      <c r="B151" t="inlineStr">
        <is>
          <t>SW-DIFF-247</t>
        </is>
      </c>
      <c r="C151" t="inlineStr">
        <is>
          <t>Sơn tĩnh điện tiêu chuẩn Polyester</t>
        </is>
      </c>
      <c r="D151" t="inlineStr">
        <is>
          <t>SƠN_TĨNH_ĐIỆN</t>
        </is>
      </c>
      <c r="E151" t="inlineStr">
        <is>
          <t>MAT-PAINT-POWDER</t>
        </is>
      </c>
      <c r="F151" t="inlineStr">
        <is>
          <t>m2</t>
        </is>
      </c>
      <c r="G151" s="394" t="n">
        <v>0.135</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Diện tích phủ sơn 0.135m2</t>
        </is>
      </c>
    </row>
    <row r="152">
      <c r="A152" t="inlineStr">
        <is>
          <t>SW-DIFF-248-FRAME</t>
        </is>
      </c>
      <c r="B152" t="inlineStr">
        <is>
          <t>SW-DIFF-248</t>
        </is>
      </c>
      <c r="C152" t="inlineStr">
        <is>
          <t>Khung nhôm định hình (BD)</t>
        </is>
      </c>
      <c r="D152" t="inlineStr">
        <is>
          <t>NHÔM_ĐỊNH_HÌNH</t>
        </is>
      </c>
      <c r="E152" t="inlineStr">
        <is>
          <t>MAT-ALU-KHUNG-BD</t>
        </is>
      </c>
      <c r="F152" t="inlineStr">
        <is>
          <t>kg</t>
        </is>
      </c>
      <c r="G152" s="394" t="n">
        <v>0.252</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Dài cắt 1.26m @ 0.2kg/m</t>
        </is>
      </c>
    </row>
    <row r="153">
      <c r="A153" t="inlineStr">
        <is>
          <t>SW-DIFF-248-BLADE</t>
        </is>
      </c>
      <c r="B153" t="inlineStr">
        <is>
          <t>SW-DIFF-248</t>
        </is>
      </c>
      <c r="C153" t="inlineStr">
        <is>
          <t>Nan nhôm định hình (BD)</t>
        </is>
      </c>
      <c r="D153" t="inlineStr">
        <is>
          <t>NHÔM_ĐỊNH_HÌNH</t>
        </is>
      </c>
      <c r="E153" t="inlineStr">
        <is>
          <t>MAT-ALU-NAN-BD</t>
        </is>
      </c>
      <c r="F153" t="inlineStr">
        <is>
          <t>kg</t>
        </is>
      </c>
      <c r="G153" s="394" t="n">
        <v>0.211932</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12 nan dài 3.65m @ 0.058kg/m</t>
        </is>
      </c>
    </row>
    <row r="154">
      <c r="A154" t="inlineStr">
        <is>
          <t>SW-DIFF-248-ACCESSORY</t>
        </is>
      </c>
      <c r="B154" t="inlineStr">
        <is>
          <t>SW-DIFF-248</t>
        </is>
      </c>
      <c r="C154" t="inlineStr">
        <is>
          <t>Phụ kiện lắp ghép / Ke góc cửa gió</t>
        </is>
      </c>
      <c r="D154" t="inlineStr">
        <is>
          <t>PHỤ_KIỆN_CỬA</t>
        </is>
      </c>
      <c r="E154" t="inlineStr">
        <is>
          <t>MAT-DOOR-ACCESSORY</t>
        </is>
      </c>
      <c r="F154" t="inlineStr">
        <is>
          <t>Bộ</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4 ke góc chìm và vít ghép khung</t>
        </is>
      </c>
    </row>
    <row r="155">
      <c r="A155" t="inlineStr">
        <is>
          <t>SW-DIFF-248-PAINT</t>
        </is>
      </c>
      <c r="B155" t="inlineStr">
        <is>
          <t>SW-DIFF-248</t>
        </is>
      </c>
      <c r="C155" t="inlineStr">
        <is>
          <t>Sơn tĩnh điện tiêu chuẩn Polyester</t>
        </is>
      </c>
      <c r="D155" t="inlineStr">
        <is>
          <t>SƠN_TĨNH_ĐIỆN</t>
        </is>
      </c>
      <c r="E155" t="inlineStr">
        <is>
          <t>MAT-PAINT-POWDER</t>
        </is>
      </c>
      <c r="F155" t="inlineStr">
        <is>
          <t>m2</t>
        </is>
      </c>
      <c r="G155" s="394" t="n">
        <v>0.135</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Diện tích phủ sơn 0.135m2</t>
        </is>
      </c>
    </row>
    <row r="156">
      <c r="A156" t="inlineStr">
        <is>
          <t>SW-DIFF-249-FRAME</t>
        </is>
      </c>
      <c r="B156" t="inlineStr">
        <is>
          <t>SW-DIFF-249</t>
        </is>
      </c>
      <c r="C156" t="inlineStr">
        <is>
          <t>Khung nhôm định hình (Z)</t>
        </is>
      </c>
      <c r="D156" t="inlineStr">
        <is>
          <t>NHÔM_ĐỊNH_HÌNH</t>
        </is>
      </c>
      <c r="E156" t="inlineStr">
        <is>
          <t>MAT-ALU-KHUNG-Z-2-LOP</t>
        </is>
      </c>
      <c r="F156" t="inlineStr">
        <is>
          <t>kg</t>
        </is>
      </c>
      <c r="G156" s="394" t="n">
        <v>0.28602</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Dài cắt 1.26m @ 0.227kg/m</t>
        </is>
      </c>
    </row>
    <row r="157">
      <c r="A157" t="inlineStr">
        <is>
          <t>SW-DIFF-249-BLADE</t>
        </is>
      </c>
      <c r="B157" t="inlineStr">
        <is>
          <t>SW-DIFF-249</t>
        </is>
      </c>
      <c r="C157" t="inlineStr">
        <is>
          <t>Nan nhôm định hình (Z)</t>
        </is>
      </c>
      <c r="D157" t="inlineStr">
        <is>
          <t>NHÔM_ĐỊNH_HÌNH</t>
        </is>
      </c>
      <c r="E157" t="inlineStr">
        <is>
          <t>MAT-ALU-NAN-Z-DAY</t>
        </is>
      </c>
      <c r="F157" t="inlineStr">
        <is>
          <t>kg</t>
        </is>
      </c>
      <c r="G157" s="394" t="n">
        <v>0.528612</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8 nan dài 2.44m @ 0.217kg/m</t>
        </is>
      </c>
    </row>
    <row r="158">
      <c r="A158" t="inlineStr">
        <is>
          <t>SW-DIFF-249-ACCESSORY</t>
        </is>
      </c>
      <c r="B158" t="inlineStr">
        <is>
          <t>SW-DIFF-249</t>
        </is>
      </c>
      <c r="C158" t="inlineStr">
        <is>
          <t>Phụ kiện lắp ghép / Ke góc cửa gió</t>
        </is>
      </c>
      <c r="D158" t="inlineStr">
        <is>
          <t>PHỤ_KIỆN_CỬA</t>
        </is>
      </c>
      <c r="E158" t="inlineStr">
        <is>
          <t>MAT-DOOR-ACCESSORY</t>
        </is>
      </c>
      <c r="F158" t="inlineStr">
        <is>
          <t>Bộ</t>
        </is>
      </c>
      <c r="G158" s="394" t="n">
        <v>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4 ke góc chìm và vít ghép khung</t>
        </is>
      </c>
    </row>
    <row r="159">
      <c r="A159" t="inlineStr">
        <is>
          <t>SW-DIFF-249-PAINT</t>
        </is>
      </c>
      <c r="B159" t="inlineStr">
        <is>
          <t>SW-DIFF-249</t>
        </is>
      </c>
      <c r="C159" t="inlineStr">
        <is>
          <t>Sơn tĩnh điện tiêu chuẩn Polyester</t>
        </is>
      </c>
      <c r="D159" t="inlineStr">
        <is>
          <t>SƠN_TĨNH_ĐIỆN</t>
        </is>
      </c>
      <c r="E159" t="inlineStr">
        <is>
          <t>MAT-PAINT-POWDER</t>
        </is>
      </c>
      <c r="F159" t="inlineStr">
        <is>
          <t>m2</t>
        </is>
      </c>
      <c r="G159" s="394" t="n">
        <v>0.135</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Diện tích phủ sơn 0.135m2</t>
        </is>
      </c>
    </row>
    <row r="160">
      <c r="A160" t="inlineStr">
        <is>
          <t>SW-DIFF-250-FRAME</t>
        </is>
      </c>
      <c r="B160" t="inlineStr">
        <is>
          <t>SW-DIFF-250</t>
        </is>
      </c>
      <c r="C160" t="inlineStr">
        <is>
          <t>Khung nhôm định hình (Z)</t>
        </is>
      </c>
      <c r="D160" t="inlineStr">
        <is>
          <t>NHÔM_ĐỊNH_HÌNH</t>
        </is>
      </c>
      <c r="E160" t="inlineStr">
        <is>
          <t>MAT-ALU-KHUNG-Z-2-LOP</t>
        </is>
      </c>
      <c r="F160" t="inlineStr">
        <is>
          <t>kg</t>
        </is>
      </c>
      <c r="G160" s="394" t="n">
        <v>0.33369</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Dài cắt 1.47m @ 0.227kg/m</t>
        </is>
      </c>
    </row>
    <row r="161">
      <c r="A161" t="inlineStr">
        <is>
          <t>SW-DIFF-250-BLADE</t>
        </is>
      </c>
      <c r="B161" t="inlineStr">
        <is>
          <t>SW-DIFF-250</t>
        </is>
      </c>
      <c r="C161" t="inlineStr">
        <is>
          <t>Nan nhôm định hình (Z)</t>
        </is>
      </c>
      <c r="D161" t="inlineStr">
        <is>
          <t>NHÔM_ĐỊNH_HÌNH</t>
        </is>
      </c>
      <c r="E161" t="inlineStr">
        <is>
          <t>MAT-ALU-NAN-Z-DAY</t>
        </is>
      </c>
      <c r="F161" t="inlineStr">
        <is>
          <t>kg</t>
        </is>
      </c>
      <c r="G161" s="394" t="n">
        <v>0.7108920000000001</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8 nan dài 3.28m @ 0.217kg/m</t>
        </is>
      </c>
    </row>
    <row r="162">
      <c r="A162" t="inlineStr">
        <is>
          <t>SW-DIFF-250-ACCESSORY</t>
        </is>
      </c>
      <c r="B162" t="inlineStr">
        <is>
          <t>SW-DIFF-250</t>
        </is>
      </c>
      <c r="C162" t="inlineStr">
        <is>
          <t>Phụ kiện lắp ghép / Ke góc cửa gió</t>
        </is>
      </c>
      <c r="D162" t="inlineStr">
        <is>
          <t>PHỤ_KIỆN_CỬA</t>
        </is>
      </c>
      <c r="E162" t="inlineStr">
        <is>
          <t>MAT-DOOR-ACCESSORY</t>
        </is>
      </c>
      <c r="F162" t="inlineStr">
        <is>
          <t>Bộ</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4 ke góc chìm và vít ghép khung</t>
        </is>
      </c>
    </row>
    <row r="163">
      <c r="A163" t="inlineStr">
        <is>
          <t>SW-DIFF-250-PAINT</t>
        </is>
      </c>
      <c r="B163" t="inlineStr">
        <is>
          <t>SW-DIFF-250</t>
        </is>
      </c>
      <c r="C163" t="inlineStr">
        <is>
          <t>Sơn tĩnh điện tiêu chuẩn Polyester</t>
        </is>
      </c>
      <c r="D163" t="inlineStr">
        <is>
          <t>SƠN_TĨNH_ĐIỆN</t>
        </is>
      </c>
      <c r="E163" t="inlineStr">
        <is>
          <t>MAT-PAINT-POWDER</t>
        </is>
      </c>
      <c r="F163" t="inlineStr">
        <is>
          <t>m2</t>
        </is>
      </c>
      <c r="G163" s="394" t="n">
        <v>0.18</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Diện tích phủ sơn 0.180m2</t>
        </is>
      </c>
    </row>
    <row r="164">
      <c r="A164" t="inlineStr">
        <is>
          <t>SW-DIFF-251-FRAME</t>
        </is>
      </c>
      <c r="B164" t="inlineStr">
        <is>
          <t>SW-DIFF-251</t>
        </is>
      </c>
      <c r="C164" t="inlineStr">
        <is>
          <t>Khung nhôm định hình (Z)</t>
        </is>
      </c>
      <c r="D164" t="inlineStr">
        <is>
          <t>NHÔM_ĐỊNH_HÌNH</t>
        </is>
      </c>
      <c r="E164" t="inlineStr">
        <is>
          <t>MAT-ALU-KHUNG-Z-2-LOP</t>
        </is>
      </c>
      <c r="F164" t="inlineStr">
        <is>
          <t>kg</t>
        </is>
      </c>
      <c r="G164" s="394" t="n">
        <v>0.38136</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Dài cắt 1.68m @ 0.227kg/m</t>
        </is>
      </c>
    </row>
    <row r="165">
      <c r="A165" t="inlineStr">
        <is>
          <t>SW-DIFF-251-BLADE</t>
        </is>
      </c>
      <c r="B165" t="inlineStr">
        <is>
          <t>SW-DIFF-251</t>
        </is>
      </c>
      <c r="C165" t="inlineStr">
        <is>
          <t>Nan nhôm định hình (Z)</t>
        </is>
      </c>
      <c r="D165" t="inlineStr">
        <is>
          <t>NHÔM_ĐỊNH_HÌNH</t>
        </is>
      </c>
      <c r="E165" t="inlineStr">
        <is>
          <t>MAT-ALU-NAN-Z-DAY</t>
        </is>
      </c>
      <c r="F165" t="inlineStr">
        <is>
          <t>kg</t>
        </is>
      </c>
      <c r="G165" s="394" t="n">
        <v>0.893172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8 nan dài 4.12m @ 0.217kg/m</t>
        </is>
      </c>
    </row>
    <row r="166">
      <c r="A166" t="inlineStr">
        <is>
          <t>SW-DIFF-251-ACCESSORY</t>
        </is>
      </c>
      <c r="B166" t="inlineStr">
        <is>
          <t>SW-DIFF-251</t>
        </is>
      </c>
      <c r="C166" t="inlineStr">
        <is>
          <t>Phụ kiện lắp ghép / Ke góc cửa gió</t>
        </is>
      </c>
      <c r="D166" t="inlineStr">
        <is>
          <t>PHỤ_KIỆN_CỬA</t>
        </is>
      </c>
      <c r="E166" t="inlineStr">
        <is>
          <t>MAT-DOOR-ACCESSORY</t>
        </is>
      </c>
      <c r="F166" t="inlineStr">
        <is>
          <t>Bộ</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4 ke góc chìm và vít ghép khung</t>
        </is>
      </c>
    </row>
    <row r="167">
      <c r="A167" t="inlineStr">
        <is>
          <t>SW-DIFF-251-PAINT</t>
        </is>
      </c>
      <c r="B167" t="inlineStr">
        <is>
          <t>SW-DIFF-251</t>
        </is>
      </c>
      <c r="C167" t="inlineStr">
        <is>
          <t>Sơn tĩnh điện tiêu chuẩn Polyester</t>
        </is>
      </c>
      <c r="D167" t="inlineStr">
        <is>
          <t>SƠN_TĨNH_ĐIỆN</t>
        </is>
      </c>
      <c r="E167" t="inlineStr">
        <is>
          <t>MAT-PAINT-POWDER</t>
        </is>
      </c>
      <c r="F167" t="inlineStr">
        <is>
          <t>m2</t>
        </is>
      </c>
      <c r="G167" s="394" t="n">
        <v>0.225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Diện tích phủ sơn 0.225m2</t>
        </is>
      </c>
    </row>
    <row r="168">
      <c r="A168" t="inlineStr">
        <is>
          <t>SW-DIFF-252-FRAME</t>
        </is>
      </c>
      <c r="B168" t="inlineStr">
        <is>
          <t>SW-DIFF-252</t>
        </is>
      </c>
      <c r="C168" t="inlineStr">
        <is>
          <t>Khung nhôm định hình (Z)</t>
        </is>
      </c>
      <c r="D168" t="inlineStr">
        <is>
          <t>NHÔM_ĐỊNH_HÌNH</t>
        </is>
      </c>
      <c r="E168" t="inlineStr">
        <is>
          <t>MAT-ALU-KHUNG-Z-2-LOP</t>
        </is>
      </c>
      <c r="F168" t="inlineStr">
        <is>
          <t>kg</t>
        </is>
      </c>
      <c r="G168" s="394" t="n">
        <v>0.4767</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Dài cắt 2.10m @ 0.227kg/m</t>
        </is>
      </c>
    </row>
    <row r="169">
      <c r="A169" t="inlineStr">
        <is>
          <t>SW-DIFF-252-BLADE</t>
        </is>
      </c>
      <c r="B169" t="inlineStr">
        <is>
          <t>SW-DIFF-252</t>
        </is>
      </c>
      <c r="C169" t="inlineStr">
        <is>
          <t>Nan nhôm định hình (Z)</t>
        </is>
      </c>
      <c r="D169" t="inlineStr">
        <is>
          <t>NHÔM_ĐỊNH_HÌNH</t>
        </is>
      </c>
      <c r="E169" t="inlineStr">
        <is>
          <t>MAT-ALU-NAN-Z-DAY</t>
        </is>
      </c>
      <c r="F169" t="inlineStr">
        <is>
          <t>kg</t>
        </is>
      </c>
      <c r="G169" s="394" t="n">
        <v>1.344315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10 nan dài 6.19m @ 0.217kg/m</t>
        </is>
      </c>
    </row>
    <row r="170">
      <c r="A170" t="inlineStr">
        <is>
          <t>SW-DIFF-252-ACCESSORY</t>
        </is>
      </c>
      <c r="B170" t="inlineStr">
        <is>
          <t>SW-DIFF-252</t>
        </is>
      </c>
      <c r="C170" t="inlineStr">
        <is>
          <t>Phụ kiện lắp ghép / Ke góc cửa gió</t>
        </is>
      </c>
      <c r="D170" t="inlineStr">
        <is>
          <t>PHỤ_KIỆN_CỬA</t>
        </is>
      </c>
      <c r="E170" t="inlineStr">
        <is>
          <t>MAT-DOOR-ACCESSORY</t>
        </is>
      </c>
      <c r="F170" t="inlineStr">
        <is>
          <t>Bộ</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4 ke góc chìm và vít ghép khung</t>
        </is>
      </c>
    </row>
    <row r="171">
      <c r="A171" t="inlineStr">
        <is>
          <t>SW-DIFF-252-PAINT</t>
        </is>
      </c>
      <c r="B171" t="inlineStr">
        <is>
          <t>SW-DIFF-252</t>
        </is>
      </c>
      <c r="C171" t="inlineStr">
        <is>
          <t>Sơn tĩnh điện tiêu chuẩn Polyester</t>
        </is>
      </c>
      <c r="D171" t="inlineStr">
        <is>
          <t>SƠN_TĨNH_ĐIỆN</t>
        </is>
      </c>
      <c r="E171" t="inlineStr">
        <is>
          <t>MAT-PAINT-POWDER</t>
        </is>
      </c>
      <c r="F171" t="inlineStr">
        <is>
          <t>m2</t>
        </is>
      </c>
      <c r="G171" s="394" t="n">
        <v>0.36</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Diện tích phủ sơn 0.360m2</t>
        </is>
      </c>
    </row>
    <row r="172">
      <c r="A172" t="inlineStr">
        <is>
          <t>SW-DIFF-253-FRAME</t>
        </is>
      </c>
      <c r="B172" t="inlineStr">
        <is>
          <t>SW-DIFF-253</t>
        </is>
      </c>
      <c r="C172" t="inlineStr">
        <is>
          <t>Khung nhôm định hình (Z)</t>
        </is>
      </c>
      <c r="D172" t="inlineStr">
        <is>
          <t>NHÔM_ĐỊNH_HÌNH</t>
        </is>
      </c>
      <c r="E172" t="inlineStr">
        <is>
          <t>MAT-ALU-KHUNG-Z-2-LOP</t>
        </is>
      </c>
      <c r="F172" t="inlineStr">
        <is>
          <t>kg</t>
        </is>
      </c>
      <c r="G172" s="394" t="n">
        <v>0.57204</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Dài cắt 2.52m @ 0.227kg/m</t>
        </is>
      </c>
    </row>
    <row r="173">
      <c r="A173" t="inlineStr">
        <is>
          <t>SW-DIFF-253-BLADE</t>
        </is>
      </c>
      <c r="B173" t="inlineStr">
        <is>
          <t>SW-DIFF-253</t>
        </is>
      </c>
      <c r="C173" t="inlineStr">
        <is>
          <t>Nan nhôm định hình (Z)</t>
        </is>
      </c>
      <c r="D173" t="inlineStr">
        <is>
          <t>NHÔM_ĐỊNH_HÌNH</t>
        </is>
      </c>
      <c r="E173" t="inlineStr">
        <is>
          <t>MAT-ALU-NAN-Z-DAY</t>
        </is>
      </c>
      <c r="F173" t="inlineStr">
        <is>
          <t>kg</t>
        </is>
      </c>
      <c r="G173" s="394" t="n">
        <v>2.0164725</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15 nan dài 9.29m @ 0.217kg/m</t>
        </is>
      </c>
    </row>
    <row r="174">
      <c r="A174" t="inlineStr">
        <is>
          <t>SW-DIFF-253-ACCESSORY</t>
        </is>
      </c>
      <c r="B174" t="inlineStr">
        <is>
          <t>SW-DIFF-253</t>
        </is>
      </c>
      <c r="C174" t="inlineStr">
        <is>
          <t>Phụ kiện lắp ghép / Ke góc cửa gió</t>
        </is>
      </c>
      <c r="D174" t="inlineStr">
        <is>
          <t>PHỤ_KIỆN_CỬA</t>
        </is>
      </c>
      <c r="E174" t="inlineStr">
        <is>
          <t>MAT-DOOR-ACCESSORY</t>
        </is>
      </c>
      <c r="F174" t="inlineStr">
        <is>
          <t>Bộ</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4 ke góc chìm và vít ghép khung</t>
        </is>
      </c>
    </row>
    <row r="175">
      <c r="A175" t="inlineStr">
        <is>
          <t>SW-DIFF-253-PAINT</t>
        </is>
      </c>
      <c r="B175" t="inlineStr">
        <is>
          <t>SW-DIFF-253</t>
        </is>
      </c>
      <c r="C175" t="inlineStr">
        <is>
          <t>Sơn tĩnh điện tiêu chuẩn Polyester</t>
        </is>
      </c>
      <c r="D175" t="inlineStr">
        <is>
          <t>SƠN_TĨNH_ĐIỆN</t>
        </is>
      </c>
      <c r="E175" t="inlineStr">
        <is>
          <t>MAT-PAINT-POWDER</t>
        </is>
      </c>
      <c r="F175" t="inlineStr">
        <is>
          <t>m2</t>
        </is>
      </c>
      <c r="G175" s="394" t="n">
        <v>0.54</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Diện tích phủ sơn 0.540m2</t>
        </is>
      </c>
    </row>
    <row r="176">
      <c r="A176" t="inlineStr">
        <is>
          <t>SW-DIFF-254-FRAME</t>
        </is>
      </c>
      <c r="B176" t="inlineStr">
        <is>
          <t>SW-DIFF-254</t>
        </is>
      </c>
      <c r="C176" t="inlineStr">
        <is>
          <t>Khung nhôm định hình (Z)</t>
        </is>
      </c>
      <c r="D176" t="inlineStr">
        <is>
          <t>NHÔM_ĐỊNH_HÌNH</t>
        </is>
      </c>
      <c r="E176" t="inlineStr">
        <is>
          <t>MAT-ALU-KHUNG-Z-2-LOP</t>
        </is>
      </c>
      <c r="F176" t="inlineStr">
        <is>
          <t>kg</t>
        </is>
      </c>
      <c r="G176" s="394" t="n">
        <v>0.7150500000000001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Dài cắt 3.15m @ 0.227kg/m</t>
        </is>
      </c>
    </row>
    <row r="177">
      <c r="A177" t="inlineStr">
        <is>
          <t>SW-DIFF-254-BLADE</t>
        </is>
      </c>
      <c r="B177" t="inlineStr">
        <is>
          <t>SW-DIFF-254</t>
        </is>
      </c>
      <c r="C177" t="inlineStr">
        <is>
          <t>Nan nhôm định hình (Z)</t>
        </is>
      </c>
      <c r="D177" t="inlineStr">
        <is>
          <t>NHÔM_ĐỊNH_HÌNH</t>
        </is>
      </c>
      <c r="E177" t="inlineStr">
        <is>
          <t>MAT-ALU-NAN-Z-DAY</t>
        </is>
      </c>
      <c r="F177" t="inlineStr">
        <is>
          <t>kg</t>
        </is>
      </c>
      <c r="G177" s="394" t="n">
        <v>3.0417975</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15 nan dài 14.02m @ 0.217kg/m</t>
        </is>
      </c>
    </row>
    <row r="178">
      <c r="A178" t="inlineStr">
        <is>
          <t>SW-DIFF-254-ACCESSORY</t>
        </is>
      </c>
      <c r="B178" t="inlineStr">
        <is>
          <t>SW-DIFF-254</t>
        </is>
      </c>
      <c r="C178" t="inlineStr">
        <is>
          <t>Phụ kiện lắp ghép / Ke góc cửa gió</t>
        </is>
      </c>
      <c r="D178" t="inlineStr">
        <is>
          <t>PHỤ_KIỆN_CỬA</t>
        </is>
      </c>
      <c r="E178" t="inlineStr">
        <is>
          <t>MAT-DOOR-ACCESSORY</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4 ke góc chìm và vít ghép khung</t>
        </is>
      </c>
    </row>
    <row r="179">
      <c r="A179" t="inlineStr">
        <is>
          <t>SW-DIFF-254-PAINT</t>
        </is>
      </c>
      <c r="B179" t="inlineStr">
        <is>
          <t>SW-DIFF-254</t>
        </is>
      </c>
      <c r="C179" t="inlineStr">
        <is>
          <t>Sơn tĩnh điện tiêu chuẩn Polyester</t>
        </is>
      </c>
      <c r="D179" t="inlineStr">
        <is>
          <t>SƠN_TĨNH_ĐIỆN</t>
        </is>
      </c>
      <c r="E179" t="inlineStr">
        <is>
          <t>MAT-PAINT-POWDER</t>
        </is>
      </c>
      <c r="F179" t="inlineStr">
        <is>
          <t>m2</t>
        </is>
      </c>
      <c r="G179" s="394" t="n">
        <v>0.8100000000000001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Diện tích phủ sơn 0.810m2</t>
        </is>
      </c>
    </row>
    <row r="180">
      <c r="A180" t="inlineStr">
        <is>
          <t>SW-DIFF-255-FRAME</t>
        </is>
      </c>
      <c r="B180" t="inlineStr">
        <is>
          <t>SW-DIFF-255</t>
        </is>
      </c>
      <c r="C180" t="inlineStr">
        <is>
          <t>Khung nhôm định hình (Z)</t>
        </is>
      </c>
      <c r="D180" t="inlineStr">
        <is>
          <t>NHÔM_ĐỊNH_HÌNH</t>
        </is>
      </c>
      <c r="E180" t="inlineStr">
        <is>
          <t>MAT-ALU-KHUNG-Z-2-LOP</t>
        </is>
      </c>
      <c r="F180" t="inlineStr">
        <is>
          <t>kg</t>
        </is>
      </c>
      <c r="G180" s="394" t="n">
        <v>1.4301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Dài cắt 6.30m @ 0.227kg/m</t>
        </is>
      </c>
    </row>
    <row r="181">
      <c r="A181" t="inlineStr">
        <is>
          <t>SW-DIFF-255-BLADE</t>
        </is>
      </c>
      <c r="B181" t="inlineStr">
        <is>
          <t>SW-DIFF-255</t>
        </is>
      </c>
      <c r="C181" t="inlineStr">
        <is>
          <t>Nan nhôm định hình (Z)</t>
        </is>
      </c>
      <c r="D181" t="inlineStr">
        <is>
          <t>NHÔM_ĐỊNH_HÌNH</t>
        </is>
      </c>
      <c r="E181" t="inlineStr">
        <is>
          <t>MAT-ALU-NAN-Z-DAY</t>
        </is>
      </c>
      <c r="F181" t="inlineStr">
        <is>
          <t>kg</t>
        </is>
      </c>
      <c r="G181" s="394" t="n">
        <v>7.375504500000002</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13 nan dài 33.99m @ 0.217kg/m</t>
        </is>
      </c>
    </row>
    <row r="182">
      <c r="A182" t="inlineStr">
        <is>
          <t>SW-DIFF-255-ACCESSORY</t>
        </is>
      </c>
      <c r="B182" t="inlineStr">
        <is>
          <t>SW-DIFF-255</t>
        </is>
      </c>
      <c r="C182" t="inlineStr">
        <is>
          <t>Phụ kiện lắp ghép / Ke góc cửa gió</t>
        </is>
      </c>
      <c r="D182" t="inlineStr">
        <is>
          <t>PHỤ_KIỆN_CỬA</t>
        </is>
      </c>
      <c r="E182" t="inlineStr">
        <is>
          <t>MAT-DOOR-ACCESSORY</t>
        </is>
      </c>
      <c r="F182" t="inlineStr">
        <is>
          <t>Bộ</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4 ke góc chìm và vít ghép khung</t>
        </is>
      </c>
    </row>
    <row r="183">
      <c r="A183" t="inlineStr">
        <is>
          <t>SW-DIFF-255-PAINT</t>
        </is>
      </c>
      <c r="B183" t="inlineStr">
        <is>
          <t>SW-DIFF-255</t>
        </is>
      </c>
      <c r="C183" t="inlineStr">
        <is>
          <t>Sơn tĩnh điện tiêu chuẩn Polyester</t>
        </is>
      </c>
      <c r="D183" t="inlineStr">
        <is>
          <t>SƠN_TĨNH_ĐIỆN</t>
        </is>
      </c>
      <c r="E183" t="inlineStr">
        <is>
          <t>MAT-PAINT-POWDER</t>
        </is>
      </c>
      <c r="F183" t="inlineStr">
        <is>
          <t>m2</t>
        </is>
      </c>
      <c r="G183" s="394" t="n">
        <v>1.875</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Diện tích phủ sơn 1.875m2</t>
        </is>
      </c>
    </row>
    <row r="184">
      <c r="A184" t="inlineStr">
        <is>
          <t>SW-DIFF-256-FRAME</t>
        </is>
      </c>
      <c r="B184" t="inlineStr">
        <is>
          <t>SW-DIFF-256</t>
        </is>
      </c>
      <c r="C184" t="inlineStr">
        <is>
          <t>Khung nhôm định hình (Z)</t>
        </is>
      </c>
      <c r="D184" t="inlineStr">
        <is>
          <t>NHÔM_ĐỊNH_HÌNH</t>
        </is>
      </c>
      <c r="E184" t="inlineStr">
        <is>
          <t>MAT-ALU-KHUNG-Z-2-LOP</t>
        </is>
      </c>
      <c r="F184" t="inlineStr">
        <is>
          <t>kg</t>
        </is>
      </c>
      <c r="G184" s="394" t="n">
        <v>1.072575</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Dài cắt 4.73m @ 0.227kg/m</t>
        </is>
      </c>
    </row>
    <row r="185">
      <c r="A185" t="inlineStr">
        <is>
          <t>SW-DIFF-256-BLADE</t>
        </is>
      </c>
      <c r="B185" t="inlineStr">
        <is>
          <t>SW-DIFF-256</t>
        </is>
      </c>
      <c r="C185" t="inlineStr">
        <is>
          <t>Nan nhôm định hình (Z)</t>
        </is>
      </c>
      <c r="D185" t="inlineStr">
        <is>
          <t>NHÔM_ĐỊNH_HÌNH</t>
        </is>
      </c>
      <c r="E185" t="inlineStr">
        <is>
          <t>MAT-ALU-NAN-Z-DAY</t>
        </is>
      </c>
      <c r="F185" t="inlineStr">
        <is>
          <t>kg</t>
        </is>
      </c>
      <c r="G185" s="394" t="n">
        <v>5.153967000000001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13 nan dài 23.75m @ 0.217kg/m</t>
        </is>
      </c>
    </row>
    <row r="186">
      <c r="A186" t="inlineStr">
        <is>
          <t>SW-DIFF-256-ACCESSORY</t>
        </is>
      </c>
      <c r="B186" t="inlineStr">
        <is>
          <t>SW-DIFF-256</t>
        </is>
      </c>
      <c r="C186" t="inlineStr">
        <is>
          <t>Phụ kiện lắp ghép / Ke góc cửa gió</t>
        </is>
      </c>
      <c r="D186" t="inlineStr">
        <is>
          <t>PHỤ_KIỆN_CỬA</t>
        </is>
      </c>
      <c r="E186" t="inlineStr">
        <is>
          <t>MAT-DOOR-ACCESSORY</t>
        </is>
      </c>
      <c r="F186" t="inlineStr">
        <is>
          <t>Bộ</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4 ke góc chìm và vít ghép khung</t>
        </is>
      </c>
    </row>
    <row r="187">
      <c r="A187" t="inlineStr">
        <is>
          <t>SW-DIFF-256-PAINT</t>
        </is>
      </c>
      <c r="B187" t="inlineStr">
        <is>
          <t>SW-DIFF-256</t>
        </is>
      </c>
      <c r="C187" t="inlineStr">
        <is>
          <t>Sơn tĩnh điện tiêu chuẩn Polyester</t>
        </is>
      </c>
      <c r="D187" t="inlineStr">
        <is>
          <t>SƠN_TĨNH_ĐIỆN</t>
        </is>
      </c>
      <c r="E187" t="inlineStr">
        <is>
          <t>MAT-PAINT-POWDER</t>
        </is>
      </c>
      <c r="F187" t="inlineStr">
        <is>
          <t>m2</t>
        </is>
      </c>
      <c r="G187" s="394" t="n">
        <v>1.3125</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Diện tích phủ sơn 1.312m2</t>
        </is>
      </c>
    </row>
    <row r="188">
      <c r="A188" t="inlineStr">
        <is>
          <t>SW-DIFF-257-FRAME</t>
        </is>
      </c>
      <c r="B188" t="inlineStr">
        <is>
          <t>SW-DIFF-257</t>
        </is>
      </c>
      <c r="C188" t="inlineStr">
        <is>
          <t>Khung nhôm định hình (Z)</t>
        </is>
      </c>
      <c r="D188" t="inlineStr">
        <is>
          <t>NHÔM_ĐỊNH_HÌNH</t>
        </is>
      </c>
      <c r="E188" t="inlineStr">
        <is>
          <t>MAT-ALU-KHUNG-Z-2-LOP</t>
        </is>
      </c>
      <c r="F188" t="inlineStr">
        <is>
          <t>kg</t>
        </is>
      </c>
      <c r="G188" s="394" t="n">
        <v>1.4301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Dài cắt 6.30m @ 0.227kg/m</t>
        </is>
      </c>
    </row>
    <row r="189">
      <c r="A189" t="inlineStr">
        <is>
          <t>SW-DIFF-257-BLADE</t>
        </is>
      </c>
      <c r="B189" t="inlineStr">
        <is>
          <t>SW-DIFF-257</t>
        </is>
      </c>
      <c r="C189" t="inlineStr">
        <is>
          <t>Nan nhôm định hình (Z)</t>
        </is>
      </c>
      <c r="D189" t="inlineStr">
        <is>
          <t>NHÔM_ĐỊNH_HÌNH</t>
        </is>
      </c>
      <c r="E189" t="inlineStr">
        <is>
          <t>MAT-ALU-NAN-Z-DAY</t>
        </is>
      </c>
      <c r="F189" t="inlineStr">
        <is>
          <t>kg</t>
        </is>
      </c>
      <c r="G189" s="394" t="n">
        <v>7.375504500000002</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13 nan dài 33.99m @ 0.217kg/m</t>
        </is>
      </c>
    </row>
    <row r="190">
      <c r="A190" t="inlineStr">
        <is>
          <t>SW-DIFF-257-ACCESSORY</t>
        </is>
      </c>
      <c r="B190" t="inlineStr">
        <is>
          <t>SW-DIFF-257</t>
        </is>
      </c>
      <c r="C190" t="inlineStr">
        <is>
          <t>Phụ kiện lắp ghép / Ke góc cửa gió</t>
        </is>
      </c>
      <c r="D190" t="inlineStr">
        <is>
          <t>PHỤ_KIỆN_CỬA</t>
        </is>
      </c>
      <c r="E190" t="inlineStr">
        <is>
          <t>MAT-DOOR-ACCESSORY</t>
        </is>
      </c>
      <c r="F190" t="inlineStr">
        <is>
          <t>Bộ</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4 ke góc chìm và vít ghép khung</t>
        </is>
      </c>
    </row>
    <row r="191">
      <c r="A191" t="inlineStr">
        <is>
          <t>SW-DIFF-257-PAINT</t>
        </is>
      </c>
      <c r="B191" t="inlineStr">
        <is>
          <t>SW-DIFF-257</t>
        </is>
      </c>
      <c r="C191" t="inlineStr">
        <is>
          <t>Sơn tĩnh điện tiêu chuẩn Polyester</t>
        </is>
      </c>
      <c r="D191" t="inlineStr">
        <is>
          <t>SƠN_TĨNH_ĐIỆN</t>
        </is>
      </c>
      <c r="E191" t="inlineStr">
        <is>
          <t>MAT-PAINT-POWDER</t>
        </is>
      </c>
      <c r="F191" t="inlineStr">
        <is>
          <t>m2</t>
        </is>
      </c>
      <c r="G191" s="394" t="n">
        <v>1.875</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Diện tích phủ sơn 1.875m2</t>
        </is>
      </c>
    </row>
    <row r="192">
      <c r="A192" t="inlineStr">
        <is>
          <t>SW-DIFF-258-FRAME</t>
        </is>
      </c>
      <c r="B192" t="inlineStr">
        <is>
          <t>SW-DIFF-258</t>
        </is>
      </c>
      <c r="C192" t="inlineStr">
        <is>
          <t>Khung nhôm định hình (Z)</t>
        </is>
      </c>
      <c r="D192" t="inlineStr">
        <is>
          <t>NHÔM_ĐỊNH_HÌNH</t>
        </is>
      </c>
      <c r="E192" t="inlineStr">
        <is>
          <t>MAT-ALU-KHUNG-Z-2-LOP</t>
        </is>
      </c>
      <c r="F192" t="inlineStr">
        <is>
          <t>kg</t>
        </is>
      </c>
      <c r="G192" s="394" t="n">
        <v>1.66845</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Dài cắt 7.35m @ 0.227kg/m</t>
        </is>
      </c>
    </row>
    <row r="193">
      <c r="A193" t="inlineStr">
        <is>
          <t>SW-DIFF-258-BLADE</t>
        </is>
      </c>
      <c r="B193" t="inlineStr">
        <is>
          <t>SW-DIFF-258</t>
        </is>
      </c>
      <c r="C193" t="inlineStr">
        <is>
          <t>Nan nhôm định hình (Z)</t>
        </is>
      </c>
      <c r="D193" t="inlineStr">
        <is>
          <t>NHÔM_ĐỊNH_HÌNH</t>
        </is>
      </c>
      <c r="E193" t="inlineStr">
        <is>
          <t>MAT-ALU-NAN-Z-DAY</t>
        </is>
      </c>
      <c r="F193" t="inlineStr">
        <is>
          <t>kg</t>
        </is>
      </c>
      <c r="G193" s="394" t="n">
        <v>8.856529500000001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13 nan dài 40.81m @ 0.217kg/m</t>
        </is>
      </c>
    </row>
    <row r="194">
      <c r="A194" t="inlineStr">
        <is>
          <t>SW-DIFF-258-ACCESSORY</t>
        </is>
      </c>
      <c r="B194" t="inlineStr">
        <is>
          <t>SW-DIFF-258</t>
        </is>
      </c>
      <c r="C194" t="inlineStr">
        <is>
          <t>Phụ kiện lắp ghép / Ke góc cửa gió</t>
        </is>
      </c>
      <c r="D194" t="inlineStr">
        <is>
          <t>PHỤ_KIỆN_CỬA</t>
        </is>
      </c>
      <c r="E194" t="inlineStr">
        <is>
          <t>MAT-DOOR-ACCESSORY</t>
        </is>
      </c>
      <c r="F194" t="inlineStr">
        <is>
          <t>Bộ</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4 ke góc chìm và vít ghép khung</t>
        </is>
      </c>
    </row>
    <row r="195">
      <c r="A195" t="inlineStr">
        <is>
          <t>SW-DIFF-258-PAINT</t>
        </is>
      </c>
      <c r="B195" t="inlineStr">
        <is>
          <t>SW-DIFF-258</t>
        </is>
      </c>
      <c r="C195" t="inlineStr">
        <is>
          <t>Sơn tĩnh điện tiêu chuẩn Polyester</t>
        </is>
      </c>
      <c r="D195" t="inlineStr">
        <is>
          <t>SƠN_TĨNH_ĐIỆN</t>
        </is>
      </c>
      <c r="E195" t="inlineStr">
        <is>
          <t>MAT-PAINT-POWDER</t>
        </is>
      </c>
      <c r="F195" t="inlineStr">
        <is>
          <t>m2</t>
        </is>
      </c>
      <c r="G195" s="394" t="n">
        <v>2.25</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Diện tích phủ sơn 2.250m2</t>
        </is>
      </c>
    </row>
    <row r="196">
      <c r="A196" t="inlineStr">
        <is>
          <t>SW-DIFF-333-FRAME</t>
        </is>
      </c>
      <c r="B196" t="inlineStr">
        <is>
          <t>SW-DIFF-333</t>
        </is>
      </c>
      <c r="C196" t="inlineStr">
        <is>
          <t>Khung nhôm định hình (Z)</t>
        </is>
      </c>
      <c r="D196" t="inlineStr">
        <is>
          <t>NHÔM_ĐỊNH_HÌNH</t>
        </is>
      </c>
      <c r="E196" t="inlineStr">
        <is>
          <t>MAT-ALU-KHUNG-Z-2-LOP</t>
        </is>
      </c>
      <c r="F196" t="inlineStr">
        <is>
          <t>kg</t>
        </is>
      </c>
      <c r="G196" s="394" t="n">
        <v>0.14301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Dài cắt 0.63m @ 0.227kg/m</t>
        </is>
      </c>
    </row>
    <row r="197">
      <c r="A197" t="inlineStr">
        <is>
          <t>SW-DIFF-333-BLADE</t>
        </is>
      </c>
      <c r="B197" t="inlineStr">
        <is>
          <t>SW-DIFF-333</t>
        </is>
      </c>
      <c r="C197" t="inlineStr">
        <is>
          <t>Nan nhôm định hình (Z)</t>
        </is>
      </c>
      <c r="D197" t="inlineStr">
        <is>
          <t>NHÔM_ĐỊNH_HÌNH</t>
        </is>
      </c>
      <c r="E197" t="inlineStr">
        <is>
          <t>MAT-ALU-NAN-Z-DAY</t>
        </is>
      </c>
      <c r="F197" t="inlineStr">
        <is>
          <t>kg</t>
        </is>
      </c>
      <c r="G197" s="394" t="n">
        <v>0.127596</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4 nan dài 0.59m @ 0.217kg/m</t>
        </is>
      </c>
    </row>
    <row r="198">
      <c r="A198" t="inlineStr">
        <is>
          <t>SW-DIFF-333-ACCESSORY</t>
        </is>
      </c>
      <c r="B198" t="inlineStr">
        <is>
          <t>SW-DIFF-333</t>
        </is>
      </c>
      <c r="C198" t="inlineStr">
        <is>
          <t>Phụ kiện lắp ghép / Ke góc cửa gió</t>
        </is>
      </c>
      <c r="D198" t="inlineStr">
        <is>
          <t>PHỤ_KIỆN_CỬA</t>
        </is>
      </c>
      <c r="E198" t="inlineStr">
        <is>
          <t>MAT-DOOR-ACCESSORY</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4 ke góc chìm và vít ghép khung</t>
        </is>
      </c>
    </row>
    <row r="199">
      <c r="A199" t="inlineStr">
        <is>
          <t>SW-DIFF-333-PAINT</t>
        </is>
      </c>
      <c r="B199" t="inlineStr">
        <is>
          <t>SW-DIFF-333</t>
        </is>
      </c>
      <c r="C199" t="inlineStr">
        <is>
          <t>Sơn tĩnh điện tiêu chuẩn Polyester</t>
        </is>
      </c>
      <c r="D199" t="inlineStr">
        <is>
          <t>SƠN_TĨNH_ĐIỆN</t>
        </is>
      </c>
      <c r="E199" t="inlineStr">
        <is>
          <t>MAT-PAINT-POWDER</t>
        </is>
      </c>
      <c r="F199" t="inlineStr">
        <is>
          <t>m2</t>
        </is>
      </c>
      <c r="G199" s="394" t="n">
        <v>0.03375</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Diện tích phủ sơn 0.034m2</t>
        </is>
      </c>
    </row>
    <row r="200">
      <c r="A200" t="inlineStr">
        <is>
          <t>SW-DIFF-334-FRAME</t>
        </is>
      </c>
      <c r="B200" t="inlineStr">
        <is>
          <t>SW-DIFF-334</t>
        </is>
      </c>
      <c r="C200" t="inlineStr">
        <is>
          <t>Khung nhôm định hình (Z)</t>
        </is>
      </c>
      <c r="D200" t="inlineStr">
        <is>
          <t>NHÔM_ĐỊNH_HÌNH</t>
        </is>
      </c>
      <c r="E200" t="inlineStr">
        <is>
          <t>MAT-ALU-KHUNG-Z-2-LOP</t>
        </is>
      </c>
      <c r="F200" t="inlineStr">
        <is>
          <t>kg</t>
        </is>
      </c>
      <c r="G200" s="394" t="n">
        <v>0.28602</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Dài cắt 1.26m @ 0.227kg/m</t>
        </is>
      </c>
    </row>
    <row r="201">
      <c r="A201" t="inlineStr">
        <is>
          <t>SW-DIFF-334-BLADE</t>
        </is>
      </c>
      <c r="B201" t="inlineStr">
        <is>
          <t>SW-DIFF-334</t>
        </is>
      </c>
      <c r="C201" t="inlineStr">
        <is>
          <t>Nan nhôm định hình (Z)</t>
        </is>
      </c>
      <c r="D201" t="inlineStr">
        <is>
          <t>NHÔM_ĐỊNH_HÌNH</t>
        </is>
      </c>
      <c r="E201" t="inlineStr">
        <is>
          <t>MAT-ALU-NAN-Z-DAY</t>
        </is>
      </c>
      <c r="F201" t="inlineStr">
        <is>
          <t>kg</t>
        </is>
      </c>
      <c r="G201" s="394" t="n">
        <v>0.528612</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8 nan dài 2.44m @ 0.217kg/m</t>
        </is>
      </c>
    </row>
    <row r="202">
      <c r="A202" t="inlineStr">
        <is>
          <t>SW-DIFF-334-ACCESSORY</t>
        </is>
      </c>
      <c r="B202" t="inlineStr">
        <is>
          <t>SW-DIFF-334</t>
        </is>
      </c>
      <c r="C202" t="inlineStr">
        <is>
          <t>Phụ kiện lắp ghép / Ke góc cửa gió</t>
        </is>
      </c>
      <c r="D202" t="inlineStr">
        <is>
          <t>PHỤ_KIỆN_CỬA</t>
        </is>
      </c>
      <c r="E202" t="inlineStr">
        <is>
          <t>MAT-DOOR-ACCESSORY</t>
        </is>
      </c>
      <c r="F202" t="inlineStr">
        <is>
          <t>Bộ</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4 ke góc chìm và vít ghép khung</t>
        </is>
      </c>
    </row>
    <row r="203">
      <c r="A203" t="inlineStr">
        <is>
          <t>SW-DIFF-334-PAINT</t>
        </is>
      </c>
      <c r="B203" t="inlineStr">
        <is>
          <t>SW-DIFF-334</t>
        </is>
      </c>
      <c r="C203" t="inlineStr">
        <is>
          <t>Sơn tĩnh điện tiêu chuẩn Polyester</t>
        </is>
      </c>
      <c r="D203" t="inlineStr">
        <is>
          <t>SƠN_TĨNH_ĐIỆN</t>
        </is>
      </c>
      <c r="E203" t="inlineStr">
        <is>
          <t>MAT-PAINT-POWDER</t>
        </is>
      </c>
      <c r="F203" t="inlineStr">
        <is>
          <t>m2</t>
        </is>
      </c>
      <c r="G203" s="394" t="n">
        <v>0.135</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Diện tích phủ sơn 0.135m2</t>
        </is>
      </c>
    </row>
    <row r="204">
      <c r="A204" t="inlineStr">
        <is>
          <t>SW-DIFF-335-FRAME</t>
        </is>
      </c>
      <c r="B204" t="inlineStr">
        <is>
          <t>SW-DIFF-335</t>
        </is>
      </c>
      <c r="C204" t="inlineStr">
        <is>
          <t>Khung nhôm định hình (Z)</t>
        </is>
      </c>
      <c r="D204" t="inlineStr">
        <is>
          <t>NHÔM_ĐỊNH_HÌNH</t>
        </is>
      </c>
      <c r="E204" t="inlineStr">
        <is>
          <t>MAT-ALU-KHUNG-Z-2-LOP</t>
        </is>
      </c>
      <c r="F204" t="inlineStr">
        <is>
          <t>kg</t>
        </is>
      </c>
      <c r="G204" s="394" t="n">
        <v>0.33369</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Dài cắt 1.47m @ 0.227kg/m</t>
        </is>
      </c>
    </row>
    <row r="205">
      <c r="A205" t="inlineStr">
        <is>
          <t>SW-DIFF-335-BLADE</t>
        </is>
      </c>
      <c r="B205" t="inlineStr">
        <is>
          <t>SW-DIFF-335</t>
        </is>
      </c>
      <c r="C205" t="inlineStr">
        <is>
          <t>Nan nhôm định hình (Z)</t>
        </is>
      </c>
      <c r="D205" t="inlineStr">
        <is>
          <t>NHÔM_ĐỊNH_HÌNH</t>
        </is>
      </c>
      <c r="E205" t="inlineStr">
        <is>
          <t>MAT-ALU-NAN-Z-DAY</t>
        </is>
      </c>
      <c r="F205" t="inlineStr">
        <is>
          <t>kg</t>
        </is>
      </c>
      <c r="G205" s="394" t="n">
        <v>0.7108920000000001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8 nan dài 3.28m @ 0.217kg/m</t>
        </is>
      </c>
    </row>
    <row r="206">
      <c r="A206" t="inlineStr">
        <is>
          <t>SW-DIFF-335-ACCESSORY</t>
        </is>
      </c>
      <c r="B206" t="inlineStr">
        <is>
          <t>SW-DIFF-335</t>
        </is>
      </c>
      <c r="C206" t="inlineStr">
        <is>
          <t>Phụ kiện lắp ghép / Ke góc cửa gió</t>
        </is>
      </c>
      <c r="D206" t="inlineStr">
        <is>
          <t>PHỤ_KIỆN_CỬA</t>
        </is>
      </c>
      <c r="E206" t="inlineStr">
        <is>
          <t>MAT-DOOR-ACCESSORY</t>
        </is>
      </c>
      <c r="F206" t="inlineStr">
        <is>
          <t>Bộ</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4 ke góc chìm và vít ghép khung</t>
        </is>
      </c>
    </row>
    <row r="207">
      <c r="A207" t="inlineStr">
        <is>
          <t>SW-DIFF-335-PAINT</t>
        </is>
      </c>
      <c r="B207" t="inlineStr">
        <is>
          <t>SW-DIFF-335</t>
        </is>
      </c>
      <c r="C207" t="inlineStr">
        <is>
          <t>Sơn tĩnh điện tiêu chuẩn Polyester</t>
        </is>
      </c>
      <c r="D207" t="inlineStr">
        <is>
          <t>SƠN_TĨNH_ĐIỆN</t>
        </is>
      </c>
      <c r="E207" t="inlineStr">
        <is>
          <t>MAT-PAINT-POWDER</t>
        </is>
      </c>
      <c r="F207" t="inlineStr">
        <is>
          <t>m2</t>
        </is>
      </c>
      <c r="G207" s="394" t="n">
        <v>0.18</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Diện tích phủ sơn 0.180m2</t>
        </is>
      </c>
    </row>
    <row r="208">
      <c r="A208" t="inlineStr">
        <is>
          <t>SW-DIFF-336-FRAME</t>
        </is>
      </c>
      <c r="B208" t="inlineStr">
        <is>
          <t>SW-DIFF-336</t>
        </is>
      </c>
      <c r="C208" t="inlineStr">
        <is>
          <t>Khung nhôm định hình (Z)</t>
        </is>
      </c>
      <c r="D208" t="inlineStr">
        <is>
          <t>NHÔM_ĐỊNH_HÌNH</t>
        </is>
      </c>
      <c r="E208" t="inlineStr">
        <is>
          <t>MAT-ALU-KHUNG-Z-2-LOP</t>
        </is>
      </c>
      <c r="F208" t="inlineStr">
        <is>
          <t>kg</t>
        </is>
      </c>
      <c r="G208" s="394" t="n">
        <v>0.9534</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Dài cắt 4.20m @ 0.227kg/m</t>
        </is>
      </c>
    </row>
    <row r="209">
      <c r="A209" t="inlineStr">
        <is>
          <t>SW-DIFF-336-BLADE</t>
        </is>
      </c>
      <c r="B209" t="inlineStr">
        <is>
          <t>SW-DIFF-336</t>
        </is>
      </c>
      <c r="C209" t="inlineStr">
        <is>
          <t>Nan nhôm định hình (Z)</t>
        </is>
      </c>
      <c r="D209" t="inlineStr">
        <is>
          <t>NHÔM_ĐỊNH_HÌNH</t>
        </is>
      </c>
      <c r="E209" t="inlineStr">
        <is>
          <t>MAT-ALU-NAN-Z-DAY</t>
        </is>
      </c>
      <c r="F209" t="inlineStr">
        <is>
          <t>kg</t>
        </is>
      </c>
      <c r="G209" s="394" t="n">
        <v>5.422829999999999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20 nan dài 24.99m @ 0.217kg/m</t>
        </is>
      </c>
    </row>
    <row r="210">
      <c r="A210" t="inlineStr">
        <is>
          <t>SW-DIFF-336-ACCESSORY</t>
        </is>
      </c>
      <c r="B210" t="inlineStr">
        <is>
          <t>SW-DIFF-336</t>
        </is>
      </c>
      <c r="C210" t="inlineStr">
        <is>
          <t>Phụ kiện lắp ghép / Ke góc cửa gió</t>
        </is>
      </c>
      <c r="D210" t="inlineStr">
        <is>
          <t>PHỤ_KIỆN_CỬA</t>
        </is>
      </c>
      <c r="E210" t="inlineStr">
        <is>
          <t>MAT-DOOR-ACCESSORY</t>
        </is>
      </c>
      <c r="F210" t="inlineStr">
        <is>
          <t>Bộ</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4 ke góc chìm và vít ghép khung</t>
        </is>
      </c>
    </row>
    <row r="211">
      <c r="A211" t="inlineStr">
        <is>
          <t>SW-DIFF-336-PAINT</t>
        </is>
      </c>
      <c r="B211" t="inlineStr">
        <is>
          <t>SW-DIFF-336</t>
        </is>
      </c>
      <c r="C211" t="inlineStr">
        <is>
          <t>Sơn tĩnh điện tiêu chuẩn Polyester</t>
        </is>
      </c>
      <c r="D211" t="inlineStr">
        <is>
          <t>SƠN_TĨNH_ĐIỆN</t>
        </is>
      </c>
      <c r="E211" t="inlineStr">
        <is>
          <t>MAT-PAINT-POWDER</t>
        </is>
      </c>
      <c r="F211" t="inlineStr">
        <is>
          <t>m2</t>
        </is>
      </c>
      <c r="G211" s="394" t="n">
        <v>1.44</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Diện tích phủ sơn 1.440m2</t>
        </is>
      </c>
    </row>
    <row r="212">
      <c r="A212" t="inlineStr">
        <is>
          <t>SW-DIFF-337-FRAME</t>
        </is>
      </c>
      <c r="B212" t="inlineStr">
        <is>
          <t>SW-DIFF-337</t>
        </is>
      </c>
      <c r="C212" t="inlineStr">
        <is>
          <t>Khung nhôm định hình (Z)</t>
        </is>
      </c>
      <c r="D212" t="inlineStr">
        <is>
          <t>NHÔM_ĐỊNH_HÌNH</t>
        </is>
      </c>
      <c r="E212" t="inlineStr">
        <is>
          <t>MAT-ALU-KHUNG-Z-2-LOP</t>
        </is>
      </c>
      <c r="F212" t="inlineStr">
        <is>
          <t>kg</t>
        </is>
      </c>
      <c r="G212" s="394" t="n">
        <v>0.66738</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Dài cắt 2.94m @ 0.227kg/m</t>
        </is>
      </c>
    </row>
    <row r="213">
      <c r="A213" t="inlineStr">
        <is>
          <t>SW-DIFF-337-BLADE</t>
        </is>
      </c>
      <c r="B213" t="inlineStr">
        <is>
          <t>SW-DIFF-337</t>
        </is>
      </c>
      <c r="C213" t="inlineStr">
        <is>
          <t>Nan nhôm định hình (Z)</t>
        </is>
      </c>
      <c r="D213" t="inlineStr">
        <is>
          <t>NHÔM_ĐỊNH_HÌNH</t>
        </is>
      </c>
      <c r="E213" t="inlineStr">
        <is>
          <t>MAT-ALU-NAN-Z-DAY</t>
        </is>
      </c>
      <c r="F213" t="inlineStr">
        <is>
          <t>kg</t>
        </is>
      </c>
      <c r="G213" s="394" t="n">
        <v>2.255715</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10 nan dài 10.40m @ 0.217kg/m</t>
        </is>
      </c>
    </row>
    <row r="214">
      <c r="A214" t="inlineStr">
        <is>
          <t>SW-DIFF-337-ACCESSORY</t>
        </is>
      </c>
      <c r="B214" t="inlineStr">
        <is>
          <t>SW-DIFF-337</t>
        </is>
      </c>
      <c r="C214" t="inlineStr">
        <is>
          <t>Phụ kiện lắp ghép / Ke góc cửa gió</t>
        </is>
      </c>
      <c r="D214" t="inlineStr">
        <is>
          <t>PHỤ_KIỆN_CỬA</t>
        </is>
      </c>
      <c r="E214" t="inlineStr">
        <is>
          <t>MAT-DOOR-ACCESSORY</t>
        </is>
      </c>
      <c r="F214" t="inlineStr">
        <is>
          <t>Bộ</t>
        </is>
      </c>
      <c r="G214" s="394" t="n">
        <v>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4 ke góc chìm và vít ghép khung</t>
        </is>
      </c>
    </row>
    <row r="215">
      <c r="A215" t="inlineStr">
        <is>
          <t>SW-DIFF-337-PAINT</t>
        </is>
      </c>
      <c r="B215" t="inlineStr">
        <is>
          <t>SW-DIFF-337</t>
        </is>
      </c>
      <c r="C215" t="inlineStr">
        <is>
          <t>Sơn tĩnh điện tiêu chuẩn Polyester</t>
        </is>
      </c>
      <c r="D215" t="inlineStr">
        <is>
          <t>SƠN_TĨNH_ĐIỆN</t>
        </is>
      </c>
      <c r="E215" t="inlineStr">
        <is>
          <t>MAT-PAINT-POWDER</t>
        </is>
      </c>
      <c r="F215" t="inlineStr">
        <is>
          <t>m2</t>
        </is>
      </c>
      <c r="G215" s="394" t="n">
        <v>0.6000000000000001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Diện tích phủ sơn 0.600m2</t>
        </is>
      </c>
    </row>
    <row r="216">
      <c r="A216" t="inlineStr">
        <is>
          <t>SW-DIFF-338-FRAME</t>
        </is>
      </c>
      <c r="B216" t="inlineStr">
        <is>
          <t>SW-DIFF-338</t>
        </is>
      </c>
      <c r="C216" t="inlineStr">
        <is>
          <t>Khung nhôm định hình (Z)</t>
        </is>
      </c>
      <c r="D216" t="inlineStr">
        <is>
          <t>NHÔM_ĐỊNH_HÌNH</t>
        </is>
      </c>
      <c r="E216" t="inlineStr">
        <is>
          <t>MAT-ALU-KHUNG-Z-2-LOP</t>
        </is>
      </c>
      <c r="F216" t="inlineStr">
        <is>
          <t>kg</t>
        </is>
      </c>
      <c r="G216" s="394" t="n">
        <v>0.4767</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Dài cắt 2.10m @ 0.227kg/m</t>
        </is>
      </c>
    </row>
    <row r="217">
      <c r="A217" t="inlineStr">
        <is>
          <t>SW-DIFF-338-BLADE</t>
        </is>
      </c>
      <c r="B217" t="inlineStr">
        <is>
          <t>SW-DIFF-338</t>
        </is>
      </c>
      <c r="C217" t="inlineStr">
        <is>
          <t>Nan nhôm định hình (Z)</t>
        </is>
      </c>
      <c r="D217" t="inlineStr">
        <is>
          <t>NHÔM_ĐỊNH_HÌNH</t>
        </is>
      </c>
      <c r="E217" t="inlineStr">
        <is>
          <t>MAT-ALU-NAN-Z-DAY</t>
        </is>
      </c>
      <c r="F217" t="inlineStr">
        <is>
          <t>kg</t>
        </is>
      </c>
      <c r="G217" s="394" t="n">
        <v>1.344315</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10 nan dài 6.19m @ 0.217kg/m</t>
        </is>
      </c>
    </row>
    <row r="218">
      <c r="A218" t="inlineStr">
        <is>
          <t>SW-DIFF-338-ACCESSORY</t>
        </is>
      </c>
      <c r="B218" t="inlineStr">
        <is>
          <t>SW-DIFF-338</t>
        </is>
      </c>
      <c r="C218" t="inlineStr">
        <is>
          <t>Phụ kiện lắp ghép / Ke góc cửa gió</t>
        </is>
      </c>
      <c r="D218" t="inlineStr">
        <is>
          <t>PHỤ_KIỆN_CỬA</t>
        </is>
      </c>
      <c r="E218" t="inlineStr">
        <is>
          <t>MAT-DOOR-ACCESSORY</t>
        </is>
      </c>
      <c r="F218" t="inlineStr">
        <is>
          <t>Bộ</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4 ke góc chìm và vít ghép khung</t>
        </is>
      </c>
    </row>
    <row r="219">
      <c r="A219" t="inlineStr">
        <is>
          <t>SW-DIFF-338-PAINT</t>
        </is>
      </c>
      <c r="B219" t="inlineStr">
        <is>
          <t>SW-DIFF-338</t>
        </is>
      </c>
      <c r="C219" t="inlineStr">
        <is>
          <t>Sơn tĩnh điện tiêu chuẩn Polyester</t>
        </is>
      </c>
      <c r="D219" t="inlineStr">
        <is>
          <t>SƠN_TĨNH_ĐIỆN</t>
        </is>
      </c>
      <c r="E219" t="inlineStr">
        <is>
          <t>MAT-PAINT-POWDER</t>
        </is>
      </c>
      <c r="F219" t="inlineStr">
        <is>
          <t>m2</t>
        </is>
      </c>
      <c r="G219" s="394" t="n">
        <v>0.36</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Diện tích phủ sơn 0.360m2</t>
        </is>
      </c>
    </row>
    <row r="220">
      <c r="A220" t="inlineStr">
        <is>
          <t>SW-DIFF-339-FRAME</t>
        </is>
      </c>
      <c r="B220" t="inlineStr">
        <is>
          <t>SW-DIFF-339</t>
        </is>
      </c>
      <c r="C220" t="inlineStr">
        <is>
          <t>Khung nhôm định hình (Z)</t>
        </is>
      </c>
      <c r="D220" t="inlineStr">
        <is>
          <t>NHÔM_ĐỊNH_HÌNH</t>
        </is>
      </c>
      <c r="E220" t="inlineStr">
        <is>
          <t>MAT-ALU-KHUNG-Z-2-LOP</t>
        </is>
      </c>
      <c r="F220" t="inlineStr">
        <is>
          <t>kg</t>
        </is>
      </c>
      <c r="G220" s="394" t="n">
        <v>0.28602</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Dài cắt 1.26m @ 0.227kg/m</t>
        </is>
      </c>
    </row>
    <row r="221">
      <c r="A221" t="inlineStr">
        <is>
          <t>SW-DIFF-339-BLADE</t>
        </is>
      </c>
      <c r="B221" t="inlineStr">
        <is>
          <t>SW-DIFF-339</t>
        </is>
      </c>
      <c r="C221" t="inlineStr">
        <is>
          <t>Nan nhôm định hình (Z)</t>
        </is>
      </c>
      <c r="D221" t="inlineStr">
        <is>
          <t>NHÔM_ĐỊNH_HÌNH</t>
        </is>
      </c>
      <c r="E221" t="inlineStr">
        <is>
          <t>MAT-ALU-NAN-Z-DAY</t>
        </is>
      </c>
      <c r="F221" t="inlineStr">
        <is>
          <t>kg</t>
        </is>
      </c>
      <c r="G221" s="394" t="n">
        <v>0.528612</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8 nan dài 2.44m @ 0.217kg/m</t>
        </is>
      </c>
    </row>
    <row r="222">
      <c r="A222" t="inlineStr">
        <is>
          <t>SW-DIFF-339-ACCESSORY</t>
        </is>
      </c>
      <c r="B222" t="inlineStr">
        <is>
          <t>SW-DIFF-339</t>
        </is>
      </c>
      <c r="C222" t="inlineStr">
        <is>
          <t>Phụ kiện lắp ghép / Ke góc cửa gió</t>
        </is>
      </c>
      <c r="D222" t="inlineStr">
        <is>
          <t>PHỤ_KIỆN_CỬA</t>
        </is>
      </c>
      <c r="E222" t="inlineStr">
        <is>
          <t>MAT-DOOR-ACCESSORY</t>
        </is>
      </c>
      <c r="F222" t="inlineStr">
        <is>
          <t>Bộ</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4 ke góc chìm và vít ghép khung</t>
        </is>
      </c>
    </row>
    <row r="223">
      <c r="A223" t="inlineStr">
        <is>
          <t>SW-DIFF-339-PAINT</t>
        </is>
      </c>
      <c r="B223" t="inlineStr">
        <is>
          <t>SW-DIFF-339</t>
        </is>
      </c>
      <c r="C223" t="inlineStr">
        <is>
          <t>Sơn tĩnh điện tiêu chuẩn Polyester</t>
        </is>
      </c>
      <c r="D223" t="inlineStr">
        <is>
          <t>SƠN_TĨNH_ĐIỆN</t>
        </is>
      </c>
      <c r="E223" t="inlineStr">
        <is>
          <t>MAT-PAINT-POWDER</t>
        </is>
      </c>
      <c r="F223" t="inlineStr">
        <is>
          <t>m2</t>
        </is>
      </c>
      <c r="G223" s="394" t="n">
        <v>0.135</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Diện tích phủ sơn 0.135m2</t>
        </is>
      </c>
    </row>
    <row r="224">
      <c r="A224" t="inlineStr">
        <is>
          <t>SW-DIFF-340-FRAME</t>
        </is>
      </c>
      <c r="B224" t="inlineStr">
        <is>
          <t>SW-DIFF-340</t>
        </is>
      </c>
      <c r="C224" t="inlineStr">
        <is>
          <t>Khung nhôm định hình (Z)</t>
        </is>
      </c>
      <c r="D224" t="inlineStr">
        <is>
          <t>NHÔM_ĐỊNH_HÌNH</t>
        </is>
      </c>
      <c r="E224" t="inlineStr">
        <is>
          <t>MAT-ALU-KHUNG-Z-2-LOP</t>
        </is>
      </c>
      <c r="F224" t="inlineStr">
        <is>
          <t>kg</t>
        </is>
      </c>
      <c r="G224" s="394" t="n">
        <v>0.214515</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Dài cắt 0.95m @ 0.227kg/m</t>
        </is>
      </c>
    </row>
    <row r="225">
      <c r="A225" t="inlineStr">
        <is>
          <t>SW-DIFF-340-BLADE</t>
        </is>
      </c>
      <c r="B225" t="inlineStr">
        <is>
          <t>SW-DIFF-340</t>
        </is>
      </c>
      <c r="C225" t="inlineStr">
        <is>
          <t>Nan nhôm định hình (Z)</t>
        </is>
      </c>
      <c r="D225" t="inlineStr">
        <is>
          <t>NHÔM_ĐỊNH_HÌNH</t>
        </is>
      </c>
      <c r="E225" t="inlineStr">
        <is>
          <t>MAT-ALU-NAN-Z-DAY</t>
        </is>
      </c>
      <c r="F225" t="inlineStr">
        <is>
          <t>kg</t>
        </is>
      </c>
      <c r="G225" s="394" t="n">
        <v>0.264306</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4 nan dài 1.22m @ 0.217kg/m</t>
        </is>
      </c>
    </row>
    <row r="226">
      <c r="A226" t="inlineStr">
        <is>
          <t>SW-DIFF-340-ACCESSORY</t>
        </is>
      </c>
      <c r="B226" t="inlineStr">
        <is>
          <t>SW-DIFF-340</t>
        </is>
      </c>
      <c r="C226" t="inlineStr">
        <is>
          <t>Phụ kiện lắp ghép / Ke góc cửa gió</t>
        </is>
      </c>
      <c r="D226" t="inlineStr">
        <is>
          <t>PHỤ_KIỆN_CỬA</t>
        </is>
      </c>
      <c r="E226" t="inlineStr">
        <is>
          <t>MAT-DOOR-ACCESSORY</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4 ke góc chìm và vít ghép khung</t>
        </is>
      </c>
    </row>
    <row r="227">
      <c r="A227" t="inlineStr">
        <is>
          <t>SW-DIFF-340-PAINT</t>
        </is>
      </c>
      <c r="B227" t="inlineStr">
        <is>
          <t>SW-DIFF-340</t>
        </is>
      </c>
      <c r="C227" t="inlineStr">
        <is>
          <t>Sơn tĩnh điện tiêu chuẩn Polyester</t>
        </is>
      </c>
      <c r="D227" t="inlineStr">
        <is>
          <t>SƠN_TĨNH_ĐIỆN</t>
        </is>
      </c>
      <c r="E227" t="inlineStr">
        <is>
          <t>MAT-PAINT-POWDER</t>
        </is>
      </c>
      <c r="F227" t="inlineStr">
        <is>
          <t>m2</t>
        </is>
      </c>
      <c r="G227" s="394" t="n">
        <v>0.0675</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Diện tích phủ sơn 0.068m2</t>
        </is>
      </c>
    </row>
    <row r="228">
      <c r="A228" t="inlineStr">
        <is>
          <t>SW-DIFF-341-FRAME</t>
        </is>
      </c>
      <c r="B228" t="inlineStr">
        <is>
          <t>SW-DIFF-341</t>
        </is>
      </c>
      <c r="C228" t="inlineStr">
        <is>
          <t>Khung nhôm định hình (Z)</t>
        </is>
      </c>
      <c r="D228" t="inlineStr">
        <is>
          <t>NHÔM_ĐỊNH_HÌNH</t>
        </is>
      </c>
      <c r="E228" t="inlineStr">
        <is>
          <t>MAT-ALU-KHUNG-Z-2-LOP</t>
        </is>
      </c>
      <c r="F228" t="inlineStr">
        <is>
          <t>kg</t>
        </is>
      </c>
      <c r="G228" s="394" t="n">
        <v>0.2621850000000001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Dài cắt 1.16m @ 0.227kg/m</t>
        </is>
      </c>
    </row>
    <row r="229">
      <c r="A229" t="inlineStr">
        <is>
          <t>SW-DIFF-341-BLADE</t>
        </is>
      </c>
      <c r="B229" t="inlineStr">
        <is>
          <t>SW-DIFF-341</t>
        </is>
      </c>
      <c r="C229" t="inlineStr">
        <is>
          <t>Nan nhôm định hình (Z)</t>
        </is>
      </c>
      <c r="D229" t="inlineStr">
        <is>
          <t>NHÔM_ĐỊNH_HÌNH</t>
        </is>
      </c>
      <c r="E229" t="inlineStr">
        <is>
          <t>MAT-ALU-NAN-Z-DAY</t>
        </is>
      </c>
      <c r="F229" t="inlineStr">
        <is>
          <t>kg</t>
        </is>
      </c>
      <c r="G229" s="394" t="n">
        <v>0.355446</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4 nan dài 1.64m @ 0.217kg/m</t>
        </is>
      </c>
    </row>
    <row r="230">
      <c r="A230" t="inlineStr">
        <is>
          <t>SW-DIFF-341-ACCESSORY</t>
        </is>
      </c>
      <c r="B230" t="inlineStr">
        <is>
          <t>SW-DIFF-341</t>
        </is>
      </c>
      <c r="C230" t="inlineStr">
        <is>
          <t>Phụ kiện lắp ghép / Ke góc cửa gió</t>
        </is>
      </c>
      <c r="D230" t="inlineStr">
        <is>
          <t>PHỤ_KIỆN_CỬA</t>
        </is>
      </c>
      <c r="E230" t="inlineStr">
        <is>
          <t>MAT-DOOR-ACCESSORY</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4 ke góc chìm và vít ghép khung</t>
        </is>
      </c>
    </row>
    <row r="231">
      <c r="A231" t="inlineStr">
        <is>
          <t>SW-DIFF-341-PAINT</t>
        </is>
      </c>
      <c r="B231" t="inlineStr">
        <is>
          <t>SW-DIFF-341</t>
        </is>
      </c>
      <c r="C231" t="inlineStr">
        <is>
          <t>Sơn tĩnh điện tiêu chuẩn Polyester</t>
        </is>
      </c>
      <c r="D231" t="inlineStr">
        <is>
          <t>SƠN_TĨNH_ĐIỆN</t>
        </is>
      </c>
      <c r="E231" t="inlineStr">
        <is>
          <t>MAT-PAINT-POWDER</t>
        </is>
      </c>
      <c r="F231" t="inlineStr">
        <is>
          <t>m2</t>
        </is>
      </c>
      <c r="G231" s="394" t="n">
        <v>0.09</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Diện tích phủ sơn 0.090m2</t>
        </is>
      </c>
    </row>
    <row r="232">
      <c r="A232" t="inlineStr">
        <is>
          <t>SW-DIFF-342-FRAME</t>
        </is>
      </c>
      <c r="B232" t="inlineStr">
        <is>
          <t>SW-DIFF-342</t>
        </is>
      </c>
      <c r="C232" t="inlineStr">
        <is>
          <t>Khung nhôm định hình (Z)</t>
        </is>
      </c>
      <c r="D232" t="inlineStr">
        <is>
          <t>NHÔM_ĐỊNH_HÌNH</t>
        </is>
      </c>
      <c r="E232" t="inlineStr">
        <is>
          <t>MAT-ALU-KHUNG-Z-2-LOP</t>
        </is>
      </c>
      <c r="F232" t="inlineStr">
        <is>
          <t>kg</t>
        </is>
      </c>
      <c r="G232" s="394" t="n">
        <v>0.5005350000000001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Dài cắt 2.21m @ 0.227kg/m</t>
        </is>
      </c>
    </row>
    <row r="233">
      <c r="A233" t="inlineStr">
        <is>
          <t>SW-DIFF-342-BLADE</t>
        </is>
      </c>
      <c r="B233" t="inlineStr">
        <is>
          <t>SW-DIFF-342</t>
        </is>
      </c>
      <c r="C233" t="inlineStr">
        <is>
          <t>Nan nhôm định hình (Z)</t>
        </is>
      </c>
      <c r="D233" t="inlineStr">
        <is>
          <t>NHÔM_ĐỊNH_HÌNH</t>
        </is>
      </c>
      <c r="E233" t="inlineStr">
        <is>
          <t>MAT-ALU-NAN-Z-DAY</t>
        </is>
      </c>
      <c r="F233" t="inlineStr">
        <is>
          <t>kg</t>
        </is>
      </c>
      <c r="G233" s="394" t="n">
        <v>1.2600105</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7 nan dài 5.81m @ 0.217kg/m</t>
        </is>
      </c>
    </row>
    <row r="234">
      <c r="A234" t="inlineStr">
        <is>
          <t>SW-DIFF-342-ACCESSORY</t>
        </is>
      </c>
      <c r="B234" t="inlineStr">
        <is>
          <t>SW-DIFF-342</t>
        </is>
      </c>
      <c r="C234" t="inlineStr">
        <is>
          <t>Phụ kiện lắp ghép / Ke góc cửa gió</t>
        </is>
      </c>
      <c r="D234" t="inlineStr">
        <is>
          <t>PHỤ_KIỆN_CỬA</t>
        </is>
      </c>
      <c r="E234" t="inlineStr">
        <is>
          <t>MAT-DOOR-ACCESSORY</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4 ke góc chìm và vít ghép khung</t>
        </is>
      </c>
    </row>
    <row r="235">
      <c r="A235" t="inlineStr">
        <is>
          <t>SW-DIFF-342-PAINT</t>
        </is>
      </c>
      <c r="B235" t="inlineStr">
        <is>
          <t>SW-DIFF-342</t>
        </is>
      </c>
      <c r="C235" t="inlineStr">
        <is>
          <t>Sơn tĩnh điện tiêu chuẩn Polyester</t>
        </is>
      </c>
      <c r="D235" t="inlineStr">
        <is>
          <t>SƠN_TĨNH_ĐIỆN</t>
        </is>
      </c>
      <c r="E235" t="inlineStr">
        <is>
          <t>MAT-PAINT-POWDER</t>
        </is>
      </c>
      <c r="F235" t="inlineStr">
        <is>
          <t>m2</t>
        </is>
      </c>
      <c r="G235" s="394" t="n">
        <v>0.3</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Diện tích phủ sơn 0.300m2</t>
        </is>
      </c>
    </row>
    <row r="236">
      <c r="A236" t="inlineStr">
        <is>
          <t>SW-DIFF-343-FRAME</t>
        </is>
      </c>
      <c r="B236" t="inlineStr">
        <is>
          <t>SW-DIFF-343</t>
        </is>
      </c>
      <c r="C236" t="inlineStr">
        <is>
          <t>Khung nhôm định hình (Z)</t>
        </is>
      </c>
      <c r="D236" t="inlineStr">
        <is>
          <t>NHÔM_ĐỊNH_HÌNH</t>
        </is>
      </c>
      <c r="E236" t="inlineStr">
        <is>
          <t>MAT-ALU-KHUNG-Z-2-LOP</t>
        </is>
      </c>
      <c r="F236" t="inlineStr">
        <is>
          <t>kg</t>
        </is>
      </c>
      <c r="G236" s="394" t="n">
        <v>0.7388850000000001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Dài cắt 3.26m @ 0.227kg/m</t>
        </is>
      </c>
    </row>
    <row r="237">
      <c r="A237" t="inlineStr">
        <is>
          <t>SW-DIFF-343-BLADE</t>
        </is>
      </c>
      <c r="B237" t="inlineStr">
        <is>
          <t>SW-DIFF-343</t>
        </is>
      </c>
      <c r="C237" t="inlineStr">
        <is>
          <t>Nan nhôm định hình (Z)</t>
        </is>
      </c>
      <c r="D237" t="inlineStr">
        <is>
          <t>NHÔM_ĐỊNH_HÌNH</t>
        </is>
      </c>
      <c r="E237" t="inlineStr">
        <is>
          <t>MAT-ALU-NAN-Z-DAY</t>
        </is>
      </c>
      <c r="F237" t="inlineStr">
        <is>
          <t>kg</t>
        </is>
      </c>
      <c r="G237" s="394" t="n">
        <v>2.4402735</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9 nan dài 11.25m @ 0.217kg/m</t>
        </is>
      </c>
    </row>
    <row r="238">
      <c r="A238" t="inlineStr">
        <is>
          <t>SW-DIFF-343-ACCESSORY</t>
        </is>
      </c>
      <c r="B238" t="inlineStr">
        <is>
          <t>SW-DIFF-343</t>
        </is>
      </c>
      <c r="C238" t="inlineStr">
        <is>
          <t>Phụ kiện lắp ghép / Ke góc cửa gió</t>
        </is>
      </c>
      <c r="D238" t="inlineStr">
        <is>
          <t>PHỤ_KIỆN_CỬA</t>
        </is>
      </c>
      <c r="E238" t="inlineStr">
        <is>
          <t>MAT-DOOR-ACCESSORY</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4 ke góc chìm và vít ghép khung</t>
        </is>
      </c>
    </row>
    <row r="239">
      <c r="A239" t="inlineStr">
        <is>
          <t>SW-DIFF-343-PAINT</t>
        </is>
      </c>
      <c r="B239" t="inlineStr">
        <is>
          <t>SW-DIFF-343</t>
        </is>
      </c>
      <c r="C239" t="inlineStr">
        <is>
          <t>Sơn tĩnh điện tiêu chuẩn Polyester</t>
        </is>
      </c>
      <c r="D239" t="inlineStr">
        <is>
          <t>SƠN_TĨNH_ĐIỆN</t>
        </is>
      </c>
      <c r="E239" t="inlineStr">
        <is>
          <t>MAT-PAINT-POWDER</t>
        </is>
      </c>
      <c r="F239" t="inlineStr">
        <is>
          <t>m2</t>
        </is>
      </c>
      <c r="G239" s="394" t="n">
        <v>0.63</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Diện tích phủ sơn 0.630m2</t>
        </is>
      </c>
    </row>
    <row r="240">
      <c r="A240" t="inlineStr">
        <is>
          <t>SW-DIFF-344-FRAME</t>
        </is>
      </c>
      <c r="B240" t="inlineStr">
        <is>
          <t>SW-DIFF-344</t>
        </is>
      </c>
      <c r="C240" t="inlineStr">
        <is>
          <t>Khung nhôm định hình (Z)</t>
        </is>
      </c>
      <c r="D240" t="inlineStr">
        <is>
          <t>NHÔM_ĐỊNH_HÌNH</t>
        </is>
      </c>
      <c r="E240" t="inlineStr">
        <is>
          <t>MAT-ALU-KHUNG-Z-2-LOP</t>
        </is>
      </c>
      <c r="F240" t="inlineStr">
        <is>
          <t>kg</t>
        </is>
      </c>
      <c r="G240" s="394" t="n">
        <v>0.6197100000000001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Dài cắt 2.73m @ 0.227kg/m</t>
        </is>
      </c>
    </row>
    <row r="241">
      <c r="A241" t="inlineStr">
        <is>
          <t>SW-DIFF-344-BLADE</t>
        </is>
      </c>
      <c r="B241" t="inlineStr">
        <is>
          <t>SW-DIFF-344</t>
        </is>
      </c>
      <c r="C241" t="inlineStr">
        <is>
          <t>Nan nhôm định hình (Z)</t>
        </is>
      </c>
      <c r="D241" t="inlineStr">
        <is>
          <t>NHÔM_ĐỊNH_HÌNH</t>
        </is>
      </c>
      <c r="E241" t="inlineStr">
        <is>
          <t>MAT-ALU-NAN-Z-DAY</t>
        </is>
      </c>
      <c r="F241" t="inlineStr">
        <is>
          <t>kg</t>
        </is>
      </c>
      <c r="G241" s="394" t="n">
        <v>1.804572</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8 nan dài 8.32m @ 0.217kg/m</t>
        </is>
      </c>
    </row>
    <row r="242">
      <c r="A242" t="inlineStr">
        <is>
          <t>SW-DIFF-344-ACCESSORY</t>
        </is>
      </c>
      <c r="B242" t="inlineStr">
        <is>
          <t>SW-DIFF-344</t>
        </is>
      </c>
      <c r="C242" t="inlineStr">
        <is>
          <t>Phụ kiện lắp ghép / Ke góc cửa gió</t>
        </is>
      </c>
      <c r="D242" t="inlineStr">
        <is>
          <t>PHỤ_KIỆN_CỬA</t>
        </is>
      </c>
      <c r="E242" t="inlineStr">
        <is>
          <t>MAT-DOOR-ACCESSORY</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4 ke góc chìm và vít ghép khung</t>
        </is>
      </c>
    </row>
    <row r="243">
      <c r="A243" t="inlineStr">
        <is>
          <t>SW-DIFF-344-PAINT</t>
        </is>
      </c>
      <c r="B243" t="inlineStr">
        <is>
          <t>SW-DIFF-344</t>
        </is>
      </c>
      <c r="C243" t="inlineStr">
        <is>
          <t>Sơn tĩnh điện tiêu chuẩn Polyester</t>
        </is>
      </c>
      <c r="D243" t="inlineStr">
        <is>
          <t>SƠN_TĨNH_ĐIỆN</t>
        </is>
      </c>
      <c r="E243" t="inlineStr">
        <is>
          <t>MAT-PAINT-POWDER</t>
        </is>
      </c>
      <c r="F243" t="inlineStr">
        <is>
          <t>m2</t>
        </is>
      </c>
      <c r="G243" s="394" t="n">
        <v>0.45</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Diện tích phủ sơn 0.450m2</t>
        </is>
      </c>
    </row>
    <row r="244">
      <c r="A244" t="inlineStr">
        <is>
          <t>SW-DIFF-345-FRAME</t>
        </is>
      </c>
      <c r="B244" t="inlineStr">
        <is>
          <t>SW-DIFF-345</t>
        </is>
      </c>
      <c r="C244" t="inlineStr">
        <is>
          <t>Khung nhôm định hình (Z)</t>
        </is>
      </c>
      <c r="D244" t="inlineStr">
        <is>
          <t>NHÔM_ĐỊNH_HÌNH</t>
        </is>
      </c>
      <c r="E244" t="inlineStr">
        <is>
          <t>MAT-ALU-KHUNG-Z-2-LOP</t>
        </is>
      </c>
      <c r="F244" t="inlineStr">
        <is>
          <t>kg</t>
        </is>
      </c>
      <c r="G244" s="394" t="n">
        <v>0.5243700000000001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Dài cắt 2.31m @ 0.227kg/m</t>
        </is>
      </c>
    </row>
    <row r="245">
      <c r="A245" t="inlineStr">
        <is>
          <t>SW-DIFF-345-BLADE</t>
        </is>
      </c>
      <c r="B245" t="inlineStr">
        <is>
          <t>SW-DIFF-345</t>
        </is>
      </c>
      <c r="C245" t="inlineStr">
        <is>
          <t>Nan nhôm định hình (Z)</t>
        </is>
      </c>
      <c r="D245" t="inlineStr">
        <is>
          <t>NHÔM_ĐỊNH_HÌNH</t>
        </is>
      </c>
      <c r="E245" t="inlineStr">
        <is>
          <t>MAT-ALU-NAN-Z-DAY</t>
        </is>
      </c>
      <c r="F245" t="inlineStr">
        <is>
          <t>kg</t>
        </is>
      </c>
      <c r="G245" s="394" t="n">
        <v>1.440012</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8 nan dài 6.64m @ 0.217kg/m</t>
        </is>
      </c>
    </row>
    <row r="246">
      <c r="A246" t="inlineStr">
        <is>
          <t>SW-DIFF-345-ACCESSORY</t>
        </is>
      </c>
      <c r="B246" t="inlineStr">
        <is>
          <t>SW-DIFF-345</t>
        </is>
      </c>
      <c r="C246" t="inlineStr">
        <is>
          <t>Phụ kiện lắp ghép / Ke góc cửa gió</t>
        </is>
      </c>
      <c r="D246" t="inlineStr">
        <is>
          <t>PHỤ_KIỆN_CỬA</t>
        </is>
      </c>
      <c r="E246" t="inlineStr">
        <is>
          <t>MAT-DOOR-ACCESSORY</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4 ke góc chìm và vít ghép khung</t>
        </is>
      </c>
    </row>
    <row r="247">
      <c r="A247" t="inlineStr">
        <is>
          <t>SW-DIFF-345-PAINT</t>
        </is>
      </c>
      <c r="B247" t="inlineStr">
        <is>
          <t>SW-DIFF-345</t>
        </is>
      </c>
      <c r="C247" t="inlineStr">
        <is>
          <t>Sơn tĩnh điện tiêu chuẩn Polyester</t>
        </is>
      </c>
      <c r="D247" t="inlineStr">
        <is>
          <t>SƠN_TĨNH_ĐIỆN</t>
        </is>
      </c>
      <c r="E247" t="inlineStr">
        <is>
          <t>MAT-PAINT-POWDER</t>
        </is>
      </c>
      <c r="F247" t="inlineStr">
        <is>
          <t>m2</t>
        </is>
      </c>
      <c r="G247" s="394" t="n">
        <v>0.36</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Diện tích phủ sơn 0.360m2</t>
        </is>
      </c>
    </row>
    <row r="248">
      <c r="A248" t="inlineStr">
        <is>
          <t>SW-DIFF-346-FRAME</t>
        </is>
      </c>
      <c r="B248" t="inlineStr">
        <is>
          <t>SW-DIFF-346</t>
        </is>
      </c>
      <c r="C248" t="inlineStr">
        <is>
          <t>Khung nhôm định hình (Z)</t>
        </is>
      </c>
      <c r="D248" t="inlineStr">
        <is>
          <t>NHÔM_ĐỊNH_HÌNH</t>
        </is>
      </c>
      <c r="E248" t="inlineStr">
        <is>
          <t>MAT-ALU-KHUNG-Z-2-LOP</t>
        </is>
      </c>
      <c r="F248" t="inlineStr">
        <is>
          <t>kg</t>
        </is>
      </c>
      <c r="G248" s="394" t="n">
        <v>0.28602</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Dài cắt 1.26m @ 0.227kg/m</t>
        </is>
      </c>
    </row>
    <row r="249">
      <c r="A249" t="inlineStr">
        <is>
          <t>SW-DIFF-346-BLADE</t>
        </is>
      </c>
      <c r="B249" t="inlineStr">
        <is>
          <t>SW-DIFF-346</t>
        </is>
      </c>
      <c r="C249" t="inlineStr">
        <is>
          <t>Nan nhôm định hình (Z)</t>
        </is>
      </c>
      <c r="D249" t="inlineStr">
        <is>
          <t>NHÔM_ĐỊNH_HÌNH</t>
        </is>
      </c>
      <c r="E249" t="inlineStr">
        <is>
          <t>MAT-ALU-NAN-Z-DAY</t>
        </is>
      </c>
      <c r="F249" t="inlineStr">
        <is>
          <t>kg</t>
        </is>
      </c>
      <c r="G249" s="394" t="n">
        <v>0.4443075000000001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5 nan dài 2.05m @ 0.217kg/m</t>
        </is>
      </c>
    </row>
    <row r="250">
      <c r="A250" t="inlineStr">
        <is>
          <t>SW-DIFF-346-ACCESSORY</t>
        </is>
      </c>
      <c r="B250" t="inlineStr">
        <is>
          <t>SW-DIFF-346</t>
        </is>
      </c>
      <c r="C250" t="inlineStr">
        <is>
          <t>Phụ kiện lắp ghép / Ke góc cửa gió</t>
        </is>
      </c>
      <c r="D250" t="inlineStr">
        <is>
          <t>PHỤ_KIỆN_CỬA</t>
        </is>
      </c>
      <c r="E250" t="inlineStr">
        <is>
          <t>MAT-DOOR-ACCESSORY</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4 ke góc chìm và vít ghép khung</t>
        </is>
      </c>
    </row>
    <row r="251">
      <c r="A251" t="inlineStr">
        <is>
          <t>SW-DIFF-346-PAINT</t>
        </is>
      </c>
      <c r="B251" t="inlineStr">
        <is>
          <t>SW-DIFF-346</t>
        </is>
      </c>
      <c r="C251" t="inlineStr">
        <is>
          <t>Sơn tĩnh điện tiêu chuẩn Polyester</t>
        </is>
      </c>
      <c r="D251" t="inlineStr">
        <is>
          <t>SƠN_TĨNH_ĐIỆN</t>
        </is>
      </c>
      <c r="E251" t="inlineStr">
        <is>
          <t>MAT-PAINT-POWDER</t>
        </is>
      </c>
      <c r="F251" t="inlineStr">
        <is>
          <t>m2</t>
        </is>
      </c>
      <c r="G251" s="394" t="n">
        <v>0.12</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Diện tích phủ sơn 0.120m2</t>
        </is>
      </c>
    </row>
    <row r="252">
      <c r="A252" t="inlineStr">
        <is>
          <t>SW-DIFF-347-FRAME</t>
        </is>
      </c>
      <c r="B252" t="inlineStr">
        <is>
          <t>SW-DIFF-347</t>
        </is>
      </c>
      <c r="C252" t="inlineStr">
        <is>
          <t>Khung nhôm định hình (Z)</t>
        </is>
      </c>
      <c r="D252" t="inlineStr">
        <is>
          <t>NHÔM_ĐỊNH_HÌNH</t>
        </is>
      </c>
      <c r="E252" t="inlineStr">
        <is>
          <t>MAT-ALU-KHUNG-Z-2-LOP</t>
        </is>
      </c>
      <c r="F252" t="inlineStr">
        <is>
          <t>kg</t>
        </is>
      </c>
      <c r="G252" s="394" t="n">
        <v>0.23835</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Dài cắt 1.05m @ 0.227kg/m</t>
        </is>
      </c>
    </row>
    <row r="253">
      <c r="A253" t="inlineStr">
        <is>
          <t>SW-DIFF-347-BLADE</t>
        </is>
      </c>
      <c r="B253" t="inlineStr">
        <is>
          <t>SW-DIFF-347</t>
        </is>
      </c>
      <c r="C253" t="inlineStr">
        <is>
          <t>Nan nhôm định hình (Z)</t>
        </is>
      </c>
      <c r="D253" t="inlineStr">
        <is>
          <t>NHÔM_ĐỊNH_HÌNH</t>
        </is>
      </c>
      <c r="E253" t="inlineStr">
        <is>
          <t>MAT-ALU-NAN-Z-DAY</t>
        </is>
      </c>
      <c r="F253" t="inlineStr">
        <is>
          <t>kg</t>
        </is>
      </c>
      <c r="G253" s="394" t="n">
        <v>0.3303825</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5 nan dài 1.52m @ 0.217kg/m</t>
        </is>
      </c>
    </row>
    <row r="254">
      <c r="A254" t="inlineStr">
        <is>
          <t>SW-DIFF-347-ACCESSORY</t>
        </is>
      </c>
      <c r="B254" t="inlineStr">
        <is>
          <t>SW-DIFF-347</t>
        </is>
      </c>
      <c r="C254" t="inlineStr">
        <is>
          <t>Phụ kiện lắp ghép / Ke góc cửa gió</t>
        </is>
      </c>
      <c r="D254" t="inlineStr">
        <is>
          <t>PHỤ_KIỆN_CỬA</t>
        </is>
      </c>
      <c r="E254" t="inlineStr">
        <is>
          <t>MAT-DOOR-ACCESSORY</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4 ke góc chìm và vít ghép khung</t>
        </is>
      </c>
    </row>
    <row r="255">
      <c r="A255" t="inlineStr">
        <is>
          <t>SW-DIFF-347-PAINT</t>
        </is>
      </c>
      <c r="B255" t="inlineStr">
        <is>
          <t>SW-DIFF-347</t>
        </is>
      </c>
      <c r="C255" t="inlineStr">
        <is>
          <t>Sơn tĩnh điện tiêu chuẩn Polyester</t>
        </is>
      </c>
      <c r="D255" t="inlineStr">
        <is>
          <t>SƠN_TĨNH_ĐIỆN</t>
        </is>
      </c>
      <c r="E255" t="inlineStr">
        <is>
          <t>MAT-PAINT-POWDER</t>
        </is>
      </c>
      <c r="F255" t="inlineStr">
        <is>
          <t>m2</t>
        </is>
      </c>
      <c r="G255" s="394" t="n">
        <v>0.09</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Diện tích phủ sơn 0.090m2</t>
        </is>
      </c>
    </row>
    <row r="256">
      <c r="A256" t="inlineStr">
        <is>
          <t>SW-DIFF-348-FRAME</t>
        </is>
      </c>
      <c r="B256" t="inlineStr">
        <is>
          <t>SW-DIFF-348</t>
        </is>
      </c>
      <c r="C256" t="inlineStr">
        <is>
          <t>Khung nhôm định hình (Z)</t>
        </is>
      </c>
      <c r="D256" t="inlineStr">
        <is>
          <t>NHÔM_ĐỊNH_HÌNH</t>
        </is>
      </c>
      <c r="E256" t="inlineStr">
        <is>
          <t>MAT-ALU-KHUNG-Z-2-LOP</t>
        </is>
      </c>
      <c r="F256" t="inlineStr">
        <is>
          <t>kg</t>
        </is>
      </c>
      <c r="G256" s="394" t="n">
        <v>0.8818950000000001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Dài cắt 3.89m @ 0.227kg/m</t>
        </is>
      </c>
    </row>
    <row r="257">
      <c r="A257" t="inlineStr">
        <is>
          <t>SW-DIFF-348-BLADE</t>
        </is>
      </c>
      <c r="B257" t="inlineStr">
        <is>
          <t>SW-DIFF-348</t>
        </is>
      </c>
      <c r="C257" t="inlineStr">
        <is>
          <t>Nan nhôm định hình (Z)</t>
        </is>
      </c>
      <c r="D257" t="inlineStr">
        <is>
          <t>NHÔM_ĐỊNH_HÌNH</t>
        </is>
      </c>
      <c r="E257" t="inlineStr">
        <is>
          <t>MAT-ALU-NAN-Z-DAY</t>
        </is>
      </c>
      <c r="F257" t="inlineStr">
        <is>
          <t>kg</t>
        </is>
      </c>
      <c r="G257" s="394" t="n">
        <v>4.6094055</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17 nan dài 21.24m @ 0.217kg/m</t>
        </is>
      </c>
    </row>
    <row r="258">
      <c r="A258" t="inlineStr">
        <is>
          <t>SW-DIFF-348-ACCESSORY</t>
        </is>
      </c>
      <c r="B258" t="inlineStr">
        <is>
          <t>SW-DIFF-348</t>
        </is>
      </c>
      <c r="C258" t="inlineStr">
        <is>
          <t>Phụ kiện lắp ghép / Ke góc cửa gió</t>
        </is>
      </c>
      <c r="D258" t="inlineStr">
        <is>
          <t>PHỤ_KIỆN_CỬA</t>
        </is>
      </c>
      <c r="E258" t="inlineStr">
        <is>
          <t>MAT-DOOR-ACCESSORY</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4 ke góc chìm và vít ghép khung</t>
        </is>
      </c>
    </row>
    <row r="259">
      <c r="A259" t="inlineStr">
        <is>
          <t>SW-DIFF-348-PAINT</t>
        </is>
      </c>
      <c r="B259" t="inlineStr">
        <is>
          <t>SW-DIFF-348</t>
        </is>
      </c>
      <c r="C259" t="inlineStr">
        <is>
          <t>Sơn tĩnh điện tiêu chuẩn Polyester</t>
        </is>
      </c>
      <c r="D259" t="inlineStr">
        <is>
          <t>SƠN_TĨNH_ĐIỆN</t>
        </is>
      </c>
      <c r="E259" t="inlineStr">
        <is>
          <t>MAT-PAINT-POWDER</t>
        </is>
      </c>
      <c r="F259" t="inlineStr">
        <is>
          <t>m2</t>
        </is>
      </c>
      <c r="G259" s="394" t="n">
        <v>1.17</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Diện tích phủ sơn 1.170m2</t>
        </is>
      </c>
    </row>
    <row r="260">
      <c r="A260" t="inlineStr">
        <is>
          <t>SW-DIFF-484-FRAME</t>
        </is>
      </c>
      <c r="B260" t="inlineStr">
        <is>
          <t>SW-DIFF-484</t>
        </is>
      </c>
      <c r="C260" t="inlineStr">
        <is>
          <t>Khung nhôm định hình (BD)</t>
        </is>
      </c>
      <c r="D260" t="inlineStr">
        <is>
          <t>NHÔM_ĐỊNH_HÌNH</t>
        </is>
      </c>
      <c r="E260" t="inlineStr">
        <is>
          <t>MAT-ALU-KHUNG-BD</t>
        </is>
      </c>
      <c r="F260" t="inlineStr">
        <is>
          <t>kg</t>
        </is>
      </c>
      <c r="G260" s="394" t="n">
        <v>0.504</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Dài cắt 2.52m @ 0.2kg/m</t>
        </is>
      </c>
    </row>
    <row r="261">
      <c r="A261" t="inlineStr">
        <is>
          <t>SW-DIFF-484-BLADE</t>
        </is>
      </c>
      <c r="B261" t="inlineStr">
        <is>
          <t>SW-DIFF-484</t>
        </is>
      </c>
      <c r="C261" t="inlineStr">
        <is>
          <t>Nan nhôm định hình (BD)</t>
        </is>
      </c>
      <c r="D261" t="inlineStr">
        <is>
          <t>NHÔM_ĐỊNH_HÌNH</t>
        </is>
      </c>
      <c r="E261" t="inlineStr">
        <is>
          <t>MAT-ALU-NAN-BD</t>
        </is>
      </c>
      <c r="F261" t="inlineStr">
        <is>
          <t>kg</t>
        </is>
      </c>
      <c r="G261" s="394" t="n">
        <v>0.8623440000000001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24 nan dài 14.87m @ 0.058kg/m</t>
        </is>
      </c>
    </row>
    <row r="262">
      <c r="A262" t="inlineStr">
        <is>
          <t>SW-DIFF-484-ACCESSORY</t>
        </is>
      </c>
      <c r="B262" t="inlineStr">
        <is>
          <t>SW-DIFF-484</t>
        </is>
      </c>
      <c r="C262" t="inlineStr">
        <is>
          <t>Phụ kiện lắp ghép / Ke góc cửa gió</t>
        </is>
      </c>
      <c r="D262" t="inlineStr">
        <is>
          <t>PHỤ_KIỆN_CỬA</t>
        </is>
      </c>
      <c r="E262" t="inlineStr">
        <is>
          <t>MAT-DOOR-ACCESSORY</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4 ke góc chìm và vít ghép khung</t>
        </is>
      </c>
    </row>
    <row r="263">
      <c r="A263" t="inlineStr">
        <is>
          <t>SW-DIFF-484-PAINT</t>
        </is>
      </c>
      <c r="B263" t="inlineStr">
        <is>
          <t>SW-DIFF-484</t>
        </is>
      </c>
      <c r="C263" t="inlineStr">
        <is>
          <t>Sơn tĩnh điện tiêu chuẩn Polyester</t>
        </is>
      </c>
      <c r="D263" t="inlineStr">
        <is>
          <t>SƠN_TĨNH_ĐIỆN</t>
        </is>
      </c>
      <c r="E263" t="inlineStr">
        <is>
          <t>MAT-PAINT-POWDER</t>
        </is>
      </c>
      <c r="F263" t="inlineStr">
        <is>
          <t>m2</t>
        </is>
      </c>
      <c r="G263" s="394" t="n">
        <v>0.54</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Diện tích phủ sơn 0.540m2</t>
        </is>
      </c>
    </row>
    <row r="264">
      <c r="A264" t="inlineStr">
        <is>
          <t>SW-DIFF-485-FRAME</t>
        </is>
      </c>
      <c r="B264" t="inlineStr">
        <is>
          <t>SW-DIFF-485</t>
        </is>
      </c>
      <c r="C264" t="inlineStr">
        <is>
          <t>Khung nhôm định hình (BD)</t>
        </is>
      </c>
      <c r="D264" t="inlineStr">
        <is>
          <t>NHÔM_ĐỊNH_HÌNH</t>
        </is>
      </c>
      <c r="E264" t="inlineStr">
        <is>
          <t>MAT-ALU-KHUNG-BD</t>
        </is>
      </c>
      <c r="F264" t="inlineStr">
        <is>
          <t>kg</t>
        </is>
      </c>
      <c r="G264" s="394" t="n">
        <v>0.504</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Dài cắt 2.52m @ 0.2kg/m</t>
        </is>
      </c>
    </row>
    <row r="265">
      <c r="A265" t="inlineStr">
        <is>
          <t>SW-DIFF-485-BLADE</t>
        </is>
      </c>
      <c r="B265" t="inlineStr">
        <is>
          <t>SW-DIFF-485</t>
        </is>
      </c>
      <c r="C265" t="inlineStr">
        <is>
          <t>Nan nhôm định hình (BD)</t>
        </is>
      </c>
      <c r="D265" t="inlineStr">
        <is>
          <t>NHÔM_ĐỊNH_HÌNH</t>
        </is>
      </c>
      <c r="E265" t="inlineStr">
        <is>
          <t>MAT-ALU-NAN-BD</t>
        </is>
      </c>
      <c r="F265" t="inlineStr">
        <is>
          <t>kg</t>
        </is>
      </c>
      <c r="G265" s="394" t="n">
        <v>0.8623440000000001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24 nan dài 14.87m @ 0.058kg/m</t>
        </is>
      </c>
    </row>
    <row r="266">
      <c r="A266" t="inlineStr">
        <is>
          <t>SW-DIFF-485-ACCESSORY</t>
        </is>
      </c>
      <c r="B266" t="inlineStr">
        <is>
          <t>SW-DIFF-485</t>
        </is>
      </c>
      <c r="C266" t="inlineStr">
        <is>
          <t>Phụ kiện lắp ghép / Ke góc cửa gió</t>
        </is>
      </c>
      <c r="D266" t="inlineStr">
        <is>
          <t>PHỤ_KIỆN_CỬA</t>
        </is>
      </c>
      <c r="E266" t="inlineStr">
        <is>
          <t>MAT-DOOR-ACCESSORY</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4 ke góc chìm và vít ghép khung</t>
        </is>
      </c>
    </row>
    <row r="267">
      <c r="A267" t="inlineStr">
        <is>
          <t>SW-DIFF-485-PAINT</t>
        </is>
      </c>
      <c r="B267" t="inlineStr">
        <is>
          <t>SW-DIFF-485</t>
        </is>
      </c>
      <c r="C267" t="inlineStr">
        <is>
          <t>Sơn tĩnh điện tiêu chuẩn Polyester</t>
        </is>
      </c>
      <c r="D267" t="inlineStr">
        <is>
          <t>SƠN_TĨNH_ĐIỆN</t>
        </is>
      </c>
      <c r="E267" t="inlineStr">
        <is>
          <t>MAT-PAINT-POWDER</t>
        </is>
      </c>
      <c r="F267" t="inlineStr">
        <is>
          <t>m2</t>
        </is>
      </c>
      <c r="G267" s="394" t="n">
        <v>0.54</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Diện tích phủ sơn 0.540m2</t>
        </is>
      </c>
    </row>
    <row r="268">
      <c r="A268" t="inlineStr">
        <is>
          <t>SW-DIFF-597-FRAME</t>
        </is>
      </c>
      <c r="B268" t="inlineStr">
        <is>
          <t>SW-DIFF-597</t>
        </is>
      </c>
      <c r="C268" t="inlineStr">
        <is>
          <t>Khung nhôm định hình (BD)</t>
        </is>
      </c>
      <c r="D268" t="inlineStr">
        <is>
          <t>NHÔM_ĐỊNH_HÌNH</t>
        </is>
      </c>
      <c r="E268" t="inlineStr">
        <is>
          <t>MAT-ALU-KHUNG-BD</t>
        </is>
      </c>
      <c r="F268" t="inlineStr">
        <is>
          <t>kg</t>
        </is>
      </c>
      <c r="G268" s="394" t="n">
        <v>0.42</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Dài cắt 2.10m @ 0.2kg/m</t>
        </is>
      </c>
    </row>
    <row r="269">
      <c r="A269" t="inlineStr">
        <is>
          <t>SW-DIFF-597-BLADE</t>
        </is>
      </c>
      <c r="B269" t="inlineStr">
        <is>
          <t>SW-DIFF-597</t>
        </is>
      </c>
      <c r="C269" t="inlineStr">
        <is>
          <t>Nan nhôm định hình (BD)</t>
        </is>
      </c>
      <c r="D269" t="inlineStr">
        <is>
          <t>NHÔM_ĐỊNH_HÌNH</t>
        </is>
      </c>
      <c r="E269" t="inlineStr">
        <is>
          <t>MAT-ALU-NAN-BD</t>
        </is>
      </c>
      <c r="F269" t="inlineStr">
        <is>
          <t>kg</t>
        </is>
      </c>
      <c r="G269" s="394" t="n">
        <v>0.216804</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4 nan dài 3.74m @ 0.058kg/m</t>
        </is>
      </c>
    </row>
    <row r="270">
      <c r="A270" t="inlineStr">
        <is>
          <t>SW-DIFF-597-ACCESSORY</t>
        </is>
      </c>
      <c r="B270" t="inlineStr">
        <is>
          <t>SW-DIFF-597</t>
        </is>
      </c>
      <c r="C270" t="inlineStr">
        <is>
          <t>Phụ kiện lắp ghép / Ke góc cửa gió</t>
        </is>
      </c>
      <c r="D270" t="inlineStr">
        <is>
          <t>PHỤ_KIỆN_CỬA</t>
        </is>
      </c>
      <c r="E270" t="inlineStr">
        <is>
          <t>MAT-DOOR-ACCESSORY</t>
        </is>
      </c>
      <c r="F270" t="inlineStr">
        <is>
          <t>Bộ</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4 ke góc chìm và vít ghép khung</t>
        </is>
      </c>
    </row>
    <row r="271">
      <c r="A271" t="inlineStr">
        <is>
          <t>SW-DIFF-597-PAINT</t>
        </is>
      </c>
      <c r="B271" t="inlineStr">
        <is>
          <t>SW-DIFF-597</t>
        </is>
      </c>
      <c r="C271" t="inlineStr">
        <is>
          <t>Sơn tĩnh điện tiêu chuẩn Polyester</t>
        </is>
      </c>
      <c r="D271" t="inlineStr">
        <is>
          <t>SƠN_TĨNH_ĐIỆN</t>
        </is>
      </c>
      <c r="E271" t="inlineStr">
        <is>
          <t>MAT-PAINT-POWDER</t>
        </is>
      </c>
      <c r="F271" t="inlineStr">
        <is>
          <t>m2</t>
        </is>
      </c>
      <c r="G271" s="394" t="n">
        <v>0.135</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Diện tích phủ sơn 0.135m2</t>
        </is>
      </c>
    </row>
    <row r="272">
      <c r="A272" t="inlineStr">
        <is>
          <t>SW-DIFF-598-FRAME</t>
        </is>
      </c>
      <c r="B272" t="inlineStr">
        <is>
          <t>SW-DIFF-598</t>
        </is>
      </c>
      <c r="C272" t="inlineStr">
        <is>
          <t>Khung nhôm định hình (BD)</t>
        </is>
      </c>
      <c r="D272" t="inlineStr">
        <is>
          <t>NHÔM_ĐỊNH_HÌNH</t>
        </is>
      </c>
      <c r="E272" t="inlineStr">
        <is>
          <t>MAT-ALU-KHUNG-BD</t>
        </is>
      </c>
      <c r="F272" t="inlineStr">
        <is>
          <t>kg</t>
        </is>
      </c>
      <c r="G272" s="394" t="n">
        <v>0.5460000000000002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Dài cắt 2.73m @ 0.2kg/m</t>
        </is>
      </c>
    </row>
    <row r="273">
      <c r="A273" t="inlineStr">
        <is>
          <t>SW-DIFF-598-BLADE</t>
        </is>
      </c>
      <c r="B273" t="inlineStr">
        <is>
          <t>SW-DIFF-598</t>
        </is>
      </c>
      <c r="C273" t="inlineStr">
        <is>
          <t>Nan nhôm định hình (BD)</t>
        </is>
      </c>
      <c r="D273" t="inlineStr">
        <is>
          <t>NHÔM_ĐỊNH_HÌNH</t>
        </is>
      </c>
      <c r="E273" t="inlineStr">
        <is>
          <t>MAT-ALU-NAN-BD</t>
        </is>
      </c>
      <c r="F273" t="inlineStr">
        <is>
          <t>kg</t>
        </is>
      </c>
      <c r="G273" s="394" t="n">
        <v>0.289884</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4 nan dài 5.00m @ 0.058kg/m</t>
        </is>
      </c>
    </row>
    <row r="274">
      <c r="A274" t="inlineStr">
        <is>
          <t>SW-DIFF-598-ACCESSORY</t>
        </is>
      </c>
      <c r="B274" t="inlineStr">
        <is>
          <t>SW-DIFF-598</t>
        </is>
      </c>
      <c r="C274" t="inlineStr">
        <is>
          <t>Phụ kiện lắp ghép / Ke góc cửa gió</t>
        </is>
      </c>
      <c r="D274" t="inlineStr">
        <is>
          <t>PHỤ_KIỆN_CỬA</t>
        </is>
      </c>
      <c r="E274" t="inlineStr">
        <is>
          <t>MAT-DOOR-ACCESSORY</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4 ke góc chìm và vít ghép khung</t>
        </is>
      </c>
    </row>
    <row r="275">
      <c r="A275" t="inlineStr">
        <is>
          <t>SW-DIFF-598-PAINT</t>
        </is>
      </c>
      <c r="B275" t="inlineStr">
        <is>
          <t>SW-DIFF-598</t>
        </is>
      </c>
      <c r="C275" t="inlineStr">
        <is>
          <t>Sơn tĩnh điện tiêu chuẩn Polyester</t>
        </is>
      </c>
      <c r="D275" t="inlineStr">
        <is>
          <t>SƠN_TĨNH_ĐIỆN</t>
        </is>
      </c>
      <c r="E275" t="inlineStr">
        <is>
          <t>MAT-PAINT-POWDER</t>
        </is>
      </c>
      <c r="F275" t="inlineStr">
        <is>
          <t>m2</t>
        </is>
      </c>
      <c r="G275" s="394" t="n">
        <v>0.18</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Diện tích phủ sơn 0.180m2</t>
        </is>
      </c>
    </row>
    <row r="276">
      <c r="A276" t="inlineStr">
        <is>
          <t>SW-DIFF-599-FRAME</t>
        </is>
      </c>
      <c r="B276" t="inlineStr">
        <is>
          <t>SW-DIFF-599</t>
        </is>
      </c>
      <c r="C276" t="inlineStr">
        <is>
          <t>Khung nhôm định hình (BD)</t>
        </is>
      </c>
      <c r="D276" t="inlineStr">
        <is>
          <t>NHÔM_ĐỊNH_HÌNH</t>
        </is>
      </c>
      <c r="E276" t="inlineStr">
        <is>
          <t>MAT-ALU-KHUNG-BD</t>
        </is>
      </c>
      <c r="F276" t="inlineStr">
        <is>
          <t>kg</t>
        </is>
      </c>
      <c r="G276" s="394" t="n">
        <v>0.8820000000000001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Dài cắt 4.41m @ 0.2kg/m</t>
        </is>
      </c>
    </row>
    <row r="277">
      <c r="A277" t="inlineStr">
        <is>
          <t>SW-DIFF-599-BLADE</t>
        </is>
      </c>
      <c r="B277" t="inlineStr">
        <is>
          <t>SW-DIFF-599</t>
        </is>
      </c>
      <c r="C277" t="inlineStr">
        <is>
          <t>Nan nhôm định hình (BD)</t>
        </is>
      </c>
      <c r="D277" t="inlineStr">
        <is>
          <t>NHÔM_ĐỊNH_HÌNH</t>
        </is>
      </c>
      <c r="E277" t="inlineStr">
        <is>
          <t>MAT-ALU-NAN-BD</t>
        </is>
      </c>
      <c r="F277" t="inlineStr">
        <is>
          <t>kg</t>
        </is>
      </c>
      <c r="G277" s="394" t="n">
        <v>0.484764</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4 nan dài 8.36m @ 0.058kg/m</t>
        </is>
      </c>
    </row>
    <row r="278">
      <c r="A278" t="inlineStr">
        <is>
          <t>SW-DIFF-599-ACCESSORY</t>
        </is>
      </c>
      <c r="B278" t="inlineStr">
        <is>
          <t>SW-DIFF-599</t>
        </is>
      </c>
      <c r="C278" t="inlineStr">
        <is>
          <t>Phụ kiện lắp ghép / Ke góc cửa gió</t>
        </is>
      </c>
      <c r="D278" t="inlineStr">
        <is>
          <t>PHỤ_KIỆN_CỬA</t>
        </is>
      </c>
      <c r="E278" t="inlineStr">
        <is>
          <t>MAT-DOOR-ACCESSORY</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4 ke góc chìm và vít ghép khung</t>
        </is>
      </c>
    </row>
    <row r="279">
      <c r="A279" t="inlineStr">
        <is>
          <t>SW-DIFF-599-PAINT</t>
        </is>
      </c>
      <c r="B279" t="inlineStr">
        <is>
          <t>SW-DIFF-599</t>
        </is>
      </c>
      <c r="C279" t="inlineStr">
        <is>
          <t>Sơn tĩnh điện tiêu chuẩn Polyester</t>
        </is>
      </c>
      <c r="D279" t="inlineStr">
        <is>
          <t>SƠN_TĨNH_ĐIỆN</t>
        </is>
      </c>
      <c r="E279" t="inlineStr">
        <is>
          <t>MAT-PAINT-POWDER</t>
        </is>
      </c>
      <c r="F279" t="inlineStr">
        <is>
          <t>m2</t>
        </is>
      </c>
      <c r="G279" s="394" t="n">
        <v>0.3</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Diện tích phủ sơn 0.300m2</t>
        </is>
      </c>
    </row>
    <row r="280">
      <c r="A280" t="inlineStr">
        <is>
          <t>SW-DIFF-600-FRAME</t>
        </is>
      </c>
      <c r="B280" t="inlineStr">
        <is>
          <t>SW-DIFF-600</t>
        </is>
      </c>
      <c r="C280" t="inlineStr">
        <is>
          <t>Khung nhôm định hình (BD)</t>
        </is>
      </c>
      <c r="D280" t="inlineStr">
        <is>
          <t>NHÔM_ĐỊNH_HÌNH</t>
        </is>
      </c>
      <c r="E280" t="inlineStr">
        <is>
          <t>MAT-ALU-KHUNG-BD</t>
        </is>
      </c>
      <c r="F280" t="inlineStr">
        <is>
          <t>kg</t>
        </is>
      </c>
      <c r="G280" s="394" t="n">
        <v>0.42</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Dài cắt 2.10m @ 0.2kg/m</t>
        </is>
      </c>
    </row>
    <row r="281">
      <c r="A281" t="inlineStr">
        <is>
          <t>SW-DIFF-600-BLADE</t>
        </is>
      </c>
      <c r="B281" t="inlineStr">
        <is>
          <t>SW-DIFF-600</t>
        </is>
      </c>
      <c r="C281" t="inlineStr">
        <is>
          <t>Nan nhôm định hình (BD)</t>
        </is>
      </c>
      <c r="D281" t="inlineStr">
        <is>
          <t>NHÔM_ĐỊNH_HÌNH</t>
        </is>
      </c>
      <c r="E281" t="inlineStr">
        <is>
          <t>MAT-ALU-NAN-BD</t>
        </is>
      </c>
      <c r="F281" t="inlineStr">
        <is>
          <t>kg</t>
        </is>
      </c>
      <c r="G281" s="394" t="n">
        <v>0.216804</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4 nan dài 3.74m @ 0.058kg/m</t>
        </is>
      </c>
    </row>
    <row r="282">
      <c r="A282" t="inlineStr">
        <is>
          <t>SW-DIFF-600-ACCESSORY</t>
        </is>
      </c>
      <c r="B282" t="inlineStr">
        <is>
          <t>SW-DIFF-600</t>
        </is>
      </c>
      <c r="C282" t="inlineStr">
        <is>
          <t>Phụ kiện lắp ghép / Ke góc cửa gió</t>
        </is>
      </c>
      <c r="D282" t="inlineStr">
        <is>
          <t>PHỤ_KIỆN_CỬA</t>
        </is>
      </c>
      <c r="E282" t="inlineStr">
        <is>
          <t>MAT-DOOR-ACCESSORY</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4 ke góc chìm và vít ghép khung</t>
        </is>
      </c>
    </row>
    <row r="283">
      <c r="A283" t="inlineStr">
        <is>
          <t>SW-DIFF-600-PAINT</t>
        </is>
      </c>
      <c r="B283" t="inlineStr">
        <is>
          <t>SW-DIFF-600</t>
        </is>
      </c>
      <c r="C283" t="inlineStr">
        <is>
          <t>Sơn tĩnh điện tiêu chuẩn Polyester</t>
        </is>
      </c>
      <c r="D283" t="inlineStr">
        <is>
          <t>SƠN_TĨNH_ĐIỆN</t>
        </is>
      </c>
      <c r="E283" t="inlineStr">
        <is>
          <t>MAT-PAINT-POWDER</t>
        </is>
      </c>
      <c r="F283" t="inlineStr">
        <is>
          <t>m2</t>
        </is>
      </c>
      <c r="G283" s="394" t="n">
        <v>0.135</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Diện tích phủ sơn 0.135m2</t>
        </is>
      </c>
    </row>
    <row r="284">
      <c r="A284" t="inlineStr">
        <is>
          <t>SW-DIFF-601-FRAME</t>
        </is>
      </c>
      <c r="B284" t="inlineStr">
        <is>
          <t>SW-DIFF-601</t>
        </is>
      </c>
      <c r="C284" t="inlineStr">
        <is>
          <t>Khung nhôm định hình (BD)</t>
        </is>
      </c>
      <c r="D284" t="inlineStr">
        <is>
          <t>NHÔM_ĐỊNH_HÌNH</t>
        </is>
      </c>
      <c r="E284" t="inlineStr">
        <is>
          <t>MAT-ALU-KHUNG-BD</t>
        </is>
      </c>
      <c r="F284" t="inlineStr">
        <is>
          <t>kg</t>
        </is>
      </c>
      <c r="G284" s="394" t="n">
        <v>0.5460000000000002</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Dài cắt 2.73m @ 0.2kg/m</t>
        </is>
      </c>
    </row>
    <row r="285">
      <c r="A285" t="inlineStr">
        <is>
          <t>SW-DIFF-601-BLADE</t>
        </is>
      </c>
      <c r="B285" t="inlineStr">
        <is>
          <t>SW-DIFF-601</t>
        </is>
      </c>
      <c r="C285" t="inlineStr">
        <is>
          <t>Nan nhôm định hình (BD)</t>
        </is>
      </c>
      <c r="D285" t="inlineStr">
        <is>
          <t>NHÔM_ĐỊNH_HÌNH</t>
        </is>
      </c>
      <c r="E285" t="inlineStr">
        <is>
          <t>MAT-ALU-NAN-BD</t>
        </is>
      </c>
      <c r="F285" t="inlineStr">
        <is>
          <t>kg</t>
        </is>
      </c>
      <c r="G285" s="394" t="n">
        <v>0.289884</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4 nan dài 5.00m @ 0.058kg/m</t>
        </is>
      </c>
    </row>
    <row r="286">
      <c r="A286" t="inlineStr">
        <is>
          <t>SW-DIFF-601-ACCESSORY</t>
        </is>
      </c>
      <c r="B286" t="inlineStr">
        <is>
          <t>SW-DIFF-601</t>
        </is>
      </c>
      <c r="C286" t="inlineStr">
        <is>
          <t>Phụ kiện lắp ghép / Ke góc cửa gió</t>
        </is>
      </c>
      <c r="D286" t="inlineStr">
        <is>
          <t>PHỤ_KIỆN_CỬA</t>
        </is>
      </c>
      <c r="E286" t="inlineStr">
        <is>
          <t>MAT-DOOR-ACCESSORY</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4 ke góc chìm và vít ghép khung</t>
        </is>
      </c>
    </row>
    <row r="287">
      <c r="A287" t="inlineStr">
        <is>
          <t>SW-DIFF-601-PAINT</t>
        </is>
      </c>
      <c r="B287" t="inlineStr">
        <is>
          <t>SW-DIFF-601</t>
        </is>
      </c>
      <c r="C287" t="inlineStr">
        <is>
          <t>Sơn tĩnh điện tiêu chuẩn Polyester</t>
        </is>
      </c>
      <c r="D287" t="inlineStr">
        <is>
          <t>SƠN_TĨNH_ĐIỆN</t>
        </is>
      </c>
      <c r="E287" t="inlineStr">
        <is>
          <t>MAT-PAINT-POWDER</t>
        </is>
      </c>
      <c r="F287" t="inlineStr">
        <is>
          <t>m2</t>
        </is>
      </c>
      <c r="G287" s="394" t="n">
        <v>0.18</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Diện tích phủ sơn 0.180m2</t>
        </is>
      </c>
    </row>
    <row r="288">
      <c r="A288" t="inlineStr">
        <is>
          <t>SW-DIFF-602-FRAME</t>
        </is>
      </c>
      <c r="B288" t="inlineStr">
        <is>
          <t>SW-DIFF-602</t>
        </is>
      </c>
      <c r="C288" t="inlineStr">
        <is>
          <t>Khung nhôm định hình (BD)</t>
        </is>
      </c>
      <c r="D288" t="inlineStr">
        <is>
          <t>NHÔM_ĐỊNH_HÌNH</t>
        </is>
      </c>
      <c r="E288" t="inlineStr">
        <is>
          <t>MAT-ALU-KHUNG-BD</t>
        </is>
      </c>
      <c r="F288" t="inlineStr">
        <is>
          <t>kg</t>
        </is>
      </c>
      <c r="G288" s="394" t="n">
        <v>0.6300000000000001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Dài cắt 3.15m @ 0.2kg/m</t>
        </is>
      </c>
    </row>
    <row r="289">
      <c r="A289" t="inlineStr">
        <is>
          <t>SW-DIFF-602-BLADE</t>
        </is>
      </c>
      <c r="B289" t="inlineStr">
        <is>
          <t>SW-DIFF-602</t>
        </is>
      </c>
      <c r="C289" t="inlineStr">
        <is>
          <t>Nan nhôm định hình (BD)</t>
        </is>
      </c>
      <c r="D289" t="inlineStr">
        <is>
          <t>NHÔM_ĐỊNH_HÌNH</t>
        </is>
      </c>
      <c r="E289" t="inlineStr">
        <is>
          <t>MAT-ALU-NAN-BD</t>
        </is>
      </c>
      <c r="F289" t="inlineStr">
        <is>
          <t>kg</t>
        </is>
      </c>
      <c r="G289" s="394" t="n">
        <v>0.338604</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4 nan dài 5.84m @ 0.058kg/m</t>
        </is>
      </c>
    </row>
    <row r="290">
      <c r="A290" t="inlineStr">
        <is>
          <t>SW-DIFF-602-ACCESSORY</t>
        </is>
      </c>
      <c r="B290" t="inlineStr">
        <is>
          <t>SW-DIFF-602</t>
        </is>
      </c>
      <c r="C290" t="inlineStr">
        <is>
          <t>Phụ kiện lắp ghép / Ke góc cửa gió</t>
        </is>
      </c>
      <c r="D290" t="inlineStr">
        <is>
          <t>PHỤ_KIỆN_CỬA</t>
        </is>
      </c>
      <c r="E290" t="inlineStr">
        <is>
          <t>MAT-DOOR-ACCESSORY</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4 ke góc chìm và vít ghép khung</t>
        </is>
      </c>
    </row>
    <row r="291">
      <c r="A291" t="inlineStr">
        <is>
          <t>SW-DIFF-602-PAINT</t>
        </is>
      </c>
      <c r="B291" t="inlineStr">
        <is>
          <t>SW-DIFF-602</t>
        </is>
      </c>
      <c r="C291" t="inlineStr">
        <is>
          <t>Sơn tĩnh điện tiêu chuẩn Polyester</t>
        </is>
      </c>
      <c r="D291" t="inlineStr">
        <is>
          <t>SƠN_TĨNH_ĐIỆN</t>
        </is>
      </c>
      <c r="E291" t="inlineStr">
        <is>
          <t>MAT-PAINT-POWDER</t>
        </is>
      </c>
      <c r="F291" t="inlineStr">
        <is>
          <t>m2</t>
        </is>
      </c>
      <c r="G291" s="394" t="n">
        <v>0.21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Diện tích phủ sơn 0.210m2</t>
        </is>
      </c>
    </row>
    <row r="292">
      <c r="A292" t="inlineStr">
        <is>
          <t>SW-DIFF-603-FRAME</t>
        </is>
      </c>
      <c r="B292" t="inlineStr">
        <is>
          <t>SW-DIFF-603</t>
        </is>
      </c>
      <c r="C292" t="inlineStr">
        <is>
          <t>Khung nhôm định hình (BD)</t>
        </is>
      </c>
      <c r="D292" t="inlineStr">
        <is>
          <t>NHÔM_ĐỊNH_HÌNH</t>
        </is>
      </c>
      <c r="E292" t="inlineStr">
        <is>
          <t>MAT-ALU-KHUNG-BD</t>
        </is>
      </c>
      <c r="F292" t="inlineStr">
        <is>
          <t>kg</t>
        </is>
      </c>
      <c r="G292" s="394" t="n">
        <v>0.8820000000000001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Dài cắt 4.41m @ 0.2kg/m</t>
        </is>
      </c>
    </row>
    <row r="293">
      <c r="A293" t="inlineStr">
        <is>
          <t>SW-DIFF-603-BLADE</t>
        </is>
      </c>
      <c r="B293" t="inlineStr">
        <is>
          <t>SW-DIFF-603</t>
        </is>
      </c>
      <c r="C293" t="inlineStr">
        <is>
          <t>Nan nhôm định hình (BD)</t>
        </is>
      </c>
      <c r="D293" t="inlineStr">
        <is>
          <t>NHÔM_ĐỊNH_HÌNH</t>
        </is>
      </c>
      <c r="E293" t="inlineStr">
        <is>
          <t>MAT-ALU-NAN-BD</t>
        </is>
      </c>
      <c r="F293" t="inlineStr">
        <is>
          <t>kg</t>
        </is>
      </c>
      <c r="G293" s="394" t="n">
        <v>0.484764</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4 nan dài 8.36m @ 0.058kg/m</t>
        </is>
      </c>
    </row>
    <row r="294">
      <c r="A294" t="inlineStr">
        <is>
          <t>SW-DIFF-603-ACCESSORY</t>
        </is>
      </c>
      <c r="B294" t="inlineStr">
        <is>
          <t>SW-DIFF-603</t>
        </is>
      </c>
      <c r="C294" t="inlineStr">
        <is>
          <t>Phụ kiện lắp ghép / Ke góc cửa gió</t>
        </is>
      </c>
      <c r="D294" t="inlineStr">
        <is>
          <t>PHỤ_KIỆN_CỬA</t>
        </is>
      </c>
      <c r="E294" t="inlineStr">
        <is>
          <t>MAT-DOOR-ACCESSORY</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4 ke góc chìm và vít ghép khung</t>
        </is>
      </c>
    </row>
    <row r="295">
      <c r="A295" t="inlineStr">
        <is>
          <t>SW-DIFF-603-PAINT</t>
        </is>
      </c>
      <c r="B295" t="inlineStr">
        <is>
          <t>SW-DIFF-603</t>
        </is>
      </c>
      <c r="C295" t="inlineStr">
        <is>
          <t>Sơn tĩnh điện tiêu chuẩn Polyester</t>
        </is>
      </c>
      <c r="D295" t="inlineStr">
        <is>
          <t>SƠN_TĨNH_ĐIỆN</t>
        </is>
      </c>
      <c r="E295" t="inlineStr">
        <is>
          <t>MAT-PAINT-POWDER</t>
        </is>
      </c>
      <c r="F295" t="inlineStr">
        <is>
          <t>m2</t>
        </is>
      </c>
      <c r="G295" s="394" t="n">
        <v>0.3</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Diện tích phủ sơn 0.300m2</t>
        </is>
      </c>
    </row>
    <row r="296">
      <c r="A296" t="inlineStr">
        <is>
          <t>SW-DIFF-604-FRAME</t>
        </is>
      </c>
      <c r="B296" t="inlineStr">
        <is>
          <t>SW-DIFF-604</t>
        </is>
      </c>
      <c r="C296" t="inlineStr">
        <is>
          <t>Khung nhôm định hình (BD)</t>
        </is>
      </c>
      <c r="D296" t="inlineStr">
        <is>
          <t>NHÔM_ĐỊNH_HÌNH</t>
        </is>
      </c>
      <c r="E296" t="inlineStr">
        <is>
          <t>MAT-ALU-KHUNG-BD</t>
        </is>
      </c>
      <c r="F296" t="inlineStr">
        <is>
          <t>kg</t>
        </is>
      </c>
      <c r="G296" s="394" t="n">
        <v>1.806</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Dài cắt 9.03m @ 0.2kg/m</t>
        </is>
      </c>
    </row>
    <row r="297">
      <c r="A297" t="inlineStr">
        <is>
          <t>SW-DIFF-604-BLADE</t>
        </is>
      </c>
      <c r="B297" t="inlineStr">
        <is>
          <t>SW-DIFF-604</t>
        </is>
      </c>
      <c r="C297" t="inlineStr">
        <is>
          <t>Nan nhôm định hình (BD)</t>
        </is>
      </c>
      <c r="D297" t="inlineStr">
        <is>
          <t>NHÔM_ĐỊNH_HÌNH</t>
        </is>
      </c>
      <c r="E297" t="inlineStr">
        <is>
          <t>MAT-ALU-NAN-BD</t>
        </is>
      </c>
      <c r="F297" t="inlineStr">
        <is>
          <t>kg</t>
        </is>
      </c>
      <c r="G297" s="394" t="n">
        <v>1.020684</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4 nan dài 17.60m @ 0.058kg/m</t>
        </is>
      </c>
    </row>
    <row r="298">
      <c r="A298" t="inlineStr">
        <is>
          <t>SW-DIFF-604-ACCESSORY</t>
        </is>
      </c>
      <c r="B298" t="inlineStr">
        <is>
          <t>SW-DIFF-604</t>
        </is>
      </c>
      <c r="C298" t="inlineStr">
        <is>
          <t>Phụ kiện lắp ghép / Ke góc cửa gió</t>
        </is>
      </c>
      <c r="D298" t="inlineStr">
        <is>
          <t>PHỤ_KIỆN_CỬA</t>
        </is>
      </c>
      <c r="E298" t="inlineStr">
        <is>
          <t>MAT-DOOR-ACCESSORY</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4 ke góc chìm và vít ghép khung</t>
        </is>
      </c>
    </row>
    <row r="299">
      <c r="A299" t="inlineStr">
        <is>
          <t>SW-DIFF-604-PAINT</t>
        </is>
      </c>
      <c r="B299" t="inlineStr">
        <is>
          <t>SW-DIFF-604</t>
        </is>
      </c>
      <c r="C299" t="inlineStr">
        <is>
          <t>Sơn tĩnh điện tiêu chuẩn Polyester</t>
        </is>
      </c>
      <c r="D299" t="inlineStr">
        <is>
          <t>SƠN_TĨNH_ĐIỆN</t>
        </is>
      </c>
      <c r="E299" t="inlineStr">
        <is>
          <t>MAT-PAINT-POWDER</t>
        </is>
      </c>
      <c r="F299" t="inlineStr">
        <is>
          <t>m2</t>
        </is>
      </c>
      <c r="G299" s="394" t="n">
        <v>0.63</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Diện tích phủ sơn 0.630m2</t>
        </is>
      </c>
    </row>
    <row r="300">
      <c r="A300" t="inlineStr">
        <is>
          <t>SW-DIFF-605-FRAME</t>
        </is>
      </c>
      <c r="B300" t="inlineStr">
        <is>
          <t>SW-DIFF-605</t>
        </is>
      </c>
      <c r="C300" t="inlineStr">
        <is>
          <t>Khung nhôm định hình (BD)</t>
        </is>
      </c>
      <c r="D300" t="inlineStr">
        <is>
          <t>NHÔM_ĐỊNH_HÌNH</t>
        </is>
      </c>
      <c r="E300" t="inlineStr">
        <is>
          <t>MAT-ALU-KHUNG-BD</t>
        </is>
      </c>
      <c r="F300" t="inlineStr">
        <is>
          <t>kg</t>
        </is>
      </c>
      <c r="G300" s="394" t="n">
        <v>3.234</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Dài cắt 16.17m @ 0.2kg/m</t>
        </is>
      </c>
    </row>
    <row r="301">
      <c r="A301" t="inlineStr">
        <is>
          <t>SW-DIFF-605-BLADE</t>
        </is>
      </c>
      <c r="B301" t="inlineStr">
        <is>
          <t>SW-DIFF-605</t>
        </is>
      </c>
      <c r="C301" t="inlineStr">
        <is>
          <t>Nan nhôm định hình (BD)</t>
        </is>
      </c>
      <c r="D301" t="inlineStr">
        <is>
          <t>NHÔM_ĐỊNH_HÌNH</t>
        </is>
      </c>
      <c r="E301" t="inlineStr">
        <is>
          <t>MAT-ALU-NAN-BD</t>
        </is>
      </c>
      <c r="F301" t="inlineStr">
        <is>
          <t>kg</t>
        </is>
      </c>
      <c r="G301" s="394" t="n">
        <v>1.848924</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4 nan dài 31.88m @ 0.058kg/m</t>
        </is>
      </c>
    </row>
    <row r="302">
      <c r="A302" t="inlineStr">
        <is>
          <t>SW-DIFF-605-ACCESSORY</t>
        </is>
      </c>
      <c r="B302" t="inlineStr">
        <is>
          <t>SW-DIFF-605</t>
        </is>
      </c>
      <c r="C302" t="inlineStr">
        <is>
          <t>Phụ kiện lắp ghép / Ke góc cửa gió</t>
        </is>
      </c>
      <c r="D302" t="inlineStr">
        <is>
          <t>PHỤ_KIỆN_CỬA</t>
        </is>
      </c>
      <c r="E302" t="inlineStr">
        <is>
          <t>MAT-DOOR-ACCESSORY</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4 ke góc chìm và vít ghép khung</t>
        </is>
      </c>
    </row>
    <row r="303">
      <c r="A303" t="inlineStr">
        <is>
          <t>SW-DIFF-605-PAINT</t>
        </is>
      </c>
      <c r="B303" t="inlineStr">
        <is>
          <t>SW-DIFF-605</t>
        </is>
      </c>
      <c r="C303" t="inlineStr">
        <is>
          <t>Sơn tĩnh điện tiêu chuẩn Polyester</t>
        </is>
      </c>
      <c r="D303" t="inlineStr">
        <is>
          <t>SƠN_TĨNH_ĐIỆN</t>
        </is>
      </c>
      <c r="E303" t="inlineStr">
        <is>
          <t>MAT-PAINT-POWDER</t>
        </is>
      </c>
      <c r="F303" t="inlineStr">
        <is>
          <t>m2</t>
        </is>
      </c>
      <c r="G303" s="394" t="n">
        <v>1.14</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Diện tích phủ sơn 1.140m2</t>
        </is>
      </c>
    </row>
    <row r="304">
      <c r="A304" t="inlineStr">
        <is>
          <t>SW-TRD-635-LƯỚI</t>
        </is>
      </c>
      <c r="B304" t="inlineStr">
        <is>
          <t>SW-TRD-635</t>
        </is>
      </c>
      <c r="C304" t="inlineStr">
        <is>
          <t>Lưới bảo vệ -</t>
        </is>
      </c>
      <c r="D304" t="inlineStr">
        <is>
          <t>THUONG_MAI</t>
        </is>
      </c>
      <c r="E304" t="inlineStr">
        <is>
          <t>MAT-LUOI-CHI_PHI_CHUNG_CHI_PH_7600</t>
        </is>
      </c>
      <c r="F304" t="inlineStr">
        <is>
          <t>Cái</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Phụ kiện bóc tách động (Rule-based)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25"/>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SW-DAMPER-023-BODY</t>
        </is>
      </c>
      <c r="B2" t="inlineStr">
        <is>
          <t>SW-DAMPER-023</t>
        </is>
      </c>
      <c r="C2" t="inlineStr">
        <is>
          <t>Thân vỏ van NRD bích TDF (0.95mm)</t>
        </is>
      </c>
      <c r="D2" t="inlineStr">
        <is>
          <t>TÔN_CUỘN_MẠ_KẼM</t>
        </is>
      </c>
      <c r="E2" t="inlineStr">
        <is>
          <t>MAT-STEEL-PN-0.95</t>
        </is>
      </c>
      <c r="F2" t="inlineStr">
        <is>
          <t>kg</t>
        </is>
      </c>
      <c r="G2" s="394" t="n">
        <v>11.0502252</v>
      </c>
      <c r="H2" s="390">
        <f>IFERROR(INDEX('00_TONG_HOP_BAO_GIA'!$G$1:$G$5000, MATCH(B2, '00_TONG_HOP_BAO_GIA'!$B$1:$B$5000, 0)), 1)</f>
        <v/>
      </c>
      <c r="I2" s="395">
        <f>G2*H2</f>
        <v/>
      </c>
      <c r="J2" s="390">
        <f>IFERROR(INDEX('06_BANG_GIA_VAT_TU_AP_DUNG'!$E$1:$E$5000, MATCH(E2, '06_BANG_GIA_VAT_TU_AP_DUNG'!$B$1:$B$5000, 0)), 0)</f>
        <v/>
      </c>
      <c r="K2" s="390">
        <f>I2*J2</f>
        <v/>
      </c>
      <c r="L2" t="inlineStr">
        <is>
          <t>Kích thước vỏ 1250.0x1250.0x210mm</t>
        </is>
      </c>
    </row>
    <row r="3">
      <c r="A3" t="inlineStr">
        <is>
          <t>SW-DAMPER-023-BLADE</t>
        </is>
      </c>
      <c r="B3" t="inlineStr">
        <is>
          <t>SW-DAMPER-023</t>
        </is>
      </c>
      <c r="C3" t="inlineStr">
        <is>
          <t>Lá cánh van (7 cánh overlap)</t>
        </is>
      </c>
      <c r="D3" t="inlineStr">
        <is>
          <t>TÔN_CUỘN_MẠ_KẼM</t>
        </is>
      </c>
      <c r="E3" t="inlineStr">
        <is>
          <t>MAT-STEEL-PN-0.75</t>
        </is>
      </c>
      <c r="F3" t="inlineStr">
        <is>
          <t>kg</t>
        </is>
      </c>
      <c r="G3" s="394" t="n">
        <v>11.04789375</v>
      </c>
      <c r="H3" s="390">
        <f>IFERROR(INDEX('00_TONG_HOP_BAO_GIA'!$G$1:$G$5000, MATCH(B3, '00_TONG_HOP_BAO_GIA'!$B$1:$B$5000, 0)), 1)</f>
        <v/>
      </c>
      <c r="I3" s="395">
        <f>G3*H3</f>
        <v/>
      </c>
      <c r="J3" s="390">
        <f>IFERROR(INDEX('06_BANG_GIA_VAT_TU_AP_DUNG'!$E$1:$E$5000, MATCH(E3, '06_BANG_GIA_VAT_TU_AP_DUNG'!$B$1:$B$5000, 0)), 0)</f>
        <v/>
      </c>
      <c r="K3" s="390">
        <f>I3*J3</f>
        <v/>
      </c>
      <c r="L3" t="inlineStr">
        <is>
          <t>7 cánh cao 199mm</t>
        </is>
      </c>
    </row>
    <row r="4">
      <c r="A4" t="inlineStr">
        <is>
          <t>SW-DAMPER-023-AXLE</t>
        </is>
      </c>
      <c r="B4" t="inlineStr">
        <is>
          <t>SW-DAMPER-023</t>
        </is>
      </c>
      <c r="C4" t="inlineStr">
        <is>
          <t>Trục Sus 201 D10</t>
        </is>
      </c>
      <c r="D4" t="inlineStr">
        <is>
          <t>PHỤ_KIỆN_VAN</t>
        </is>
      </c>
      <c r="E4" t="inlineStr">
        <is>
          <t>MAT-DAMPER-TRUC-SUS-201-D10</t>
        </is>
      </c>
      <c r="F4" t="inlineStr">
        <is>
          <t>m</t>
        </is>
      </c>
      <c r="G4" s="394" t="n">
        <v>9.17</v>
      </c>
      <c r="H4" s="390">
        <f>IFERROR(INDEX('00_TONG_HOP_BAO_GIA'!$G$1:$G$5000, MATCH(B4, '00_TONG_HOP_BAO_GIA'!$B$1:$B$5000, 0)), 1)</f>
        <v/>
      </c>
      <c r="I4" s="395">
        <f>G4*H4</f>
        <v/>
      </c>
      <c r="J4" s="390">
        <f>IFERROR(INDEX('06_BANG_GIA_VAT_TU_AP_DUNG'!$E$1:$E$5000, MATCH(E4, '06_BANG_GIA_VAT_TU_AP_DUNG'!$B$1:$B$5000, 0)), 0)</f>
        <v/>
      </c>
      <c r="K4" s="390">
        <f>I4*J4</f>
        <v/>
      </c>
      <c r="L4" t="inlineStr">
        <is>
          <t>7 trục dài 1310mm</t>
        </is>
      </c>
    </row>
    <row r="5">
      <c r="A5" t="inlineStr">
        <is>
          <t>SW-DAMPER-023-BEARING</t>
        </is>
      </c>
      <c r="B5" t="inlineStr">
        <is>
          <t>SW-DAMPER-023</t>
        </is>
      </c>
      <c r="C5" t="inlineStr">
        <is>
          <t>Bạc đồng D10</t>
        </is>
      </c>
      <c r="D5" t="inlineStr">
        <is>
          <t>PHỤ_KIỆN_VAN</t>
        </is>
      </c>
      <c r="E5" t="inlineStr">
        <is>
          <t>MAT-DAMPER-BAC-DONG-D10</t>
        </is>
      </c>
      <c r="F5" t="inlineStr">
        <is>
          <t>Đôi</t>
        </is>
      </c>
      <c r="G5" s="394" t="n">
        <v>7</v>
      </c>
      <c r="H5" s="390">
        <f>IFERROR(INDEX('00_TONG_HOP_BAO_GIA'!$G$1:$G$5000, MATCH(B5, '00_TONG_HOP_BAO_GIA'!$B$1:$B$5000, 0)), 1)</f>
        <v/>
      </c>
      <c r="I5" s="395">
        <f>G5*H5</f>
        <v/>
      </c>
      <c r="J5" s="390">
        <f>IFERROR(INDEX('06_BANG_GIA_VAT_TU_AP_DUNG'!$E$1:$E$5000, MATCH(E5, '06_BANG_GIA_VAT_TU_AP_DUNG'!$B$1:$B$5000, 0)), 0)</f>
        <v/>
      </c>
      <c r="K5" s="390">
        <f>I5*J5</f>
        <v/>
      </c>
      <c r="L5" t="inlineStr">
        <is>
          <t>7 đôi bạc đỡ 2 bên thân</t>
        </is>
      </c>
    </row>
    <row r="6">
      <c r="A6" t="inlineStr">
        <is>
          <t>SW-DAMPER-023-GEAR</t>
        </is>
      </c>
      <c r="B6" t="inlineStr">
        <is>
          <t>SW-DAMPER-023</t>
        </is>
      </c>
      <c r="C6" t="inlineStr">
        <is>
          <t>Bánh răng van nhôm</t>
        </is>
      </c>
      <c r="D6" t="inlineStr">
        <is>
          <t>PHỤ_KIỆN_VAN</t>
        </is>
      </c>
      <c r="E6" t="inlineStr">
        <is>
          <t>MAT-DAMPER-BANH-RANG-VAN-NHOM</t>
        </is>
      </c>
      <c r="F6" t="inlineStr">
        <is>
          <t>Bộ</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Cơ cấu liên động bánh răng van</t>
        </is>
      </c>
    </row>
    <row r="7">
      <c r="A7" t="inlineStr">
        <is>
          <t>SW-DAMPER-023-ECCENTRIC</t>
        </is>
      </c>
      <c r="B7" t="inlineStr">
        <is>
          <t>SW-DAMPER-023</t>
        </is>
      </c>
      <c r="C7" t="inlineStr">
        <is>
          <t>Cơ cấu lệch tâm / Lò xo đóng mở (NRD)</t>
        </is>
      </c>
      <c r="D7" t="inlineStr">
        <is>
          <t>PHỤ_KIỆN_VAN</t>
        </is>
      </c>
      <c r="E7" t="inlineStr">
        <is>
          <t>ECCENTRIC_SHAFT</t>
        </is>
      </c>
      <c r="F7" t="inlineStr">
        <is>
          <t>Bộ</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Cơ cấu đóng mở một chiều</t>
        </is>
      </c>
    </row>
    <row r="8">
      <c r="A8" t="inlineStr">
        <is>
          <t>SW-DAMPER-024-BODY</t>
        </is>
      </c>
      <c r="B8" t="inlineStr">
        <is>
          <t>SW-DAMPER-024</t>
        </is>
      </c>
      <c r="C8" t="inlineStr">
        <is>
          <t>Thân vỏ van NRD bích TDF (0.95mm)</t>
        </is>
      </c>
      <c r="D8" t="inlineStr">
        <is>
          <t>TÔN_CUỘN_MẠ_KẼM</t>
        </is>
      </c>
      <c r="E8" t="inlineStr">
        <is>
          <t>MAT-STEEL-PN-0.95</t>
        </is>
      </c>
      <c r="F8" t="inlineStr">
        <is>
          <t>kg</t>
        </is>
      </c>
      <c r="G8" s="394" t="n">
        <v>10.1732232</v>
      </c>
      <c r="H8" s="390">
        <f>IFERROR(INDEX('00_TONG_HOP_BAO_GIA'!$G$1:$G$5000, MATCH(B8, '00_TONG_HOP_BAO_GIA'!$B$1:$B$5000, 0)), 1)</f>
        <v/>
      </c>
      <c r="I8" s="395">
        <f>G8*H8</f>
        <v/>
      </c>
      <c r="J8" s="390">
        <f>IFERROR(INDEX('06_BANG_GIA_VAT_TU_AP_DUNG'!$E$1:$E$5000, MATCH(E8, '06_BANG_GIA_VAT_TU_AP_DUNG'!$B$1:$B$5000, 0)), 0)</f>
        <v/>
      </c>
      <c r="K8" s="390">
        <f>I8*J8</f>
        <v/>
      </c>
      <c r="L8" t="inlineStr">
        <is>
          <t>Kích thước vỏ 1700.0x600.0x210mm</t>
        </is>
      </c>
    </row>
    <row r="9">
      <c r="A9" t="inlineStr">
        <is>
          <t>SW-DAMPER-024-BLADE</t>
        </is>
      </c>
      <c r="B9" t="inlineStr">
        <is>
          <t>SW-DAMPER-024</t>
        </is>
      </c>
      <c r="C9" t="inlineStr">
        <is>
          <t>Lá cánh van (4 cánh overlap)</t>
        </is>
      </c>
      <c r="D9" t="inlineStr">
        <is>
          <t>TÔN_CUỘN_MẠ_KẼM</t>
        </is>
      </c>
      <c r="E9" t="inlineStr">
        <is>
          <t>MAT-STEEL-PN-0.75</t>
        </is>
      </c>
      <c r="F9" t="inlineStr">
        <is>
          <t>kg</t>
        </is>
      </c>
      <c r="G9" s="394" t="n">
        <v>7.350426000000001</v>
      </c>
      <c r="H9" s="390">
        <f>IFERROR(INDEX('00_TONG_HOP_BAO_GIA'!$G$1:$G$5000, MATCH(B9, '00_TONG_HOP_BAO_GIA'!$B$1:$B$5000, 0)), 1)</f>
        <v/>
      </c>
      <c r="I9" s="395">
        <f>G9*H9</f>
        <v/>
      </c>
      <c r="J9" s="390">
        <f>IFERROR(INDEX('06_BANG_GIA_VAT_TU_AP_DUNG'!$E$1:$E$5000, MATCH(E9, '06_BANG_GIA_VAT_TU_AP_DUNG'!$B$1:$B$5000, 0)), 0)</f>
        <v/>
      </c>
      <c r="K9" s="390">
        <f>I9*J9</f>
        <v/>
      </c>
      <c r="L9" t="inlineStr">
        <is>
          <t>4 cánh cao 170mm</t>
        </is>
      </c>
    </row>
    <row r="10">
      <c r="A10" t="inlineStr">
        <is>
          <t>SW-DAMPER-024-AXLE</t>
        </is>
      </c>
      <c r="B10" t="inlineStr">
        <is>
          <t>SW-DAMPER-024</t>
        </is>
      </c>
      <c r="C10" t="inlineStr">
        <is>
          <t>Trục Sus 201 D10</t>
        </is>
      </c>
      <c r="D10" t="inlineStr">
        <is>
          <t>PHỤ_KIỆN_VAN</t>
        </is>
      </c>
      <c r="E10" t="inlineStr">
        <is>
          <t>MAT-DAMPER-TRUC-SUS-201-D10</t>
        </is>
      </c>
      <c r="F10" t="inlineStr">
        <is>
          <t>m</t>
        </is>
      </c>
      <c r="G10" s="394" t="n">
        <v>7.04</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4 trục dài 1760mm</t>
        </is>
      </c>
    </row>
    <row r="11">
      <c r="A11" t="inlineStr">
        <is>
          <t>SW-DAMPER-024-BEARING</t>
        </is>
      </c>
      <c r="B11" t="inlineStr">
        <is>
          <t>SW-DAMPER-024</t>
        </is>
      </c>
      <c r="C11" t="inlineStr">
        <is>
          <t>Bạc đồng D10</t>
        </is>
      </c>
      <c r="D11" t="inlineStr">
        <is>
          <t>PHỤ_KIỆN_VAN</t>
        </is>
      </c>
      <c r="E11" t="inlineStr">
        <is>
          <t>MAT-DAMPER-BAC-DONG-D10</t>
        </is>
      </c>
      <c r="F11" t="inlineStr">
        <is>
          <t>Đôi</t>
        </is>
      </c>
      <c r="G11" s="394" t="n">
        <v>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4 đôi bạc đỡ 2 bên thân</t>
        </is>
      </c>
    </row>
    <row r="12">
      <c r="A12" t="inlineStr">
        <is>
          <t>SW-DAMPER-024-GEAR</t>
        </is>
      </c>
      <c r="B12" t="inlineStr">
        <is>
          <t>SW-DAMPER-024</t>
        </is>
      </c>
      <c r="C12" t="inlineStr">
        <is>
          <t>Bánh răng van nhôm</t>
        </is>
      </c>
      <c r="D12" t="inlineStr">
        <is>
          <t>PHỤ_KIỆN_VAN</t>
        </is>
      </c>
      <c r="E12" t="inlineStr">
        <is>
          <t>MAT-DAMPER-BANH-RANG-VAN-NHOM</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Cơ cấu liên động bánh răng van</t>
        </is>
      </c>
    </row>
    <row r="13">
      <c r="A13" t="inlineStr">
        <is>
          <t>SW-DAMPER-024-ECCENTRIC</t>
        </is>
      </c>
      <c r="B13" t="inlineStr">
        <is>
          <t>SW-DAMPER-024</t>
        </is>
      </c>
      <c r="C13" t="inlineStr">
        <is>
          <t>Cơ cấu lệch tâm / Lò xo đóng mở (NRD)</t>
        </is>
      </c>
      <c r="D13" t="inlineStr">
        <is>
          <t>PHỤ_KIỆN_VAN</t>
        </is>
      </c>
      <c r="E13" t="inlineStr">
        <is>
          <t>ECCENTRIC_SHAFT</t>
        </is>
      </c>
      <c r="F13" t="inlineStr">
        <is>
          <t>Bộ</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Cơ cấu đóng mở một chiều</t>
        </is>
      </c>
    </row>
    <row r="14">
      <c r="A14" t="inlineStr">
        <is>
          <t>SW-DAMPER-025-BODY</t>
        </is>
      </c>
      <c r="B14" t="inlineStr">
        <is>
          <t>SW-DAMPER-025</t>
        </is>
      </c>
      <c r="C14" t="inlineStr">
        <is>
          <t>Thân vỏ van NRD bích TDF (0.95mm)</t>
        </is>
      </c>
      <c r="D14" t="inlineStr">
        <is>
          <t>TÔN_CUỘN_MẠ_KẼM</t>
        </is>
      </c>
      <c r="E14" t="inlineStr">
        <is>
          <t>MAT-STEEL-PN-0.95</t>
        </is>
      </c>
      <c r="F14" t="inlineStr">
        <is>
          <t>kg</t>
        </is>
      </c>
      <c r="G14" s="394" t="n">
        <v>6.884465700000001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Kích thước vỏ 1200.0x350.0x210mm</t>
        </is>
      </c>
    </row>
    <row r="15">
      <c r="A15" t="inlineStr">
        <is>
          <t>SW-DAMPER-025-BLADE</t>
        </is>
      </c>
      <c r="B15" t="inlineStr">
        <is>
          <t>SW-DAMPER-025</t>
        </is>
      </c>
      <c r="C15" t="inlineStr">
        <is>
          <t>Lá cánh van (2 cánh overlap)</t>
        </is>
      </c>
      <c r="D15" t="inlineStr">
        <is>
          <t>TÔN_CUỘN_MẠ_KẼM</t>
        </is>
      </c>
      <c r="E15" t="inlineStr">
        <is>
          <t>MAT-STEEL-PN-0.75</t>
        </is>
      </c>
      <c r="F15" t="inlineStr">
        <is>
          <t>kg</t>
        </is>
      </c>
      <c r="G15" s="394" t="n">
        <v>2.975778</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2 cánh cao 195mm</t>
        </is>
      </c>
    </row>
    <row r="16">
      <c r="A16" t="inlineStr">
        <is>
          <t>SW-DAMPER-025-AXLE</t>
        </is>
      </c>
      <c r="B16" t="inlineStr">
        <is>
          <t>SW-DAMPER-025</t>
        </is>
      </c>
      <c r="C16" t="inlineStr">
        <is>
          <t>Trục Sus 201 D10</t>
        </is>
      </c>
      <c r="D16" t="inlineStr">
        <is>
          <t>PHỤ_KIỆN_VAN</t>
        </is>
      </c>
      <c r="E16" t="inlineStr">
        <is>
          <t>MAT-DAMPER-TRUC-SUS-201-D10</t>
        </is>
      </c>
      <c r="F16" t="inlineStr">
        <is>
          <t>m</t>
        </is>
      </c>
      <c r="G16" s="394" t="n">
        <v>2.52</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2 trục dài 1260mm</t>
        </is>
      </c>
    </row>
    <row r="17">
      <c r="A17" t="inlineStr">
        <is>
          <t>SW-DAMPER-025-BEARING</t>
        </is>
      </c>
      <c r="B17" t="inlineStr">
        <is>
          <t>SW-DAMPER-025</t>
        </is>
      </c>
      <c r="C17" t="inlineStr">
        <is>
          <t>Bạc đồng D10</t>
        </is>
      </c>
      <c r="D17" t="inlineStr">
        <is>
          <t>PHỤ_KIỆN_VAN</t>
        </is>
      </c>
      <c r="E17" t="inlineStr">
        <is>
          <t>MAT-DAMPER-BAC-DONG-D10</t>
        </is>
      </c>
      <c r="F17" t="inlineStr">
        <is>
          <t>Đôi</t>
        </is>
      </c>
      <c r="G17" s="394" t="n">
        <v>2</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2 đôi bạc đỡ 2 bên thân</t>
        </is>
      </c>
    </row>
    <row r="18">
      <c r="A18" t="inlineStr">
        <is>
          <t>SW-DAMPER-025-GEAR</t>
        </is>
      </c>
      <c r="B18" t="inlineStr">
        <is>
          <t>SW-DAMPER-025</t>
        </is>
      </c>
      <c r="C18" t="inlineStr">
        <is>
          <t>Bánh răng van nhôm</t>
        </is>
      </c>
      <c r="D18" t="inlineStr">
        <is>
          <t>PHỤ_KIỆN_VAN</t>
        </is>
      </c>
      <c r="E18" t="inlineStr">
        <is>
          <t>MAT-DAMPER-BANH-RANG-VAN-NHOM</t>
        </is>
      </c>
      <c r="F18" t="inlineStr">
        <is>
          <t>Bộ</t>
        </is>
      </c>
      <c r="G18" s="394" t="n">
        <v>1</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Cơ cấu liên động bánh răng van</t>
        </is>
      </c>
    </row>
    <row r="19">
      <c r="A19" t="inlineStr">
        <is>
          <t>SW-DAMPER-025-ECCENTRIC</t>
        </is>
      </c>
      <c r="B19" t="inlineStr">
        <is>
          <t>SW-DAMPER-025</t>
        </is>
      </c>
      <c r="C19" t="inlineStr">
        <is>
          <t>Cơ cấu lệch tâm / Lò xo đóng mở (NRD)</t>
        </is>
      </c>
      <c r="D19" t="inlineStr">
        <is>
          <t>PHỤ_KIỆN_VAN</t>
        </is>
      </c>
      <c r="E19" t="inlineStr">
        <is>
          <t>ECCENTRIC_SHAFT</t>
        </is>
      </c>
      <c r="F19" t="inlineStr">
        <is>
          <t>Bộ</t>
        </is>
      </c>
      <c r="G19" s="394" t="n">
        <v>1</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Cơ cấu đóng mở một chiều</t>
        </is>
      </c>
    </row>
    <row r="20">
      <c r="A20" t="inlineStr">
        <is>
          <t>SW-DAMPER-026-BODY</t>
        </is>
      </c>
      <c r="B20" t="inlineStr">
        <is>
          <t>SW-DAMPER-026</t>
        </is>
      </c>
      <c r="C20" t="inlineStr">
        <is>
          <t>Thân vỏ van MFD bích TDF (1.15mm)</t>
        </is>
      </c>
      <c r="D20" t="inlineStr">
        <is>
          <t>TÔN_CUỘN_MẠ_KẼM</t>
        </is>
      </c>
      <c r="E20" t="inlineStr">
        <is>
          <t>MAT-STEEL-PN-1.15</t>
        </is>
      </c>
      <c r="F20" t="inlineStr">
        <is>
          <t>kg</t>
        </is>
      </c>
      <c r="G20" s="394" t="n">
        <v>15.2875296</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Kích thước vỏ 1250.0x1250.0x250mm</t>
        </is>
      </c>
    </row>
    <row r="21">
      <c r="A21" t="inlineStr">
        <is>
          <t>SW-DAMPER-026-BLADE</t>
        </is>
      </c>
      <c r="B21" t="inlineStr">
        <is>
          <t>SW-DAMPER-026</t>
        </is>
      </c>
      <c r="C21" t="inlineStr">
        <is>
          <t>Lá cánh van (7 cánh overlap)</t>
        </is>
      </c>
      <c r="D21" t="inlineStr">
        <is>
          <t>TÔN_CUỘN_MẠ_KẼM</t>
        </is>
      </c>
      <c r="E21" t="inlineStr">
        <is>
          <t>MAT-STEEL-PN-1.15</t>
        </is>
      </c>
      <c r="F21" t="inlineStr">
        <is>
          <t>kg</t>
        </is>
      </c>
      <c r="G21" s="394" t="n">
        <v>16.94010375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7 cánh cao 199mm</t>
        </is>
      </c>
    </row>
    <row r="22">
      <c r="A22" t="inlineStr">
        <is>
          <t>SW-DAMPER-026-AXLE</t>
        </is>
      </c>
      <c r="B22" t="inlineStr">
        <is>
          <t>SW-DAMPER-026</t>
        </is>
      </c>
      <c r="C22" t="inlineStr">
        <is>
          <t>Trục Sus 201 D10</t>
        </is>
      </c>
      <c r="D22" t="inlineStr">
        <is>
          <t>PHỤ_KIỆN_VAN</t>
        </is>
      </c>
      <c r="E22" t="inlineStr">
        <is>
          <t>MAT-DAMPER-TRUC-SUS-201-D10</t>
        </is>
      </c>
      <c r="F22" t="inlineStr">
        <is>
          <t>m</t>
        </is>
      </c>
      <c r="G22" s="394" t="n">
        <v>9.17</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7 trục dài 1310mm</t>
        </is>
      </c>
    </row>
    <row r="23">
      <c r="A23" t="inlineStr">
        <is>
          <t>SW-DAMPER-026-BEARING</t>
        </is>
      </c>
      <c r="B23" t="inlineStr">
        <is>
          <t>SW-DAMPER-026</t>
        </is>
      </c>
      <c r="C23" t="inlineStr">
        <is>
          <t>Bạc đồng D10</t>
        </is>
      </c>
      <c r="D23" t="inlineStr">
        <is>
          <t>PHỤ_KIỆN_VAN</t>
        </is>
      </c>
      <c r="E23" t="inlineStr">
        <is>
          <t>MAT-DAMPER-BAC-DONG-D10</t>
        </is>
      </c>
      <c r="F23" t="inlineStr">
        <is>
          <t>Đôi</t>
        </is>
      </c>
      <c r="G23" s="394" t="n">
        <v>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7 đôi bạc đỡ 2 bên thân</t>
        </is>
      </c>
    </row>
    <row r="24">
      <c r="A24" t="inlineStr">
        <is>
          <t>SW-DAMPER-026-GEAR</t>
        </is>
      </c>
      <c r="B24" t="inlineStr">
        <is>
          <t>SW-DAMPER-026</t>
        </is>
      </c>
      <c r="C24" t="inlineStr">
        <is>
          <t>Bánh răng van nhôm</t>
        </is>
      </c>
      <c r="D24" t="inlineStr">
        <is>
          <t>PHỤ_KIỆN_VAN</t>
        </is>
      </c>
      <c r="E24" t="inlineStr">
        <is>
          <t>MAT-DAMPER-BANH-RANG-VAN-NHOM</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Cơ cấu liên động bánh răng van</t>
        </is>
      </c>
    </row>
    <row r="25">
      <c r="A25" t="inlineStr">
        <is>
          <t>SW-DAMPER-026-ACTUATOR</t>
        </is>
      </c>
      <c r="B25" t="inlineStr">
        <is>
          <t>SW-DAMPER-026</t>
        </is>
      </c>
      <c r="C25" t="inlineStr">
        <is>
          <t>Động cơ chặn lửa ON/OFF 18Nm, 24V (BELIMO BF 24 hoặc tương đương)</t>
        </is>
      </c>
      <c r="D25" t="inlineStr">
        <is>
          <t>ĐỘNG_CƠ_VÀ_CẢM_BIẾN</t>
        </is>
      </c>
      <c r="E25" t="inlineStr">
        <is>
          <t>MAT-ACTUATOR-BELIMO-BF24</t>
        </is>
      </c>
      <c r="F25" t="inlineStr">
        <is>
          <t>Cái</t>
        </is>
      </c>
      <c r="G25" s="394" t="n">
        <v>1</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Động cơ lò xo phản hồi cho MFD (S=1.56m2)</t>
        </is>
      </c>
    </row>
    <row r="26">
      <c r="A26" t="inlineStr">
        <is>
          <t>SW-DAMPER-026-FIRE_INSULATION</t>
        </is>
      </c>
      <c r="B26" t="inlineStr">
        <is>
          <t>SW-DAMPER-026</t>
        </is>
      </c>
      <c r="C26" t="inlineStr">
        <is>
          <t>Bọc cách nhiệt chống cháy tấm MGO/Thạch cao (Tiêu chuẩn EI)</t>
        </is>
      </c>
      <c r="D26" t="inlineStr">
        <is>
          <t>VẬT_LIỆU_CÁCH_NHIỆT</t>
        </is>
      </c>
      <c r="E26" t="inlineStr">
        <is>
          <t>MAT-INSULATION-EI-DAMPER</t>
        </is>
      </c>
      <c r="F26" t="inlineStr">
        <is>
          <t>m2</t>
        </is>
      </c>
      <c r="G26" s="394" t="n">
        <v>1.862784</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Bọc chống cháy vỏ van (Lưu ý: Giá vật tư đang TẠM TÍNH 300k/m2)</t>
        </is>
      </c>
    </row>
    <row r="27">
      <c r="A27" t="inlineStr">
        <is>
          <t>SW-DAMPER-027-BODY</t>
        </is>
      </c>
      <c r="B27" t="inlineStr">
        <is>
          <t>SW-DAMPER-027</t>
        </is>
      </c>
      <c r="C27" t="inlineStr">
        <is>
          <t>Thân vỏ van MFD bích TDF (1.15mm)</t>
        </is>
      </c>
      <c r="D27" t="inlineStr">
        <is>
          <t>TÔN_CUỘN_MẠ_KẼM</t>
        </is>
      </c>
      <c r="E27" t="inlineStr">
        <is>
          <t>MAT-STEEL-PN-1.15</t>
        </is>
      </c>
      <c r="F27" t="inlineStr">
        <is>
          <t>kg</t>
        </is>
      </c>
      <c r="G27" s="394" t="n">
        <v>14.0742336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Kích thước vỏ 1700.0x600.0x250mm</t>
        </is>
      </c>
    </row>
    <row r="28">
      <c r="A28" t="inlineStr">
        <is>
          <t>SW-DAMPER-027-BLADE</t>
        </is>
      </c>
      <c r="B28" t="inlineStr">
        <is>
          <t>SW-DAMPER-027</t>
        </is>
      </c>
      <c r="C28" t="inlineStr">
        <is>
          <t>Lá cánh van (4 cánh overlap)</t>
        </is>
      </c>
      <c r="D28" t="inlineStr">
        <is>
          <t>TÔN_CUỘN_MẠ_KẼM</t>
        </is>
      </c>
      <c r="E28" t="inlineStr">
        <is>
          <t>MAT-STEEL-PN-1.15</t>
        </is>
      </c>
      <c r="F28" t="inlineStr">
        <is>
          <t>kg</t>
        </is>
      </c>
      <c r="G28" s="394" t="n">
        <v>11.2706532</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cánh cao 170mm</t>
        </is>
      </c>
    </row>
    <row r="29">
      <c r="A29" t="inlineStr">
        <is>
          <t>SW-DAMPER-027-AXLE</t>
        </is>
      </c>
      <c r="B29" t="inlineStr">
        <is>
          <t>SW-DAMPER-027</t>
        </is>
      </c>
      <c r="C29" t="inlineStr">
        <is>
          <t>Trục Sus 201 D10</t>
        </is>
      </c>
      <c r="D29" t="inlineStr">
        <is>
          <t>PHỤ_KIỆN_VAN</t>
        </is>
      </c>
      <c r="E29" t="inlineStr">
        <is>
          <t>MAT-DAMPER-TRUC-SUS-201-D10</t>
        </is>
      </c>
      <c r="F29" t="inlineStr">
        <is>
          <t>m</t>
        </is>
      </c>
      <c r="G29" s="394" t="n">
        <v>7.04</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4 trục dài 1760mm</t>
        </is>
      </c>
    </row>
    <row r="30">
      <c r="A30" t="inlineStr">
        <is>
          <t>SW-DAMPER-027-BEARING</t>
        </is>
      </c>
      <c r="B30" t="inlineStr">
        <is>
          <t>SW-DAMPER-027</t>
        </is>
      </c>
      <c r="C30" t="inlineStr">
        <is>
          <t>Bạc đồng D10</t>
        </is>
      </c>
      <c r="D30" t="inlineStr">
        <is>
          <t>PHỤ_KIỆN_VAN</t>
        </is>
      </c>
      <c r="E30" t="inlineStr">
        <is>
          <t>MAT-DAMPER-BAC-DONG-D10</t>
        </is>
      </c>
      <c r="F30" t="inlineStr">
        <is>
          <t>Đôi</t>
        </is>
      </c>
      <c r="G30" s="394" t="n">
        <v>4</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4 đôi bạc đỡ 2 bên thân</t>
        </is>
      </c>
    </row>
    <row r="31">
      <c r="A31" t="inlineStr">
        <is>
          <t>SW-DAMPER-027-GEAR</t>
        </is>
      </c>
      <c r="B31" t="inlineStr">
        <is>
          <t>SW-DAMPER-027</t>
        </is>
      </c>
      <c r="C31" t="inlineStr">
        <is>
          <t>Bánh răng van nhôm</t>
        </is>
      </c>
      <c r="D31" t="inlineStr">
        <is>
          <t>PHỤ_KIỆN_VAN</t>
        </is>
      </c>
      <c r="E31" t="inlineStr">
        <is>
          <t>MAT-DAMPER-BANH-RANG-VAN-NHOM</t>
        </is>
      </c>
      <c r="F31" t="inlineStr">
        <is>
          <t>Bộ</t>
        </is>
      </c>
      <c r="G31" s="394" t="n">
        <v>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Cơ cấu liên động bánh răng van</t>
        </is>
      </c>
    </row>
    <row r="32">
      <c r="A32" t="inlineStr">
        <is>
          <t>SW-DAMPER-027-ACTUATOR</t>
        </is>
      </c>
      <c r="B32" t="inlineStr">
        <is>
          <t>SW-DAMPER-027</t>
        </is>
      </c>
      <c r="C32" t="inlineStr">
        <is>
          <t>Động cơ chặn lửa ON/OFF 18Nm, 24V (BELIMO BF 24 hoặc tương đương)</t>
        </is>
      </c>
      <c r="D32" t="inlineStr">
        <is>
          <t>ĐỘNG_CƠ_VÀ_CẢM_BIẾN</t>
        </is>
      </c>
      <c r="E32" t="inlineStr">
        <is>
          <t>MAT-ACTUATOR-BELIMO-BF24</t>
        </is>
      </c>
      <c r="F32" t="inlineStr">
        <is>
          <t>Cái</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Động cơ lò xo phản hồi cho MFD (S=1.02m2)</t>
        </is>
      </c>
    </row>
    <row r="33">
      <c r="A33" t="inlineStr">
        <is>
          <t>SW-DAMPER-027-FIRE_INSULATION</t>
        </is>
      </c>
      <c r="B33" t="inlineStr">
        <is>
          <t>SW-DAMPER-027</t>
        </is>
      </c>
      <c r="C33" t="inlineStr">
        <is>
          <t>Bọc cách nhiệt chống cháy tấm MGO/Thạch cao (Tiêu chuẩn EI)</t>
        </is>
      </c>
      <c r="D33" t="inlineStr">
        <is>
          <t>VẬT_LIỆU_CÁCH_NHIỆT</t>
        </is>
      </c>
      <c r="E33" t="inlineStr">
        <is>
          <t>MAT-INSULATION-EI-DAMPER</t>
        </is>
      </c>
      <c r="F33" t="inlineStr">
        <is>
          <t>m2</t>
        </is>
      </c>
      <c r="G33" s="394" t="n">
        <v>1.714944</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Bọc chống cháy vỏ van (Lưu ý: Giá vật tư đang TẠM TÍNH 300k/m2)</t>
        </is>
      </c>
    </row>
    <row r="34">
      <c r="A34" t="inlineStr">
        <is>
          <t>SW-DAMPER-028-BODY</t>
        </is>
      </c>
      <c r="B34" t="inlineStr">
        <is>
          <t>SW-DAMPER-028</t>
        </is>
      </c>
      <c r="C34" t="inlineStr">
        <is>
          <t>Thân vỏ van MFD bích TDF (1.15mm)</t>
        </is>
      </c>
      <c r="D34" t="inlineStr">
        <is>
          <t>TÔN_CUỘN_MẠ_KẼM</t>
        </is>
      </c>
      <c r="E34" t="inlineStr">
        <is>
          <t>MAT-STEEL-PN-1.15</t>
        </is>
      </c>
      <c r="F34" t="inlineStr">
        <is>
          <t>kg</t>
        </is>
      </c>
      <c r="G34" s="394" t="n">
        <v>9.524373600000001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Kích thước vỏ 1200.0x350.0x250mm</t>
        </is>
      </c>
    </row>
    <row r="35">
      <c r="A35" t="inlineStr">
        <is>
          <t>SW-DAMPER-028-BLADE</t>
        </is>
      </c>
      <c r="B35" t="inlineStr">
        <is>
          <t>SW-DAMPER-028</t>
        </is>
      </c>
      <c r="C35" t="inlineStr">
        <is>
          <t>Lá cánh van (2 cánh overlap)</t>
        </is>
      </c>
      <c r="D35" t="inlineStr">
        <is>
          <t>TÔN_CUỘN_MẠ_KẼM</t>
        </is>
      </c>
      <c r="E35" t="inlineStr">
        <is>
          <t>MAT-STEEL-PN-1.15</t>
        </is>
      </c>
      <c r="F35" t="inlineStr">
        <is>
          <t>kg</t>
        </is>
      </c>
      <c r="G35" s="394" t="n">
        <v>4.562859599999999</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2 cánh cao 195mm</t>
        </is>
      </c>
    </row>
    <row r="36">
      <c r="A36" t="inlineStr">
        <is>
          <t>SW-DAMPER-028-AXLE</t>
        </is>
      </c>
      <c r="B36" t="inlineStr">
        <is>
          <t>SW-DAMPER-028</t>
        </is>
      </c>
      <c r="C36" t="inlineStr">
        <is>
          <t>Trục Sus 201 D10</t>
        </is>
      </c>
      <c r="D36" t="inlineStr">
        <is>
          <t>PHỤ_KIỆN_VAN</t>
        </is>
      </c>
      <c r="E36" t="inlineStr">
        <is>
          <t>MAT-DAMPER-TRUC-SUS-201-D10</t>
        </is>
      </c>
      <c r="F36" t="inlineStr">
        <is>
          <t>m</t>
        </is>
      </c>
      <c r="G36" s="394" t="n">
        <v>2.52</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2 trục dài 1260mm</t>
        </is>
      </c>
    </row>
    <row r="37">
      <c r="A37" t="inlineStr">
        <is>
          <t>SW-DAMPER-028-BEARING</t>
        </is>
      </c>
      <c r="B37" t="inlineStr">
        <is>
          <t>SW-DAMPER-028</t>
        </is>
      </c>
      <c r="C37" t="inlineStr">
        <is>
          <t>Bạc đồng D10</t>
        </is>
      </c>
      <c r="D37" t="inlineStr">
        <is>
          <t>PHỤ_KIỆN_VAN</t>
        </is>
      </c>
      <c r="E37" t="inlineStr">
        <is>
          <t>MAT-DAMPER-BAC-DONG-D10</t>
        </is>
      </c>
      <c r="F37" t="inlineStr">
        <is>
          <t>Đôi</t>
        </is>
      </c>
      <c r="G37" s="394" t="n">
        <v>2</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2 đôi bạc đỡ 2 bên thân</t>
        </is>
      </c>
    </row>
    <row r="38">
      <c r="A38" t="inlineStr">
        <is>
          <t>SW-DAMPER-028-GEAR</t>
        </is>
      </c>
      <c r="B38" t="inlineStr">
        <is>
          <t>SW-DAMPER-028</t>
        </is>
      </c>
      <c r="C38" t="inlineStr">
        <is>
          <t>Bánh răng van nhôm</t>
        </is>
      </c>
      <c r="D38" t="inlineStr">
        <is>
          <t>PHỤ_KIỆN_VAN</t>
        </is>
      </c>
      <c r="E38" t="inlineStr">
        <is>
          <t>MAT-DAMPER-BANH-RANG-VAN-NHOM</t>
        </is>
      </c>
      <c r="F38" t="inlineStr">
        <is>
          <t>Bộ</t>
        </is>
      </c>
      <c r="G38" s="394" t="n">
        <v>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Cơ cấu liên động bánh răng van</t>
        </is>
      </c>
    </row>
    <row r="39">
      <c r="A39" t="inlineStr">
        <is>
          <t>SW-DAMPER-028-ACTUATOR</t>
        </is>
      </c>
      <c r="B39" t="inlineStr">
        <is>
          <t>SW-DAMPER-028</t>
        </is>
      </c>
      <c r="C39" t="inlineStr">
        <is>
          <t>Động cơ chặn lửa ON/OFF 9Nm, 24V (BELIMO BFN 24 hoặc tương đương)</t>
        </is>
      </c>
      <c r="D39" t="inlineStr">
        <is>
          <t>ĐỘNG_CƠ_VÀ_CẢM_BIẾN</t>
        </is>
      </c>
      <c r="E39" t="inlineStr">
        <is>
          <t>MAT-ACTUATOR-BELIMO-BFN24</t>
        </is>
      </c>
      <c r="F39" t="inlineStr">
        <is>
          <t>Cái</t>
        </is>
      </c>
      <c r="G39" s="394" t="n">
        <v>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Động cơ lò xo phản hồi cho MFD (S=0.42m2)</t>
        </is>
      </c>
    </row>
    <row r="40">
      <c r="A40" t="inlineStr">
        <is>
          <t>SW-DAMPER-028-FIRE_INSULATION</t>
        </is>
      </c>
      <c r="B40" t="inlineStr">
        <is>
          <t>SW-DAMPER-028</t>
        </is>
      </c>
      <c r="C40" t="inlineStr">
        <is>
          <t>Bọc cách nhiệt chống cháy tấm MGO/Thạch cao (Tiêu chuẩn EI)</t>
        </is>
      </c>
      <c r="D40" t="inlineStr">
        <is>
          <t>VẬT_LIỆU_CÁCH_NHIỆT</t>
        </is>
      </c>
      <c r="E40" t="inlineStr">
        <is>
          <t>MAT-INSULATION-EI-DAMPER</t>
        </is>
      </c>
      <c r="F40" t="inlineStr">
        <is>
          <t>m2</t>
        </is>
      </c>
      <c r="G40" s="394" t="n">
        <v>1.160544</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Bọc chống cháy vỏ van (Lưu ý: Giá vật tư đang TẠM TÍNH 300k/m2)</t>
        </is>
      </c>
    </row>
    <row r="41">
      <c r="A41" t="inlineStr">
        <is>
          <t>SW-DAMPER-029-BODY</t>
        </is>
      </c>
      <c r="B41" t="inlineStr">
        <is>
          <t>SW-DAMPER-029</t>
        </is>
      </c>
      <c r="C41" t="inlineStr">
        <is>
          <t>Thân vỏ van MFD bích TDF (1.15mm)</t>
        </is>
      </c>
      <c r="D41" t="inlineStr">
        <is>
          <t>TÔN_CUỘN_MẠ_KẼM</t>
        </is>
      </c>
      <c r="E41" t="inlineStr">
        <is>
          <t>MAT-STEEL-PN-1.15</t>
        </is>
      </c>
      <c r="F41" t="inlineStr">
        <is>
          <t>kg</t>
        </is>
      </c>
      <c r="G41" s="394" t="n">
        <v>8.311077600000001</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Kích thước vỏ 950.0x400.0x250mm</t>
        </is>
      </c>
    </row>
    <row r="42">
      <c r="A42" t="inlineStr">
        <is>
          <t>SW-DAMPER-029-BLADE</t>
        </is>
      </c>
      <c r="B42" t="inlineStr">
        <is>
          <t>SW-DAMPER-029</t>
        </is>
      </c>
      <c r="C42" t="inlineStr">
        <is>
          <t>Lá cánh van (3 cánh overlap)</t>
        </is>
      </c>
      <c r="D42" t="inlineStr">
        <is>
          <t>TÔN_CUỘN_MẠ_KẼM</t>
        </is>
      </c>
      <c r="E42" t="inlineStr">
        <is>
          <t>MAT-STEEL-PN-1.15</t>
        </is>
      </c>
      <c r="F42" t="inlineStr">
        <is>
          <t>kg</t>
        </is>
      </c>
      <c r="G42" s="394" t="n">
        <v>4.2606189</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3 cánh cao 153mm</t>
        </is>
      </c>
    </row>
    <row r="43">
      <c r="A43" t="inlineStr">
        <is>
          <t>SW-DAMPER-029-AXLE</t>
        </is>
      </c>
      <c r="B43" t="inlineStr">
        <is>
          <t>SW-DAMPER-029</t>
        </is>
      </c>
      <c r="C43" t="inlineStr">
        <is>
          <t>Trục Sus 201 D10</t>
        </is>
      </c>
      <c r="D43" t="inlineStr">
        <is>
          <t>PHỤ_KIỆN_VAN</t>
        </is>
      </c>
      <c r="E43" t="inlineStr">
        <is>
          <t>MAT-DAMPER-TRUC-SUS-201-D10</t>
        </is>
      </c>
      <c r="F43" t="inlineStr">
        <is>
          <t>m</t>
        </is>
      </c>
      <c r="G43" s="394" t="n">
        <v>3.03</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3 trục dài 1010mm</t>
        </is>
      </c>
    </row>
    <row r="44">
      <c r="A44" t="inlineStr">
        <is>
          <t>SW-DAMPER-029-BEARING</t>
        </is>
      </c>
      <c r="B44" t="inlineStr">
        <is>
          <t>SW-DAMPER-029</t>
        </is>
      </c>
      <c r="C44" t="inlineStr">
        <is>
          <t>Bạc đồng D10</t>
        </is>
      </c>
      <c r="D44" t="inlineStr">
        <is>
          <t>PHỤ_KIỆN_VAN</t>
        </is>
      </c>
      <c r="E44" t="inlineStr">
        <is>
          <t>MAT-DAMPER-BAC-DONG-D10</t>
        </is>
      </c>
      <c r="F44" t="inlineStr">
        <is>
          <t>Đôi</t>
        </is>
      </c>
      <c r="G44" s="394" t="n">
        <v>3</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3 đôi bạc đỡ 2 bên thân</t>
        </is>
      </c>
    </row>
    <row r="45">
      <c r="A45" t="inlineStr">
        <is>
          <t>SW-DAMPER-029-GEAR</t>
        </is>
      </c>
      <c r="B45" t="inlineStr">
        <is>
          <t>SW-DAMPER-029</t>
        </is>
      </c>
      <c r="C45" t="inlineStr">
        <is>
          <t>Bánh răng van nhôm</t>
        </is>
      </c>
      <c r="D45" t="inlineStr">
        <is>
          <t>PHỤ_KIỆN_VAN</t>
        </is>
      </c>
      <c r="E45" t="inlineStr">
        <is>
          <t>MAT-DAMPER-BANH-RANG-VAN-NHOM</t>
        </is>
      </c>
      <c r="F45" t="inlineStr">
        <is>
          <t>Bộ</t>
        </is>
      </c>
      <c r="G45" s="394" t="n">
        <v>1</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Cơ cấu liên động bánh răng van</t>
        </is>
      </c>
    </row>
    <row r="46">
      <c r="A46" t="inlineStr">
        <is>
          <t>SW-DAMPER-029-ACTUATOR</t>
        </is>
      </c>
      <c r="B46" t="inlineStr">
        <is>
          <t>SW-DAMPER-029</t>
        </is>
      </c>
      <c r="C46" t="inlineStr">
        <is>
          <t>Động cơ chặn lửa ON/OFF 9Nm, 24V (BELIMO BFN 24 hoặc tương đương)</t>
        </is>
      </c>
      <c r="D46" t="inlineStr">
        <is>
          <t>ĐỘNG_CƠ_VÀ_CẢM_BIẾN</t>
        </is>
      </c>
      <c r="E46" t="inlineStr">
        <is>
          <t>MAT-ACTUATOR-BELIMO-BFN24</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Động cơ lò xo phản hồi cho MFD (S=0.38m2)</t>
        </is>
      </c>
    </row>
    <row r="47">
      <c r="A47" t="inlineStr">
        <is>
          <t>SW-DAMPER-029-FIRE_INSULATION</t>
        </is>
      </c>
      <c r="B47" t="inlineStr">
        <is>
          <t>SW-DAMPER-029</t>
        </is>
      </c>
      <c r="C47" t="inlineStr">
        <is>
          <t>Bọc cách nhiệt chống cháy tấm MGO/Thạch cao (Tiêu chuẩn EI)</t>
        </is>
      </c>
      <c r="D47" t="inlineStr">
        <is>
          <t>VẬT_LIỆU_CÁCH_NHIỆT</t>
        </is>
      </c>
      <c r="E47" t="inlineStr">
        <is>
          <t>MAT-INSULATION-EI-DAMPER</t>
        </is>
      </c>
      <c r="F47" t="inlineStr">
        <is>
          <t>m2</t>
        </is>
      </c>
      <c r="G47" s="394" t="n">
        <v>1.012704</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Bọc chống cháy vỏ van (Lưu ý: Giá vật tư đang TẠM TÍNH 300k/m2)</t>
        </is>
      </c>
    </row>
    <row r="48">
      <c r="A48" t="inlineStr">
        <is>
          <t>SW-DAMPER-030-BODY</t>
        </is>
      </c>
      <c r="B48" t="inlineStr">
        <is>
          <t>SW-DAMPER-030</t>
        </is>
      </c>
      <c r="C48" t="inlineStr">
        <is>
          <t>Thân vỏ van MFD bích TDF (1.15mm)</t>
        </is>
      </c>
      <c r="D48" t="inlineStr">
        <is>
          <t>TÔN_CUỘN_MẠ_KẼM</t>
        </is>
      </c>
      <c r="E48" t="inlineStr">
        <is>
          <t>MAT-STEEL-PN-1.15</t>
        </is>
      </c>
      <c r="F48" t="inlineStr">
        <is>
          <t>kg</t>
        </is>
      </c>
      <c r="G48" s="394" t="n">
        <v>8.917725599999999</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Kích thước vỏ 950.0x500.0x250mm</t>
        </is>
      </c>
    </row>
    <row r="49">
      <c r="A49" t="inlineStr">
        <is>
          <t>SW-DAMPER-030-BLADE</t>
        </is>
      </c>
      <c r="B49" t="inlineStr">
        <is>
          <t>SW-DAMPER-030</t>
        </is>
      </c>
      <c r="C49" t="inlineStr">
        <is>
          <t>Lá cánh van (3 cánh overlap)</t>
        </is>
      </c>
      <c r="D49" t="inlineStr">
        <is>
          <t>TÔN_CUỘN_MẠ_KẼM</t>
        </is>
      </c>
      <c r="E49" t="inlineStr">
        <is>
          <t>MAT-STEEL-PN-1.15</t>
        </is>
      </c>
      <c r="F49" t="inlineStr">
        <is>
          <t>kg</t>
        </is>
      </c>
      <c r="G49" s="394" t="n">
        <v>5.186840399999999</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3 cánh cao 187mm</t>
        </is>
      </c>
    </row>
    <row r="50">
      <c r="A50" t="inlineStr">
        <is>
          <t>SW-DAMPER-030-AXLE</t>
        </is>
      </c>
      <c r="B50" t="inlineStr">
        <is>
          <t>SW-DAMPER-030</t>
        </is>
      </c>
      <c r="C50" t="inlineStr">
        <is>
          <t>Trục Sus 201 D10</t>
        </is>
      </c>
      <c r="D50" t="inlineStr">
        <is>
          <t>PHỤ_KIỆN_VAN</t>
        </is>
      </c>
      <c r="E50" t="inlineStr">
        <is>
          <t>MAT-DAMPER-TRUC-SUS-201-D10</t>
        </is>
      </c>
      <c r="F50" t="inlineStr">
        <is>
          <t>m</t>
        </is>
      </c>
      <c r="G50" s="394" t="n">
        <v>3.03</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3 trục dài 1010mm</t>
        </is>
      </c>
    </row>
    <row r="51">
      <c r="A51" t="inlineStr">
        <is>
          <t>SW-DAMPER-030-BEARING</t>
        </is>
      </c>
      <c r="B51" t="inlineStr">
        <is>
          <t>SW-DAMPER-030</t>
        </is>
      </c>
      <c r="C51" t="inlineStr">
        <is>
          <t>Bạc đồng D10</t>
        </is>
      </c>
      <c r="D51" t="inlineStr">
        <is>
          <t>PHỤ_KIỆN_VAN</t>
        </is>
      </c>
      <c r="E51" t="inlineStr">
        <is>
          <t>MAT-DAMPER-BAC-DONG-D10</t>
        </is>
      </c>
      <c r="F51" t="inlineStr">
        <is>
          <t>Đôi</t>
        </is>
      </c>
      <c r="G51" s="394" t="n">
        <v>3</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3 đôi bạc đỡ 2 bên thân</t>
        </is>
      </c>
    </row>
    <row r="52">
      <c r="A52" t="inlineStr">
        <is>
          <t>SW-DAMPER-030-GEAR</t>
        </is>
      </c>
      <c r="B52" t="inlineStr">
        <is>
          <t>SW-DAMPER-030</t>
        </is>
      </c>
      <c r="C52" t="inlineStr">
        <is>
          <t>Bánh răng van nhôm</t>
        </is>
      </c>
      <c r="D52" t="inlineStr">
        <is>
          <t>PHỤ_KIỆN_VAN</t>
        </is>
      </c>
      <c r="E52" t="inlineStr">
        <is>
          <t>MAT-DAMPER-BANH-RANG-VAN-NHOM</t>
        </is>
      </c>
      <c r="F52" t="inlineStr">
        <is>
          <t>Bộ</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Cơ cấu liên động bánh răng van</t>
        </is>
      </c>
    </row>
    <row r="53">
      <c r="A53" t="inlineStr">
        <is>
          <t>SW-DAMPER-030-ACTUATOR</t>
        </is>
      </c>
      <c r="B53" t="inlineStr">
        <is>
          <t>SW-DAMPER-030</t>
        </is>
      </c>
      <c r="C53" t="inlineStr">
        <is>
          <t>Động cơ chặn lửa ON/OFF 9Nm, 24V (BELIMO BFN 24 hoặc tương đương)</t>
        </is>
      </c>
      <c r="D53" t="inlineStr">
        <is>
          <t>ĐỘNG_CƠ_VÀ_CẢM_BIẾN</t>
        </is>
      </c>
      <c r="E53" t="inlineStr">
        <is>
          <t>MAT-ACTUATOR-BELIMO-BFN24</t>
        </is>
      </c>
      <c r="F53" t="inlineStr">
        <is>
          <t>Cái</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Động cơ lò xo phản hồi cho MFD (S=0.47m2)</t>
        </is>
      </c>
    </row>
    <row r="54">
      <c r="A54" t="inlineStr">
        <is>
          <t>SW-DAMPER-030-FIRE_INSULATION</t>
        </is>
      </c>
      <c r="B54" t="inlineStr">
        <is>
          <t>SW-DAMPER-030</t>
        </is>
      </c>
      <c r="C54" t="inlineStr">
        <is>
          <t>Bọc cách nhiệt chống cháy tấm MGO/Thạch cao (Tiêu chuẩn EI)</t>
        </is>
      </c>
      <c r="D54" t="inlineStr">
        <is>
          <t>VẬT_LIỆU_CÁCH_NHIỆT</t>
        </is>
      </c>
      <c r="E54" t="inlineStr">
        <is>
          <t>MAT-INSULATION-EI-DAMPER</t>
        </is>
      </c>
      <c r="F54" t="inlineStr">
        <is>
          <t>m2</t>
        </is>
      </c>
      <c r="G54" s="394" t="n">
        <v>1.086624</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Bọc chống cháy vỏ van (Lưu ý: Giá vật tư đang TẠM TÍNH 300k/m2)</t>
        </is>
      </c>
    </row>
    <row r="55">
      <c r="A55" t="inlineStr">
        <is>
          <t>SW-DAMPER-031-BODY</t>
        </is>
      </c>
      <c r="B55" t="inlineStr">
        <is>
          <t>SW-DAMPER-031</t>
        </is>
      </c>
      <c r="C55" t="inlineStr">
        <is>
          <t>Thân vỏ van MFD bích TDF (1.15mm)</t>
        </is>
      </c>
      <c r="D55" t="inlineStr">
        <is>
          <t>TÔN_CUỘN_MẠ_KẼM</t>
        </is>
      </c>
      <c r="E55" t="inlineStr">
        <is>
          <t>MAT-STEEL-PN-1.15</t>
        </is>
      </c>
      <c r="F55" t="inlineStr">
        <is>
          <t>kg</t>
        </is>
      </c>
      <c r="G55" s="394" t="n">
        <v>7.097781599999999</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Kích thước vỏ 950.0x200.0x250mm</t>
        </is>
      </c>
    </row>
    <row r="56">
      <c r="A56" t="inlineStr">
        <is>
          <t>SW-DAMPER-031-BLADE</t>
        </is>
      </c>
      <c r="B56" t="inlineStr">
        <is>
          <t>SW-DAMPER-031</t>
        </is>
      </c>
      <c r="C56" t="inlineStr">
        <is>
          <t>Lá cánh van (2 cánh overlap)</t>
        </is>
      </c>
      <c r="D56" t="inlineStr">
        <is>
          <t>TÔN_CUỘN_MẠ_KẼM</t>
        </is>
      </c>
      <c r="E56" t="inlineStr">
        <is>
          <t>MAT-STEEL-PN-1.15</t>
        </is>
      </c>
      <c r="F56" t="inlineStr">
        <is>
          <t>kg</t>
        </is>
      </c>
      <c r="G56" s="394" t="n">
        <v>2.222931599999999</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2 cánh cao 120mm</t>
        </is>
      </c>
    </row>
    <row r="57">
      <c r="A57" t="inlineStr">
        <is>
          <t>SW-DAMPER-031-AXLE</t>
        </is>
      </c>
      <c r="B57" t="inlineStr">
        <is>
          <t>SW-DAMPER-031</t>
        </is>
      </c>
      <c r="C57" t="inlineStr">
        <is>
          <t>Trục Sus 201 D10</t>
        </is>
      </c>
      <c r="D57" t="inlineStr">
        <is>
          <t>PHỤ_KIỆN_VAN</t>
        </is>
      </c>
      <c r="E57" t="inlineStr">
        <is>
          <t>MAT-DAMPER-TRUC-SUS-201-D10</t>
        </is>
      </c>
      <c r="F57" t="inlineStr">
        <is>
          <t>m</t>
        </is>
      </c>
      <c r="G57" s="394" t="n">
        <v>2.02</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2 trục dài 1010mm</t>
        </is>
      </c>
    </row>
    <row r="58">
      <c r="A58" t="inlineStr">
        <is>
          <t>SW-DAMPER-031-BEARING</t>
        </is>
      </c>
      <c r="B58" t="inlineStr">
        <is>
          <t>SW-DAMPER-031</t>
        </is>
      </c>
      <c r="C58" t="inlineStr">
        <is>
          <t>Bạc đồng D10</t>
        </is>
      </c>
      <c r="D58" t="inlineStr">
        <is>
          <t>PHỤ_KIỆN_VAN</t>
        </is>
      </c>
      <c r="E58" t="inlineStr">
        <is>
          <t>MAT-DAMPER-BAC-DONG-D10</t>
        </is>
      </c>
      <c r="F58" t="inlineStr">
        <is>
          <t>Đôi</t>
        </is>
      </c>
      <c r="G58" s="394" t="n">
        <v>2</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2 đôi bạc đỡ 2 bên thân</t>
        </is>
      </c>
    </row>
    <row r="59">
      <c r="A59" t="inlineStr">
        <is>
          <t>SW-DAMPER-031-GEAR</t>
        </is>
      </c>
      <c r="B59" t="inlineStr">
        <is>
          <t>SW-DAMPER-031</t>
        </is>
      </c>
      <c r="C59" t="inlineStr">
        <is>
          <t>Bánh răng van nhôm</t>
        </is>
      </c>
      <c r="D59" t="inlineStr">
        <is>
          <t>PHỤ_KIỆN_VAN</t>
        </is>
      </c>
      <c r="E59" t="inlineStr">
        <is>
          <t>MAT-DAMPER-BANH-RANG-VAN-NHOM</t>
        </is>
      </c>
      <c r="F59" t="inlineStr">
        <is>
          <t>Bộ</t>
        </is>
      </c>
      <c r="G59" s="394" t="n">
        <v>1</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Cơ cấu liên động bánh răng van</t>
        </is>
      </c>
    </row>
    <row r="60">
      <c r="A60" t="inlineStr">
        <is>
          <t>SW-DAMPER-031-ACTUATOR</t>
        </is>
      </c>
      <c r="B60" t="inlineStr">
        <is>
          <t>SW-DAMPER-031</t>
        </is>
      </c>
      <c r="C60" t="inlineStr">
        <is>
          <t>Động cơ chặn lửa ON/OFF 9Nm, 24V (BELIMO BFN 24 hoặc tương đương)</t>
        </is>
      </c>
      <c r="D60" t="inlineStr">
        <is>
          <t>ĐỘNG_CƠ_VÀ_CẢM_BIẾN</t>
        </is>
      </c>
      <c r="E60" t="inlineStr">
        <is>
          <t>MAT-ACTUATOR-BELIMO-BFN24</t>
        </is>
      </c>
      <c r="F60" t="inlineStr">
        <is>
          <t>Cái</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Động cơ lò xo phản hồi cho MFD (S=0.19m2)</t>
        </is>
      </c>
    </row>
    <row r="61">
      <c r="A61" t="inlineStr">
        <is>
          <t>SW-DAMPER-031-FIRE_INSULATION</t>
        </is>
      </c>
      <c r="B61" t="inlineStr">
        <is>
          <t>SW-DAMPER-031</t>
        </is>
      </c>
      <c r="C61" t="inlineStr">
        <is>
          <t>Bọc cách nhiệt chống cháy tấm MGO/Thạch cao (Tiêu chuẩn EI)</t>
        </is>
      </c>
      <c r="D61" t="inlineStr">
        <is>
          <t>VẬT_LIỆU_CÁCH_NHIỆT</t>
        </is>
      </c>
      <c r="E61" t="inlineStr">
        <is>
          <t>MAT-INSULATION-EI-DAMPER</t>
        </is>
      </c>
      <c r="F61" t="inlineStr">
        <is>
          <t>m2</t>
        </is>
      </c>
      <c r="G61" s="394" t="n">
        <v>0.8648640000000001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Bọc chống cháy vỏ van (Lưu ý: Giá vật tư đang TẠM TÍNH 300k/m2)</t>
        </is>
      </c>
    </row>
    <row r="62">
      <c r="A62" t="inlineStr">
        <is>
          <t>SW-DAMPER-032-BODY</t>
        </is>
      </c>
      <c r="B62" t="inlineStr">
        <is>
          <t>SW-DAMPER-032</t>
        </is>
      </c>
      <c r="C62" t="inlineStr">
        <is>
          <t>Thân vỏ van MFD bích TDF (1.15mm)</t>
        </is>
      </c>
      <c r="D62" t="inlineStr">
        <is>
          <t>TÔN_CUỘN_MẠ_KẼM</t>
        </is>
      </c>
      <c r="E62" t="inlineStr">
        <is>
          <t>MAT-STEEL-PN-1.15</t>
        </is>
      </c>
      <c r="F62" t="inlineStr">
        <is>
          <t>kg</t>
        </is>
      </c>
      <c r="G62" s="394" t="n">
        <v>7.704429599999999</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Kích thước vỏ 950.0x300.0x250mm</t>
        </is>
      </c>
    </row>
    <row r="63">
      <c r="A63" t="inlineStr">
        <is>
          <t>SW-DAMPER-032-BLADE</t>
        </is>
      </c>
      <c r="B63" t="inlineStr">
        <is>
          <t>SW-DAMPER-032</t>
        </is>
      </c>
      <c r="C63" t="inlineStr">
        <is>
          <t>Lá cánh van (2 cánh overlap)</t>
        </is>
      </c>
      <c r="D63" t="inlineStr">
        <is>
          <t>TÔN_CUỘN_MẠ_KẼM</t>
        </is>
      </c>
      <c r="E63" t="inlineStr">
        <is>
          <t>MAT-STEEL-PN-1.15</t>
        </is>
      </c>
      <c r="F63" t="inlineStr">
        <is>
          <t>kg</t>
        </is>
      </c>
      <c r="G63" s="394" t="n">
        <v>3.149153099999999</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2 cánh cao 170mm</t>
        </is>
      </c>
    </row>
    <row r="64">
      <c r="A64" t="inlineStr">
        <is>
          <t>SW-DAMPER-032-AXLE</t>
        </is>
      </c>
      <c r="B64" t="inlineStr">
        <is>
          <t>SW-DAMPER-032</t>
        </is>
      </c>
      <c r="C64" t="inlineStr">
        <is>
          <t>Trục Sus 201 D10</t>
        </is>
      </c>
      <c r="D64" t="inlineStr">
        <is>
          <t>PHỤ_KIỆN_VAN</t>
        </is>
      </c>
      <c r="E64" t="inlineStr">
        <is>
          <t>MAT-DAMPER-TRUC-SUS-201-D10</t>
        </is>
      </c>
      <c r="F64" t="inlineStr">
        <is>
          <t>m</t>
        </is>
      </c>
      <c r="G64" s="394" t="n">
        <v>2.02</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2 trục dài 1010mm</t>
        </is>
      </c>
    </row>
    <row r="65">
      <c r="A65" t="inlineStr">
        <is>
          <t>SW-DAMPER-032-BEARING</t>
        </is>
      </c>
      <c r="B65" t="inlineStr">
        <is>
          <t>SW-DAMPER-032</t>
        </is>
      </c>
      <c r="C65" t="inlineStr">
        <is>
          <t>Bạc đồng D10</t>
        </is>
      </c>
      <c r="D65" t="inlineStr">
        <is>
          <t>PHỤ_KIỆN_VAN</t>
        </is>
      </c>
      <c r="E65" t="inlineStr">
        <is>
          <t>MAT-DAMPER-BAC-DONG-D10</t>
        </is>
      </c>
      <c r="F65" t="inlineStr">
        <is>
          <t>Đôi</t>
        </is>
      </c>
      <c r="G65" s="394" t="n">
        <v>2</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2 đôi bạc đỡ 2 bên thân</t>
        </is>
      </c>
    </row>
    <row r="66">
      <c r="A66" t="inlineStr">
        <is>
          <t>SW-DAMPER-032-GEAR</t>
        </is>
      </c>
      <c r="B66" t="inlineStr">
        <is>
          <t>SW-DAMPER-032</t>
        </is>
      </c>
      <c r="C66" t="inlineStr">
        <is>
          <t>Bánh răng van nhôm</t>
        </is>
      </c>
      <c r="D66" t="inlineStr">
        <is>
          <t>PHỤ_KIỆN_VAN</t>
        </is>
      </c>
      <c r="E66" t="inlineStr">
        <is>
          <t>MAT-DAMPER-BANH-RANG-VAN-NHOM</t>
        </is>
      </c>
      <c r="F66" t="inlineStr">
        <is>
          <t>Bộ</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Cơ cấu liên động bánh răng van</t>
        </is>
      </c>
    </row>
    <row r="67">
      <c r="A67" t="inlineStr">
        <is>
          <t>SW-DAMPER-032-ACTUATOR</t>
        </is>
      </c>
      <c r="B67" t="inlineStr">
        <is>
          <t>SW-DAMPER-032</t>
        </is>
      </c>
      <c r="C67" t="inlineStr">
        <is>
          <t>Động cơ chặn lửa ON/OFF 9Nm, 24V (BELIMO BFN 24 hoặc tương đương)</t>
        </is>
      </c>
      <c r="D67" t="inlineStr">
        <is>
          <t>ĐỘNG_CƠ_VÀ_CẢM_BIẾN</t>
        </is>
      </c>
      <c r="E67" t="inlineStr">
        <is>
          <t>MAT-ACTUATOR-BELIMO-BFN24</t>
        </is>
      </c>
      <c r="F67" t="inlineStr">
        <is>
          <t>Cái</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Động cơ lò xo phản hồi cho MFD (S=0.28m2)</t>
        </is>
      </c>
    </row>
    <row r="68">
      <c r="A68" t="inlineStr">
        <is>
          <t>SW-DAMPER-032-FIRE_INSULATION</t>
        </is>
      </c>
      <c r="B68" t="inlineStr">
        <is>
          <t>SW-DAMPER-032</t>
        </is>
      </c>
      <c r="C68" t="inlineStr">
        <is>
          <t>Bọc cách nhiệt chống cháy tấm MGO/Thạch cao (Tiêu chuẩn EI)</t>
        </is>
      </c>
      <c r="D68" t="inlineStr">
        <is>
          <t>VẬT_LIỆU_CÁCH_NHIỆT</t>
        </is>
      </c>
      <c r="E68" t="inlineStr">
        <is>
          <t>MAT-INSULATION-EI-DAMPER</t>
        </is>
      </c>
      <c r="F68" t="inlineStr">
        <is>
          <t>m2</t>
        </is>
      </c>
      <c r="G68" s="394" t="n">
        <v>0.9387840000000002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Bọc chống cháy vỏ van (Lưu ý: Giá vật tư đang TẠM TÍNH 300k/m2)</t>
        </is>
      </c>
    </row>
    <row r="69">
      <c r="A69" t="inlineStr">
        <is>
          <t>SW-DAMPER-033-BODY</t>
        </is>
      </c>
      <c r="B69" t="inlineStr">
        <is>
          <t>SW-DAMPER-033</t>
        </is>
      </c>
      <c r="C69" t="inlineStr">
        <is>
          <t>Thân vỏ van VCD bích TDF (0.95mm)</t>
        </is>
      </c>
      <c r="D69" t="inlineStr">
        <is>
          <t>TÔN_CUỘN_MẠ_KẼM</t>
        </is>
      </c>
      <c r="E69" t="inlineStr">
        <is>
          <t>MAT-STEEL-PN-0.95</t>
        </is>
      </c>
      <c r="F69" t="inlineStr">
        <is>
          <t>kg</t>
        </is>
      </c>
      <c r="G69" s="394" t="n">
        <v>11.0502252</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Kích thước vỏ 2000.0x500.0x210mm</t>
        </is>
      </c>
    </row>
    <row r="70">
      <c r="A70" t="inlineStr">
        <is>
          <t>SW-DAMPER-033-BLADE</t>
        </is>
      </c>
      <c r="B70" t="inlineStr">
        <is>
          <t>SW-DAMPER-033</t>
        </is>
      </c>
      <c r="C70" t="inlineStr">
        <is>
          <t>Lá cánh van (3 cánh overlap)</t>
        </is>
      </c>
      <c r="D70" t="inlineStr">
        <is>
          <t>TÔN_CUỘN_MẠ_KẼM</t>
        </is>
      </c>
      <c r="E70" t="inlineStr">
        <is>
          <t>MAT-STEEL-PN-0.75</t>
        </is>
      </c>
      <c r="F70" t="inlineStr">
        <is>
          <t>kg</t>
        </is>
      </c>
      <c r="G70" s="394" t="n">
        <v>7.121519999999999</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3 cánh cao 187mm</t>
        </is>
      </c>
    </row>
    <row r="71">
      <c r="A71" t="inlineStr">
        <is>
          <t>SW-DAMPER-033-AXLE</t>
        </is>
      </c>
      <c r="B71" t="inlineStr">
        <is>
          <t>SW-DAMPER-033</t>
        </is>
      </c>
      <c r="C71" t="inlineStr">
        <is>
          <t>Trục Sus 201 D10</t>
        </is>
      </c>
      <c r="D71" t="inlineStr">
        <is>
          <t>PHỤ_KIỆN_VAN</t>
        </is>
      </c>
      <c r="E71" t="inlineStr">
        <is>
          <t>MAT-DAMPER-TRUC-SUS-201-D10</t>
        </is>
      </c>
      <c r="F71" t="inlineStr">
        <is>
          <t>m</t>
        </is>
      </c>
      <c r="G71" s="394" t="n">
        <v>6.18</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3 trục dài 2060mm</t>
        </is>
      </c>
    </row>
    <row r="72">
      <c r="A72" t="inlineStr">
        <is>
          <t>SW-DAMPER-033-BEARING</t>
        </is>
      </c>
      <c r="B72" t="inlineStr">
        <is>
          <t>SW-DAMPER-033</t>
        </is>
      </c>
      <c r="C72" t="inlineStr">
        <is>
          <t>Bạc đồng D10</t>
        </is>
      </c>
      <c r="D72" t="inlineStr">
        <is>
          <t>PHỤ_KIỆN_VAN</t>
        </is>
      </c>
      <c r="E72" t="inlineStr">
        <is>
          <t>MAT-DAMPER-BAC-DONG-D10</t>
        </is>
      </c>
      <c r="F72" t="inlineStr">
        <is>
          <t>Đôi</t>
        </is>
      </c>
      <c r="G72" s="394" t="n">
        <v>3</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3 đôi bạc đỡ 2 bên thân</t>
        </is>
      </c>
    </row>
    <row r="73">
      <c r="A73" t="inlineStr">
        <is>
          <t>SW-DAMPER-033-GEAR</t>
        </is>
      </c>
      <c r="B73" t="inlineStr">
        <is>
          <t>SW-DAMPER-033</t>
        </is>
      </c>
      <c r="C73" t="inlineStr">
        <is>
          <t>Bánh răng van nhôm</t>
        </is>
      </c>
      <c r="D73" t="inlineStr">
        <is>
          <t>PHỤ_KIỆN_VAN</t>
        </is>
      </c>
      <c r="E73" t="inlineStr">
        <is>
          <t>MAT-DAMPER-BANH-RANG-VAN-NHOM</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Cơ cấu liên động bánh răng van</t>
        </is>
      </c>
    </row>
    <row r="74">
      <c r="A74" t="inlineStr">
        <is>
          <t>SW-DAMPER-033-HANDLE</t>
        </is>
      </c>
      <c r="B74" t="inlineStr">
        <is>
          <t>SW-DAMPER-033</t>
        </is>
      </c>
      <c r="C74" t="inlineStr">
        <is>
          <t>Tay gạt trung bình</t>
        </is>
      </c>
      <c r="D74" t="inlineStr">
        <is>
          <t>PHỤ_KIỆN_VAN</t>
        </is>
      </c>
      <c r="E74" t="inlineStr">
        <is>
          <t>MAT-DAMPER-TAY-GAT-TRUNG-BINH</t>
        </is>
      </c>
      <c r="F74" t="inlineStr">
        <is>
          <t>Bộ</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Tay gạt khóa vị trí nan (S=1.00m2)</t>
        </is>
      </c>
    </row>
    <row r="75">
      <c r="A75" t="inlineStr">
        <is>
          <t>SW-DAMPER-034-BODY</t>
        </is>
      </c>
      <c r="B75" t="inlineStr">
        <is>
          <t>SW-DAMPER-034</t>
        </is>
      </c>
      <c r="C75" t="inlineStr">
        <is>
          <t>Thân vỏ van VCD bích TDF (0.95mm)</t>
        </is>
      </c>
      <c r="D75" t="inlineStr">
        <is>
          <t>TÔN_CUỘN_MẠ_KẼM</t>
        </is>
      </c>
      <c r="E75" t="inlineStr">
        <is>
          <t>MAT-STEEL-PN-0.95</t>
        </is>
      </c>
      <c r="F75" t="inlineStr">
        <is>
          <t>kg</t>
        </is>
      </c>
      <c r="G75" s="394" t="n">
        <v>7.5422172</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Kích thước vỏ 1300.0x400.0x210mm</t>
        </is>
      </c>
    </row>
    <row r="76">
      <c r="A76" t="inlineStr">
        <is>
          <t>SW-DAMPER-034-BLADE</t>
        </is>
      </c>
      <c r="B76" t="inlineStr">
        <is>
          <t>SW-DAMPER-034</t>
        </is>
      </c>
      <c r="C76" t="inlineStr">
        <is>
          <t>Lá cánh van (3 cánh overlap)</t>
        </is>
      </c>
      <c r="D76" t="inlineStr">
        <is>
          <t>TÔN_CUỘN_MẠ_KẼM</t>
        </is>
      </c>
      <c r="E76" t="inlineStr">
        <is>
          <t>MAT-STEEL-PN-0.75</t>
        </is>
      </c>
      <c r="F76" t="inlineStr">
        <is>
          <t>kg</t>
        </is>
      </c>
      <c r="G76" s="394" t="n">
        <v>3.802383000000001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 cánh cao 153mm</t>
        </is>
      </c>
    </row>
    <row r="77">
      <c r="A77" t="inlineStr">
        <is>
          <t>SW-DAMPER-034-AXLE</t>
        </is>
      </c>
      <c r="B77" t="inlineStr">
        <is>
          <t>SW-DAMPER-034</t>
        </is>
      </c>
      <c r="C77" t="inlineStr">
        <is>
          <t>Trục Sus 201 D10</t>
        </is>
      </c>
      <c r="D77" t="inlineStr">
        <is>
          <t>PHỤ_KIỆN_VAN</t>
        </is>
      </c>
      <c r="E77" t="inlineStr">
        <is>
          <t>MAT-DAMPER-TRUC-SUS-201-D10</t>
        </is>
      </c>
      <c r="F77" t="inlineStr">
        <is>
          <t>m</t>
        </is>
      </c>
      <c r="G77" s="394" t="n">
        <v>4.08</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3 trục dài 1360mm</t>
        </is>
      </c>
    </row>
    <row r="78">
      <c r="A78" t="inlineStr">
        <is>
          <t>SW-DAMPER-034-BEARING</t>
        </is>
      </c>
      <c r="B78" t="inlineStr">
        <is>
          <t>SW-DAMPER-034</t>
        </is>
      </c>
      <c r="C78" t="inlineStr">
        <is>
          <t>Bạc đồng D10</t>
        </is>
      </c>
      <c r="D78" t="inlineStr">
        <is>
          <t>PHỤ_KIỆN_VAN</t>
        </is>
      </c>
      <c r="E78" t="inlineStr">
        <is>
          <t>MAT-DAMPER-BAC-DONG-D10</t>
        </is>
      </c>
      <c r="F78" t="inlineStr">
        <is>
          <t>Đôi</t>
        </is>
      </c>
      <c r="G78" s="394" t="n">
        <v>3</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3 đôi bạc đỡ 2 bên thân</t>
        </is>
      </c>
    </row>
    <row r="79">
      <c r="A79" t="inlineStr">
        <is>
          <t>SW-DAMPER-034-GEAR</t>
        </is>
      </c>
      <c r="B79" t="inlineStr">
        <is>
          <t>SW-DAMPER-034</t>
        </is>
      </c>
      <c r="C79" t="inlineStr">
        <is>
          <t>Bánh răng van nhôm</t>
        </is>
      </c>
      <c r="D79" t="inlineStr">
        <is>
          <t>PHỤ_KIỆN_VAN</t>
        </is>
      </c>
      <c r="E79" t="inlineStr">
        <is>
          <t>MAT-DAMPER-BANH-RANG-VAN-NHOM</t>
        </is>
      </c>
      <c r="F79" t="inlineStr">
        <is>
          <t>Bộ</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Cơ cấu liên động bánh răng van</t>
        </is>
      </c>
    </row>
    <row r="80">
      <c r="A80" t="inlineStr">
        <is>
          <t>SW-DAMPER-034-HANDLE</t>
        </is>
      </c>
      <c r="B80" t="inlineStr">
        <is>
          <t>SW-DAMPER-034</t>
        </is>
      </c>
      <c r="C80" t="inlineStr">
        <is>
          <t>Tay gạt trung bình</t>
        </is>
      </c>
      <c r="D80" t="inlineStr">
        <is>
          <t>PHỤ_KIỆN_VAN</t>
        </is>
      </c>
      <c r="E80" t="inlineStr">
        <is>
          <t>MAT-DAMPER-TAY-GAT-TRUNG-BINH</t>
        </is>
      </c>
      <c r="F80" t="inlineStr">
        <is>
          <t>Bộ</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Tay gạt khóa vị trí nan (S=0.52m2)</t>
        </is>
      </c>
    </row>
    <row r="81">
      <c r="A81" t="inlineStr">
        <is>
          <t>SW-DAMPER-035-BODY</t>
        </is>
      </c>
      <c r="B81" t="inlineStr">
        <is>
          <t>SW-DAMPER-035</t>
        </is>
      </c>
      <c r="C81" t="inlineStr">
        <is>
          <t>Thân vỏ van VCD bích TDF (0.95mm)</t>
        </is>
      </c>
      <c r="D81" t="inlineStr">
        <is>
          <t>TÔN_CUỘN_MẠ_KẼM</t>
        </is>
      </c>
      <c r="E81" t="inlineStr">
        <is>
          <t>MAT-STEEL-PN-0.95</t>
        </is>
      </c>
      <c r="F81" t="inlineStr">
        <is>
          <t>kg</t>
        </is>
      </c>
      <c r="G81" s="394" t="n">
        <v>8.857720200000003</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Kích thước vỏ 1600.0x400.0x210mm</t>
        </is>
      </c>
    </row>
    <row r="82">
      <c r="A82" t="inlineStr">
        <is>
          <t>SW-DAMPER-035-BLADE</t>
        </is>
      </c>
      <c r="B82" t="inlineStr">
        <is>
          <t>SW-DAMPER-035</t>
        </is>
      </c>
      <c r="C82" t="inlineStr">
        <is>
          <t>Lá cánh van (3 cánh overlap)</t>
        </is>
      </c>
      <c r="D82" t="inlineStr">
        <is>
          <t>TÔN_CUỘN_MẠ_KẼM</t>
        </is>
      </c>
      <c r="E82" t="inlineStr">
        <is>
          <t>MAT-STEEL-PN-0.75</t>
        </is>
      </c>
      <c r="F82" t="inlineStr">
        <is>
          <t>kg</t>
        </is>
      </c>
      <c r="G82" s="394" t="n">
        <v>4.679856000000001</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3 cánh cao 153mm</t>
        </is>
      </c>
    </row>
    <row r="83">
      <c r="A83" t="inlineStr">
        <is>
          <t>SW-DAMPER-035-AXLE</t>
        </is>
      </c>
      <c r="B83" t="inlineStr">
        <is>
          <t>SW-DAMPER-035</t>
        </is>
      </c>
      <c r="C83" t="inlineStr">
        <is>
          <t>Trục Sus 201 D10</t>
        </is>
      </c>
      <c r="D83" t="inlineStr">
        <is>
          <t>PHỤ_KIỆN_VAN</t>
        </is>
      </c>
      <c r="E83" t="inlineStr">
        <is>
          <t>MAT-DAMPER-TRUC-SUS-201-D10</t>
        </is>
      </c>
      <c r="F83" t="inlineStr">
        <is>
          <t>m</t>
        </is>
      </c>
      <c r="G83" s="394" t="n">
        <v>4.98</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3 trục dài 1660mm</t>
        </is>
      </c>
    </row>
    <row r="84">
      <c r="A84" t="inlineStr">
        <is>
          <t>SW-DAMPER-035-BEARING</t>
        </is>
      </c>
      <c r="B84" t="inlineStr">
        <is>
          <t>SW-DAMPER-035</t>
        </is>
      </c>
      <c r="C84" t="inlineStr">
        <is>
          <t>Bạc đồng D10</t>
        </is>
      </c>
      <c r="D84" t="inlineStr">
        <is>
          <t>PHỤ_KIỆN_VAN</t>
        </is>
      </c>
      <c r="E84" t="inlineStr">
        <is>
          <t>MAT-DAMPER-BAC-DONG-D10</t>
        </is>
      </c>
      <c r="F84" t="inlineStr">
        <is>
          <t>Đôi</t>
        </is>
      </c>
      <c r="G84" s="394" t="n">
        <v>3</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3 đôi bạc đỡ 2 bên thân</t>
        </is>
      </c>
    </row>
    <row r="85">
      <c r="A85" t="inlineStr">
        <is>
          <t>SW-DAMPER-035-GEAR</t>
        </is>
      </c>
      <c r="B85" t="inlineStr">
        <is>
          <t>SW-DAMPER-035</t>
        </is>
      </c>
      <c r="C85" t="inlineStr">
        <is>
          <t>Bánh răng van nhôm</t>
        </is>
      </c>
      <c r="D85" t="inlineStr">
        <is>
          <t>PHỤ_KIỆN_VAN</t>
        </is>
      </c>
      <c r="E85" t="inlineStr">
        <is>
          <t>MAT-DAMPER-BANH-RANG-VAN-NHOM</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Cơ cấu liên động bánh răng van</t>
        </is>
      </c>
    </row>
    <row r="86">
      <c r="A86" t="inlineStr">
        <is>
          <t>SW-DAMPER-035-HANDLE</t>
        </is>
      </c>
      <c r="B86" t="inlineStr">
        <is>
          <t>SW-DAMPER-035</t>
        </is>
      </c>
      <c r="C86" t="inlineStr">
        <is>
          <t>Tay gạt trung bình</t>
        </is>
      </c>
      <c r="D86" t="inlineStr">
        <is>
          <t>PHỤ_KIỆN_VAN</t>
        </is>
      </c>
      <c r="E86" t="inlineStr">
        <is>
          <t>MAT-DAMPER-TAY-GAT-TRUNG-BINH</t>
        </is>
      </c>
      <c r="F86" t="inlineStr">
        <is>
          <t>Bộ</t>
        </is>
      </c>
      <c r="G86" s="394" t="n">
        <v>1</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Tay gạt khóa vị trí nan (S=0.64m2)</t>
        </is>
      </c>
    </row>
    <row r="87">
      <c r="A87" t="inlineStr">
        <is>
          <t>SW-DAMPER-036-BODY</t>
        </is>
      </c>
      <c r="B87" t="inlineStr">
        <is>
          <t>SW-DAMPER-036</t>
        </is>
      </c>
      <c r="C87" t="inlineStr">
        <is>
          <t>Thân vỏ van VCD bích TDF (0.95mm)</t>
        </is>
      </c>
      <c r="D87" t="inlineStr">
        <is>
          <t>TÔN_CUỘN_MẠ_KẼM</t>
        </is>
      </c>
      <c r="E87" t="inlineStr">
        <is>
          <t>MAT-STEEL-PN-0.95</t>
        </is>
      </c>
      <c r="F87" t="inlineStr">
        <is>
          <t>kg</t>
        </is>
      </c>
      <c r="G87" s="394" t="n">
        <v>9.0769707</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Kích thước vỏ 1600.0x450.0x210mm</t>
        </is>
      </c>
    </row>
    <row r="88">
      <c r="A88" t="inlineStr">
        <is>
          <t>SW-DAMPER-036-BLADE</t>
        </is>
      </c>
      <c r="B88" t="inlineStr">
        <is>
          <t>SW-DAMPER-036</t>
        </is>
      </c>
      <c r="C88" t="inlineStr">
        <is>
          <t>Lá cánh van (3 cánh overlap)</t>
        </is>
      </c>
      <c r="D88" t="inlineStr">
        <is>
          <t>TÔN_CUỘN_MẠ_KẼM</t>
        </is>
      </c>
      <c r="E88" t="inlineStr">
        <is>
          <t>MAT-STEEL-PN-0.75</t>
        </is>
      </c>
      <c r="F88" t="inlineStr">
        <is>
          <t>kg</t>
        </is>
      </c>
      <c r="G88" s="394" t="n">
        <v>5.188536000000001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3 cánh cao 170mm</t>
        </is>
      </c>
    </row>
    <row r="89">
      <c r="A89" t="inlineStr">
        <is>
          <t>SW-DAMPER-036-AXLE</t>
        </is>
      </c>
      <c r="B89" t="inlineStr">
        <is>
          <t>SW-DAMPER-036</t>
        </is>
      </c>
      <c r="C89" t="inlineStr">
        <is>
          <t>Trục Sus 201 D10</t>
        </is>
      </c>
      <c r="D89" t="inlineStr">
        <is>
          <t>PHỤ_KIỆN_VAN</t>
        </is>
      </c>
      <c r="E89" t="inlineStr">
        <is>
          <t>MAT-DAMPER-TRUC-SUS-201-D10</t>
        </is>
      </c>
      <c r="F89" t="inlineStr">
        <is>
          <t>m</t>
        </is>
      </c>
      <c r="G89" s="394" t="n">
        <v>4.98</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3 trục dài 1660mm</t>
        </is>
      </c>
    </row>
    <row r="90">
      <c r="A90" t="inlineStr">
        <is>
          <t>SW-DAMPER-036-BEARING</t>
        </is>
      </c>
      <c r="B90" t="inlineStr">
        <is>
          <t>SW-DAMPER-036</t>
        </is>
      </c>
      <c r="C90" t="inlineStr">
        <is>
          <t>Bạc đồng D10</t>
        </is>
      </c>
      <c r="D90" t="inlineStr">
        <is>
          <t>PHỤ_KIỆN_VAN</t>
        </is>
      </c>
      <c r="E90" t="inlineStr">
        <is>
          <t>MAT-DAMPER-BAC-DONG-D10</t>
        </is>
      </c>
      <c r="F90" t="inlineStr">
        <is>
          <t>Đôi</t>
        </is>
      </c>
      <c r="G90" s="394" t="n">
        <v>3</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3 đôi bạc đỡ 2 bên thân</t>
        </is>
      </c>
    </row>
    <row r="91">
      <c r="A91" t="inlineStr">
        <is>
          <t>SW-DAMPER-036-GEAR</t>
        </is>
      </c>
      <c r="B91" t="inlineStr">
        <is>
          <t>SW-DAMPER-036</t>
        </is>
      </c>
      <c r="C91" t="inlineStr">
        <is>
          <t>Bánh răng van nhôm</t>
        </is>
      </c>
      <c r="D91" t="inlineStr">
        <is>
          <t>PHỤ_KIỆN_VAN</t>
        </is>
      </c>
      <c r="E91" t="inlineStr">
        <is>
          <t>MAT-DAMPER-BANH-RANG-VAN-NHOM</t>
        </is>
      </c>
      <c r="F91" t="inlineStr">
        <is>
          <t>Bộ</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Cơ cấu liên động bánh răng van</t>
        </is>
      </c>
    </row>
    <row r="92">
      <c r="A92" t="inlineStr">
        <is>
          <t>SW-DAMPER-036-HANDLE</t>
        </is>
      </c>
      <c r="B92" t="inlineStr">
        <is>
          <t>SW-DAMPER-036</t>
        </is>
      </c>
      <c r="C92" t="inlineStr">
        <is>
          <t>Tay gạt trung bình</t>
        </is>
      </c>
      <c r="D92" t="inlineStr">
        <is>
          <t>PHỤ_KIỆN_VAN</t>
        </is>
      </c>
      <c r="E92" t="inlineStr">
        <is>
          <t>MAT-DAMPER-TAY-GAT-TRUNG-BINH</t>
        </is>
      </c>
      <c r="F92" t="inlineStr">
        <is>
          <t>Bộ</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Tay gạt khóa vị trí nan (S=0.72m2)</t>
        </is>
      </c>
    </row>
    <row r="93">
      <c r="A93" t="inlineStr">
        <is>
          <t>SW-DAMPER-037-BODY</t>
        </is>
      </c>
      <c r="B93" t="inlineStr">
        <is>
          <t>SW-DAMPER-037</t>
        </is>
      </c>
      <c r="C93" t="inlineStr">
        <is>
          <t>Thân vỏ van VCD bích TDF (0.95mm)</t>
        </is>
      </c>
      <c r="D93" t="inlineStr">
        <is>
          <t>TÔN_CUỘN_MẠ_KẼM</t>
        </is>
      </c>
      <c r="E93" t="inlineStr">
        <is>
          <t>MAT-STEEL-PN-0.95</t>
        </is>
      </c>
      <c r="F93" t="inlineStr">
        <is>
          <t>kg</t>
        </is>
      </c>
      <c r="G93" s="394" t="n">
        <v>5.5689627</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Kích thước vỏ 900.0x350.0x210mm</t>
        </is>
      </c>
    </row>
    <row r="94">
      <c r="A94" t="inlineStr">
        <is>
          <t>SW-DAMPER-037-BLADE</t>
        </is>
      </c>
      <c r="B94" t="inlineStr">
        <is>
          <t>SW-DAMPER-037</t>
        </is>
      </c>
      <c r="C94" t="inlineStr">
        <is>
          <t>Lá cánh van (2 cánh overlap)</t>
        </is>
      </c>
      <c r="D94" t="inlineStr">
        <is>
          <t>TÔN_CUỘN_MẠ_KẼM</t>
        </is>
      </c>
      <c r="E94" t="inlineStr">
        <is>
          <t>MAT-STEEL-PN-0.75</t>
        </is>
      </c>
      <c r="F94" t="inlineStr">
        <is>
          <t>kg</t>
        </is>
      </c>
      <c r="G94" s="394" t="n">
        <v>2.2318335</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2 cánh cao 195mm</t>
        </is>
      </c>
    </row>
    <row r="95">
      <c r="A95" t="inlineStr">
        <is>
          <t>SW-DAMPER-037-AXLE</t>
        </is>
      </c>
      <c r="B95" t="inlineStr">
        <is>
          <t>SW-DAMPER-037</t>
        </is>
      </c>
      <c r="C95" t="inlineStr">
        <is>
          <t>Trục Sus 201 D10</t>
        </is>
      </c>
      <c r="D95" t="inlineStr">
        <is>
          <t>PHỤ_KIỆN_VAN</t>
        </is>
      </c>
      <c r="E95" t="inlineStr">
        <is>
          <t>MAT-DAMPER-TRUC-SUS-201-D10</t>
        </is>
      </c>
      <c r="F95" t="inlineStr">
        <is>
          <t>m</t>
        </is>
      </c>
      <c r="G95" s="394" t="n">
        <v>1.92</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2 trục dài 960mm</t>
        </is>
      </c>
    </row>
    <row r="96">
      <c r="A96" t="inlineStr">
        <is>
          <t>SW-DAMPER-037-BEARING</t>
        </is>
      </c>
      <c r="B96" t="inlineStr">
        <is>
          <t>SW-DAMPER-037</t>
        </is>
      </c>
      <c r="C96" t="inlineStr">
        <is>
          <t>Bạc đồng D10</t>
        </is>
      </c>
      <c r="D96" t="inlineStr">
        <is>
          <t>PHỤ_KIỆN_VAN</t>
        </is>
      </c>
      <c r="E96" t="inlineStr">
        <is>
          <t>MAT-DAMPER-BAC-DONG-D10</t>
        </is>
      </c>
      <c r="F96" t="inlineStr">
        <is>
          <t>Đôi</t>
        </is>
      </c>
      <c r="G96" s="394" t="n">
        <v>2</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2 đôi bạc đỡ 2 bên thân</t>
        </is>
      </c>
    </row>
    <row r="97">
      <c r="A97" t="inlineStr">
        <is>
          <t>SW-DAMPER-037-GEAR</t>
        </is>
      </c>
      <c r="B97" t="inlineStr">
        <is>
          <t>SW-DAMPER-037</t>
        </is>
      </c>
      <c r="C97" t="inlineStr">
        <is>
          <t>Bánh răng van nhôm</t>
        </is>
      </c>
      <c r="D97" t="inlineStr">
        <is>
          <t>PHỤ_KIỆN_VAN</t>
        </is>
      </c>
      <c r="E97" t="inlineStr">
        <is>
          <t>MAT-DAMPER-BANH-RANG-VAN-NHOM</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Cơ cấu liên động bánh răng van</t>
        </is>
      </c>
    </row>
    <row r="98">
      <c r="A98" t="inlineStr">
        <is>
          <t>SW-DAMPER-037-HANDLE</t>
        </is>
      </c>
      <c r="B98" t="inlineStr">
        <is>
          <t>SW-DAMPER-037</t>
        </is>
      </c>
      <c r="C98" t="inlineStr">
        <is>
          <t>Tay gạt nhỏ</t>
        </is>
      </c>
      <c r="D98" t="inlineStr">
        <is>
          <t>PHỤ_KIỆN_VAN</t>
        </is>
      </c>
      <c r="E98" t="inlineStr">
        <is>
          <t>MAT-DAMPER-TAY-GAT-NHO</t>
        </is>
      </c>
      <c r="F98" t="inlineStr">
        <is>
          <t>Bộ</t>
        </is>
      </c>
      <c r="G98" s="394" t="n">
        <v>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Tay gạt khóa vị trí nan (S=0.32m2)</t>
        </is>
      </c>
    </row>
    <row r="99">
      <c r="A99" t="inlineStr">
        <is>
          <t>SW-DAMPER-038-BODY</t>
        </is>
      </c>
      <c r="B99" t="inlineStr">
        <is>
          <t>SW-DAMPER-038</t>
        </is>
      </c>
      <c r="C99" t="inlineStr">
        <is>
          <t>Thân vỏ van VCD bích TDF (0.75mm)</t>
        </is>
      </c>
      <c r="D99" t="inlineStr">
        <is>
          <t>TÔN_CUỘN_MẠ_KẼM</t>
        </is>
      </c>
      <c r="E99" t="inlineStr">
        <is>
          <t>MAT-STEEL-PN-0.75</t>
        </is>
      </c>
      <c r="F99" t="inlineStr">
        <is>
          <t>kg</t>
        </is>
      </c>
      <c r="G99" s="394" t="n">
        <v>3.184902</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Kích thước vỏ 600.0x300.0x210mm</t>
        </is>
      </c>
    </row>
    <row r="100">
      <c r="A100" t="inlineStr">
        <is>
          <t>SW-DAMPER-038-BLADE</t>
        </is>
      </c>
      <c r="B100" t="inlineStr">
        <is>
          <t>SW-DAMPER-038</t>
        </is>
      </c>
      <c r="C100" t="inlineStr">
        <is>
          <t>Lá cánh van (2 cánh overlap)</t>
        </is>
      </c>
      <c r="D100" t="inlineStr">
        <is>
          <t>TÔN_CUỘN_MẠ_KẼM</t>
        </is>
      </c>
      <c r="E100" t="inlineStr">
        <is>
          <t>MAT-STEEL-PN-0.75</t>
        </is>
      </c>
      <c r="F100" t="inlineStr">
        <is>
          <t>kg</t>
        </is>
      </c>
      <c r="G100" s="394" t="n">
        <v>1.297134</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 cánh cao 170mm</t>
        </is>
      </c>
    </row>
    <row r="101">
      <c r="A101" t="inlineStr">
        <is>
          <t>SW-DAMPER-038-AXLE</t>
        </is>
      </c>
      <c r="B101" t="inlineStr">
        <is>
          <t>SW-DAMPER-038</t>
        </is>
      </c>
      <c r="C101" t="inlineStr">
        <is>
          <t>Trục Sus 201 D10</t>
        </is>
      </c>
      <c r="D101" t="inlineStr">
        <is>
          <t>PHỤ_KIỆN_VAN</t>
        </is>
      </c>
      <c r="E101" t="inlineStr">
        <is>
          <t>MAT-DAMPER-TRUC-SUS-201-D10</t>
        </is>
      </c>
      <c r="F101" t="inlineStr">
        <is>
          <t>m</t>
        </is>
      </c>
      <c r="G101" s="394" t="n">
        <v>1.32</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2 trục dài 660mm</t>
        </is>
      </c>
    </row>
    <row r="102">
      <c r="A102" t="inlineStr">
        <is>
          <t>SW-DAMPER-038-BEARING</t>
        </is>
      </c>
      <c r="B102" t="inlineStr">
        <is>
          <t>SW-DAMPER-038</t>
        </is>
      </c>
      <c r="C102" t="inlineStr">
        <is>
          <t>Bạc đồng D10</t>
        </is>
      </c>
      <c r="D102" t="inlineStr">
        <is>
          <t>PHỤ_KIỆN_VAN</t>
        </is>
      </c>
      <c r="E102" t="inlineStr">
        <is>
          <t>MAT-DAMPER-BAC-DONG-D10</t>
        </is>
      </c>
      <c r="F102" t="inlineStr">
        <is>
          <t>Đôi</t>
        </is>
      </c>
      <c r="G102" s="394" t="n">
        <v>2</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2 đôi bạc đỡ 2 bên thân</t>
        </is>
      </c>
    </row>
    <row r="103">
      <c r="A103" t="inlineStr">
        <is>
          <t>SW-DAMPER-038-GEAR</t>
        </is>
      </c>
      <c r="B103" t="inlineStr">
        <is>
          <t>SW-DAMPER-038</t>
        </is>
      </c>
      <c r="C103" t="inlineStr">
        <is>
          <t>Bánh răng van nhôm</t>
        </is>
      </c>
      <c r="D103" t="inlineStr">
        <is>
          <t>PHỤ_KIỆN_VAN</t>
        </is>
      </c>
      <c r="E103" t="inlineStr">
        <is>
          <t>MAT-DAMPER-BANH-RANG-VAN-NHOM</t>
        </is>
      </c>
      <c r="F103" t="inlineStr">
        <is>
          <t>Bộ</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Cơ cấu liên động bánh răng van</t>
        </is>
      </c>
    </row>
    <row r="104">
      <c r="A104" t="inlineStr">
        <is>
          <t>SW-DAMPER-038-HANDLE</t>
        </is>
      </c>
      <c r="B104" t="inlineStr">
        <is>
          <t>SW-DAMPER-038</t>
        </is>
      </c>
      <c r="C104" t="inlineStr">
        <is>
          <t>Tay gạt nhỏ</t>
        </is>
      </c>
      <c r="D104" t="inlineStr">
        <is>
          <t>PHỤ_KIỆN_VAN</t>
        </is>
      </c>
      <c r="E104" t="inlineStr">
        <is>
          <t>MAT-DAMPER-TAY-GAT-NHO</t>
        </is>
      </c>
      <c r="F104" t="inlineStr">
        <is>
          <t>Bộ</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Tay gạt khóa vị trí nan (S=0.18m2)</t>
        </is>
      </c>
    </row>
    <row r="105">
      <c r="A105" t="inlineStr">
        <is>
          <t>SW-DAMPER-087-BODY</t>
        </is>
      </c>
      <c r="B105" t="inlineStr">
        <is>
          <t>SW-DAMPER-087</t>
        </is>
      </c>
      <c r="C105" t="inlineStr">
        <is>
          <t>Thân vỏ van NRD bích TDF (0.75mm)</t>
        </is>
      </c>
      <c r="D105" t="inlineStr">
        <is>
          <t>TÔN_CUỘN_MẠ_KẼM</t>
        </is>
      </c>
      <c r="E105" t="inlineStr">
        <is>
          <t>MAT-STEEL-PN-0.75</t>
        </is>
      </c>
      <c r="F105" t="inlineStr">
        <is>
          <t>kg</t>
        </is>
      </c>
      <c r="G105" s="394" t="n">
        <v>1.800162</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Kích thước vỏ 300.0x200.0x210mm</t>
        </is>
      </c>
    </row>
    <row r="106">
      <c r="A106" t="inlineStr">
        <is>
          <t>SW-DAMPER-087-BLADE</t>
        </is>
      </c>
      <c r="B106" t="inlineStr">
        <is>
          <t>SW-DAMPER-087</t>
        </is>
      </c>
      <c r="C106" t="inlineStr">
        <is>
          <t>Lá cánh van (2 cánh overlap)</t>
        </is>
      </c>
      <c r="D106" t="inlineStr">
        <is>
          <t>TÔN_CUỘN_MẠ_KẼM</t>
        </is>
      </c>
      <c r="E106" t="inlineStr">
        <is>
          <t>MAT-STEEL-PN-0.75</t>
        </is>
      </c>
      <c r="F106" t="inlineStr">
        <is>
          <t>kg</t>
        </is>
      </c>
      <c r="G106" s="394" t="n">
        <v>0.4578119999999999</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2 cánh cao 120mm</t>
        </is>
      </c>
    </row>
    <row r="107">
      <c r="A107" t="inlineStr">
        <is>
          <t>SW-DAMPER-087-AXLE</t>
        </is>
      </c>
      <c r="B107" t="inlineStr">
        <is>
          <t>SW-DAMPER-087</t>
        </is>
      </c>
      <c r="C107" t="inlineStr">
        <is>
          <t>Trục Sus 201 D10</t>
        </is>
      </c>
      <c r="D107" t="inlineStr">
        <is>
          <t>PHỤ_KIỆN_VAN</t>
        </is>
      </c>
      <c r="E107" t="inlineStr">
        <is>
          <t>MAT-DAMPER-TRUC-SUS-201-D10</t>
        </is>
      </c>
      <c r="F107" t="inlineStr">
        <is>
          <t>m</t>
        </is>
      </c>
      <c r="G107" s="394" t="n">
        <v>0.72</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2 trục dài 360mm</t>
        </is>
      </c>
    </row>
    <row r="108">
      <c r="A108" t="inlineStr">
        <is>
          <t>SW-DAMPER-087-BEARING</t>
        </is>
      </c>
      <c r="B108" t="inlineStr">
        <is>
          <t>SW-DAMPER-087</t>
        </is>
      </c>
      <c r="C108" t="inlineStr">
        <is>
          <t>Bạc đồng D10</t>
        </is>
      </c>
      <c r="D108" t="inlineStr">
        <is>
          <t>PHỤ_KIỆN_VAN</t>
        </is>
      </c>
      <c r="E108" t="inlineStr">
        <is>
          <t>MAT-DAMPER-BAC-DONG-D10</t>
        </is>
      </c>
      <c r="F108" t="inlineStr">
        <is>
          <t>Đôi</t>
        </is>
      </c>
      <c r="G108" s="394" t="n">
        <v>2</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2 đôi bạc đỡ 2 bên thân</t>
        </is>
      </c>
    </row>
    <row r="109">
      <c r="A109" t="inlineStr">
        <is>
          <t>SW-DAMPER-087-GEAR</t>
        </is>
      </c>
      <c r="B109" t="inlineStr">
        <is>
          <t>SW-DAMPER-087</t>
        </is>
      </c>
      <c r="C109" t="inlineStr">
        <is>
          <t>Bánh răng van nhôm</t>
        </is>
      </c>
      <c r="D109" t="inlineStr">
        <is>
          <t>PHỤ_KIỆN_VAN</t>
        </is>
      </c>
      <c r="E109" t="inlineStr">
        <is>
          <t>MAT-DAMPER-BANH-RANG-VAN-NHOM</t>
        </is>
      </c>
      <c r="F109" t="inlineStr">
        <is>
          <t>Bộ</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Cơ cấu liên động bánh răng van</t>
        </is>
      </c>
    </row>
    <row r="110">
      <c r="A110" t="inlineStr">
        <is>
          <t>SW-DAMPER-087-ECCENTRIC</t>
        </is>
      </c>
      <c r="B110" t="inlineStr">
        <is>
          <t>SW-DAMPER-087</t>
        </is>
      </c>
      <c r="C110" t="inlineStr">
        <is>
          <t>Cơ cấu lệch tâm / Lò xo đóng mở (NRD)</t>
        </is>
      </c>
      <c r="D110" t="inlineStr">
        <is>
          <t>PHỤ_KIỆN_VAN</t>
        </is>
      </c>
      <c r="E110" t="inlineStr">
        <is>
          <t>ECCENTRIC_SHAFT</t>
        </is>
      </c>
      <c r="F110" t="inlineStr">
        <is>
          <t>Bộ</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Cơ cấu đóng mở một chiều</t>
        </is>
      </c>
    </row>
    <row r="111">
      <c r="A111" t="inlineStr">
        <is>
          <t>SW-DAMPER-088-BODY</t>
        </is>
      </c>
      <c r="B111" t="inlineStr">
        <is>
          <t>SW-DAMPER-088</t>
        </is>
      </c>
      <c r="C111" t="inlineStr">
        <is>
          <t>Thân vỏ van NRD bích TDF (0.75mm)</t>
        </is>
      </c>
      <c r="D111" t="inlineStr">
        <is>
          <t>TÔN_CUỘN_MẠ_KẼM</t>
        </is>
      </c>
      <c r="E111" t="inlineStr">
        <is>
          <t>MAT-STEEL-PN-0.75</t>
        </is>
      </c>
      <c r="F111" t="inlineStr">
        <is>
          <t>kg</t>
        </is>
      </c>
      <c r="G111" s="394" t="n">
        <v>4.223457</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Kích thước vỏ 700.0x500.0x210mm</t>
        </is>
      </c>
    </row>
    <row r="112">
      <c r="A112" t="inlineStr">
        <is>
          <t>SW-DAMPER-088-BLADE</t>
        </is>
      </c>
      <c r="B112" t="inlineStr">
        <is>
          <t>SW-DAMPER-088</t>
        </is>
      </c>
      <c r="C112" t="inlineStr">
        <is>
          <t>Lá cánh van (3 cánh overlap)</t>
        </is>
      </c>
      <c r="D112" t="inlineStr">
        <is>
          <t>TÔN_CUỘN_MẠ_KẼM</t>
        </is>
      </c>
      <c r="E112" t="inlineStr">
        <is>
          <t>MAT-STEEL-PN-0.75</t>
        </is>
      </c>
      <c r="F112" t="inlineStr">
        <is>
          <t>kg</t>
        </is>
      </c>
      <c r="G112" s="394" t="n">
        <v>2.492531999999999</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3 cánh cao 187mm</t>
        </is>
      </c>
    </row>
    <row r="113">
      <c r="A113" t="inlineStr">
        <is>
          <t>SW-DAMPER-088-AXLE</t>
        </is>
      </c>
      <c r="B113" t="inlineStr">
        <is>
          <t>SW-DAMPER-088</t>
        </is>
      </c>
      <c r="C113" t="inlineStr">
        <is>
          <t>Trục Sus 201 D10</t>
        </is>
      </c>
      <c r="D113" t="inlineStr">
        <is>
          <t>PHỤ_KIỆN_VAN</t>
        </is>
      </c>
      <c r="E113" t="inlineStr">
        <is>
          <t>MAT-DAMPER-TRUC-SUS-201-D10</t>
        </is>
      </c>
      <c r="F113" t="inlineStr">
        <is>
          <t>m</t>
        </is>
      </c>
      <c r="G113" s="394" t="n">
        <v>2.28</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3 trục dài 760mm</t>
        </is>
      </c>
    </row>
    <row r="114">
      <c r="A114" t="inlineStr">
        <is>
          <t>SW-DAMPER-088-BEARING</t>
        </is>
      </c>
      <c r="B114" t="inlineStr">
        <is>
          <t>SW-DAMPER-088</t>
        </is>
      </c>
      <c r="C114" t="inlineStr">
        <is>
          <t>Bạc đồng D10</t>
        </is>
      </c>
      <c r="D114" t="inlineStr">
        <is>
          <t>PHỤ_KIỆN_VAN</t>
        </is>
      </c>
      <c r="E114" t="inlineStr">
        <is>
          <t>MAT-DAMPER-BAC-DONG-D10</t>
        </is>
      </c>
      <c r="F114" t="inlineStr">
        <is>
          <t>Đôi</t>
        </is>
      </c>
      <c r="G114" s="394" t="n">
        <v>3</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3 đôi bạc đỡ 2 bên thân</t>
        </is>
      </c>
    </row>
    <row r="115">
      <c r="A115" t="inlineStr">
        <is>
          <t>SW-DAMPER-088-GEAR</t>
        </is>
      </c>
      <c r="B115" t="inlineStr">
        <is>
          <t>SW-DAMPER-088</t>
        </is>
      </c>
      <c r="C115" t="inlineStr">
        <is>
          <t>Bánh răng van nhôm</t>
        </is>
      </c>
      <c r="D115" t="inlineStr">
        <is>
          <t>PHỤ_KIỆN_VAN</t>
        </is>
      </c>
      <c r="E115" t="inlineStr">
        <is>
          <t>MAT-DAMPER-BANH-RANG-VAN-NHOM</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Cơ cấu liên động bánh răng van</t>
        </is>
      </c>
    </row>
    <row r="116">
      <c r="A116" t="inlineStr">
        <is>
          <t>SW-DAMPER-088-ECCENTRIC</t>
        </is>
      </c>
      <c r="B116" t="inlineStr">
        <is>
          <t>SW-DAMPER-088</t>
        </is>
      </c>
      <c r="C116" t="inlineStr">
        <is>
          <t>Cơ cấu lệch tâm / Lò xo đóng mở (NRD)</t>
        </is>
      </c>
      <c r="D116" t="inlineStr">
        <is>
          <t>PHỤ_KIỆN_VAN</t>
        </is>
      </c>
      <c r="E116" t="inlineStr">
        <is>
          <t>ECCENTRIC_SHAFT</t>
        </is>
      </c>
      <c r="F116" t="inlineStr">
        <is>
          <t>Bộ</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Cơ cấu đóng mở một chiều</t>
        </is>
      </c>
    </row>
    <row r="117">
      <c r="A117" t="inlineStr">
        <is>
          <t>SW-DAMPER-089-BODY</t>
        </is>
      </c>
      <c r="B117" t="inlineStr">
        <is>
          <t>SW-DAMPER-089</t>
        </is>
      </c>
      <c r="C117" t="inlineStr">
        <is>
          <t>Thân vỏ van NRD bích TDF (0.75mm)</t>
        </is>
      </c>
      <c r="D117" t="inlineStr">
        <is>
          <t>TÔN_CUỘN_MẠ_KẼM</t>
        </is>
      </c>
      <c r="E117" t="inlineStr">
        <is>
          <t>MAT-STEEL-PN-0.75</t>
        </is>
      </c>
      <c r="F117" t="inlineStr">
        <is>
          <t>kg</t>
        </is>
      </c>
      <c r="G117" s="394" t="n">
        <v>5.262012</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Kích thước vỏ 700.0x800.0x210mm</t>
        </is>
      </c>
    </row>
    <row r="118">
      <c r="A118" t="inlineStr">
        <is>
          <t>SW-DAMPER-089-BLADE</t>
        </is>
      </c>
      <c r="B118" t="inlineStr">
        <is>
          <t>SW-DAMPER-089</t>
        </is>
      </c>
      <c r="C118" t="inlineStr">
        <is>
          <t>Lá cánh van (5 cánh overlap)</t>
        </is>
      </c>
      <c r="D118" t="inlineStr">
        <is>
          <t>TÔN_CUỘN_MẠ_KẼM</t>
        </is>
      </c>
      <c r="E118" t="inlineStr">
        <is>
          <t>MAT-STEEL-PN-0.75</t>
        </is>
      </c>
      <c r="F118" t="inlineStr">
        <is>
          <t>kg</t>
        </is>
      </c>
      <c r="G118" s="394" t="n">
        <v>4.005854999999999</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5 cánh cao 180mm</t>
        </is>
      </c>
    </row>
    <row r="119">
      <c r="A119" t="inlineStr">
        <is>
          <t>SW-DAMPER-089-AXLE</t>
        </is>
      </c>
      <c r="B119" t="inlineStr">
        <is>
          <t>SW-DAMPER-089</t>
        </is>
      </c>
      <c r="C119" t="inlineStr">
        <is>
          <t>Trục Sus 201 D10</t>
        </is>
      </c>
      <c r="D119" t="inlineStr">
        <is>
          <t>PHỤ_KIỆN_VAN</t>
        </is>
      </c>
      <c r="E119" t="inlineStr">
        <is>
          <t>MAT-DAMPER-TRUC-SUS-201-D10</t>
        </is>
      </c>
      <c r="F119" t="inlineStr">
        <is>
          <t>m</t>
        </is>
      </c>
      <c r="G119" s="394" t="n">
        <v>3.8</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5 trục dài 760mm</t>
        </is>
      </c>
    </row>
    <row r="120">
      <c r="A120" t="inlineStr">
        <is>
          <t>SW-DAMPER-089-BEARING</t>
        </is>
      </c>
      <c r="B120" t="inlineStr">
        <is>
          <t>SW-DAMPER-089</t>
        </is>
      </c>
      <c r="C120" t="inlineStr">
        <is>
          <t>Bạc đồng D10</t>
        </is>
      </c>
      <c r="D120" t="inlineStr">
        <is>
          <t>PHỤ_KIỆN_VAN</t>
        </is>
      </c>
      <c r="E120" t="inlineStr">
        <is>
          <t>MAT-DAMPER-BAC-DONG-D10</t>
        </is>
      </c>
      <c r="F120" t="inlineStr">
        <is>
          <t>Đôi</t>
        </is>
      </c>
      <c r="G120" s="394" t="n">
        <v>5</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5 đôi bạc đỡ 2 bên thân</t>
        </is>
      </c>
    </row>
    <row r="121">
      <c r="A121" t="inlineStr">
        <is>
          <t>SW-DAMPER-089-GEAR</t>
        </is>
      </c>
      <c r="B121" t="inlineStr">
        <is>
          <t>SW-DAMPER-089</t>
        </is>
      </c>
      <c r="C121" t="inlineStr">
        <is>
          <t>Bánh răng van nhôm</t>
        </is>
      </c>
      <c r="D121" t="inlineStr">
        <is>
          <t>PHỤ_KIỆN_VAN</t>
        </is>
      </c>
      <c r="E121" t="inlineStr">
        <is>
          <t>MAT-DAMPER-BANH-RANG-VAN-NHOM</t>
        </is>
      </c>
      <c r="F121" t="inlineStr">
        <is>
          <t>Bộ</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Cơ cấu liên động bánh răng van</t>
        </is>
      </c>
    </row>
    <row r="122">
      <c r="A122" t="inlineStr">
        <is>
          <t>SW-DAMPER-089-ECCENTRIC</t>
        </is>
      </c>
      <c r="B122" t="inlineStr">
        <is>
          <t>SW-DAMPER-089</t>
        </is>
      </c>
      <c r="C122" t="inlineStr">
        <is>
          <t>Cơ cấu lệch tâm / Lò xo đóng mở (NRD)</t>
        </is>
      </c>
      <c r="D122" t="inlineStr">
        <is>
          <t>PHỤ_KIỆN_VAN</t>
        </is>
      </c>
      <c r="E122" t="inlineStr">
        <is>
          <t>ECCENTRIC_SHAFT</t>
        </is>
      </c>
      <c r="F122" t="inlineStr">
        <is>
          <t>Bộ</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Cơ cấu đóng mở một chiều</t>
        </is>
      </c>
    </row>
    <row r="123">
      <c r="A123" t="inlineStr">
        <is>
          <t>SW-DAMPER-090-BODY</t>
        </is>
      </c>
      <c r="B123" t="inlineStr">
        <is>
          <t>SW-DAMPER-090</t>
        </is>
      </c>
      <c r="C123" t="inlineStr">
        <is>
          <t>Thân vỏ van NRD bích TDF (0.75mm)</t>
        </is>
      </c>
      <c r="D123" t="inlineStr">
        <is>
          <t>TÔN_CUỘN_MẠ_KẼM</t>
        </is>
      </c>
      <c r="E123" t="inlineStr">
        <is>
          <t>MAT-STEEL-PN-0.75</t>
        </is>
      </c>
      <c r="F123" t="inlineStr">
        <is>
          <t>kg</t>
        </is>
      </c>
      <c r="G123" s="394" t="n">
        <v>1.6270695</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Kích thước vỏ 250.0x200.0x210mm</t>
        </is>
      </c>
    </row>
    <row r="124">
      <c r="A124" t="inlineStr">
        <is>
          <t>SW-DAMPER-090-BLADE</t>
        </is>
      </c>
      <c r="B124" t="inlineStr">
        <is>
          <t>SW-DAMPER-090</t>
        </is>
      </c>
      <c r="C124" t="inlineStr">
        <is>
          <t>Lá cánh van (2 cánh overlap)</t>
        </is>
      </c>
      <c r="D124" t="inlineStr">
        <is>
          <t>TÔN_CUỘN_MẠ_KẼM</t>
        </is>
      </c>
      <c r="E124" t="inlineStr">
        <is>
          <t>MAT-STEEL-PN-0.75</t>
        </is>
      </c>
      <c r="F124" t="inlineStr">
        <is>
          <t>kg</t>
        </is>
      </c>
      <c r="G124" s="394" t="n">
        <v>0.38151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2 cánh cao 120mm</t>
        </is>
      </c>
    </row>
    <row r="125">
      <c r="A125" t="inlineStr">
        <is>
          <t>SW-DAMPER-090-AXLE</t>
        </is>
      </c>
      <c r="B125" t="inlineStr">
        <is>
          <t>SW-DAMPER-090</t>
        </is>
      </c>
      <c r="C125" t="inlineStr">
        <is>
          <t>Trục Sus 201 D10</t>
        </is>
      </c>
      <c r="D125" t="inlineStr">
        <is>
          <t>PHỤ_KIỆN_VAN</t>
        </is>
      </c>
      <c r="E125" t="inlineStr">
        <is>
          <t>MAT-DAMPER-TRUC-SUS-201-D10</t>
        </is>
      </c>
      <c r="F125" t="inlineStr">
        <is>
          <t>m</t>
        </is>
      </c>
      <c r="G125" s="394" t="n">
        <v>0.62</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2 trục dài 310mm</t>
        </is>
      </c>
    </row>
    <row r="126">
      <c r="A126" t="inlineStr">
        <is>
          <t>SW-DAMPER-090-BEARING</t>
        </is>
      </c>
      <c r="B126" t="inlineStr">
        <is>
          <t>SW-DAMPER-090</t>
        </is>
      </c>
      <c r="C126" t="inlineStr">
        <is>
          <t>Bạc đồng D10</t>
        </is>
      </c>
      <c r="D126" t="inlineStr">
        <is>
          <t>PHỤ_KIỆN_VAN</t>
        </is>
      </c>
      <c r="E126" t="inlineStr">
        <is>
          <t>MAT-DAMPER-BAC-DONG-D10</t>
        </is>
      </c>
      <c r="F126" t="inlineStr">
        <is>
          <t>Đôi</t>
        </is>
      </c>
      <c r="G126" s="394" t="n">
        <v>2</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2 đôi bạc đỡ 2 bên thân</t>
        </is>
      </c>
    </row>
    <row r="127">
      <c r="A127" t="inlineStr">
        <is>
          <t>SW-DAMPER-090-GEAR</t>
        </is>
      </c>
      <c r="B127" t="inlineStr">
        <is>
          <t>SW-DAMPER-090</t>
        </is>
      </c>
      <c r="C127" t="inlineStr">
        <is>
          <t>Bánh răng van nhôm</t>
        </is>
      </c>
      <c r="D127" t="inlineStr">
        <is>
          <t>PHỤ_KIỆN_VAN</t>
        </is>
      </c>
      <c r="E127" t="inlineStr">
        <is>
          <t>MAT-DAMPER-BANH-RANG-VAN-NHOM</t>
        </is>
      </c>
      <c r="F127" t="inlineStr">
        <is>
          <t>Bộ</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Cơ cấu liên động bánh răng van</t>
        </is>
      </c>
    </row>
    <row r="128">
      <c r="A128" t="inlineStr">
        <is>
          <t>SW-DAMPER-090-ECCENTRIC</t>
        </is>
      </c>
      <c r="B128" t="inlineStr">
        <is>
          <t>SW-DAMPER-090</t>
        </is>
      </c>
      <c r="C128" t="inlineStr">
        <is>
          <t>Cơ cấu lệch tâm / Lò xo đóng mở (NRD)</t>
        </is>
      </c>
      <c r="D128" t="inlineStr">
        <is>
          <t>PHỤ_KIỆN_VAN</t>
        </is>
      </c>
      <c r="E128" t="inlineStr">
        <is>
          <t>ECCENTRIC_SHAFT</t>
        </is>
      </c>
      <c r="F128" t="inlineStr">
        <is>
          <t>Bộ</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Cơ cấu đóng mở một chiều</t>
        </is>
      </c>
    </row>
    <row r="129">
      <c r="A129" t="inlineStr">
        <is>
          <t>SW-DAMPER-091-BODY</t>
        </is>
      </c>
      <c r="B129" t="inlineStr">
        <is>
          <t>SW-DAMPER-091</t>
        </is>
      </c>
      <c r="C129" t="inlineStr">
        <is>
          <t>Thân vỏ van NRD bích TDF (0.95mm)</t>
        </is>
      </c>
      <c r="D129" t="inlineStr">
        <is>
          <t>TÔN_CUỘN_MẠ_KẼM</t>
        </is>
      </c>
      <c r="E129" t="inlineStr">
        <is>
          <t>MAT-STEEL-PN-0.95</t>
        </is>
      </c>
      <c r="F129" t="inlineStr">
        <is>
          <t>kg</t>
        </is>
      </c>
      <c r="G129" s="394" t="n">
        <v>5.7882132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Kích thước vỏ 900.0x400.0x210mm</t>
        </is>
      </c>
    </row>
    <row r="130">
      <c r="A130" t="inlineStr">
        <is>
          <t>SW-DAMPER-091-BLADE</t>
        </is>
      </c>
      <c r="B130" t="inlineStr">
        <is>
          <t>SW-DAMPER-091</t>
        </is>
      </c>
      <c r="C130" t="inlineStr">
        <is>
          <t>Lá cánh van (3 cánh overlap)</t>
        </is>
      </c>
      <c r="D130" t="inlineStr">
        <is>
          <t>TÔN_CUỘN_MẠ_KẼM</t>
        </is>
      </c>
      <c r="E130" t="inlineStr">
        <is>
          <t>MAT-STEEL-PN-0.75</t>
        </is>
      </c>
      <c r="F130" t="inlineStr">
        <is>
          <t>kg</t>
        </is>
      </c>
      <c r="G130" s="394" t="n">
        <v>2.632419000000001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3 cánh cao 153mm</t>
        </is>
      </c>
    </row>
    <row r="131">
      <c r="A131" t="inlineStr">
        <is>
          <t>SW-DAMPER-091-AXLE</t>
        </is>
      </c>
      <c r="B131" t="inlineStr">
        <is>
          <t>SW-DAMPER-091</t>
        </is>
      </c>
      <c r="C131" t="inlineStr">
        <is>
          <t>Trục Sus 201 D10</t>
        </is>
      </c>
      <c r="D131" t="inlineStr">
        <is>
          <t>PHỤ_KIỆN_VAN</t>
        </is>
      </c>
      <c r="E131" t="inlineStr">
        <is>
          <t>MAT-DAMPER-TRUC-SUS-201-D10</t>
        </is>
      </c>
      <c r="F131" t="inlineStr">
        <is>
          <t>m</t>
        </is>
      </c>
      <c r="G131" s="394" t="n">
        <v>2.88</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3 trục dài 960mm</t>
        </is>
      </c>
    </row>
    <row r="132">
      <c r="A132" t="inlineStr">
        <is>
          <t>SW-DAMPER-091-BEARING</t>
        </is>
      </c>
      <c r="B132" t="inlineStr">
        <is>
          <t>SW-DAMPER-091</t>
        </is>
      </c>
      <c r="C132" t="inlineStr">
        <is>
          <t>Bạc đồng D10</t>
        </is>
      </c>
      <c r="D132" t="inlineStr">
        <is>
          <t>PHỤ_KIỆN_VAN</t>
        </is>
      </c>
      <c r="E132" t="inlineStr">
        <is>
          <t>MAT-DAMPER-BAC-DONG-D10</t>
        </is>
      </c>
      <c r="F132" t="inlineStr">
        <is>
          <t>Đôi</t>
        </is>
      </c>
      <c r="G132" s="394" t="n">
        <v>3</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3 đôi bạc đỡ 2 bên thân</t>
        </is>
      </c>
    </row>
    <row r="133">
      <c r="A133" t="inlineStr">
        <is>
          <t>SW-DAMPER-091-GEAR</t>
        </is>
      </c>
      <c r="B133" t="inlineStr">
        <is>
          <t>SW-DAMPER-091</t>
        </is>
      </c>
      <c r="C133" t="inlineStr">
        <is>
          <t>Bánh răng van nhôm</t>
        </is>
      </c>
      <c r="D133" t="inlineStr">
        <is>
          <t>PHỤ_KIỆN_VAN</t>
        </is>
      </c>
      <c r="E133" t="inlineStr">
        <is>
          <t>MAT-DAMPER-BANH-RANG-VAN-NHOM</t>
        </is>
      </c>
      <c r="F133" t="inlineStr">
        <is>
          <t>Bộ</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Cơ cấu liên động bánh răng van</t>
        </is>
      </c>
    </row>
    <row r="134">
      <c r="A134" t="inlineStr">
        <is>
          <t>SW-DAMPER-091-ECCENTRIC</t>
        </is>
      </c>
      <c r="B134" t="inlineStr">
        <is>
          <t>SW-DAMPER-091</t>
        </is>
      </c>
      <c r="C134" t="inlineStr">
        <is>
          <t>Cơ cấu lệch tâm / Lò xo đóng mở (NRD)</t>
        </is>
      </c>
      <c r="D134" t="inlineStr">
        <is>
          <t>PHỤ_KIỆN_VAN</t>
        </is>
      </c>
      <c r="E134" t="inlineStr">
        <is>
          <t>ECCENTRIC_SHAFT</t>
        </is>
      </c>
      <c r="F134" t="inlineStr">
        <is>
          <t>Bộ</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Cơ cấu đóng mở một chiều</t>
        </is>
      </c>
    </row>
    <row r="135">
      <c r="A135" t="inlineStr">
        <is>
          <t>SW-DAMPER-092-BODY</t>
        </is>
      </c>
      <c r="B135" t="inlineStr">
        <is>
          <t>SW-DAMPER-092</t>
        </is>
      </c>
      <c r="C135" t="inlineStr">
        <is>
          <t>Thân vỏ van NRD bích TDF (0.75mm)</t>
        </is>
      </c>
      <c r="D135" t="inlineStr">
        <is>
          <t>TÔN_CUỘN_MẠ_KẼM</t>
        </is>
      </c>
      <c r="E135" t="inlineStr">
        <is>
          <t>MAT-STEEL-PN-0.75</t>
        </is>
      </c>
      <c r="F135" t="inlineStr">
        <is>
          <t>kg</t>
        </is>
      </c>
      <c r="G135" s="394" t="n">
        <v>2.146347</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Kích thước vỏ 300.0x300.0x210mm</t>
        </is>
      </c>
    </row>
    <row r="136">
      <c r="A136" t="inlineStr">
        <is>
          <t>SW-DAMPER-092-BLADE</t>
        </is>
      </c>
      <c r="B136" t="inlineStr">
        <is>
          <t>SW-DAMPER-092</t>
        </is>
      </c>
      <c r="C136" t="inlineStr">
        <is>
          <t>Lá cánh van (2 cánh overlap)</t>
        </is>
      </c>
      <c r="D136" t="inlineStr">
        <is>
          <t>TÔN_CUỘN_MẠ_KẼM</t>
        </is>
      </c>
      <c r="E136" t="inlineStr">
        <is>
          <t>MAT-STEEL-PN-0.75</t>
        </is>
      </c>
      <c r="F136" t="inlineStr">
        <is>
          <t>kg</t>
        </is>
      </c>
      <c r="G136" s="394" t="n">
        <v>0.648567</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2 cánh cao 170mm</t>
        </is>
      </c>
    </row>
    <row r="137">
      <c r="A137" t="inlineStr">
        <is>
          <t>SW-DAMPER-092-AXLE</t>
        </is>
      </c>
      <c r="B137" t="inlineStr">
        <is>
          <t>SW-DAMPER-092</t>
        </is>
      </c>
      <c r="C137" t="inlineStr">
        <is>
          <t>Trục Sus 201 D10</t>
        </is>
      </c>
      <c r="D137" t="inlineStr">
        <is>
          <t>PHỤ_KIỆN_VAN</t>
        </is>
      </c>
      <c r="E137" t="inlineStr">
        <is>
          <t>MAT-DAMPER-TRUC-SUS-201-D10</t>
        </is>
      </c>
      <c r="F137" t="inlineStr">
        <is>
          <t>m</t>
        </is>
      </c>
      <c r="G137" s="394" t="n">
        <v>0.72</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2 trục dài 360mm</t>
        </is>
      </c>
    </row>
    <row r="138">
      <c r="A138" t="inlineStr">
        <is>
          <t>SW-DAMPER-092-BEARING</t>
        </is>
      </c>
      <c r="B138" t="inlineStr">
        <is>
          <t>SW-DAMPER-092</t>
        </is>
      </c>
      <c r="C138" t="inlineStr">
        <is>
          <t>Bạc đồng D10</t>
        </is>
      </c>
      <c r="D138" t="inlineStr">
        <is>
          <t>PHỤ_KIỆN_VAN</t>
        </is>
      </c>
      <c r="E138" t="inlineStr">
        <is>
          <t>MAT-DAMPER-BAC-DONG-D10</t>
        </is>
      </c>
      <c r="F138" t="inlineStr">
        <is>
          <t>Đôi</t>
        </is>
      </c>
      <c r="G138" s="394" t="n">
        <v>2</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2 đôi bạc đỡ 2 bên thân</t>
        </is>
      </c>
    </row>
    <row r="139">
      <c r="A139" t="inlineStr">
        <is>
          <t>SW-DAMPER-092-GEAR</t>
        </is>
      </c>
      <c r="B139" t="inlineStr">
        <is>
          <t>SW-DAMPER-092</t>
        </is>
      </c>
      <c r="C139" t="inlineStr">
        <is>
          <t>Bánh răng van nhôm</t>
        </is>
      </c>
      <c r="D139" t="inlineStr">
        <is>
          <t>PHỤ_KIỆN_VAN</t>
        </is>
      </c>
      <c r="E139" t="inlineStr">
        <is>
          <t>MAT-DAMPER-BANH-RANG-VAN-NHOM</t>
        </is>
      </c>
      <c r="F139" t="inlineStr">
        <is>
          <t>Bộ</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Cơ cấu liên động bánh răng van</t>
        </is>
      </c>
    </row>
    <row r="140">
      <c r="A140" t="inlineStr">
        <is>
          <t>SW-DAMPER-092-ECCENTRIC</t>
        </is>
      </c>
      <c r="B140" t="inlineStr">
        <is>
          <t>SW-DAMPER-092</t>
        </is>
      </c>
      <c r="C140" t="inlineStr">
        <is>
          <t>Cơ cấu lệch tâm / Lò xo đóng mở (NRD)</t>
        </is>
      </c>
      <c r="D140" t="inlineStr">
        <is>
          <t>PHỤ_KIỆN_VAN</t>
        </is>
      </c>
      <c r="E140" t="inlineStr">
        <is>
          <t>ECCENTRIC_SHAFT</t>
        </is>
      </c>
      <c r="F140" t="inlineStr">
        <is>
          <t>Bộ</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Cơ cấu đóng mở một chiều</t>
        </is>
      </c>
    </row>
    <row r="141">
      <c r="A141" t="inlineStr">
        <is>
          <t>SW-DAMPER-093-BODY</t>
        </is>
      </c>
      <c r="B141" t="inlineStr">
        <is>
          <t>SW-DAMPER-093</t>
        </is>
      </c>
      <c r="C141" t="inlineStr">
        <is>
          <t>Thân vỏ van NRD bích TDF (0.75mm)</t>
        </is>
      </c>
      <c r="D141" t="inlineStr">
        <is>
          <t>TÔN_CUỘN_MẠ_KẼM</t>
        </is>
      </c>
      <c r="E141" t="inlineStr">
        <is>
          <t>MAT-STEEL-PN-0.75</t>
        </is>
      </c>
      <c r="F141" t="inlineStr">
        <is>
          <t>kg</t>
        </is>
      </c>
      <c r="G141" s="394" t="n">
        <v>2.146347</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Kích thước vỏ 350.0x250.0x210mm</t>
        </is>
      </c>
    </row>
    <row r="142">
      <c r="A142" t="inlineStr">
        <is>
          <t>SW-DAMPER-093-BLADE</t>
        </is>
      </c>
      <c r="B142" t="inlineStr">
        <is>
          <t>SW-DAMPER-093</t>
        </is>
      </c>
      <c r="C142" t="inlineStr">
        <is>
          <t>Lá cánh van (2 cánh overlap)</t>
        </is>
      </c>
      <c r="D142" t="inlineStr">
        <is>
          <t>TÔN_CUỘN_MẠ_KẼM</t>
        </is>
      </c>
      <c r="E142" t="inlineStr">
        <is>
          <t>MAT-STEEL-PN-0.75</t>
        </is>
      </c>
      <c r="F142" t="inlineStr">
        <is>
          <t>kg</t>
        </is>
      </c>
      <c r="G142" s="394" t="n">
        <v>0.6453877499999999</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2 cánh cao 145mm</t>
        </is>
      </c>
    </row>
    <row r="143">
      <c r="A143" t="inlineStr">
        <is>
          <t>SW-DAMPER-093-AXLE</t>
        </is>
      </c>
      <c r="B143" t="inlineStr">
        <is>
          <t>SW-DAMPER-093</t>
        </is>
      </c>
      <c r="C143" t="inlineStr">
        <is>
          <t>Trục Sus 201 D10</t>
        </is>
      </c>
      <c r="D143" t="inlineStr">
        <is>
          <t>PHỤ_KIỆN_VAN</t>
        </is>
      </c>
      <c r="E143" t="inlineStr">
        <is>
          <t>MAT-DAMPER-TRUC-SUS-201-D10</t>
        </is>
      </c>
      <c r="F143" t="inlineStr">
        <is>
          <t>m</t>
        </is>
      </c>
      <c r="G143" s="394" t="n">
        <v>0.82</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2 trục dài 410mm</t>
        </is>
      </c>
    </row>
    <row r="144">
      <c r="A144" t="inlineStr">
        <is>
          <t>SW-DAMPER-093-BEARING</t>
        </is>
      </c>
      <c r="B144" t="inlineStr">
        <is>
          <t>SW-DAMPER-093</t>
        </is>
      </c>
      <c r="C144" t="inlineStr">
        <is>
          <t>Bạc đồng D10</t>
        </is>
      </c>
      <c r="D144" t="inlineStr">
        <is>
          <t>PHỤ_KIỆN_VAN</t>
        </is>
      </c>
      <c r="E144" t="inlineStr">
        <is>
          <t>MAT-DAMPER-BAC-DONG-D10</t>
        </is>
      </c>
      <c r="F144" t="inlineStr">
        <is>
          <t>Đôi</t>
        </is>
      </c>
      <c r="G144" s="394" t="n">
        <v>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2 đôi bạc đỡ 2 bên thân</t>
        </is>
      </c>
    </row>
    <row r="145">
      <c r="A145" t="inlineStr">
        <is>
          <t>SW-DAMPER-093-GEAR</t>
        </is>
      </c>
      <c r="B145" t="inlineStr">
        <is>
          <t>SW-DAMPER-093</t>
        </is>
      </c>
      <c r="C145" t="inlineStr">
        <is>
          <t>Bánh răng van nhôm</t>
        </is>
      </c>
      <c r="D145" t="inlineStr">
        <is>
          <t>PHỤ_KIỆN_VAN</t>
        </is>
      </c>
      <c r="E145" t="inlineStr">
        <is>
          <t>MAT-DAMPER-BANH-RANG-VAN-NHOM</t>
        </is>
      </c>
      <c r="F145" t="inlineStr">
        <is>
          <t>Bộ</t>
        </is>
      </c>
      <c r="G145" s="394" t="n">
        <v>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Cơ cấu liên động bánh răng van</t>
        </is>
      </c>
    </row>
    <row r="146">
      <c r="A146" t="inlineStr">
        <is>
          <t>SW-DAMPER-093-ECCENTRIC</t>
        </is>
      </c>
      <c r="B146" t="inlineStr">
        <is>
          <t>SW-DAMPER-093</t>
        </is>
      </c>
      <c r="C146" t="inlineStr">
        <is>
          <t>Cơ cấu lệch tâm / Lò xo đóng mở (NRD)</t>
        </is>
      </c>
      <c r="D146" t="inlineStr">
        <is>
          <t>PHỤ_KIỆN_VAN</t>
        </is>
      </c>
      <c r="E146" t="inlineStr">
        <is>
          <t>ECCENTRIC_SHAFT</t>
        </is>
      </c>
      <c r="F146" t="inlineStr">
        <is>
          <t>Bộ</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Cơ cấu đóng mở một chiều</t>
        </is>
      </c>
    </row>
    <row r="147">
      <c r="A147" t="inlineStr">
        <is>
          <t>SW-DAMPER-094-BODY</t>
        </is>
      </c>
      <c r="B147" t="inlineStr">
        <is>
          <t>SW-DAMPER-094</t>
        </is>
      </c>
      <c r="C147" t="inlineStr">
        <is>
          <t>Thân vỏ van NRD bích TDF (0.75mm)</t>
        </is>
      </c>
      <c r="D147" t="inlineStr">
        <is>
          <t>TÔN_CUỘN_MẠ_KẼM</t>
        </is>
      </c>
      <c r="E147" t="inlineStr">
        <is>
          <t>MAT-STEEL-PN-0.75</t>
        </is>
      </c>
      <c r="F147" t="inlineStr">
        <is>
          <t>kg</t>
        </is>
      </c>
      <c r="G147" s="394" t="n">
        <v>1.800162</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Kích thước vỏ 350.0x150.0x210mm</t>
        </is>
      </c>
    </row>
    <row r="148">
      <c r="A148" t="inlineStr">
        <is>
          <t>SW-DAMPER-094-BLADE</t>
        </is>
      </c>
      <c r="B148" t="inlineStr">
        <is>
          <t>SW-DAMPER-094</t>
        </is>
      </c>
      <c r="C148" t="inlineStr">
        <is>
          <t>Lá cánh van (1 cánh overlap)</t>
        </is>
      </c>
      <c r="D148" t="inlineStr">
        <is>
          <t>TÔN_CUỘN_MẠ_KẼM</t>
        </is>
      </c>
      <c r="E148" t="inlineStr">
        <is>
          <t>MAT-STEEL-PN-0.75</t>
        </is>
      </c>
      <c r="F148" t="inlineStr">
        <is>
          <t>kg</t>
        </is>
      </c>
      <c r="G148" s="394" t="n">
        <v>0.3783307499999999</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1 cánh cao 170mm</t>
        </is>
      </c>
    </row>
    <row r="149">
      <c r="A149" t="inlineStr">
        <is>
          <t>SW-DAMPER-094-AXLE</t>
        </is>
      </c>
      <c r="B149" t="inlineStr">
        <is>
          <t>SW-DAMPER-094</t>
        </is>
      </c>
      <c r="C149" t="inlineStr">
        <is>
          <t>Trục Sus 201 D10</t>
        </is>
      </c>
      <c r="D149" t="inlineStr">
        <is>
          <t>PHỤ_KIỆN_VAN</t>
        </is>
      </c>
      <c r="E149" t="inlineStr">
        <is>
          <t>MAT-DAMPER-TRUC-SUS-201-D10</t>
        </is>
      </c>
      <c r="F149" t="inlineStr">
        <is>
          <t>m</t>
        </is>
      </c>
      <c r="G149" s="394" t="n">
        <v>0.41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1 trục dài 410mm</t>
        </is>
      </c>
    </row>
    <row r="150">
      <c r="A150" t="inlineStr">
        <is>
          <t>SW-DAMPER-094-BEARING</t>
        </is>
      </c>
      <c r="B150" t="inlineStr">
        <is>
          <t>SW-DAMPER-094</t>
        </is>
      </c>
      <c r="C150" t="inlineStr">
        <is>
          <t>Bạc đồng D10</t>
        </is>
      </c>
      <c r="D150" t="inlineStr">
        <is>
          <t>PHỤ_KIỆN_VAN</t>
        </is>
      </c>
      <c r="E150" t="inlineStr">
        <is>
          <t>MAT-DAMPER-BAC-DONG-D10</t>
        </is>
      </c>
      <c r="F150" t="inlineStr">
        <is>
          <t>Đôi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1 đôi bạc đỡ 2 bên thân</t>
        </is>
      </c>
    </row>
    <row r="151">
      <c r="A151" t="inlineStr">
        <is>
          <t>SW-DAMPER-094-ECCENTRIC</t>
        </is>
      </c>
      <c r="B151" t="inlineStr">
        <is>
          <t>SW-DAMPER-094</t>
        </is>
      </c>
      <c r="C151" t="inlineStr">
        <is>
          <t>Cơ cấu lệch tâm / Lò xo đóng mở (NRD)</t>
        </is>
      </c>
      <c r="D151" t="inlineStr">
        <is>
          <t>PHỤ_KIỆN_VAN</t>
        </is>
      </c>
      <c r="E151" t="inlineStr">
        <is>
          <t>ECCENTRIC_SHAFT</t>
        </is>
      </c>
      <c r="F151" t="inlineStr">
        <is>
          <t>Bộ</t>
        </is>
      </c>
      <c r="G151" s="394" t="n">
        <v>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Cơ cấu đóng mở một chiều</t>
        </is>
      </c>
    </row>
    <row r="152">
      <c r="A152" t="inlineStr">
        <is>
          <t>SW-DAMPER-095-BODY</t>
        </is>
      </c>
      <c r="B152" t="inlineStr">
        <is>
          <t>SW-DAMPER-095</t>
        </is>
      </c>
      <c r="C152" t="inlineStr">
        <is>
          <t>Thân vỏ van MFD bích TDF (1.15mm)</t>
        </is>
      </c>
      <c r="D152" t="inlineStr">
        <is>
          <t>TÔN_CUỘN_MẠ_KẼM</t>
        </is>
      </c>
      <c r="E152" t="inlineStr">
        <is>
          <t>MAT-STEEL-PN-1.15</t>
        </is>
      </c>
      <c r="F152" t="inlineStr">
        <is>
          <t>kg</t>
        </is>
      </c>
      <c r="G152" s="394" t="n">
        <v>3.457893599999999</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Kích thước vỏ 350.0x200.0x250mm</t>
        </is>
      </c>
    </row>
    <row r="153">
      <c r="A153" t="inlineStr">
        <is>
          <t>SW-DAMPER-095-BLADE</t>
        </is>
      </c>
      <c r="B153" t="inlineStr">
        <is>
          <t>SW-DAMPER-095</t>
        </is>
      </c>
      <c r="C153" t="inlineStr">
        <is>
          <t>Lá cánh van (2 cánh overlap)</t>
        </is>
      </c>
      <c r="D153" t="inlineStr">
        <is>
          <t>TÔN_CUỘN_MẠ_KẼM</t>
        </is>
      </c>
      <c r="E153" t="inlineStr">
        <is>
          <t>MAT-STEEL-PN-1.15</t>
        </is>
      </c>
      <c r="F153" t="inlineStr">
        <is>
          <t>kg</t>
        </is>
      </c>
      <c r="G153" s="394" t="n">
        <v>0.8189747999999998</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2 cánh cao 120mm</t>
        </is>
      </c>
    </row>
    <row r="154">
      <c r="A154" t="inlineStr">
        <is>
          <t>SW-DAMPER-095-AXLE</t>
        </is>
      </c>
      <c r="B154" t="inlineStr">
        <is>
          <t>SW-DAMPER-095</t>
        </is>
      </c>
      <c r="C154" t="inlineStr">
        <is>
          <t>Trục Sus 201 D10</t>
        </is>
      </c>
      <c r="D154" t="inlineStr">
        <is>
          <t>PHỤ_KIỆN_VAN</t>
        </is>
      </c>
      <c r="E154" t="inlineStr">
        <is>
          <t>MAT-DAMPER-TRUC-SUS-201-D10</t>
        </is>
      </c>
      <c r="F154" t="inlineStr">
        <is>
          <t>m</t>
        </is>
      </c>
      <c r="G154" s="394" t="n">
        <v>0.82</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2 trục dài 410mm</t>
        </is>
      </c>
    </row>
    <row r="155">
      <c r="A155" t="inlineStr">
        <is>
          <t>SW-DAMPER-095-BEARING</t>
        </is>
      </c>
      <c r="B155" t="inlineStr">
        <is>
          <t>SW-DAMPER-095</t>
        </is>
      </c>
      <c r="C155" t="inlineStr">
        <is>
          <t>Bạc đồng D10</t>
        </is>
      </c>
      <c r="D155" t="inlineStr">
        <is>
          <t>PHỤ_KIỆN_VAN</t>
        </is>
      </c>
      <c r="E155" t="inlineStr">
        <is>
          <t>MAT-DAMPER-BAC-DONG-D10</t>
        </is>
      </c>
      <c r="F155" t="inlineStr">
        <is>
          <t>Đôi</t>
        </is>
      </c>
      <c r="G155" s="394" t="n">
        <v>2</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2 đôi bạc đỡ 2 bên thân</t>
        </is>
      </c>
    </row>
    <row r="156">
      <c r="A156" t="inlineStr">
        <is>
          <t>SW-DAMPER-095-GEAR</t>
        </is>
      </c>
      <c r="B156" t="inlineStr">
        <is>
          <t>SW-DAMPER-095</t>
        </is>
      </c>
      <c r="C156" t="inlineStr">
        <is>
          <t>Bánh răng van nhôm</t>
        </is>
      </c>
      <c r="D156" t="inlineStr">
        <is>
          <t>PHỤ_KIỆN_VAN</t>
        </is>
      </c>
      <c r="E156" t="inlineStr">
        <is>
          <t>MAT-DAMPER-BANH-RANG-VAN-NHOM</t>
        </is>
      </c>
      <c r="F156" t="inlineStr">
        <is>
          <t>Bộ</t>
        </is>
      </c>
      <c r="G156" s="394" t="n">
        <v>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Cơ cấu liên động bánh răng van</t>
        </is>
      </c>
    </row>
    <row r="157">
      <c r="A157" t="inlineStr">
        <is>
          <t>SW-DAMPER-095-ACTUATOR</t>
        </is>
      </c>
      <c r="B157" t="inlineStr">
        <is>
          <t>SW-DAMPER-095</t>
        </is>
      </c>
      <c r="C157" t="inlineStr">
        <is>
          <t>Động cơ chặn lửa ON/OFF 9Nm, 24V (BELIMO BFN 24 hoặc tương đương)</t>
        </is>
      </c>
      <c r="D157" t="inlineStr">
        <is>
          <t>ĐỘNG_CƠ_VÀ_CẢM_BIẾN</t>
        </is>
      </c>
      <c r="E157" t="inlineStr">
        <is>
          <t>MAT-ACTUATOR-BELIMO-BFN24</t>
        </is>
      </c>
      <c r="F157" t="inlineStr">
        <is>
          <t>Cái</t>
        </is>
      </c>
      <c r="G157" s="394" t="n">
        <v>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Động cơ lò xo phản hồi cho MFD (S=0.07m2)</t>
        </is>
      </c>
    </row>
    <row r="158">
      <c r="A158" t="inlineStr">
        <is>
          <t>SW-DAMPER-095-FIRE_INSULATION</t>
        </is>
      </c>
      <c r="B158" t="inlineStr">
        <is>
          <t>SW-DAMPER-095</t>
        </is>
      </c>
      <c r="C158" t="inlineStr">
        <is>
          <t>Bọc cách nhiệt chống cháy tấm MGO/Thạch cao (Tiêu chuẩn EI)</t>
        </is>
      </c>
      <c r="D158" t="inlineStr">
        <is>
          <t>VẬT_LIỆU_CÁCH_NHIỆT</t>
        </is>
      </c>
      <c r="E158" t="inlineStr">
        <is>
          <t>MAT-INSULATION-EI-DAMPER</t>
        </is>
      </c>
      <c r="F158" t="inlineStr">
        <is>
          <t>m2</t>
        </is>
      </c>
      <c r="G158" s="394" t="n">
        <v>0.4213440000000001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Bọc chống cháy vỏ van (Lưu ý: Giá vật tư đang TẠM TÍNH 300k/m2)</t>
        </is>
      </c>
    </row>
    <row r="159">
      <c r="A159" t="inlineStr">
        <is>
          <t>SW-DAMPER-096-BODY</t>
        </is>
      </c>
      <c r="B159" t="inlineStr">
        <is>
          <t>SW-DAMPER-096</t>
        </is>
      </c>
      <c r="C159" t="inlineStr">
        <is>
          <t>Thân vỏ van MFD bích TDF (1.15mm)</t>
        </is>
      </c>
      <c r="D159" t="inlineStr">
        <is>
          <t>TÔN_CUỘN_MẠ_KẼM</t>
        </is>
      </c>
      <c r="E159" t="inlineStr">
        <is>
          <t>MAT-STEEL-PN-1.15</t>
        </is>
      </c>
      <c r="F159" t="inlineStr">
        <is>
          <t>kg</t>
        </is>
      </c>
      <c r="G159" s="394" t="n">
        <v>7.401105599999999</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Kích thước vỏ 700.0x500.0x250mm</t>
        </is>
      </c>
    </row>
    <row r="160">
      <c r="A160" t="inlineStr">
        <is>
          <t>SW-DAMPER-096-BLADE</t>
        </is>
      </c>
      <c r="B160" t="inlineStr">
        <is>
          <t>SW-DAMPER-096</t>
        </is>
      </c>
      <c r="C160" t="inlineStr">
        <is>
          <t>Lá cánh van (3 cánh overlap)</t>
        </is>
      </c>
      <c r="D160" t="inlineStr">
        <is>
          <t>TÔN_CUỘN_MẠ_KẼM</t>
        </is>
      </c>
      <c r="E160" t="inlineStr">
        <is>
          <t>MAT-STEEL-PN-1.15</t>
        </is>
      </c>
      <c r="F160" t="inlineStr">
        <is>
          <t>kg</t>
        </is>
      </c>
      <c r="G160" s="394" t="n">
        <v>3.821882399999998</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3 cánh cao 187mm</t>
        </is>
      </c>
    </row>
    <row r="161">
      <c r="A161" t="inlineStr">
        <is>
          <t>SW-DAMPER-096-AXLE</t>
        </is>
      </c>
      <c r="B161" t="inlineStr">
        <is>
          <t>SW-DAMPER-096</t>
        </is>
      </c>
      <c r="C161" t="inlineStr">
        <is>
          <t>Trục Sus 201 D10</t>
        </is>
      </c>
      <c r="D161" t="inlineStr">
        <is>
          <t>PHỤ_KIỆN_VAN</t>
        </is>
      </c>
      <c r="E161" t="inlineStr">
        <is>
          <t>MAT-DAMPER-TRUC-SUS-201-D10</t>
        </is>
      </c>
      <c r="F161" t="inlineStr">
        <is>
          <t>m</t>
        </is>
      </c>
      <c r="G161" s="394" t="n">
        <v>2.28</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3 trục dài 760mm</t>
        </is>
      </c>
    </row>
    <row r="162">
      <c r="A162" t="inlineStr">
        <is>
          <t>SW-DAMPER-096-BEARING</t>
        </is>
      </c>
      <c r="B162" t="inlineStr">
        <is>
          <t>SW-DAMPER-096</t>
        </is>
      </c>
      <c r="C162" t="inlineStr">
        <is>
          <t>Bạc đồng D10</t>
        </is>
      </c>
      <c r="D162" t="inlineStr">
        <is>
          <t>PHỤ_KIỆN_VAN</t>
        </is>
      </c>
      <c r="E162" t="inlineStr">
        <is>
          <t>MAT-DAMPER-BAC-DONG-D10</t>
        </is>
      </c>
      <c r="F162" t="inlineStr">
        <is>
          <t>Đôi</t>
        </is>
      </c>
      <c r="G162" s="394" t="n">
        <v>3</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3 đôi bạc đỡ 2 bên thân</t>
        </is>
      </c>
    </row>
    <row r="163">
      <c r="A163" t="inlineStr">
        <is>
          <t>SW-DAMPER-096-GEAR</t>
        </is>
      </c>
      <c r="B163" t="inlineStr">
        <is>
          <t>SW-DAMPER-096</t>
        </is>
      </c>
      <c r="C163" t="inlineStr">
        <is>
          <t>Bánh răng van nhôm</t>
        </is>
      </c>
      <c r="D163" t="inlineStr">
        <is>
          <t>PHỤ_KIỆN_VAN</t>
        </is>
      </c>
      <c r="E163" t="inlineStr">
        <is>
          <t>MAT-DAMPER-BANH-RANG-VAN-NHOM</t>
        </is>
      </c>
      <c r="F163" t="inlineStr">
        <is>
          <t>Bộ</t>
        </is>
      </c>
      <c r="G163" s="394" t="n">
        <v>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Cơ cấu liên động bánh răng van</t>
        </is>
      </c>
    </row>
    <row r="164">
      <c r="A164" t="inlineStr">
        <is>
          <t>SW-DAMPER-096-ACTUATOR</t>
        </is>
      </c>
      <c r="B164" t="inlineStr">
        <is>
          <t>SW-DAMPER-096</t>
        </is>
      </c>
      <c r="C164" t="inlineStr">
        <is>
          <t>Động cơ chặn lửa ON/OFF 9Nm, 24V (BELIMO BFN 24 hoặc tương đương)</t>
        </is>
      </c>
      <c r="D164" t="inlineStr">
        <is>
          <t>ĐỘNG_CƠ_VÀ_CẢM_BIẾN</t>
        </is>
      </c>
      <c r="E164" t="inlineStr">
        <is>
          <t>MAT-ACTUATOR-BELIMO-BFN24</t>
        </is>
      </c>
      <c r="F164" t="inlineStr">
        <is>
          <t>Cái</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Động cơ lò xo phản hồi cho MFD (S=0.35m2)</t>
        </is>
      </c>
    </row>
    <row r="165">
      <c r="A165" t="inlineStr">
        <is>
          <t>SW-DAMPER-096-FIRE_INSULATION</t>
        </is>
      </c>
      <c r="B165" t="inlineStr">
        <is>
          <t>SW-DAMPER-096</t>
        </is>
      </c>
      <c r="C165" t="inlineStr">
        <is>
          <t>Bọc cách nhiệt chống cháy tấm MGO/Thạch cao (Tiêu chuẩn EI)</t>
        </is>
      </c>
      <c r="D165" t="inlineStr">
        <is>
          <t>VẬT_LIỆU_CÁCH_NHIỆT</t>
        </is>
      </c>
      <c r="E165" t="inlineStr">
        <is>
          <t>MAT-INSULATION-EI-DAMPER</t>
        </is>
      </c>
      <c r="F165" t="inlineStr">
        <is>
          <t>m2</t>
        </is>
      </c>
      <c r="G165" s="394" t="n">
        <v>0.9018240000000002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Bọc chống cháy vỏ van (Lưu ý: Giá vật tư đang TẠM TÍNH 300k/m2)</t>
        </is>
      </c>
    </row>
    <row r="166">
      <c r="A166" t="inlineStr">
        <is>
          <t>SW-DAMPER-097-BODY</t>
        </is>
      </c>
      <c r="B166" t="inlineStr">
        <is>
          <t>SW-DAMPER-097</t>
        </is>
      </c>
      <c r="C166" t="inlineStr">
        <is>
          <t>Thân vỏ van MFD bích TDF (1.15mm)</t>
        </is>
      </c>
      <c r="D166" t="inlineStr">
        <is>
          <t>TÔN_CUỘN_MẠ_KẼM</t>
        </is>
      </c>
      <c r="E166" t="inlineStr">
        <is>
          <t>MAT-STEEL-PN-1.15</t>
        </is>
      </c>
      <c r="F166" t="inlineStr">
        <is>
          <t>kg</t>
        </is>
      </c>
      <c r="G166" s="394" t="n">
        <v>9.221049599999999</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Kích thước vỏ 700.0x800.0x250mm</t>
        </is>
      </c>
    </row>
    <row r="167">
      <c r="A167" t="inlineStr">
        <is>
          <t>SW-DAMPER-097-BLADE</t>
        </is>
      </c>
      <c r="B167" t="inlineStr">
        <is>
          <t>SW-DAMPER-097</t>
        </is>
      </c>
      <c r="C167" t="inlineStr">
        <is>
          <t>Lá cánh van (5 cánh overlap)</t>
        </is>
      </c>
      <c r="D167" t="inlineStr">
        <is>
          <t>TÔN_CUỘN_MẠ_KẼM</t>
        </is>
      </c>
      <c r="E167" t="inlineStr">
        <is>
          <t>MAT-STEEL-PN-1.15</t>
        </is>
      </c>
      <c r="F167" t="inlineStr">
        <is>
          <t>kg</t>
        </is>
      </c>
      <c r="G167" s="394" t="n">
        <v>6.142310999999999</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5 cánh cao 180mm</t>
        </is>
      </c>
    </row>
    <row r="168">
      <c r="A168" t="inlineStr">
        <is>
          <t>SW-DAMPER-097-AXLE</t>
        </is>
      </c>
      <c r="B168" t="inlineStr">
        <is>
          <t>SW-DAMPER-097</t>
        </is>
      </c>
      <c r="C168" t="inlineStr">
        <is>
          <t>Trục Sus 201 D10</t>
        </is>
      </c>
      <c r="D168" t="inlineStr">
        <is>
          <t>PHỤ_KIỆN_VAN</t>
        </is>
      </c>
      <c r="E168" t="inlineStr">
        <is>
          <t>MAT-DAMPER-TRUC-SUS-201-D10</t>
        </is>
      </c>
      <c r="F168" t="inlineStr">
        <is>
          <t>m</t>
        </is>
      </c>
      <c r="G168" s="394" t="n">
        <v>3.8</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5 trục dài 760mm</t>
        </is>
      </c>
    </row>
    <row r="169">
      <c r="A169" t="inlineStr">
        <is>
          <t>SW-DAMPER-097-BEARING</t>
        </is>
      </c>
      <c r="B169" t="inlineStr">
        <is>
          <t>SW-DAMPER-097</t>
        </is>
      </c>
      <c r="C169" t="inlineStr">
        <is>
          <t>Bạc đồng D10</t>
        </is>
      </c>
      <c r="D169" t="inlineStr">
        <is>
          <t>PHỤ_KIỆN_VAN</t>
        </is>
      </c>
      <c r="E169" t="inlineStr">
        <is>
          <t>MAT-DAMPER-BAC-DONG-D10</t>
        </is>
      </c>
      <c r="F169" t="inlineStr">
        <is>
          <t>Đôi</t>
        </is>
      </c>
      <c r="G169" s="394" t="n">
        <v>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5 đôi bạc đỡ 2 bên thân</t>
        </is>
      </c>
    </row>
    <row r="170">
      <c r="A170" t="inlineStr">
        <is>
          <t>SW-DAMPER-097-GEAR</t>
        </is>
      </c>
      <c r="B170" t="inlineStr">
        <is>
          <t>SW-DAMPER-097</t>
        </is>
      </c>
      <c r="C170" t="inlineStr">
        <is>
          <t>Bánh răng van nhôm</t>
        </is>
      </c>
      <c r="D170" t="inlineStr">
        <is>
          <t>PHỤ_KIỆN_VAN</t>
        </is>
      </c>
      <c r="E170" t="inlineStr">
        <is>
          <t>MAT-DAMPER-BANH-RANG-VAN-NHOM</t>
        </is>
      </c>
      <c r="F170" t="inlineStr">
        <is>
          <t>Bộ</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Cơ cấu liên động bánh răng van</t>
        </is>
      </c>
    </row>
    <row r="171">
      <c r="A171" t="inlineStr">
        <is>
          <t>SW-DAMPER-097-ACTUATOR</t>
        </is>
      </c>
      <c r="B171" t="inlineStr">
        <is>
          <t>SW-DAMPER-097</t>
        </is>
      </c>
      <c r="C171" t="inlineStr">
        <is>
          <t>Động cơ chặn lửa ON/OFF 9Nm, 24V (BELIMO BFN 24 hoặc tương đương)</t>
        </is>
      </c>
      <c r="D171" t="inlineStr">
        <is>
          <t>ĐỘNG_CƠ_VÀ_CẢM_BIẾN</t>
        </is>
      </c>
      <c r="E171" t="inlineStr">
        <is>
          <t>MAT-ACTUATOR-BELIMO-BFN24</t>
        </is>
      </c>
      <c r="F171" t="inlineStr">
        <is>
          <t>Cái</t>
        </is>
      </c>
      <c r="G171" s="394" t="n">
        <v>1</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Động cơ lò xo phản hồi cho MFD (S=0.56m2)</t>
        </is>
      </c>
    </row>
    <row r="172">
      <c r="A172" t="inlineStr">
        <is>
          <t>SW-DAMPER-097-FIRE_INSULATION</t>
        </is>
      </c>
      <c r="B172" t="inlineStr">
        <is>
          <t>SW-DAMPER-097</t>
        </is>
      </c>
      <c r="C172" t="inlineStr">
        <is>
          <t>Bọc cách nhiệt chống cháy tấm MGO/Thạch cao (Tiêu chuẩn EI)</t>
        </is>
      </c>
      <c r="D172" t="inlineStr">
        <is>
          <t>VẬT_LIỆU_CÁCH_NHIỆT</t>
        </is>
      </c>
      <c r="E172" t="inlineStr">
        <is>
          <t>MAT-INSULATION-EI-DAMPER</t>
        </is>
      </c>
      <c r="F172" t="inlineStr">
        <is>
          <t>m2</t>
        </is>
      </c>
      <c r="G172" s="394" t="n">
        <v>1.123584</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Bọc chống cháy vỏ van (Lưu ý: Giá vật tư đang TẠM TÍNH 300k/m2)</t>
        </is>
      </c>
    </row>
    <row r="173">
      <c r="A173" t="inlineStr">
        <is>
          <t>SW-DAMPER-098-BODY</t>
        </is>
      </c>
      <c r="B173" t="inlineStr">
        <is>
          <t>SW-DAMPER-098</t>
        </is>
      </c>
      <c r="C173" t="inlineStr">
        <is>
          <t>Thân vỏ van MFD bích TDF (1.15mm)</t>
        </is>
      </c>
      <c r="D173" t="inlineStr">
        <is>
          <t>TÔN_CUỘN_MẠ_KẼM</t>
        </is>
      </c>
      <c r="E173" t="inlineStr">
        <is>
          <t>MAT-STEEL-PN-1.15</t>
        </is>
      </c>
      <c r="F173" t="inlineStr">
        <is>
          <t>kg</t>
        </is>
      </c>
      <c r="G173" s="394" t="n">
        <v>11.0409936</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Kích thước vỏ 1200.0x600.0x250mm</t>
        </is>
      </c>
    </row>
    <row r="174">
      <c r="A174" t="inlineStr">
        <is>
          <t>SW-DAMPER-098-BLADE</t>
        </is>
      </c>
      <c r="B174" t="inlineStr">
        <is>
          <t>SW-DAMPER-098</t>
        </is>
      </c>
      <c r="C174" t="inlineStr">
        <is>
          <t>Lá cánh van (4 cánh overlap)</t>
        </is>
      </c>
      <c r="D174" t="inlineStr">
        <is>
          <t>TÔN_CUỘN_MẠ_KẼM</t>
        </is>
      </c>
      <c r="E174" t="inlineStr">
        <is>
          <t>MAT-STEEL-PN-1.15</t>
        </is>
      </c>
      <c r="F174" t="inlineStr">
        <is>
          <t>kg</t>
        </is>
      </c>
      <c r="G174" s="394" t="n">
        <v>7.9557552</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4 cánh cao 170mm</t>
        </is>
      </c>
    </row>
    <row r="175">
      <c r="A175" t="inlineStr">
        <is>
          <t>SW-DAMPER-098-AXLE</t>
        </is>
      </c>
      <c r="B175" t="inlineStr">
        <is>
          <t>SW-DAMPER-098</t>
        </is>
      </c>
      <c r="C175" t="inlineStr">
        <is>
          <t>Trục Sus 201 D10</t>
        </is>
      </c>
      <c r="D175" t="inlineStr">
        <is>
          <t>PHỤ_KIỆN_VAN</t>
        </is>
      </c>
      <c r="E175" t="inlineStr">
        <is>
          <t>MAT-DAMPER-TRUC-SUS-201-D10</t>
        </is>
      </c>
      <c r="F175" t="inlineStr">
        <is>
          <t>m</t>
        </is>
      </c>
      <c r="G175" s="394" t="n">
        <v>5.04</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4 trục dài 1260mm</t>
        </is>
      </c>
    </row>
    <row r="176">
      <c r="A176" t="inlineStr">
        <is>
          <t>SW-DAMPER-098-BEARING</t>
        </is>
      </c>
      <c r="B176" t="inlineStr">
        <is>
          <t>SW-DAMPER-098</t>
        </is>
      </c>
      <c r="C176" t="inlineStr">
        <is>
          <t>Bạc đồng D10</t>
        </is>
      </c>
      <c r="D176" t="inlineStr">
        <is>
          <t>PHỤ_KIỆN_VAN</t>
        </is>
      </c>
      <c r="E176" t="inlineStr">
        <is>
          <t>MAT-DAMPER-BAC-DONG-D10</t>
        </is>
      </c>
      <c r="F176" t="inlineStr">
        <is>
          <t>Đôi</t>
        </is>
      </c>
      <c r="G176" s="394" t="n">
        <v>4</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4 đôi bạc đỡ 2 bên thân</t>
        </is>
      </c>
    </row>
    <row r="177">
      <c r="A177" t="inlineStr">
        <is>
          <t>SW-DAMPER-098-GEAR</t>
        </is>
      </c>
      <c r="B177" t="inlineStr">
        <is>
          <t>SW-DAMPER-098</t>
        </is>
      </c>
      <c r="C177" t="inlineStr">
        <is>
          <t>Bánh răng van nhôm</t>
        </is>
      </c>
      <c r="D177" t="inlineStr">
        <is>
          <t>PHỤ_KIỆN_VAN</t>
        </is>
      </c>
      <c r="E177" t="inlineStr">
        <is>
          <t>MAT-DAMPER-BANH-RANG-VAN-NHOM</t>
        </is>
      </c>
      <c r="F177" t="inlineStr">
        <is>
          <t>Bộ</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Cơ cấu liên động bánh răng van</t>
        </is>
      </c>
    </row>
    <row r="178">
      <c r="A178" t="inlineStr">
        <is>
          <t>SW-DAMPER-098-ACTUATOR</t>
        </is>
      </c>
      <c r="B178" t="inlineStr">
        <is>
          <t>SW-DAMPER-098</t>
        </is>
      </c>
      <c r="C178" t="inlineStr">
        <is>
          <t>Động cơ chặn lửa ON/OFF 9Nm, 24V (BELIMO BFN 24 hoặc tương đương)</t>
        </is>
      </c>
      <c r="D178" t="inlineStr">
        <is>
          <t>ĐỘNG_CƠ_VÀ_CẢM_BIẾN</t>
        </is>
      </c>
      <c r="E178" t="inlineStr">
        <is>
          <t>MAT-ACTUATOR-BELIMO-BFN24</t>
        </is>
      </c>
      <c r="F178" t="inlineStr">
        <is>
          <t>Cái</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Động cơ lò xo phản hồi cho MFD (S=0.72m2)</t>
        </is>
      </c>
    </row>
    <row r="179">
      <c r="A179" t="inlineStr">
        <is>
          <t>SW-DAMPER-098-FIRE_INSULATION</t>
        </is>
      </c>
      <c r="B179" t="inlineStr">
        <is>
          <t>SW-DAMPER-098</t>
        </is>
      </c>
      <c r="C179" t="inlineStr">
        <is>
          <t>Bọc cách nhiệt chống cháy tấm MGO/Thạch cao (Tiêu chuẩn EI)</t>
        </is>
      </c>
      <c r="D179" t="inlineStr">
        <is>
          <t>VẬT_LIỆU_CÁCH_NHIỆT</t>
        </is>
      </c>
      <c r="E179" t="inlineStr">
        <is>
          <t>MAT-INSULATION-EI-DAMPER</t>
        </is>
      </c>
      <c r="F179" t="inlineStr">
        <is>
          <t>m2</t>
        </is>
      </c>
      <c r="G179" s="394" t="n">
        <v>1.345344</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Bọc chống cháy vỏ van (Lưu ý: Giá vật tư đang TẠM TÍNH 300k/m2)</t>
        </is>
      </c>
    </row>
    <row r="180">
      <c r="A180" t="inlineStr">
        <is>
          <t>SW-DAMPER-099-BODY</t>
        </is>
      </c>
      <c r="B180" t="inlineStr">
        <is>
          <t>SW-DAMPER-099</t>
        </is>
      </c>
      <c r="C180" t="inlineStr">
        <is>
          <t>Thân vỏ van MFD bích TDF (1.15mm)</t>
        </is>
      </c>
      <c r="D180" t="inlineStr">
        <is>
          <t>TÔN_CUỘN_MẠ_KẼM</t>
        </is>
      </c>
      <c r="E180" t="inlineStr">
        <is>
          <t>MAT-STEEL-PN-1.15</t>
        </is>
      </c>
      <c r="F180" t="inlineStr">
        <is>
          <t>kg</t>
        </is>
      </c>
      <c r="G180" s="394" t="n">
        <v>2.851245599999999</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Kích thước vỏ 250.0x200.0x250mm</t>
        </is>
      </c>
    </row>
    <row r="181">
      <c r="A181" t="inlineStr">
        <is>
          <t>SW-DAMPER-099-BLADE</t>
        </is>
      </c>
      <c r="B181" t="inlineStr">
        <is>
          <t>SW-DAMPER-099</t>
        </is>
      </c>
      <c r="C181" t="inlineStr">
        <is>
          <t>Lá cánh van (2 cánh overlap)</t>
        </is>
      </c>
      <c r="D181" t="inlineStr">
        <is>
          <t>TÔN_CUỘN_MẠ_KẼM</t>
        </is>
      </c>
      <c r="E181" t="inlineStr">
        <is>
          <t>MAT-STEEL-PN-1.15</t>
        </is>
      </c>
      <c r="F181" t="inlineStr">
        <is>
          <t>kg</t>
        </is>
      </c>
      <c r="G181" s="394" t="n">
        <v>0.5849819999999999</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2 cánh cao 120mm</t>
        </is>
      </c>
    </row>
    <row r="182">
      <c r="A182" t="inlineStr">
        <is>
          <t>SW-DAMPER-099-AXLE</t>
        </is>
      </c>
      <c r="B182" t="inlineStr">
        <is>
          <t>SW-DAMPER-099</t>
        </is>
      </c>
      <c r="C182" t="inlineStr">
        <is>
          <t>Trục Sus 201 D10</t>
        </is>
      </c>
      <c r="D182" t="inlineStr">
        <is>
          <t>PHỤ_KIỆN_VAN</t>
        </is>
      </c>
      <c r="E182" t="inlineStr">
        <is>
          <t>MAT-DAMPER-TRUC-SUS-201-D10</t>
        </is>
      </c>
      <c r="F182" t="inlineStr">
        <is>
          <t>m</t>
        </is>
      </c>
      <c r="G182" s="394" t="n">
        <v>0.62</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2 trục dài 310mm</t>
        </is>
      </c>
    </row>
    <row r="183">
      <c r="A183" t="inlineStr">
        <is>
          <t>SW-DAMPER-099-BEARING</t>
        </is>
      </c>
      <c r="B183" t="inlineStr">
        <is>
          <t>SW-DAMPER-099</t>
        </is>
      </c>
      <c r="C183" t="inlineStr">
        <is>
          <t>Bạc đồng D10</t>
        </is>
      </c>
      <c r="D183" t="inlineStr">
        <is>
          <t>PHỤ_KIỆN_VAN</t>
        </is>
      </c>
      <c r="E183" t="inlineStr">
        <is>
          <t>MAT-DAMPER-BAC-DONG-D10</t>
        </is>
      </c>
      <c r="F183" t="inlineStr">
        <is>
          <t>Đôi</t>
        </is>
      </c>
      <c r="G183" s="394" t="n">
        <v>2</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2 đôi bạc đỡ 2 bên thân</t>
        </is>
      </c>
    </row>
    <row r="184">
      <c r="A184" t="inlineStr">
        <is>
          <t>SW-DAMPER-099-GEAR</t>
        </is>
      </c>
      <c r="B184" t="inlineStr">
        <is>
          <t>SW-DAMPER-099</t>
        </is>
      </c>
      <c r="C184" t="inlineStr">
        <is>
          <t>Bánh răng van nhôm</t>
        </is>
      </c>
      <c r="D184" t="inlineStr">
        <is>
          <t>PHỤ_KIỆN_VAN</t>
        </is>
      </c>
      <c r="E184" t="inlineStr">
        <is>
          <t>MAT-DAMPER-BANH-RANG-VAN-NHOM</t>
        </is>
      </c>
      <c r="F184" t="inlineStr">
        <is>
          <t>Bộ</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Cơ cấu liên động bánh răng van</t>
        </is>
      </c>
    </row>
    <row r="185">
      <c r="A185" t="inlineStr">
        <is>
          <t>SW-DAMPER-099-ACTUATOR</t>
        </is>
      </c>
      <c r="B185" t="inlineStr">
        <is>
          <t>SW-DAMPER-099</t>
        </is>
      </c>
      <c r="C185" t="inlineStr">
        <is>
          <t>Động cơ chặn lửa ON/OFF 9Nm, 24V (BELIMO BFN 24 hoặc tương đương)</t>
        </is>
      </c>
      <c r="D185" t="inlineStr">
        <is>
          <t>ĐỘNG_CƠ_VÀ_CẢM_BIẾN</t>
        </is>
      </c>
      <c r="E185" t="inlineStr">
        <is>
          <t>MAT-ACTUATOR-BELIMO-BFN24</t>
        </is>
      </c>
      <c r="F185" t="inlineStr">
        <is>
          <t>Cái</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Động cơ lò xo phản hồi cho MFD (S=0.05m2)</t>
        </is>
      </c>
    </row>
    <row r="186">
      <c r="A186" t="inlineStr">
        <is>
          <t>SW-DAMPER-099-FIRE_INSULATION</t>
        </is>
      </c>
      <c r="B186" t="inlineStr">
        <is>
          <t>SW-DAMPER-099</t>
        </is>
      </c>
      <c r="C186" t="inlineStr">
        <is>
          <t>Bọc cách nhiệt chống cháy tấm MGO/Thạch cao (Tiêu chuẩn EI)</t>
        </is>
      </c>
      <c r="D186" t="inlineStr">
        <is>
          <t>VẬT_LIỆU_CÁCH_NHIỆT</t>
        </is>
      </c>
      <c r="E186" t="inlineStr">
        <is>
          <t>MAT-INSULATION-EI-DAMPER</t>
        </is>
      </c>
      <c r="F186" t="inlineStr">
        <is>
          <t>m2</t>
        </is>
      </c>
      <c r="G186" s="394" t="n">
        <v>0.3474240000000001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Bọc chống cháy vỏ van (Lưu ý: Giá vật tư đang TẠM TÍNH 300k/m2)</t>
        </is>
      </c>
    </row>
    <row r="187">
      <c r="A187" t="inlineStr">
        <is>
          <t>SW-DAMPER-100-BODY</t>
        </is>
      </c>
      <c r="B187" t="inlineStr">
        <is>
          <t>SW-DAMPER-100</t>
        </is>
      </c>
      <c r="C187" t="inlineStr">
        <is>
          <t>Thân vỏ van MFD bích TDF (1.15mm)</t>
        </is>
      </c>
      <c r="D187" t="inlineStr">
        <is>
          <t>TÔN_CUỘN_MẠ_KẼM</t>
        </is>
      </c>
      <c r="E187" t="inlineStr">
        <is>
          <t>MAT-STEEL-PN-1.15</t>
        </is>
      </c>
      <c r="F187" t="inlineStr">
        <is>
          <t>kg</t>
        </is>
      </c>
      <c r="G187" s="394" t="n">
        <v>8.007753599999999</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Kích thước vỏ 900.0x400.0x250mm</t>
        </is>
      </c>
    </row>
    <row r="188">
      <c r="A188" t="inlineStr">
        <is>
          <t>SW-DAMPER-100-BLADE</t>
        </is>
      </c>
      <c r="B188" t="inlineStr">
        <is>
          <t>SW-DAMPER-100</t>
        </is>
      </c>
      <c r="C188" t="inlineStr">
        <is>
          <t>Lá cánh van (3 cánh overlap)</t>
        </is>
      </c>
      <c r="D188" t="inlineStr">
        <is>
          <t>TÔN_CUỘN_MẠ_KẼM</t>
        </is>
      </c>
      <c r="E188" t="inlineStr">
        <is>
          <t>MAT-STEEL-PN-1.15</t>
        </is>
      </c>
      <c r="F188" t="inlineStr">
        <is>
          <t>kg</t>
        </is>
      </c>
      <c r="G188" s="394" t="n">
        <v>4.0363758</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3 cánh cao 153mm</t>
        </is>
      </c>
    </row>
    <row r="189">
      <c r="A189" t="inlineStr">
        <is>
          <t>SW-DAMPER-100-AXLE</t>
        </is>
      </c>
      <c r="B189" t="inlineStr">
        <is>
          <t>SW-DAMPER-100</t>
        </is>
      </c>
      <c r="C189" t="inlineStr">
        <is>
          <t>Trục Sus 201 D10</t>
        </is>
      </c>
      <c r="D189" t="inlineStr">
        <is>
          <t>PHỤ_KIỆN_VAN</t>
        </is>
      </c>
      <c r="E189" t="inlineStr">
        <is>
          <t>MAT-DAMPER-TRUC-SUS-201-D10</t>
        </is>
      </c>
      <c r="F189" t="inlineStr">
        <is>
          <t>m</t>
        </is>
      </c>
      <c r="G189" s="394" t="n">
        <v>2.88</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3 trục dài 960mm</t>
        </is>
      </c>
    </row>
    <row r="190">
      <c r="A190" t="inlineStr">
        <is>
          <t>SW-DAMPER-100-BEARING</t>
        </is>
      </c>
      <c r="B190" t="inlineStr">
        <is>
          <t>SW-DAMPER-100</t>
        </is>
      </c>
      <c r="C190" t="inlineStr">
        <is>
          <t>Bạc đồng D10</t>
        </is>
      </c>
      <c r="D190" t="inlineStr">
        <is>
          <t>PHỤ_KIỆN_VAN</t>
        </is>
      </c>
      <c r="E190" t="inlineStr">
        <is>
          <t>MAT-DAMPER-BAC-DONG-D10</t>
        </is>
      </c>
      <c r="F190" t="inlineStr">
        <is>
          <t>Đôi</t>
        </is>
      </c>
      <c r="G190" s="394" t="n">
        <v>3</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3 đôi bạc đỡ 2 bên thân</t>
        </is>
      </c>
    </row>
    <row r="191">
      <c r="A191" t="inlineStr">
        <is>
          <t>SW-DAMPER-100-GEAR</t>
        </is>
      </c>
      <c r="B191" t="inlineStr">
        <is>
          <t>SW-DAMPER-100</t>
        </is>
      </c>
      <c r="C191" t="inlineStr">
        <is>
          <t>Bánh răng van nhôm</t>
        </is>
      </c>
      <c r="D191" t="inlineStr">
        <is>
          <t>PHỤ_KIỆN_VAN</t>
        </is>
      </c>
      <c r="E191" t="inlineStr">
        <is>
          <t>MAT-DAMPER-BANH-RANG-VAN-NHOM</t>
        </is>
      </c>
      <c r="F191" t="inlineStr">
        <is>
          <t>Bộ</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Cơ cấu liên động bánh răng van</t>
        </is>
      </c>
    </row>
    <row r="192">
      <c r="A192" t="inlineStr">
        <is>
          <t>SW-DAMPER-100-ACTUATOR</t>
        </is>
      </c>
      <c r="B192" t="inlineStr">
        <is>
          <t>SW-DAMPER-100</t>
        </is>
      </c>
      <c r="C192" t="inlineStr">
        <is>
          <t>Động cơ chặn lửa ON/OFF 9Nm, 24V (BELIMO BFN 24 hoặc tương đương)</t>
        </is>
      </c>
      <c r="D192" t="inlineStr">
        <is>
          <t>ĐỘNG_CƠ_VÀ_CẢM_BIẾN</t>
        </is>
      </c>
      <c r="E192" t="inlineStr">
        <is>
          <t>MAT-ACTUATOR-BELIMO-BFN24</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Động cơ lò xo phản hồi cho MFD (S=0.36m2)</t>
        </is>
      </c>
    </row>
    <row r="193">
      <c r="A193" t="inlineStr">
        <is>
          <t>SW-DAMPER-100-FIRE_INSULATION</t>
        </is>
      </c>
      <c r="B193" t="inlineStr">
        <is>
          <t>SW-DAMPER-100</t>
        </is>
      </c>
      <c r="C193" t="inlineStr">
        <is>
          <t>Bọc cách nhiệt chống cháy tấm MGO/Thạch cao (Tiêu chuẩn EI)</t>
        </is>
      </c>
      <c r="D193" t="inlineStr">
        <is>
          <t>VẬT_LIỆU_CÁCH_NHIỆT</t>
        </is>
      </c>
      <c r="E193" t="inlineStr">
        <is>
          <t>MAT-INSULATION-EI-DAMPER</t>
        </is>
      </c>
      <c r="F193" t="inlineStr">
        <is>
          <t>m2</t>
        </is>
      </c>
      <c r="G193" s="394" t="n">
        <v>0.9757440000000003</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Bọc chống cháy vỏ van (Lưu ý: Giá vật tư đang TẠM TÍNH 300k/m2)</t>
        </is>
      </c>
    </row>
    <row r="194">
      <c r="A194" t="inlineStr">
        <is>
          <t>SW-DAMPER-101-BODY</t>
        </is>
      </c>
      <c r="B194" t="inlineStr">
        <is>
          <t>SW-DAMPER-101</t>
        </is>
      </c>
      <c r="C194" t="inlineStr">
        <is>
          <t>Thân vỏ van MFD bích TDF (1.15mm)</t>
        </is>
      </c>
      <c r="D194" t="inlineStr">
        <is>
          <t>TÔN_CUỘN_MẠ_KẼM</t>
        </is>
      </c>
      <c r="E194" t="inlineStr">
        <is>
          <t>MAT-STEEL-PN-1.15</t>
        </is>
      </c>
      <c r="F194" t="inlineStr">
        <is>
          <t>kg</t>
        </is>
      </c>
      <c r="G194" s="394" t="n">
        <v>8.007753599999999</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Kích thước vỏ 900.0x400.0x250mm</t>
        </is>
      </c>
    </row>
    <row r="195">
      <c r="A195" t="inlineStr">
        <is>
          <t>SW-DAMPER-101-BLADE</t>
        </is>
      </c>
      <c r="B195" t="inlineStr">
        <is>
          <t>SW-DAMPER-101</t>
        </is>
      </c>
      <c r="C195" t="inlineStr">
        <is>
          <t>Lá cánh van (3 cánh overlap)</t>
        </is>
      </c>
      <c r="D195" t="inlineStr">
        <is>
          <t>TÔN_CUỘN_MẠ_KẼM</t>
        </is>
      </c>
      <c r="E195" t="inlineStr">
        <is>
          <t>MAT-STEEL-PN-1.15</t>
        </is>
      </c>
      <c r="F195" t="inlineStr">
        <is>
          <t>kg</t>
        </is>
      </c>
      <c r="G195" s="394" t="n">
        <v>4.0363758</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3 cánh cao 153mm</t>
        </is>
      </c>
    </row>
    <row r="196">
      <c r="A196" t="inlineStr">
        <is>
          <t>SW-DAMPER-101-AXLE</t>
        </is>
      </c>
      <c r="B196" t="inlineStr">
        <is>
          <t>SW-DAMPER-101</t>
        </is>
      </c>
      <c r="C196" t="inlineStr">
        <is>
          <t>Trục Sus 201 D10</t>
        </is>
      </c>
      <c r="D196" t="inlineStr">
        <is>
          <t>PHỤ_KIỆN_VAN</t>
        </is>
      </c>
      <c r="E196" t="inlineStr">
        <is>
          <t>MAT-DAMPER-TRUC-SUS-201-D10</t>
        </is>
      </c>
      <c r="F196" t="inlineStr">
        <is>
          <t>m</t>
        </is>
      </c>
      <c r="G196" s="394" t="n">
        <v>2.88</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3 trục dài 960mm</t>
        </is>
      </c>
    </row>
    <row r="197">
      <c r="A197" t="inlineStr">
        <is>
          <t>SW-DAMPER-101-BEARING</t>
        </is>
      </c>
      <c r="B197" t="inlineStr">
        <is>
          <t>SW-DAMPER-101</t>
        </is>
      </c>
      <c r="C197" t="inlineStr">
        <is>
          <t>Bạc đồng D10</t>
        </is>
      </c>
      <c r="D197" t="inlineStr">
        <is>
          <t>PHỤ_KIỆN_VAN</t>
        </is>
      </c>
      <c r="E197" t="inlineStr">
        <is>
          <t>MAT-DAMPER-BAC-DONG-D10</t>
        </is>
      </c>
      <c r="F197" t="inlineStr">
        <is>
          <t>Đôi</t>
        </is>
      </c>
      <c r="G197" s="394" t="n">
        <v>3</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3 đôi bạc đỡ 2 bên thân</t>
        </is>
      </c>
    </row>
    <row r="198">
      <c r="A198" t="inlineStr">
        <is>
          <t>SW-DAMPER-101-GEAR</t>
        </is>
      </c>
      <c r="B198" t="inlineStr">
        <is>
          <t>SW-DAMPER-101</t>
        </is>
      </c>
      <c r="C198" t="inlineStr">
        <is>
          <t>Bánh răng van nhôm</t>
        </is>
      </c>
      <c r="D198" t="inlineStr">
        <is>
          <t>PHỤ_KIỆN_VAN</t>
        </is>
      </c>
      <c r="E198" t="inlineStr">
        <is>
          <t>MAT-DAMPER-BANH-RANG-VAN-NHOM</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Cơ cấu liên động bánh răng van</t>
        </is>
      </c>
    </row>
    <row r="199">
      <c r="A199" t="inlineStr">
        <is>
          <t>SW-DAMPER-101-ACTUATOR</t>
        </is>
      </c>
      <c r="B199" t="inlineStr">
        <is>
          <t>SW-DAMPER-101</t>
        </is>
      </c>
      <c r="C199" t="inlineStr">
        <is>
          <t>Động cơ chặn lửa ON/OFF 9Nm, 24V (BELIMO BFN 24 hoặc tương đương)</t>
        </is>
      </c>
      <c r="D199" t="inlineStr">
        <is>
          <t>ĐỘNG_CƠ_VÀ_CẢM_BIẾN</t>
        </is>
      </c>
      <c r="E199" t="inlineStr">
        <is>
          <t>MAT-ACTUATOR-BELIMO-BFN24</t>
        </is>
      </c>
      <c r="F199" t="inlineStr">
        <is>
          <t>Cái</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Động cơ lò xo phản hồi cho MFD (S=0.36m2)</t>
        </is>
      </c>
    </row>
    <row r="200">
      <c r="A200" t="inlineStr">
        <is>
          <t>SW-DAMPER-101-FIRE_INSULATION</t>
        </is>
      </c>
      <c r="B200" t="inlineStr">
        <is>
          <t>SW-DAMPER-101</t>
        </is>
      </c>
      <c r="C200" t="inlineStr">
        <is>
          <t>Bọc cách nhiệt chống cháy tấm MGO/Thạch cao (Tiêu chuẩn EI)</t>
        </is>
      </c>
      <c r="D200" t="inlineStr">
        <is>
          <t>VẬT_LIỆU_CÁCH_NHIỆT</t>
        </is>
      </c>
      <c r="E200" t="inlineStr">
        <is>
          <t>MAT-INSULATION-EI-DAMPER</t>
        </is>
      </c>
      <c r="F200" t="inlineStr">
        <is>
          <t>m2</t>
        </is>
      </c>
      <c r="G200" s="394" t="n">
        <v>0.9757440000000003</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Bọc chống cháy vỏ van (Lưu ý: Giá vật tư đang TẠM TÍNH 300k/m2)</t>
        </is>
      </c>
    </row>
    <row r="201">
      <c r="A201" t="inlineStr">
        <is>
          <t>SW-DAMPER-102-BODY</t>
        </is>
      </c>
      <c r="B201" t="inlineStr">
        <is>
          <t>SW-DAMPER-102</t>
        </is>
      </c>
      <c r="C201" t="inlineStr">
        <is>
          <t>Thân vỏ van MFD bích TDF (1.15mm)</t>
        </is>
      </c>
      <c r="D201" t="inlineStr">
        <is>
          <t>TÔN_CUỘN_MẠ_KẼM</t>
        </is>
      </c>
      <c r="E201" t="inlineStr">
        <is>
          <t>MAT-STEEL-PN-1.15</t>
        </is>
      </c>
      <c r="F201" t="inlineStr">
        <is>
          <t>kg</t>
        </is>
      </c>
      <c r="G201" s="394" t="n">
        <v>3.761217599999999</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Kích thước vỏ 300.0x300.0x250mm</t>
        </is>
      </c>
    </row>
    <row r="202">
      <c r="A202" t="inlineStr">
        <is>
          <t>SW-DAMPER-102-BLADE</t>
        </is>
      </c>
      <c r="B202" t="inlineStr">
        <is>
          <t>SW-DAMPER-102</t>
        </is>
      </c>
      <c r="C202" t="inlineStr">
        <is>
          <t>Lá cánh van (2 cánh overlap)</t>
        </is>
      </c>
      <c r="D202" t="inlineStr">
        <is>
          <t>TÔN_CUỘN_MẠ_KẼM</t>
        </is>
      </c>
      <c r="E202" t="inlineStr">
        <is>
          <t>MAT-STEEL-PN-1.15</t>
        </is>
      </c>
      <c r="F202" t="inlineStr">
        <is>
          <t>kg</t>
        </is>
      </c>
      <c r="G202" s="394" t="n">
        <v>0.9944693999999999</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2 cánh cao 170mm</t>
        </is>
      </c>
    </row>
    <row r="203">
      <c r="A203" t="inlineStr">
        <is>
          <t>SW-DAMPER-102-AXLE</t>
        </is>
      </c>
      <c r="B203" t="inlineStr">
        <is>
          <t>SW-DAMPER-102</t>
        </is>
      </c>
      <c r="C203" t="inlineStr">
        <is>
          <t>Trục Sus 201 D10</t>
        </is>
      </c>
      <c r="D203" t="inlineStr">
        <is>
          <t>PHỤ_KIỆN_VAN</t>
        </is>
      </c>
      <c r="E203" t="inlineStr">
        <is>
          <t>MAT-DAMPER-TRUC-SUS-201-D10</t>
        </is>
      </c>
      <c r="F203" t="inlineStr">
        <is>
          <t>m</t>
        </is>
      </c>
      <c r="G203" s="394" t="n">
        <v>0.72</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2 trục dài 360mm</t>
        </is>
      </c>
    </row>
    <row r="204">
      <c r="A204" t="inlineStr">
        <is>
          <t>SW-DAMPER-102-BEARING</t>
        </is>
      </c>
      <c r="B204" t="inlineStr">
        <is>
          <t>SW-DAMPER-102</t>
        </is>
      </c>
      <c r="C204" t="inlineStr">
        <is>
          <t>Bạc đồng D10</t>
        </is>
      </c>
      <c r="D204" t="inlineStr">
        <is>
          <t>PHỤ_KIỆN_VAN</t>
        </is>
      </c>
      <c r="E204" t="inlineStr">
        <is>
          <t>MAT-DAMPER-BAC-DONG-D10</t>
        </is>
      </c>
      <c r="F204" t="inlineStr">
        <is>
          <t>Đôi</t>
        </is>
      </c>
      <c r="G204" s="394" t="n">
        <v>2</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2 đôi bạc đỡ 2 bên thân</t>
        </is>
      </c>
    </row>
    <row r="205">
      <c r="A205" t="inlineStr">
        <is>
          <t>SW-DAMPER-102-GEAR</t>
        </is>
      </c>
      <c r="B205" t="inlineStr">
        <is>
          <t>SW-DAMPER-102</t>
        </is>
      </c>
      <c r="C205" t="inlineStr">
        <is>
          <t>Bánh răng van nhôm</t>
        </is>
      </c>
      <c r="D205" t="inlineStr">
        <is>
          <t>PHỤ_KIỆN_VAN</t>
        </is>
      </c>
      <c r="E205" t="inlineStr">
        <is>
          <t>MAT-DAMPER-BANH-RANG-VAN-NHOM</t>
        </is>
      </c>
      <c r="F205" t="inlineStr">
        <is>
          <t>Bộ</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Cơ cấu liên động bánh răng van</t>
        </is>
      </c>
    </row>
    <row r="206">
      <c r="A206" t="inlineStr">
        <is>
          <t>SW-DAMPER-102-ACTUATOR</t>
        </is>
      </c>
      <c r="B206" t="inlineStr">
        <is>
          <t>SW-DAMPER-102</t>
        </is>
      </c>
      <c r="C206" t="inlineStr">
        <is>
          <t>Động cơ chặn lửa ON/OFF 9Nm, 24V (BELIMO BFN 24 hoặc tương đương)</t>
        </is>
      </c>
      <c r="D206" t="inlineStr">
        <is>
          <t>ĐỘNG_CƠ_VÀ_CẢM_BIẾN</t>
        </is>
      </c>
      <c r="E206" t="inlineStr">
        <is>
          <t>MAT-ACTUATOR-BELIMO-BFN24</t>
        </is>
      </c>
      <c r="F206" t="inlineStr">
        <is>
          <t>Cái</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Động cơ lò xo phản hồi cho MFD (S=0.09m2)</t>
        </is>
      </c>
    </row>
    <row r="207">
      <c r="A207" t="inlineStr">
        <is>
          <t>SW-DAMPER-102-FIRE_INSULATION</t>
        </is>
      </c>
      <c r="B207" t="inlineStr">
        <is>
          <t>SW-DAMPER-102</t>
        </is>
      </c>
      <c r="C207" t="inlineStr">
        <is>
          <t>Bọc cách nhiệt chống cháy tấm MGO/Thạch cao (Tiêu chuẩn EI)</t>
        </is>
      </c>
      <c r="D207" t="inlineStr">
        <is>
          <t>VẬT_LIỆU_CÁCH_NHIỆT</t>
        </is>
      </c>
      <c r="E207" t="inlineStr">
        <is>
          <t>MAT-INSULATION-EI-DAMPER</t>
        </is>
      </c>
      <c r="F207" t="inlineStr">
        <is>
          <t>m2</t>
        </is>
      </c>
      <c r="G207" s="394" t="n">
        <v>0.458304</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Bọc chống cháy vỏ van (Lưu ý: Giá vật tư đang TẠM TÍNH 300k/m2)</t>
        </is>
      </c>
    </row>
    <row r="208">
      <c r="A208" t="inlineStr">
        <is>
          <t>SW-DAMPER-103-BODY</t>
        </is>
      </c>
      <c r="B208" t="inlineStr">
        <is>
          <t>SW-DAMPER-103</t>
        </is>
      </c>
      <c r="C208" t="inlineStr">
        <is>
          <t>Thân vỏ van MFD bích TDF (1.15mm)</t>
        </is>
      </c>
      <c r="D208" t="inlineStr">
        <is>
          <t>TÔN_CUỘN_MẠ_KẼM</t>
        </is>
      </c>
      <c r="E208" t="inlineStr">
        <is>
          <t>MAT-STEEL-PN-1.15</t>
        </is>
      </c>
      <c r="F208" t="inlineStr">
        <is>
          <t>kg</t>
        </is>
      </c>
      <c r="G208" s="394" t="n">
        <v>2.851245599999999</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Kích thước vỏ 250.0x200.0x250mm</t>
        </is>
      </c>
    </row>
    <row r="209">
      <c r="A209" t="inlineStr">
        <is>
          <t>SW-DAMPER-103-BLADE</t>
        </is>
      </c>
      <c r="B209" t="inlineStr">
        <is>
          <t>SW-DAMPER-103</t>
        </is>
      </c>
      <c r="C209" t="inlineStr">
        <is>
          <t>Lá cánh van (2 cánh overlap)</t>
        </is>
      </c>
      <c r="D209" t="inlineStr">
        <is>
          <t>TÔN_CUỘN_MẠ_KẼM</t>
        </is>
      </c>
      <c r="E209" t="inlineStr">
        <is>
          <t>MAT-STEEL-PN-1.15</t>
        </is>
      </c>
      <c r="F209" t="inlineStr">
        <is>
          <t>kg</t>
        </is>
      </c>
      <c r="G209" s="394" t="n">
        <v>0.5849819999999999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2 cánh cao 120mm</t>
        </is>
      </c>
    </row>
    <row r="210">
      <c r="A210" t="inlineStr">
        <is>
          <t>SW-DAMPER-103-AXLE</t>
        </is>
      </c>
      <c r="B210" t="inlineStr">
        <is>
          <t>SW-DAMPER-103</t>
        </is>
      </c>
      <c r="C210" t="inlineStr">
        <is>
          <t>Trục Sus 201 D10</t>
        </is>
      </c>
      <c r="D210" t="inlineStr">
        <is>
          <t>PHỤ_KIỆN_VAN</t>
        </is>
      </c>
      <c r="E210" t="inlineStr">
        <is>
          <t>MAT-DAMPER-TRUC-SUS-201-D10</t>
        </is>
      </c>
      <c r="F210" t="inlineStr">
        <is>
          <t>m</t>
        </is>
      </c>
      <c r="G210" s="394" t="n">
        <v>0.62</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2 trục dài 310mm</t>
        </is>
      </c>
    </row>
    <row r="211">
      <c r="A211" t="inlineStr">
        <is>
          <t>SW-DAMPER-103-BEARING</t>
        </is>
      </c>
      <c r="B211" t="inlineStr">
        <is>
          <t>SW-DAMPER-103</t>
        </is>
      </c>
      <c r="C211" t="inlineStr">
        <is>
          <t>Bạc đồng D10</t>
        </is>
      </c>
      <c r="D211" t="inlineStr">
        <is>
          <t>PHỤ_KIỆN_VAN</t>
        </is>
      </c>
      <c r="E211" t="inlineStr">
        <is>
          <t>MAT-DAMPER-BAC-DONG-D10</t>
        </is>
      </c>
      <c r="F211" t="inlineStr">
        <is>
          <t>Đôi</t>
        </is>
      </c>
      <c r="G211" s="394" t="n">
        <v>2</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2 đôi bạc đỡ 2 bên thân</t>
        </is>
      </c>
    </row>
    <row r="212">
      <c r="A212" t="inlineStr">
        <is>
          <t>SW-DAMPER-103-GEAR</t>
        </is>
      </c>
      <c r="B212" t="inlineStr">
        <is>
          <t>SW-DAMPER-103</t>
        </is>
      </c>
      <c r="C212" t="inlineStr">
        <is>
          <t>Bánh răng van nhôm</t>
        </is>
      </c>
      <c r="D212" t="inlineStr">
        <is>
          <t>PHỤ_KIỆN_VAN</t>
        </is>
      </c>
      <c r="E212" t="inlineStr">
        <is>
          <t>MAT-DAMPER-BANH-RANG-VAN-NHOM</t>
        </is>
      </c>
      <c r="F212" t="inlineStr">
        <is>
          <t>Bộ</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Cơ cấu liên động bánh răng van</t>
        </is>
      </c>
    </row>
    <row r="213">
      <c r="A213" t="inlineStr">
        <is>
          <t>SW-DAMPER-103-ACTUATOR</t>
        </is>
      </c>
      <c r="B213" t="inlineStr">
        <is>
          <t>SW-DAMPER-103</t>
        </is>
      </c>
      <c r="C213" t="inlineStr">
        <is>
          <t>Động cơ chặn lửa ON/OFF 9Nm, 24V (BELIMO BFN 24 hoặc tương đương)</t>
        </is>
      </c>
      <c r="D213" t="inlineStr">
        <is>
          <t>ĐỘNG_CƠ_VÀ_CẢM_BIẾN</t>
        </is>
      </c>
      <c r="E213" t="inlineStr">
        <is>
          <t>MAT-ACTUATOR-BELIMO-BFN24</t>
        </is>
      </c>
      <c r="F213" t="inlineStr">
        <is>
          <t>Cái</t>
        </is>
      </c>
      <c r="G213" s="394" t="n">
        <v>1</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Động cơ lò xo phản hồi cho MFD (S=0.05m2)</t>
        </is>
      </c>
    </row>
    <row r="214">
      <c r="A214" t="inlineStr">
        <is>
          <t>SW-DAMPER-103-FIRE_INSULATION</t>
        </is>
      </c>
      <c r="B214" t="inlineStr">
        <is>
          <t>SW-DAMPER-103</t>
        </is>
      </c>
      <c r="C214" t="inlineStr">
        <is>
          <t>Bọc cách nhiệt chống cháy tấm MGO/Thạch cao (Tiêu chuẩn EI)</t>
        </is>
      </c>
      <c r="D214" t="inlineStr">
        <is>
          <t>VẬT_LIỆU_CÁCH_NHIỆT</t>
        </is>
      </c>
      <c r="E214" t="inlineStr">
        <is>
          <t>MAT-INSULATION-EI-DAMPER</t>
        </is>
      </c>
      <c r="F214" t="inlineStr">
        <is>
          <t>m2</t>
        </is>
      </c>
      <c r="G214" s="394" t="n">
        <v>0.3474240000000001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Bọc chống cháy vỏ van (Lưu ý: Giá vật tư đang TẠM TÍNH 300k/m2)</t>
        </is>
      </c>
    </row>
    <row r="215">
      <c r="A215" t="inlineStr">
        <is>
          <t>SW-DAMPER-104-BODY</t>
        </is>
      </c>
      <c r="B215" t="inlineStr">
        <is>
          <t>SW-DAMPER-104</t>
        </is>
      </c>
      <c r="C215" t="inlineStr">
        <is>
          <t>Thân vỏ van MFD bích TDF (1.15mm)</t>
        </is>
      </c>
      <c r="D215" t="inlineStr">
        <is>
          <t>TÔN_CUỘN_MẠ_KẼM</t>
        </is>
      </c>
      <c r="E215" t="inlineStr">
        <is>
          <t>MAT-STEEL-PN-1.15</t>
        </is>
      </c>
      <c r="F215" t="inlineStr">
        <is>
          <t>kg</t>
        </is>
      </c>
      <c r="G215" s="394" t="n">
        <v>3.457893599999999</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Kích thước vỏ 350.0x200.0x250mm</t>
        </is>
      </c>
    </row>
    <row r="216">
      <c r="A216" t="inlineStr">
        <is>
          <t>SW-DAMPER-104-BLADE</t>
        </is>
      </c>
      <c r="B216" t="inlineStr">
        <is>
          <t>SW-DAMPER-104</t>
        </is>
      </c>
      <c r="C216" t="inlineStr">
        <is>
          <t>Lá cánh van (2 cánh overlap)</t>
        </is>
      </c>
      <c r="D216" t="inlineStr">
        <is>
          <t>TÔN_CUỘN_MẠ_KẼM</t>
        </is>
      </c>
      <c r="E216" t="inlineStr">
        <is>
          <t>MAT-STEEL-PN-1.15</t>
        </is>
      </c>
      <c r="F216" t="inlineStr">
        <is>
          <t>kg</t>
        </is>
      </c>
      <c r="G216" s="394" t="n">
        <v>0.8189747999999998</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2 cánh cao 120mm</t>
        </is>
      </c>
    </row>
    <row r="217">
      <c r="A217" t="inlineStr">
        <is>
          <t>SW-DAMPER-104-AXLE</t>
        </is>
      </c>
      <c r="B217" t="inlineStr">
        <is>
          <t>SW-DAMPER-104</t>
        </is>
      </c>
      <c r="C217" t="inlineStr">
        <is>
          <t>Trục Sus 201 D10</t>
        </is>
      </c>
      <c r="D217" t="inlineStr">
        <is>
          <t>PHỤ_KIỆN_VAN</t>
        </is>
      </c>
      <c r="E217" t="inlineStr">
        <is>
          <t>MAT-DAMPER-TRUC-SUS-201-D10</t>
        </is>
      </c>
      <c r="F217" t="inlineStr">
        <is>
          <t>m</t>
        </is>
      </c>
      <c r="G217" s="394" t="n">
        <v>0.82</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2 trục dài 410mm</t>
        </is>
      </c>
    </row>
    <row r="218">
      <c r="A218" t="inlineStr">
        <is>
          <t>SW-DAMPER-104-BEARING</t>
        </is>
      </c>
      <c r="B218" t="inlineStr">
        <is>
          <t>SW-DAMPER-104</t>
        </is>
      </c>
      <c r="C218" t="inlineStr">
        <is>
          <t>Bạc đồng D10</t>
        </is>
      </c>
      <c r="D218" t="inlineStr">
        <is>
          <t>PHỤ_KIỆN_VAN</t>
        </is>
      </c>
      <c r="E218" t="inlineStr">
        <is>
          <t>MAT-DAMPER-BAC-DONG-D10</t>
        </is>
      </c>
      <c r="F218" t="inlineStr">
        <is>
          <t>Đôi</t>
        </is>
      </c>
      <c r="G218" s="394" t="n">
        <v>2</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2 đôi bạc đỡ 2 bên thân</t>
        </is>
      </c>
    </row>
    <row r="219">
      <c r="A219" t="inlineStr">
        <is>
          <t>SW-DAMPER-104-GEAR</t>
        </is>
      </c>
      <c r="B219" t="inlineStr">
        <is>
          <t>SW-DAMPER-104</t>
        </is>
      </c>
      <c r="C219" t="inlineStr">
        <is>
          <t>Bánh răng van nhôm</t>
        </is>
      </c>
      <c r="D219" t="inlineStr">
        <is>
          <t>PHỤ_KIỆN_VAN</t>
        </is>
      </c>
      <c r="E219" t="inlineStr">
        <is>
          <t>MAT-DAMPER-BANH-RANG-VAN-NHOM</t>
        </is>
      </c>
      <c r="F219" t="inlineStr">
        <is>
          <t>Bộ</t>
        </is>
      </c>
      <c r="G219" s="394" t="n">
        <v>1</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Cơ cấu liên động bánh răng van</t>
        </is>
      </c>
    </row>
    <row r="220">
      <c r="A220" t="inlineStr">
        <is>
          <t>SW-DAMPER-104-ACTUATOR</t>
        </is>
      </c>
      <c r="B220" t="inlineStr">
        <is>
          <t>SW-DAMPER-104</t>
        </is>
      </c>
      <c r="C220" t="inlineStr">
        <is>
          <t>Động cơ chặn lửa ON/OFF 9Nm, 24V (BELIMO BFN 24 hoặc tương đương)</t>
        </is>
      </c>
      <c r="D220" t="inlineStr">
        <is>
          <t>ĐỘNG_CƠ_VÀ_CẢM_BIẾN</t>
        </is>
      </c>
      <c r="E220" t="inlineStr">
        <is>
          <t>MAT-ACTUATOR-BELIMO-BFN24</t>
        </is>
      </c>
      <c r="F220" t="inlineStr">
        <is>
          <t>Cái</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Động cơ lò xo phản hồi cho MFD (S=0.07m2)</t>
        </is>
      </c>
    </row>
    <row r="221">
      <c r="A221" t="inlineStr">
        <is>
          <t>SW-DAMPER-104-FIRE_INSULATION</t>
        </is>
      </c>
      <c r="B221" t="inlineStr">
        <is>
          <t>SW-DAMPER-104</t>
        </is>
      </c>
      <c r="C221" t="inlineStr">
        <is>
          <t>Bọc cách nhiệt chống cháy tấm MGO/Thạch cao (Tiêu chuẩn EI)</t>
        </is>
      </c>
      <c r="D221" t="inlineStr">
        <is>
          <t>VẬT_LIỆU_CÁCH_NHIỆT</t>
        </is>
      </c>
      <c r="E221" t="inlineStr">
        <is>
          <t>MAT-INSULATION-EI-DAMPER</t>
        </is>
      </c>
      <c r="F221" t="inlineStr">
        <is>
          <t>m2</t>
        </is>
      </c>
      <c r="G221" s="394" t="n">
        <v>0.4213440000000001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Bọc chống cháy vỏ van (Lưu ý: Giá vật tư đang TẠM TÍNH 300k/m2)</t>
        </is>
      </c>
    </row>
    <row r="222">
      <c r="A222" t="inlineStr">
        <is>
          <t>SW-DAMPER-105-BODY</t>
        </is>
      </c>
      <c r="B222" t="inlineStr">
        <is>
          <t>SW-DAMPER-105</t>
        </is>
      </c>
      <c r="C222" t="inlineStr">
        <is>
          <t>Thân vỏ van MFD bích TDF (1.15mm)</t>
        </is>
      </c>
      <c r="D222" t="inlineStr">
        <is>
          <t>TÔN_CUỘN_MẠ_KẼM</t>
        </is>
      </c>
      <c r="E222" t="inlineStr">
        <is>
          <t>MAT-STEEL-PN-1.15</t>
        </is>
      </c>
      <c r="F222" t="inlineStr">
        <is>
          <t>kg</t>
        </is>
      </c>
      <c r="G222" s="394" t="n">
        <v>3.1545696</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Kích thước vỏ 350.0x150.0x250mm</t>
        </is>
      </c>
    </row>
    <row r="223">
      <c r="A223" t="inlineStr">
        <is>
          <t>SW-DAMPER-105-BLADE</t>
        </is>
      </c>
      <c r="B223" t="inlineStr">
        <is>
          <t>SW-DAMPER-105</t>
        </is>
      </c>
      <c r="C223" t="inlineStr">
        <is>
          <t>Lá cánh van (1 cánh overlap)</t>
        </is>
      </c>
      <c r="D223" t="inlineStr">
        <is>
          <t>TÔN_CUỘN_MẠ_KẼM</t>
        </is>
      </c>
      <c r="E223" t="inlineStr">
        <is>
          <t>MAT-STEEL-PN-1.15</t>
        </is>
      </c>
      <c r="F223" t="inlineStr">
        <is>
          <t>kg</t>
        </is>
      </c>
      <c r="G223" s="394" t="n">
        <v>0.5801071499999999</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1 cánh cao 170mm</t>
        </is>
      </c>
    </row>
    <row r="224">
      <c r="A224" t="inlineStr">
        <is>
          <t>SW-DAMPER-105-AXLE</t>
        </is>
      </c>
      <c r="B224" t="inlineStr">
        <is>
          <t>SW-DAMPER-105</t>
        </is>
      </c>
      <c r="C224" t="inlineStr">
        <is>
          <t>Trục Sus 201 D10</t>
        </is>
      </c>
      <c r="D224" t="inlineStr">
        <is>
          <t>PHỤ_KIỆN_VAN</t>
        </is>
      </c>
      <c r="E224" t="inlineStr">
        <is>
          <t>MAT-DAMPER-TRUC-SUS-201-D10</t>
        </is>
      </c>
      <c r="F224" t="inlineStr">
        <is>
          <t>m</t>
        </is>
      </c>
      <c r="G224" s="394" t="n">
        <v>0.41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1 trục dài 410mm</t>
        </is>
      </c>
    </row>
    <row r="225">
      <c r="A225" t="inlineStr">
        <is>
          <t>SW-DAMPER-105-BEARING</t>
        </is>
      </c>
      <c r="B225" t="inlineStr">
        <is>
          <t>SW-DAMPER-105</t>
        </is>
      </c>
      <c r="C225" t="inlineStr">
        <is>
          <t>Bạc đồng D10</t>
        </is>
      </c>
      <c r="D225" t="inlineStr">
        <is>
          <t>PHỤ_KIỆN_VAN</t>
        </is>
      </c>
      <c r="E225" t="inlineStr">
        <is>
          <t>MAT-DAMPER-BAC-DONG-D10</t>
        </is>
      </c>
      <c r="F225" t="inlineStr">
        <is>
          <t>Đôi</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1 đôi bạc đỡ 2 bên thân</t>
        </is>
      </c>
    </row>
    <row r="226">
      <c r="A226" t="inlineStr">
        <is>
          <t>SW-DAMPER-105-ACTUATOR</t>
        </is>
      </c>
      <c r="B226" t="inlineStr">
        <is>
          <t>SW-DAMPER-105</t>
        </is>
      </c>
      <c r="C226" t="inlineStr">
        <is>
          <t>Động cơ chặn lửa ON/OFF 9Nm, 24V (BELIMO BFN 24 hoặc tương đương)</t>
        </is>
      </c>
      <c r="D226" t="inlineStr">
        <is>
          <t>ĐỘNG_CƠ_VÀ_CẢM_BIẾN</t>
        </is>
      </c>
      <c r="E226" t="inlineStr">
        <is>
          <t>MAT-ACTUATOR-BELIMO-BFN24</t>
        </is>
      </c>
      <c r="F226" t="inlineStr">
        <is>
          <t>Cái</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Động cơ lò xo phản hồi cho MFD (S=0.05m2)</t>
        </is>
      </c>
    </row>
    <row r="227">
      <c r="A227" t="inlineStr">
        <is>
          <t>SW-DAMPER-105-FIRE_INSULATION</t>
        </is>
      </c>
      <c r="B227" t="inlineStr">
        <is>
          <t>SW-DAMPER-105</t>
        </is>
      </c>
      <c r="C227" t="inlineStr">
        <is>
          <t>Bọc cách nhiệt chống cháy tấm MGO/Thạch cao (Tiêu chuẩn EI)</t>
        </is>
      </c>
      <c r="D227" t="inlineStr">
        <is>
          <t>VẬT_LIỆU_CÁCH_NHIỆT</t>
        </is>
      </c>
      <c r="E227" t="inlineStr">
        <is>
          <t>MAT-INSULATION-EI-DAMPER</t>
        </is>
      </c>
      <c r="F227" t="inlineStr">
        <is>
          <t>m2</t>
        </is>
      </c>
      <c r="G227" s="394" t="n">
        <v>0.3843840000000001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Bọc chống cháy vỏ van (Lưu ý: Giá vật tư đang TẠM TÍNH 300k/m2)</t>
        </is>
      </c>
    </row>
    <row r="228">
      <c r="A228" t="inlineStr">
        <is>
          <t>SW-DAMPER-106-BODY</t>
        </is>
      </c>
      <c r="B228" t="inlineStr">
        <is>
          <t>SW-DAMPER-106</t>
        </is>
      </c>
      <c r="C228" t="inlineStr">
        <is>
          <t>Thân vỏ van MFD bích TDF (1.15mm)</t>
        </is>
      </c>
      <c r="D228" t="inlineStr">
        <is>
          <t>TÔN_CUỘN_MẠ_KẼM</t>
        </is>
      </c>
      <c r="E228" t="inlineStr">
        <is>
          <t>MAT-STEEL-PN-1.15</t>
        </is>
      </c>
      <c r="F228" t="inlineStr">
        <is>
          <t>kg</t>
        </is>
      </c>
      <c r="G228" s="394" t="n">
        <v>8.007753599999999</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Kích thước vỏ 1000.0x300.0x250mm</t>
        </is>
      </c>
    </row>
    <row r="229">
      <c r="A229" t="inlineStr">
        <is>
          <t>SW-DAMPER-106-BLADE</t>
        </is>
      </c>
      <c r="B229" t="inlineStr">
        <is>
          <t>SW-DAMPER-106</t>
        </is>
      </c>
      <c r="C229" t="inlineStr">
        <is>
          <t>Lá cánh van (2 cánh overlap)</t>
        </is>
      </c>
      <c r="D229" t="inlineStr">
        <is>
          <t>TÔN_CUỘN_MẠ_KẼM</t>
        </is>
      </c>
      <c r="E229" t="inlineStr">
        <is>
          <t>MAT-STEEL-PN-1.15</t>
        </is>
      </c>
      <c r="F229" t="inlineStr">
        <is>
          <t>kg</t>
        </is>
      </c>
      <c r="G229" s="394" t="n">
        <v>3.314897999999999</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2 cánh cao 170mm</t>
        </is>
      </c>
    </row>
    <row r="230">
      <c r="A230" t="inlineStr">
        <is>
          <t>SW-DAMPER-106-AXLE</t>
        </is>
      </c>
      <c r="B230" t="inlineStr">
        <is>
          <t>SW-DAMPER-106</t>
        </is>
      </c>
      <c r="C230" t="inlineStr">
        <is>
          <t>Trục Sus 201 D10</t>
        </is>
      </c>
      <c r="D230" t="inlineStr">
        <is>
          <t>PHỤ_KIỆN_VAN</t>
        </is>
      </c>
      <c r="E230" t="inlineStr">
        <is>
          <t>MAT-DAMPER-TRUC-SUS-201-D10</t>
        </is>
      </c>
      <c r="F230" t="inlineStr">
        <is>
          <t>m</t>
        </is>
      </c>
      <c r="G230" s="394" t="n">
        <v>2.12</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2 trục dài 1060mm</t>
        </is>
      </c>
    </row>
    <row r="231">
      <c r="A231" t="inlineStr">
        <is>
          <t>SW-DAMPER-106-BEARING</t>
        </is>
      </c>
      <c r="B231" t="inlineStr">
        <is>
          <t>SW-DAMPER-106</t>
        </is>
      </c>
      <c r="C231" t="inlineStr">
        <is>
          <t>Bạc đồng D10</t>
        </is>
      </c>
      <c r="D231" t="inlineStr">
        <is>
          <t>PHỤ_KIỆN_VAN</t>
        </is>
      </c>
      <c r="E231" t="inlineStr">
        <is>
          <t>MAT-DAMPER-BAC-DONG-D10</t>
        </is>
      </c>
      <c r="F231" t="inlineStr">
        <is>
          <t>Đôi</t>
        </is>
      </c>
      <c r="G231" s="394" t="n">
        <v>2</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2 đôi bạc đỡ 2 bên thân</t>
        </is>
      </c>
    </row>
    <row r="232">
      <c r="A232" t="inlineStr">
        <is>
          <t>SW-DAMPER-106-GEAR</t>
        </is>
      </c>
      <c r="B232" t="inlineStr">
        <is>
          <t>SW-DAMPER-106</t>
        </is>
      </c>
      <c r="C232" t="inlineStr">
        <is>
          <t>Bánh răng van nhôm</t>
        </is>
      </c>
      <c r="D232" t="inlineStr">
        <is>
          <t>PHỤ_KIỆN_VAN</t>
        </is>
      </c>
      <c r="E232" t="inlineStr">
        <is>
          <t>MAT-DAMPER-BANH-RANG-VAN-NHOM</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Cơ cấu liên động bánh răng van</t>
        </is>
      </c>
    </row>
    <row r="233">
      <c r="A233" t="inlineStr">
        <is>
          <t>SW-DAMPER-106-ACTUATOR</t>
        </is>
      </c>
      <c r="B233" t="inlineStr">
        <is>
          <t>SW-DAMPER-106</t>
        </is>
      </c>
      <c r="C233" t="inlineStr">
        <is>
          <t>Động cơ chặn lửa ON/OFF 9Nm, 24V (BELIMO BFN 24 hoặc tương đương)</t>
        </is>
      </c>
      <c r="D233" t="inlineStr">
        <is>
          <t>ĐỘNG_CƠ_VÀ_CẢM_BIẾN</t>
        </is>
      </c>
      <c r="E233" t="inlineStr">
        <is>
          <t>MAT-ACTUATOR-BELIMO-BFN24</t>
        </is>
      </c>
      <c r="F233" t="inlineStr">
        <is>
          <t>Cái</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Động cơ lò xo phản hồi cho MFD (S=0.30m2)</t>
        </is>
      </c>
    </row>
    <row r="234">
      <c r="A234" t="inlineStr">
        <is>
          <t>SW-DAMPER-106-FIRE_INSULATION</t>
        </is>
      </c>
      <c r="B234" t="inlineStr">
        <is>
          <t>SW-DAMPER-106</t>
        </is>
      </c>
      <c r="C234" t="inlineStr">
        <is>
          <t>Bọc cách nhiệt chống cháy tấm MGO/Thạch cao (Tiêu chuẩn EI)</t>
        </is>
      </c>
      <c r="D234" t="inlineStr">
        <is>
          <t>VẬT_LIỆU_CÁCH_NHIỆT</t>
        </is>
      </c>
      <c r="E234" t="inlineStr">
        <is>
          <t>MAT-INSULATION-EI-DAMPER</t>
        </is>
      </c>
      <c r="F234" t="inlineStr">
        <is>
          <t>m2</t>
        </is>
      </c>
      <c r="G234" s="394" t="n">
        <v>0.9757440000000003</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Bọc chống cháy vỏ van (Lưu ý: Giá vật tư đang TẠM TÍNH 300k/m2)</t>
        </is>
      </c>
    </row>
    <row r="235">
      <c r="A235" t="inlineStr">
        <is>
          <t>SW-DAMPER-107-BODY</t>
        </is>
      </c>
      <c r="B235" t="inlineStr">
        <is>
          <t>SW-DAMPER-107</t>
        </is>
      </c>
      <c r="C235" t="inlineStr">
        <is>
          <t>Thân vỏ van MFD bích TDF (1.15mm)</t>
        </is>
      </c>
      <c r="D235" t="inlineStr">
        <is>
          <t>TÔN_CUỘN_MẠ_KẼM</t>
        </is>
      </c>
      <c r="E235" t="inlineStr">
        <is>
          <t>MAT-STEEL-PN-1.15</t>
        </is>
      </c>
      <c r="F235" t="inlineStr">
        <is>
          <t>kg</t>
        </is>
      </c>
      <c r="G235" s="394" t="n">
        <v>7.097781599999999</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Kích thước vỏ 850.0x300.0x250mm</t>
        </is>
      </c>
    </row>
    <row r="236">
      <c r="A236" t="inlineStr">
        <is>
          <t>SW-DAMPER-107-BLADE</t>
        </is>
      </c>
      <c r="B236" t="inlineStr">
        <is>
          <t>SW-DAMPER-107</t>
        </is>
      </c>
      <c r="C236" t="inlineStr">
        <is>
          <t>Lá cánh van (2 cánh overlap)</t>
        </is>
      </c>
      <c r="D236" t="inlineStr">
        <is>
          <t>TÔN_CUỘN_MẠ_KẼM</t>
        </is>
      </c>
      <c r="E236" t="inlineStr">
        <is>
          <t>MAT-STEEL-PN-1.15</t>
        </is>
      </c>
      <c r="F236" t="inlineStr">
        <is>
          <t>kg</t>
        </is>
      </c>
      <c r="G236" s="394" t="n">
        <v>2.8176633</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2 cánh cao 170mm</t>
        </is>
      </c>
    </row>
    <row r="237">
      <c r="A237" t="inlineStr">
        <is>
          <t>SW-DAMPER-107-AXLE</t>
        </is>
      </c>
      <c r="B237" t="inlineStr">
        <is>
          <t>SW-DAMPER-107</t>
        </is>
      </c>
      <c r="C237" t="inlineStr">
        <is>
          <t>Trục Sus 201 D10</t>
        </is>
      </c>
      <c r="D237" t="inlineStr">
        <is>
          <t>PHỤ_KIỆN_VAN</t>
        </is>
      </c>
      <c r="E237" t="inlineStr">
        <is>
          <t>MAT-DAMPER-TRUC-SUS-201-D10</t>
        </is>
      </c>
      <c r="F237" t="inlineStr">
        <is>
          <t>m</t>
        </is>
      </c>
      <c r="G237" s="394" t="n">
        <v>1.82</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2 trục dài 910mm</t>
        </is>
      </c>
    </row>
    <row r="238">
      <c r="A238" t="inlineStr">
        <is>
          <t>SW-DAMPER-107-BEARING</t>
        </is>
      </c>
      <c r="B238" t="inlineStr">
        <is>
          <t>SW-DAMPER-107</t>
        </is>
      </c>
      <c r="C238" t="inlineStr">
        <is>
          <t>Bạc đồng D10</t>
        </is>
      </c>
      <c r="D238" t="inlineStr">
        <is>
          <t>PHỤ_KIỆN_VAN</t>
        </is>
      </c>
      <c r="E238" t="inlineStr">
        <is>
          <t>MAT-DAMPER-BAC-DONG-D10</t>
        </is>
      </c>
      <c r="F238" t="inlineStr">
        <is>
          <t>Đôi</t>
        </is>
      </c>
      <c r="G238" s="394" t="n">
        <v>2</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2 đôi bạc đỡ 2 bên thân</t>
        </is>
      </c>
    </row>
    <row r="239">
      <c r="A239" t="inlineStr">
        <is>
          <t>SW-DAMPER-107-GEAR</t>
        </is>
      </c>
      <c r="B239" t="inlineStr">
        <is>
          <t>SW-DAMPER-107</t>
        </is>
      </c>
      <c r="C239" t="inlineStr">
        <is>
          <t>Bánh răng van nhôm</t>
        </is>
      </c>
      <c r="D239" t="inlineStr">
        <is>
          <t>PHỤ_KIỆN_VAN</t>
        </is>
      </c>
      <c r="E239" t="inlineStr">
        <is>
          <t>MAT-DAMPER-BANH-RANG-VAN-NHOM</t>
        </is>
      </c>
      <c r="F239" t="inlineStr">
        <is>
          <t>Bộ</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Cơ cấu liên động bánh răng van</t>
        </is>
      </c>
    </row>
    <row r="240">
      <c r="A240" t="inlineStr">
        <is>
          <t>SW-DAMPER-107-ACTUATOR</t>
        </is>
      </c>
      <c r="B240" t="inlineStr">
        <is>
          <t>SW-DAMPER-107</t>
        </is>
      </c>
      <c r="C240" t="inlineStr">
        <is>
          <t>Động cơ chặn lửa ON/OFF 9Nm, 24V (BELIMO BFN 24 hoặc tương đương)</t>
        </is>
      </c>
      <c r="D240" t="inlineStr">
        <is>
          <t>ĐỘNG_CƠ_VÀ_CẢM_BIẾN</t>
        </is>
      </c>
      <c r="E240" t="inlineStr">
        <is>
          <t>MAT-ACTUATOR-BELIMO-BFN24</t>
        </is>
      </c>
      <c r="F240" t="inlineStr">
        <is>
          <t>Cái</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Động cơ lò xo phản hồi cho MFD (S=0.26m2)</t>
        </is>
      </c>
    </row>
    <row r="241">
      <c r="A241" t="inlineStr">
        <is>
          <t>SW-DAMPER-107-FIRE_INSULATION</t>
        </is>
      </c>
      <c r="B241" t="inlineStr">
        <is>
          <t>SW-DAMPER-107</t>
        </is>
      </c>
      <c r="C241" t="inlineStr">
        <is>
          <t>Bọc cách nhiệt chống cháy tấm MGO/Thạch cao (Tiêu chuẩn EI)</t>
        </is>
      </c>
      <c r="D241" t="inlineStr">
        <is>
          <t>VẬT_LIỆU_CÁCH_NHIỆT</t>
        </is>
      </c>
      <c r="E241" t="inlineStr">
        <is>
          <t>MAT-INSULATION-EI-DAMPER</t>
        </is>
      </c>
      <c r="F241" t="inlineStr">
        <is>
          <t>m2</t>
        </is>
      </c>
      <c r="G241" s="394" t="n">
        <v>0.8648640000000001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Bọc chống cháy vỏ van (Lưu ý: Giá vật tư đang TẠM TÍNH 300k/m2)</t>
        </is>
      </c>
    </row>
    <row r="242">
      <c r="A242" t="inlineStr">
        <is>
          <t>SW-DAMPER-108-BODY</t>
        </is>
      </c>
      <c r="B242" t="inlineStr">
        <is>
          <t>SW-DAMPER-108</t>
        </is>
      </c>
      <c r="C242" t="inlineStr">
        <is>
          <t>Thân vỏ van MFD bích TDF (1.15mm)</t>
        </is>
      </c>
      <c r="D242" t="inlineStr">
        <is>
          <t>TÔN_CUỘN_MẠ_KẼM</t>
        </is>
      </c>
      <c r="E242" t="inlineStr">
        <is>
          <t>MAT-STEEL-PN-1.15</t>
        </is>
      </c>
      <c r="F242" t="inlineStr">
        <is>
          <t>kg</t>
        </is>
      </c>
      <c r="G242" s="394" t="n">
        <v>7.097781599999999</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Kích thước vỏ 800.0x350.0x250mm</t>
        </is>
      </c>
    </row>
    <row r="243">
      <c r="A243" t="inlineStr">
        <is>
          <t>SW-DAMPER-108-BLADE</t>
        </is>
      </c>
      <c r="B243" t="inlineStr">
        <is>
          <t>SW-DAMPER-108</t>
        </is>
      </c>
      <c r="C243" t="inlineStr">
        <is>
          <t>Lá cánh van (2 cánh overlap)</t>
        </is>
      </c>
      <c r="D243" t="inlineStr">
        <is>
          <t>TÔN_CUỘN_MẠ_KẼM</t>
        </is>
      </c>
      <c r="E243" t="inlineStr">
        <is>
          <t>MAT-STEEL-PN-1.15</t>
        </is>
      </c>
      <c r="F243" t="inlineStr">
        <is>
          <t>kg</t>
        </is>
      </c>
      <c r="G243" s="394" t="n">
        <v>3.0419064</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2 cánh cao 195mm</t>
        </is>
      </c>
    </row>
    <row r="244">
      <c r="A244" t="inlineStr">
        <is>
          <t>SW-DAMPER-108-AXLE</t>
        </is>
      </c>
      <c r="B244" t="inlineStr">
        <is>
          <t>SW-DAMPER-108</t>
        </is>
      </c>
      <c r="C244" t="inlineStr">
        <is>
          <t>Trục Sus 201 D10</t>
        </is>
      </c>
      <c r="D244" t="inlineStr">
        <is>
          <t>PHỤ_KIỆN_VAN</t>
        </is>
      </c>
      <c r="E244" t="inlineStr">
        <is>
          <t>MAT-DAMPER-TRUC-SUS-201-D10</t>
        </is>
      </c>
      <c r="F244" t="inlineStr">
        <is>
          <t>m</t>
        </is>
      </c>
      <c r="G244" s="394" t="n">
        <v>1.72</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2 trục dài 860mm</t>
        </is>
      </c>
    </row>
    <row r="245">
      <c r="A245" t="inlineStr">
        <is>
          <t>SW-DAMPER-108-BEARING</t>
        </is>
      </c>
      <c r="B245" t="inlineStr">
        <is>
          <t>SW-DAMPER-108</t>
        </is>
      </c>
      <c r="C245" t="inlineStr">
        <is>
          <t>Bạc đồng D10</t>
        </is>
      </c>
      <c r="D245" t="inlineStr">
        <is>
          <t>PHỤ_KIỆN_VAN</t>
        </is>
      </c>
      <c r="E245" t="inlineStr">
        <is>
          <t>MAT-DAMPER-BAC-DONG-D10</t>
        </is>
      </c>
      <c r="F245" t="inlineStr">
        <is>
          <t>Đôi</t>
        </is>
      </c>
      <c r="G245" s="394" t="n">
        <v>2</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2 đôi bạc đỡ 2 bên thân</t>
        </is>
      </c>
    </row>
    <row r="246">
      <c r="A246" t="inlineStr">
        <is>
          <t>SW-DAMPER-108-GEAR</t>
        </is>
      </c>
      <c r="B246" t="inlineStr">
        <is>
          <t>SW-DAMPER-108</t>
        </is>
      </c>
      <c r="C246" t="inlineStr">
        <is>
          <t>Bánh răng van nhôm</t>
        </is>
      </c>
      <c r="D246" t="inlineStr">
        <is>
          <t>PHỤ_KIỆN_VAN</t>
        </is>
      </c>
      <c r="E246" t="inlineStr">
        <is>
          <t>MAT-DAMPER-BANH-RANG-VAN-NHOM</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Cơ cấu liên động bánh răng van</t>
        </is>
      </c>
    </row>
    <row r="247">
      <c r="A247" t="inlineStr">
        <is>
          <t>SW-DAMPER-108-ACTUATOR</t>
        </is>
      </c>
      <c r="B247" t="inlineStr">
        <is>
          <t>SW-DAMPER-108</t>
        </is>
      </c>
      <c r="C247" t="inlineStr">
        <is>
          <t>Động cơ chặn lửa ON/OFF 9Nm, 24V (BELIMO BFN 24 hoặc tương đương)</t>
        </is>
      </c>
      <c r="D247" t="inlineStr">
        <is>
          <t>ĐỘNG_CƠ_VÀ_CẢM_BIẾN</t>
        </is>
      </c>
      <c r="E247" t="inlineStr">
        <is>
          <t>MAT-ACTUATOR-BELIMO-BFN24</t>
        </is>
      </c>
      <c r="F247" t="inlineStr">
        <is>
          <t>Cái</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Động cơ lò xo phản hồi cho MFD (S=0.28m2)</t>
        </is>
      </c>
    </row>
    <row r="248">
      <c r="A248" t="inlineStr">
        <is>
          <t>SW-DAMPER-108-FIRE_INSULATION</t>
        </is>
      </c>
      <c r="B248" t="inlineStr">
        <is>
          <t>SW-DAMPER-108</t>
        </is>
      </c>
      <c r="C248" t="inlineStr">
        <is>
          <t>Bọc cách nhiệt chống cháy tấm MGO/Thạch cao (Tiêu chuẩn EI)</t>
        </is>
      </c>
      <c r="D248" t="inlineStr">
        <is>
          <t>VẬT_LIỆU_CÁCH_NHIỆT</t>
        </is>
      </c>
      <c r="E248" t="inlineStr">
        <is>
          <t>MAT-INSULATION-EI-DAMPER</t>
        </is>
      </c>
      <c r="F248" t="inlineStr">
        <is>
          <t>m2</t>
        </is>
      </c>
      <c r="G248" s="394" t="n">
        <v>0.8648640000000001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Bọc chống cháy vỏ van (Lưu ý: Giá vật tư đang TẠM TÍNH 300k/m2)</t>
        </is>
      </c>
    </row>
    <row r="249">
      <c r="A249" t="inlineStr">
        <is>
          <t>SW-DAMPER-109-BODY</t>
        </is>
      </c>
      <c r="B249" t="inlineStr">
        <is>
          <t>SW-DAMPER-109</t>
        </is>
      </c>
      <c r="C249" t="inlineStr">
        <is>
          <t>Thân vỏ van MFD bích TDF (1.15mm)</t>
        </is>
      </c>
      <c r="D249" t="inlineStr">
        <is>
          <t>TÔN_CUỘN_MẠ_KẼM</t>
        </is>
      </c>
      <c r="E249" t="inlineStr">
        <is>
          <t>MAT-STEEL-PN-1.15</t>
        </is>
      </c>
      <c r="F249" t="inlineStr">
        <is>
          <t>kg</t>
        </is>
      </c>
      <c r="G249" s="394" t="n">
        <v>16.1975016</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Kích thước vỏ 2000.0x650.0x250mm</t>
        </is>
      </c>
    </row>
    <row r="250">
      <c r="A250" t="inlineStr">
        <is>
          <t>SW-DAMPER-109-BLADE</t>
        </is>
      </c>
      <c r="B250" t="inlineStr">
        <is>
          <t>SW-DAMPER-109</t>
        </is>
      </c>
      <c r="C250" t="inlineStr">
        <is>
          <t>Lá cánh van (4 cánh overlap)</t>
        </is>
      </c>
      <c r="D250" t="inlineStr">
        <is>
          <t>TÔN_CUỘN_MẠ_KẼM</t>
        </is>
      </c>
      <c r="E250" t="inlineStr">
        <is>
          <t>MAT-STEEL-PN-1.15</t>
        </is>
      </c>
      <c r="F250" t="inlineStr">
        <is>
          <t>kg</t>
        </is>
      </c>
      <c r="G250" s="394" t="n">
        <v>14.234562</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4 cánh cao 182mm</t>
        </is>
      </c>
    </row>
    <row r="251">
      <c r="A251" t="inlineStr">
        <is>
          <t>SW-DAMPER-109-AXLE</t>
        </is>
      </c>
      <c r="B251" t="inlineStr">
        <is>
          <t>SW-DAMPER-109</t>
        </is>
      </c>
      <c r="C251" t="inlineStr">
        <is>
          <t>Trục Sus 201 D10</t>
        </is>
      </c>
      <c r="D251" t="inlineStr">
        <is>
          <t>PHỤ_KIỆN_VAN</t>
        </is>
      </c>
      <c r="E251" t="inlineStr">
        <is>
          <t>MAT-DAMPER-TRUC-SUS-201-D10</t>
        </is>
      </c>
      <c r="F251" t="inlineStr">
        <is>
          <t>m</t>
        </is>
      </c>
      <c r="G251" s="394" t="n">
        <v>8.24</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4 trục dài 2060mm</t>
        </is>
      </c>
    </row>
    <row r="252">
      <c r="A252" t="inlineStr">
        <is>
          <t>SW-DAMPER-109-BEARING</t>
        </is>
      </c>
      <c r="B252" t="inlineStr">
        <is>
          <t>SW-DAMPER-109</t>
        </is>
      </c>
      <c r="C252" t="inlineStr">
        <is>
          <t>Bạc đồng D10</t>
        </is>
      </c>
      <c r="D252" t="inlineStr">
        <is>
          <t>PHỤ_KIỆN_VAN</t>
        </is>
      </c>
      <c r="E252" t="inlineStr">
        <is>
          <t>MAT-DAMPER-BAC-DONG-D10</t>
        </is>
      </c>
      <c r="F252" t="inlineStr">
        <is>
          <t>Đôi</t>
        </is>
      </c>
      <c r="G252" s="394" t="n">
        <v>4</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4 đôi bạc đỡ 2 bên thân</t>
        </is>
      </c>
    </row>
    <row r="253">
      <c r="A253" t="inlineStr">
        <is>
          <t>SW-DAMPER-109-GEAR</t>
        </is>
      </c>
      <c r="B253" t="inlineStr">
        <is>
          <t>SW-DAMPER-109</t>
        </is>
      </c>
      <c r="C253" t="inlineStr">
        <is>
          <t>Bánh răng van nhôm</t>
        </is>
      </c>
      <c r="D253" t="inlineStr">
        <is>
          <t>PHỤ_KIỆN_VAN</t>
        </is>
      </c>
      <c r="E253" t="inlineStr">
        <is>
          <t>MAT-DAMPER-BANH-RANG-VAN-NHOM</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Cơ cấu liên động bánh răng van</t>
        </is>
      </c>
    </row>
    <row r="254">
      <c r="A254" t="inlineStr">
        <is>
          <t>SW-DAMPER-109-ACTUATOR</t>
        </is>
      </c>
      <c r="B254" t="inlineStr">
        <is>
          <t>SW-DAMPER-109</t>
        </is>
      </c>
      <c r="C254" t="inlineStr">
        <is>
          <t>Động cơ chặn lửa ON/OFF 18Nm, 24V (BELIMO BF 24 hoặc tương đương)</t>
        </is>
      </c>
      <c r="D254" t="inlineStr">
        <is>
          <t>ĐỘNG_CƠ_VÀ_CẢM_BIẾN</t>
        </is>
      </c>
      <c r="E254" t="inlineStr">
        <is>
          <t>MAT-ACTUATOR-BELIMO-BF24</t>
        </is>
      </c>
      <c r="F254" t="inlineStr">
        <is>
          <t>Cái</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Động cơ lò xo phản hồi cho MFD (S=1.30m2)</t>
        </is>
      </c>
    </row>
    <row r="255">
      <c r="A255" t="inlineStr">
        <is>
          <t>SW-DAMPER-109-FIRE_INSULATION</t>
        </is>
      </c>
      <c r="B255" t="inlineStr">
        <is>
          <t>SW-DAMPER-109</t>
        </is>
      </c>
      <c r="C255" t="inlineStr">
        <is>
          <t>Bọc cách nhiệt chống cháy tấm MGO/Thạch cao (Tiêu chuẩn EI)</t>
        </is>
      </c>
      <c r="D255" t="inlineStr">
        <is>
          <t>VẬT_LIỆU_CÁCH_NHIỆT</t>
        </is>
      </c>
      <c r="E255" t="inlineStr">
        <is>
          <t>MAT-INSULATION-EI-DAMPER</t>
        </is>
      </c>
      <c r="F255" t="inlineStr">
        <is>
          <t>m2</t>
        </is>
      </c>
      <c r="G255" s="394" t="n">
        <v>1.973664000000001</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Bọc chống cháy vỏ van (Lưu ý: Giá vật tư đang TẠM TÍNH 300k/m2)</t>
        </is>
      </c>
    </row>
    <row r="256">
      <c r="A256" t="inlineStr">
        <is>
          <t>SW-DAMPER-110-BODY</t>
        </is>
      </c>
      <c r="B256" t="inlineStr">
        <is>
          <t>SW-DAMPER-110</t>
        </is>
      </c>
      <c r="C256" t="inlineStr">
        <is>
          <t>Thân vỏ van MFD bích TDF (1.15mm)</t>
        </is>
      </c>
      <c r="D256" t="inlineStr">
        <is>
          <t>TÔN_CUỘN_MẠ_KẼM</t>
        </is>
      </c>
      <c r="E256" t="inlineStr">
        <is>
          <t>MAT-STEEL-PN-1.15</t>
        </is>
      </c>
      <c r="F256" t="inlineStr">
        <is>
          <t>kg</t>
        </is>
      </c>
      <c r="G256" s="394" t="n">
        <v>8.311077600000001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Kích thước vỏ 1000.0x350.0x250mm</t>
        </is>
      </c>
    </row>
    <row r="257">
      <c r="A257" t="inlineStr">
        <is>
          <t>SW-DAMPER-110-BLADE</t>
        </is>
      </c>
      <c r="B257" t="inlineStr">
        <is>
          <t>SW-DAMPER-110</t>
        </is>
      </c>
      <c r="C257" t="inlineStr">
        <is>
          <t>Lá cánh van (2 cánh overlap)</t>
        </is>
      </c>
      <c r="D257" t="inlineStr">
        <is>
          <t>TÔN_CUỘN_MẠ_KẼM</t>
        </is>
      </c>
      <c r="E257" t="inlineStr">
        <is>
          <t>MAT-STEEL-PN-1.15</t>
        </is>
      </c>
      <c r="F257" t="inlineStr">
        <is>
          <t>kg</t>
        </is>
      </c>
      <c r="G257" s="394" t="n">
        <v>3.802382999999999</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2 cánh cao 195mm</t>
        </is>
      </c>
    </row>
    <row r="258">
      <c r="A258" t="inlineStr">
        <is>
          <t>SW-DAMPER-110-AXLE</t>
        </is>
      </c>
      <c r="B258" t="inlineStr">
        <is>
          <t>SW-DAMPER-110</t>
        </is>
      </c>
      <c r="C258" t="inlineStr">
        <is>
          <t>Trục Sus 201 D10</t>
        </is>
      </c>
      <c r="D258" t="inlineStr">
        <is>
          <t>PHỤ_KIỆN_VAN</t>
        </is>
      </c>
      <c r="E258" t="inlineStr">
        <is>
          <t>MAT-DAMPER-TRUC-SUS-201-D10</t>
        </is>
      </c>
      <c r="F258" t="inlineStr">
        <is>
          <t>m</t>
        </is>
      </c>
      <c r="G258" s="394" t="n">
        <v>2.12</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2 trục dài 1060mm</t>
        </is>
      </c>
    </row>
    <row r="259">
      <c r="A259" t="inlineStr">
        <is>
          <t>SW-DAMPER-110-BEARING</t>
        </is>
      </c>
      <c r="B259" t="inlineStr">
        <is>
          <t>SW-DAMPER-110</t>
        </is>
      </c>
      <c r="C259" t="inlineStr">
        <is>
          <t>Bạc đồng D10</t>
        </is>
      </c>
      <c r="D259" t="inlineStr">
        <is>
          <t>PHỤ_KIỆN_VAN</t>
        </is>
      </c>
      <c r="E259" t="inlineStr">
        <is>
          <t>MAT-DAMPER-BAC-DONG-D10</t>
        </is>
      </c>
      <c r="F259" t="inlineStr">
        <is>
          <t>Đôi</t>
        </is>
      </c>
      <c r="G259" s="394" t="n">
        <v>2</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2 đôi bạc đỡ 2 bên thân</t>
        </is>
      </c>
    </row>
    <row r="260">
      <c r="A260" t="inlineStr">
        <is>
          <t>SW-DAMPER-110-GEAR</t>
        </is>
      </c>
      <c r="B260" t="inlineStr">
        <is>
          <t>SW-DAMPER-110</t>
        </is>
      </c>
      <c r="C260" t="inlineStr">
        <is>
          <t>Bánh răng van nhôm</t>
        </is>
      </c>
      <c r="D260" t="inlineStr">
        <is>
          <t>PHỤ_KIỆN_VAN</t>
        </is>
      </c>
      <c r="E260" t="inlineStr">
        <is>
          <t>MAT-DAMPER-BANH-RANG-VAN-NHOM</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Cơ cấu liên động bánh răng van</t>
        </is>
      </c>
    </row>
    <row r="261">
      <c r="A261" t="inlineStr">
        <is>
          <t>SW-DAMPER-110-ACTUATOR</t>
        </is>
      </c>
      <c r="B261" t="inlineStr">
        <is>
          <t>SW-DAMPER-110</t>
        </is>
      </c>
      <c r="C261" t="inlineStr">
        <is>
          <t>Động cơ chặn lửa ON/OFF 9Nm, 24V (BELIMO BFN 24 hoặc tương đương)</t>
        </is>
      </c>
      <c r="D261" t="inlineStr">
        <is>
          <t>ĐỘNG_CƠ_VÀ_CẢM_BIẾN</t>
        </is>
      </c>
      <c r="E261" t="inlineStr">
        <is>
          <t>MAT-ACTUATOR-BELIMO-BFN24</t>
        </is>
      </c>
      <c r="F261" t="inlineStr">
        <is>
          <t>Cái</t>
        </is>
      </c>
      <c r="G261" s="394" t="n">
        <v>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Động cơ lò xo phản hồi cho MFD (S=0.35m2)</t>
        </is>
      </c>
    </row>
    <row r="262">
      <c r="A262" t="inlineStr">
        <is>
          <t>SW-DAMPER-110-FIRE_INSULATION</t>
        </is>
      </c>
      <c r="B262" t="inlineStr">
        <is>
          <t>SW-DAMPER-110</t>
        </is>
      </c>
      <c r="C262" t="inlineStr">
        <is>
          <t>Bọc cách nhiệt chống cháy tấm MGO/Thạch cao (Tiêu chuẩn EI)</t>
        </is>
      </c>
      <c r="D262" t="inlineStr">
        <is>
          <t>VẬT_LIỆU_CÁCH_NHIỆT</t>
        </is>
      </c>
      <c r="E262" t="inlineStr">
        <is>
          <t>MAT-INSULATION-EI-DAMPER</t>
        </is>
      </c>
      <c r="F262" t="inlineStr">
        <is>
          <t>m2</t>
        </is>
      </c>
      <c r="G262" s="394" t="n">
        <v>1.012704</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Bọc chống cháy vỏ van (Lưu ý: Giá vật tư đang TẠM TÍNH 300k/m2)</t>
        </is>
      </c>
    </row>
    <row r="263">
      <c r="A263" t="inlineStr">
        <is>
          <t>SW-DAMPER-111-BODY</t>
        </is>
      </c>
      <c r="B263" t="inlineStr">
        <is>
          <t>SW-DAMPER-111</t>
        </is>
      </c>
      <c r="C263" t="inlineStr">
        <is>
          <t>Thân vỏ van MFD bích TDF (1.15mm)</t>
        </is>
      </c>
      <c r="D263" t="inlineStr">
        <is>
          <t>TÔN_CUỘN_MẠ_KẼM</t>
        </is>
      </c>
      <c r="E263" t="inlineStr">
        <is>
          <t>MAT-STEEL-PN-1.15</t>
        </is>
      </c>
      <c r="F263" t="inlineStr">
        <is>
          <t>kg</t>
        </is>
      </c>
      <c r="G263" s="394" t="n">
        <v>9.524373600000001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Kích thước vỏ 1200.0x350.0x250mm</t>
        </is>
      </c>
    </row>
    <row r="264">
      <c r="A264" t="inlineStr">
        <is>
          <t>SW-DAMPER-111-BLADE</t>
        </is>
      </c>
      <c r="B264" t="inlineStr">
        <is>
          <t>SW-DAMPER-111</t>
        </is>
      </c>
      <c r="C264" t="inlineStr">
        <is>
          <t>Lá cánh van (2 cánh overlap)</t>
        </is>
      </c>
      <c r="D264" t="inlineStr">
        <is>
          <t>TÔN_CUỘN_MẠ_KẼM</t>
        </is>
      </c>
      <c r="E264" t="inlineStr">
        <is>
          <t>MAT-STEEL-PN-1.15</t>
        </is>
      </c>
      <c r="F264" t="inlineStr">
        <is>
          <t>kg</t>
        </is>
      </c>
      <c r="G264" s="394" t="n">
        <v>4.562859599999999</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2 cánh cao 195mm</t>
        </is>
      </c>
    </row>
    <row r="265">
      <c r="A265" t="inlineStr">
        <is>
          <t>SW-DAMPER-111-AXLE</t>
        </is>
      </c>
      <c r="B265" t="inlineStr">
        <is>
          <t>SW-DAMPER-111</t>
        </is>
      </c>
      <c r="C265" t="inlineStr">
        <is>
          <t>Trục Sus 201 D10</t>
        </is>
      </c>
      <c r="D265" t="inlineStr">
        <is>
          <t>PHỤ_KIỆN_VAN</t>
        </is>
      </c>
      <c r="E265" t="inlineStr">
        <is>
          <t>MAT-DAMPER-TRUC-SUS-201-D10</t>
        </is>
      </c>
      <c r="F265" t="inlineStr">
        <is>
          <t>m</t>
        </is>
      </c>
      <c r="G265" s="394" t="n">
        <v>2.52</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 trục dài 1260mm</t>
        </is>
      </c>
    </row>
    <row r="266">
      <c r="A266" t="inlineStr">
        <is>
          <t>SW-DAMPER-111-BEARING</t>
        </is>
      </c>
      <c r="B266" t="inlineStr">
        <is>
          <t>SW-DAMPER-111</t>
        </is>
      </c>
      <c r="C266" t="inlineStr">
        <is>
          <t>Bạc đồng D10</t>
        </is>
      </c>
      <c r="D266" t="inlineStr">
        <is>
          <t>PHỤ_KIỆN_VAN</t>
        </is>
      </c>
      <c r="E266" t="inlineStr">
        <is>
          <t>MAT-DAMPER-BAC-DONG-D10</t>
        </is>
      </c>
      <c r="F266" t="inlineStr">
        <is>
          <t>Đôi</t>
        </is>
      </c>
      <c r="G266" s="394" t="n">
        <v>2</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2 đôi bạc đỡ 2 bên thân</t>
        </is>
      </c>
    </row>
    <row r="267">
      <c r="A267" t="inlineStr">
        <is>
          <t>SW-DAMPER-111-GEAR</t>
        </is>
      </c>
      <c r="B267" t="inlineStr">
        <is>
          <t>SW-DAMPER-111</t>
        </is>
      </c>
      <c r="C267" t="inlineStr">
        <is>
          <t>Bánh răng van nhôm</t>
        </is>
      </c>
      <c r="D267" t="inlineStr">
        <is>
          <t>PHỤ_KIỆN_VAN</t>
        </is>
      </c>
      <c r="E267" t="inlineStr">
        <is>
          <t>MAT-DAMPER-BANH-RANG-VAN-NHOM</t>
        </is>
      </c>
      <c r="F267" t="inlineStr">
        <is>
          <t>Bộ</t>
        </is>
      </c>
      <c r="G267" s="394" t="n">
        <v>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Cơ cấu liên động bánh răng van</t>
        </is>
      </c>
    </row>
    <row r="268">
      <c r="A268" t="inlineStr">
        <is>
          <t>SW-DAMPER-111-ACTUATOR</t>
        </is>
      </c>
      <c r="B268" t="inlineStr">
        <is>
          <t>SW-DAMPER-111</t>
        </is>
      </c>
      <c r="C268" t="inlineStr">
        <is>
          <t>Động cơ chặn lửa ON/OFF 9Nm, 24V (BELIMO BFN 24 hoặc tương đương)</t>
        </is>
      </c>
      <c r="D268" t="inlineStr">
        <is>
          <t>ĐỘNG_CƠ_VÀ_CẢM_BIẾN</t>
        </is>
      </c>
      <c r="E268" t="inlineStr">
        <is>
          <t>MAT-ACTUATOR-BELIMO-BFN24</t>
        </is>
      </c>
      <c r="F268" t="inlineStr">
        <is>
          <t>Cái</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Động cơ lò xo phản hồi cho MFD (S=0.42m2)</t>
        </is>
      </c>
    </row>
    <row r="269">
      <c r="A269" t="inlineStr">
        <is>
          <t>SW-DAMPER-111-FIRE_INSULATION</t>
        </is>
      </c>
      <c r="B269" t="inlineStr">
        <is>
          <t>SW-DAMPER-111</t>
        </is>
      </c>
      <c r="C269" t="inlineStr">
        <is>
          <t>Bọc cách nhiệt chống cháy tấm MGO/Thạch cao (Tiêu chuẩn EI)</t>
        </is>
      </c>
      <c r="D269" t="inlineStr">
        <is>
          <t>VẬT_LIỆU_CÁCH_NHIỆT</t>
        </is>
      </c>
      <c r="E269" t="inlineStr">
        <is>
          <t>MAT-INSULATION-EI-DAMPER</t>
        </is>
      </c>
      <c r="F269" t="inlineStr">
        <is>
          <t>m2</t>
        </is>
      </c>
      <c r="G269" s="394" t="n">
        <v>1.160544</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Bọc chống cháy vỏ van (Lưu ý: Giá vật tư đang TẠM TÍNH 300k/m2)</t>
        </is>
      </c>
    </row>
    <row r="270">
      <c r="A270" t="inlineStr">
        <is>
          <t>SW-DAMPER-112-BODY</t>
        </is>
      </c>
      <c r="B270" t="inlineStr">
        <is>
          <t>SW-DAMPER-112</t>
        </is>
      </c>
      <c r="C270" t="inlineStr">
        <is>
          <t>Thân vỏ van MFD bích TDF (1.15mm)</t>
        </is>
      </c>
      <c r="D270" t="inlineStr">
        <is>
          <t>TÔN_CUỘN_MẠ_KẼM</t>
        </is>
      </c>
      <c r="E270" t="inlineStr">
        <is>
          <t>MAT-STEEL-PN-1.15</t>
        </is>
      </c>
      <c r="F270" t="inlineStr">
        <is>
          <t>kg</t>
        </is>
      </c>
      <c r="G270" s="394" t="n">
        <v>8.917725599999999</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Kích thước vỏ 1100.0x350.0x250mm</t>
        </is>
      </c>
    </row>
    <row r="271">
      <c r="A271" t="inlineStr">
        <is>
          <t>SW-DAMPER-112-BLADE</t>
        </is>
      </c>
      <c r="B271" t="inlineStr">
        <is>
          <t>SW-DAMPER-112</t>
        </is>
      </c>
      <c r="C271" t="inlineStr">
        <is>
          <t>Lá cánh van (2 cánh overlap)</t>
        </is>
      </c>
      <c r="D271" t="inlineStr">
        <is>
          <t>TÔN_CUỘN_MẠ_KẼM</t>
        </is>
      </c>
      <c r="E271" t="inlineStr">
        <is>
          <t>MAT-STEEL-PN-1.15</t>
        </is>
      </c>
      <c r="F271" t="inlineStr">
        <is>
          <t>kg</t>
        </is>
      </c>
      <c r="G271" s="394" t="n">
        <v>4.1826213</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2 cánh cao 195mm</t>
        </is>
      </c>
    </row>
    <row r="272">
      <c r="A272" t="inlineStr">
        <is>
          <t>SW-DAMPER-112-AXLE</t>
        </is>
      </c>
      <c r="B272" t="inlineStr">
        <is>
          <t>SW-DAMPER-112</t>
        </is>
      </c>
      <c r="C272" t="inlineStr">
        <is>
          <t>Trục Sus 201 D10</t>
        </is>
      </c>
      <c r="D272" t="inlineStr">
        <is>
          <t>PHỤ_KIỆN_VAN</t>
        </is>
      </c>
      <c r="E272" t="inlineStr">
        <is>
          <t>MAT-DAMPER-TRUC-SUS-201-D10</t>
        </is>
      </c>
      <c r="F272" t="inlineStr">
        <is>
          <t>m</t>
        </is>
      </c>
      <c r="G272" s="394" t="n">
        <v>2.32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2 trục dài 1160mm</t>
        </is>
      </c>
    </row>
    <row r="273">
      <c r="A273" t="inlineStr">
        <is>
          <t>SW-DAMPER-112-BEARING</t>
        </is>
      </c>
      <c r="B273" t="inlineStr">
        <is>
          <t>SW-DAMPER-112</t>
        </is>
      </c>
      <c r="C273" t="inlineStr">
        <is>
          <t>Bạc đồng D10</t>
        </is>
      </c>
      <c r="D273" t="inlineStr">
        <is>
          <t>PHỤ_KIỆN_VAN</t>
        </is>
      </c>
      <c r="E273" t="inlineStr">
        <is>
          <t>MAT-DAMPER-BAC-DONG-D10</t>
        </is>
      </c>
      <c r="F273" t="inlineStr">
        <is>
          <t>Đôi</t>
        </is>
      </c>
      <c r="G273" s="394" t="n">
        <v>2</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2 đôi bạc đỡ 2 bên thân</t>
        </is>
      </c>
    </row>
    <row r="274">
      <c r="A274" t="inlineStr">
        <is>
          <t>SW-DAMPER-112-GEAR</t>
        </is>
      </c>
      <c r="B274" t="inlineStr">
        <is>
          <t>SW-DAMPER-112</t>
        </is>
      </c>
      <c r="C274" t="inlineStr">
        <is>
          <t>Bánh răng van nhôm</t>
        </is>
      </c>
      <c r="D274" t="inlineStr">
        <is>
          <t>PHỤ_KIỆN_VAN</t>
        </is>
      </c>
      <c r="E274" t="inlineStr">
        <is>
          <t>MAT-DAMPER-BANH-RANG-VAN-NHOM</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Cơ cấu liên động bánh răng van</t>
        </is>
      </c>
    </row>
    <row r="275">
      <c r="A275" t="inlineStr">
        <is>
          <t>SW-DAMPER-112-ACTUATOR</t>
        </is>
      </c>
      <c r="B275" t="inlineStr">
        <is>
          <t>SW-DAMPER-112</t>
        </is>
      </c>
      <c r="C275" t="inlineStr">
        <is>
          <t>Động cơ chặn lửa ON/OFF 9Nm, 24V (BELIMO BFN 24 hoặc tương đương)</t>
        </is>
      </c>
      <c r="D275" t="inlineStr">
        <is>
          <t>ĐỘNG_CƠ_VÀ_CẢM_BIẾN</t>
        </is>
      </c>
      <c r="E275" t="inlineStr">
        <is>
          <t>MAT-ACTUATOR-BELIMO-BFN24</t>
        </is>
      </c>
      <c r="F275" t="inlineStr">
        <is>
          <t>Cái</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Động cơ lò xo phản hồi cho MFD (S=0.39m2)</t>
        </is>
      </c>
    </row>
    <row r="276">
      <c r="A276" t="inlineStr">
        <is>
          <t>SW-DAMPER-112-FIRE_INSULATION</t>
        </is>
      </c>
      <c r="B276" t="inlineStr">
        <is>
          <t>SW-DAMPER-112</t>
        </is>
      </c>
      <c r="C276" t="inlineStr">
        <is>
          <t>Bọc cách nhiệt chống cháy tấm MGO/Thạch cao (Tiêu chuẩn EI)</t>
        </is>
      </c>
      <c r="D276" t="inlineStr">
        <is>
          <t>VẬT_LIỆU_CÁCH_NHIỆT</t>
        </is>
      </c>
      <c r="E276" t="inlineStr">
        <is>
          <t>MAT-INSULATION-EI-DAMPER</t>
        </is>
      </c>
      <c r="F276" t="inlineStr">
        <is>
          <t>m2</t>
        </is>
      </c>
      <c r="G276" s="394" t="n">
        <v>1.086624</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Bọc chống cháy vỏ van (Lưu ý: Giá vật tư đang TẠM TÍNH 300k/m2)</t>
        </is>
      </c>
    </row>
    <row r="277">
      <c r="A277" t="inlineStr">
        <is>
          <t>SW-DAMPER-113-BODY</t>
        </is>
      </c>
      <c r="B277" t="inlineStr">
        <is>
          <t>SW-DAMPER-113</t>
        </is>
      </c>
      <c r="C277" t="inlineStr">
        <is>
          <t>Thân vỏ van MFD bích TDF (1.15mm)</t>
        </is>
      </c>
      <c r="D277" t="inlineStr">
        <is>
          <t>TÔN_CUỘN_MẠ_KẼM</t>
        </is>
      </c>
      <c r="E277" t="inlineStr">
        <is>
          <t>MAT-STEEL-PN-1.15</t>
        </is>
      </c>
      <c r="F277" t="inlineStr">
        <is>
          <t>kg</t>
        </is>
      </c>
      <c r="G277" s="394" t="n">
        <v>9.221049599999999</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Kích thước vỏ 1200.0x300.0x250mm</t>
        </is>
      </c>
    </row>
    <row r="278">
      <c r="A278" t="inlineStr">
        <is>
          <t>SW-DAMPER-113-BLADE</t>
        </is>
      </c>
      <c r="B278" t="inlineStr">
        <is>
          <t>SW-DAMPER-113</t>
        </is>
      </c>
      <c r="C278" t="inlineStr">
        <is>
          <t>Lá cánh van (2 cánh overlap)</t>
        </is>
      </c>
      <c r="D278" t="inlineStr">
        <is>
          <t>TÔN_CUỘN_MẠ_KẼM</t>
        </is>
      </c>
      <c r="E278" t="inlineStr">
        <is>
          <t>MAT-STEEL-PN-1.15</t>
        </is>
      </c>
      <c r="F278" t="inlineStr">
        <is>
          <t>kg</t>
        </is>
      </c>
      <c r="G278" s="394" t="n">
        <v>3.9778776</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2 cánh cao 170mm</t>
        </is>
      </c>
    </row>
    <row r="279">
      <c r="A279" t="inlineStr">
        <is>
          <t>SW-DAMPER-113-AXLE</t>
        </is>
      </c>
      <c r="B279" t="inlineStr">
        <is>
          <t>SW-DAMPER-113</t>
        </is>
      </c>
      <c r="C279" t="inlineStr">
        <is>
          <t>Trục Sus 201 D10</t>
        </is>
      </c>
      <c r="D279" t="inlineStr">
        <is>
          <t>PHỤ_KIỆN_VAN</t>
        </is>
      </c>
      <c r="E279" t="inlineStr">
        <is>
          <t>MAT-DAMPER-TRUC-SUS-201-D10</t>
        </is>
      </c>
      <c r="F279" t="inlineStr">
        <is>
          <t>m</t>
        </is>
      </c>
      <c r="G279" s="394" t="n">
        <v>2.52</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2 trục dài 1260mm</t>
        </is>
      </c>
    </row>
    <row r="280">
      <c r="A280" t="inlineStr">
        <is>
          <t>SW-DAMPER-113-BEARING</t>
        </is>
      </c>
      <c r="B280" t="inlineStr">
        <is>
          <t>SW-DAMPER-113</t>
        </is>
      </c>
      <c r="C280" t="inlineStr">
        <is>
          <t>Bạc đồng D10</t>
        </is>
      </c>
      <c r="D280" t="inlineStr">
        <is>
          <t>PHỤ_KIỆN_VAN</t>
        </is>
      </c>
      <c r="E280" t="inlineStr">
        <is>
          <t>MAT-DAMPER-BAC-DONG-D10</t>
        </is>
      </c>
      <c r="F280" t="inlineStr">
        <is>
          <t>Đôi</t>
        </is>
      </c>
      <c r="G280" s="394" t="n">
        <v>2</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2 đôi bạc đỡ 2 bên thân</t>
        </is>
      </c>
    </row>
    <row r="281">
      <c r="A281" t="inlineStr">
        <is>
          <t>SW-DAMPER-113-GEAR</t>
        </is>
      </c>
      <c r="B281" t="inlineStr">
        <is>
          <t>SW-DAMPER-113</t>
        </is>
      </c>
      <c r="C281" t="inlineStr">
        <is>
          <t>Bánh răng van nhôm</t>
        </is>
      </c>
      <c r="D281" t="inlineStr">
        <is>
          <t>PHỤ_KIỆN_VAN</t>
        </is>
      </c>
      <c r="E281" t="inlineStr">
        <is>
          <t>MAT-DAMPER-BANH-RANG-VAN-NHOM</t>
        </is>
      </c>
      <c r="F281" t="inlineStr">
        <is>
          <t>Bộ</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Cơ cấu liên động bánh răng van</t>
        </is>
      </c>
    </row>
    <row r="282">
      <c r="A282" t="inlineStr">
        <is>
          <t>SW-DAMPER-113-ACTUATOR</t>
        </is>
      </c>
      <c r="B282" t="inlineStr">
        <is>
          <t>SW-DAMPER-113</t>
        </is>
      </c>
      <c r="C282" t="inlineStr">
        <is>
          <t>Động cơ chặn lửa ON/OFF 9Nm, 24V (BELIMO BFN 24 hoặc tương đương)</t>
        </is>
      </c>
      <c r="D282" t="inlineStr">
        <is>
          <t>ĐỘNG_CƠ_VÀ_CẢM_BIẾN</t>
        </is>
      </c>
      <c r="E282" t="inlineStr">
        <is>
          <t>MAT-ACTUATOR-BELIMO-BFN24</t>
        </is>
      </c>
      <c r="F282" t="inlineStr">
        <is>
          <t>Cái</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Động cơ lò xo phản hồi cho MFD (S=0.36m2)</t>
        </is>
      </c>
    </row>
    <row r="283">
      <c r="A283" t="inlineStr">
        <is>
          <t>SW-DAMPER-113-FIRE_INSULATION</t>
        </is>
      </c>
      <c r="B283" t="inlineStr">
        <is>
          <t>SW-DAMPER-113</t>
        </is>
      </c>
      <c r="C283" t="inlineStr">
        <is>
          <t>Bọc cách nhiệt chống cháy tấm MGO/Thạch cao (Tiêu chuẩn EI)</t>
        </is>
      </c>
      <c r="D283" t="inlineStr">
        <is>
          <t>VẬT_LIỆU_CÁCH_NHIỆT</t>
        </is>
      </c>
      <c r="E283" t="inlineStr">
        <is>
          <t>MAT-INSULATION-EI-DAMPER</t>
        </is>
      </c>
      <c r="F283" t="inlineStr">
        <is>
          <t>m2</t>
        </is>
      </c>
      <c r="G283" s="394" t="n">
        <v>1.123584</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Bọc chống cháy vỏ van (Lưu ý: Giá vật tư đang TẠM TÍNH 300k/m2)</t>
        </is>
      </c>
    </row>
    <row r="284">
      <c r="A284" t="inlineStr">
        <is>
          <t>SW-DAMPER-114-BODY</t>
        </is>
      </c>
      <c r="B284" t="inlineStr">
        <is>
          <t>SW-DAMPER-114</t>
        </is>
      </c>
      <c r="C284" t="inlineStr">
        <is>
          <t>Thân vỏ van MFD bích TDF (1.15mm)</t>
        </is>
      </c>
      <c r="D284" t="inlineStr">
        <is>
          <t>TÔN_CUỘN_MẠ_KẼM</t>
        </is>
      </c>
      <c r="E284" t="inlineStr">
        <is>
          <t>MAT-STEEL-PN-1.15</t>
        </is>
      </c>
      <c r="F284" t="inlineStr">
        <is>
          <t>kg</t>
        </is>
      </c>
      <c r="G284" s="394" t="n">
        <v>9.221049599999999</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Kích thước vỏ 1200.0x300.0x250mm</t>
        </is>
      </c>
    </row>
    <row r="285">
      <c r="A285" t="inlineStr">
        <is>
          <t>SW-DAMPER-114-BLADE</t>
        </is>
      </c>
      <c r="B285" t="inlineStr">
        <is>
          <t>SW-DAMPER-114</t>
        </is>
      </c>
      <c r="C285" t="inlineStr">
        <is>
          <t>Lá cánh van (2 cánh overlap)</t>
        </is>
      </c>
      <c r="D285" t="inlineStr">
        <is>
          <t>TÔN_CUỘN_MẠ_KẼM</t>
        </is>
      </c>
      <c r="E285" t="inlineStr">
        <is>
          <t>MAT-STEEL-PN-1.15</t>
        </is>
      </c>
      <c r="F285" t="inlineStr">
        <is>
          <t>kg</t>
        </is>
      </c>
      <c r="G285" s="394" t="n">
        <v>3.9778776</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2 cánh cao 170mm</t>
        </is>
      </c>
    </row>
    <row r="286">
      <c r="A286" t="inlineStr">
        <is>
          <t>SW-DAMPER-114-AXLE</t>
        </is>
      </c>
      <c r="B286" t="inlineStr">
        <is>
          <t>SW-DAMPER-114</t>
        </is>
      </c>
      <c r="C286" t="inlineStr">
        <is>
          <t>Trục Sus 201 D10</t>
        </is>
      </c>
      <c r="D286" t="inlineStr">
        <is>
          <t>PHỤ_KIỆN_VAN</t>
        </is>
      </c>
      <c r="E286" t="inlineStr">
        <is>
          <t>MAT-DAMPER-TRUC-SUS-201-D10</t>
        </is>
      </c>
      <c r="F286" t="inlineStr">
        <is>
          <t>m</t>
        </is>
      </c>
      <c r="G286" s="394" t="n">
        <v>2.52</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2 trục dài 1260mm</t>
        </is>
      </c>
    </row>
    <row r="287">
      <c r="A287" t="inlineStr">
        <is>
          <t>SW-DAMPER-114-BEARING</t>
        </is>
      </c>
      <c r="B287" t="inlineStr">
        <is>
          <t>SW-DAMPER-114</t>
        </is>
      </c>
      <c r="C287" t="inlineStr">
        <is>
          <t>Bạc đồng D10</t>
        </is>
      </c>
      <c r="D287" t="inlineStr">
        <is>
          <t>PHỤ_KIỆN_VAN</t>
        </is>
      </c>
      <c r="E287" t="inlineStr">
        <is>
          <t>MAT-DAMPER-BAC-DONG-D10</t>
        </is>
      </c>
      <c r="F287" t="inlineStr">
        <is>
          <t>Đôi</t>
        </is>
      </c>
      <c r="G287" s="394" t="n">
        <v>2</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2 đôi bạc đỡ 2 bên thân</t>
        </is>
      </c>
    </row>
    <row r="288">
      <c r="A288" t="inlineStr">
        <is>
          <t>SW-DAMPER-114-GEAR</t>
        </is>
      </c>
      <c r="B288" t="inlineStr">
        <is>
          <t>SW-DAMPER-114</t>
        </is>
      </c>
      <c r="C288" t="inlineStr">
        <is>
          <t>Bánh răng van nhôm</t>
        </is>
      </c>
      <c r="D288" t="inlineStr">
        <is>
          <t>PHỤ_KIỆN_VAN</t>
        </is>
      </c>
      <c r="E288" t="inlineStr">
        <is>
          <t>MAT-DAMPER-BANH-RANG-VAN-NHOM</t>
        </is>
      </c>
      <c r="F288" t="inlineStr">
        <is>
          <t>Bộ</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Cơ cấu liên động bánh răng van</t>
        </is>
      </c>
    </row>
    <row r="289">
      <c r="A289" t="inlineStr">
        <is>
          <t>SW-DAMPER-114-ACTUATOR</t>
        </is>
      </c>
      <c r="B289" t="inlineStr">
        <is>
          <t>SW-DAMPER-114</t>
        </is>
      </c>
      <c r="C289" t="inlineStr">
        <is>
          <t>Động cơ chặn lửa ON/OFF 9Nm, 24V (BELIMO BFN 24 hoặc tương đương)</t>
        </is>
      </c>
      <c r="D289" t="inlineStr">
        <is>
          <t>ĐỘNG_CƠ_VÀ_CẢM_BIẾN</t>
        </is>
      </c>
      <c r="E289" t="inlineStr">
        <is>
          <t>MAT-ACTUATOR-BELIMO-BFN24</t>
        </is>
      </c>
      <c r="F289" t="inlineStr">
        <is>
          <t>Cái</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Động cơ lò xo phản hồi cho MFD (S=0.36m2)</t>
        </is>
      </c>
    </row>
    <row r="290">
      <c r="A290" t="inlineStr">
        <is>
          <t>SW-DAMPER-114-FIRE_INSULATION</t>
        </is>
      </c>
      <c r="B290" t="inlineStr">
        <is>
          <t>SW-DAMPER-114</t>
        </is>
      </c>
      <c r="C290" t="inlineStr">
        <is>
          <t>Bọc cách nhiệt chống cháy tấm MGO/Thạch cao (Tiêu chuẩn EI)</t>
        </is>
      </c>
      <c r="D290" t="inlineStr">
        <is>
          <t>VẬT_LIỆU_CÁCH_NHIỆT</t>
        </is>
      </c>
      <c r="E290" t="inlineStr">
        <is>
          <t>MAT-INSULATION-EI-DAMPER</t>
        </is>
      </c>
      <c r="F290" t="inlineStr">
        <is>
          <t>m2</t>
        </is>
      </c>
      <c r="G290" s="394" t="n">
        <v>1.123584</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Bọc chống cháy vỏ van (Lưu ý: Giá vật tư đang TẠM TÍNH 300k/m2)</t>
        </is>
      </c>
    </row>
    <row r="291">
      <c r="A291" t="inlineStr">
        <is>
          <t>SW-DAMPER-115-BODY</t>
        </is>
      </c>
      <c r="B291" t="inlineStr">
        <is>
          <t>SW-DAMPER-115</t>
        </is>
      </c>
      <c r="C291" t="inlineStr">
        <is>
          <t>Thân vỏ van MFD bích TDF (1.15mm)</t>
        </is>
      </c>
      <c r="D291" t="inlineStr">
        <is>
          <t>TÔN_CUỘN_MẠ_KẼM</t>
        </is>
      </c>
      <c r="E291" t="inlineStr">
        <is>
          <t>MAT-STEEL-PN-1.15</t>
        </is>
      </c>
      <c r="F291" t="inlineStr">
        <is>
          <t>kg</t>
        </is>
      </c>
      <c r="G291" s="394" t="n">
        <v>7.704429599999999</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Kích thước vỏ 900.0x350.0x250mm</t>
        </is>
      </c>
    </row>
    <row r="292">
      <c r="A292" t="inlineStr">
        <is>
          <t>SW-DAMPER-115-BLADE</t>
        </is>
      </c>
      <c r="B292" t="inlineStr">
        <is>
          <t>SW-DAMPER-115</t>
        </is>
      </c>
      <c r="C292" t="inlineStr">
        <is>
          <t>Lá cánh van (2 cánh overlap)</t>
        </is>
      </c>
      <c r="D292" t="inlineStr">
        <is>
          <t>TÔN_CUỘN_MẠ_KẼM</t>
        </is>
      </c>
      <c r="E292" t="inlineStr">
        <is>
          <t>MAT-STEEL-PN-1.15</t>
        </is>
      </c>
      <c r="F292" t="inlineStr">
        <is>
          <t>kg</t>
        </is>
      </c>
      <c r="G292" s="394" t="n">
        <v>3.4221447</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2 cánh cao 195mm</t>
        </is>
      </c>
    </row>
    <row r="293">
      <c r="A293" t="inlineStr">
        <is>
          <t>SW-DAMPER-115-AXLE</t>
        </is>
      </c>
      <c r="B293" t="inlineStr">
        <is>
          <t>SW-DAMPER-115</t>
        </is>
      </c>
      <c r="C293" t="inlineStr">
        <is>
          <t>Trục Sus 201 D10</t>
        </is>
      </c>
      <c r="D293" t="inlineStr">
        <is>
          <t>PHỤ_KIỆN_VAN</t>
        </is>
      </c>
      <c r="E293" t="inlineStr">
        <is>
          <t>MAT-DAMPER-TRUC-SUS-201-D10</t>
        </is>
      </c>
      <c r="F293" t="inlineStr">
        <is>
          <t>m</t>
        </is>
      </c>
      <c r="G293" s="394" t="n">
        <v>1.92</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2 trục dài 960mm</t>
        </is>
      </c>
    </row>
    <row r="294">
      <c r="A294" t="inlineStr">
        <is>
          <t>SW-DAMPER-115-BEARING</t>
        </is>
      </c>
      <c r="B294" t="inlineStr">
        <is>
          <t>SW-DAMPER-115</t>
        </is>
      </c>
      <c r="C294" t="inlineStr">
        <is>
          <t>Bạc đồng D10</t>
        </is>
      </c>
      <c r="D294" t="inlineStr">
        <is>
          <t>PHỤ_KIỆN_VAN</t>
        </is>
      </c>
      <c r="E294" t="inlineStr">
        <is>
          <t>MAT-DAMPER-BAC-DONG-D10</t>
        </is>
      </c>
      <c r="F294" t="inlineStr">
        <is>
          <t>Đôi</t>
        </is>
      </c>
      <c r="G294" s="394" t="n">
        <v>2</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2 đôi bạc đỡ 2 bên thân</t>
        </is>
      </c>
    </row>
    <row r="295">
      <c r="A295" t="inlineStr">
        <is>
          <t>SW-DAMPER-115-GEAR</t>
        </is>
      </c>
      <c r="B295" t="inlineStr">
        <is>
          <t>SW-DAMPER-115</t>
        </is>
      </c>
      <c r="C295" t="inlineStr">
        <is>
          <t>Bánh răng van nhôm</t>
        </is>
      </c>
      <c r="D295" t="inlineStr">
        <is>
          <t>PHỤ_KIỆN_VAN</t>
        </is>
      </c>
      <c r="E295" t="inlineStr">
        <is>
          <t>MAT-DAMPER-BANH-RANG-VAN-NHOM</t>
        </is>
      </c>
      <c r="F295" t="inlineStr">
        <is>
          <t>Bộ</t>
        </is>
      </c>
      <c r="G295" s="394" t="n">
        <v>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Cơ cấu liên động bánh răng van</t>
        </is>
      </c>
    </row>
    <row r="296">
      <c r="A296" t="inlineStr">
        <is>
          <t>SW-DAMPER-115-ACTUATOR</t>
        </is>
      </c>
      <c r="B296" t="inlineStr">
        <is>
          <t>SW-DAMPER-115</t>
        </is>
      </c>
      <c r="C296" t="inlineStr">
        <is>
          <t>Động cơ chặn lửa ON/OFF 9Nm, 24V (BELIMO BFN 24 hoặc tương đương)</t>
        </is>
      </c>
      <c r="D296" t="inlineStr">
        <is>
          <t>ĐỘNG_CƠ_VÀ_CẢM_BIẾN</t>
        </is>
      </c>
      <c r="E296" t="inlineStr">
        <is>
          <t>MAT-ACTUATOR-BELIMO-BFN24</t>
        </is>
      </c>
      <c r="F296" t="inlineStr">
        <is>
          <t>Cái</t>
        </is>
      </c>
      <c r="G296" s="394" t="n">
        <v>1</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Động cơ lò xo phản hồi cho MFD (S=0.32m2)</t>
        </is>
      </c>
    </row>
    <row r="297">
      <c r="A297" t="inlineStr">
        <is>
          <t>SW-DAMPER-115-FIRE_INSULATION</t>
        </is>
      </c>
      <c r="B297" t="inlineStr">
        <is>
          <t>SW-DAMPER-115</t>
        </is>
      </c>
      <c r="C297" t="inlineStr">
        <is>
          <t>Bọc cách nhiệt chống cháy tấm MGO/Thạch cao (Tiêu chuẩn EI)</t>
        </is>
      </c>
      <c r="D297" t="inlineStr">
        <is>
          <t>VẬT_LIỆU_CÁCH_NHIỆT</t>
        </is>
      </c>
      <c r="E297" t="inlineStr">
        <is>
          <t>MAT-INSULATION-EI-DAMPER</t>
        </is>
      </c>
      <c r="F297" t="inlineStr">
        <is>
          <t>m2</t>
        </is>
      </c>
      <c r="G297" s="394" t="n">
        <v>0.9387840000000002</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Bọc chống cháy vỏ van (Lưu ý: Giá vật tư đang TẠM TÍNH 300k/m2)</t>
        </is>
      </c>
    </row>
    <row r="298">
      <c r="A298" t="inlineStr">
        <is>
          <t>SW-DAMPER-116-BODY</t>
        </is>
      </c>
      <c r="B298" t="inlineStr">
        <is>
          <t>SW-DAMPER-116</t>
        </is>
      </c>
      <c r="C298" t="inlineStr">
        <is>
          <t>Thân vỏ van MFD bích TDF (1.15mm)</t>
        </is>
      </c>
      <c r="D298" t="inlineStr">
        <is>
          <t>TÔN_CUỘN_MẠ_KẼM</t>
        </is>
      </c>
      <c r="E298" t="inlineStr">
        <is>
          <t>MAT-STEEL-PN-1.15</t>
        </is>
      </c>
      <c r="F298" t="inlineStr">
        <is>
          <t>kg</t>
        </is>
      </c>
      <c r="G298" s="394" t="n">
        <v>9.221049599999999</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Kích thước vỏ 1150.0x350.0x250mm</t>
        </is>
      </c>
    </row>
    <row r="299">
      <c r="A299" t="inlineStr">
        <is>
          <t>SW-DAMPER-116-BLADE</t>
        </is>
      </c>
      <c r="B299" t="inlineStr">
        <is>
          <t>SW-DAMPER-116</t>
        </is>
      </c>
      <c r="C299" t="inlineStr">
        <is>
          <t>Lá cánh van (2 cánh overlap)</t>
        </is>
      </c>
      <c r="D299" t="inlineStr">
        <is>
          <t>TÔN_CUỘN_MẠ_KẼM</t>
        </is>
      </c>
      <c r="E299" t="inlineStr">
        <is>
          <t>MAT-STEEL-PN-1.15</t>
        </is>
      </c>
      <c r="F299" t="inlineStr">
        <is>
          <t>kg</t>
        </is>
      </c>
      <c r="G299" s="394" t="n">
        <v>4.372740449999998</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2 cánh cao 195mm</t>
        </is>
      </c>
    </row>
    <row r="300">
      <c r="A300" t="inlineStr">
        <is>
          <t>SW-DAMPER-116-AXLE</t>
        </is>
      </c>
      <c r="B300" t="inlineStr">
        <is>
          <t>SW-DAMPER-116</t>
        </is>
      </c>
      <c r="C300" t="inlineStr">
        <is>
          <t>Trục Sus 201 D10</t>
        </is>
      </c>
      <c r="D300" t="inlineStr">
        <is>
          <t>PHỤ_KIỆN_VAN</t>
        </is>
      </c>
      <c r="E300" t="inlineStr">
        <is>
          <t>MAT-DAMPER-TRUC-SUS-201-D10</t>
        </is>
      </c>
      <c r="F300" t="inlineStr">
        <is>
          <t>m</t>
        </is>
      </c>
      <c r="G300" s="394" t="n">
        <v>2.42</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2 trục dài 1210mm</t>
        </is>
      </c>
    </row>
    <row r="301">
      <c r="A301" t="inlineStr">
        <is>
          <t>SW-DAMPER-116-BEARING</t>
        </is>
      </c>
      <c r="B301" t="inlineStr">
        <is>
          <t>SW-DAMPER-116</t>
        </is>
      </c>
      <c r="C301" t="inlineStr">
        <is>
          <t>Bạc đồng D10</t>
        </is>
      </c>
      <c r="D301" t="inlineStr">
        <is>
          <t>PHỤ_KIỆN_VAN</t>
        </is>
      </c>
      <c r="E301" t="inlineStr">
        <is>
          <t>MAT-DAMPER-BAC-DONG-D10</t>
        </is>
      </c>
      <c r="F301" t="inlineStr">
        <is>
          <t>Đôi</t>
        </is>
      </c>
      <c r="G301" s="394" t="n">
        <v>2</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2 đôi bạc đỡ 2 bên thân</t>
        </is>
      </c>
    </row>
    <row r="302">
      <c r="A302" t="inlineStr">
        <is>
          <t>SW-DAMPER-116-GEAR</t>
        </is>
      </c>
      <c r="B302" t="inlineStr">
        <is>
          <t>SW-DAMPER-116</t>
        </is>
      </c>
      <c r="C302" t="inlineStr">
        <is>
          <t>Bánh răng van nhôm</t>
        </is>
      </c>
      <c r="D302" t="inlineStr">
        <is>
          <t>PHỤ_KIỆN_VAN</t>
        </is>
      </c>
      <c r="E302" t="inlineStr">
        <is>
          <t>MAT-DAMPER-BANH-RANG-VAN-NHOM</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Cơ cấu liên động bánh răng van</t>
        </is>
      </c>
    </row>
    <row r="303">
      <c r="A303" t="inlineStr">
        <is>
          <t>SW-DAMPER-116-ACTUATOR</t>
        </is>
      </c>
      <c r="B303" t="inlineStr">
        <is>
          <t>SW-DAMPER-116</t>
        </is>
      </c>
      <c r="C303" t="inlineStr">
        <is>
          <t>Động cơ chặn lửa ON/OFF 9Nm, 24V (BELIMO BFN 24 hoặc tương đương)</t>
        </is>
      </c>
      <c r="D303" t="inlineStr">
        <is>
          <t>ĐỘNG_CƠ_VÀ_CẢM_BIẾN</t>
        </is>
      </c>
      <c r="E303" t="inlineStr">
        <is>
          <t>MAT-ACTUATOR-BELIMO-BFN24</t>
        </is>
      </c>
      <c r="F303" t="inlineStr">
        <is>
          <t>Cái</t>
        </is>
      </c>
      <c r="G303" s="394" t="n">
        <v>1</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Động cơ lò xo phản hồi cho MFD (S=0.40m2)</t>
        </is>
      </c>
    </row>
    <row r="304">
      <c r="A304" t="inlineStr">
        <is>
          <t>SW-DAMPER-116-FIRE_INSULATION</t>
        </is>
      </c>
      <c r="B304" t="inlineStr">
        <is>
          <t>SW-DAMPER-116</t>
        </is>
      </c>
      <c r="C304" t="inlineStr">
        <is>
          <t>Bọc cách nhiệt chống cháy tấm MGO/Thạch cao (Tiêu chuẩn EI)</t>
        </is>
      </c>
      <c r="D304" t="inlineStr">
        <is>
          <t>VẬT_LIỆU_CÁCH_NHIỆT</t>
        </is>
      </c>
      <c r="E304" t="inlineStr">
        <is>
          <t>MAT-INSULATION-EI-DAMPER</t>
        </is>
      </c>
      <c r="F304" t="inlineStr">
        <is>
          <t>m2</t>
        </is>
      </c>
      <c r="G304" s="394" t="n">
        <v>1.123584</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Bọc chống cháy vỏ van (Lưu ý: Giá vật tư đang TẠM TÍNH 300k/m2)</t>
        </is>
      </c>
    </row>
    <row r="305">
      <c r="A305" t="inlineStr">
        <is>
          <t>SW-DAMPER-117-BODY</t>
        </is>
      </c>
      <c r="B305" t="inlineStr">
        <is>
          <t>SW-DAMPER-117</t>
        </is>
      </c>
      <c r="C305" t="inlineStr">
        <is>
          <t>Thân vỏ van MFD bích TDF (1.15mm)</t>
        </is>
      </c>
      <c r="D305" t="inlineStr">
        <is>
          <t>TÔN_CUỘN_MẠ_KẼM</t>
        </is>
      </c>
      <c r="E305" t="inlineStr">
        <is>
          <t>MAT-STEEL-PN-1.15</t>
        </is>
      </c>
      <c r="F305" t="inlineStr">
        <is>
          <t>kg</t>
        </is>
      </c>
      <c r="G305" s="394" t="n">
        <v>10.1310216</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Kích thước vỏ 1200.0x450.0x250mm</t>
        </is>
      </c>
    </row>
    <row r="306">
      <c r="A306" t="inlineStr">
        <is>
          <t>SW-DAMPER-117-BLADE</t>
        </is>
      </c>
      <c r="B306" t="inlineStr">
        <is>
          <t>SW-DAMPER-117</t>
        </is>
      </c>
      <c r="C306" t="inlineStr">
        <is>
          <t>Lá cánh van (3 cánh overlap)</t>
        </is>
      </c>
      <c r="D306" t="inlineStr">
        <is>
          <t>TÔN_CUỘN_MẠ_KẼM</t>
        </is>
      </c>
      <c r="E306" t="inlineStr">
        <is>
          <t>MAT-STEEL-PN-1.15</t>
        </is>
      </c>
      <c r="F306" t="inlineStr">
        <is>
          <t>kg</t>
        </is>
      </c>
      <c r="G306" s="394" t="n">
        <v>5.966816399999999</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3 cánh cao 170mm</t>
        </is>
      </c>
    </row>
    <row r="307">
      <c r="A307" t="inlineStr">
        <is>
          <t>SW-DAMPER-117-AXLE</t>
        </is>
      </c>
      <c r="B307" t="inlineStr">
        <is>
          <t>SW-DAMPER-117</t>
        </is>
      </c>
      <c r="C307" t="inlineStr">
        <is>
          <t>Trục Sus 201 D10</t>
        </is>
      </c>
      <c r="D307" t="inlineStr">
        <is>
          <t>PHỤ_KIỆN_VAN</t>
        </is>
      </c>
      <c r="E307" t="inlineStr">
        <is>
          <t>MAT-DAMPER-TRUC-SUS-201-D10</t>
        </is>
      </c>
      <c r="F307" t="inlineStr">
        <is>
          <t>m</t>
        </is>
      </c>
      <c r="G307" s="394" t="n">
        <v>3.78</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3 trục dài 1260mm</t>
        </is>
      </c>
    </row>
    <row r="308">
      <c r="A308" t="inlineStr">
        <is>
          <t>SW-DAMPER-117-BEARING</t>
        </is>
      </c>
      <c r="B308" t="inlineStr">
        <is>
          <t>SW-DAMPER-117</t>
        </is>
      </c>
      <c r="C308" t="inlineStr">
        <is>
          <t>Bạc đồng D10</t>
        </is>
      </c>
      <c r="D308" t="inlineStr">
        <is>
          <t>PHỤ_KIỆN_VAN</t>
        </is>
      </c>
      <c r="E308" t="inlineStr">
        <is>
          <t>MAT-DAMPER-BAC-DONG-D10</t>
        </is>
      </c>
      <c r="F308" t="inlineStr">
        <is>
          <t>Đôi</t>
        </is>
      </c>
      <c r="G308" s="394" t="n">
        <v>3</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3 đôi bạc đỡ 2 bên thân</t>
        </is>
      </c>
    </row>
    <row r="309">
      <c r="A309" t="inlineStr">
        <is>
          <t>SW-DAMPER-117-GEAR</t>
        </is>
      </c>
      <c r="B309" t="inlineStr">
        <is>
          <t>SW-DAMPER-117</t>
        </is>
      </c>
      <c r="C309" t="inlineStr">
        <is>
          <t>Bánh răng van nhôm</t>
        </is>
      </c>
      <c r="D309" t="inlineStr">
        <is>
          <t>PHỤ_KIỆN_VAN</t>
        </is>
      </c>
      <c r="E309" t="inlineStr">
        <is>
          <t>MAT-DAMPER-BANH-RANG-VAN-NHOM</t>
        </is>
      </c>
      <c r="F309" t="inlineStr">
        <is>
          <t>Bộ</t>
        </is>
      </c>
      <c r="G309" s="394" t="n">
        <v>1</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Cơ cấu liên động bánh răng van</t>
        </is>
      </c>
    </row>
    <row r="310">
      <c r="A310" t="inlineStr">
        <is>
          <t>SW-DAMPER-117-ACTUATOR</t>
        </is>
      </c>
      <c r="B310" t="inlineStr">
        <is>
          <t>SW-DAMPER-117</t>
        </is>
      </c>
      <c r="C310" t="inlineStr">
        <is>
          <t>Động cơ chặn lửa ON/OFF 9Nm, 24V (BELIMO BFN 24 hoặc tương đương)</t>
        </is>
      </c>
      <c r="D310" t="inlineStr">
        <is>
          <t>ĐỘNG_CƠ_VÀ_CẢM_BIẾN</t>
        </is>
      </c>
      <c r="E310" t="inlineStr">
        <is>
          <t>MAT-ACTUATOR-BELIMO-BFN24</t>
        </is>
      </c>
      <c r="F310" t="inlineStr">
        <is>
          <t>Cái</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Động cơ lò xo phản hồi cho MFD (S=0.54m2)</t>
        </is>
      </c>
    </row>
    <row r="311">
      <c r="A311" t="inlineStr">
        <is>
          <t>SW-DAMPER-117-FIRE_INSULATION</t>
        </is>
      </c>
      <c r="B311" t="inlineStr">
        <is>
          <t>SW-DAMPER-117</t>
        </is>
      </c>
      <c r="C311" t="inlineStr">
        <is>
          <t>Bọc cách nhiệt chống cháy tấm MGO/Thạch cao (Tiêu chuẩn EI)</t>
        </is>
      </c>
      <c r="D311" t="inlineStr">
        <is>
          <t>VẬT_LIỆU_CÁCH_NHIỆT</t>
        </is>
      </c>
      <c r="E311" t="inlineStr">
        <is>
          <t>MAT-INSULATION-EI-DAMPER</t>
        </is>
      </c>
      <c r="F311" t="inlineStr">
        <is>
          <t>m2</t>
        </is>
      </c>
      <c r="G311" s="394" t="n">
        <v>1.234464</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Bọc chống cháy vỏ van (Lưu ý: Giá vật tư đang TẠM TÍNH 300k/m2)</t>
        </is>
      </c>
    </row>
    <row r="312">
      <c r="A312" t="inlineStr">
        <is>
          <t>SW-DAMPER-118-BODY</t>
        </is>
      </c>
      <c r="B312" t="inlineStr">
        <is>
          <t>SW-DAMPER-118</t>
        </is>
      </c>
      <c r="C312" t="inlineStr">
        <is>
          <t>Thân vỏ van MFD bích TDF (1.15mm)</t>
        </is>
      </c>
      <c r="D312" t="inlineStr">
        <is>
          <t>TÔN_CUỘN_MẠ_KẼM</t>
        </is>
      </c>
      <c r="E312" t="inlineStr">
        <is>
          <t>MAT-STEEL-PN-1.15</t>
        </is>
      </c>
      <c r="F312" t="inlineStr">
        <is>
          <t>kg</t>
        </is>
      </c>
      <c r="G312" s="394" t="n">
        <v>5.8844856</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Kích thước vỏ 350.0x600.0x250mm</t>
        </is>
      </c>
    </row>
    <row r="313">
      <c r="A313" t="inlineStr">
        <is>
          <t>SW-DAMPER-118-BLADE</t>
        </is>
      </c>
      <c r="B313" t="inlineStr">
        <is>
          <t>SW-DAMPER-118</t>
        </is>
      </c>
      <c r="C313" t="inlineStr">
        <is>
          <t>Lá cánh van (4 cánh overlap)</t>
        </is>
      </c>
      <c r="D313" t="inlineStr">
        <is>
          <t>TÔN_CUỘN_MẠ_KẼM</t>
        </is>
      </c>
      <c r="E313" t="inlineStr">
        <is>
          <t>MAT-STEEL-PN-1.15</t>
        </is>
      </c>
      <c r="F313" t="inlineStr">
        <is>
          <t>kg</t>
        </is>
      </c>
      <c r="G313" s="394" t="n">
        <v>2.3204286</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4 cánh cao 170mm</t>
        </is>
      </c>
    </row>
    <row r="314">
      <c r="A314" t="inlineStr">
        <is>
          <t>SW-DAMPER-118-AXLE</t>
        </is>
      </c>
      <c r="B314" t="inlineStr">
        <is>
          <t>SW-DAMPER-118</t>
        </is>
      </c>
      <c r="C314" t="inlineStr">
        <is>
          <t>Trục Sus 201 D10</t>
        </is>
      </c>
      <c r="D314" t="inlineStr">
        <is>
          <t>PHỤ_KIỆN_VAN</t>
        </is>
      </c>
      <c r="E314" t="inlineStr">
        <is>
          <t>MAT-DAMPER-TRUC-SUS-201-D10</t>
        </is>
      </c>
      <c r="F314" t="inlineStr">
        <is>
          <t>m</t>
        </is>
      </c>
      <c r="G314" s="394" t="n">
        <v>1.64</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4 trục dài 410mm</t>
        </is>
      </c>
    </row>
    <row r="315">
      <c r="A315" t="inlineStr">
        <is>
          <t>SW-DAMPER-118-BEARING</t>
        </is>
      </c>
      <c r="B315" t="inlineStr">
        <is>
          <t>SW-DAMPER-118</t>
        </is>
      </c>
      <c r="C315" t="inlineStr">
        <is>
          <t>Bạc đồng D10</t>
        </is>
      </c>
      <c r="D315" t="inlineStr">
        <is>
          <t>PHỤ_KIỆN_VAN</t>
        </is>
      </c>
      <c r="E315" t="inlineStr">
        <is>
          <t>MAT-DAMPER-BAC-DONG-D10</t>
        </is>
      </c>
      <c r="F315" t="inlineStr">
        <is>
          <t>Đôi</t>
        </is>
      </c>
      <c r="G315" s="394" t="n">
        <v>4</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4 đôi bạc đỡ 2 bên thân</t>
        </is>
      </c>
    </row>
    <row r="316">
      <c r="A316" t="inlineStr">
        <is>
          <t>SW-DAMPER-118-GEAR</t>
        </is>
      </c>
      <c r="B316" t="inlineStr">
        <is>
          <t>SW-DAMPER-118</t>
        </is>
      </c>
      <c r="C316" t="inlineStr">
        <is>
          <t>Bánh răng van nhôm</t>
        </is>
      </c>
      <c r="D316" t="inlineStr">
        <is>
          <t>PHỤ_KIỆN_VAN</t>
        </is>
      </c>
      <c r="E316" t="inlineStr">
        <is>
          <t>MAT-DAMPER-BANH-RANG-VAN-NHOM</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Cơ cấu liên động bánh răng van</t>
        </is>
      </c>
    </row>
    <row r="317">
      <c r="A317" t="inlineStr">
        <is>
          <t>SW-DAMPER-118-ACTUATOR</t>
        </is>
      </c>
      <c r="B317" t="inlineStr">
        <is>
          <t>SW-DAMPER-118</t>
        </is>
      </c>
      <c r="C317" t="inlineStr">
        <is>
          <t>Động cơ chặn lửa ON/OFF 9Nm, 24V (BELIMO BFN 24 hoặc tương đương)</t>
        </is>
      </c>
      <c r="D317" t="inlineStr">
        <is>
          <t>ĐỘNG_CƠ_VÀ_CẢM_BIẾN</t>
        </is>
      </c>
      <c r="E317" t="inlineStr">
        <is>
          <t>MAT-ACTUATOR-BELIMO-BFN24</t>
        </is>
      </c>
      <c r="F317" t="inlineStr">
        <is>
          <t>Cái</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Động cơ lò xo phản hồi cho MFD (S=0.21m2)</t>
        </is>
      </c>
    </row>
    <row r="318">
      <c r="A318" t="inlineStr">
        <is>
          <t>SW-DAMPER-118-FIRE_INSULATION</t>
        </is>
      </c>
      <c r="B318" t="inlineStr">
        <is>
          <t>SW-DAMPER-118</t>
        </is>
      </c>
      <c r="C318" t="inlineStr">
        <is>
          <t>Bọc cách nhiệt chống cháy tấm MGO/Thạch cao (Tiêu chuẩn EI)</t>
        </is>
      </c>
      <c r="D318" t="inlineStr">
        <is>
          <t>VẬT_LIỆU_CÁCH_NHIỆT</t>
        </is>
      </c>
      <c r="E318" t="inlineStr">
        <is>
          <t>MAT-INSULATION-EI-DAMPER</t>
        </is>
      </c>
      <c r="F318" t="inlineStr">
        <is>
          <t>m2</t>
        </is>
      </c>
      <c r="G318" s="394" t="n">
        <v>0.7170240000000001</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Bọc chống cháy vỏ van (Lưu ý: Giá vật tư đang TẠM TÍNH 300k/m2)</t>
        </is>
      </c>
    </row>
    <row r="319">
      <c r="A319" t="inlineStr">
        <is>
          <t>SW-DAMPER-119-BODY</t>
        </is>
      </c>
      <c r="B319" t="inlineStr">
        <is>
          <t>SW-DAMPER-119</t>
        </is>
      </c>
      <c r="C319" t="inlineStr">
        <is>
          <t>Thân vỏ van MFD bích TDF (1.15mm)</t>
        </is>
      </c>
      <c r="D319" t="inlineStr">
        <is>
          <t>TÔN_CUỘN_MẠ_KẼM</t>
        </is>
      </c>
      <c r="E319" t="inlineStr">
        <is>
          <t>MAT-STEEL-PN-1.15</t>
        </is>
      </c>
      <c r="F319" t="inlineStr">
        <is>
          <t>kg</t>
        </is>
      </c>
      <c r="G319" s="394" t="n">
        <v>8.917725599999999</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Kích thước vỏ 1100.0x350.0x250mm</t>
        </is>
      </c>
    </row>
    <row r="320">
      <c r="A320" t="inlineStr">
        <is>
          <t>SW-DAMPER-119-BLADE</t>
        </is>
      </c>
      <c r="B320" t="inlineStr">
        <is>
          <t>SW-DAMPER-119</t>
        </is>
      </c>
      <c r="C320" t="inlineStr">
        <is>
          <t>Lá cánh van (2 cánh overlap)</t>
        </is>
      </c>
      <c r="D320" t="inlineStr">
        <is>
          <t>TÔN_CUỘN_MẠ_KẼM</t>
        </is>
      </c>
      <c r="E320" t="inlineStr">
        <is>
          <t>MAT-STEEL-PN-1.15</t>
        </is>
      </c>
      <c r="F320" t="inlineStr">
        <is>
          <t>kg</t>
        </is>
      </c>
      <c r="G320" s="394" t="n">
        <v>4.1826213</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2 cánh cao 195mm</t>
        </is>
      </c>
    </row>
    <row r="321">
      <c r="A321" t="inlineStr">
        <is>
          <t>SW-DAMPER-119-AXLE</t>
        </is>
      </c>
      <c r="B321" t="inlineStr">
        <is>
          <t>SW-DAMPER-119</t>
        </is>
      </c>
      <c r="C321" t="inlineStr">
        <is>
          <t>Trục Sus 201 D10</t>
        </is>
      </c>
      <c r="D321" t="inlineStr">
        <is>
          <t>PHỤ_KIỆN_VAN</t>
        </is>
      </c>
      <c r="E321" t="inlineStr">
        <is>
          <t>MAT-DAMPER-TRUC-SUS-201-D10</t>
        </is>
      </c>
      <c r="F321" t="inlineStr">
        <is>
          <t>m</t>
        </is>
      </c>
      <c r="G321" s="394" t="n">
        <v>2.32</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2 trục dài 1160mm</t>
        </is>
      </c>
    </row>
    <row r="322">
      <c r="A322" t="inlineStr">
        <is>
          <t>SW-DAMPER-119-BEARING</t>
        </is>
      </c>
      <c r="B322" t="inlineStr">
        <is>
          <t>SW-DAMPER-119</t>
        </is>
      </c>
      <c r="C322" t="inlineStr">
        <is>
          <t>Bạc đồng D10</t>
        </is>
      </c>
      <c r="D322" t="inlineStr">
        <is>
          <t>PHỤ_KIỆN_VAN</t>
        </is>
      </c>
      <c r="E322" t="inlineStr">
        <is>
          <t>MAT-DAMPER-BAC-DONG-D10</t>
        </is>
      </c>
      <c r="F322" t="inlineStr">
        <is>
          <t>Đôi</t>
        </is>
      </c>
      <c r="G322" s="394" t="n">
        <v>2</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2 đôi bạc đỡ 2 bên thân</t>
        </is>
      </c>
    </row>
    <row r="323">
      <c r="A323" t="inlineStr">
        <is>
          <t>SW-DAMPER-119-GEAR</t>
        </is>
      </c>
      <c r="B323" t="inlineStr">
        <is>
          <t>SW-DAMPER-119</t>
        </is>
      </c>
      <c r="C323" t="inlineStr">
        <is>
          <t>Bánh răng van nhôm</t>
        </is>
      </c>
      <c r="D323" t="inlineStr">
        <is>
          <t>PHỤ_KIỆN_VAN</t>
        </is>
      </c>
      <c r="E323" t="inlineStr">
        <is>
          <t>MAT-DAMPER-BANH-RANG-VAN-NHOM</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Cơ cấu liên động bánh răng van</t>
        </is>
      </c>
    </row>
    <row r="324">
      <c r="A324" t="inlineStr">
        <is>
          <t>SW-DAMPER-119-ACTUATOR</t>
        </is>
      </c>
      <c r="B324" t="inlineStr">
        <is>
          <t>SW-DAMPER-119</t>
        </is>
      </c>
      <c r="C324" t="inlineStr">
        <is>
          <t>Động cơ chặn lửa ON/OFF 9Nm, 24V (BELIMO BFN 24 hoặc tương đương)</t>
        </is>
      </c>
      <c r="D324" t="inlineStr">
        <is>
          <t>ĐỘNG_CƠ_VÀ_CẢM_BIẾN</t>
        </is>
      </c>
      <c r="E324" t="inlineStr">
        <is>
          <t>MAT-ACTUATOR-BELIMO-BFN24</t>
        </is>
      </c>
      <c r="F324" t="inlineStr">
        <is>
          <t>Cái</t>
        </is>
      </c>
      <c r="G324" s="394" t="n">
        <v>1</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Động cơ lò xo phản hồi cho MFD (S=0.39m2)</t>
        </is>
      </c>
    </row>
    <row r="325">
      <c r="A325" t="inlineStr">
        <is>
          <t>SW-DAMPER-119-FIRE_INSULATION</t>
        </is>
      </c>
      <c r="B325" t="inlineStr">
        <is>
          <t>SW-DAMPER-119</t>
        </is>
      </c>
      <c r="C325" t="inlineStr">
        <is>
          <t>Bọc cách nhiệt chống cháy tấm MGO/Thạch cao (Tiêu chuẩn EI)</t>
        </is>
      </c>
      <c r="D325" t="inlineStr">
        <is>
          <t>VẬT_LIỆU_CÁCH_NHIỆT</t>
        </is>
      </c>
      <c r="E325" t="inlineStr">
        <is>
          <t>MAT-INSULATION-EI-DAMPER</t>
        </is>
      </c>
      <c r="F325" t="inlineStr">
        <is>
          <t>m2</t>
        </is>
      </c>
      <c r="G325" s="394" t="n">
        <v>1.086624</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Bọc chống cháy vỏ van (Lưu ý: Giá vật tư đang TẠM TÍNH 300k/m2)</t>
        </is>
      </c>
    </row>
    <row r="326">
      <c r="A326" t="inlineStr">
        <is>
          <t>SW-DAMPER-120-BODY</t>
        </is>
      </c>
      <c r="B326" t="inlineStr">
        <is>
          <t>SW-DAMPER-120</t>
        </is>
      </c>
      <c r="C326" t="inlineStr">
        <is>
          <t>Thân vỏ van MFD bích TDF (1.15mm)</t>
        </is>
      </c>
      <c r="D326" t="inlineStr">
        <is>
          <t>TÔN_CUỘN_MẠ_KẼM</t>
        </is>
      </c>
      <c r="E326" t="inlineStr">
        <is>
          <t>MAT-STEEL-PN-1.15</t>
        </is>
      </c>
      <c r="F326" t="inlineStr">
        <is>
          <t>kg</t>
        </is>
      </c>
      <c r="G326" s="394" t="n">
        <v>8.311077600000001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Kích thước vỏ 1000.0x350.0x250mm</t>
        </is>
      </c>
    </row>
    <row r="327">
      <c r="A327" t="inlineStr">
        <is>
          <t>SW-DAMPER-120-BLADE</t>
        </is>
      </c>
      <c r="B327" t="inlineStr">
        <is>
          <t>SW-DAMPER-120</t>
        </is>
      </c>
      <c r="C327" t="inlineStr">
        <is>
          <t>Lá cánh van (2 cánh overlap)</t>
        </is>
      </c>
      <c r="D327" t="inlineStr">
        <is>
          <t>TÔN_CUỘN_MẠ_KẼM</t>
        </is>
      </c>
      <c r="E327" t="inlineStr">
        <is>
          <t>MAT-STEEL-PN-1.15</t>
        </is>
      </c>
      <c r="F327" t="inlineStr">
        <is>
          <t>kg</t>
        </is>
      </c>
      <c r="G327" s="394" t="n">
        <v>3.802382999999999</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2 cánh cao 195mm</t>
        </is>
      </c>
    </row>
    <row r="328">
      <c r="A328" t="inlineStr">
        <is>
          <t>SW-DAMPER-120-AXLE</t>
        </is>
      </c>
      <c r="B328" t="inlineStr">
        <is>
          <t>SW-DAMPER-120</t>
        </is>
      </c>
      <c r="C328" t="inlineStr">
        <is>
          <t>Trục Sus 201 D10</t>
        </is>
      </c>
      <c r="D328" t="inlineStr">
        <is>
          <t>PHỤ_KIỆN_VAN</t>
        </is>
      </c>
      <c r="E328" t="inlineStr">
        <is>
          <t>MAT-DAMPER-TRUC-SUS-201-D10</t>
        </is>
      </c>
      <c r="F328" t="inlineStr">
        <is>
          <t>m</t>
        </is>
      </c>
      <c r="G328" s="394" t="n">
        <v>2.12</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2 trục dài 1060mm</t>
        </is>
      </c>
    </row>
    <row r="329">
      <c r="A329" t="inlineStr">
        <is>
          <t>SW-DAMPER-120-BEARING</t>
        </is>
      </c>
      <c r="B329" t="inlineStr">
        <is>
          <t>SW-DAMPER-120</t>
        </is>
      </c>
      <c r="C329" t="inlineStr">
        <is>
          <t>Bạc đồng D10</t>
        </is>
      </c>
      <c r="D329" t="inlineStr">
        <is>
          <t>PHỤ_KIỆN_VAN</t>
        </is>
      </c>
      <c r="E329" t="inlineStr">
        <is>
          <t>MAT-DAMPER-BAC-DONG-D10</t>
        </is>
      </c>
      <c r="F329" t="inlineStr">
        <is>
          <t>Đôi</t>
        </is>
      </c>
      <c r="G329" s="394" t="n">
        <v>2</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2 đôi bạc đỡ 2 bên thân</t>
        </is>
      </c>
    </row>
    <row r="330">
      <c r="A330" t="inlineStr">
        <is>
          <t>SW-DAMPER-120-GEAR</t>
        </is>
      </c>
      <c r="B330" t="inlineStr">
        <is>
          <t>SW-DAMPER-120</t>
        </is>
      </c>
      <c r="C330" t="inlineStr">
        <is>
          <t>Bánh răng van nhôm</t>
        </is>
      </c>
      <c r="D330" t="inlineStr">
        <is>
          <t>PHỤ_KIỆN_VAN</t>
        </is>
      </c>
      <c r="E330" t="inlineStr">
        <is>
          <t>MAT-DAMPER-BANH-RANG-VAN-NHOM</t>
        </is>
      </c>
      <c r="F330" t="inlineStr">
        <is>
          <t>Bộ</t>
        </is>
      </c>
      <c r="G330" s="394" t="n">
        <v>1</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Cơ cấu liên động bánh răng van</t>
        </is>
      </c>
    </row>
    <row r="331">
      <c r="A331" t="inlineStr">
        <is>
          <t>SW-DAMPER-120-ACTUATOR</t>
        </is>
      </c>
      <c r="B331" t="inlineStr">
        <is>
          <t>SW-DAMPER-120</t>
        </is>
      </c>
      <c r="C331" t="inlineStr">
        <is>
          <t>Động cơ chặn lửa ON/OFF 9Nm, 24V (BELIMO BFN 24 hoặc tương đương)</t>
        </is>
      </c>
      <c r="D331" t="inlineStr">
        <is>
          <t>ĐỘNG_CƠ_VÀ_CẢM_BIẾN</t>
        </is>
      </c>
      <c r="E331" t="inlineStr">
        <is>
          <t>MAT-ACTUATOR-BELIMO-BFN24</t>
        </is>
      </c>
      <c r="F331" t="inlineStr">
        <is>
          <t>Cái</t>
        </is>
      </c>
      <c r="G331" s="394" t="n">
        <v>1</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Động cơ lò xo phản hồi cho MFD (S=0.35m2)</t>
        </is>
      </c>
    </row>
    <row r="332">
      <c r="A332" t="inlineStr">
        <is>
          <t>SW-DAMPER-120-FIRE_INSULATION</t>
        </is>
      </c>
      <c r="B332" t="inlineStr">
        <is>
          <t>SW-DAMPER-120</t>
        </is>
      </c>
      <c r="C332" t="inlineStr">
        <is>
          <t>Bọc cách nhiệt chống cháy tấm MGO/Thạch cao (Tiêu chuẩn EI)</t>
        </is>
      </c>
      <c r="D332" t="inlineStr">
        <is>
          <t>VẬT_LIỆU_CÁCH_NHIỆT</t>
        </is>
      </c>
      <c r="E332" t="inlineStr">
        <is>
          <t>MAT-INSULATION-EI-DAMPER</t>
        </is>
      </c>
      <c r="F332" t="inlineStr">
        <is>
          <t>m2</t>
        </is>
      </c>
      <c r="G332" s="394" t="n">
        <v>1.012704</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Bọc chống cháy vỏ van (Lưu ý: Giá vật tư đang TẠM TÍNH 300k/m2)</t>
        </is>
      </c>
    </row>
    <row r="333">
      <c r="A333" t="inlineStr">
        <is>
          <t>SW-DAMPER-121-BODY</t>
        </is>
      </c>
      <c r="B333" t="inlineStr">
        <is>
          <t>SW-DAMPER-121</t>
        </is>
      </c>
      <c r="C333" t="inlineStr">
        <is>
          <t>Thân vỏ van MFD bích TDF (1.15mm)</t>
        </is>
      </c>
      <c r="D333" t="inlineStr">
        <is>
          <t>TÔN_CUỘN_MẠ_KẼM</t>
        </is>
      </c>
      <c r="E333" t="inlineStr">
        <is>
          <t>MAT-STEEL-PN-1.15</t>
        </is>
      </c>
      <c r="F333" t="inlineStr">
        <is>
          <t>kg</t>
        </is>
      </c>
      <c r="G333" s="394" t="n">
        <v>6.794457599999999</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Kích thước vỏ 800.0x300.0x250mm</t>
        </is>
      </c>
    </row>
    <row r="334">
      <c r="A334" t="inlineStr">
        <is>
          <t>SW-DAMPER-121-BLADE</t>
        </is>
      </c>
      <c r="B334" t="inlineStr">
        <is>
          <t>SW-DAMPER-121</t>
        </is>
      </c>
      <c r="C334" t="inlineStr">
        <is>
          <t>Lá cánh van (2 cánh overlap)</t>
        </is>
      </c>
      <c r="D334" t="inlineStr">
        <is>
          <t>TÔN_CUỘN_MẠ_KẼM</t>
        </is>
      </c>
      <c r="E334" t="inlineStr">
        <is>
          <t>MAT-STEEL-PN-1.15</t>
        </is>
      </c>
      <c r="F334" t="inlineStr">
        <is>
          <t>kg</t>
        </is>
      </c>
      <c r="G334" s="394" t="n">
        <v>2.6519184</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2 cánh cao 170mm</t>
        </is>
      </c>
    </row>
    <row r="335">
      <c r="A335" t="inlineStr">
        <is>
          <t>SW-DAMPER-121-AXLE</t>
        </is>
      </c>
      <c r="B335" t="inlineStr">
        <is>
          <t>SW-DAMPER-121</t>
        </is>
      </c>
      <c r="C335" t="inlineStr">
        <is>
          <t>Trục Sus 201 D10</t>
        </is>
      </c>
      <c r="D335" t="inlineStr">
        <is>
          <t>PHỤ_KIỆN_VAN</t>
        </is>
      </c>
      <c r="E335" t="inlineStr">
        <is>
          <t>MAT-DAMPER-TRUC-SUS-201-D10</t>
        </is>
      </c>
      <c r="F335" t="inlineStr">
        <is>
          <t>m</t>
        </is>
      </c>
      <c r="G335" s="394" t="n">
        <v>1.72</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2 trục dài 860mm</t>
        </is>
      </c>
    </row>
    <row r="336">
      <c r="A336" t="inlineStr">
        <is>
          <t>SW-DAMPER-121-BEARING</t>
        </is>
      </c>
      <c r="B336" t="inlineStr">
        <is>
          <t>SW-DAMPER-121</t>
        </is>
      </c>
      <c r="C336" t="inlineStr">
        <is>
          <t>Bạc đồng D10</t>
        </is>
      </c>
      <c r="D336" t="inlineStr">
        <is>
          <t>PHỤ_KIỆN_VAN</t>
        </is>
      </c>
      <c r="E336" t="inlineStr">
        <is>
          <t>MAT-DAMPER-BAC-DONG-D10</t>
        </is>
      </c>
      <c r="F336" t="inlineStr">
        <is>
          <t>Đôi</t>
        </is>
      </c>
      <c r="G336" s="394" t="n">
        <v>2</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2 đôi bạc đỡ 2 bên thân</t>
        </is>
      </c>
    </row>
    <row r="337">
      <c r="A337" t="inlineStr">
        <is>
          <t>SW-DAMPER-121-GEAR</t>
        </is>
      </c>
      <c r="B337" t="inlineStr">
        <is>
          <t>SW-DAMPER-121</t>
        </is>
      </c>
      <c r="C337" t="inlineStr">
        <is>
          <t>Bánh răng van nhôm</t>
        </is>
      </c>
      <c r="D337" t="inlineStr">
        <is>
          <t>PHỤ_KIỆN_VAN</t>
        </is>
      </c>
      <c r="E337" t="inlineStr">
        <is>
          <t>MAT-DAMPER-BANH-RANG-VAN-NHOM</t>
        </is>
      </c>
      <c r="F337" t="inlineStr">
        <is>
          <t>Bộ</t>
        </is>
      </c>
      <c r="G337" s="394" t="n">
        <v>1</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Cơ cấu liên động bánh răng van</t>
        </is>
      </c>
    </row>
    <row r="338">
      <c r="A338" t="inlineStr">
        <is>
          <t>SW-DAMPER-121-ACTUATOR</t>
        </is>
      </c>
      <c r="B338" t="inlineStr">
        <is>
          <t>SW-DAMPER-121</t>
        </is>
      </c>
      <c r="C338" t="inlineStr">
        <is>
          <t>Động cơ chặn lửa ON/OFF 9Nm, 24V (BELIMO BFN 24 hoặc tương đương)</t>
        </is>
      </c>
      <c r="D338" t="inlineStr">
        <is>
          <t>ĐỘNG_CƠ_VÀ_CẢM_BIẾN</t>
        </is>
      </c>
      <c r="E338" t="inlineStr">
        <is>
          <t>MAT-ACTUATOR-BELIMO-BFN24</t>
        </is>
      </c>
      <c r="F338" t="inlineStr">
        <is>
          <t>Cái</t>
        </is>
      </c>
      <c r="G338" s="394" t="n">
        <v>1</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Động cơ lò xo phản hồi cho MFD (S=0.24m2)</t>
        </is>
      </c>
    </row>
    <row r="339">
      <c r="A339" t="inlineStr">
        <is>
          <t>SW-DAMPER-121-FIRE_INSULATION</t>
        </is>
      </c>
      <c r="B339" t="inlineStr">
        <is>
          <t>SW-DAMPER-121</t>
        </is>
      </c>
      <c r="C339" t="inlineStr">
        <is>
          <t>Bọc cách nhiệt chống cháy tấm MGO/Thạch cao (Tiêu chuẩn EI)</t>
        </is>
      </c>
      <c r="D339" t="inlineStr">
        <is>
          <t>VẬT_LIỆU_CÁCH_NHIỆT</t>
        </is>
      </c>
      <c r="E339" t="inlineStr">
        <is>
          <t>MAT-INSULATION-EI-DAMPER</t>
        </is>
      </c>
      <c r="F339" t="inlineStr">
        <is>
          <t>m2</t>
        </is>
      </c>
      <c r="G339" s="394" t="n">
        <v>0.8279040000000002</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Bọc chống cháy vỏ van (Lưu ý: Giá vật tư đang TẠM TÍNH 300k/m2)</t>
        </is>
      </c>
    </row>
    <row r="340">
      <c r="A340" t="inlineStr">
        <is>
          <t>SW-DAMPER-122-BODY</t>
        </is>
      </c>
      <c r="B340" t="inlineStr">
        <is>
          <t>SW-DAMPER-122</t>
        </is>
      </c>
      <c r="C340" t="inlineStr">
        <is>
          <t>Thân vỏ van MFD bích TDF (1.15mm)</t>
        </is>
      </c>
      <c r="D340" t="inlineStr">
        <is>
          <t>TÔN_CUỘN_MẠ_KẼM</t>
        </is>
      </c>
      <c r="E340" t="inlineStr">
        <is>
          <t>MAT-STEEL-PN-1.15</t>
        </is>
      </c>
      <c r="F340" t="inlineStr">
        <is>
          <t>kg</t>
        </is>
      </c>
      <c r="G340" s="394" t="n">
        <v>6.4911336</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Kích thước vỏ 650.0x400.0x250mm</t>
        </is>
      </c>
    </row>
    <row r="341">
      <c r="A341" t="inlineStr">
        <is>
          <t>SW-DAMPER-122-BLADE</t>
        </is>
      </c>
      <c r="B341" t="inlineStr">
        <is>
          <t>SW-DAMPER-122</t>
        </is>
      </c>
      <c r="C341" t="inlineStr">
        <is>
          <t>Lá cánh van (3 cánh overlap)</t>
        </is>
      </c>
      <c r="D341" t="inlineStr">
        <is>
          <t>TÔN_CUỘN_MẠ_KẼM</t>
        </is>
      </c>
      <c r="E341" t="inlineStr">
        <is>
          <t>MAT-STEEL-PN-1.15</t>
        </is>
      </c>
      <c r="F341" t="inlineStr">
        <is>
          <t>kg</t>
        </is>
      </c>
      <c r="G341" s="394" t="n">
        <v>2.9151603</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3 cánh cao 153mm</t>
        </is>
      </c>
    </row>
    <row r="342">
      <c r="A342" t="inlineStr">
        <is>
          <t>SW-DAMPER-122-AXLE</t>
        </is>
      </c>
      <c r="B342" t="inlineStr">
        <is>
          <t>SW-DAMPER-122</t>
        </is>
      </c>
      <c r="C342" t="inlineStr">
        <is>
          <t>Trục Sus 201 D10</t>
        </is>
      </c>
      <c r="D342" t="inlineStr">
        <is>
          <t>PHỤ_KIỆN_VAN</t>
        </is>
      </c>
      <c r="E342" t="inlineStr">
        <is>
          <t>MAT-DAMPER-TRUC-SUS-201-D10</t>
        </is>
      </c>
      <c r="F342" t="inlineStr">
        <is>
          <t>m</t>
        </is>
      </c>
      <c r="G342" s="394" t="n">
        <v>2.13</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3 trục dài 710mm</t>
        </is>
      </c>
    </row>
    <row r="343">
      <c r="A343" t="inlineStr">
        <is>
          <t>SW-DAMPER-122-BEARING</t>
        </is>
      </c>
      <c r="B343" t="inlineStr">
        <is>
          <t>SW-DAMPER-122</t>
        </is>
      </c>
      <c r="C343" t="inlineStr">
        <is>
          <t>Bạc đồng D10</t>
        </is>
      </c>
      <c r="D343" t="inlineStr">
        <is>
          <t>PHỤ_KIỆN_VAN</t>
        </is>
      </c>
      <c r="E343" t="inlineStr">
        <is>
          <t>MAT-DAMPER-BAC-DONG-D10</t>
        </is>
      </c>
      <c r="F343" t="inlineStr">
        <is>
          <t>Đôi</t>
        </is>
      </c>
      <c r="G343" s="394" t="n">
        <v>3</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3 đôi bạc đỡ 2 bên thân</t>
        </is>
      </c>
    </row>
    <row r="344">
      <c r="A344" t="inlineStr">
        <is>
          <t>SW-DAMPER-122-GEAR</t>
        </is>
      </c>
      <c r="B344" t="inlineStr">
        <is>
          <t>SW-DAMPER-122</t>
        </is>
      </c>
      <c r="C344" t="inlineStr">
        <is>
          <t>Bánh răng van nhôm</t>
        </is>
      </c>
      <c r="D344" t="inlineStr">
        <is>
          <t>PHỤ_KIỆN_VAN</t>
        </is>
      </c>
      <c r="E344" t="inlineStr">
        <is>
          <t>MAT-DAMPER-BANH-RANG-VAN-NHOM</t>
        </is>
      </c>
      <c r="F344" t="inlineStr">
        <is>
          <t>Bộ</t>
        </is>
      </c>
      <c r="G344" s="394" t="n">
        <v>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Cơ cấu liên động bánh răng van</t>
        </is>
      </c>
    </row>
    <row r="345">
      <c r="A345" t="inlineStr">
        <is>
          <t>SW-DAMPER-122-ACTUATOR</t>
        </is>
      </c>
      <c r="B345" t="inlineStr">
        <is>
          <t>SW-DAMPER-122</t>
        </is>
      </c>
      <c r="C345" t="inlineStr">
        <is>
          <t>Động cơ chặn lửa ON/OFF 9Nm, 24V (BELIMO BFN 24 hoặc tương đương)</t>
        </is>
      </c>
      <c r="D345" t="inlineStr">
        <is>
          <t>ĐỘNG_CƠ_VÀ_CẢM_BIẾN</t>
        </is>
      </c>
      <c r="E345" t="inlineStr">
        <is>
          <t>MAT-ACTUATOR-BELIMO-BFN24</t>
        </is>
      </c>
      <c r="F345" t="inlineStr">
        <is>
          <t>Cái</t>
        </is>
      </c>
      <c r="G345" s="394" t="n">
        <v>1</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Động cơ lò xo phản hồi cho MFD (S=0.26m2)</t>
        </is>
      </c>
    </row>
    <row r="346">
      <c r="A346" t="inlineStr">
        <is>
          <t>SW-DAMPER-122-FIRE_INSULATION</t>
        </is>
      </c>
      <c r="B346" t="inlineStr">
        <is>
          <t>SW-DAMPER-122</t>
        </is>
      </c>
      <c r="C346" t="inlineStr">
        <is>
          <t>Bọc cách nhiệt chống cháy tấm MGO/Thạch cao (Tiêu chuẩn EI)</t>
        </is>
      </c>
      <c r="D346" t="inlineStr">
        <is>
          <t>VẬT_LIỆU_CÁCH_NHIỆT</t>
        </is>
      </c>
      <c r="E346" t="inlineStr">
        <is>
          <t>MAT-INSULATION-EI-DAMPER</t>
        </is>
      </c>
      <c r="F346" t="inlineStr">
        <is>
          <t>m2</t>
        </is>
      </c>
      <c r="G346" s="394" t="n">
        <v>0.7909440000000002</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Bọc chống cháy vỏ van (Lưu ý: Giá vật tư đang TẠM TÍNH 300k/m2)</t>
        </is>
      </c>
    </row>
    <row r="347">
      <c r="A347" t="inlineStr">
        <is>
          <t>SW-DAMPER-123-BODY</t>
        </is>
      </c>
      <c r="B347" t="inlineStr">
        <is>
          <t>SW-DAMPER-123</t>
        </is>
      </c>
      <c r="C347" t="inlineStr">
        <is>
          <t>Thân vỏ van VCD bích TDF (0.75mm)</t>
        </is>
      </c>
      <c r="D347" t="inlineStr">
        <is>
          <t>TÔN_CUỘN_MẠ_KẼM</t>
        </is>
      </c>
      <c r="E347" t="inlineStr">
        <is>
          <t>MAT-STEEL-PN-0.75</t>
        </is>
      </c>
      <c r="F347" t="inlineStr">
        <is>
          <t>kg</t>
        </is>
      </c>
      <c r="G347" s="394" t="n">
        <v>2.146347</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Kích thước vỏ 300x300x210mm</t>
        </is>
      </c>
    </row>
    <row r="348">
      <c r="A348" t="inlineStr">
        <is>
          <t>SW-DAMPER-123-BLADE</t>
        </is>
      </c>
      <c r="B348" t="inlineStr">
        <is>
          <t>SW-DAMPER-123</t>
        </is>
      </c>
      <c r="C348" t="inlineStr">
        <is>
          <t>Lá cánh van (2 cánh overlap)</t>
        </is>
      </c>
      <c r="D348" t="inlineStr">
        <is>
          <t>TÔN_CUỘN_MẠ_KẼM</t>
        </is>
      </c>
      <c r="E348" t="inlineStr">
        <is>
          <t>MAT-STEEL-PN-0.75</t>
        </is>
      </c>
      <c r="F348" t="inlineStr">
        <is>
          <t>kg</t>
        </is>
      </c>
      <c r="G348" s="394" t="n">
        <v>0.648567</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2 cánh cao 170mm</t>
        </is>
      </c>
    </row>
    <row r="349">
      <c r="A349" t="inlineStr">
        <is>
          <t>SW-DAMPER-123-AXLE</t>
        </is>
      </c>
      <c r="B349" t="inlineStr">
        <is>
          <t>SW-DAMPER-123</t>
        </is>
      </c>
      <c r="C349" t="inlineStr">
        <is>
          <t>Trục Sus 201 D10</t>
        </is>
      </c>
      <c r="D349" t="inlineStr">
        <is>
          <t>PHỤ_KIỆN_VAN</t>
        </is>
      </c>
      <c r="E349" t="inlineStr">
        <is>
          <t>MAT-DAMPER-TRUC-SUS-201-D10</t>
        </is>
      </c>
      <c r="F349" t="inlineStr">
        <is>
          <t>m</t>
        </is>
      </c>
      <c r="G349" s="394" t="n">
        <v>0.72</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2 trục dài 360mm</t>
        </is>
      </c>
    </row>
    <row r="350">
      <c r="A350" t="inlineStr">
        <is>
          <t>SW-DAMPER-123-BEARING</t>
        </is>
      </c>
      <c r="B350" t="inlineStr">
        <is>
          <t>SW-DAMPER-123</t>
        </is>
      </c>
      <c r="C350" t="inlineStr">
        <is>
          <t>Bạc đồng D10</t>
        </is>
      </c>
      <c r="D350" t="inlineStr">
        <is>
          <t>PHỤ_KIỆN_VAN</t>
        </is>
      </c>
      <c r="E350" t="inlineStr">
        <is>
          <t>MAT-DAMPER-BAC-DONG-D10</t>
        </is>
      </c>
      <c r="F350" t="inlineStr">
        <is>
          <t>Đôi</t>
        </is>
      </c>
      <c r="G350" s="394" t="n">
        <v>2</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2 đôi bạc đỡ 2 bên thân</t>
        </is>
      </c>
    </row>
    <row r="351">
      <c r="A351" t="inlineStr">
        <is>
          <t>SW-DAMPER-123-GEAR</t>
        </is>
      </c>
      <c r="B351" t="inlineStr">
        <is>
          <t>SW-DAMPER-123</t>
        </is>
      </c>
      <c r="C351" t="inlineStr">
        <is>
          <t>Bánh răng van nhôm</t>
        </is>
      </c>
      <c r="D351" t="inlineStr">
        <is>
          <t>PHỤ_KIỆN_VAN</t>
        </is>
      </c>
      <c r="E351" t="inlineStr">
        <is>
          <t>MAT-DAMPER-BANH-RANG-VAN-NHOM</t>
        </is>
      </c>
      <c r="F351" t="inlineStr">
        <is>
          <t>Bộ</t>
        </is>
      </c>
      <c r="G351" s="394" t="n">
        <v>1</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Cơ cấu liên động bánh răng van</t>
        </is>
      </c>
    </row>
    <row r="352">
      <c r="A352" t="inlineStr">
        <is>
          <t>SW-DAMPER-123-HANDLE</t>
        </is>
      </c>
      <c r="B352" t="inlineStr">
        <is>
          <t>SW-DAMPER-123</t>
        </is>
      </c>
      <c r="C352" t="inlineStr">
        <is>
          <t>Tay gạt nhỏ</t>
        </is>
      </c>
      <c r="D352" t="inlineStr">
        <is>
          <t>PHỤ_KIỆN_VAN</t>
        </is>
      </c>
      <c r="E352" t="inlineStr">
        <is>
          <t>MAT-DAMPER-TAY-GAT-NHO</t>
        </is>
      </c>
      <c r="F352" t="inlineStr">
        <is>
          <t>Bộ</t>
        </is>
      </c>
      <c r="G352" s="394" t="n">
        <v>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Tay gạt khóa vị trí nan (S=0.09m2)</t>
        </is>
      </c>
    </row>
    <row r="353">
      <c r="A353" t="inlineStr">
        <is>
          <t>SW-DAMPER-124-BODY</t>
        </is>
      </c>
      <c r="B353" t="inlineStr">
        <is>
          <t>SW-DAMPER-124</t>
        </is>
      </c>
      <c r="C353" t="inlineStr">
        <is>
          <t>Thân vỏ van VCD bích TDF (0.75mm)</t>
        </is>
      </c>
      <c r="D353" t="inlineStr">
        <is>
          <t>TÔN_CUỘN_MẠ_KẼM</t>
        </is>
      </c>
      <c r="E353" t="inlineStr">
        <is>
          <t>MAT-STEEL-PN-0.75</t>
        </is>
      </c>
      <c r="F353" t="inlineStr">
        <is>
          <t>kg</t>
        </is>
      </c>
      <c r="G353" s="394" t="n">
        <v>1.6270695</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Kích thước vỏ 250.0x200.0x210mm</t>
        </is>
      </c>
    </row>
    <row r="354">
      <c r="A354" t="inlineStr">
        <is>
          <t>SW-DAMPER-124-BLADE</t>
        </is>
      </c>
      <c r="B354" t="inlineStr">
        <is>
          <t>SW-DAMPER-124</t>
        </is>
      </c>
      <c r="C354" t="inlineStr">
        <is>
          <t>Lá cánh van (2 cánh overlap)</t>
        </is>
      </c>
      <c r="D354" t="inlineStr">
        <is>
          <t>TÔN_CUỘN_MẠ_KẼM</t>
        </is>
      </c>
      <c r="E354" t="inlineStr">
        <is>
          <t>MAT-STEEL-PN-0.75</t>
        </is>
      </c>
      <c r="F354" t="inlineStr">
        <is>
          <t>kg</t>
        </is>
      </c>
      <c r="G354" s="394" t="n">
        <v>0.38151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2 cánh cao 120mm</t>
        </is>
      </c>
    </row>
    <row r="355">
      <c r="A355" t="inlineStr">
        <is>
          <t>SW-DAMPER-124-AXLE</t>
        </is>
      </c>
      <c r="B355" t="inlineStr">
        <is>
          <t>SW-DAMPER-124</t>
        </is>
      </c>
      <c r="C355" t="inlineStr">
        <is>
          <t>Trục Sus 201 D10</t>
        </is>
      </c>
      <c r="D355" t="inlineStr">
        <is>
          <t>PHỤ_KIỆN_VAN</t>
        </is>
      </c>
      <c r="E355" t="inlineStr">
        <is>
          <t>MAT-DAMPER-TRUC-SUS-201-D10</t>
        </is>
      </c>
      <c r="F355" t="inlineStr">
        <is>
          <t>m</t>
        </is>
      </c>
      <c r="G355" s="394" t="n">
        <v>0.62</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2 trục dài 310mm</t>
        </is>
      </c>
    </row>
    <row r="356">
      <c r="A356" t="inlineStr">
        <is>
          <t>SW-DAMPER-124-BEARING</t>
        </is>
      </c>
      <c r="B356" t="inlineStr">
        <is>
          <t>SW-DAMPER-124</t>
        </is>
      </c>
      <c r="C356" t="inlineStr">
        <is>
          <t>Bạc đồng D10</t>
        </is>
      </c>
      <c r="D356" t="inlineStr">
        <is>
          <t>PHỤ_KIỆN_VAN</t>
        </is>
      </c>
      <c r="E356" t="inlineStr">
        <is>
          <t>MAT-DAMPER-BAC-DONG-D10</t>
        </is>
      </c>
      <c r="F356" t="inlineStr">
        <is>
          <t>Đôi</t>
        </is>
      </c>
      <c r="G356" s="394" t="n">
        <v>2</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2 đôi bạc đỡ 2 bên thân</t>
        </is>
      </c>
    </row>
    <row r="357">
      <c r="A357" t="inlineStr">
        <is>
          <t>SW-DAMPER-124-GEAR</t>
        </is>
      </c>
      <c r="B357" t="inlineStr">
        <is>
          <t>SW-DAMPER-124</t>
        </is>
      </c>
      <c r="C357" t="inlineStr">
        <is>
          <t>Bánh răng van nhôm</t>
        </is>
      </c>
      <c r="D357" t="inlineStr">
        <is>
          <t>PHỤ_KIỆN_VAN</t>
        </is>
      </c>
      <c r="E357" t="inlineStr">
        <is>
          <t>MAT-DAMPER-BANH-RANG-VAN-NHOM</t>
        </is>
      </c>
      <c r="F357" t="inlineStr">
        <is>
          <t>Bộ</t>
        </is>
      </c>
      <c r="G357" s="394" t="n">
        <v>1</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Cơ cấu liên động bánh răng van</t>
        </is>
      </c>
    </row>
    <row r="358">
      <c r="A358" t="inlineStr">
        <is>
          <t>SW-DAMPER-124-HANDLE</t>
        </is>
      </c>
      <c r="B358" t="inlineStr">
        <is>
          <t>SW-DAMPER-124</t>
        </is>
      </c>
      <c r="C358" t="inlineStr">
        <is>
          <t>Tay gạt nhỏ</t>
        </is>
      </c>
      <c r="D358" t="inlineStr">
        <is>
          <t>PHỤ_KIỆN_VAN</t>
        </is>
      </c>
      <c r="E358" t="inlineStr">
        <is>
          <t>MAT-DAMPER-TAY-GAT-NHO</t>
        </is>
      </c>
      <c r="F358" t="inlineStr">
        <is>
          <t>Bộ</t>
        </is>
      </c>
      <c r="G358" s="394" t="n">
        <v>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Tay gạt khóa vị trí nan (S=0.05m2)</t>
        </is>
      </c>
    </row>
    <row r="359">
      <c r="A359" t="inlineStr">
        <is>
          <t>SW-DAMPER-208-BODY</t>
        </is>
      </c>
      <c r="B359" t="inlineStr">
        <is>
          <t>SW-DAMPER-208</t>
        </is>
      </c>
      <c r="C359" t="inlineStr">
        <is>
          <t>Thân vỏ van NRD bích TDF (0.95mm)</t>
        </is>
      </c>
      <c r="D359" t="inlineStr">
        <is>
          <t>TÔN_CUỘN_MẠ_KẼM</t>
        </is>
      </c>
      <c r="E359" t="inlineStr">
        <is>
          <t>MAT-STEEL-PN-0.95</t>
        </is>
      </c>
      <c r="F359" t="inlineStr">
        <is>
          <t>kg</t>
        </is>
      </c>
      <c r="G359" s="394" t="n">
        <v>11.4887262</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Kích thước vỏ 1350.0x1250.0x210mm</t>
        </is>
      </c>
    </row>
    <row r="360">
      <c r="A360" t="inlineStr">
        <is>
          <t>SW-DAMPER-208-BLADE</t>
        </is>
      </c>
      <c r="B360" t="inlineStr">
        <is>
          <t>SW-DAMPER-208</t>
        </is>
      </c>
      <c r="C360" t="inlineStr">
        <is>
          <t>Lá cánh van (7 cánh overlap)</t>
        </is>
      </c>
      <c r="D360" t="inlineStr">
        <is>
          <t>TÔN_CUỘN_MẠ_KẼM</t>
        </is>
      </c>
      <c r="E360" t="inlineStr">
        <is>
          <t>MAT-STEEL-PN-0.75</t>
        </is>
      </c>
      <c r="F360" t="inlineStr">
        <is>
          <t>kg</t>
        </is>
      </c>
      <c r="G360" s="394" t="n">
        <v>11.93172525</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7 cánh cao 199mm</t>
        </is>
      </c>
    </row>
    <row r="361">
      <c r="A361" t="inlineStr">
        <is>
          <t>SW-DAMPER-208-AXLE</t>
        </is>
      </c>
      <c r="B361" t="inlineStr">
        <is>
          <t>SW-DAMPER-208</t>
        </is>
      </c>
      <c r="C361" t="inlineStr">
        <is>
          <t>Trục Sus 201 D10</t>
        </is>
      </c>
      <c r="D361" t="inlineStr">
        <is>
          <t>PHỤ_KIỆN_VAN</t>
        </is>
      </c>
      <c r="E361" t="inlineStr">
        <is>
          <t>MAT-DAMPER-TRUC-SUS-201-D10</t>
        </is>
      </c>
      <c r="F361" t="inlineStr">
        <is>
          <t>m</t>
        </is>
      </c>
      <c r="G361" s="394" t="n">
        <v>9.869999999999999</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7 trục dài 1410mm</t>
        </is>
      </c>
    </row>
    <row r="362">
      <c r="A362" t="inlineStr">
        <is>
          <t>SW-DAMPER-208-BEARING</t>
        </is>
      </c>
      <c r="B362" t="inlineStr">
        <is>
          <t>SW-DAMPER-208</t>
        </is>
      </c>
      <c r="C362" t="inlineStr">
        <is>
          <t>Bạc đồng D10</t>
        </is>
      </c>
      <c r="D362" t="inlineStr">
        <is>
          <t>PHỤ_KIỆN_VAN</t>
        </is>
      </c>
      <c r="E362" t="inlineStr">
        <is>
          <t>MAT-DAMPER-BAC-DONG-D10</t>
        </is>
      </c>
      <c r="F362" t="inlineStr">
        <is>
          <t>Đôi</t>
        </is>
      </c>
      <c r="G362" s="394" t="n">
        <v>7</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7 đôi bạc đỡ 2 bên thân</t>
        </is>
      </c>
    </row>
    <row r="363">
      <c r="A363" t="inlineStr">
        <is>
          <t>SW-DAMPER-208-GEAR</t>
        </is>
      </c>
      <c r="B363" t="inlineStr">
        <is>
          <t>SW-DAMPER-208</t>
        </is>
      </c>
      <c r="C363" t="inlineStr">
        <is>
          <t>Bánh răng van nhôm</t>
        </is>
      </c>
      <c r="D363" t="inlineStr">
        <is>
          <t>PHỤ_KIỆN_VAN</t>
        </is>
      </c>
      <c r="E363" t="inlineStr">
        <is>
          <t>MAT-DAMPER-BANH-RANG-VAN-NHOM</t>
        </is>
      </c>
      <c r="F363" t="inlineStr">
        <is>
          <t>Bộ</t>
        </is>
      </c>
      <c r="G363" s="394" t="n">
        <v>1</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Cơ cấu liên động bánh răng van</t>
        </is>
      </c>
    </row>
    <row r="364">
      <c r="A364" t="inlineStr">
        <is>
          <t>SW-DAMPER-208-ECCENTRIC</t>
        </is>
      </c>
      <c r="B364" t="inlineStr">
        <is>
          <t>SW-DAMPER-208</t>
        </is>
      </c>
      <c r="C364" t="inlineStr">
        <is>
          <t>Cơ cấu lệch tâm / Lò xo đóng mở (NRD)</t>
        </is>
      </c>
      <c r="D364" t="inlineStr">
        <is>
          <t>PHỤ_KIỆN_VAN</t>
        </is>
      </c>
      <c r="E364" t="inlineStr">
        <is>
          <t>ECCENTRIC_SHAFT</t>
        </is>
      </c>
      <c r="F364" t="inlineStr">
        <is>
          <t>Bộ</t>
        </is>
      </c>
      <c r="G364" s="394" t="n">
        <v>1</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Cơ cấu đóng mở một chiều</t>
        </is>
      </c>
    </row>
    <row r="365">
      <c r="A365" t="inlineStr">
        <is>
          <t>SW-DAMPER-209-BODY</t>
        </is>
      </c>
      <c r="B365" t="inlineStr">
        <is>
          <t>SW-DAMPER-209</t>
        </is>
      </c>
      <c r="C365" t="inlineStr">
        <is>
          <t>Thân vỏ van NRD bích TDF (0.95mm)</t>
        </is>
      </c>
      <c r="D365" t="inlineStr">
        <is>
          <t>TÔN_CUỘN_MẠ_KẼM</t>
        </is>
      </c>
      <c r="E365" t="inlineStr">
        <is>
          <t>MAT-STEEL-PN-0.95</t>
        </is>
      </c>
      <c r="F365" t="inlineStr">
        <is>
          <t>kg</t>
        </is>
      </c>
      <c r="G365" s="394" t="n">
        <v>8.199968699999999</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Kích thước vỏ 1250.0x600.0x210mm</t>
        </is>
      </c>
    </row>
    <row r="366">
      <c r="A366" t="inlineStr">
        <is>
          <t>SW-DAMPER-209-BLADE</t>
        </is>
      </c>
      <c r="B366" t="inlineStr">
        <is>
          <t>SW-DAMPER-209</t>
        </is>
      </c>
      <c r="C366" t="inlineStr">
        <is>
          <t>Lá cánh van (4 cánh overlap)</t>
        </is>
      </c>
      <c r="D366" t="inlineStr">
        <is>
          <t>TÔN_CUỘN_MẠ_KẼM</t>
        </is>
      </c>
      <c r="E366" t="inlineStr">
        <is>
          <t>MAT-STEEL-PN-0.75</t>
        </is>
      </c>
      <c r="F366" t="inlineStr">
        <is>
          <t>kg</t>
        </is>
      </c>
      <c r="G366" s="394" t="n">
        <v>5.404725</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4 cánh cao 170mm</t>
        </is>
      </c>
    </row>
    <row r="367">
      <c r="A367" t="inlineStr">
        <is>
          <t>SW-DAMPER-209-AXLE</t>
        </is>
      </c>
      <c r="B367" t="inlineStr">
        <is>
          <t>SW-DAMPER-209</t>
        </is>
      </c>
      <c r="C367" t="inlineStr">
        <is>
          <t>Trục Sus 201 D10</t>
        </is>
      </c>
      <c r="D367" t="inlineStr">
        <is>
          <t>PHỤ_KIỆN_VAN</t>
        </is>
      </c>
      <c r="E367" t="inlineStr">
        <is>
          <t>MAT-DAMPER-TRUC-SUS-201-D10</t>
        </is>
      </c>
      <c r="F367" t="inlineStr">
        <is>
          <t>m</t>
        </is>
      </c>
      <c r="G367" s="394" t="n">
        <v>5.24</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4 trục dài 1310mm</t>
        </is>
      </c>
    </row>
    <row r="368">
      <c r="A368" t="inlineStr">
        <is>
          <t>SW-DAMPER-209-BEARING</t>
        </is>
      </c>
      <c r="B368" t="inlineStr">
        <is>
          <t>SW-DAMPER-209</t>
        </is>
      </c>
      <c r="C368" t="inlineStr">
        <is>
          <t>Bạc đồng D10</t>
        </is>
      </c>
      <c r="D368" t="inlineStr">
        <is>
          <t>PHỤ_KIỆN_VAN</t>
        </is>
      </c>
      <c r="E368" t="inlineStr">
        <is>
          <t>MAT-DAMPER-BAC-DONG-D10</t>
        </is>
      </c>
      <c r="F368" t="inlineStr">
        <is>
          <t>Đôi</t>
        </is>
      </c>
      <c r="G368" s="394" t="n">
        <v>4</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4 đôi bạc đỡ 2 bên thân</t>
        </is>
      </c>
    </row>
    <row r="369">
      <c r="A369" t="inlineStr">
        <is>
          <t>SW-DAMPER-209-GEAR</t>
        </is>
      </c>
      <c r="B369" t="inlineStr">
        <is>
          <t>SW-DAMPER-209</t>
        </is>
      </c>
      <c r="C369" t="inlineStr">
        <is>
          <t>Bánh răng van nhôm</t>
        </is>
      </c>
      <c r="D369" t="inlineStr">
        <is>
          <t>PHỤ_KIỆN_VAN</t>
        </is>
      </c>
      <c r="E369" t="inlineStr">
        <is>
          <t>MAT-DAMPER-BANH-RANG-VAN-NHOM</t>
        </is>
      </c>
      <c r="F369" t="inlineStr">
        <is>
          <t>Bộ</t>
        </is>
      </c>
      <c r="G369" s="394" t="n">
        <v>1</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Cơ cấu liên động bánh răng van</t>
        </is>
      </c>
    </row>
    <row r="370">
      <c r="A370" t="inlineStr">
        <is>
          <t>SW-DAMPER-209-ECCENTRIC</t>
        </is>
      </c>
      <c r="B370" t="inlineStr">
        <is>
          <t>SW-DAMPER-209</t>
        </is>
      </c>
      <c r="C370" t="inlineStr">
        <is>
          <t>Cơ cấu lệch tâm / Lò xo đóng mở (NRD)</t>
        </is>
      </c>
      <c r="D370" t="inlineStr">
        <is>
          <t>PHỤ_KIỆN_VAN</t>
        </is>
      </c>
      <c r="E370" t="inlineStr">
        <is>
          <t>ECCENTRIC_SHAFT</t>
        </is>
      </c>
      <c r="F370" t="inlineStr">
        <is>
          <t>Bộ</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Cơ cấu đóng mở một chiều</t>
        </is>
      </c>
    </row>
    <row r="371">
      <c r="A371" t="inlineStr">
        <is>
          <t>SW-DAMPER-210-BODY</t>
        </is>
      </c>
      <c r="B371" t="inlineStr">
        <is>
          <t>SW-DAMPER-210</t>
        </is>
      </c>
      <c r="C371" t="inlineStr">
        <is>
          <t>Thân vỏ van NRD bích TDF (0.75mm)</t>
        </is>
      </c>
      <c r="D371" t="inlineStr">
        <is>
          <t>TÔN_CUỘN_MẠ_KẼM</t>
        </is>
      </c>
      <c r="E371" t="inlineStr">
        <is>
          <t>MAT-STEEL-PN-0.75</t>
        </is>
      </c>
      <c r="F371" t="inlineStr">
        <is>
          <t>kg</t>
        </is>
      </c>
      <c r="G371" s="394" t="n">
        <v>3.7041795</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Kích thước vỏ 800.0x250.0x210mm</t>
        </is>
      </c>
    </row>
    <row r="372">
      <c r="A372" t="inlineStr">
        <is>
          <t>SW-DAMPER-210-BLADE</t>
        </is>
      </c>
      <c r="B372" t="inlineStr">
        <is>
          <t>SW-DAMPER-210</t>
        </is>
      </c>
      <c r="C372" t="inlineStr">
        <is>
          <t>Lá cánh van (2 cánh overlap)</t>
        </is>
      </c>
      <c r="D372" t="inlineStr">
        <is>
          <t>TÔN_CUỘN_MẠ_KẼM</t>
        </is>
      </c>
      <c r="E372" t="inlineStr">
        <is>
          <t>MAT-STEEL-PN-0.75</t>
        </is>
      </c>
      <c r="F372" t="inlineStr">
        <is>
          <t>kg</t>
        </is>
      </c>
      <c r="G372" s="394" t="n">
        <v>1.475172</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2 cánh cao 145mm</t>
        </is>
      </c>
    </row>
    <row r="373">
      <c r="A373" t="inlineStr">
        <is>
          <t>SW-DAMPER-210-AXLE</t>
        </is>
      </c>
      <c r="B373" t="inlineStr">
        <is>
          <t>SW-DAMPER-210</t>
        </is>
      </c>
      <c r="C373" t="inlineStr">
        <is>
          <t>Trục Sus 201 D10</t>
        </is>
      </c>
      <c r="D373" t="inlineStr">
        <is>
          <t>PHỤ_KIỆN_VAN</t>
        </is>
      </c>
      <c r="E373" t="inlineStr">
        <is>
          <t>MAT-DAMPER-TRUC-SUS-201-D10</t>
        </is>
      </c>
      <c r="F373" t="inlineStr">
        <is>
          <t>m</t>
        </is>
      </c>
      <c r="G373" s="394" t="n">
        <v>1.72</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2 trục dài 860mm</t>
        </is>
      </c>
    </row>
    <row r="374">
      <c r="A374" t="inlineStr">
        <is>
          <t>SW-DAMPER-210-BEARING</t>
        </is>
      </c>
      <c r="B374" t="inlineStr">
        <is>
          <t>SW-DAMPER-210</t>
        </is>
      </c>
      <c r="C374" t="inlineStr">
        <is>
          <t>Bạc đồng D10</t>
        </is>
      </c>
      <c r="D374" t="inlineStr">
        <is>
          <t>PHỤ_KIỆN_VAN</t>
        </is>
      </c>
      <c r="E374" t="inlineStr">
        <is>
          <t>MAT-DAMPER-BAC-DONG-D10</t>
        </is>
      </c>
      <c r="F374" t="inlineStr">
        <is>
          <t>Đôi</t>
        </is>
      </c>
      <c r="G374" s="394" t="n">
        <v>2</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2 đôi bạc đỡ 2 bên thân</t>
        </is>
      </c>
    </row>
    <row r="375">
      <c r="A375" t="inlineStr">
        <is>
          <t>SW-DAMPER-210-GEAR</t>
        </is>
      </c>
      <c r="B375" t="inlineStr">
        <is>
          <t>SW-DAMPER-210</t>
        </is>
      </c>
      <c r="C375" t="inlineStr">
        <is>
          <t>Bánh răng van nhôm</t>
        </is>
      </c>
      <c r="D375" t="inlineStr">
        <is>
          <t>PHỤ_KIỆN_VAN</t>
        </is>
      </c>
      <c r="E375" t="inlineStr">
        <is>
          <t>MAT-DAMPER-BANH-RANG-VAN-NHOM</t>
        </is>
      </c>
      <c r="F375" t="inlineStr">
        <is>
          <t>Bộ</t>
        </is>
      </c>
      <c r="G375" s="394" t="n">
        <v>1</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Cơ cấu liên động bánh răng van</t>
        </is>
      </c>
    </row>
    <row r="376">
      <c r="A376" t="inlineStr">
        <is>
          <t>SW-DAMPER-210-ECCENTRIC</t>
        </is>
      </c>
      <c r="B376" t="inlineStr">
        <is>
          <t>SW-DAMPER-210</t>
        </is>
      </c>
      <c r="C376" t="inlineStr">
        <is>
          <t>Cơ cấu lệch tâm / Lò xo đóng mở (NRD)</t>
        </is>
      </c>
      <c r="D376" t="inlineStr">
        <is>
          <t>PHỤ_KIỆN_VAN</t>
        </is>
      </c>
      <c r="E376" t="inlineStr">
        <is>
          <t>ECCENTRIC_SHAFT</t>
        </is>
      </c>
      <c r="F376" t="inlineStr">
        <is>
          <t>Bộ</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Cơ cấu đóng mở một chiều</t>
        </is>
      </c>
    </row>
    <row r="377">
      <c r="A377" t="inlineStr">
        <is>
          <t>SW-DAMPER-211-BODY</t>
        </is>
      </c>
      <c r="B377" t="inlineStr">
        <is>
          <t>SW-DAMPER-211</t>
        </is>
      </c>
      <c r="C377" t="inlineStr">
        <is>
          <t>Thân vỏ van NRD bích TDF (0.75mm)</t>
        </is>
      </c>
      <c r="D377" t="inlineStr">
        <is>
          <t>TÔN_CUỘN_MẠ_KẼM</t>
        </is>
      </c>
      <c r="E377" t="inlineStr">
        <is>
          <t>MAT-STEEL-PN-0.75</t>
        </is>
      </c>
      <c r="F377" t="inlineStr">
        <is>
          <t>kg</t>
        </is>
      </c>
      <c r="G377" s="394" t="n">
        <v>4.3965495</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Kích thước vỏ 800.0x450.0x210mm</t>
        </is>
      </c>
    </row>
    <row r="378">
      <c r="A378" t="inlineStr">
        <is>
          <t>SW-DAMPER-211-BLADE</t>
        </is>
      </c>
      <c r="B378" t="inlineStr">
        <is>
          <t>SW-DAMPER-211</t>
        </is>
      </c>
      <c r="C378" t="inlineStr">
        <is>
          <t>Lá cánh van (3 cánh overlap)</t>
        </is>
      </c>
      <c r="D378" t="inlineStr">
        <is>
          <t>TÔN_CUỘN_MẠ_KẼM</t>
        </is>
      </c>
      <c r="E378" t="inlineStr">
        <is>
          <t>MAT-STEEL-PN-0.75</t>
        </is>
      </c>
      <c r="F378" t="inlineStr">
        <is>
          <t>kg</t>
        </is>
      </c>
      <c r="G378" s="394" t="n">
        <v>2.594268</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3 cánh cao 170mm</t>
        </is>
      </c>
    </row>
    <row r="379">
      <c r="A379" t="inlineStr">
        <is>
          <t>SW-DAMPER-211-AXLE</t>
        </is>
      </c>
      <c r="B379" t="inlineStr">
        <is>
          <t>SW-DAMPER-211</t>
        </is>
      </c>
      <c r="C379" t="inlineStr">
        <is>
          <t>Trục Sus 201 D10</t>
        </is>
      </c>
      <c r="D379" t="inlineStr">
        <is>
          <t>PHỤ_KIỆN_VAN</t>
        </is>
      </c>
      <c r="E379" t="inlineStr">
        <is>
          <t>MAT-DAMPER-TRUC-SUS-201-D10</t>
        </is>
      </c>
      <c r="F379" t="inlineStr">
        <is>
          <t>m</t>
        </is>
      </c>
      <c r="G379" s="394" t="n">
        <v>2.58</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3 trục dài 860mm</t>
        </is>
      </c>
    </row>
    <row r="380">
      <c r="A380" t="inlineStr">
        <is>
          <t>SW-DAMPER-211-BEARING</t>
        </is>
      </c>
      <c r="B380" t="inlineStr">
        <is>
          <t>SW-DAMPER-211</t>
        </is>
      </c>
      <c r="C380" t="inlineStr">
        <is>
          <t>Bạc đồng D10</t>
        </is>
      </c>
      <c r="D380" t="inlineStr">
        <is>
          <t>PHỤ_KIỆN_VAN</t>
        </is>
      </c>
      <c r="E380" t="inlineStr">
        <is>
          <t>MAT-DAMPER-BAC-DONG-D10</t>
        </is>
      </c>
      <c r="F380" t="inlineStr">
        <is>
          <t>Đôi</t>
        </is>
      </c>
      <c r="G380" s="394" t="n">
        <v>3</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3 đôi bạc đỡ 2 bên thân</t>
        </is>
      </c>
    </row>
    <row r="381">
      <c r="A381" t="inlineStr">
        <is>
          <t>SW-DAMPER-211-GEAR</t>
        </is>
      </c>
      <c r="B381" t="inlineStr">
        <is>
          <t>SW-DAMPER-211</t>
        </is>
      </c>
      <c r="C381" t="inlineStr">
        <is>
          <t>Bánh răng van nhôm</t>
        </is>
      </c>
      <c r="D381" t="inlineStr">
        <is>
          <t>PHỤ_KIỆN_VAN</t>
        </is>
      </c>
      <c r="E381" t="inlineStr">
        <is>
          <t>MAT-DAMPER-BANH-RANG-VAN-NHOM</t>
        </is>
      </c>
      <c r="F381" t="inlineStr">
        <is>
          <t>Bộ</t>
        </is>
      </c>
      <c r="G381" s="394" t="n">
        <v>1</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Cơ cấu liên động bánh răng van</t>
        </is>
      </c>
    </row>
    <row r="382">
      <c r="A382" t="inlineStr">
        <is>
          <t>SW-DAMPER-211-ECCENTRIC</t>
        </is>
      </c>
      <c r="B382" t="inlineStr">
        <is>
          <t>SW-DAMPER-211</t>
        </is>
      </c>
      <c r="C382" t="inlineStr">
        <is>
          <t>Cơ cấu lệch tâm / Lò xo đóng mở (NRD)</t>
        </is>
      </c>
      <c r="D382" t="inlineStr">
        <is>
          <t>PHỤ_KIỆN_VAN</t>
        </is>
      </c>
      <c r="E382" t="inlineStr">
        <is>
          <t>ECCENTRIC_SHAFT</t>
        </is>
      </c>
      <c r="F382" t="inlineStr">
        <is>
          <t>Bộ</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Cơ cấu đóng mở một chiều</t>
        </is>
      </c>
    </row>
    <row r="383">
      <c r="A383" t="inlineStr">
        <is>
          <t>SW-DAMPER-212-BODY</t>
        </is>
      </c>
      <c r="B383" t="inlineStr">
        <is>
          <t>SW-DAMPER-212</t>
        </is>
      </c>
      <c r="C383" t="inlineStr">
        <is>
          <t>Thân vỏ van MFD bích TDF (1.15mm)</t>
        </is>
      </c>
      <c r="D383" t="inlineStr">
        <is>
          <t>TÔN_CUỘN_MẠ_KẼM</t>
        </is>
      </c>
      <c r="E383" t="inlineStr">
        <is>
          <t>MAT-STEEL-PN-1.15</t>
        </is>
      </c>
      <c r="F383" t="inlineStr">
        <is>
          <t>kg</t>
        </is>
      </c>
      <c r="G383" s="394" t="n">
        <v>15.8941776</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Kích thước vỏ 1350.0x1250.0x250mm</t>
        </is>
      </c>
    </row>
    <row r="384">
      <c r="A384" t="inlineStr">
        <is>
          <t>SW-DAMPER-212-BLADE</t>
        </is>
      </c>
      <c r="B384" t="inlineStr">
        <is>
          <t>SW-DAMPER-212</t>
        </is>
      </c>
      <c r="C384" t="inlineStr">
        <is>
          <t>Lá cánh van (7 cánh overlap)</t>
        </is>
      </c>
      <c r="D384" t="inlineStr">
        <is>
          <t>TÔN_CUỘN_MẠ_KẼM</t>
        </is>
      </c>
      <c r="E384" t="inlineStr">
        <is>
          <t>MAT-STEEL-PN-1.15</t>
        </is>
      </c>
      <c r="F384" t="inlineStr">
        <is>
          <t>kg</t>
        </is>
      </c>
      <c r="G384" s="394" t="n">
        <v>18.29531205</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7 cánh cao 199mm</t>
        </is>
      </c>
    </row>
    <row r="385">
      <c r="A385" t="inlineStr">
        <is>
          <t>SW-DAMPER-212-AXLE</t>
        </is>
      </c>
      <c r="B385" t="inlineStr">
        <is>
          <t>SW-DAMPER-212</t>
        </is>
      </c>
      <c r="C385" t="inlineStr">
        <is>
          <t>Trục Sus 201 D10</t>
        </is>
      </c>
      <c r="D385" t="inlineStr">
        <is>
          <t>PHỤ_KIỆN_VAN</t>
        </is>
      </c>
      <c r="E385" t="inlineStr">
        <is>
          <t>MAT-DAMPER-TRUC-SUS-201-D10</t>
        </is>
      </c>
      <c r="F385" t="inlineStr">
        <is>
          <t>m</t>
        </is>
      </c>
      <c r="G385" s="394" t="n">
        <v>9.869999999999999</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7 trục dài 1410mm</t>
        </is>
      </c>
    </row>
    <row r="386">
      <c r="A386" t="inlineStr">
        <is>
          <t>SW-DAMPER-212-BEARING</t>
        </is>
      </c>
      <c r="B386" t="inlineStr">
        <is>
          <t>SW-DAMPER-212</t>
        </is>
      </c>
      <c r="C386" t="inlineStr">
        <is>
          <t>Bạc đồng D10</t>
        </is>
      </c>
      <c r="D386" t="inlineStr">
        <is>
          <t>PHỤ_KIỆN_VAN</t>
        </is>
      </c>
      <c r="E386" t="inlineStr">
        <is>
          <t>MAT-DAMPER-BAC-DONG-D10</t>
        </is>
      </c>
      <c r="F386" t="inlineStr">
        <is>
          <t>Đôi</t>
        </is>
      </c>
      <c r="G386" s="394" t="n">
        <v>7</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7 đôi bạc đỡ 2 bên thân</t>
        </is>
      </c>
    </row>
    <row r="387">
      <c r="A387" t="inlineStr">
        <is>
          <t>SW-DAMPER-212-GEAR</t>
        </is>
      </c>
      <c r="B387" t="inlineStr">
        <is>
          <t>SW-DAMPER-212</t>
        </is>
      </c>
      <c r="C387" t="inlineStr">
        <is>
          <t>Bánh răng van nhôm</t>
        </is>
      </c>
      <c r="D387" t="inlineStr">
        <is>
          <t>PHỤ_KIỆN_VAN</t>
        </is>
      </c>
      <c r="E387" t="inlineStr">
        <is>
          <t>MAT-DAMPER-BANH-RANG-VAN-NHOM</t>
        </is>
      </c>
      <c r="F387" t="inlineStr">
        <is>
          <t>Bộ</t>
        </is>
      </c>
      <c r="G387" s="394" t="n">
        <v>1</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Cơ cấu liên động bánh răng van</t>
        </is>
      </c>
    </row>
    <row r="388">
      <c r="A388" t="inlineStr">
        <is>
          <t>SW-DAMPER-212-ACTUATOR</t>
        </is>
      </c>
      <c r="B388" t="inlineStr">
        <is>
          <t>SW-DAMPER-212</t>
        </is>
      </c>
      <c r="C388" t="inlineStr">
        <is>
          <t>Động cơ chặn lửa ON/OFF 18Nm, 24V (BELIMO BF 24 hoặc tương đương)</t>
        </is>
      </c>
      <c r="D388" t="inlineStr">
        <is>
          <t>ĐỘNG_CƠ_VÀ_CẢM_BIẾN</t>
        </is>
      </c>
      <c r="E388" t="inlineStr">
        <is>
          <t>MAT-ACTUATOR-BELIMO-BF24</t>
        </is>
      </c>
      <c r="F388" t="inlineStr">
        <is>
          <t>Cái</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Động cơ lò xo phản hồi cho MFD (S=1.69m2)</t>
        </is>
      </c>
    </row>
    <row r="389">
      <c r="A389" t="inlineStr">
        <is>
          <t>SW-DAMPER-212-FIRE_INSULATION</t>
        </is>
      </c>
      <c r="B389" t="inlineStr">
        <is>
          <t>SW-DAMPER-212</t>
        </is>
      </c>
      <c r="C389" t="inlineStr">
        <is>
          <t>Bọc cách nhiệt chống cháy tấm MGO/Thạch cao (Tiêu chuẩn EI)</t>
        </is>
      </c>
      <c r="D389" t="inlineStr">
        <is>
          <t>VẬT_LIỆU_CÁCH_NHIỆT</t>
        </is>
      </c>
      <c r="E389" t="inlineStr">
        <is>
          <t>MAT-INSULATION-EI-DAMPER</t>
        </is>
      </c>
      <c r="F389" t="inlineStr">
        <is>
          <t>m2</t>
        </is>
      </c>
      <c r="G389" s="394" t="n">
        <v>1.936704</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Bọc chống cháy vỏ van (Lưu ý: Giá vật tư đang TẠM TÍNH 300k/m2)</t>
        </is>
      </c>
    </row>
    <row r="390">
      <c r="A390" t="inlineStr">
        <is>
          <t>SW-DAMPER-213-BODY</t>
        </is>
      </c>
      <c r="B390" t="inlineStr">
        <is>
          <t>SW-DAMPER-213</t>
        </is>
      </c>
      <c r="C390" t="inlineStr">
        <is>
          <t>Thân vỏ van MFD bích TDF (1.15mm)</t>
        </is>
      </c>
      <c r="D390" t="inlineStr">
        <is>
          <t>TÔN_CUỘN_MẠ_KẼM</t>
        </is>
      </c>
      <c r="E390" t="inlineStr">
        <is>
          <t>MAT-STEEL-PN-1.15</t>
        </is>
      </c>
      <c r="F390" t="inlineStr">
        <is>
          <t>kg</t>
        </is>
      </c>
      <c r="G390" s="394" t="n">
        <v>11.3443176</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Kích thước vỏ 1250.0x600.0x250mm</t>
        </is>
      </c>
    </row>
    <row r="391">
      <c r="A391" t="inlineStr">
        <is>
          <t>SW-DAMPER-213-BLADE</t>
        </is>
      </c>
      <c r="B391" t="inlineStr">
        <is>
          <t>SW-DAMPER-213</t>
        </is>
      </c>
      <c r="C391" t="inlineStr">
        <is>
          <t>Lá cánh van (4 cánh overlap)</t>
        </is>
      </c>
      <c r="D391" t="inlineStr">
        <is>
          <t>TÔN_CUỘN_MẠ_KẼM</t>
        </is>
      </c>
      <c r="E391" t="inlineStr">
        <is>
          <t>MAT-STEEL-PN-1.15</t>
        </is>
      </c>
      <c r="F391" t="inlineStr">
        <is>
          <t>kg</t>
        </is>
      </c>
      <c r="G391" s="394" t="n">
        <v>8.287245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4 cánh cao 170mm</t>
        </is>
      </c>
    </row>
    <row r="392">
      <c r="A392" t="inlineStr">
        <is>
          <t>SW-DAMPER-213-AXLE</t>
        </is>
      </c>
      <c r="B392" t="inlineStr">
        <is>
          <t>SW-DAMPER-213</t>
        </is>
      </c>
      <c r="C392" t="inlineStr">
        <is>
          <t>Trục Sus 201 D10</t>
        </is>
      </c>
      <c r="D392" t="inlineStr">
        <is>
          <t>PHỤ_KIỆN_VAN</t>
        </is>
      </c>
      <c r="E392" t="inlineStr">
        <is>
          <t>MAT-DAMPER-TRUC-SUS-201-D10</t>
        </is>
      </c>
      <c r="F392" t="inlineStr">
        <is>
          <t>m</t>
        </is>
      </c>
      <c r="G392" s="394" t="n">
        <v>5.24</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4 trục dài 1310mm</t>
        </is>
      </c>
    </row>
    <row r="393">
      <c r="A393" t="inlineStr">
        <is>
          <t>SW-DAMPER-213-BEARING</t>
        </is>
      </c>
      <c r="B393" t="inlineStr">
        <is>
          <t>SW-DAMPER-213</t>
        </is>
      </c>
      <c r="C393" t="inlineStr">
        <is>
          <t>Bạc đồng D10</t>
        </is>
      </c>
      <c r="D393" t="inlineStr">
        <is>
          <t>PHỤ_KIỆN_VAN</t>
        </is>
      </c>
      <c r="E393" t="inlineStr">
        <is>
          <t>MAT-DAMPER-BAC-DONG-D10</t>
        </is>
      </c>
      <c r="F393" t="inlineStr">
        <is>
          <t>Đôi</t>
        </is>
      </c>
      <c r="G393" s="394" t="n">
        <v>4</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4 đôi bạc đỡ 2 bên thân</t>
        </is>
      </c>
    </row>
    <row r="394">
      <c r="A394" t="inlineStr">
        <is>
          <t>SW-DAMPER-213-GEAR</t>
        </is>
      </c>
      <c r="B394" t="inlineStr">
        <is>
          <t>SW-DAMPER-213</t>
        </is>
      </c>
      <c r="C394" t="inlineStr">
        <is>
          <t>Bánh răng van nhôm</t>
        </is>
      </c>
      <c r="D394" t="inlineStr">
        <is>
          <t>PHỤ_KIỆN_VAN</t>
        </is>
      </c>
      <c r="E394" t="inlineStr">
        <is>
          <t>MAT-DAMPER-BANH-RANG-VAN-NHOM</t>
        </is>
      </c>
      <c r="F394" t="inlineStr">
        <is>
          <t>Bộ</t>
        </is>
      </c>
      <c r="G394" s="394" t="n">
        <v>1</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Cơ cấu liên động bánh răng van</t>
        </is>
      </c>
    </row>
    <row r="395">
      <c r="A395" t="inlineStr">
        <is>
          <t>SW-DAMPER-213-ACTUATOR</t>
        </is>
      </c>
      <c r="B395" t="inlineStr">
        <is>
          <t>SW-DAMPER-213</t>
        </is>
      </c>
      <c r="C395" t="inlineStr">
        <is>
          <t>Động cơ chặn lửa ON/OFF 9Nm, 24V (BELIMO BFN 24 hoặc tương đương)</t>
        </is>
      </c>
      <c r="D395" t="inlineStr">
        <is>
          <t>ĐỘNG_CƠ_VÀ_CẢM_BIẾN</t>
        </is>
      </c>
      <c r="E395" t="inlineStr">
        <is>
          <t>MAT-ACTUATOR-BELIMO-BFN24</t>
        </is>
      </c>
      <c r="F395" t="inlineStr">
        <is>
          <t>Cái</t>
        </is>
      </c>
      <c r="G395" s="394" t="n">
        <v>1</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Động cơ lò xo phản hồi cho MFD (S=0.75m2)</t>
        </is>
      </c>
    </row>
    <row r="396">
      <c r="A396" t="inlineStr">
        <is>
          <t>SW-DAMPER-213-FIRE_INSULATION</t>
        </is>
      </c>
      <c r="B396" t="inlineStr">
        <is>
          <t>SW-DAMPER-213</t>
        </is>
      </c>
      <c r="C396" t="inlineStr">
        <is>
          <t>Bọc cách nhiệt chống cháy tấm MGO/Thạch cao (Tiêu chuẩn EI)</t>
        </is>
      </c>
      <c r="D396" t="inlineStr">
        <is>
          <t>VẬT_LIỆU_CÁCH_NHIỆT</t>
        </is>
      </c>
      <c r="E396" t="inlineStr">
        <is>
          <t>MAT-INSULATION-EI-DAMPER</t>
        </is>
      </c>
      <c r="F396" t="inlineStr">
        <is>
          <t>m2</t>
        </is>
      </c>
      <c r="G396" s="394" t="n">
        <v>1.382304</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Bọc chống cháy vỏ van (Lưu ý: Giá vật tư đang TẠM TÍNH 300k/m2)</t>
        </is>
      </c>
    </row>
    <row r="397">
      <c r="A397" t="inlineStr">
        <is>
          <t>SW-DAMPER-214-BODY</t>
        </is>
      </c>
      <c r="B397" t="inlineStr">
        <is>
          <t>SW-DAMPER-214</t>
        </is>
      </c>
      <c r="C397" t="inlineStr">
        <is>
          <t>Thân vỏ van MFD bích TDF (1.15mm)</t>
        </is>
      </c>
      <c r="D397" t="inlineStr">
        <is>
          <t>TÔN_CUỘN_MẠ_KẼM</t>
        </is>
      </c>
      <c r="E397" t="inlineStr">
        <is>
          <t>MAT-STEEL-PN-1.15</t>
        </is>
      </c>
      <c r="F397" t="inlineStr">
        <is>
          <t>kg</t>
        </is>
      </c>
      <c r="G397" s="394" t="n">
        <v>8.614401599999997</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Kích thước vỏ 1050.0x350.0x250mm</t>
        </is>
      </c>
    </row>
    <row r="398">
      <c r="A398" t="inlineStr">
        <is>
          <t>SW-DAMPER-214-BLADE</t>
        </is>
      </c>
      <c r="B398" t="inlineStr">
        <is>
          <t>SW-DAMPER-214</t>
        </is>
      </c>
      <c r="C398" t="inlineStr">
        <is>
          <t>Lá cánh van (2 cánh overlap)</t>
        </is>
      </c>
      <c r="D398" t="inlineStr">
        <is>
          <t>TÔN_CUỘN_MẠ_KẼM</t>
        </is>
      </c>
      <c r="E398" t="inlineStr">
        <is>
          <t>MAT-STEEL-PN-1.15</t>
        </is>
      </c>
      <c r="F398" t="inlineStr">
        <is>
          <t>kg</t>
        </is>
      </c>
      <c r="G398" s="394" t="n">
        <v>3.99250215</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2 cánh cao 195mm</t>
        </is>
      </c>
    </row>
    <row r="399">
      <c r="A399" t="inlineStr">
        <is>
          <t>SW-DAMPER-214-AXLE</t>
        </is>
      </c>
      <c r="B399" t="inlineStr">
        <is>
          <t>SW-DAMPER-214</t>
        </is>
      </c>
      <c r="C399" t="inlineStr">
        <is>
          <t>Trục Sus 201 D10</t>
        </is>
      </c>
      <c r="D399" t="inlineStr">
        <is>
          <t>PHỤ_KIỆN_VAN</t>
        </is>
      </c>
      <c r="E399" t="inlineStr">
        <is>
          <t>MAT-DAMPER-TRUC-SUS-201-D10</t>
        </is>
      </c>
      <c r="F399" t="inlineStr">
        <is>
          <t>m</t>
        </is>
      </c>
      <c r="G399" s="394" t="n">
        <v>2.22</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2 trục dài 1110mm</t>
        </is>
      </c>
    </row>
    <row r="400">
      <c r="A400" t="inlineStr">
        <is>
          <t>SW-DAMPER-214-BEARING</t>
        </is>
      </c>
      <c r="B400" t="inlineStr">
        <is>
          <t>SW-DAMPER-214</t>
        </is>
      </c>
      <c r="C400" t="inlineStr">
        <is>
          <t>Bạc đồng D10</t>
        </is>
      </c>
      <c r="D400" t="inlineStr">
        <is>
          <t>PHỤ_KIỆN_VAN</t>
        </is>
      </c>
      <c r="E400" t="inlineStr">
        <is>
          <t>MAT-DAMPER-BAC-DONG-D10</t>
        </is>
      </c>
      <c r="F400" t="inlineStr">
        <is>
          <t>Đôi</t>
        </is>
      </c>
      <c r="G400" s="394" t="n">
        <v>2</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2 đôi bạc đỡ 2 bên thân</t>
        </is>
      </c>
    </row>
    <row r="401">
      <c r="A401" t="inlineStr">
        <is>
          <t>SW-DAMPER-214-GEAR</t>
        </is>
      </c>
      <c r="B401" t="inlineStr">
        <is>
          <t>SW-DAMPER-214</t>
        </is>
      </c>
      <c r="C401" t="inlineStr">
        <is>
          <t>Bánh răng van nhôm</t>
        </is>
      </c>
      <c r="D401" t="inlineStr">
        <is>
          <t>PHỤ_KIỆN_VAN</t>
        </is>
      </c>
      <c r="E401" t="inlineStr">
        <is>
          <t>MAT-DAMPER-BANH-RANG-VAN-NHOM</t>
        </is>
      </c>
      <c r="F401" t="inlineStr">
        <is>
          <t>Bộ</t>
        </is>
      </c>
      <c r="G401" s="394" t="n">
        <v>1</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Cơ cấu liên động bánh răng van</t>
        </is>
      </c>
    </row>
    <row r="402">
      <c r="A402" t="inlineStr">
        <is>
          <t>SW-DAMPER-214-ACTUATOR</t>
        </is>
      </c>
      <c r="B402" t="inlineStr">
        <is>
          <t>SW-DAMPER-214</t>
        </is>
      </c>
      <c r="C402" t="inlineStr">
        <is>
          <t>Động cơ chặn lửa ON/OFF 9Nm, 24V (BELIMO BFN 24 hoặc tương đương)</t>
        </is>
      </c>
      <c r="D402" t="inlineStr">
        <is>
          <t>ĐỘNG_CƠ_VÀ_CẢM_BIẾN</t>
        </is>
      </c>
      <c r="E402" t="inlineStr">
        <is>
          <t>MAT-ACTUATOR-BELIMO-BFN24</t>
        </is>
      </c>
      <c r="F402" t="inlineStr">
        <is>
          <t>Cái</t>
        </is>
      </c>
      <c r="G402" s="394" t="n">
        <v>1</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Động cơ lò xo phản hồi cho MFD (S=0.37m2)</t>
        </is>
      </c>
    </row>
    <row r="403">
      <c r="A403" t="inlineStr">
        <is>
          <t>SW-DAMPER-214-FIRE_INSULATION</t>
        </is>
      </c>
      <c r="B403" t="inlineStr">
        <is>
          <t>SW-DAMPER-214</t>
        </is>
      </c>
      <c r="C403" t="inlineStr">
        <is>
          <t>Bọc cách nhiệt chống cháy tấm MGO/Thạch cao (Tiêu chuẩn EI)</t>
        </is>
      </c>
      <c r="D403" t="inlineStr">
        <is>
          <t>VẬT_LIỆU_CÁCH_NHIỆT</t>
        </is>
      </c>
      <c r="E403" t="inlineStr">
        <is>
          <t>MAT-INSULATION-EI-DAMPER</t>
        </is>
      </c>
      <c r="F403" t="inlineStr">
        <is>
          <t>m2</t>
        </is>
      </c>
      <c r="G403" s="394" t="n">
        <v>1.049664</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Bọc chống cháy vỏ van (Lưu ý: Giá vật tư đang TẠM TÍNH 300k/m2)</t>
        </is>
      </c>
    </row>
    <row r="404">
      <c r="A404" t="inlineStr">
        <is>
          <t>SW-DAMPER-215-BODY</t>
        </is>
      </c>
      <c r="B404" t="inlineStr">
        <is>
          <t>SW-DAMPER-215</t>
        </is>
      </c>
      <c r="C404" t="inlineStr">
        <is>
          <t>Thân vỏ van MFD bích TDF (1.15mm)</t>
        </is>
      </c>
      <c r="D404" t="inlineStr">
        <is>
          <t>TÔN_CUỘN_MẠ_KẼM</t>
        </is>
      </c>
      <c r="E404" t="inlineStr">
        <is>
          <t>MAT-STEEL-PN-1.15</t>
        </is>
      </c>
      <c r="F404" t="inlineStr">
        <is>
          <t>kg</t>
        </is>
      </c>
      <c r="G404" s="394" t="n">
        <v>7.097781599999999</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Kích thước vỏ 800.0x350.0x250mm</t>
        </is>
      </c>
    </row>
    <row r="405">
      <c r="A405" t="inlineStr">
        <is>
          <t>SW-DAMPER-215-BLADE</t>
        </is>
      </c>
      <c r="B405" t="inlineStr">
        <is>
          <t>SW-DAMPER-215</t>
        </is>
      </c>
      <c r="C405" t="inlineStr">
        <is>
          <t>Lá cánh van (2 cánh overlap)</t>
        </is>
      </c>
      <c r="D405" t="inlineStr">
        <is>
          <t>TÔN_CUỘN_MẠ_KẼM</t>
        </is>
      </c>
      <c r="E405" t="inlineStr">
        <is>
          <t>MAT-STEEL-PN-1.15</t>
        </is>
      </c>
      <c r="F405" t="inlineStr">
        <is>
          <t>kg</t>
        </is>
      </c>
      <c r="G405" s="394" t="n">
        <v>3.0419064</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2 cánh cao 195mm</t>
        </is>
      </c>
    </row>
    <row r="406">
      <c r="A406" t="inlineStr">
        <is>
          <t>SW-DAMPER-215-AXLE</t>
        </is>
      </c>
      <c r="B406" t="inlineStr">
        <is>
          <t>SW-DAMPER-215</t>
        </is>
      </c>
      <c r="C406" t="inlineStr">
        <is>
          <t>Trục Sus 201 D10</t>
        </is>
      </c>
      <c r="D406" t="inlineStr">
        <is>
          <t>PHỤ_KIỆN_VAN</t>
        </is>
      </c>
      <c r="E406" t="inlineStr">
        <is>
          <t>MAT-DAMPER-TRUC-SUS-201-D10</t>
        </is>
      </c>
      <c r="F406" t="inlineStr">
        <is>
          <t>m</t>
        </is>
      </c>
      <c r="G406" s="394" t="n">
        <v>1.72</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2 trục dài 860mm</t>
        </is>
      </c>
    </row>
    <row r="407">
      <c r="A407" t="inlineStr">
        <is>
          <t>SW-DAMPER-215-BEARING</t>
        </is>
      </c>
      <c r="B407" t="inlineStr">
        <is>
          <t>SW-DAMPER-215</t>
        </is>
      </c>
      <c r="C407" t="inlineStr">
        <is>
          <t>Bạc đồng D10</t>
        </is>
      </c>
      <c r="D407" t="inlineStr">
        <is>
          <t>PHỤ_KIỆN_VAN</t>
        </is>
      </c>
      <c r="E407" t="inlineStr">
        <is>
          <t>MAT-DAMPER-BAC-DONG-D10</t>
        </is>
      </c>
      <c r="F407" t="inlineStr">
        <is>
          <t>Đôi</t>
        </is>
      </c>
      <c r="G407" s="394" t="n">
        <v>2</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2 đôi bạc đỡ 2 bên thân</t>
        </is>
      </c>
    </row>
    <row r="408">
      <c r="A408" t="inlineStr">
        <is>
          <t>SW-DAMPER-215-GEAR</t>
        </is>
      </c>
      <c r="B408" t="inlineStr">
        <is>
          <t>SW-DAMPER-215</t>
        </is>
      </c>
      <c r="C408" t="inlineStr">
        <is>
          <t>Bánh răng van nhôm</t>
        </is>
      </c>
      <c r="D408" t="inlineStr">
        <is>
          <t>PHỤ_KIỆN_VAN</t>
        </is>
      </c>
      <c r="E408" t="inlineStr">
        <is>
          <t>MAT-DAMPER-BANH-RANG-VAN-NHOM</t>
        </is>
      </c>
      <c r="F408" t="inlineStr">
        <is>
          <t>Bộ</t>
        </is>
      </c>
      <c r="G408" s="394" t="n">
        <v>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Cơ cấu liên động bánh răng van</t>
        </is>
      </c>
    </row>
    <row r="409">
      <c r="A409" t="inlineStr">
        <is>
          <t>SW-DAMPER-215-ACTUATOR</t>
        </is>
      </c>
      <c r="B409" t="inlineStr">
        <is>
          <t>SW-DAMPER-215</t>
        </is>
      </c>
      <c r="C409" t="inlineStr">
        <is>
          <t>Động cơ chặn lửa ON/OFF 9Nm, 24V (BELIMO BFN 24 hoặc tương đương)</t>
        </is>
      </c>
      <c r="D409" t="inlineStr">
        <is>
          <t>ĐỘNG_CƠ_VÀ_CẢM_BIẾN</t>
        </is>
      </c>
      <c r="E409" t="inlineStr">
        <is>
          <t>MAT-ACTUATOR-BELIMO-BFN24</t>
        </is>
      </c>
      <c r="F409" t="inlineStr">
        <is>
          <t>Cái</t>
        </is>
      </c>
      <c r="G409" s="394" t="n">
        <v>1</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Động cơ lò xo phản hồi cho MFD (S=0.28m2)</t>
        </is>
      </c>
    </row>
    <row r="410">
      <c r="A410" t="inlineStr">
        <is>
          <t>SW-DAMPER-215-FIRE_INSULATION</t>
        </is>
      </c>
      <c r="B410" t="inlineStr">
        <is>
          <t>SW-DAMPER-215</t>
        </is>
      </c>
      <c r="C410" t="inlineStr">
        <is>
          <t>Bọc cách nhiệt chống cháy tấm MGO/Thạch cao (Tiêu chuẩn EI)</t>
        </is>
      </c>
      <c r="D410" t="inlineStr">
        <is>
          <t>VẬT_LIỆU_CÁCH_NHIỆT</t>
        </is>
      </c>
      <c r="E410" t="inlineStr">
        <is>
          <t>MAT-INSULATION-EI-DAMPER</t>
        </is>
      </c>
      <c r="F410" t="inlineStr">
        <is>
          <t>m2</t>
        </is>
      </c>
      <c r="G410" s="394" t="n">
        <v>0.8648640000000001</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Bọc chống cháy vỏ van (Lưu ý: Giá vật tư đang TẠM TÍNH 300k/m2)</t>
        </is>
      </c>
    </row>
    <row r="411">
      <c r="A411" t="inlineStr">
        <is>
          <t>SW-DAMPER-216-BODY</t>
        </is>
      </c>
      <c r="B411" t="inlineStr">
        <is>
          <t>SW-DAMPER-216</t>
        </is>
      </c>
      <c r="C411" t="inlineStr">
        <is>
          <t>Thân vỏ van MFD bích TDF (1.15mm)</t>
        </is>
      </c>
      <c r="D411" t="inlineStr">
        <is>
          <t>TÔN_CUỘN_MẠ_KẼM</t>
        </is>
      </c>
      <c r="E411" t="inlineStr">
        <is>
          <t>MAT-STEEL-PN-1.15</t>
        </is>
      </c>
      <c r="F411" t="inlineStr">
        <is>
          <t>kg</t>
        </is>
      </c>
      <c r="G411" s="394" t="n">
        <v>7.704429599999999</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Kích thước vỏ 900.0x350.0x250mm</t>
        </is>
      </c>
    </row>
    <row r="412">
      <c r="A412" t="inlineStr">
        <is>
          <t>SW-DAMPER-216-BLADE</t>
        </is>
      </c>
      <c r="B412" t="inlineStr">
        <is>
          <t>SW-DAMPER-216</t>
        </is>
      </c>
      <c r="C412" t="inlineStr">
        <is>
          <t>Lá cánh van (2 cánh overlap)</t>
        </is>
      </c>
      <c r="D412" t="inlineStr">
        <is>
          <t>TÔN_CUỘN_MẠ_KẼM</t>
        </is>
      </c>
      <c r="E412" t="inlineStr">
        <is>
          <t>MAT-STEEL-PN-1.15</t>
        </is>
      </c>
      <c r="F412" t="inlineStr">
        <is>
          <t>kg</t>
        </is>
      </c>
      <c r="G412" s="394" t="n">
        <v>3.4221447</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2 cánh cao 195mm</t>
        </is>
      </c>
    </row>
    <row r="413">
      <c r="A413" t="inlineStr">
        <is>
          <t>SW-DAMPER-216-AXLE</t>
        </is>
      </c>
      <c r="B413" t="inlineStr">
        <is>
          <t>SW-DAMPER-216</t>
        </is>
      </c>
      <c r="C413" t="inlineStr">
        <is>
          <t>Trục Sus 201 D10</t>
        </is>
      </c>
      <c r="D413" t="inlineStr">
        <is>
          <t>PHỤ_KIỆN_VAN</t>
        </is>
      </c>
      <c r="E413" t="inlineStr">
        <is>
          <t>MAT-DAMPER-TRUC-SUS-201-D10</t>
        </is>
      </c>
      <c r="F413" t="inlineStr">
        <is>
          <t>m</t>
        </is>
      </c>
      <c r="G413" s="394" t="n">
        <v>1.92</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2 trục dài 960mm</t>
        </is>
      </c>
    </row>
    <row r="414">
      <c r="A414" t="inlineStr">
        <is>
          <t>SW-DAMPER-216-BEARING</t>
        </is>
      </c>
      <c r="B414" t="inlineStr">
        <is>
          <t>SW-DAMPER-216</t>
        </is>
      </c>
      <c r="C414" t="inlineStr">
        <is>
          <t>Bạc đồng D10</t>
        </is>
      </c>
      <c r="D414" t="inlineStr">
        <is>
          <t>PHỤ_KIỆN_VAN</t>
        </is>
      </c>
      <c r="E414" t="inlineStr">
        <is>
          <t>MAT-DAMPER-BAC-DONG-D10</t>
        </is>
      </c>
      <c r="F414" t="inlineStr">
        <is>
          <t>Đôi</t>
        </is>
      </c>
      <c r="G414" s="394" t="n">
        <v>2</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2 đôi bạc đỡ 2 bên thân</t>
        </is>
      </c>
    </row>
    <row r="415">
      <c r="A415" t="inlineStr">
        <is>
          <t>SW-DAMPER-216-GEAR</t>
        </is>
      </c>
      <c r="B415" t="inlineStr">
        <is>
          <t>SW-DAMPER-216</t>
        </is>
      </c>
      <c r="C415" t="inlineStr">
        <is>
          <t>Bánh răng van nhôm</t>
        </is>
      </c>
      <c r="D415" t="inlineStr">
        <is>
          <t>PHỤ_KIỆN_VAN</t>
        </is>
      </c>
      <c r="E415" t="inlineStr">
        <is>
          <t>MAT-DAMPER-BANH-RANG-VAN-NHOM</t>
        </is>
      </c>
      <c r="F415" t="inlineStr">
        <is>
          <t>Bộ</t>
        </is>
      </c>
      <c r="G415" s="394" t="n">
        <v>1</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Cơ cấu liên động bánh răng van</t>
        </is>
      </c>
    </row>
    <row r="416">
      <c r="A416" t="inlineStr">
        <is>
          <t>SW-DAMPER-216-ACTUATOR</t>
        </is>
      </c>
      <c r="B416" t="inlineStr">
        <is>
          <t>SW-DAMPER-216</t>
        </is>
      </c>
      <c r="C416" t="inlineStr">
        <is>
          <t>Động cơ chặn lửa ON/OFF 9Nm, 24V (BELIMO BFN 24 hoặc tương đương)</t>
        </is>
      </c>
      <c r="D416" t="inlineStr">
        <is>
          <t>ĐỘNG_CƠ_VÀ_CẢM_BIẾN</t>
        </is>
      </c>
      <c r="E416" t="inlineStr">
        <is>
          <t>MAT-ACTUATOR-BELIMO-BFN24</t>
        </is>
      </c>
      <c r="F416" t="inlineStr">
        <is>
          <t>Cái</t>
        </is>
      </c>
      <c r="G416" s="394" t="n">
        <v>1</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Động cơ lò xo phản hồi cho MFD (S=0.32m2)</t>
        </is>
      </c>
    </row>
    <row r="417">
      <c r="A417" t="inlineStr">
        <is>
          <t>SW-DAMPER-216-FIRE_INSULATION</t>
        </is>
      </c>
      <c r="B417" t="inlineStr">
        <is>
          <t>SW-DAMPER-216</t>
        </is>
      </c>
      <c r="C417" t="inlineStr">
        <is>
          <t>Bọc cách nhiệt chống cháy tấm MGO/Thạch cao (Tiêu chuẩn EI)</t>
        </is>
      </c>
      <c r="D417" t="inlineStr">
        <is>
          <t>VẬT_LIỆU_CÁCH_NHIỆT</t>
        </is>
      </c>
      <c r="E417" t="inlineStr">
        <is>
          <t>MAT-INSULATION-EI-DAMPER</t>
        </is>
      </c>
      <c r="F417" t="inlineStr">
        <is>
          <t>m2</t>
        </is>
      </c>
      <c r="G417" s="394" t="n">
        <v>0.9387840000000002</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Bọc chống cháy vỏ van (Lưu ý: Giá vật tư đang TẠM TÍNH 300k/m2)</t>
        </is>
      </c>
    </row>
    <row r="418">
      <c r="A418" t="inlineStr">
        <is>
          <t>SW-DAMPER-217-BODY</t>
        </is>
      </c>
      <c r="B418" t="inlineStr">
        <is>
          <t>SW-DAMPER-217</t>
        </is>
      </c>
      <c r="C418" t="inlineStr">
        <is>
          <t>Thân vỏ van MFD bích TDF (1.15mm)</t>
        </is>
      </c>
      <c r="D418" t="inlineStr">
        <is>
          <t>TÔN_CUỘN_MẠ_KẼM</t>
        </is>
      </c>
      <c r="E418" t="inlineStr">
        <is>
          <t>MAT-STEEL-PN-1.15</t>
        </is>
      </c>
      <c r="F418" t="inlineStr">
        <is>
          <t>kg</t>
        </is>
      </c>
      <c r="G418" s="394" t="n">
        <v>7.704429599999999</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Kích thước vỏ 900.0x350.0x250mm</t>
        </is>
      </c>
    </row>
    <row r="419">
      <c r="A419" t="inlineStr">
        <is>
          <t>SW-DAMPER-217-BLADE</t>
        </is>
      </c>
      <c r="B419" t="inlineStr">
        <is>
          <t>SW-DAMPER-217</t>
        </is>
      </c>
      <c r="C419" t="inlineStr">
        <is>
          <t>Lá cánh van (2 cánh overlap)</t>
        </is>
      </c>
      <c r="D419" t="inlineStr">
        <is>
          <t>TÔN_CUỘN_MẠ_KẼM</t>
        </is>
      </c>
      <c r="E419" t="inlineStr">
        <is>
          <t>MAT-STEEL-PN-1.15</t>
        </is>
      </c>
      <c r="F419" t="inlineStr">
        <is>
          <t>kg</t>
        </is>
      </c>
      <c r="G419" s="394" t="n">
        <v>3.4221447</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2 cánh cao 195mm</t>
        </is>
      </c>
    </row>
    <row r="420">
      <c r="A420" t="inlineStr">
        <is>
          <t>SW-DAMPER-217-AXLE</t>
        </is>
      </c>
      <c r="B420" t="inlineStr">
        <is>
          <t>SW-DAMPER-217</t>
        </is>
      </c>
      <c r="C420" t="inlineStr">
        <is>
          <t>Trục Sus 201 D10</t>
        </is>
      </c>
      <c r="D420" t="inlineStr">
        <is>
          <t>PHỤ_KIỆN_VAN</t>
        </is>
      </c>
      <c r="E420" t="inlineStr">
        <is>
          <t>MAT-DAMPER-TRUC-SUS-201-D10</t>
        </is>
      </c>
      <c r="F420" t="inlineStr">
        <is>
          <t>m</t>
        </is>
      </c>
      <c r="G420" s="394" t="n">
        <v>1.92</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2 trục dài 960mm</t>
        </is>
      </c>
    </row>
    <row r="421">
      <c r="A421" t="inlineStr">
        <is>
          <t>SW-DAMPER-217-BEARING</t>
        </is>
      </c>
      <c r="B421" t="inlineStr">
        <is>
          <t>SW-DAMPER-217</t>
        </is>
      </c>
      <c r="C421" t="inlineStr">
        <is>
          <t>Bạc đồng D10</t>
        </is>
      </c>
      <c r="D421" t="inlineStr">
        <is>
          <t>PHỤ_KIỆN_VAN</t>
        </is>
      </c>
      <c r="E421" t="inlineStr">
        <is>
          <t>MAT-DAMPER-BAC-DONG-D10</t>
        </is>
      </c>
      <c r="F421" t="inlineStr">
        <is>
          <t>Đôi</t>
        </is>
      </c>
      <c r="G421" s="394" t="n">
        <v>2</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2 đôi bạc đỡ 2 bên thân</t>
        </is>
      </c>
    </row>
    <row r="422">
      <c r="A422" t="inlineStr">
        <is>
          <t>SW-DAMPER-217-GEAR</t>
        </is>
      </c>
      <c r="B422" t="inlineStr">
        <is>
          <t>SW-DAMPER-217</t>
        </is>
      </c>
      <c r="C422" t="inlineStr">
        <is>
          <t>Bánh răng van nhôm</t>
        </is>
      </c>
      <c r="D422" t="inlineStr">
        <is>
          <t>PHỤ_KIỆN_VAN</t>
        </is>
      </c>
      <c r="E422" t="inlineStr">
        <is>
          <t>MAT-DAMPER-BANH-RANG-VAN-NHOM</t>
        </is>
      </c>
      <c r="F422" t="inlineStr">
        <is>
          <t>Bộ</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Cơ cấu liên động bánh răng van</t>
        </is>
      </c>
    </row>
    <row r="423">
      <c r="A423" t="inlineStr">
        <is>
          <t>SW-DAMPER-217-ACTUATOR</t>
        </is>
      </c>
      <c r="B423" t="inlineStr">
        <is>
          <t>SW-DAMPER-217</t>
        </is>
      </c>
      <c r="C423" t="inlineStr">
        <is>
          <t>Động cơ chặn lửa ON/OFF 9Nm, 24V (BELIMO BFN 24 hoặc tương đương)</t>
        </is>
      </c>
      <c r="D423" t="inlineStr">
        <is>
          <t>ĐỘNG_CƠ_VÀ_CẢM_BIẾN</t>
        </is>
      </c>
      <c r="E423" t="inlineStr">
        <is>
          <t>MAT-ACTUATOR-BELIMO-BFN24</t>
        </is>
      </c>
      <c r="F423" t="inlineStr">
        <is>
          <t>Cái</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Động cơ lò xo phản hồi cho MFD (S=0.32m2)</t>
        </is>
      </c>
    </row>
    <row r="424">
      <c r="A424" t="inlineStr">
        <is>
          <t>SW-DAMPER-217-FIRE_INSULATION</t>
        </is>
      </c>
      <c r="B424" t="inlineStr">
        <is>
          <t>SW-DAMPER-217</t>
        </is>
      </c>
      <c r="C424" t="inlineStr">
        <is>
          <t>Bọc cách nhiệt chống cháy tấm MGO/Thạch cao (Tiêu chuẩn EI)</t>
        </is>
      </c>
      <c r="D424" t="inlineStr">
        <is>
          <t>VẬT_LIỆU_CÁCH_NHIỆT</t>
        </is>
      </c>
      <c r="E424" t="inlineStr">
        <is>
          <t>MAT-INSULATION-EI-DAMPER</t>
        </is>
      </c>
      <c r="F424" t="inlineStr">
        <is>
          <t>m2</t>
        </is>
      </c>
      <c r="G424" s="394" t="n">
        <v>0.9387840000000002</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Bọc chống cháy vỏ van (Lưu ý: Giá vật tư đang TẠM TÍNH 300k/m2)</t>
        </is>
      </c>
    </row>
    <row r="425">
      <c r="A425" t="inlineStr">
        <is>
          <t>SW-DAMPER-218-BODY</t>
        </is>
      </c>
      <c r="B425" t="inlineStr">
        <is>
          <t>SW-DAMPER-218</t>
        </is>
      </c>
      <c r="C425" t="inlineStr">
        <is>
          <t>Thân vỏ van MFD bích TDF (1.15mm)</t>
        </is>
      </c>
      <c r="D425" t="inlineStr">
        <is>
          <t>TÔN_CUỘN_MẠ_KẼM</t>
        </is>
      </c>
      <c r="E425" t="inlineStr">
        <is>
          <t>MAT-STEEL-PN-1.15</t>
        </is>
      </c>
      <c r="F425" t="inlineStr">
        <is>
          <t>kg</t>
        </is>
      </c>
      <c r="G425" s="394" t="n">
        <v>2.911910399999999</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Kích thước vỏ 110.0x350.0x250mm</t>
        </is>
      </c>
    </row>
    <row r="426">
      <c r="A426" t="inlineStr">
        <is>
          <t>SW-DAMPER-218-BLADE</t>
        </is>
      </c>
      <c r="B426" t="inlineStr">
        <is>
          <t>SW-DAMPER-218</t>
        </is>
      </c>
      <c r="C426" t="inlineStr">
        <is>
          <t>Lá cánh van (2 cánh overlap)</t>
        </is>
      </c>
      <c r="D426" t="inlineStr">
        <is>
          <t>TÔN_CUỘN_MẠ_KẼM</t>
        </is>
      </c>
      <c r="E426" t="inlineStr">
        <is>
          <t>MAT-STEEL-PN-1.15</t>
        </is>
      </c>
      <c r="F426" t="inlineStr">
        <is>
          <t>kg</t>
        </is>
      </c>
      <c r="G426" s="394" t="n">
        <v>0.41826213</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2 cánh cao 195mm</t>
        </is>
      </c>
    </row>
    <row r="427">
      <c r="A427" t="inlineStr">
        <is>
          <t>SW-DAMPER-218-AXLE</t>
        </is>
      </c>
      <c r="B427" t="inlineStr">
        <is>
          <t>SW-DAMPER-218</t>
        </is>
      </c>
      <c r="C427" t="inlineStr">
        <is>
          <t>Trục Sus 201 D10</t>
        </is>
      </c>
      <c r="D427" t="inlineStr">
        <is>
          <t>PHỤ_KIỆN_VAN</t>
        </is>
      </c>
      <c r="E427" t="inlineStr">
        <is>
          <t>MAT-DAMPER-TRUC-SUS-201-D10</t>
        </is>
      </c>
      <c r="F427" t="inlineStr">
        <is>
          <t>m</t>
        </is>
      </c>
      <c r="G427" s="394" t="n">
        <v>0.34</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2 trục dài 170mm</t>
        </is>
      </c>
    </row>
    <row r="428">
      <c r="A428" t="inlineStr">
        <is>
          <t>SW-DAMPER-218-BEARING</t>
        </is>
      </c>
      <c r="B428" t="inlineStr">
        <is>
          <t>SW-DAMPER-218</t>
        </is>
      </c>
      <c r="C428" t="inlineStr">
        <is>
          <t>Bạc đồng D10</t>
        </is>
      </c>
      <c r="D428" t="inlineStr">
        <is>
          <t>PHỤ_KIỆN_VAN</t>
        </is>
      </c>
      <c r="E428" t="inlineStr">
        <is>
          <t>MAT-DAMPER-BAC-DONG-D10</t>
        </is>
      </c>
      <c r="F428" t="inlineStr">
        <is>
          <t>Đôi</t>
        </is>
      </c>
      <c r="G428" s="394" t="n">
        <v>2</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2 đôi bạc đỡ 2 bên thân</t>
        </is>
      </c>
    </row>
    <row r="429">
      <c r="A429" t="inlineStr">
        <is>
          <t>SW-DAMPER-218-GEAR</t>
        </is>
      </c>
      <c r="B429" t="inlineStr">
        <is>
          <t>SW-DAMPER-218</t>
        </is>
      </c>
      <c r="C429" t="inlineStr">
        <is>
          <t>Bánh răng van nhôm</t>
        </is>
      </c>
      <c r="D429" t="inlineStr">
        <is>
          <t>PHỤ_KIỆN_VAN</t>
        </is>
      </c>
      <c r="E429" t="inlineStr">
        <is>
          <t>MAT-DAMPER-BANH-RANG-VAN-NHOM</t>
        </is>
      </c>
      <c r="F429" t="inlineStr">
        <is>
          <t>Bộ</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Cơ cấu liên động bánh răng van</t>
        </is>
      </c>
    </row>
    <row r="430">
      <c r="A430" t="inlineStr">
        <is>
          <t>SW-DAMPER-218-ACTUATOR</t>
        </is>
      </c>
      <c r="B430" t="inlineStr">
        <is>
          <t>SW-DAMPER-218</t>
        </is>
      </c>
      <c r="C430" t="inlineStr">
        <is>
          <t>Động cơ chặn lửa ON/OFF 9Nm, 24V (BELIMO BFN 24 hoặc tương đương)</t>
        </is>
      </c>
      <c r="D430" t="inlineStr">
        <is>
          <t>ĐỘNG_CƠ_VÀ_CẢM_BIẾN</t>
        </is>
      </c>
      <c r="E430" t="inlineStr">
        <is>
          <t>MAT-ACTUATOR-BELIMO-BFN24</t>
        </is>
      </c>
      <c r="F430" t="inlineStr">
        <is>
          <t>Cái</t>
        </is>
      </c>
      <c r="G430" s="394" t="n">
        <v>1</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Động cơ lò xo phản hồi cho MFD (S=0.04m2)</t>
        </is>
      </c>
    </row>
    <row r="431">
      <c r="A431" t="inlineStr">
        <is>
          <t>SW-DAMPER-218-FIRE_INSULATION</t>
        </is>
      </c>
      <c r="B431" t="inlineStr">
        <is>
          <t>SW-DAMPER-218</t>
        </is>
      </c>
      <c r="C431" t="inlineStr">
        <is>
          <t>Bọc cách nhiệt chống cháy tấm MGO/Thạch cao (Tiêu chuẩn EI)</t>
        </is>
      </c>
      <c r="D431" t="inlineStr">
        <is>
          <t>VẬT_LIỆU_CÁCH_NHIỆT</t>
        </is>
      </c>
      <c r="E431" t="inlineStr">
        <is>
          <t>MAT-INSULATION-EI-DAMPER</t>
        </is>
      </c>
      <c r="F431" t="inlineStr">
        <is>
          <t>m2</t>
        </is>
      </c>
      <c r="G431" s="394" t="n">
        <v>0.354816</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Bọc chống cháy vỏ van (Lưu ý: Giá vật tư đang TẠM TÍNH 300k/m2)</t>
        </is>
      </c>
    </row>
    <row r="432">
      <c r="A432" t="inlineStr">
        <is>
          <t>SW-DAMPER-219-BODY</t>
        </is>
      </c>
      <c r="B432" t="inlineStr">
        <is>
          <t>SW-DAMPER-219</t>
        </is>
      </c>
      <c r="C432" t="inlineStr">
        <is>
          <t>Thân vỏ van MFD bích TDF (1.15mm)</t>
        </is>
      </c>
      <c r="D432" t="inlineStr">
        <is>
          <t>TÔN_CUỘN_MẠ_KẼM</t>
        </is>
      </c>
      <c r="E432" t="inlineStr">
        <is>
          <t>MAT-STEEL-PN-1.15</t>
        </is>
      </c>
      <c r="F432" t="inlineStr">
        <is>
          <t>kg</t>
        </is>
      </c>
      <c r="G432" s="394" t="n">
        <v>8.917725599999999</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Kích thước vỏ 1100.0x350.0x250mm</t>
        </is>
      </c>
    </row>
    <row r="433">
      <c r="A433" t="inlineStr">
        <is>
          <t>SW-DAMPER-219-BLADE</t>
        </is>
      </c>
      <c r="B433" t="inlineStr">
        <is>
          <t>SW-DAMPER-219</t>
        </is>
      </c>
      <c r="C433" t="inlineStr">
        <is>
          <t>Lá cánh van (2 cánh overlap)</t>
        </is>
      </c>
      <c r="D433" t="inlineStr">
        <is>
          <t>TÔN_CUỘN_MẠ_KẼM</t>
        </is>
      </c>
      <c r="E433" t="inlineStr">
        <is>
          <t>MAT-STEEL-PN-1.15</t>
        </is>
      </c>
      <c r="F433" t="inlineStr">
        <is>
          <t>kg</t>
        </is>
      </c>
      <c r="G433" s="394" t="n">
        <v>4.1826213</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2 cánh cao 195mm</t>
        </is>
      </c>
    </row>
    <row r="434">
      <c r="A434" t="inlineStr">
        <is>
          <t>SW-DAMPER-219-AXLE</t>
        </is>
      </c>
      <c r="B434" t="inlineStr">
        <is>
          <t>SW-DAMPER-219</t>
        </is>
      </c>
      <c r="C434" t="inlineStr">
        <is>
          <t>Trục Sus 201 D10</t>
        </is>
      </c>
      <c r="D434" t="inlineStr">
        <is>
          <t>PHỤ_KIỆN_VAN</t>
        </is>
      </c>
      <c r="E434" t="inlineStr">
        <is>
          <t>MAT-DAMPER-TRUC-SUS-201-D10</t>
        </is>
      </c>
      <c r="F434" t="inlineStr">
        <is>
          <t>m</t>
        </is>
      </c>
      <c r="G434" s="394" t="n">
        <v>2.32</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2 trục dài 1160mm</t>
        </is>
      </c>
    </row>
    <row r="435">
      <c r="A435" t="inlineStr">
        <is>
          <t>SW-DAMPER-219-BEARING</t>
        </is>
      </c>
      <c r="B435" t="inlineStr">
        <is>
          <t>SW-DAMPER-219</t>
        </is>
      </c>
      <c r="C435" t="inlineStr">
        <is>
          <t>Bạc đồng D10</t>
        </is>
      </c>
      <c r="D435" t="inlineStr">
        <is>
          <t>PHỤ_KIỆN_VAN</t>
        </is>
      </c>
      <c r="E435" t="inlineStr">
        <is>
          <t>MAT-DAMPER-BAC-DONG-D10</t>
        </is>
      </c>
      <c r="F435" t="inlineStr">
        <is>
          <t>Đôi</t>
        </is>
      </c>
      <c r="G435" s="394" t="n">
        <v>2</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2 đôi bạc đỡ 2 bên thân</t>
        </is>
      </c>
    </row>
    <row r="436">
      <c r="A436" t="inlineStr">
        <is>
          <t>SW-DAMPER-219-GEAR</t>
        </is>
      </c>
      <c r="B436" t="inlineStr">
        <is>
          <t>SW-DAMPER-219</t>
        </is>
      </c>
      <c r="C436" t="inlineStr">
        <is>
          <t>Bánh răng van nhôm</t>
        </is>
      </c>
      <c r="D436" t="inlineStr">
        <is>
          <t>PHỤ_KIỆN_VAN</t>
        </is>
      </c>
      <c r="E436" t="inlineStr">
        <is>
          <t>MAT-DAMPER-BANH-RANG-VAN-NHOM</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Cơ cấu liên động bánh răng van</t>
        </is>
      </c>
    </row>
    <row r="437">
      <c r="A437" t="inlineStr">
        <is>
          <t>SW-DAMPER-219-ACTUATOR</t>
        </is>
      </c>
      <c r="B437" t="inlineStr">
        <is>
          <t>SW-DAMPER-219</t>
        </is>
      </c>
      <c r="C437" t="inlineStr">
        <is>
          <t>Động cơ chặn lửa ON/OFF 9Nm, 24V (BELIMO BFN 24 hoặc tương đương)</t>
        </is>
      </c>
      <c r="D437" t="inlineStr">
        <is>
          <t>ĐỘNG_CƠ_VÀ_CẢM_BIẾN</t>
        </is>
      </c>
      <c r="E437" t="inlineStr">
        <is>
          <t>MAT-ACTUATOR-BELIMO-BFN24</t>
        </is>
      </c>
      <c r="F437" t="inlineStr">
        <is>
          <t>Cái</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Động cơ lò xo phản hồi cho MFD (S=0.39m2)</t>
        </is>
      </c>
    </row>
    <row r="438">
      <c r="A438" t="inlineStr">
        <is>
          <t>SW-DAMPER-219-FIRE_INSULATION</t>
        </is>
      </c>
      <c r="B438" t="inlineStr">
        <is>
          <t>SW-DAMPER-219</t>
        </is>
      </c>
      <c r="C438" t="inlineStr">
        <is>
          <t>Bọc cách nhiệt chống cháy tấm MGO/Thạch cao (Tiêu chuẩn EI)</t>
        </is>
      </c>
      <c r="D438" t="inlineStr">
        <is>
          <t>VẬT_LIỆU_CÁCH_NHIỆT</t>
        </is>
      </c>
      <c r="E438" t="inlineStr">
        <is>
          <t>MAT-INSULATION-EI-DAMPER</t>
        </is>
      </c>
      <c r="F438" t="inlineStr">
        <is>
          <t>m2</t>
        </is>
      </c>
      <c r="G438" s="394" t="n">
        <v>1.086624</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Bọc chống cháy vỏ van (Lưu ý: Giá vật tư đang TẠM TÍNH 300k/m2)</t>
        </is>
      </c>
    </row>
    <row r="439">
      <c r="A439" t="inlineStr">
        <is>
          <t>SW-DAMPER-220-BODY</t>
        </is>
      </c>
      <c r="B439" t="inlineStr">
        <is>
          <t>SW-DAMPER-220</t>
        </is>
      </c>
      <c r="C439" t="inlineStr">
        <is>
          <t>Thân vỏ van MFD bích TDF (1.15mm)</t>
        </is>
      </c>
      <c r="D439" t="inlineStr">
        <is>
          <t>TÔN_CUỘN_MẠ_KẼM</t>
        </is>
      </c>
      <c r="E439" t="inlineStr">
        <is>
          <t>MAT-STEEL-PN-1.15</t>
        </is>
      </c>
      <c r="F439" t="inlineStr">
        <is>
          <t>kg</t>
        </is>
      </c>
      <c r="G439" s="394" t="n">
        <v>6.794457599999999</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Kích thước vỏ 800.0x300.0x250mm</t>
        </is>
      </c>
    </row>
    <row r="440">
      <c r="A440" t="inlineStr">
        <is>
          <t>SW-DAMPER-220-BLADE</t>
        </is>
      </c>
      <c r="B440" t="inlineStr">
        <is>
          <t>SW-DAMPER-220</t>
        </is>
      </c>
      <c r="C440" t="inlineStr">
        <is>
          <t>Lá cánh van (2 cánh overlap)</t>
        </is>
      </c>
      <c r="D440" t="inlineStr">
        <is>
          <t>TÔN_CUỘN_MẠ_KẼM</t>
        </is>
      </c>
      <c r="E440" t="inlineStr">
        <is>
          <t>MAT-STEEL-PN-1.15</t>
        </is>
      </c>
      <c r="F440" t="inlineStr">
        <is>
          <t>kg</t>
        </is>
      </c>
      <c r="G440" s="394" t="n">
        <v>2.6519184</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2 cánh cao 170mm</t>
        </is>
      </c>
    </row>
    <row r="441">
      <c r="A441" t="inlineStr">
        <is>
          <t>SW-DAMPER-220-AXLE</t>
        </is>
      </c>
      <c r="B441" t="inlineStr">
        <is>
          <t>SW-DAMPER-220</t>
        </is>
      </c>
      <c r="C441" t="inlineStr">
        <is>
          <t>Trục Sus 201 D10</t>
        </is>
      </c>
      <c r="D441" t="inlineStr">
        <is>
          <t>PHỤ_KIỆN_VAN</t>
        </is>
      </c>
      <c r="E441" t="inlineStr">
        <is>
          <t>MAT-DAMPER-TRUC-SUS-201-D10</t>
        </is>
      </c>
      <c r="F441" t="inlineStr">
        <is>
          <t>m</t>
        </is>
      </c>
      <c r="G441" s="394" t="n">
        <v>1.72</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2 trục dài 860mm</t>
        </is>
      </c>
    </row>
    <row r="442">
      <c r="A442" t="inlineStr">
        <is>
          <t>SW-DAMPER-220-BEARING</t>
        </is>
      </c>
      <c r="B442" t="inlineStr">
        <is>
          <t>SW-DAMPER-220</t>
        </is>
      </c>
      <c r="C442" t="inlineStr">
        <is>
          <t>Bạc đồng D10</t>
        </is>
      </c>
      <c r="D442" t="inlineStr">
        <is>
          <t>PHỤ_KIỆN_VAN</t>
        </is>
      </c>
      <c r="E442" t="inlineStr">
        <is>
          <t>MAT-DAMPER-BAC-DONG-D10</t>
        </is>
      </c>
      <c r="F442" t="inlineStr">
        <is>
          <t>Đôi</t>
        </is>
      </c>
      <c r="G442" s="394" t="n">
        <v>2</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2 đôi bạc đỡ 2 bên thân</t>
        </is>
      </c>
    </row>
    <row r="443">
      <c r="A443" t="inlineStr">
        <is>
          <t>SW-DAMPER-220-GEAR</t>
        </is>
      </c>
      <c r="B443" t="inlineStr">
        <is>
          <t>SW-DAMPER-220</t>
        </is>
      </c>
      <c r="C443" t="inlineStr">
        <is>
          <t>Bánh răng van nhôm</t>
        </is>
      </c>
      <c r="D443" t="inlineStr">
        <is>
          <t>PHỤ_KIỆN_VAN</t>
        </is>
      </c>
      <c r="E443" t="inlineStr">
        <is>
          <t>MAT-DAMPER-BANH-RANG-VAN-NHOM</t>
        </is>
      </c>
      <c r="F443" t="inlineStr">
        <is>
          <t>Bộ</t>
        </is>
      </c>
      <c r="G443" s="394" t="n">
        <v>1</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Cơ cấu liên động bánh răng van</t>
        </is>
      </c>
    </row>
    <row r="444">
      <c r="A444" t="inlineStr">
        <is>
          <t>SW-DAMPER-220-ACTUATOR</t>
        </is>
      </c>
      <c r="B444" t="inlineStr">
        <is>
          <t>SW-DAMPER-220</t>
        </is>
      </c>
      <c r="C444" t="inlineStr">
        <is>
          <t>Động cơ chặn lửa ON/OFF 9Nm, 24V (BELIMO BFN 24 hoặc tương đương)</t>
        </is>
      </c>
      <c r="D444" t="inlineStr">
        <is>
          <t>ĐỘNG_CƠ_VÀ_CẢM_BIẾN</t>
        </is>
      </c>
      <c r="E444" t="inlineStr">
        <is>
          <t>MAT-ACTUATOR-BELIMO-BFN24</t>
        </is>
      </c>
      <c r="F444" t="inlineStr">
        <is>
          <t>Cái</t>
        </is>
      </c>
      <c r="G444" s="394" t="n">
        <v>1</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Động cơ lò xo phản hồi cho MFD (S=0.24m2)</t>
        </is>
      </c>
    </row>
    <row r="445">
      <c r="A445" t="inlineStr">
        <is>
          <t>SW-DAMPER-220-FIRE_INSULATION</t>
        </is>
      </c>
      <c r="B445" t="inlineStr">
        <is>
          <t>SW-DAMPER-220</t>
        </is>
      </c>
      <c r="C445" t="inlineStr">
        <is>
          <t>Bọc cách nhiệt chống cháy tấm MGO/Thạch cao (Tiêu chuẩn EI)</t>
        </is>
      </c>
      <c r="D445" t="inlineStr">
        <is>
          <t>VẬT_LIỆU_CÁCH_NHIỆT</t>
        </is>
      </c>
      <c r="E445" t="inlineStr">
        <is>
          <t>MAT-INSULATION-EI-DAMPER</t>
        </is>
      </c>
      <c r="F445" t="inlineStr">
        <is>
          <t>m2</t>
        </is>
      </c>
      <c r="G445" s="394" t="n">
        <v>0.8279040000000002</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Bọc chống cháy vỏ van (Lưu ý: Giá vật tư đang TẠM TÍNH 300k/m2)</t>
        </is>
      </c>
    </row>
    <row r="446">
      <c r="A446" t="inlineStr">
        <is>
          <t>SW-DAMPER-221-BODY</t>
        </is>
      </c>
      <c r="B446" t="inlineStr">
        <is>
          <t>SW-DAMPER-221</t>
        </is>
      </c>
      <c r="C446" t="inlineStr">
        <is>
          <t>Thân vỏ van MFD bích TDF (1.15mm)</t>
        </is>
      </c>
      <c r="D446" t="inlineStr">
        <is>
          <t>TÔN_CUỘN_MẠ_KẼM</t>
        </is>
      </c>
      <c r="E446" t="inlineStr">
        <is>
          <t>MAT-STEEL-PN-1.15</t>
        </is>
      </c>
      <c r="F446" t="inlineStr">
        <is>
          <t>kg</t>
        </is>
      </c>
      <c r="G446" s="394" t="n">
        <v>7.704429599999999</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Kích thước vỏ 900.0x350.0x250mm</t>
        </is>
      </c>
    </row>
    <row r="447">
      <c r="A447" t="inlineStr">
        <is>
          <t>SW-DAMPER-221-BLADE</t>
        </is>
      </c>
      <c r="B447" t="inlineStr">
        <is>
          <t>SW-DAMPER-221</t>
        </is>
      </c>
      <c r="C447" t="inlineStr">
        <is>
          <t>Lá cánh van (2 cánh overlap)</t>
        </is>
      </c>
      <c r="D447" t="inlineStr">
        <is>
          <t>TÔN_CUỘN_MẠ_KẼM</t>
        </is>
      </c>
      <c r="E447" t="inlineStr">
        <is>
          <t>MAT-STEEL-PN-1.15</t>
        </is>
      </c>
      <c r="F447" t="inlineStr">
        <is>
          <t>kg</t>
        </is>
      </c>
      <c r="G447" s="394" t="n">
        <v>3.4221447</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2 cánh cao 195mm</t>
        </is>
      </c>
    </row>
    <row r="448">
      <c r="A448" t="inlineStr">
        <is>
          <t>SW-DAMPER-221-AXLE</t>
        </is>
      </c>
      <c r="B448" t="inlineStr">
        <is>
          <t>SW-DAMPER-221</t>
        </is>
      </c>
      <c r="C448" t="inlineStr">
        <is>
          <t>Trục Sus 201 D10</t>
        </is>
      </c>
      <c r="D448" t="inlineStr">
        <is>
          <t>PHỤ_KIỆN_VAN</t>
        </is>
      </c>
      <c r="E448" t="inlineStr">
        <is>
          <t>MAT-DAMPER-TRUC-SUS-201-D10</t>
        </is>
      </c>
      <c r="F448" t="inlineStr">
        <is>
          <t>m</t>
        </is>
      </c>
      <c r="G448" s="394" t="n">
        <v>1.92</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2 trục dài 960mm</t>
        </is>
      </c>
    </row>
    <row r="449">
      <c r="A449" t="inlineStr">
        <is>
          <t>SW-DAMPER-221-BEARING</t>
        </is>
      </c>
      <c r="B449" t="inlineStr">
        <is>
          <t>SW-DAMPER-221</t>
        </is>
      </c>
      <c r="C449" t="inlineStr">
        <is>
          <t>Bạc đồng D10</t>
        </is>
      </c>
      <c r="D449" t="inlineStr">
        <is>
          <t>PHỤ_KIỆN_VAN</t>
        </is>
      </c>
      <c r="E449" t="inlineStr">
        <is>
          <t>MAT-DAMPER-BAC-DONG-D10</t>
        </is>
      </c>
      <c r="F449" t="inlineStr">
        <is>
          <t>Đôi</t>
        </is>
      </c>
      <c r="G449" s="394" t="n">
        <v>2</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2 đôi bạc đỡ 2 bên thân</t>
        </is>
      </c>
    </row>
    <row r="450">
      <c r="A450" t="inlineStr">
        <is>
          <t>SW-DAMPER-221-GEAR</t>
        </is>
      </c>
      <c r="B450" t="inlineStr">
        <is>
          <t>SW-DAMPER-221</t>
        </is>
      </c>
      <c r="C450" t="inlineStr">
        <is>
          <t>Bánh răng van nhôm</t>
        </is>
      </c>
      <c r="D450" t="inlineStr">
        <is>
          <t>PHỤ_KIỆN_VAN</t>
        </is>
      </c>
      <c r="E450" t="inlineStr">
        <is>
          <t>MAT-DAMPER-BANH-RANG-VAN-NHOM</t>
        </is>
      </c>
      <c r="F450" t="inlineStr">
        <is>
          <t>Bộ</t>
        </is>
      </c>
      <c r="G450" s="394" t="n">
        <v>1</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Cơ cấu liên động bánh răng van</t>
        </is>
      </c>
    </row>
    <row r="451">
      <c r="A451" t="inlineStr">
        <is>
          <t>SW-DAMPER-221-ACTUATOR</t>
        </is>
      </c>
      <c r="B451" t="inlineStr">
        <is>
          <t>SW-DAMPER-221</t>
        </is>
      </c>
      <c r="C451" t="inlineStr">
        <is>
          <t>Động cơ chặn lửa ON/OFF 9Nm, 24V (BELIMO BFN 24 hoặc tương đương)</t>
        </is>
      </c>
      <c r="D451" t="inlineStr">
        <is>
          <t>ĐỘNG_CƠ_VÀ_CẢM_BIẾN</t>
        </is>
      </c>
      <c r="E451" t="inlineStr">
        <is>
          <t>MAT-ACTUATOR-BELIMO-BFN24</t>
        </is>
      </c>
      <c r="F451" t="inlineStr">
        <is>
          <t>Cái</t>
        </is>
      </c>
      <c r="G451" s="394" t="n">
        <v>1</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Động cơ lò xo phản hồi cho MFD (S=0.32m2)</t>
        </is>
      </c>
    </row>
    <row r="452">
      <c r="A452" t="inlineStr">
        <is>
          <t>SW-DAMPER-221-FIRE_INSULATION</t>
        </is>
      </c>
      <c r="B452" t="inlineStr">
        <is>
          <t>SW-DAMPER-221</t>
        </is>
      </c>
      <c r="C452" t="inlineStr">
        <is>
          <t>Bọc cách nhiệt chống cháy tấm MGO/Thạch cao (Tiêu chuẩn EI)</t>
        </is>
      </c>
      <c r="D452" t="inlineStr">
        <is>
          <t>VẬT_LIỆU_CÁCH_NHIỆT</t>
        </is>
      </c>
      <c r="E452" t="inlineStr">
        <is>
          <t>MAT-INSULATION-EI-DAMPER</t>
        </is>
      </c>
      <c r="F452" t="inlineStr">
        <is>
          <t>m2</t>
        </is>
      </c>
      <c r="G452" s="394" t="n">
        <v>0.9387840000000002</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Bọc chống cháy vỏ van (Lưu ý: Giá vật tư đang TẠM TÍNH 300k/m2)</t>
        </is>
      </c>
    </row>
    <row r="453">
      <c r="A453" t="inlineStr">
        <is>
          <t>SW-DAMPER-222-BODY</t>
        </is>
      </c>
      <c r="B453" t="inlineStr">
        <is>
          <t>SW-DAMPER-222</t>
        </is>
      </c>
      <c r="C453" t="inlineStr">
        <is>
          <t>Thân vỏ van MFD bích TDF (1.15mm)</t>
        </is>
      </c>
      <c r="D453" t="inlineStr">
        <is>
          <t>TÔN_CUỘN_MẠ_KẼM</t>
        </is>
      </c>
      <c r="E453" t="inlineStr">
        <is>
          <t>MAT-STEEL-PN-1.15</t>
        </is>
      </c>
      <c r="F453" t="inlineStr">
        <is>
          <t>kg</t>
        </is>
      </c>
      <c r="G453" s="394" t="n">
        <v>10.7376696</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Kích thước vỏ 1400.0x350.0x250mm</t>
        </is>
      </c>
    </row>
    <row r="454">
      <c r="A454" t="inlineStr">
        <is>
          <t>SW-DAMPER-222-BLADE</t>
        </is>
      </c>
      <c r="B454" t="inlineStr">
        <is>
          <t>SW-DAMPER-222</t>
        </is>
      </c>
      <c r="C454" t="inlineStr">
        <is>
          <t>Lá cánh van (2 cánh overlap)</t>
        </is>
      </c>
      <c r="D454" t="inlineStr">
        <is>
          <t>TÔN_CUỘN_MẠ_KẼM</t>
        </is>
      </c>
      <c r="E454" t="inlineStr">
        <is>
          <t>MAT-STEEL-PN-1.15</t>
        </is>
      </c>
      <c r="F454" t="inlineStr">
        <is>
          <t>kg</t>
        </is>
      </c>
      <c r="G454" s="394" t="n">
        <v>5.323336199999999</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2 cánh cao 195mm</t>
        </is>
      </c>
    </row>
    <row r="455">
      <c r="A455" t="inlineStr">
        <is>
          <t>SW-DAMPER-222-AXLE</t>
        </is>
      </c>
      <c r="B455" t="inlineStr">
        <is>
          <t>SW-DAMPER-222</t>
        </is>
      </c>
      <c r="C455" t="inlineStr">
        <is>
          <t>Trục Sus 201 D10</t>
        </is>
      </c>
      <c r="D455" t="inlineStr">
        <is>
          <t>PHỤ_KIỆN_VAN</t>
        </is>
      </c>
      <c r="E455" t="inlineStr">
        <is>
          <t>MAT-DAMPER-TRUC-SUS-201-D10</t>
        </is>
      </c>
      <c r="F455" t="inlineStr">
        <is>
          <t>m</t>
        </is>
      </c>
      <c r="G455" s="394" t="n">
        <v>2.92</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2 trục dài 1460mm</t>
        </is>
      </c>
    </row>
    <row r="456">
      <c r="A456" t="inlineStr">
        <is>
          <t>SW-DAMPER-222-BEARING</t>
        </is>
      </c>
      <c r="B456" t="inlineStr">
        <is>
          <t>SW-DAMPER-222</t>
        </is>
      </c>
      <c r="C456" t="inlineStr">
        <is>
          <t>Bạc đồng D10</t>
        </is>
      </c>
      <c r="D456" t="inlineStr">
        <is>
          <t>PHỤ_KIỆN_VAN</t>
        </is>
      </c>
      <c r="E456" t="inlineStr">
        <is>
          <t>MAT-DAMPER-BAC-DONG-D10</t>
        </is>
      </c>
      <c r="F456" t="inlineStr">
        <is>
          <t>Đôi</t>
        </is>
      </c>
      <c r="G456" s="394" t="n">
        <v>2</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2 đôi bạc đỡ 2 bên thân</t>
        </is>
      </c>
    </row>
    <row r="457">
      <c r="A457" t="inlineStr">
        <is>
          <t>SW-DAMPER-222-GEAR</t>
        </is>
      </c>
      <c r="B457" t="inlineStr">
        <is>
          <t>SW-DAMPER-222</t>
        </is>
      </c>
      <c r="C457" t="inlineStr">
        <is>
          <t>Bánh răng van nhôm</t>
        </is>
      </c>
      <c r="D457" t="inlineStr">
        <is>
          <t>PHỤ_KIỆN_VAN</t>
        </is>
      </c>
      <c r="E457" t="inlineStr">
        <is>
          <t>MAT-DAMPER-BANH-RANG-VAN-NHOM</t>
        </is>
      </c>
      <c r="F457" t="inlineStr">
        <is>
          <t>Bộ</t>
        </is>
      </c>
      <c r="G457" s="394" t="n">
        <v>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Cơ cấu liên động bánh răng van</t>
        </is>
      </c>
    </row>
    <row r="458">
      <c r="A458" t="inlineStr">
        <is>
          <t>SW-DAMPER-222-ACTUATOR</t>
        </is>
      </c>
      <c r="B458" t="inlineStr">
        <is>
          <t>SW-DAMPER-222</t>
        </is>
      </c>
      <c r="C458" t="inlineStr">
        <is>
          <t>Động cơ chặn lửa ON/OFF 9Nm, 24V (BELIMO BFN 24 hoặc tương đương)</t>
        </is>
      </c>
      <c r="D458" t="inlineStr">
        <is>
          <t>ĐỘNG_CƠ_VÀ_CẢM_BIẾN</t>
        </is>
      </c>
      <c r="E458" t="inlineStr">
        <is>
          <t>MAT-ACTUATOR-BELIMO-BFN24</t>
        </is>
      </c>
      <c r="F458" t="inlineStr">
        <is>
          <t>Cái</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Động cơ lò xo phản hồi cho MFD (S=0.49m2)</t>
        </is>
      </c>
    </row>
    <row r="459">
      <c r="A459" t="inlineStr">
        <is>
          <t>SW-DAMPER-222-FIRE_INSULATION</t>
        </is>
      </c>
      <c r="B459" t="inlineStr">
        <is>
          <t>SW-DAMPER-222</t>
        </is>
      </c>
      <c r="C459" t="inlineStr">
        <is>
          <t>Bọc cách nhiệt chống cháy tấm MGO/Thạch cao (Tiêu chuẩn EI)</t>
        </is>
      </c>
      <c r="D459" t="inlineStr">
        <is>
          <t>VẬT_LIỆU_CÁCH_NHIỆT</t>
        </is>
      </c>
      <c r="E459" t="inlineStr">
        <is>
          <t>MAT-INSULATION-EI-DAMPER</t>
        </is>
      </c>
      <c r="F459" t="inlineStr">
        <is>
          <t>m2</t>
        </is>
      </c>
      <c r="G459" s="394" t="n">
        <v>1.308384</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Bọc chống cháy vỏ van (Lưu ý: Giá vật tư đang TẠM TÍNH 300k/m2)</t>
        </is>
      </c>
    </row>
    <row r="460">
      <c r="A460" t="inlineStr">
        <is>
          <t>SW-DAMPER-223-BODY</t>
        </is>
      </c>
      <c r="B460" t="inlineStr">
        <is>
          <t>SW-DAMPER-223</t>
        </is>
      </c>
      <c r="C460" t="inlineStr">
        <is>
          <t>Thân vỏ van MFD bích TDF (1.15mm)</t>
        </is>
      </c>
      <c r="D460" t="inlineStr">
        <is>
          <t>TÔN_CUỘN_MẠ_KẼM</t>
        </is>
      </c>
      <c r="E460" t="inlineStr">
        <is>
          <t>MAT-STEEL-PN-1.15</t>
        </is>
      </c>
      <c r="F460" t="inlineStr">
        <is>
          <t>kg</t>
        </is>
      </c>
      <c r="G460" s="394" t="n">
        <v>1.3346256</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Kích thước vỏ 100.0x100.0x250mm</t>
        </is>
      </c>
    </row>
    <row r="461">
      <c r="A461" t="inlineStr">
        <is>
          <t>SW-DAMPER-223-BLADE</t>
        </is>
      </c>
      <c r="B461" t="inlineStr">
        <is>
          <t>SW-DAMPER-223</t>
        </is>
      </c>
      <c r="C461" t="inlineStr">
        <is>
          <t>Lá cánh van (1 cánh overlap)</t>
        </is>
      </c>
      <c r="D461" t="inlineStr">
        <is>
          <t>TÔN_CUỘN_MẠ_KẼM</t>
        </is>
      </c>
      <c r="E461" t="inlineStr">
        <is>
          <t>MAT-STEEL-PN-1.15</t>
        </is>
      </c>
      <c r="F461" t="inlineStr">
        <is>
          <t>kg</t>
        </is>
      </c>
      <c r="G461" s="394" t="n">
        <v>0.1169964</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1 cánh cao 120mm</t>
        </is>
      </c>
    </row>
    <row r="462">
      <c r="A462" t="inlineStr">
        <is>
          <t>SW-DAMPER-223-AXLE</t>
        </is>
      </c>
      <c r="B462" t="inlineStr">
        <is>
          <t>SW-DAMPER-223</t>
        </is>
      </c>
      <c r="C462" t="inlineStr">
        <is>
          <t>Trục Sus 201 D10</t>
        </is>
      </c>
      <c r="D462" t="inlineStr">
        <is>
          <t>PHỤ_KIỆN_VAN</t>
        </is>
      </c>
      <c r="E462" t="inlineStr">
        <is>
          <t>MAT-DAMPER-TRUC-SUS-201-D10</t>
        </is>
      </c>
      <c r="F462" t="inlineStr">
        <is>
          <t>m</t>
        </is>
      </c>
      <c r="G462" s="394" t="n">
        <v>0.16</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1 trục dài 160mm</t>
        </is>
      </c>
    </row>
    <row r="463">
      <c r="A463" t="inlineStr">
        <is>
          <t>SW-DAMPER-223-BEARING</t>
        </is>
      </c>
      <c r="B463" t="inlineStr">
        <is>
          <t>SW-DAMPER-223</t>
        </is>
      </c>
      <c r="C463" t="inlineStr">
        <is>
          <t>Bạc đồng D10</t>
        </is>
      </c>
      <c r="D463" t="inlineStr">
        <is>
          <t>PHỤ_KIỆN_VAN</t>
        </is>
      </c>
      <c r="E463" t="inlineStr">
        <is>
          <t>MAT-DAMPER-BAC-DONG-D10</t>
        </is>
      </c>
      <c r="F463" t="inlineStr">
        <is>
          <t>Đôi</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1 đôi bạc đỡ 2 bên thân</t>
        </is>
      </c>
    </row>
    <row r="464">
      <c r="A464" t="inlineStr">
        <is>
          <t>SW-DAMPER-223-ACTUATOR</t>
        </is>
      </c>
      <c r="B464" t="inlineStr">
        <is>
          <t>SW-DAMPER-223</t>
        </is>
      </c>
      <c r="C464" t="inlineStr">
        <is>
          <t>Động cơ chặn lửa ON/OFF 9Nm, 24V (BELIMO BFN 24 hoặc tương đương)</t>
        </is>
      </c>
      <c r="D464" t="inlineStr">
        <is>
          <t>ĐỘNG_CƠ_VÀ_CẢM_BIẾN</t>
        </is>
      </c>
      <c r="E464" t="inlineStr">
        <is>
          <t>MAT-ACTUATOR-BELIMO-BFN24</t>
        </is>
      </c>
      <c r="F464" t="inlineStr">
        <is>
          <t>Cái</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Động cơ lò xo phản hồi cho MFD (S=0.01m2)</t>
        </is>
      </c>
    </row>
    <row r="465">
      <c r="A465" t="inlineStr">
        <is>
          <t>SW-DAMPER-223-FIRE_INSULATION</t>
        </is>
      </c>
      <c r="B465" t="inlineStr">
        <is>
          <t>SW-DAMPER-223</t>
        </is>
      </c>
      <c r="C465" t="inlineStr">
        <is>
          <t>Bọc cách nhiệt chống cháy tấm MGO/Thạch cao (Tiêu chuẩn EI)</t>
        </is>
      </c>
      <c r="D465" t="inlineStr">
        <is>
          <t>VẬT_LIỆU_CÁCH_NHIỆT</t>
        </is>
      </c>
      <c r="E465" t="inlineStr">
        <is>
          <t>MAT-INSULATION-EI-DAMPER</t>
        </is>
      </c>
      <c r="F465" t="inlineStr">
        <is>
          <t>m2</t>
        </is>
      </c>
      <c r="G465" s="394" t="n">
        <v>0.162624</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Bọc chống cháy vỏ van (Lưu ý: Giá vật tư đang TẠM TÍNH 300k/m2)</t>
        </is>
      </c>
    </row>
    <row r="466">
      <c r="A466" t="inlineStr">
        <is>
          <t>SW-DAMPER-224-BODY</t>
        </is>
      </c>
      <c r="B466" t="inlineStr">
        <is>
          <t>SW-DAMPER-224</t>
        </is>
      </c>
      <c r="C466" t="inlineStr">
        <is>
          <t>Thân vỏ van MFD bích TDF (1.15mm)</t>
        </is>
      </c>
      <c r="D466" t="inlineStr">
        <is>
          <t>TÔN_CUỘN_MẠ_KẼM</t>
        </is>
      </c>
      <c r="E466" t="inlineStr">
        <is>
          <t>MAT-STEEL-PN-1.15</t>
        </is>
      </c>
      <c r="F466" t="inlineStr">
        <is>
          <t>kg</t>
        </is>
      </c>
      <c r="G466" s="394" t="n">
        <v>1.9412736</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Kích thước vỏ 150.0x150.0x250mm</t>
        </is>
      </c>
    </row>
    <row r="467">
      <c r="A467" t="inlineStr">
        <is>
          <t>SW-DAMPER-224-BLADE</t>
        </is>
      </c>
      <c r="B467" t="inlineStr">
        <is>
          <t>SW-DAMPER-224</t>
        </is>
      </c>
      <c r="C467" t="inlineStr">
        <is>
          <t>Lá cánh van (1 cánh overlap)</t>
        </is>
      </c>
      <c r="D467" t="inlineStr">
        <is>
          <t>TÔN_CUỘN_MẠ_KẼM</t>
        </is>
      </c>
      <c r="E467" t="inlineStr">
        <is>
          <t>MAT-STEEL-PN-1.15</t>
        </is>
      </c>
      <c r="F467" t="inlineStr">
        <is>
          <t>kg</t>
        </is>
      </c>
      <c r="G467" s="394" t="n">
        <v>0.24861735</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1 cánh cao 170mm</t>
        </is>
      </c>
    </row>
    <row r="468">
      <c r="A468" t="inlineStr">
        <is>
          <t>SW-DAMPER-224-AXLE</t>
        </is>
      </c>
      <c r="B468" t="inlineStr">
        <is>
          <t>SW-DAMPER-224</t>
        </is>
      </c>
      <c r="C468" t="inlineStr">
        <is>
          <t>Trục Sus 201 D10</t>
        </is>
      </c>
      <c r="D468" t="inlineStr">
        <is>
          <t>PHỤ_KIỆN_VAN</t>
        </is>
      </c>
      <c r="E468" t="inlineStr">
        <is>
          <t>MAT-DAMPER-TRUC-SUS-201-D10</t>
        </is>
      </c>
      <c r="F468" t="inlineStr">
        <is>
          <t>m</t>
        </is>
      </c>
      <c r="G468" s="394" t="n">
        <v>0.21</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1 trục dài 210mm</t>
        </is>
      </c>
    </row>
    <row r="469">
      <c r="A469" t="inlineStr">
        <is>
          <t>SW-DAMPER-224-BEARING</t>
        </is>
      </c>
      <c r="B469" t="inlineStr">
        <is>
          <t>SW-DAMPER-224</t>
        </is>
      </c>
      <c r="C469" t="inlineStr">
        <is>
          <t>Bạc đồng D10</t>
        </is>
      </c>
      <c r="D469" t="inlineStr">
        <is>
          <t>PHỤ_KIỆN_VAN</t>
        </is>
      </c>
      <c r="E469" t="inlineStr">
        <is>
          <t>MAT-DAMPER-BAC-DONG-D10</t>
        </is>
      </c>
      <c r="F469" t="inlineStr">
        <is>
          <t>Đôi</t>
        </is>
      </c>
      <c r="G469" s="394" t="n">
        <v>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1 đôi bạc đỡ 2 bên thân</t>
        </is>
      </c>
    </row>
    <row r="470">
      <c r="A470" t="inlineStr">
        <is>
          <t>SW-DAMPER-224-ACTUATOR</t>
        </is>
      </c>
      <c r="B470" t="inlineStr">
        <is>
          <t>SW-DAMPER-224</t>
        </is>
      </c>
      <c r="C470" t="inlineStr">
        <is>
          <t>Động cơ chặn lửa ON/OFF 9Nm, 24V (BELIMO BFN 24 hoặc tương đương)</t>
        </is>
      </c>
      <c r="D470" t="inlineStr">
        <is>
          <t>ĐỘNG_CƠ_VÀ_CẢM_BIẾN</t>
        </is>
      </c>
      <c r="E470" t="inlineStr">
        <is>
          <t>MAT-ACTUATOR-BELIMO-BFN24</t>
        </is>
      </c>
      <c r="F470" t="inlineStr">
        <is>
          <t>Cái</t>
        </is>
      </c>
      <c r="G470" s="394" t="n">
        <v>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Động cơ lò xo phản hồi cho MFD (S=0.02m2)</t>
        </is>
      </c>
    </row>
    <row r="471">
      <c r="A471" t="inlineStr">
        <is>
          <t>SW-DAMPER-224-FIRE_INSULATION</t>
        </is>
      </c>
      <c r="B471" t="inlineStr">
        <is>
          <t>SW-DAMPER-224</t>
        </is>
      </c>
      <c r="C471" t="inlineStr">
        <is>
          <t>Bọc cách nhiệt chống cháy tấm MGO/Thạch cao (Tiêu chuẩn EI)</t>
        </is>
      </c>
      <c r="D471" t="inlineStr">
        <is>
          <t>VẬT_LIỆU_CÁCH_NHIỆT</t>
        </is>
      </c>
      <c r="E471" t="inlineStr">
        <is>
          <t>MAT-INSULATION-EI-DAMPER</t>
        </is>
      </c>
      <c r="F471" t="inlineStr">
        <is>
          <t>m2</t>
        </is>
      </c>
      <c r="G471" s="394" t="n">
        <v>0.236544</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Bọc chống cháy vỏ van (Lưu ý: Giá vật tư đang TẠM TÍNH 300k/m2)</t>
        </is>
      </c>
    </row>
    <row r="472">
      <c r="A472" t="inlineStr">
        <is>
          <t>SW-DAMPER-225-BODY</t>
        </is>
      </c>
      <c r="B472" t="inlineStr">
        <is>
          <t>SW-DAMPER-225</t>
        </is>
      </c>
      <c r="C472" t="inlineStr">
        <is>
          <t>Thân vỏ van MFD bích TDF (1.15mm)</t>
        </is>
      </c>
      <c r="D472" t="inlineStr">
        <is>
          <t>TÔN_CUỘN_MẠ_KẼM</t>
        </is>
      </c>
      <c r="E472" t="inlineStr">
        <is>
          <t>MAT-STEEL-PN-1.15</t>
        </is>
      </c>
      <c r="F472" t="inlineStr">
        <is>
          <t>kg</t>
        </is>
      </c>
      <c r="G472" s="394" t="n">
        <v>4.671189599999999</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Kích thước vỏ 450.0x300.0x250mm</t>
        </is>
      </c>
    </row>
    <row r="473">
      <c r="A473" t="inlineStr">
        <is>
          <t>SW-DAMPER-225-BLADE</t>
        </is>
      </c>
      <c r="B473" t="inlineStr">
        <is>
          <t>SW-DAMPER-225</t>
        </is>
      </c>
      <c r="C473" t="inlineStr">
        <is>
          <t>Lá cánh van (2 cánh overlap)</t>
        </is>
      </c>
      <c r="D473" t="inlineStr">
        <is>
          <t>TÔN_CUỘN_MẠ_KẼM</t>
        </is>
      </c>
      <c r="E473" t="inlineStr">
        <is>
          <t>MAT-STEEL-PN-1.15</t>
        </is>
      </c>
      <c r="F473" t="inlineStr">
        <is>
          <t>kg</t>
        </is>
      </c>
      <c r="G473" s="394" t="n">
        <v>1.4917041</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2 cánh cao 170mm</t>
        </is>
      </c>
    </row>
    <row r="474">
      <c r="A474" t="inlineStr">
        <is>
          <t>SW-DAMPER-225-AXLE</t>
        </is>
      </c>
      <c r="B474" t="inlineStr">
        <is>
          <t>SW-DAMPER-225</t>
        </is>
      </c>
      <c r="C474" t="inlineStr">
        <is>
          <t>Trục Sus 201 D10</t>
        </is>
      </c>
      <c r="D474" t="inlineStr">
        <is>
          <t>PHỤ_KIỆN_VAN</t>
        </is>
      </c>
      <c r="E474" t="inlineStr">
        <is>
          <t>MAT-DAMPER-TRUC-SUS-201-D10</t>
        </is>
      </c>
      <c r="F474" t="inlineStr">
        <is>
          <t>m</t>
        </is>
      </c>
      <c r="G474" s="394" t="n">
        <v>1.02</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2 trục dài 510mm</t>
        </is>
      </c>
    </row>
    <row r="475">
      <c r="A475" t="inlineStr">
        <is>
          <t>SW-DAMPER-225-BEARING</t>
        </is>
      </c>
      <c r="B475" t="inlineStr">
        <is>
          <t>SW-DAMPER-225</t>
        </is>
      </c>
      <c r="C475" t="inlineStr">
        <is>
          <t>Bạc đồng D10</t>
        </is>
      </c>
      <c r="D475" t="inlineStr">
        <is>
          <t>PHỤ_KIỆN_VAN</t>
        </is>
      </c>
      <c r="E475" t="inlineStr">
        <is>
          <t>MAT-DAMPER-BAC-DONG-D10</t>
        </is>
      </c>
      <c r="F475" t="inlineStr">
        <is>
          <t>Đôi</t>
        </is>
      </c>
      <c r="G475" s="394" t="n">
        <v>2</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2 đôi bạc đỡ 2 bên thân</t>
        </is>
      </c>
    </row>
    <row r="476">
      <c r="A476" t="inlineStr">
        <is>
          <t>SW-DAMPER-225-GEAR</t>
        </is>
      </c>
      <c r="B476" t="inlineStr">
        <is>
          <t>SW-DAMPER-225</t>
        </is>
      </c>
      <c r="C476" t="inlineStr">
        <is>
          <t>Bánh răng van nhôm</t>
        </is>
      </c>
      <c r="D476" t="inlineStr">
        <is>
          <t>PHỤ_KIỆN_VAN</t>
        </is>
      </c>
      <c r="E476" t="inlineStr">
        <is>
          <t>MAT-DAMPER-BANH-RANG-VAN-NHOM</t>
        </is>
      </c>
      <c r="F476" t="inlineStr">
        <is>
          <t>Bộ</t>
        </is>
      </c>
      <c r="G476" s="394" t="n">
        <v>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Cơ cấu liên động bánh răng van</t>
        </is>
      </c>
    </row>
    <row r="477">
      <c r="A477" t="inlineStr">
        <is>
          <t>SW-DAMPER-225-ACTUATOR</t>
        </is>
      </c>
      <c r="B477" t="inlineStr">
        <is>
          <t>SW-DAMPER-225</t>
        </is>
      </c>
      <c r="C477" t="inlineStr">
        <is>
          <t>Động cơ chặn lửa ON/OFF 9Nm, 24V (BELIMO BFN 24 hoặc tương đương)</t>
        </is>
      </c>
      <c r="D477" t="inlineStr">
        <is>
          <t>ĐỘNG_CƠ_VÀ_CẢM_BIẾN</t>
        </is>
      </c>
      <c r="E477" t="inlineStr">
        <is>
          <t>MAT-ACTUATOR-BELIMO-BFN24</t>
        </is>
      </c>
      <c r="F477" t="inlineStr">
        <is>
          <t>Cái</t>
        </is>
      </c>
      <c r="G477" s="394" t="n">
        <v>1</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Động cơ lò xo phản hồi cho MFD (S=0.14m2)</t>
        </is>
      </c>
    </row>
    <row r="478">
      <c r="A478" t="inlineStr">
        <is>
          <t>SW-DAMPER-225-FIRE_INSULATION</t>
        </is>
      </c>
      <c r="B478" t="inlineStr">
        <is>
          <t>SW-DAMPER-225</t>
        </is>
      </c>
      <c r="C478" t="inlineStr">
        <is>
          <t>Bọc cách nhiệt chống cháy tấm MGO/Thạch cao (Tiêu chuẩn EI)</t>
        </is>
      </c>
      <c r="D478" t="inlineStr">
        <is>
          <t>VẬT_LIỆU_CÁCH_NHIỆT</t>
        </is>
      </c>
      <c r="E478" t="inlineStr">
        <is>
          <t>MAT-INSULATION-EI-DAMPER</t>
        </is>
      </c>
      <c r="F478" t="inlineStr">
        <is>
          <t>m2</t>
        </is>
      </c>
      <c r="G478" s="394" t="n">
        <v>0.569184</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Bọc chống cháy vỏ van (Lưu ý: Giá vật tư đang TẠM TÍNH 300k/m2)</t>
        </is>
      </c>
    </row>
    <row r="479">
      <c r="A479" t="inlineStr">
        <is>
          <t>SW-DAMPER-226-BODY</t>
        </is>
      </c>
      <c r="B479" t="inlineStr">
        <is>
          <t>SW-DAMPER-226</t>
        </is>
      </c>
      <c r="C479" t="inlineStr">
        <is>
          <t>Thân vỏ van FD bích TDF (1.15mm)</t>
        </is>
      </c>
      <c r="D479" t="inlineStr">
        <is>
          <t>TÔN_CUỘN_MẠ_KẼM</t>
        </is>
      </c>
      <c r="E479" t="inlineStr">
        <is>
          <t>MAT-STEEL-PN-1.15</t>
        </is>
      </c>
      <c r="F479" t="inlineStr">
        <is>
          <t>kg</t>
        </is>
      </c>
      <c r="G479" s="394" t="n">
        <v>6.4911336</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Kích thước vỏ 800.0x250.0x250mm</t>
        </is>
      </c>
    </row>
    <row r="480">
      <c r="A480" t="inlineStr">
        <is>
          <t>SW-DAMPER-226-BLADE</t>
        </is>
      </c>
      <c r="B480" t="inlineStr">
        <is>
          <t>SW-DAMPER-226</t>
        </is>
      </c>
      <c r="C480" t="inlineStr">
        <is>
          <t>Lá cánh van (2 cánh overlap)</t>
        </is>
      </c>
      <c r="D480" t="inlineStr">
        <is>
          <t>TÔN_CUỘN_MẠ_KẼM</t>
        </is>
      </c>
      <c r="E480" t="inlineStr">
        <is>
          <t>MAT-STEEL-PN-1.15</t>
        </is>
      </c>
      <c r="F480" t="inlineStr">
        <is>
          <t>kg</t>
        </is>
      </c>
      <c r="G480" s="394" t="n">
        <v>2.2619304</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2 cánh cao 145mm</t>
        </is>
      </c>
    </row>
    <row r="481">
      <c r="A481" t="inlineStr">
        <is>
          <t>SW-DAMPER-226-AXLE</t>
        </is>
      </c>
      <c r="B481" t="inlineStr">
        <is>
          <t>SW-DAMPER-226</t>
        </is>
      </c>
      <c r="C481" t="inlineStr">
        <is>
          <t>Trục Sus 201 D10</t>
        </is>
      </c>
      <c r="D481" t="inlineStr">
        <is>
          <t>PHỤ_KIỆN_VAN</t>
        </is>
      </c>
      <c r="E481" t="inlineStr">
        <is>
          <t>MAT-DAMPER-TRUC-SUS-201-D10</t>
        </is>
      </c>
      <c r="F481" t="inlineStr">
        <is>
          <t>m</t>
        </is>
      </c>
      <c r="G481" s="394" t="n">
        <v>1.72</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2 trục dài 860mm</t>
        </is>
      </c>
    </row>
    <row r="482">
      <c r="A482" t="inlineStr">
        <is>
          <t>SW-DAMPER-226-BEARING</t>
        </is>
      </c>
      <c r="B482" t="inlineStr">
        <is>
          <t>SW-DAMPER-226</t>
        </is>
      </c>
      <c r="C482" t="inlineStr">
        <is>
          <t>Bạc đồng D10</t>
        </is>
      </c>
      <c r="D482" t="inlineStr">
        <is>
          <t>PHỤ_KIỆN_VAN</t>
        </is>
      </c>
      <c r="E482" t="inlineStr">
        <is>
          <t>MAT-DAMPER-BAC-DONG-D10</t>
        </is>
      </c>
      <c r="F482" t="inlineStr">
        <is>
          <t>Đôi</t>
        </is>
      </c>
      <c r="G482" s="394" t="n">
        <v>2</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2 đôi bạc đỡ 2 bên thân</t>
        </is>
      </c>
    </row>
    <row r="483">
      <c r="A483" t="inlineStr">
        <is>
          <t>SW-DAMPER-226-GEAR</t>
        </is>
      </c>
      <c r="B483" t="inlineStr">
        <is>
          <t>SW-DAMPER-226</t>
        </is>
      </c>
      <c r="C483" t="inlineStr">
        <is>
          <t>Bánh răng van nhôm</t>
        </is>
      </c>
      <c r="D483" t="inlineStr">
        <is>
          <t>PHỤ_KIỆN_VAN</t>
        </is>
      </c>
      <c r="E483" t="inlineStr">
        <is>
          <t>MAT-DAMPER-BANH-RANG-VAN-NHOM</t>
        </is>
      </c>
      <c r="F483" t="inlineStr">
        <is>
          <t>Bộ</t>
        </is>
      </c>
      <c r="G483" s="394" t="n">
        <v>1</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Cơ cấu liên động bánh răng van</t>
        </is>
      </c>
    </row>
    <row r="484">
      <c r="A484" t="inlineStr">
        <is>
          <t>SW-DAMPER-226-FUSE</t>
        </is>
      </c>
      <c r="B484" t="inlineStr">
        <is>
          <t>SW-DAMPER-226</t>
        </is>
      </c>
      <c r="C484" t="inlineStr">
        <is>
          <t>Cầu chì nhiệt nóng chảy 70°C (Elsie/USA)</t>
        </is>
      </c>
      <c r="D484" t="inlineStr">
        <is>
          <t>PHỤ_KIỆN_VAN</t>
        </is>
      </c>
      <c r="E484" t="inlineStr">
        <is>
          <t>MAT-DAMPER-CAU-CHI-USA-2-400X400</t>
        </is>
      </c>
      <c r="F484" t="inlineStr">
        <is>
          <t>Cái</t>
        </is>
      </c>
      <c r="G484" s="394" t="n">
        <v>1</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Cầu chì kiểm định PCCC</t>
        </is>
      </c>
    </row>
    <row r="485">
      <c r="A485" t="inlineStr">
        <is>
          <t>SW-DAMPER-226-FIRE_INSULATION</t>
        </is>
      </c>
      <c r="B485" t="inlineStr">
        <is>
          <t>SW-DAMPER-226</t>
        </is>
      </c>
      <c r="C485" t="inlineStr">
        <is>
          <t>Bọc cách nhiệt chống cháy tấm MGO/Thạch cao (Tiêu chuẩn EI)</t>
        </is>
      </c>
      <c r="D485" t="inlineStr">
        <is>
          <t>VẬT_LIỆU_CÁCH_NHIỆT</t>
        </is>
      </c>
      <c r="E485" t="inlineStr">
        <is>
          <t>MAT-INSULATION-EI-DAMPER</t>
        </is>
      </c>
      <c r="F485" t="inlineStr">
        <is>
          <t>m2</t>
        </is>
      </c>
      <c r="G485" s="394" t="n">
        <v>0.7909440000000002</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Bọc chống cháy vỏ van (Lưu ý: Giá vật tư đang TẠM TÍNH 300k/m2)</t>
        </is>
      </c>
    </row>
    <row r="486">
      <c r="A486" t="inlineStr">
        <is>
          <t>SW-DAMPER-227-BODY</t>
        </is>
      </c>
      <c r="B486" t="inlineStr">
        <is>
          <t>SW-DAMPER-227</t>
        </is>
      </c>
      <c r="C486" t="inlineStr">
        <is>
          <t>Thân vỏ van FD bích TDF (1.15mm)</t>
        </is>
      </c>
      <c r="D486" t="inlineStr">
        <is>
          <t>TÔN_CUỘN_MẠ_KẼM</t>
        </is>
      </c>
      <c r="E486" t="inlineStr">
        <is>
          <t>MAT-STEEL-PN-1.15</t>
        </is>
      </c>
      <c r="F486" t="inlineStr">
        <is>
          <t>kg</t>
        </is>
      </c>
      <c r="G486" s="394" t="n">
        <v>3.1545696</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Kích thước vỏ 300.0x200.0x250mm</t>
        </is>
      </c>
    </row>
    <row r="487">
      <c r="A487" t="inlineStr">
        <is>
          <t>SW-DAMPER-227-BLADE</t>
        </is>
      </c>
      <c r="B487" t="inlineStr">
        <is>
          <t>SW-DAMPER-227</t>
        </is>
      </c>
      <c r="C487" t="inlineStr">
        <is>
          <t>Lá cánh van (2 cánh overlap)</t>
        </is>
      </c>
      <c r="D487" t="inlineStr">
        <is>
          <t>TÔN_CUỘN_MẠ_KẼM</t>
        </is>
      </c>
      <c r="E487" t="inlineStr">
        <is>
          <t>MAT-STEEL-PN-1.15</t>
        </is>
      </c>
      <c r="F487" t="inlineStr">
        <is>
          <t>kg</t>
        </is>
      </c>
      <c r="G487" s="394" t="n">
        <v>0.7019783999999998</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2 cánh cao 120mm</t>
        </is>
      </c>
    </row>
    <row r="488">
      <c r="A488" t="inlineStr">
        <is>
          <t>SW-DAMPER-227-AXLE</t>
        </is>
      </c>
      <c r="B488" t="inlineStr">
        <is>
          <t>SW-DAMPER-227</t>
        </is>
      </c>
      <c r="C488" t="inlineStr">
        <is>
          <t>Trục Sus 201 D10</t>
        </is>
      </c>
      <c r="D488" t="inlineStr">
        <is>
          <t>PHỤ_KIỆN_VAN</t>
        </is>
      </c>
      <c r="E488" t="inlineStr">
        <is>
          <t>MAT-DAMPER-TRUC-SUS-201-D10</t>
        </is>
      </c>
      <c r="F488" t="inlineStr">
        <is>
          <t>m</t>
        </is>
      </c>
      <c r="G488" s="394" t="n">
        <v>0.72</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2 trục dài 360mm</t>
        </is>
      </c>
    </row>
    <row r="489">
      <c r="A489" t="inlineStr">
        <is>
          <t>SW-DAMPER-227-BEARING</t>
        </is>
      </c>
      <c r="B489" t="inlineStr">
        <is>
          <t>SW-DAMPER-227</t>
        </is>
      </c>
      <c r="C489" t="inlineStr">
        <is>
          <t>Bạc đồng D10</t>
        </is>
      </c>
      <c r="D489" t="inlineStr">
        <is>
          <t>PHỤ_KIỆN_VAN</t>
        </is>
      </c>
      <c r="E489" t="inlineStr">
        <is>
          <t>MAT-DAMPER-BAC-DONG-D10</t>
        </is>
      </c>
      <c r="F489" t="inlineStr">
        <is>
          <t>Đôi</t>
        </is>
      </c>
      <c r="G489" s="394" t="n">
        <v>2</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2 đôi bạc đỡ 2 bên thân</t>
        </is>
      </c>
    </row>
    <row r="490">
      <c r="A490" t="inlineStr">
        <is>
          <t>SW-DAMPER-227-GEAR</t>
        </is>
      </c>
      <c r="B490" t="inlineStr">
        <is>
          <t>SW-DAMPER-227</t>
        </is>
      </c>
      <c r="C490" t="inlineStr">
        <is>
          <t>Bánh răng van nhôm</t>
        </is>
      </c>
      <c r="D490" t="inlineStr">
        <is>
          <t>PHỤ_KIỆN_VAN</t>
        </is>
      </c>
      <c r="E490" t="inlineStr">
        <is>
          <t>MAT-DAMPER-BANH-RANG-VAN-NHOM</t>
        </is>
      </c>
      <c r="F490" t="inlineStr">
        <is>
          <t>Bộ</t>
        </is>
      </c>
      <c r="G490" s="394" t="n">
        <v>1</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Cơ cấu liên động bánh răng van</t>
        </is>
      </c>
    </row>
    <row r="491">
      <c r="A491" t="inlineStr">
        <is>
          <t>SW-DAMPER-227-FUSE</t>
        </is>
      </c>
      <c r="B491" t="inlineStr">
        <is>
          <t>SW-DAMPER-227</t>
        </is>
      </c>
      <c r="C491" t="inlineStr">
        <is>
          <t>Cầu chì nhiệt nóng chảy 70°C (Elsie/USA)</t>
        </is>
      </c>
      <c r="D491" t="inlineStr">
        <is>
          <t>PHỤ_KIỆN_VAN</t>
        </is>
      </c>
      <c r="E491" t="inlineStr">
        <is>
          <t>MAT-DAMPER-CAU-CHI-USA-1-400X400</t>
        </is>
      </c>
      <c r="F491" t="inlineStr">
        <is>
          <t>Cái</t>
        </is>
      </c>
      <c r="G491" s="394" t="n">
        <v>1</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Cầu chì kiểm định PCCC</t>
        </is>
      </c>
    </row>
    <row r="492">
      <c r="A492" t="inlineStr">
        <is>
          <t>SW-DAMPER-227-FIRE_INSULATION</t>
        </is>
      </c>
      <c r="B492" t="inlineStr">
        <is>
          <t>SW-DAMPER-227</t>
        </is>
      </c>
      <c r="C492" t="inlineStr">
        <is>
          <t>Bọc cách nhiệt chống cháy tấm MGO/Thạch cao (Tiêu chuẩn EI)</t>
        </is>
      </c>
      <c r="D492" t="inlineStr">
        <is>
          <t>VẬT_LIỆU_CÁCH_NHIỆT</t>
        </is>
      </c>
      <c r="E492" t="inlineStr">
        <is>
          <t>MAT-INSULATION-EI-DAMPER</t>
        </is>
      </c>
      <c r="F492" t="inlineStr">
        <is>
          <t>m2</t>
        </is>
      </c>
      <c r="G492" s="394" t="n">
        <v>0.3843840000000001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Bọc chống cháy vỏ van (Lưu ý: Giá vật tư đang TẠM TÍNH 300k/m2)</t>
        </is>
      </c>
    </row>
    <row r="493">
      <c r="A493" t="inlineStr">
        <is>
          <t>SW-DAMPER-228-BODY</t>
        </is>
      </c>
      <c r="B493" t="inlineStr">
        <is>
          <t>SW-DAMPER-228</t>
        </is>
      </c>
      <c r="C493" t="inlineStr">
        <is>
          <t>Thân vỏ van FD bích TDF (1.15mm)</t>
        </is>
      </c>
      <c r="D493" t="inlineStr">
        <is>
          <t>TÔN_CUỘN_MẠ_KẼM</t>
        </is>
      </c>
      <c r="E493" t="inlineStr">
        <is>
          <t>MAT-STEEL-PN-1.15</t>
        </is>
      </c>
      <c r="F493" t="inlineStr">
        <is>
          <t>kg</t>
        </is>
      </c>
      <c r="G493" s="394" t="n">
        <v>2.5479216</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Kích thước vỏ 200.0x200.0x250mm</t>
        </is>
      </c>
    </row>
    <row r="494">
      <c r="A494" t="inlineStr">
        <is>
          <t>SW-DAMPER-228-BLADE</t>
        </is>
      </c>
      <c r="B494" t="inlineStr">
        <is>
          <t>SW-DAMPER-228</t>
        </is>
      </c>
      <c r="C494" t="inlineStr">
        <is>
          <t>Lá cánh van (2 cánh overlap)</t>
        </is>
      </c>
      <c r="D494" t="inlineStr">
        <is>
          <t>TÔN_CUỘN_MẠ_KẼM</t>
        </is>
      </c>
      <c r="E494" t="inlineStr">
        <is>
          <t>MAT-STEEL-PN-1.15</t>
        </is>
      </c>
      <c r="F494" t="inlineStr">
        <is>
          <t>kg</t>
        </is>
      </c>
      <c r="G494" s="394" t="n">
        <v>0.4679855999999999</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2 cánh cao 120mm</t>
        </is>
      </c>
    </row>
    <row r="495">
      <c r="A495" t="inlineStr">
        <is>
          <t>SW-DAMPER-228-AXLE</t>
        </is>
      </c>
      <c r="B495" t="inlineStr">
        <is>
          <t>SW-DAMPER-228</t>
        </is>
      </c>
      <c r="C495" t="inlineStr">
        <is>
          <t>Trục Sus 201 D10</t>
        </is>
      </c>
      <c r="D495" t="inlineStr">
        <is>
          <t>PHỤ_KIỆN_VAN</t>
        </is>
      </c>
      <c r="E495" t="inlineStr">
        <is>
          <t>MAT-DAMPER-TRUC-SUS-201-D10</t>
        </is>
      </c>
      <c r="F495" t="inlineStr">
        <is>
          <t>m</t>
        </is>
      </c>
      <c r="G495" s="394" t="n">
        <v>0.52</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2 trục dài 260mm</t>
        </is>
      </c>
    </row>
    <row r="496">
      <c r="A496" t="inlineStr">
        <is>
          <t>SW-DAMPER-228-BEARING</t>
        </is>
      </c>
      <c r="B496" t="inlineStr">
        <is>
          <t>SW-DAMPER-228</t>
        </is>
      </c>
      <c r="C496" t="inlineStr">
        <is>
          <t>Bạc đồng D10</t>
        </is>
      </c>
      <c r="D496" t="inlineStr">
        <is>
          <t>PHỤ_KIỆN_VAN</t>
        </is>
      </c>
      <c r="E496" t="inlineStr">
        <is>
          <t>MAT-DAMPER-BAC-DONG-D10</t>
        </is>
      </c>
      <c r="F496" t="inlineStr">
        <is>
          <t>Đôi</t>
        </is>
      </c>
      <c r="G496" s="394" t="n">
        <v>2</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2 đôi bạc đỡ 2 bên thân</t>
        </is>
      </c>
    </row>
    <row r="497">
      <c r="A497" t="inlineStr">
        <is>
          <t>SW-DAMPER-228-GEAR</t>
        </is>
      </c>
      <c r="B497" t="inlineStr">
        <is>
          <t>SW-DAMPER-228</t>
        </is>
      </c>
      <c r="C497" t="inlineStr">
        <is>
          <t>Bánh răng van nhôm</t>
        </is>
      </c>
      <c r="D497" t="inlineStr">
        <is>
          <t>PHỤ_KIỆN_VAN</t>
        </is>
      </c>
      <c r="E497" t="inlineStr">
        <is>
          <t>MAT-DAMPER-BANH-RANG-VAN-NHOM</t>
        </is>
      </c>
      <c r="F497" t="inlineStr">
        <is>
          <t>Bộ</t>
        </is>
      </c>
      <c r="G497" s="394" t="n">
        <v>1</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Cơ cấu liên động bánh răng van</t>
        </is>
      </c>
    </row>
    <row r="498">
      <c r="A498" t="inlineStr">
        <is>
          <t>SW-DAMPER-228-FUSE</t>
        </is>
      </c>
      <c r="B498" t="inlineStr">
        <is>
          <t>SW-DAMPER-228</t>
        </is>
      </c>
      <c r="C498" t="inlineStr">
        <is>
          <t>Cầu chì nhiệt nóng chảy 70°C (Elsie/USA)</t>
        </is>
      </c>
      <c r="D498" t="inlineStr">
        <is>
          <t>PHỤ_KIỆN_VAN</t>
        </is>
      </c>
      <c r="E498" t="inlineStr">
        <is>
          <t>MAT-DAMPER-CAU-CHI-USA-1-400X400</t>
        </is>
      </c>
      <c r="F498" t="inlineStr">
        <is>
          <t>Cái</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Cầu chì kiểm định PCCC</t>
        </is>
      </c>
    </row>
    <row r="499">
      <c r="A499" t="inlineStr">
        <is>
          <t>SW-DAMPER-228-FIRE_INSULATION</t>
        </is>
      </c>
      <c r="B499" t="inlineStr">
        <is>
          <t>SW-DAMPER-228</t>
        </is>
      </c>
      <c r="C499" t="inlineStr">
        <is>
          <t>Bọc cách nhiệt chống cháy tấm MGO/Thạch cao (Tiêu chuẩn EI)</t>
        </is>
      </c>
      <c r="D499" t="inlineStr">
        <is>
          <t>VẬT_LIỆU_CÁCH_NHIỆT</t>
        </is>
      </c>
      <c r="E499" t="inlineStr">
        <is>
          <t>MAT-INSULATION-EI-DAMPER</t>
        </is>
      </c>
      <c r="F499" t="inlineStr">
        <is>
          <t>m2</t>
        </is>
      </c>
      <c r="G499" s="394" t="n">
        <v>0.310464</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Bọc chống cháy vỏ van (Lưu ý: Giá vật tư đang TẠM TÍNH 300k/m2)</t>
        </is>
      </c>
    </row>
    <row r="500">
      <c r="A500" t="inlineStr">
        <is>
          <t>SW-DAMPER-229-BODY</t>
        </is>
      </c>
      <c r="B500" t="inlineStr">
        <is>
          <t>SW-DAMPER-229</t>
        </is>
      </c>
      <c r="C500" t="inlineStr">
        <is>
          <t>Thân vỏ van FD bích TDF (1.15mm)</t>
        </is>
      </c>
      <c r="D500" t="inlineStr">
        <is>
          <t>TÔN_CUỘN_MẠ_KẼM</t>
        </is>
      </c>
      <c r="E500" t="inlineStr">
        <is>
          <t>MAT-STEEL-PN-1.15</t>
        </is>
      </c>
      <c r="F500" t="inlineStr">
        <is>
          <t>kg</t>
        </is>
      </c>
      <c r="G500" s="394" t="n">
        <v>3.457893599999999</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Kích thước vỏ 350.0x200.0x250mm</t>
        </is>
      </c>
    </row>
    <row r="501">
      <c r="A501" t="inlineStr">
        <is>
          <t>SW-DAMPER-229-BLADE</t>
        </is>
      </c>
      <c r="B501" t="inlineStr">
        <is>
          <t>SW-DAMPER-229</t>
        </is>
      </c>
      <c r="C501" t="inlineStr">
        <is>
          <t>Lá cánh van (2 cánh overlap)</t>
        </is>
      </c>
      <c r="D501" t="inlineStr">
        <is>
          <t>TÔN_CUỘN_MẠ_KẼM</t>
        </is>
      </c>
      <c r="E501" t="inlineStr">
        <is>
          <t>MAT-STEEL-PN-1.15</t>
        </is>
      </c>
      <c r="F501" t="inlineStr">
        <is>
          <t>kg</t>
        </is>
      </c>
      <c r="G501" s="394" t="n">
        <v>0.8189747999999998</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2 cánh cao 120mm</t>
        </is>
      </c>
    </row>
    <row r="502">
      <c r="A502" t="inlineStr">
        <is>
          <t>SW-DAMPER-229-AXLE</t>
        </is>
      </c>
      <c r="B502" t="inlineStr">
        <is>
          <t>SW-DAMPER-229</t>
        </is>
      </c>
      <c r="C502" t="inlineStr">
        <is>
          <t>Trục Sus 201 D10</t>
        </is>
      </c>
      <c r="D502" t="inlineStr">
        <is>
          <t>PHỤ_KIỆN_VAN</t>
        </is>
      </c>
      <c r="E502" t="inlineStr">
        <is>
          <t>MAT-DAMPER-TRUC-SUS-201-D10</t>
        </is>
      </c>
      <c r="F502" t="inlineStr">
        <is>
          <t>m</t>
        </is>
      </c>
      <c r="G502" s="394" t="n">
        <v>0.82</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2 trục dài 410mm</t>
        </is>
      </c>
    </row>
    <row r="503">
      <c r="A503" t="inlineStr">
        <is>
          <t>SW-DAMPER-229-BEARING</t>
        </is>
      </c>
      <c r="B503" t="inlineStr">
        <is>
          <t>SW-DAMPER-229</t>
        </is>
      </c>
      <c r="C503" t="inlineStr">
        <is>
          <t>Bạc đồng D10</t>
        </is>
      </c>
      <c r="D503" t="inlineStr">
        <is>
          <t>PHỤ_KIỆN_VAN</t>
        </is>
      </c>
      <c r="E503" t="inlineStr">
        <is>
          <t>MAT-DAMPER-BAC-DONG-D10</t>
        </is>
      </c>
      <c r="F503" t="inlineStr">
        <is>
          <t>Đôi</t>
        </is>
      </c>
      <c r="G503" s="394" t="n">
        <v>2</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2 đôi bạc đỡ 2 bên thân</t>
        </is>
      </c>
    </row>
    <row r="504">
      <c r="A504" t="inlineStr">
        <is>
          <t>SW-DAMPER-229-GEAR</t>
        </is>
      </c>
      <c r="B504" t="inlineStr">
        <is>
          <t>SW-DAMPER-229</t>
        </is>
      </c>
      <c r="C504" t="inlineStr">
        <is>
          <t>Bánh răng van nhôm</t>
        </is>
      </c>
      <c r="D504" t="inlineStr">
        <is>
          <t>PHỤ_KIỆN_VAN</t>
        </is>
      </c>
      <c r="E504" t="inlineStr">
        <is>
          <t>MAT-DAMPER-BANH-RANG-VAN-NHOM</t>
        </is>
      </c>
      <c r="F504" t="inlineStr">
        <is>
          <t>Bộ</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Cơ cấu liên động bánh răng van</t>
        </is>
      </c>
    </row>
    <row r="505">
      <c r="A505" t="inlineStr">
        <is>
          <t>SW-DAMPER-229-FUSE</t>
        </is>
      </c>
      <c r="B505" t="inlineStr">
        <is>
          <t>SW-DAMPER-229</t>
        </is>
      </c>
      <c r="C505" t="inlineStr">
        <is>
          <t>Cầu chì nhiệt nóng chảy 70°C (Elsie/USA)</t>
        </is>
      </c>
      <c r="D505" t="inlineStr">
        <is>
          <t>PHỤ_KIỆN_VAN</t>
        </is>
      </c>
      <c r="E505" t="inlineStr">
        <is>
          <t>MAT-DAMPER-CAU-CHI-USA-1-400X400</t>
        </is>
      </c>
      <c r="F505" t="inlineStr">
        <is>
          <t>Cái</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Cầu chì kiểm định PCCC</t>
        </is>
      </c>
    </row>
    <row r="506">
      <c r="A506" t="inlineStr">
        <is>
          <t>SW-DAMPER-229-FIRE_INSULATION</t>
        </is>
      </c>
      <c r="B506" t="inlineStr">
        <is>
          <t>SW-DAMPER-229</t>
        </is>
      </c>
      <c r="C506" t="inlineStr">
        <is>
          <t>Bọc cách nhiệt chống cháy tấm MGO/Thạch cao (Tiêu chuẩn EI)</t>
        </is>
      </c>
      <c r="D506" t="inlineStr">
        <is>
          <t>VẬT_LIỆU_CÁCH_NHIỆT</t>
        </is>
      </c>
      <c r="E506" t="inlineStr">
        <is>
          <t>MAT-INSULATION-EI-DAMPER</t>
        </is>
      </c>
      <c r="F506" t="inlineStr">
        <is>
          <t>m2</t>
        </is>
      </c>
      <c r="G506" s="394" t="n">
        <v>0.4213440000000001</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Bọc chống cháy vỏ van (Lưu ý: Giá vật tư đang TẠM TÍNH 300k/m2)</t>
        </is>
      </c>
    </row>
    <row r="507">
      <c r="A507" t="inlineStr">
        <is>
          <t>SW-DAMPER-230-BODY</t>
        </is>
      </c>
      <c r="B507" t="inlineStr">
        <is>
          <t>SW-DAMPER-230</t>
        </is>
      </c>
      <c r="C507" t="inlineStr">
        <is>
          <t>Thân vỏ van FD bích TDF (1.15mm)</t>
        </is>
      </c>
      <c r="D507" t="inlineStr">
        <is>
          <t>TÔN_CUỘN_MẠ_KẼM</t>
        </is>
      </c>
      <c r="E507" t="inlineStr">
        <is>
          <t>MAT-STEEL-PN-1.15</t>
        </is>
      </c>
      <c r="F507" t="inlineStr">
        <is>
          <t>kg</t>
        </is>
      </c>
      <c r="G507" s="394" t="n">
        <v>4.064541599999999</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Kích thước vỏ 450.0x200.0x250mm</t>
        </is>
      </c>
    </row>
    <row r="508">
      <c r="A508" t="inlineStr">
        <is>
          <t>SW-DAMPER-230-BLADE</t>
        </is>
      </c>
      <c r="B508" t="inlineStr">
        <is>
          <t>SW-DAMPER-230</t>
        </is>
      </c>
      <c r="C508" t="inlineStr">
        <is>
          <t>Lá cánh van (2 cánh overlap)</t>
        </is>
      </c>
      <c r="D508" t="inlineStr">
        <is>
          <t>TÔN_CUỘN_MẠ_KẼM</t>
        </is>
      </c>
      <c r="E508" t="inlineStr">
        <is>
          <t>MAT-STEEL-PN-1.15</t>
        </is>
      </c>
      <c r="F508" t="inlineStr">
        <is>
          <t>kg</t>
        </is>
      </c>
      <c r="G508" s="394" t="n">
        <v>1.0529676</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2 cánh cao 120mm</t>
        </is>
      </c>
    </row>
    <row r="509">
      <c r="A509" t="inlineStr">
        <is>
          <t>SW-DAMPER-230-AXLE</t>
        </is>
      </c>
      <c r="B509" t="inlineStr">
        <is>
          <t>SW-DAMPER-230</t>
        </is>
      </c>
      <c r="C509" t="inlineStr">
        <is>
          <t>Trục Sus 201 D10</t>
        </is>
      </c>
      <c r="D509" t="inlineStr">
        <is>
          <t>PHỤ_KIỆN_VAN</t>
        </is>
      </c>
      <c r="E509" t="inlineStr">
        <is>
          <t>MAT-DAMPER-TRUC-SUS-201-D10</t>
        </is>
      </c>
      <c r="F509" t="inlineStr">
        <is>
          <t>m</t>
        </is>
      </c>
      <c r="G509" s="394" t="n">
        <v>1.02</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2 trục dài 510mm</t>
        </is>
      </c>
    </row>
    <row r="510">
      <c r="A510" t="inlineStr">
        <is>
          <t>SW-DAMPER-230-BEARING</t>
        </is>
      </c>
      <c r="B510" t="inlineStr">
        <is>
          <t>SW-DAMPER-230</t>
        </is>
      </c>
      <c r="C510" t="inlineStr">
        <is>
          <t>Bạc đồng D10</t>
        </is>
      </c>
      <c r="D510" t="inlineStr">
        <is>
          <t>PHỤ_KIỆN_VAN</t>
        </is>
      </c>
      <c r="E510" t="inlineStr">
        <is>
          <t>MAT-DAMPER-BAC-DONG-D10</t>
        </is>
      </c>
      <c r="F510" t="inlineStr">
        <is>
          <t>Đôi</t>
        </is>
      </c>
      <c r="G510" s="394" t="n">
        <v>2</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2 đôi bạc đỡ 2 bên thân</t>
        </is>
      </c>
    </row>
    <row r="511">
      <c r="A511" t="inlineStr">
        <is>
          <t>SW-DAMPER-230-GEAR</t>
        </is>
      </c>
      <c r="B511" t="inlineStr">
        <is>
          <t>SW-DAMPER-230</t>
        </is>
      </c>
      <c r="C511" t="inlineStr">
        <is>
          <t>Bánh răng van nhôm</t>
        </is>
      </c>
      <c r="D511" t="inlineStr">
        <is>
          <t>PHỤ_KIỆN_VAN</t>
        </is>
      </c>
      <c r="E511" t="inlineStr">
        <is>
          <t>MAT-DAMPER-BANH-RANG-VAN-NHOM</t>
        </is>
      </c>
      <c r="F511" t="inlineStr">
        <is>
          <t>Bộ</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Cơ cấu liên động bánh răng van</t>
        </is>
      </c>
    </row>
    <row r="512">
      <c r="A512" t="inlineStr">
        <is>
          <t>SW-DAMPER-230-FUSE</t>
        </is>
      </c>
      <c r="B512" t="inlineStr">
        <is>
          <t>SW-DAMPER-230</t>
        </is>
      </c>
      <c r="C512" t="inlineStr">
        <is>
          <t>Cầu chì nhiệt nóng chảy 70°C (Elsie/USA)</t>
        </is>
      </c>
      <c r="D512" t="inlineStr">
        <is>
          <t>PHỤ_KIỆN_VAN</t>
        </is>
      </c>
      <c r="E512" t="inlineStr">
        <is>
          <t>MAT-DAMPER-CAU-CHI-USA-2-400X400</t>
        </is>
      </c>
      <c r="F512" t="inlineStr">
        <is>
          <t>Cái</t>
        </is>
      </c>
      <c r="G512" s="394" t="n">
        <v>1</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Cầu chì kiểm định PCCC</t>
        </is>
      </c>
    </row>
    <row r="513">
      <c r="A513" t="inlineStr">
        <is>
          <t>SW-DAMPER-230-FIRE_INSULATION</t>
        </is>
      </c>
      <c r="B513" t="inlineStr">
        <is>
          <t>SW-DAMPER-230</t>
        </is>
      </c>
      <c r="C513" t="inlineStr">
        <is>
          <t>Bọc cách nhiệt chống cháy tấm MGO/Thạch cao (Tiêu chuẩn EI)</t>
        </is>
      </c>
      <c r="D513" t="inlineStr">
        <is>
          <t>VẬT_LIỆU_CÁCH_NHIỆT</t>
        </is>
      </c>
      <c r="E513" t="inlineStr">
        <is>
          <t>MAT-INSULATION-EI-DAMPER</t>
        </is>
      </c>
      <c r="F513" t="inlineStr">
        <is>
          <t>m2</t>
        </is>
      </c>
      <c r="G513" s="394" t="n">
        <v>0.4952640000000001</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Bọc chống cháy vỏ van (Lưu ý: Giá vật tư đang TẠM TÍNH 300k/m2)</t>
        </is>
      </c>
    </row>
    <row r="514">
      <c r="A514" t="inlineStr">
        <is>
          <t>SW-DAMPER-231-BODY</t>
        </is>
      </c>
      <c r="B514" t="inlineStr">
        <is>
          <t>SW-DAMPER-231</t>
        </is>
      </c>
      <c r="C514" t="inlineStr">
        <is>
          <t>Thân vỏ van MD bích TDF (0.75mm)</t>
        </is>
      </c>
      <c r="D514" t="inlineStr">
        <is>
          <t>TÔN_CUỘN_MẠ_KẼM</t>
        </is>
      </c>
      <c r="E514" t="inlineStr">
        <is>
          <t>MAT-STEEL-PN-0.75</t>
        </is>
      </c>
      <c r="F514" t="inlineStr">
        <is>
          <t>kg</t>
        </is>
      </c>
      <c r="G514" s="394" t="n">
        <v>1.6270695</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Kích thước vỏ 300.0x150.0x210mm</t>
        </is>
      </c>
    </row>
    <row r="515">
      <c r="A515" t="inlineStr">
        <is>
          <t>SW-DAMPER-231-BLADE</t>
        </is>
      </c>
      <c r="B515" t="inlineStr">
        <is>
          <t>SW-DAMPER-231</t>
        </is>
      </c>
      <c r="C515" t="inlineStr">
        <is>
          <t>Lá cánh van (1 cánh overlap)</t>
        </is>
      </c>
      <c r="D515" t="inlineStr">
        <is>
          <t>TÔN_CUỘN_MẠ_KẼM</t>
        </is>
      </c>
      <c r="E515" t="inlineStr">
        <is>
          <t>MAT-STEEL-PN-0.75</t>
        </is>
      </c>
      <c r="F515" t="inlineStr">
        <is>
          <t>kg</t>
        </is>
      </c>
      <c r="G515" s="394" t="n">
        <v>0.3242835</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1 cánh cao 170mm</t>
        </is>
      </c>
    </row>
    <row r="516">
      <c r="A516" t="inlineStr">
        <is>
          <t>SW-DAMPER-231-AXLE</t>
        </is>
      </c>
      <c r="B516" t="inlineStr">
        <is>
          <t>SW-DAMPER-231</t>
        </is>
      </c>
      <c r="C516" t="inlineStr">
        <is>
          <t>Trục Sus 201 D10</t>
        </is>
      </c>
      <c r="D516" t="inlineStr">
        <is>
          <t>PHỤ_KIỆN_VAN</t>
        </is>
      </c>
      <c r="E516" t="inlineStr">
        <is>
          <t>MAT-DAMPER-TRUC-SUS-201-D10</t>
        </is>
      </c>
      <c r="F516" t="inlineStr">
        <is>
          <t>m</t>
        </is>
      </c>
      <c r="G516" s="394" t="n">
        <v>0.36</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1 trục dài 360mm</t>
        </is>
      </c>
    </row>
    <row r="517">
      <c r="A517" t="inlineStr">
        <is>
          <t>SW-DAMPER-231-BEARING</t>
        </is>
      </c>
      <c r="B517" t="inlineStr">
        <is>
          <t>SW-DAMPER-231</t>
        </is>
      </c>
      <c r="C517" t="inlineStr">
        <is>
          <t>Bạc đồng D10</t>
        </is>
      </c>
      <c r="D517" t="inlineStr">
        <is>
          <t>PHỤ_KIỆN_VAN</t>
        </is>
      </c>
      <c r="E517" t="inlineStr">
        <is>
          <t>MAT-DAMPER-BAC-DONG-D10</t>
        </is>
      </c>
      <c r="F517" t="inlineStr">
        <is>
          <t>Đôi</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1 đôi bạc đỡ 2 bên thân</t>
        </is>
      </c>
    </row>
    <row r="518">
      <c r="A518" t="inlineStr">
        <is>
          <t>SW-DAMPER-231-ACTUATOR</t>
        </is>
      </c>
      <c r="B518" t="inlineStr">
        <is>
          <t>SW-DAMPER-231</t>
        </is>
      </c>
      <c r="C518" t="inlineStr">
        <is>
          <t>Model: NACA 2-05 (5Nm, 220VAC)</t>
        </is>
      </c>
      <c r="D518" t="inlineStr">
        <is>
          <t>ĐỘNG_CƠ_VÀ_CẢM_BIẾN</t>
        </is>
      </c>
      <c r="E518" t="inlineStr">
        <is>
          <t>MAT-ACTUATOR-NACA-2-05</t>
        </is>
      </c>
      <c r="F518" t="inlineStr">
        <is>
          <t>Cái</t>
        </is>
      </c>
      <c r="G518" s="394" t="n">
        <v>1</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Tiết diện van 0.04m2</t>
        </is>
      </c>
    </row>
    <row r="519">
      <c r="A519" t="inlineStr">
        <is>
          <t>SW-DAMPER-231-HANDLE</t>
        </is>
      </c>
      <c r="B519" t="inlineStr">
        <is>
          <t>SW-DAMPER-231</t>
        </is>
      </c>
      <c r="C519" t="inlineStr">
        <is>
          <t>Tay gạt nhỏ</t>
        </is>
      </c>
      <c r="D519" t="inlineStr">
        <is>
          <t>PHỤ_KIỆN_VAN</t>
        </is>
      </c>
      <c r="E519" t="inlineStr">
        <is>
          <t>MAT-DAMPER-TAY-GAT-NHO</t>
        </is>
      </c>
      <c r="F519" t="inlineStr">
        <is>
          <t>Bộ</t>
        </is>
      </c>
      <c r="G519" s="394" t="n">
        <v>1</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Tay gạt khóa vị trí nan (S=0.04m2)</t>
        </is>
      </c>
    </row>
    <row r="520">
      <c r="A520" t="inlineStr">
        <is>
          <t>SW-DAMPER-232-BODY</t>
        </is>
      </c>
      <c r="B520" t="inlineStr">
        <is>
          <t>SW-DAMPER-232</t>
        </is>
      </c>
      <c r="C520" t="inlineStr">
        <is>
          <t>Thân vỏ van VCD bích TDF (0.75mm)</t>
        </is>
      </c>
      <c r="D520" t="inlineStr">
        <is>
          <t>TÔN_CUỘN_MẠ_KẼM</t>
        </is>
      </c>
      <c r="E520" t="inlineStr">
        <is>
          <t>MAT-STEEL-PN-0.75</t>
        </is>
      </c>
      <c r="F520" t="inlineStr">
        <is>
          <t>kg</t>
        </is>
      </c>
      <c r="G520" s="394" t="n">
        <v>2.146347</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Kích thước vỏ 300x300x210mm</t>
        </is>
      </c>
    </row>
    <row r="521">
      <c r="A521" t="inlineStr">
        <is>
          <t>SW-DAMPER-232-BLADE</t>
        </is>
      </c>
      <c r="B521" t="inlineStr">
        <is>
          <t>SW-DAMPER-232</t>
        </is>
      </c>
      <c r="C521" t="inlineStr">
        <is>
          <t>Lá cánh van (2 cánh overlap)</t>
        </is>
      </c>
      <c r="D521" t="inlineStr">
        <is>
          <t>TÔN_CUỘN_MẠ_KẼM</t>
        </is>
      </c>
      <c r="E521" t="inlineStr">
        <is>
          <t>MAT-STEEL-PN-0.75</t>
        </is>
      </c>
      <c r="F521" t="inlineStr">
        <is>
          <t>kg</t>
        </is>
      </c>
      <c r="G521" s="394" t="n">
        <v>0.648567</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2 cánh cao 170mm</t>
        </is>
      </c>
    </row>
    <row r="522">
      <c r="A522" t="inlineStr">
        <is>
          <t>SW-DAMPER-232-AXLE</t>
        </is>
      </c>
      <c r="B522" t="inlineStr">
        <is>
          <t>SW-DAMPER-232</t>
        </is>
      </c>
      <c r="C522" t="inlineStr">
        <is>
          <t>Trục Sus 201 D10</t>
        </is>
      </c>
      <c r="D522" t="inlineStr">
        <is>
          <t>PHỤ_KIỆN_VAN</t>
        </is>
      </c>
      <c r="E522" t="inlineStr">
        <is>
          <t>MAT-DAMPER-TRUC-SUS-201-D10</t>
        </is>
      </c>
      <c r="F522" t="inlineStr">
        <is>
          <t>m</t>
        </is>
      </c>
      <c r="G522" s="394" t="n">
        <v>0.72</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2 trục dài 360mm</t>
        </is>
      </c>
    </row>
    <row r="523">
      <c r="A523" t="inlineStr">
        <is>
          <t>SW-DAMPER-232-BEARING</t>
        </is>
      </c>
      <c r="B523" t="inlineStr">
        <is>
          <t>SW-DAMPER-232</t>
        </is>
      </c>
      <c r="C523" t="inlineStr">
        <is>
          <t>Bạc đồng D10</t>
        </is>
      </c>
      <c r="D523" t="inlineStr">
        <is>
          <t>PHỤ_KIỆN_VAN</t>
        </is>
      </c>
      <c r="E523" t="inlineStr">
        <is>
          <t>MAT-DAMPER-BAC-DONG-D10</t>
        </is>
      </c>
      <c r="F523" t="inlineStr">
        <is>
          <t>Đôi</t>
        </is>
      </c>
      <c r="G523" s="394" t="n">
        <v>2</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2 đôi bạc đỡ 2 bên thân</t>
        </is>
      </c>
    </row>
    <row r="524">
      <c r="A524" t="inlineStr">
        <is>
          <t>SW-DAMPER-232-GEAR</t>
        </is>
      </c>
      <c r="B524" t="inlineStr">
        <is>
          <t>SW-DAMPER-232</t>
        </is>
      </c>
      <c r="C524" t="inlineStr">
        <is>
          <t>Bánh răng van nhôm</t>
        </is>
      </c>
      <c r="D524" t="inlineStr">
        <is>
          <t>PHỤ_KIỆN_VAN</t>
        </is>
      </c>
      <c r="E524" t="inlineStr">
        <is>
          <t>MAT-DAMPER-BANH-RANG-VAN-NHOM</t>
        </is>
      </c>
      <c r="F524" t="inlineStr">
        <is>
          <t>Bộ</t>
        </is>
      </c>
      <c r="G524" s="394" t="n">
        <v>1</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Cơ cấu liên động bánh răng van</t>
        </is>
      </c>
    </row>
    <row r="525">
      <c r="A525" t="inlineStr">
        <is>
          <t>SW-DAMPER-232-HANDLE</t>
        </is>
      </c>
      <c r="B525" t="inlineStr">
        <is>
          <t>SW-DAMPER-232</t>
        </is>
      </c>
      <c r="C525" t="inlineStr">
        <is>
          <t>Tay gạt nhỏ</t>
        </is>
      </c>
      <c r="D525" t="inlineStr">
        <is>
          <t>PHỤ_KIỆN_VAN</t>
        </is>
      </c>
      <c r="E525" t="inlineStr">
        <is>
          <t>MAT-DAMPER-TAY-GAT-NHO</t>
        </is>
      </c>
      <c r="F525" t="inlineStr">
        <is>
          <t>Bộ</t>
        </is>
      </c>
      <c r="G525" s="394" t="n">
        <v>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Tay gạt khóa vị trí nan (S=0.09m2)</t>
        </is>
      </c>
    </row>
    <row r="526">
      <c r="A526" t="inlineStr">
        <is>
          <t>SW-DAMPER-233-BODY</t>
        </is>
      </c>
      <c r="B526" t="inlineStr">
        <is>
          <t>SW-DAMPER-233</t>
        </is>
      </c>
      <c r="C526" t="inlineStr">
        <is>
          <t>Thân vỏ van VCD bích TDF (0.95mm)</t>
        </is>
      </c>
      <c r="D526" t="inlineStr">
        <is>
          <t>TÔN_CUỘN_MẠ_KẼM</t>
        </is>
      </c>
      <c r="E526" t="inlineStr">
        <is>
          <t>MAT-STEEL-PN-0.95</t>
        </is>
      </c>
      <c r="F526" t="inlineStr">
        <is>
          <t>kg</t>
        </is>
      </c>
      <c r="G526" s="394" t="n">
        <v>7.103716200000001</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Kích thước vỏ 1300.0x300.0x210mm</t>
        </is>
      </c>
    </row>
    <row r="527">
      <c r="A527" t="inlineStr">
        <is>
          <t>SW-DAMPER-233-BLADE</t>
        </is>
      </c>
      <c r="B527" t="inlineStr">
        <is>
          <t>SW-DAMPER-233</t>
        </is>
      </c>
      <c r="C527" t="inlineStr">
        <is>
          <t>Lá cánh van (2 cánh overlap)</t>
        </is>
      </c>
      <c r="D527" t="inlineStr">
        <is>
          <t>TÔN_CUỘN_MẠ_KẼM</t>
        </is>
      </c>
      <c r="E527" t="inlineStr">
        <is>
          <t>MAT-STEEL-PN-0.75</t>
        </is>
      </c>
      <c r="F527" t="inlineStr">
        <is>
          <t>kg</t>
        </is>
      </c>
      <c r="G527" s="394" t="n">
        <v>2.810457</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2 cánh cao 170mm</t>
        </is>
      </c>
    </row>
    <row r="528">
      <c r="A528" t="inlineStr">
        <is>
          <t>SW-DAMPER-233-AXLE</t>
        </is>
      </c>
      <c r="B528" t="inlineStr">
        <is>
          <t>SW-DAMPER-233</t>
        </is>
      </c>
      <c r="C528" t="inlineStr">
        <is>
          <t>Trục Sus 201 D10</t>
        </is>
      </c>
      <c r="D528" t="inlineStr">
        <is>
          <t>PHỤ_KIỆN_VAN</t>
        </is>
      </c>
      <c r="E528" t="inlineStr">
        <is>
          <t>MAT-DAMPER-TRUC-SUS-201-D10</t>
        </is>
      </c>
      <c r="F528" t="inlineStr">
        <is>
          <t>m</t>
        </is>
      </c>
      <c r="G528" s="394" t="n">
        <v>2.72</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2 trục dài 1360mm</t>
        </is>
      </c>
    </row>
    <row r="529">
      <c r="A529" t="inlineStr">
        <is>
          <t>SW-DAMPER-233-BEARING</t>
        </is>
      </c>
      <c r="B529" t="inlineStr">
        <is>
          <t>SW-DAMPER-233</t>
        </is>
      </c>
      <c r="C529" t="inlineStr">
        <is>
          <t>Bạc đồng D10</t>
        </is>
      </c>
      <c r="D529" t="inlineStr">
        <is>
          <t>PHỤ_KIỆN_VAN</t>
        </is>
      </c>
      <c r="E529" t="inlineStr">
        <is>
          <t>MAT-DAMPER-BAC-DONG-D10</t>
        </is>
      </c>
      <c r="F529" t="inlineStr">
        <is>
          <t>Đôi</t>
        </is>
      </c>
      <c r="G529" s="394" t="n">
        <v>2</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2 đôi bạc đỡ 2 bên thân</t>
        </is>
      </c>
    </row>
    <row r="530">
      <c r="A530" t="inlineStr">
        <is>
          <t>SW-DAMPER-233-GEAR</t>
        </is>
      </c>
      <c r="B530" t="inlineStr">
        <is>
          <t>SW-DAMPER-233</t>
        </is>
      </c>
      <c r="C530" t="inlineStr">
        <is>
          <t>Bánh răng van nhôm</t>
        </is>
      </c>
      <c r="D530" t="inlineStr">
        <is>
          <t>PHỤ_KIỆN_VAN</t>
        </is>
      </c>
      <c r="E530" t="inlineStr">
        <is>
          <t>MAT-DAMPER-BANH-RANG-VAN-NHOM</t>
        </is>
      </c>
      <c r="F530" t="inlineStr">
        <is>
          <t>Bộ</t>
        </is>
      </c>
      <c r="G530" s="394" t="n">
        <v>1</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Cơ cấu liên động bánh răng van</t>
        </is>
      </c>
    </row>
    <row r="531">
      <c r="A531" t="inlineStr">
        <is>
          <t>SW-DAMPER-233-HANDLE</t>
        </is>
      </c>
      <c r="B531" t="inlineStr">
        <is>
          <t>SW-DAMPER-233</t>
        </is>
      </c>
      <c r="C531" t="inlineStr">
        <is>
          <t>Tay gạt nhỏ</t>
        </is>
      </c>
      <c r="D531" t="inlineStr">
        <is>
          <t>PHỤ_KIỆN_VAN</t>
        </is>
      </c>
      <c r="E531" t="inlineStr">
        <is>
          <t>MAT-DAMPER-TAY-GAT-NHO</t>
        </is>
      </c>
      <c r="F531" t="inlineStr">
        <is>
          <t>Bộ</t>
        </is>
      </c>
      <c r="G531" s="394" t="n">
        <v>1</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Tay gạt khóa vị trí nan (S=0.39m2)</t>
        </is>
      </c>
    </row>
    <row r="532">
      <c r="A532" t="inlineStr">
        <is>
          <t>SW-DAMPER-234-BODY</t>
        </is>
      </c>
      <c r="B532" t="inlineStr">
        <is>
          <t>SW-DAMPER-234</t>
        </is>
      </c>
      <c r="C532" t="inlineStr">
        <is>
          <t>Thân vỏ van VCD bích TDF (0.75mm)</t>
        </is>
      </c>
      <c r="D532" t="inlineStr">
        <is>
          <t>TÔN_CUỘN_MẠ_KẼM</t>
        </is>
      </c>
      <c r="E532" t="inlineStr">
        <is>
          <t>MAT-STEEL-PN-0.75</t>
        </is>
      </c>
      <c r="F532" t="inlineStr">
        <is>
          <t>kg</t>
        </is>
      </c>
      <c r="G532" s="394" t="n">
        <v>1.107792</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Kích thước vỏ 150.0x150.0x210mm</t>
        </is>
      </c>
    </row>
    <row r="533">
      <c r="A533" t="inlineStr">
        <is>
          <t>SW-DAMPER-234-BLADE</t>
        </is>
      </c>
      <c r="B533" t="inlineStr">
        <is>
          <t>SW-DAMPER-234</t>
        </is>
      </c>
      <c r="C533" t="inlineStr">
        <is>
          <t>Lá cánh van (1 cánh overlap)</t>
        </is>
      </c>
      <c r="D533" t="inlineStr">
        <is>
          <t>TÔN_CUỘN_MẠ_KẼM</t>
        </is>
      </c>
      <c r="E533" t="inlineStr">
        <is>
          <t>MAT-STEEL-PN-0.75</t>
        </is>
      </c>
      <c r="F533" t="inlineStr">
        <is>
          <t>kg</t>
        </is>
      </c>
      <c r="G533" s="394" t="n">
        <v>0.16214175</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1 cánh cao 170mm</t>
        </is>
      </c>
    </row>
    <row r="534">
      <c r="A534" t="inlineStr">
        <is>
          <t>SW-DAMPER-234-AXLE</t>
        </is>
      </c>
      <c r="B534" t="inlineStr">
        <is>
          <t>SW-DAMPER-234</t>
        </is>
      </c>
      <c r="C534" t="inlineStr">
        <is>
          <t>Trục Sus 201 D10</t>
        </is>
      </c>
      <c r="D534" t="inlineStr">
        <is>
          <t>PHỤ_KIỆN_VAN</t>
        </is>
      </c>
      <c r="E534" t="inlineStr">
        <is>
          <t>MAT-DAMPER-TRUC-SUS-201-D10</t>
        </is>
      </c>
      <c r="F534" t="inlineStr">
        <is>
          <t>m</t>
        </is>
      </c>
      <c r="G534" s="394" t="n">
        <v>0.21</v>
      </c>
      <c r="H534" s="390">
        <f>IFERROR(INDEX('00_TONG_HOP_BAO_GIA'!$G$1:$G$5000, MATCH(B534, '00_TONG_HOP_BAO_GIA'!$B$1:$B$5000, 0)), 1)</f>
        <v/>
      </c>
      <c r="I534" s="395">
        <f>G534*H534</f>
        <v/>
      </c>
      <c r="J534" s="390">
        <f>IFERROR(INDEX('06_BANG_GIA_VAT_TU_AP_DUNG'!$E$1:$E$5000, MATCH(E534, '06_BANG_GIA_VAT_TU_AP_DUNG'!$B$1:$B$5000, 0)), 0)</f>
        <v/>
      </c>
      <c r="K534" s="390">
        <f>I534*J534</f>
        <v/>
      </c>
      <c r="L534" t="inlineStr">
        <is>
          <t>1 trục dài 210mm</t>
        </is>
      </c>
    </row>
    <row r="535">
      <c r="A535" t="inlineStr">
        <is>
          <t>SW-DAMPER-234-BEARING</t>
        </is>
      </c>
      <c r="B535" t="inlineStr">
        <is>
          <t>SW-DAMPER-234</t>
        </is>
      </c>
      <c r="C535" t="inlineStr">
        <is>
          <t>Bạc đồng D10</t>
        </is>
      </c>
      <c r="D535" t="inlineStr">
        <is>
          <t>PHỤ_KIỆN_VAN</t>
        </is>
      </c>
      <c r="E535" t="inlineStr">
        <is>
          <t>MAT-DAMPER-BAC-DONG-D10</t>
        </is>
      </c>
      <c r="F535" t="inlineStr">
        <is>
          <t>Đôi</t>
        </is>
      </c>
      <c r="G535" s="394" t="n">
        <v>1</v>
      </c>
      <c r="H535" s="390">
        <f>IFERROR(INDEX('00_TONG_HOP_BAO_GIA'!$G$1:$G$5000, MATCH(B535, '00_TONG_HOP_BAO_GIA'!$B$1:$B$5000, 0)), 1)</f>
        <v/>
      </c>
      <c r="I535" s="395">
        <f>G535*H535</f>
        <v/>
      </c>
      <c r="J535" s="390">
        <f>IFERROR(INDEX('06_BANG_GIA_VAT_TU_AP_DUNG'!$E$1:$E$5000, MATCH(E535, '06_BANG_GIA_VAT_TU_AP_DUNG'!$B$1:$B$5000, 0)), 0)</f>
        <v/>
      </c>
      <c r="K535" s="390">
        <f>I535*J535</f>
        <v/>
      </c>
      <c r="L535" t="inlineStr">
        <is>
          <t>1 đôi bạc đỡ 2 bên thân</t>
        </is>
      </c>
    </row>
    <row r="536">
      <c r="A536" t="inlineStr">
        <is>
          <t>SW-DAMPER-234-HANDLE</t>
        </is>
      </c>
      <c r="B536" t="inlineStr">
        <is>
          <t>SW-DAMPER-234</t>
        </is>
      </c>
      <c r="C536" t="inlineStr">
        <is>
          <t>Tay gạt nhỏ</t>
        </is>
      </c>
      <c r="D536" t="inlineStr">
        <is>
          <t>PHỤ_KIỆN_VAN</t>
        </is>
      </c>
      <c r="E536" t="inlineStr">
        <is>
          <t>MAT-DAMPER-TAY-GAT-NHO</t>
        </is>
      </c>
      <c r="F536" t="inlineStr">
        <is>
          <t>Bộ</t>
        </is>
      </c>
      <c r="G536" s="394" t="n">
        <v>1</v>
      </c>
      <c r="H536" s="390">
        <f>IFERROR(INDEX('00_TONG_HOP_BAO_GIA'!$G$1:$G$5000, MATCH(B536, '00_TONG_HOP_BAO_GIA'!$B$1:$B$5000, 0)), 1)</f>
        <v/>
      </c>
      <c r="I536" s="395">
        <f>G536*H536</f>
        <v/>
      </c>
      <c r="J536" s="390">
        <f>IFERROR(INDEX('06_BANG_GIA_VAT_TU_AP_DUNG'!$E$1:$E$5000, MATCH(E536, '06_BANG_GIA_VAT_TU_AP_DUNG'!$B$1:$B$5000, 0)), 0)</f>
        <v/>
      </c>
      <c r="K536" s="390">
        <f>I536*J536</f>
        <v/>
      </c>
      <c r="L536" t="inlineStr">
        <is>
          <t>Tay gạt khóa vị trí nan (S=0.02m2)</t>
        </is>
      </c>
    </row>
    <row r="537">
      <c r="A537" t="inlineStr">
        <is>
          <t>SW-DAMPER-235-BODY</t>
        </is>
      </c>
      <c r="B537" t="inlineStr">
        <is>
          <t>SW-DAMPER-235</t>
        </is>
      </c>
      <c r="C537" t="inlineStr">
        <is>
          <t>Thân vỏ van VCD bích TDF (0.75mm)</t>
        </is>
      </c>
      <c r="D537" t="inlineStr">
        <is>
          <t>TÔN_CUỘN_MẠ_KẼM</t>
        </is>
      </c>
      <c r="E537" t="inlineStr">
        <is>
          <t>MAT-STEEL-PN-0.75</t>
        </is>
      </c>
      <c r="F537" t="inlineStr">
        <is>
          <t>kg</t>
        </is>
      </c>
      <c r="G537" s="394" t="n">
        <v>2.146347</v>
      </c>
      <c r="H537" s="390">
        <f>IFERROR(INDEX('00_TONG_HOP_BAO_GIA'!$G$1:$G$5000, MATCH(B537, '00_TONG_HOP_BAO_GIA'!$B$1:$B$5000, 0)), 1)</f>
        <v/>
      </c>
      <c r="I537" s="395">
        <f>G537*H537</f>
        <v/>
      </c>
      <c r="J537" s="390">
        <f>IFERROR(INDEX('06_BANG_GIA_VAT_TU_AP_DUNG'!$E$1:$E$5000, MATCH(E537, '06_BANG_GIA_VAT_TU_AP_DUNG'!$B$1:$B$5000, 0)), 0)</f>
        <v/>
      </c>
      <c r="K537" s="390">
        <f>I537*J537</f>
        <v/>
      </c>
      <c r="L537" t="inlineStr">
        <is>
          <t>Kích thước vỏ 300x300x210mm</t>
        </is>
      </c>
    </row>
    <row r="538">
      <c r="A538" t="inlineStr">
        <is>
          <t>SW-DAMPER-235-BLADE</t>
        </is>
      </c>
      <c r="B538" t="inlineStr">
        <is>
          <t>SW-DAMPER-235</t>
        </is>
      </c>
      <c r="C538" t="inlineStr">
        <is>
          <t>Lá cánh van (2 cánh overlap)</t>
        </is>
      </c>
      <c r="D538" t="inlineStr">
        <is>
          <t>TÔN_CUỘN_MẠ_KẼM</t>
        </is>
      </c>
      <c r="E538" t="inlineStr">
        <is>
          <t>MAT-STEEL-PN-0.75</t>
        </is>
      </c>
      <c r="F538" t="inlineStr">
        <is>
          <t>kg</t>
        </is>
      </c>
      <c r="G538" s="394" t="n">
        <v>0.648567</v>
      </c>
      <c r="H538" s="390">
        <f>IFERROR(INDEX('00_TONG_HOP_BAO_GIA'!$G$1:$G$5000, MATCH(B538, '00_TONG_HOP_BAO_GIA'!$B$1:$B$5000, 0)), 1)</f>
        <v/>
      </c>
      <c r="I538" s="395">
        <f>G538*H538</f>
        <v/>
      </c>
      <c r="J538" s="390">
        <f>IFERROR(INDEX('06_BANG_GIA_VAT_TU_AP_DUNG'!$E$1:$E$5000, MATCH(E538, '06_BANG_GIA_VAT_TU_AP_DUNG'!$B$1:$B$5000, 0)), 0)</f>
        <v/>
      </c>
      <c r="K538" s="390">
        <f>I538*J538</f>
        <v/>
      </c>
      <c r="L538" t="inlineStr">
        <is>
          <t>2 cánh cao 170mm</t>
        </is>
      </c>
    </row>
    <row r="539">
      <c r="A539" t="inlineStr">
        <is>
          <t>SW-DAMPER-235-AXLE</t>
        </is>
      </c>
      <c r="B539" t="inlineStr">
        <is>
          <t>SW-DAMPER-235</t>
        </is>
      </c>
      <c r="C539" t="inlineStr">
        <is>
          <t>Trục Sus 201 D10</t>
        </is>
      </c>
      <c r="D539" t="inlineStr">
        <is>
          <t>PHỤ_KIỆN_VAN</t>
        </is>
      </c>
      <c r="E539" t="inlineStr">
        <is>
          <t>MAT-DAMPER-TRUC-SUS-201-D10</t>
        </is>
      </c>
      <c r="F539" t="inlineStr">
        <is>
          <t>m</t>
        </is>
      </c>
      <c r="G539" s="394" t="n">
        <v>0.72</v>
      </c>
      <c r="H539" s="390">
        <f>IFERROR(INDEX('00_TONG_HOP_BAO_GIA'!$G$1:$G$5000, MATCH(B539, '00_TONG_HOP_BAO_GIA'!$B$1:$B$5000, 0)), 1)</f>
        <v/>
      </c>
      <c r="I539" s="395">
        <f>G539*H539</f>
        <v/>
      </c>
      <c r="J539" s="390">
        <f>IFERROR(INDEX('06_BANG_GIA_VAT_TU_AP_DUNG'!$E$1:$E$5000, MATCH(E539, '06_BANG_GIA_VAT_TU_AP_DUNG'!$B$1:$B$5000, 0)), 0)</f>
        <v/>
      </c>
      <c r="K539" s="390">
        <f>I539*J539</f>
        <v/>
      </c>
      <c r="L539" t="inlineStr">
        <is>
          <t>2 trục dài 360mm</t>
        </is>
      </c>
    </row>
    <row r="540">
      <c r="A540" t="inlineStr">
        <is>
          <t>SW-DAMPER-235-BEARING</t>
        </is>
      </c>
      <c r="B540" t="inlineStr">
        <is>
          <t>SW-DAMPER-235</t>
        </is>
      </c>
      <c r="C540" t="inlineStr">
        <is>
          <t>Bạc đồng D10</t>
        </is>
      </c>
      <c r="D540" t="inlineStr">
        <is>
          <t>PHỤ_KIỆN_VAN</t>
        </is>
      </c>
      <c r="E540" t="inlineStr">
        <is>
          <t>MAT-DAMPER-BAC-DONG-D10</t>
        </is>
      </c>
      <c r="F540" t="inlineStr">
        <is>
          <t>Đôi</t>
        </is>
      </c>
      <c r="G540" s="394" t="n">
        <v>2</v>
      </c>
      <c r="H540" s="390">
        <f>IFERROR(INDEX('00_TONG_HOP_BAO_GIA'!$G$1:$G$5000, MATCH(B540, '00_TONG_HOP_BAO_GIA'!$B$1:$B$5000, 0)), 1)</f>
        <v/>
      </c>
      <c r="I540" s="395">
        <f>G540*H540</f>
        <v/>
      </c>
      <c r="J540" s="390">
        <f>IFERROR(INDEX('06_BANG_GIA_VAT_TU_AP_DUNG'!$E$1:$E$5000, MATCH(E540, '06_BANG_GIA_VAT_TU_AP_DUNG'!$B$1:$B$5000, 0)), 0)</f>
        <v/>
      </c>
      <c r="K540" s="390">
        <f>I540*J540</f>
        <v/>
      </c>
      <c r="L540" t="inlineStr">
        <is>
          <t>2 đôi bạc đỡ 2 bên thân</t>
        </is>
      </c>
    </row>
    <row r="541">
      <c r="A541" t="inlineStr">
        <is>
          <t>SW-DAMPER-235-GEAR</t>
        </is>
      </c>
      <c r="B541" t="inlineStr">
        <is>
          <t>SW-DAMPER-235</t>
        </is>
      </c>
      <c r="C541" t="inlineStr">
        <is>
          <t>Bánh răng van nhôm</t>
        </is>
      </c>
      <c r="D541" t="inlineStr">
        <is>
          <t>PHỤ_KIỆN_VAN</t>
        </is>
      </c>
      <c r="E541" t="inlineStr">
        <is>
          <t>MAT-DAMPER-BANH-RANG-VAN-NHOM</t>
        </is>
      </c>
      <c r="F541" t="inlineStr">
        <is>
          <t>Bộ</t>
        </is>
      </c>
      <c r="G541" s="394" t="n">
        <v>1</v>
      </c>
      <c r="H541" s="390">
        <f>IFERROR(INDEX('00_TONG_HOP_BAO_GIA'!$G$1:$G$5000, MATCH(B541, '00_TONG_HOP_BAO_GIA'!$B$1:$B$5000, 0)), 1)</f>
        <v/>
      </c>
      <c r="I541" s="395">
        <f>G541*H541</f>
        <v/>
      </c>
      <c r="J541" s="390">
        <f>IFERROR(INDEX('06_BANG_GIA_VAT_TU_AP_DUNG'!$E$1:$E$5000, MATCH(E541, '06_BANG_GIA_VAT_TU_AP_DUNG'!$B$1:$B$5000, 0)), 0)</f>
        <v/>
      </c>
      <c r="K541" s="390">
        <f>I541*J541</f>
        <v/>
      </c>
      <c r="L541" t="inlineStr">
        <is>
          <t>Cơ cấu liên động bánh răng van</t>
        </is>
      </c>
    </row>
    <row r="542">
      <c r="A542" t="inlineStr">
        <is>
          <t>SW-DAMPER-235-HANDLE</t>
        </is>
      </c>
      <c r="B542" t="inlineStr">
        <is>
          <t>SW-DAMPER-235</t>
        </is>
      </c>
      <c r="C542" t="inlineStr">
        <is>
          <t>Tay gạt nhỏ</t>
        </is>
      </c>
      <c r="D542" t="inlineStr">
        <is>
          <t>PHỤ_KIỆN_VAN</t>
        </is>
      </c>
      <c r="E542" t="inlineStr">
        <is>
          <t>MAT-DAMPER-TAY-GAT-NHO</t>
        </is>
      </c>
      <c r="F542" t="inlineStr">
        <is>
          <t>Bộ</t>
        </is>
      </c>
      <c r="G542" s="394" t="n">
        <v>1</v>
      </c>
      <c r="H542" s="390">
        <f>IFERROR(INDEX('00_TONG_HOP_BAO_GIA'!$G$1:$G$5000, MATCH(B542, '00_TONG_HOP_BAO_GIA'!$B$1:$B$5000, 0)), 1)</f>
        <v/>
      </c>
      <c r="I542" s="395">
        <f>G542*H542</f>
        <v/>
      </c>
      <c r="J542" s="390">
        <f>IFERROR(INDEX('06_BANG_GIA_VAT_TU_AP_DUNG'!$E$1:$E$5000, MATCH(E542, '06_BANG_GIA_VAT_TU_AP_DUNG'!$B$1:$B$5000, 0)), 0)</f>
        <v/>
      </c>
      <c r="K542" s="390">
        <f>I542*J542</f>
        <v/>
      </c>
      <c r="L542" t="inlineStr">
        <is>
          <t>Tay gạt khóa vị trí nan (S=0.09m2)</t>
        </is>
      </c>
    </row>
    <row r="543">
      <c r="A543" t="inlineStr">
        <is>
          <t>SW-DAMPER-236-BODY</t>
        </is>
      </c>
      <c r="B543" t="inlineStr">
        <is>
          <t>SW-DAMPER-236</t>
        </is>
      </c>
      <c r="C543" t="inlineStr">
        <is>
          <t>Thân vỏ van VCD bích TDF (0.75mm)</t>
        </is>
      </c>
      <c r="D543" t="inlineStr">
        <is>
          <t>TÔN_CUỘN_MẠ_KẼM</t>
        </is>
      </c>
      <c r="E543" t="inlineStr">
        <is>
          <t>MAT-STEEL-PN-0.75</t>
        </is>
      </c>
      <c r="F543" t="inlineStr">
        <is>
          <t>kg</t>
        </is>
      </c>
      <c r="G543" s="394" t="n">
        <v>2.146347</v>
      </c>
      <c r="H543" s="390">
        <f>IFERROR(INDEX('00_TONG_HOP_BAO_GIA'!$G$1:$G$5000, MATCH(B543, '00_TONG_HOP_BAO_GIA'!$B$1:$B$5000, 0)), 1)</f>
        <v/>
      </c>
      <c r="I543" s="395">
        <f>G543*H543</f>
        <v/>
      </c>
      <c r="J543" s="390">
        <f>IFERROR(INDEX('06_BANG_GIA_VAT_TU_AP_DUNG'!$E$1:$E$5000, MATCH(E543, '06_BANG_GIA_VAT_TU_AP_DUNG'!$B$1:$B$5000, 0)), 0)</f>
        <v/>
      </c>
      <c r="K543" s="390">
        <f>I543*J543</f>
        <v/>
      </c>
      <c r="L543" t="inlineStr">
        <is>
          <t>Kích thước vỏ 300x300x210mm</t>
        </is>
      </c>
    </row>
    <row r="544">
      <c r="A544" t="inlineStr">
        <is>
          <t>SW-DAMPER-236-BLADE</t>
        </is>
      </c>
      <c r="B544" t="inlineStr">
        <is>
          <t>SW-DAMPER-236</t>
        </is>
      </c>
      <c r="C544" t="inlineStr">
        <is>
          <t>Lá cánh van (2 cánh overlap)</t>
        </is>
      </c>
      <c r="D544" t="inlineStr">
        <is>
          <t>TÔN_CUỘN_MẠ_KẼM</t>
        </is>
      </c>
      <c r="E544" t="inlineStr">
        <is>
          <t>MAT-STEEL-PN-0.75</t>
        </is>
      </c>
      <c r="F544" t="inlineStr">
        <is>
          <t>kg</t>
        </is>
      </c>
      <c r="G544" s="394" t="n">
        <v>0.648567</v>
      </c>
      <c r="H544" s="390">
        <f>IFERROR(INDEX('00_TONG_HOP_BAO_GIA'!$G$1:$G$5000, MATCH(B544, '00_TONG_HOP_BAO_GIA'!$B$1:$B$5000, 0)), 1)</f>
        <v/>
      </c>
      <c r="I544" s="395">
        <f>G544*H544</f>
        <v/>
      </c>
      <c r="J544" s="390">
        <f>IFERROR(INDEX('06_BANG_GIA_VAT_TU_AP_DUNG'!$E$1:$E$5000, MATCH(E544, '06_BANG_GIA_VAT_TU_AP_DUNG'!$B$1:$B$5000, 0)), 0)</f>
        <v/>
      </c>
      <c r="K544" s="390">
        <f>I544*J544</f>
        <v/>
      </c>
      <c r="L544" t="inlineStr">
        <is>
          <t>2 cánh cao 170mm</t>
        </is>
      </c>
    </row>
    <row r="545">
      <c r="A545" t="inlineStr">
        <is>
          <t>SW-DAMPER-236-AXLE</t>
        </is>
      </c>
      <c r="B545" t="inlineStr">
        <is>
          <t>SW-DAMPER-236</t>
        </is>
      </c>
      <c r="C545" t="inlineStr">
        <is>
          <t>Trục Sus 201 D10</t>
        </is>
      </c>
      <c r="D545" t="inlineStr">
        <is>
          <t>PHỤ_KIỆN_VAN</t>
        </is>
      </c>
      <c r="E545" t="inlineStr">
        <is>
          <t>MAT-DAMPER-TRUC-SUS-201-D10</t>
        </is>
      </c>
      <c r="F545" t="inlineStr">
        <is>
          <t>m</t>
        </is>
      </c>
      <c r="G545" s="394" t="n">
        <v>0.72</v>
      </c>
      <c r="H545" s="390">
        <f>IFERROR(INDEX('00_TONG_HOP_BAO_GIA'!$G$1:$G$5000, MATCH(B545, '00_TONG_HOP_BAO_GIA'!$B$1:$B$5000, 0)), 1)</f>
        <v/>
      </c>
      <c r="I545" s="395">
        <f>G545*H545</f>
        <v/>
      </c>
      <c r="J545" s="390">
        <f>IFERROR(INDEX('06_BANG_GIA_VAT_TU_AP_DUNG'!$E$1:$E$5000, MATCH(E545, '06_BANG_GIA_VAT_TU_AP_DUNG'!$B$1:$B$5000, 0)), 0)</f>
        <v/>
      </c>
      <c r="K545" s="390">
        <f>I545*J545</f>
        <v/>
      </c>
      <c r="L545" t="inlineStr">
        <is>
          <t>2 trục dài 360mm</t>
        </is>
      </c>
    </row>
    <row r="546">
      <c r="A546" t="inlineStr">
        <is>
          <t>SW-DAMPER-236-BEARING</t>
        </is>
      </c>
      <c r="B546" t="inlineStr">
        <is>
          <t>SW-DAMPER-236</t>
        </is>
      </c>
      <c r="C546" t="inlineStr">
        <is>
          <t>Bạc đồng D10</t>
        </is>
      </c>
      <c r="D546" t="inlineStr">
        <is>
          <t>PHỤ_KIỆN_VAN</t>
        </is>
      </c>
      <c r="E546" t="inlineStr">
        <is>
          <t>MAT-DAMPER-BAC-DONG-D10</t>
        </is>
      </c>
      <c r="F546" t="inlineStr">
        <is>
          <t>Đôi</t>
        </is>
      </c>
      <c r="G546" s="394" t="n">
        <v>2</v>
      </c>
      <c r="H546" s="390">
        <f>IFERROR(INDEX('00_TONG_HOP_BAO_GIA'!$G$1:$G$5000, MATCH(B546, '00_TONG_HOP_BAO_GIA'!$B$1:$B$5000, 0)), 1)</f>
        <v/>
      </c>
      <c r="I546" s="395">
        <f>G546*H546</f>
        <v/>
      </c>
      <c r="J546" s="390">
        <f>IFERROR(INDEX('06_BANG_GIA_VAT_TU_AP_DUNG'!$E$1:$E$5000, MATCH(E546, '06_BANG_GIA_VAT_TU_AP_DUNG'!$B$1:$B$5000, 0)), 0)</f>
        <v/>
      </c>
      <c r="K546" s="390">
        <f>I546*J546</f>
        <v/>
      </c>
      <c r="L546" t="inlineStr">
        <is>
          <t>2 đôi bạc đỡ 2 bên thân</t>
        </is>
      </c>
    </row>
    <row r="547">
      <c r="A547" t="inlineStr">
        <is>
          <t>SW-DAMPER-236-GEAR</t>
        </is>
      </c>
      <c r="B547" t="inlineStr">
        <is>
          <t>SW-DAMPER-236</t>
        </is>
      </c>
      <c r="C547" t="inlineStr">
        <is>
          <t>Bánh răng van nhôm</t>
        </is>
      </c>
      <c r="D547" t="inlineStr">
        <is>
          <t>PHỤ_KIỆN_VAN</t>
        </is>
      </c>
      <c r="E547" t="inlineStr">
        <is>
          <t>MAT-DAMPER-BANH-RANG-VAN-NHOM</t>
        </is>
      </c>
      <c r="F547" t="inlineStr">
        <is>
          <t>Bộ</t>
        </is>
      </c>
      <c r="G547" s="394" t="n">
        <v>1</v>
      </c>
      <c r="H547" s="390">
        <f>IFERROR(INDEX('00_TONG_HOP_BAO_GIA'!$G$1:$G$5000, MATCH(B547, '00_TONG_HOP_BAO_GIA'!$B$1:$B$5000, 0)), 1)</f>
        <v/>
      </c>
      <c r="I547" s="395">
        <f>G547*H547</f>
        <v/>
      </c>
      <c r="J547" s="390">
        <f>IFERROR(INDEX('06_BANG_GIA_VAT_TU_AP_DUNG'!$E$1:$E$5000, MATCH(E547, '06_BANG_GIA_VAT_TU_AP_DUNG'!$B$1:$B$5000, 0)), 0)</f>
        <v/>
      </c>
      <c r="K547" s="390">
        <f>I547*J547</f>
        <v/>
      </c>
      <c r="L547" t="inlineStr">
        <is>
          <t>Cơ cấu liên động bánh răng van</t>
        </is>
      </c>
    </row>
    <row r="548">
      <c r="A548" t="inlineStr">
        <is>
          <t>SW-DAMPER-236-HANDLE</t>
        </is>
      </c>
      <c r="B548" t="inlineStr">
        <is>
          <t>SW-DAMPER-236</t>
        </is>
      </c>
      <c r="C548" t="inlineStr">
        <is>
          <t>Tay gạt nhỏ</t>
        </is>
      </c>
      <c r="D548" t="inlineStr">
        <is>
          <t>PHỤ_KIỆN_VAN</t>
        </is>
      </c>
      <c r="E548" t="inlineStr">
        <is>
          <t>MAT-DAMPER-TAY-GAT-NHO</t>
        </is>
      </c>
      <c r="F548" t="inlineStr">
        <is>
          <t>Bộ</t>
        </is>
      </c>
      <c r="G548" s="394" t="n">
        <v>1</v>
      </c>
      <c r="H548" s="390">
        <f>IFERROR(INDEX('00_TONG_HOP_BAO_GIA'!$G$1:$G$5000, MATCH(B548, '00_TONG_HOP_BAO_GIA'!$B$1:$B$5000, 0)), 1)</f>
        <v/>
      </c>
      <c r="I548" s="395">
        <f>G548*H548</f>
        <v/>
      </c>
      <c r="J548" s="390">
        <f>IFERROR(INDEX('06_BANG_GIA_VAT_TU_AP_DUNG'!$E$1:$E$5000, MATCH(E548, '06_BANG_GIA_VAT_TU_AP_DUNG'!$B$1:$B$5000, 0)), 0)</f>
        <v/>
      </c>
      <c r="K548" s="390">
        <f>I548*J548</f>
        <v/>
      </c>
      <c r="L548" t="inlineStr">
        <is>
          <t>Tay gạt khóa vị trí nan (S=0.09m2)</t>
        </is>
      </c>
    </row>
    <row r="549">
      <c r="A549" t="inlineStr">
        <is>
          <t>SW-DAMPER-268-BODY</t>
        </is>
      </c>
      <c r="B549" t="inlineStr">
        <is>
          <t>SW-DAMPER-268</t>
        </is>
      </c>
      <c r="C549" t="inlineStr">
        <is>
          <t>Thân vỏ van FD bích TDF (1.15mm)</t>
        </is>
      </c>
      <c r="D549" t="inlineStr">
        <is>
          <t>TÔN_CUỘN_MẠ_KẼM</t>
        </is>
      </c>
      <c r="E549" t="inlineStr">
        <is>
          <t>MAT-STEEL-PN-1.15</t>
        </is>
      </c>
      <c r="F549" t="inlineStr">
        <is>
          <t>kg</t>
        </is>
      </c>
      <c r="G549" s="394" t="n">
        <v>3.761217599999999</v>
      </c>
      <c r="H549" s="390">
        <f>IFERROR(INDEX('00_TONG_HOP_BAO_GIA'!$G$1:$G$5000, MATCH(B549, '00_TONG_HOP_BAO_GIA'!$B$1:$B$5000, 0)), 1)</f>
        <v/>
      </c>
      <c r="I549" s="395">
        <f>G549*H549</f>
        <v/>
      </c>
      <c r="J549" s="390">
        <f>IFERROR(INDEX('06_BANG_GIA_VAT_TU_AP_DUNG'!$E$1:$E$5000, MATCH(E549, '06_BANG_GIA_VAT_TU_AP_DUNG'!$B$1:$B$5000, 0)), 0)</f>
        <v/>
      </c>
      <c r="K549" s="390">
        <f>I549*J549</f>
        <v/>
      </c>
      <c r="L549" t="inlineStr">
        <is>
          <t>Kích thước vỏ 300x300x250mm</t>
        </is>
      </c>
    </row>
    <row r="550">
      <c r="A550" t="inlineStr">
        <is>
          <t>SW-DAMPER-268-BLADE</t>
        </is>
      </c>
      <c r="B550" t="inlineStr">
        <is>
          <t>SW-DAMPER-268</t>
        </is>
      </c>
      <c r="C550" t="inlineStr">
        <is>
          <t>Lá cánh van (2 cánh overlap)</t>
        </is>
      </c>
      <c r="D550" t="inlineStr">
        <is>
          <t>TÔN_CUỘN_MẠ_KẼM</t>
        </is>
      </c>
      <c r="E550" t="inlineStr">
        <is>
          <t>MAT-STEEL-PN-1.15</t>
        </is>
      </c>
      <c r="F550" t="inlineStr">
        <is>
          <t>kg</t>
        </is>
      </c>
      <c r="G550" s="394" t="n">
        <v>0.9944693999999999</v>
      </c>
      <c r="H550" s="390">
        <f>IFERROR(INDEX('00_TONG_HOP_BAO_GIA'!$G$1:$G$5000, MATCH(B550, '00_TONG_HOP_BAO_GIA'!$B$1:$B$5000, 0)), 1)</f>
        <v/>
      </c>
      <c r="I550" s="395">
        <f>G550*H550</f>
        <v/>
      </c>
      <c r="J550" s="390">
        <f>IFERROR(INDEX('06_BANG_GIA_VAT_TU_AP_DUNG'!$E$1:$E$5000, MATCH(E550, '06_BANG_GIA_VAT_TU_AP_DUNG'!$B$1:$B$5000, 0)), 0)</f>
        <v/>
      </c>
      <c r="K550" s="390">
        <f>I550*J550</f>
        <v/>
      </c>
      <c r="L550" t="inlineStr">
        <is>
          <t>2 cánh cao 170mm</t>
        </is>
      </c>
    </row>
    <row r="551">
      <c r="A551" t="inlineStr">
        <is>
          <t>SW-DAMPER-268-AXLE</t>
        </is>
      </c>
      <c r="B551" t="inlineStr">
        <is>
          <t>SW-DAMPER-268</t>
        </is>
      </c>
      <c r="C551" t="inlineStr">
        <is>
          <t>Trục Sus 201 D10</t>
        </is>
      </c>
      <c r="D551" t="inlineStr">
        <is>
          <t>PHỤ_KIỆN_VAN</t>
        </is>
      </c>
      <c r="E551" t="inlineStr">
        <is>
          <t>MAT-DAMPER-TRUC-SUS-201-D10</t>
        </is>
      </c>
      <c r="F551" t="inlineStr">
        <is>
          <t>m</t>
        </is>
      </c>
      <c r="G551" s="394" t="n">
        <v>0.72</v>
      </c>
      <c r="H551" s="390">
        <f>IFERROR(INDEX('00_TONG_HOP_BAO_GIA'!$G$1:$G$5000, MATCH(B551, '00_TONG_HOP_BAO_GIA'!$B$1:$B$5000, 0)), 1)</f>
        <v/>
      </c>
      <c r="I551" s="395">
        <f>G551*H551</f>
        <v/>
      </c>
      <c r="J551" s="390">
        <f>IFERROR(INDEX('06_BANG_GIA_VAT_TU_AP_DUNG'!$E$1:$E$5000, MATCH(E551, '06_BANG_GIA_VAT_TU_AP_DUNG'!$B$1:$B$5000, 0)), 0)</f>
        <v/>
      </c>
      <c r="K551" s="390">
        <f>I551*J551</f>
        <v/>
      </c>
      <c r="L551" t="inlineStr">
        <is>
          <t>2 trục dài 360mm</t>
        </is>
      </c>
    </row>
    <row r="552">
      <c r="A552" t="inlineStr">
        <is>
          <t>SW-DAMPER-268-BEARING</t>
        </is>
      </c>
      <c r="B552" t="inlineStr">
        <is>
          <t>SW-DAMPER-268</t>
        </is>
      </c>
      <c r="C552" t="inlineStr">
        <is>
          <t>Bạc đồng D10</t>
        </is>
      </c>
      <c r="D552" t="inlineStr">
        <is>
          <t>PHỤ_KIỆN_VAN</t>
        </is>
      </c>
      <c r="E552" t="inlineStr">
        <is>
          <t>MAT-DAMPER-BAC-DONG-D10</t>
        </is>
      </c>
      <c r="F552" t="inlineStr">
        <is>
          <t>Đôi</t>
        </is>
      </c>
      <c r="G552" s="394" t="n">
        <v>2</v>
      </c>
      <c r="H552" s="390">
        <f>IFERROR(INDEX('00_TONG_HOP_BAO_GIA'!$G$1:$G$5000, MATCH(B552, '00_TONG_HOP_BAO_GIA'!$B$1:$B$5000, 0)), 1)</f>
        <v/>
      </c>
      <c r="I552" s="395">
        <f>G552*H552</f>
        <v/>
      </c>
      <c r="J552" s="390">
        <f>IFERROR(INDEX('06_BANG_GIA_VAT_TU_AP_DUNG'!$E$1:$E$5000, MATCH(E552, '06_BANG_GIA_VAT_TU_AP_DUNG'!$B$1:$B$5000, 0)), 0)</f>
        <v/>
      </c>
      <c r="K552" s="390">
        <f>I552*J552</f>
        <v/>
      </c>
      <c r="L552" t="inlineStr">
        <is>
          <t>2 đôi bạc đỡ 2 bên thân</t>
        </is>
      </c>
    </row>
    <row r="553">
      <c r="A553" t="inlineStr">
        <is>
          <t>SW-DAMPER-268-GEAR</t>
        </is>
      </c>
      <c r="B553" t="inlineStr">
        <is>
          <t>SW-DAMPER-268</t>
        </is>
      </c>
      <c r="C553" t="inlineStr">
        <is>
          <t>Bánh răng van nhôm</t>
        </is>
      </c>
      <c r="D553" t="inlineStr">
        <is>
          <t>PHỤ_KIỆN_VAN</t>
        </is>
      </c>
      <c r="E553" t="inlineStr">
        <is>
          <t>MAT-DAMPER-BANH-RANG-VAN-NHOM</t>
        </is>
      </c>
      <c r="F553" t="inlineStr">
        <is>
          <t>Bộ</t>
        </is>
      </c>
      <c r="G553" s="394" t="n">
        <v>1</v>
      </c>
      <c r="H553" s="390">
        <f>IFERROR(INDEX('00_TONG_HOP_BAO_GIA'!$G$1:$G$5000, MATCH(B553, '00_TONG_HOP_BAO_GIA'!$B$1:$B$5000, 0)), 1)</f>
        <v/>
      </c>
      <c r="I553" s="395">
        <f>G553*H553</f>
        <v/>
      </c>
      <c r="J553" s="390">
        <f>IFERROR(INDEX('06_BANG_GIA_VAT_TU_AP_DUNG'!$E$1:$E$5000, MATCH(E553, '06_BANG_GIA_VAT_TU_AP_DUNG'!$B$1:$B$5000, 0)), 0)</f>
        <v/>
      </c>
      <c r="K553" s="390">
        <f>I553*J553</f>
        <v/>
      </c>
      <c r="L553" t="inlineStr">
        <is>
          <t>Cơ cấu liên động bánh răng van</t>
        </is>
      </c>
    </row>
    <row r="554">
      <c r="A554" t="inlineStr">
        <is>
          <t>SW-DAMPER-268-FUSE</t>
        </is>
      </c>
      <c r="B554" t="inlineStr">
        <is>
          <t>SW-DAMPER-268</t>
        </is>
      </c>
      <c r="C554" t="inlineStr">
        <is>
          <t>Cầu chì nhiệt nóng chảy 70°C (Elsie/USA)</t>
        </is>
      </c>
      <c r="D554" t="inlineStr">
        <is>
          <t>PHỤ_KIỆN_VAN</t>
        </is>
      </c>
      <c r="E554" t="inlineStr">
        <is>
          <t>MAT-DAMPER-CAU-CHI-USA-1-400X400</t>
        </is>
      </c>
      <c r="F554" t="inlineStr">
        <is>
          <t>Cái</t>
        </is>
      </c>
      <c r="G554" s="394" t="n">
        <v>1</v>
      </c>
      <c r="H554" s="390">
        <f>IFERROR(INDEX('00_TONG_HOP_BAO_GIA'!$G$1:$G$5000, MATCH(B554, '00_TONG_HOP_BAO_GIA'!$B$1:$B$5000, 0)), 1)</f>
        <v/>
      </c>
      <c r="I554" s="395">
        <f>G554*H554</f>
        <v/>
      </c>
      <c r="J554" s="390">
        <f>IFERROR(INDEX('06_BANG_GIA_VAT_TU_AP_DUNG'!$E$1:$E$5000, MATCH(E554, '06_BANG_GIA_VAT_TU_AP_DUNG'!$B$1:$B$5000, 0)), 0)</f>
        <v/>
      </c>
      <c r="K554" s="390">
        <f>I554*J554</f>
        <v/>
      </c>
      <c r="L554" t="inlineStr">
        <is>
          <t>Cầu chì kiểm định PCCC</t>
        </is>
      </c>
    </row>
    <row r="555">
      <c r="A555" t="inlineStr">
        <is>
          <t>SW-DAMPER-268-FIRE_INSULATION</t>
        </is>
      </c>
      <c r="B555" t="inlineStr">
        <is>
          <t>SW-DAMPER-268</t>
        </is>
      </c>
      <c r="C555" t="inlineStr">
        <is>
          <t>Bọc cách nhiệt chống cháy tấm MGO/Thạch cao (Tiêu chuẩn EI)</t>
        </is>
      </c>
      <c r="D555" t="inlineStr">
        <is>
          <t>VẬT_LIỆU_CÁCH_NHIỆT</t>
        </is>
      </c>
      <c r="E555" t="inlineStr">
        <is>
          <t>MAT-INSULATION-EI-DAMPER</t>
        </is>
      </c>
      <c r="F555" t="inlineStr">
        <is>
          <t>m2</t>
        </is>
      </c>
      <c r="G555" s="394" t="n">
        <v>0.458304</v>
      </c>
      <c r="H555" s="390">
        <f>IFERROR(INDEX('00_TONG_HOP_BAO_GIA'!$G$1:$G$5000, MATCH(B555, '00_TONG_HOP_BAO_GIA'!$B$1:$B$5000, 0)), 1)</f>
        <v/>
      </c>
      <c r="I555" s="395">
        <f>G555*H555</f>
        <v/>
      </c>
      <c r="J555" s="390">
        <f>IFERROR(INDEX('06_BANG_GIA_VAT_TU_AP_DUNG'!$E$1:$E$5000, MATCH(E555, '06_BANG_GIA_VAT_TU_AP_DUNG'!$B$1:$B$5000, 0)), 0)</f>
        <v/>
      </c>
      <c r="K555" s="390">
        <f>I555*J555</f>
        <v/>
      </c>
      <c r="L555" t="inlineStr">
        <is>
          <t>Bọc chống cháy vỏ van (Lưu ý: Giá vật tư đang TẠM TÍNH 300k/m2)</t>
        </is>
      </c>
    </row>
    <row r="556">
      <c r="A556" t="inlineStr">
        <is>
          <t>SW-DAMPER-269-BODY</t>
        </is>
      </c>
      <c r="B556" t="inlineStr">
        <is>
          <t>SW-DAMPER-269</t>
        </is>
      </c>
      <c r="C556" t="inlineStr">
        <is>
          <t>Thân vỏ van FD bích TDF (1.15mm)</t>
        </is>
      </c>
      <c r="D556" t="inlineStr">
        <is>
          <t>TÔN_CUỘN_MẠ_KẼM</t>
        </is>
      </c>
      <c r="E556" t="inlineStr">
        <is>
          <t>MAT-STEEL-PN-1.15</t>
        </is>
      </c>
      <c r="F556" t="inlineStr">
        <is>
          <t>kg</t>
        </is>
      </c>
      <c r="G556" s="394" t="n">
        <v>3.761217599999999</v>
      </c>
      <c r="H556" s="390">
        <f>IFERROR(INDEX('00_TONG_HOP_BAO_GIA'!$G$1:$G$5000, MATCH(B556, '00_TONG_HOP_BAO_GIA'!$B$1:$B$5000, 0)), 1)</f>
        <v/>
      </c>
      <c r="I556" s="395">
        <f>G556*H556</f>
        <v/>
      </c>
      <c r="J556" s="390">
        <f>IFERROR(INDEX('06_BANG_GIA_VAT_TU_AP_DUNG'!$E$1:$E$5000, MATCH(E556, '06_BANG_GIA_VAT_TU_AP_DUNG'!$B$1:$B$5000, 0)), 0)</f>
        <v/>
      </c>
      <c r="K556" s="390">
        <f>I556*J556</f>
        <v/>
      </c>
      <c r="L556" t="inlineStr">
        <is>
          <t>Kích thước vỏ 300x300x250mm</t>
        </is>
      </c>
    </row>
    <row r="557">
      <c r="A557" t="inlineStr">
        <is>
          <t>SW-DAMPER-269-BLADE</t>
        </is>
      </c>
      <c r="B557" t="inlineStr">
        <is>
          <t>SW-DAMPER-269</t>
        </is>
      </c>
      <c r="C557" t="inlineStr">
        <is>
          <t>Lá cánh van (2 cánh overlap)</t>
        </is>
      </c>
      <c r="D557" t="inlineStr">
        <is>
          <t>TÔN_CUỘN_MẠ_KẼM</t>
        </is>
      </c>
      <c r="E557" t="inlineStr">
        <is>
          <t>MAT-STEEL-PN-1.15</t>
        </is>
      </c>
      <c r="F557" t="inlineStr">
        <is>
          <t>kg</t>
        </is>
      </c>
      <c r="G557" s="394" t="n">
        <v>0.9944693999999999</v>
      </c>
      <c r="H557" s="390">
        <f>IFERROR(INDEX('00_TONG_HOP_BAO_GIA'!$G$1:$G$5000, MATCH(B557, '00_TONG_HOP_BAO_GIA'!$B$1:$B$5000, 0)), 1)</f>
        <v/>
      </c>
      <c r="I557" s="395">
        <f>G557*H557</f>
        <v/>
      </c>
      <c r="J557" s="390">
        <f>IFERROR(INDEX('06_BANG_GIA_VAT_TU_AP_DUNG'!$E$1:$E$5000, MATCH(E557, '06_BANG_GIA_VAT_TU_AP_DUNG'!$B$1:$B$5000, 0)), 0)</f>
        <v/>
      </c>
      <c r="K557" s="390">
        <f>I557*J557</f>
        <v/>
      </c>
      <c r="L557" t="inlineStr">
        <is>
          <t>2 cánh cao 170mm</t>
        </is>
      </c>
    </row>
    <row r="558">
      <c r="A558" t="inlineStr">
        <is>
          <t>SW-DAMPER-269-AXLE</t>
        </is>
      </c>
      <c r="B558" t="inlineStr">
        <is>
          <t>SW-DAMPER-269</t>
        </is>
      </c>
      <c r="C558" t="inlineStr">
        <is>
          <t>Trục Sus 201 D10</t>
        </is>
      </c>
      <c r="D558" t="inlineStr">
        <is>
          <t>PHỤ_KIỆN_VAN</t>
        </is>
      </c>
      <c r="E558" t="inlineStr">
        <is>
          <t>MAT-DAMPER-TRUC-SUS-201-D10</t>
        </is>
      </c>
      <c r="F558" t="inlineStr">
        <is>
          <t>m</t>
        </is>
      </c>
      <c r="G558" s="394" t="n">
        <v>0.72</v>
      </c>
      <c r="H558" s="390">
        <f>IFERROR(INDEX('00_TONG_HOP_BAO_GIA'!$G$1:$G$5000, MATCH(B558, '00_TONG_HOP_BAO_GIA'!$B$1:$B$5000, 0)), 1)</f>
        <v/>
      </c>
      <c r="I558" s="395">
        <f>G558*H558</f>
        <v/>
      </c>
      <c r="J558" s="390">
        <f>IFERROR(INDEX('06_BANG_GIA_VAT_TU_AP_DUNG'!$E$1:$E$5000, MATCH(E558, '06_BANG_GIA_VAT_TU_AP_DUNG'!$B$1:$B$5000, 0)), 0)</f>
        <v/>
      </c>
      <c r="K558" s="390">
        <f>I558*J558</f>
        <v/>
      </c>
      <c r="L558" t="inlineStr">
        <is>
          <t>2 trục dài 360mm</t>
        </is>
      </c>
    </row>
    <row r="559">
      <c r="A559" t="inlineStr">
        <is>
          <t>SW-DAMPER-269-BEARING</t>
        </is>
      </c>
      <c r="B559" t="inlineStr">
        <is>
          <t>SW-DAMPER-269</t>
        </is>
      </c>
      <c r="C559" t="inlineStr">
        <is>
          <t>Bạc đồng D10</t>
        </is>
      </c>
      <c r="D559" t="inlineStr">
        <is>
          <t>PHỤ_KIỆN_VAN</t>
        </is>
      </c>
      <c r="E559" t="inlineStr">
        <is>
          <t>MAT-DAMPER-BAC-DONG-D10</t>
        </is>
      </c>
      <c r="F559" t="inlineStr">
        <is>
          <t>Đôi</t>
        </is>
      </c>
      <c r="G559" s="394" t="n">
        <v>2</v>
      </c>
      <c r="H559" s="390">
        <f>IFERROR(INDEX('00_TONG_HOP_BAO_GIA'!$G$1:$G$5000, MATCH(B559, '00_TONG_HOP_BAO_GIA'!$B$1:$B$5000, 0)), 1)</f>
        <v/>
      </c>
      <c r="I559" s="395">
        <f>G559*H559</f>
        <v/>
      </c>
      <c r="J559" s="390">
        <f>IFERROR(INDEX('06_BANG_GIA_VAT_TU_AP_DUNG'!$E$1:$E$5000, MATCH(E559, '06_BANG_GIA_VAT_TU_AP_DUNG'!$B$1:$B$5000, 0)), 0)</f>
        <v/>
      </c>
      <c r="K559" s="390">
        <f>I559*J559</f>
        <v/>
      </c>
      <c r="L559" t="inlineStr">
        <is>
          <t>2 đôi bạc đỡ 2 bên thân</t>
        </is>
      </c>
    </row>
    <row r="560">
      <c r="A560" t="inlineStr">
        <is>
          <t>SW-DAMPER-269-GEAR</t>
        </is>
      </c>
      <c r="B560" t="inlineStr">
        <is>
          <t>SW-DAMPER-269</t>
        </is>
      </c>
      <c r="C560" t="inlineStr">
        <is>
          <t>Bánh răng van nhôm</t>
        </is>
      </c>
      <c r="D560" t="inlineStr">
        <is>
          <t>PHỤ_KIỆN_VAN</t>
        </is>
      </c>
      <c r="E560" t="inlineStr">
        <is>
          <t>MAT-DAMPER-BANH-RANG-VAN-NHOM</t>
        </is>
      </c>
      <c r="F560" t="inlineStr">
        <is>
          <t>Bộ</t>
        </is>
      </c>
      <c r="G560" s="394" t="n">
        <v>1</v>
      </c>
      <c r="H560" s="390">
        <f>IFERROR(INDEX('00_TONG_HOP_BAO_GIA'!$G$1:$G$5000, MATCH(B560, '00_TONG_HOP_BAO_GIA'!$B$1:$B$5000, 0)), 1)</f>
        <v/>
      </c>
      <c r="I560" s="395">
        <f>G560*H560</f>
        <v/>
      </c>
      <c r="J560" s="390">
        <f>IFERROR(INDEX('06_BANG_GIA_VAT_TU_AP_DUNG'!$E$1:$E$5000, MATCH(E560, '06_BANG_GIA_VAT_TU_AP_DUNG'!$B$1:$B$5000, 0)), 0)</f>
        <v/>
      </c>
      <c r="K560" s="390">
        <f>I560*J560</f>
        <v/>
      </c>
      <c r="L560" t="inlineStr">
        <is>
          <t>Cơ cấu liên động bánh răng van</t>
        </is>
      </c>
    </row>
    <row r="561">
      <c r="A561" t="inlineStr">
        <is>
          <t>SW-DAMPER-269-FUSE</t>
        </is>
      </c>
      <c r="B561" t="inlineStr">
        <is>
          <t>SW-DAMPER-269</t>
        </is>
      </c>
      <c r="C561" t="inlineStr">
        <is>
          <t>Cầu chì nhiệt nóng chảy 70°C (Elsie/USA)</t>
        </is>
      </c>
      <c r="D561" t="inlineStr">
        <is>
          <t>PHỤ_KIỆN_VAN</t>
        </is>
      </c>
      <c r="E561" t="inlineStr">
        <is>
          <t>MAT-DAMPER-CAU-CHI-USA-1-400X400</t>
        </is>
      </c>
      <c r="F561" t="inlineStr">
        <is>
          <t>Cái</t>
        </is>
      </c>
      <c r="G561" s="394" t="n">
        <v>1</v>
      </c>
      <c r="H561" s="390">
        <f>IFERROR(INDEX('00_TONG_HOP_BAO_GIA'!$G$1:$G$5000, MATCH(B561, '00_TONG_HOP_BAO_GIA'!$B$1:$B$5000, 0)), 1)</f>
        <v/>
      </c>
      <c r="I561" s="395">
        <f>G561*H561</f>
        <v/>
      </c>
      <c r="J561" s="390">
        <f>IFERROR(INDEX('06_BANG_GIA_VAT_TU_AP_DUNG'!$E$1:$E$5000, MATCH(E561, '06_BANG_GIA_VAT_TU_AP_DUNG'!$B$1:$B$5000, 0)), 0)</f>
        <v/>
      </c>
      <c r="K561" s="390">
        <f>I561*J561</f>
        <v/>
      </c>
      <c r="L561" t="inlineStr">
        <is>
          <t>Cầu chì kiểm định PCCC</t>
        </is>
      </c>
    </row>
    <row r="562">
      <c r="A562" t="inlineStr">
        <is>
          <t>SW-DAMPER-269-FIRE_INSULATION</t>
        </is>
      </c>
      <c r="B562" t="inlineStr">
        <is>
          <t>SW-DAMPER-269</t>
        </is>
      </c>
      <c r="C562" t="inlineStr">
        <is>
          <t>Bọc cách nhiệt chống cháy tấm MGO/Thạch cao (Tiêu chuẩn EI)</t>
        </is>
      </c>
      <c r="D562" t="inlineStr">
        <is>
          <t>VẬT_LIỆU_CÁCH_NHIỆT</t>
        </is>
      </c>
      <c r="E562" t="inlineStr">
        <is>
          <t>MAT-INSULATION-EI-DAMPER</t>
        </is>
      </c>
      <c r="F562" t="inlineStr">
        <is>
          <t>m2</t>
        </is>
      </c>
      <c r="G562" s="394" t="n">
        <v>0.458304</v>
      </c>
      <c r="H562" s="390">
        <f>IFERROR(INDEX('00_TONG_HOP_BAO_GIA'!$G$1:$G$5000, MATCH(B562, '00_TONG_HOP_BAO_GIA'!$B$1:$B$5000, 0)), 1)</f>
        <v/>
      </c>
      <c r="I562" s="395">
        <f>G562*H562</f>
        <v/>
      </c>
      <c r="J562" s="390">
        <f>IFERROR(INDEX('06_BANG_GIA_VAT_TU_AP_DUNG'!$E$1:$E$5000, MATCH(E562, '06_BANG_GIA_VAT_TU_AP_DUNG'!$B$1:$B$5000, 0)), 0)</f>
        <v/>
      </c>
      <c r="K562" s="390">
        <f>I562*J562</f>
        <v/>
      </c>
      <c r="L562" t="inlineStr">
        <is>
          <t>Bọc chống cháy vỏ van (Lưu ý: Giá vật tư đang TẠM TÍNH 300k/m2)</t>
        </is>
      </c>
    </row>
    <row r="563">
      <c r="A563" t="inlineStr">
        <is>
          <t>SW-DAMPER-270-BODY</t>
        </is>
      </c>
      <c r="B563" t="inlineStr">
        <is>
          <t>SW-DAMPER-270</t>
        </is>
      </c>
      <c r="C563" t="inlineStr">
        <is>
          <t>Thân vỏ van FD bích TDF (1.15mm)</t>
        </is>
      </c>
      <c r="D563" t="inlineStr">
        <is>
          <t>TÔN_CUỘN_MẠ_KẼM</t>
        </is>
      </c>
      <c r="E563" t="inlineStr">
        <is>
          <t>MAT-STEEL-PN-1.15</t>
        </is>
      </c>
      <c r="F563" t="inlineStr">
        <is>
          <t>kg</t>
        </is>
      </c>
      <c r="G563" s="394" t="n">
        <v>3.761217599999999</v>
      </c>
      <c r="H563" s="390">
        <f>IFERROR(INDEX('00_TONG_HOP_BAO_GIA'!$G$1:$G$5000, MATCH(B563, '00_TONG_HOP_BAO_GIA'!$B$1:$B$5000, 0)), 1)</f>
        <v/>
      </c>
      <c r="I563" s="395">
        <f>G563*H563</f>
        <v/>
      </c>
      <c r="J563" s="390">
        <f>IFERROR(INDEX('06_BANG_GIA_VAT_TU_AP_DUNG'!$E$1:$E$5000, MATCH(E563, '06_BANG_GIA_VAT_TU_AP_DUNG'!$B$1:$B$5000, 0)), 0)</f>
        <v/>
      </c>
      <c r="K563" s="390">
        <f>I563*J563</f>
        <v/>
      </c>
      <c r="L563" t="inlineStr">
        <is>
          <t>Kích thước vỏ 300x300x250mm</t>
        </is>
      </c>
    </row>
    <row r="564">
      <c r="A564" t="inlineStr">
        <is>
          <t>SW-DAMPER-270-BLADE</t>
        </is>
      </c>
      <c r="B564" t="inlineStr">
        <is>
          <t>SW-DAMPER-270</t>
        </is>
      </c>
      <c r="C564" t="inlineStr">
        <is>
          <t>Lá cánh van (2 cánh overlap)</t>
        </is>
      </c>
      <c r="D564" t="inlineStr">
        <is>
          <t>TÔN_CUỘN_MẠ_KẼM</t>
        </is>
      </c>
      <c r="E564" t="inlineStr">
        <is>
          <t>MAT-STEEL-PN-1.15</t>
        </is>
      </c>
      <c r="F564" t="inlineStr">
        <is>
          <t>kg</t>
        </is>
      </c>
      <c r="G564" s="394" t="n">
        <v>0.9944693999999999</v>
      </c>
      <c r="H564" s="390">
        <f>IFERROR(INDEX('00_TONG_HOP_BAO_GIA'!$G$1:$G$5000, MATCH(B564, '00_TONG_HOP_BAO_GIA'!$B$1:$B$5000, 0)), 1)</f>
        <v/>
      </c>
      <c r="I564" s="395">
        <f>G564*H564</f>
        <v/>
      </c>
      <c r="J564" s="390">
        <f>IFERROR(INDEX('06_BANG_GIA_VAT_TU_AP_DUNG'!$E$1:$E$5000, MATCH(E564, '06_BANG_GIA_VAT_TU_AP_DUNG'!$B$1:$B$5000, 0)), 0)</f>
        <v/>
      </c>
      <c r="K564" s="390">
        <f>I564*J564</f>
        <v/>
      </c>
      <c r="L564" t="inlineStr">
        <is>
          <t>2 cánh cao 170mm</t>
        </is>
      </c>
    </row>
    <row r="565">
      <c r="A565" t="inlineStr">
        <is>
          <t>SW-DAMPER-270-AXLE</t>
        </is>
      </c>
      <c r="B565" t="inlineStr">
        <is>
          <t>SW-DAMPER-270</t>
        </is>
      </c>
      <c r="C565" t="inlineStr">
        <is>
          <t>Trục Sus 201 D10</t>
        </is>
      </c>
      <c r="D565" t="inlineStr">
        <is>
          <t>PHỤ_KIỆN_VAN</t>
        </is>
      </c>
      <c r="E565" t="inlineStr">
        <is>
          <t>MAT-DAMPER-TRUC-SUS-201-D10</t>
        </is>
      </c>
      <c r="F565" t="inlineStr">
        <is>
          <t>m</t>
        </is>
      </c>
      <c r="G565" s="394" t="n">
        <v>0.72</v>
      </c>
      <c r="H565" s="390">
        <f>IFERROR(INDEX('00_TONG_HOP_BAO_GIA'!$G$1:$G$5000, MATCH(B565, '00_TONG_HOP_BAO_GIA'!$B$1:$B$5000, 0)), 1)</f>
        <v/>
      </c>
      <c r="I565" s="395">
        <f>G565*H565</f>
        <v/>
      </c>
      <c r="J565" s="390">
        <f>IFERROR(INDEX('06_BANG_GIA_VAT_TU_AP_DUNG'!$E$1:$E$5000, MATCH(E565, '06_BANG_GIA_VAT_TU_AP_DUNG'!$B$1:$B$5000, 0)), 0)</f>
        <v/>
      </c>
      <c r="K565" s="390">
        <f>I565*J565</f>
        <v/>
      </c>
      <c r="L565" t="inlineStr">
        <is>
          <t>2 trục dài 360mm</t>
        </is>
      </c>
    </row>
    <row r="566">
      <c r="A566" t="inlineStr">
        <is>
          <t>SW-DAMPER-270-BEARING</t>
        </is>
      </c>
      <c r="B566" t="inlineStr">
        <is>
          <t>SW-DAMPER-270</t>
        </is>
      </c>
      <c r="C566" t="inlineStr">
        <is>
          <t>Bạc đồng D10</t>
        </is>
      </c>
      <c r="D566" t="inlineStr">
        <is>
          <t>PHỤ_KIỆN_VAN</t>
        </is>
      </c>
      <c r="E566" t="inlineStr">
        <is>
          <t>MAT-DAMPER-BAC-DONG-D10</t>
        </is>
      </c>
      <c r="F566" t="inlineStr">
        <is>
          <t>Đôi</t>
        </is>
      </c>
      <c r="G566" s="394" t="n">
        <v>2</v>
      </c>
      <c r="H566" s="390">
        <f>IFERROR(INDEX('00_TONG_HOP_BAO_GIA'!$G$1:$G$5000, MATCH(B566, '00_TONG_HOP_BAO_GIA'!$B$1:$B$5000, 0)), 1)</f>
        <v/>
      </c>
      <c r="I566" s="395">
        <f>G566*H566</f>
        <v/>
      </c>
      <c r="J566" s="390">
        <f>IFERROR(INDEX('06_BANG_GIA_VAT_TU_AP_DUNG'!$E$1:$E$5000, MATCH(E566, '06_BANG_GIA_VAT_TU_AP_DUNG'!$B$1:$B$5000, 0)), 0)</f>
        <v/>
      </c>
      <c r="K566" s="390">
        <f>I566*J566</f>
        <v/>
      </c>
      <c r="L566" t="inlineStr">
        <is>
          <t>2 đôi bạc đỡ 2 bên thân</t>
        </is>
      </c>
    </row>
    <row r="567">
      <c r="A567" t="inlineStr">
        <is>
          <t>SW-DAMPER-270-GEAR</t>
        </is>
      </c>
      <c r="B567" t="inlineStr">
        <is>
          <t>SW-DAMPER-270</t>
        </is>
      </c>
      <c r="C567" t="inlineStr">
        <is>
          <t>Bánh răng van nhôm</t>
        </is>
      </c>
      <c r="D567" t="inlineStr">
        <is>
          <t>PHỤ_KIỆN_VAN</t>
        </is>
      </c>
      <c r="E567" t="inlineStr">
        <is>
          <t>MAT-DAMPER-BANH-RANG-VAN-NHOM</t>
        </is>
      </c>
      <c r="F567" t="inlineStr">
        <is>
          <t>Bộ</t>
        </is>
      </c>
      <c r="G567" s="394" t="n">
        <v>1</v>
      </c>
      <c r="H567" s="390">
        <f>IFERROR(INDEX('00_TONG_HOP_BAO_GIA'!$G$1:$G$5000, MATCH(B567, '00_TONG_HOP_BAO_GIA'!$B$1:$B$5000, 0)), 1)</f>
        <v/>
      </c>
      <c r="I567" s="395">
        <f>G567*H567</f>
        <v/>
      </c>
      <c r="J567" s="390">
        <f>IFERROR(INDEX('06_BANG_GIA_VAT_TU_AP_DUNG'!$E$1:$E$5000, MATCH(E567, '06_BANG_GIA_VAT_TU_AP_DUNG'!$B$1:$B$5000, 0)), 0)</f>
        <v/>
      </c>
      <c r="K567" s="390">
        <f>I567*J567</f>
        <v/>
      </c>
      <c r="L567" t="inlineStr">
        <is>
          <t>Cơ cấu liên động bánh răng van</t>
        </is>
      </c>
    </row>
    <row r="568">
      <c r="A568" t="inlineStr">
        <is>
          <t>SW-DAMPER-270-FUSE</t>
        </is>
      </c>
      <c r="B568" t="inlineStr">
        <is>
          <t>SW-DAMPER-270</t>
        </is>
      </c>
      <c r="C568" t="inlineStr">
        <is>
          <t>Cầu chì nhiệt nóng chảy 70°C (Elsie/USA)</t>
        </is>
      </c>
      <c r="D568" t="inlineStr">
        <is>
          <t>PHỤ_KIỆN_VAN</t>
        </is>
      </c>
      <c r="E568" t="inlineStr">
        <is>
          <t>MAT-DAMPER-CAU-CHI-USA-1-400X400</t>
        </is>
      </c>
      <c r="F568" t="inlineStr">
        <is>
          <t>Cái</t>
        </is>
      </c>
      <c r="G568" s="394" t="n">
        <v>1</v>
      </c>
      <c r="H568" s="390">
        <f>IFERROR(INDEX('00_TONG_HOP_BAO_GIA'!$G$1:$G$5000, MATCH(B568, '00_TONG_HOP_BAO_GIA'!$B$1:$B$5000, 0)), 1)</f>
        <v/>
      </c>
      <c r="I568" s="395">
        <f>G568*H568</f>
        <v/>
      </c>
      <c r="J568" s="390">
        <f>IFERROR(INDEX('06_BANG_GIA_VAT_TU_AP_DUNG'!$E$1:$E$5000, MATCH(E568, '06_BANG_GIA_VAT_TU_AP_DUNG'!$B$1:$B$5000, 0)), 0)</f>
        <v/>
      </c>
      <c r="K568" s="390">
        <f>I568*J568</f>
        <v/>
      </c>
      <c r="L568" t="inlineStr">
        <is>
          <t>Cầu chì kiểm định PCCC</t>
        </is>
      </c>
    </row>
    <row r="569">
      <c r="A569" t="inlineStr">
        <is>
          <t>SW-DAMPER-270-FIRE_INSULATION</t>
        </is>
      </c>
      <c r="B569" t="inlineStr">
        <is>
          <t>SW-DAMPER-270</t>
        </is>
      </c>
      <c r="C569" t="inlineStr">
        <is>
          <t>Bọc cách nhiệt chống cháy tấm MGO/Thạch cao (Tiêu chuẩn EI)</t>
        </is>
      </c>
      <c r="D569" t="inlineStr">
        <is>
          <t>VẬT_LIỆU_CÁCH_NHIỆT</t>
        </is>
      </c>
      <c r="E569" t="inlineStr">
        <is>
          <t>MAT-INSULATION-EI-DAMPER</t>
        </is>
      </c>
      <c r="F569" t="inlineStr">
        <is>
          <t>m2</t>
        </is>
      </c>
      <c r="G569" s="394" t="n">
        <v>0.458304</v>
      </c>
      <c r="H569" s="390">
        <f>IFERROR(INDEX('00_TONG_HOP_BAO_GIA'!$G$1:$G$5000, MATCH(B569, '00_TONG_HOP_BAO_GIA'!$B$1:$B$5000, 0)), 1)</f>
        <v/>
      </c>
      <c r="I569" s="395">
        <f>G569*H569</f>
        <v/>
      </c>
      <c r="J569" s="390">
        <f>IFERROR(INDEX('06_BANG_GIA_VAT_TU_AP_DUNG'!$E$1:$E$5000, MATCH(E569, '06_BANG_GIA_VAT_TU_AP_DUNG'!$B$1:$B$5000, 0)), 0)</f>
        <v/>
      </c>
      <c r="K569" s="390">
        <f>I569*J569</f>
        <v/>
      </c>
      <c r="L569" t="inlineStr">
        <is>
          <t>Bọc chống cháy vỏ van (Lưu ý: Giá vật tư đang TẠM TÍNH 300k/m2)</t>
        </is>
      </c>
    </row>
    <row r="570">
      <c r="A570" t="inlineStr">
        <is>
          <t>SW-DAMPER-271-BODY</t>
        </is>
      </c>
      <c r="B570" t="inlineStr">
        <is>
          <t>SW-DAMPER-271</t>
        </is>
      </c>
      <c r="C570" t="inlineStr">
        <is>
          <t>Thân vỏ van FD bích TDF (1.15mm)</t>
        </is>
      </c>
      <c r="D570" t="inlineStr">
        <is>
          <t>TÔN_CUỘN_MẠ_KẼM</t>
        </is>
      </c>
      <c r="E570" t="inlineStr">
        <is>
          <t>MAT-STEEL-PN-1.15</t>
        </is>
      </c>
      <c r="F570" t="inlineStr">
        <is>
          <t>kg</t>
        </is>
      </c>
      <c r="G570" s="394" t="n">
        <v>3.761217599999999</v>
      </c>
      <c r="H570" s="390">
        <f>IFERROR(INDEX('00_TONG_HOP_BAO_GIA'!$G$1:$G$5000, MATCH(B570, '00_TONG_HOP_BAO_GIA'!$B$1:$B$5000, 0)), 1)</f>
        <v/>
      </c>
      <c r="I570" s="395">
        <f>G570*H570</f>
        <v/>
      </c>
      <c r="J570" s="390">
        <f>IFERROR(INDEX('06_BANG_GIA_VAT_TU_AP_DUNG'!$E$1:$E$5000, MATCH(E570, '06_BANG_GIA_VAT_TU_AP_DUNG'!$B$1:$B$5000, 0)), 0)</f>
        <v/>
      </c>
      <c r="K570" s="390">
        <f>I570*J570</f>
        <v/>
      </c>
      <c r="L570" t="inlineStr">
        <is>
          <t>Kích thước vỏ 300x300x250mm</t>
        </is>
      </c>
    </row>
    <row r="571">
      <c r="A571" t="inlineStr">
        <is>
          <t>SW-DAMPER-271-BLADE</t>
        </is>
      </c>
      <c r="B571" t="inlineStr">
        <is>
          <t>SW-DAMPER-271</t>
        </is>
      </c>
      <c r="C571" t="inlineStr">
        <is>
          <t>Lá cánh van (2 cánh overlap)</t>
        </is>
      </c>
      <c r="D571" t="inlineStr">
        <is>
          <t>TÔN_CUỘN_MẠ_KẼM</t>
        </is>
      </c>
      <c r="E571" t="inlineStr">
        <is>
          <t>MAT-STEEL-PN-1.15</t>
        </is>
      </c>
      <c r="F571" t="inlineStr">
        <is>
          <t>kg</t>
        </is>
      </c>
      <c r="G571" s="394" t="n">
        <v>0.9944693999999999</v>
      </c>
      <c r="H571" s="390">
        <f>IFERROR(INDEX('00_TONG_HOP_BAO_GIA'!$G$1:$G$5000, MATCH(B571, '00_TONG_HOP_BAO_GIA'!$B$1:$B$5000, 0)), 1)</f>
        <v/>
      </c>
      <c r="I571" s="395">
        <f>G571*H571</f>
        <v/>
      </c>
      <c r="J571" s="390">
        <f>IFERROR(INDEX('06_BANG_GIA_VAT_TU_AP_DUNG'!$E$1:$E$5000, MATCH(E571, '06_BANG_GIA_VAT_TU_AP_DUNG'!$B$1:$B$5000, 0)), 0)</f>
        <v/>
      </c>
      <c r="K571" s="390">
        <f>I571*J571</f>
        <v/>
      </c>
      <c r="L571" t="inlineStr">
        <is>
          <t>2 cánh cao 170mm</t>
        </is>
      </c>
    </row>
    <row r="572">
      <c r="A572" t="inlineStr">
        <is>
          <t>SW-DAMPER-271-AXLE</t>
        </is>
      </c>
      <c r="B572" t="inlineStr">
        <is>
          <t>SW-DAMPER-271</t>
        </is>
      </c>
      <c r="C572" t="inlineStr">
        <is>
          <t>Trục Sus 201 D10</t>
        </is>
      </c>
      <c r="D572" t="inlineStr">
        <is>
          <t>PHỤ_KIỆN_VAN</t>
        </is>
      </c>
      <c r="E572" t="inlineStr">
        <is>
          <t>MAT-DAMPER-TRUC-SUS-201-D10</t>
        </is>
      </c>
      <c r="F572" t="inlineStr">
        <is>
          <t>m</t>
        </is>
      </c>
      <c r="G572" s="394" t="n">
        <v>0.72</v>
      </c>
      <c r="H572" s="390">
        <f>IFERROR(INDEX('00_TONG_HOP_BAO_GIA'!$G$1:$G$5000, MATCH(B572, '00_TONG_HOP_BAO_GIA'!$B$1:$B$5000, 0)), 1)</f>
        <v/>
      </c>
      <c r="I572" s="395">
        <f>G572*H572</f>
        <v/>
      </c>
      <c r="J572" s="390">
        <f>IFERROR(INDEX('06_BANG_GIA_VAT_TU_AP_DUNG'!$E$1:$E$5000, MATCH(E572, '06_BANG_GIA_VAT_TU_AP_DUNG'!$B$1:$B$5000, 0)), 0)</f>
        <v/>
      </c>
      <c r="K572" s="390">
        <f>I572*J572</f>
        <v/>
      </c>
      <c r="L572" t="inlineStr">
        <is>
          <t>2 trục dài 360mm</t>
        </is>
      </c>
    </row>
    <row r="573">
      <c r="A573" t="inlineStr">
        <is>
          <t>SW-DAMPER-271-BEARING</t>
        </is>
      </c>
      <c r="B573" t="inlineStr">
        <is>
          <t>SW-DAMPER-271</t>
        </is>
      </c>
      <c r="C573" t="inlineStr">
        <is>
          <t>Bạc đồng D10</t>
        </is>
      </c>
      <c r="D573" t="inlineStr">
        <is>
          <t>PHỤ_KIỆN_VAN</t>
        </is>
      </c>
      <c r="E573" t="inlineStr">
        <is>
          <t>MAT-DAMPER-BAC-DONG-D10</t>
        </is>
      </c>
      <c r="F573" t="inlineStr">
        <is>
          <t>Đôi</t>
        </is>
      </c>
      <c r="G573" s="394" t="n">
        <v>2</v>
      </c>
      <c r="H573" s="390">
        <f>IFERROR(INDEX('00_TONG_HOP_BAO_GIA'!$G$1:$G$5000, MATCH(B573, '00_TONG_HOP_BAO_GIA'!$B$1:$B$5000, 0)), 1)</f>
        <v/>
      </c>
      <c r="I573" s="395">
        <f>G573*H573</f>
        <v/>
      </c>
      <c r="J573" s="390">
        <f>IFERROR(INDEX('06_BANG_GIA_VAT_TU_AP_DUNG'!$E$1:$E$5000, MATCH(E573, '06_BANG_GIA_VAT_TU_AP_DUNG'!$B$1:$B$5000, 0)), 0)</f>
        <v/>
      </c>
      <c r="K573" s="390">
        <f>I573*J573</f>
        <v/>
      </c>
      <c r="L573" t="inlineStr">
        <is>
          <t>2 đôi bạc đỡ 2 bên thân</t>
        </is>
      </c>
    </row>
    <row r="574">
      <c r="A574" t="inlineStr">
        <is>
          <t>SW-DAMPER-271-GEAR</t>
        </is>
      </c>
      <c r="B574" t="inlineStr">
        <is>
          <t>SW-DAMPER-271</t>
        </is>
      </c>
      <c r="C574" t="inlineStr">
        <is>
          <t>Bánh răng van nhôm</t>
        </is>
      </c>
      <c r="D574" t="inlineStr">
        <is>
          <t>PHỤ_KIỆN_VAN</t>
        </is>
      </c>
      <c r="E574" t="inlineStr">
        <is>
          <t>MAT-DAMPER-BANH-RANG-VAN-NHOM</t>
        </is>
      </c>
      <c r="F574" t="inlineStr">
        <is>
          <t>Bộ</t>
        </is>
      </c>
      <c r="G574" s="394" t="n">
        <v>1</v>
      </c>
      <c r="H574" s="390">
        <f>IFERROR(INDEX('00_TONG_HOP_BAO_GIA'!$G$1:$G$5000, MATCH(B574, '00_TONG_HOP_BAO_GIA'!$B$1:$B$5000, 0)), 1)</f>
        <v/>
      </c>
      <c r="I574" s="395">
        <f>G574*H574</f>
        <v/>
      </c>
      <c r="J574" s="390">
        <f>IFERROR(INDEX('06_BANG_GIA_VAT_TU_AP_DUNG'!$E$1:$E$5000, MATCH(E574, '06_BANG_GIA_VAT_TU_AP_DUNG'!$B$1:$B$5000, 0)), 0)</f>
        <v/>
      </c>
      <c r="K574" s="390">
        <f>I574*J574</f>
        <v/>
      </c>
      <c r="L574" t="inlineStr">
        <is>
          <t>Cơ cấu liên động bánh răng van</t>
        </is>
      </c>
    </row>
    <row r="575">
      <c r="A575" t="inlineStr">
        <is>
          <t>SW-DAMPER-271-FUSE</t>
        </is>
      </c>
      <c r="B575" t="inlineStr">
        <is>
          <t>SW-DAMPER-271</t>
        </is>
      </c>
      <c r="C575" t="inlineStr">
        <is>
          <t>Cầu chì nhiệt nóng chảy 70°C (Elsie/USA)</t>
        </is>
      </c>
      <c r="D575" t="inlineStr">
        <is>
          <t>PHỤ_KIỆN_VAN</t>
        </is>
      </c>
      <c r="E575" t="inlineStr">
        <is>
          <t>MAT-DAMPER-CAU-CHI-USA-1-400X400</t>
        </is>
      </c>
      <c r="F575" t="inlineStr">
        <is>
          <t>Cái</t>
        </is>
      </c>
      <c r="G575" s="394" t="n">
        <v>1</v>
      </c>
      <c r="H575" s="390">
        <f>IFERROR(INDEX('00_TONG_HOP_BAO_GIA'!$G$1:$G$5000, MATCH(B575, '00_TONG_HOP_BAO_GIA'!$B$1:$B$5000, 0)), 1)</f>
        <v/>
      </c>
      <c r="I575" s="395">
        <f>G575*H575</f>
        <v/>
      </c>
      <c r="J575" s="390">
        <f>IFERROR(INDEX('06_BANG_GIA_VAT_TU_AP_DUNG'!$E$1:$E$5000, MATCH(E575, '06_BANG_GIA_VAT_TU_AP_DUNG'!$B$1:$B$5000, 0)), 0)</f>
        <v/>
      </c>
      <c r="K575" s="390">
        <f>I575*J575</f>
        <v/>
      </c>
      <c r="L575" t="inlineStr">
        <is>
          <t>Cầu chì kiểm định PCCC</t>
        </is>
      </c>
    </row>
    <row r="576">
      <c r="A576" t="inlineStr">
        <is>
          <t>SW-DAMPER-271-FIRE_INSULATION</t>
        </is>
      </c>
      <c r="B576" t="inlineStr">
        <is>
          <t>SW-DAMPER-271</t>
        </is>
      </c>
      <c r="C576" t="inlineStr">
        <is>
          <t>Bọc cách nhiệt chống cháy tấm MGO/Thạch cao (Tiêu chuẩn EI)</t>
        </is>
      </c>
      <c r="D576" t="inlineStr">
        <is>
          <t>VẬT_LIỆU_CÁCH_NHIỆT</t>
        </is>
      </c>
      <c r="E576" t="inlineStr">
        <is>
          <t>MAT-INSULATION-EI-DAMPER</t>
        </is>
      </c>
      <c r="F576" t="inlineStr">
        <is>
          <t>m2</t>
        </is>
      </c>
      <c r="G576" s="394" t="n">
        <v>0.458304</v>
      </c>
      <c r="H576" s="390">
        <f>IFERROR(INDEX('00_TONG_HOP_BAO_GIA'!$G$1:$G$5000, MATCH(B576, '00_TONG_HOP_BAO_GIA'!$B$1:$B$5000, 0)), 1)</f>
        <v/>
      </c>
      <c r="I576" s="395">
        <f>G576*H576</f>
        <v/>
      </c>
      <c r="J576" s="390">
        <f>IFERROR(INDEX('06_BANG_GIA_VAT_TU_AP_DUNG'!$E$1:$E$5000, MATCH(E576, '06_BANG_GIA_VAT_TU_AP_DUNG'!$B$1:$B$5000, 0)), 0)</f>
        <v/>
      </c>
      <c r="K576" s="390">
        <f>I576*J576</f>
        <v/>
      </c>
      <c r="L576" t="inlineStr">
        <is>
          <t>Bọc chống cháy vỏ van (Lưu ý: Giá vật tư đang TẠM TÍNH 300k/m2)</t>
        </is>
      </c>
    </row>
    <row r="577">
      <c r="A577" t="inlineStr">
        <is>
          <t>SW-DAMPER-272-BODY</t>
        </is>
      </c>
      <c r="B577" t="inlineStr">
        <is>
          <t>SW-DAMPER-272</t>
        </is>
      </c>
      <c r="C577" t="inlineStr">
        <is>
          <t>Thân vỏ van FD bích TDF (1.15mm)</t>
        </is>
      </c>
      <c r="D577" t="inlineStr">
        <is>
          <t>TÔN_CUỘN_MẠ_KẼM</t>
        </is>
      </c>
      <c r="E577" t="inlineStr">
        <is>
          <t>MAT-STEEL-PN-1.15</t>
        </is>
      </c>
      <c r="F577" t="inlineStr">
        <is>
          <t>kg</t>
        </is>
      </c>
      <c r="G577" s="394" t="n">
        <v>3.761217599999999</v>
      </c>
      <c r="H577" s="390">
        <f>IFERROR(INDEX('00_TONG_HOP_BAO_GIA'!$G$1:$G$5000, MATCH(B577, '00_TONG_HOP_BAO_GIA'!$B$1:$B$5000, 0)), 1)</f>
        <v/>
      </c>
      <c r="I577" s="395">
        <f>G577*H577</f>
        <v/>
      </c>
      <c r="J577" s="390">
        <f>IFERROR(INDEX('06_BANG_GIA_VAT_TU_AP_DUNG'!$E$1:$E$5000, MATCH(E577, '06_BANG_GIA_VAT_TU_AP_DUNG'!$B$1:$B$5000, 0)), 0)</f>
        <v/>
      </c>
      <c r="K577" s="390">
        <f>I577*J577</f>
        <v/>
      </c>
      <c r="L577" t="inlineStr">
        <is>
          <t>Kích thước vỏ 300x300x250mm</t>
        </is>
      </c>
    </row>
    <row r="578">
      <c r="A578" t="inlineStr">
        <is>
          <t>SW-DAMPER-272-BLADE</t>
        </is>
      </c>
      <c r="B578" t="inlineStr">
        <is>
          <t>SW-DAMPER-272</t>
        </is>
      </c>
      <c r="C578" t="inlineStr">
        <is>
          <t>Lá cánh van (2 cánh overlap)</t>
        </is>
      </c>
      <c r="D578" t="inlineStr">
        <is>
          <t>TÔN_CUỘN_MẠ_KẼM</t>
        </is>
      </c>
      <c r="E578" t="inlineStr">
        <is>
          <t>MAT-STEEL-PN-1.15</t>
        </is>
      </c>
      <c r="F578" t="inlineStr">
        <is>
          <t>kg</t>
        </is>
      </c>
      <c r="G578" s="394" t="n">
        <v>0.9944693999999999</v>
      </c>
      <c r="H578" s="390">
        <f>IFERROR(INDEX('00_TONG_HOP_BAO_GIA'!$G$1:$G$5000, MATCH(B578, '00_TONG_HOP_BAO_GIA'!$B$1:$B$5000, 0)), 1)</f>
        <v/>
      </c>
      <c r="I578" s="395">
        <f>G578*H578</f>
        <v/>
      </c>
      <c r="J578" s="390">
        <f>IFERROR(INDEX('06_BANG_GIA_VAT_TU_AP_DUNG'!$E$1:$E$5000, MATCH(E578, '06_BANG_GIA_VAT_TU_AP_DUNG'!$B$1:$B$5000, 0)), 0)</f>
        <v/>
      </c>
      <c r="K578" s="390">
        <f>I578*J578</f>
        <v/>
      </c>
      <c r="L578" t="inlineStr">
        <is>
          <t>2 cánh cao 170mm</t>
        </is>
      </c>
    </row>
    <row r="579">
      <c r="A579" t="inlineStr">
        <is>
          <t>SW-DAMPER-272-AXLE</t>
        </is>
      </c>
      <c r="B579" t="inlineStr">
        <is>
          <t>SW-DAMPER-272</t>
        </is>
      </c>
      <c r="C579" t="inlineStr">
        <is>
          <t>Trục Sus 201 D10</t>
        </is>
      </c>
      <c r="D579" t="inlineStr">
        <is>
          <t>PHỤ_KIỆN_VAN</t>
        </is>
      </c>
      <c r="E579" t="inlineStr">
        <is>
          <t>MAT-DAMPER-TRUC-SUS-201-D10</t>
        </is>
      </c>
      <c r="F579" t="inlineStr">
        <is>
          <t>m</t>
        </is>
      </c>
      <c r="G579" s="394" t="n">
        <v>0.72</v>
      </c>
      <c r="H579" s="390">
        <f>IFERROR(INDEX('00_TONG_HOP_BAO_GIA'!$G$1:$G$5000, MATCH(B579, '00_TONG_HOP_BAO_GIA'!$B$1:$B$5000, 0)), 1)</f>
        <v/>
      </c>
      <c r="I579" s="395">
        <f>G579*H579</f>
        <v/>
      </c>
      <c r="J579" s="390">
        <f>IFERROR(INDEX('06_BANG_GIA_VAT_TU_AP_DUNG'!$E$1:$E$5000, MATCH(E579, '06_BANG_GIA_VAT_TU_AP_DUNG'!$B$1:$B$5000, 0)), 0)</f>
        <v/>
      </c>
      <c r="K579" s="390">
        <f>I579*J579</f>
        <v/>
      </c>
      <c r="L579" t="inlineStr">
        <is>
          <t>2 trục dài 360mm</t>
        </is>
      </c>
    </row>
    <row r="580">
      <c r="A580" t="inlineStr">
        <is>
          <t>SW-DAMPER-272-BEARING</t>
        </is>
      </c>
      <c r="B580" t="inlineStr">
        <is>
          <t>SW-DAMPER-272</t>
        </is>
      </c>
      <c r="C580" t="inlineStr">
        <is>
          <t>Bạc đồng D10</t>
        </is>
      </c>
      <c r="D580" t="inlineStr">
        <is>
          <t>PHỤ_KIỆN_VAN</t>
        </is>
      </c>
      <c r="E580" t="inlineStr">
        <is>
          <t>MAT-DAMPER-BAC-DONG-D10</t>
        </is>
      </c>
      <c r="F580" t="inlineStr">
        <is>
          <t>Đôi</t>
        </is>
      </c>
      <c r="G580" s="394" t="n">
        <v>2</v>
      </c>
      <c r="H580" s="390">
        <f>IFERROR(INDEX('00_TONG_HOP_BAO_GIA'!$G$1:$G$5000, MATCH(B580, '00_TONG_HOP_BAO_GIA'!$B$1:$B$5000, 0)), 1)</f>
        <v/>
      </c>
      <c r="I580" s="395">
        <f>G580*H580</f>
        <v/>
      </c>
      <c r="J580" s="390">
        <f>IFERROR(INDEX('06_BANG_GIA_VAT_TU_AP_DUNG'!$E$1:$E$5000, MATCH(E580, '06_BANG_GIA_VAT_TU_AP_DUNG'!$B$1:$B$5000, 0)), 0)</f>
        <v/>
      </c>
      <c r="K580" s="390">
        <f>I580*J580</f>
        <v/>
      </c>
      <c r="L580" t="inlineStr">
        <is>
          <t>2 đôi bạc đỡ 2 bên thân</t>
        </is>
      </c>
    </row>
    <row r="581">
      <c r="A581" t="inlineStr">
        <is>
          <t>SW-DAMPER-272-GEAR</t>
        </is>
      </c>
      <c r="B581" t="inlineStr">
        <is>
          <t>SW-DAMPER-272</t>
        </is>
      </c>
      <c r="C581" t="inlineStr">
        <is>
          <t>Bánh răng van nhôm</t>
        </is>
      </c>
      <c r="D581" t="inlineStr">
        <is>
          <t>PHỤ_KIỆN_VAN</t>
        </is>
      </c>
      <c r="E581" t="inlineStr">
        <is>
          <t>MAT-DAMPER-BANH-RANG-VAN-NHOM</t>
        </is>
      </c>
      <c r="F581" t="inlineStr">
        <is>
          <t>Bộ</t>
        </is>
      </c>
      <c r="G581" s="394" t="n">
        <v>1</v>
      </c>
      <c r="H581" s="390">
        <f>IFERROR(INDEX('00_TONG_HOP_BAO_GIA'!$G$1:$G$5000, MATCH(B581, '00_TONG_HOP_BAO_GIA'!$B$1:$B$5000, 0)), 1)</f>
        <v/>
      </c>
      <c r="I581" s="395">
        <f>G581*H581</f>
        <v/>
      </c>
      <c r="J581" s="390">
        <f>IFERROR(INDEX('06_BANG_GIA_VAT_TU_AP_DUNG'!$E$1:$E$5000, MATCH(E581, '06_BANG_GIA_VAT_TU_AP_DUNG'!$B$1:$B$5000, 0)), 0)</f>
        <v/>
      </c>
      <c r="K581" s="390">
        <f>I581*J581</f>
        <v/>
      </c>
      <c r="L581" t="inlineStr">
        <is>
          <t>Cơ cấu liên động bánh răng van</t>
        </is>
      </c>
    </row>
    <row r="582">
      <c r="A582" t="inlineStr">
        <is>
          <t>SW-DAMPER-272-FUSE</t>
        </is>
      </c>
      <c r="B582" t="inlineStr">
        <is>
          <t>SW-DAMPER-272</t>
        </is>
      </c>
      <c r="C582" t="inlineStr">
        <is>
          <t>Cầu chì nhiệt nóng chảy 70°C (Elsie/USA)</t>
        </is>
      </c>
      <c r="D582" t="inlineStr">
        <is>
          <t>PHỤ_KIỆN_VAN</t>
        </is>
      </c>
      <c r="E582" t="inlineStr">
        <is>
          <t>MAT-DAMPER-CAU-CHI-USA-1-400X400</t>
        </is>
      </c>
      <c r="F582" t="inlineStr">
        <is>
          <t>Cái</t>
        </is>
      </c>
      <c r="G582" s="394" t="n">
        <v>1</v>
      </c>
      <c r="H582" s="390">
        <f>IFERROR(INDEX('00_TONG_HOP_BAO_GIA'!$G$1:$G$5000, MATCH(B582, '00_TONG_HOP_BAO_GIA'!$B$1:$B$5000, 0)), 1)</f>
        <v/>
      </c>
      <c r="I582" s="395">
        <f>G582*H582</f>
        <v/>
      </c>
      <c r="J582" s="390">
        <f>IFERROR(INDEX('06_BANG_GIA_VAT_TU_AP_DUNG'!$E$1:$E$5000, MATCH(E582, '06_BANG_GIA_VAT_TU_AP_DUNG'!$B$1:$B$5000, 0)), 0)</f>
        <v/>
      </c>
      <c r="K582" s="390">
        <f>I582*J582</f>
        <v/>
      </c>
      <c r="L582" t="inlineStr">
        <is>
          <t>Cầu chì kiểm định PCCC</t>
        </is>
      </c>
    </row>
    <row r="583">
      <c r="A583" t="inlineStr">
        <is>
          <t>SW-DAMPER-272-FIRE_INSULATION</t>
        </is>
      </c>
      <c r="B583" t="inlineStr">
        <is>
          <t>SW-DAMPER-272</t>
        </is>
      </c>
      <c r="C583" t="inlineStr">
        <is>
          <t>Bọc cách nhiệt chống cháy tấm MGO/Thạch cao (Tiêu chuẩn EI)</t>
        </is>
      </c>
      <c r="D583" t="inlineStr">
        <is>
          <t>VẬT_LIỆU_CÁCH_NHIỆT</t>
        </is>
      </c>
      <c r="E583" t="inlineStr">
        <is>
          <t>MAT-INSULATION-EI-DAMPER</t>
        </is>
      </c>
      <c r="F583" t="inlineStr">
        <is>
          <t>m2</t>
        </is>
      </c>
      <c r="G583" s="394" t="n">
        <v>0.458304</v>
      </c>
      <c r="H583" s="390">
        <f>IFERROR(INDEX('00_TONG_HOP_BAO_GIA'!$G$1:$G$5000, MATCH(B583, '00_TONG_HOP_BAO_GIA'!$B$1:$B$5000, 0)), 1)</f>
        <v/>
      </c>
      <c r="I583" s="395">
        <f>G583*H583</f>
        <v/>
      </c>
      <c r="J583" s="390">
        <f>IFERROR(INDEX('06_BANG_GIA_VAT_TU_AP_DUNG'!$E$1:$E$5000, MATCH(E583, '06_BANG_GIA_VAT_TU_AP_DUNG'!$B$1:$B$5000, 0)), 0)</f>
        <v/>
      </c>
      <c r="K583" s="390">
        <f>I583*J583</f>
        <v/>
      </c>
      <c r="L583" t="inlineStr">
        <is>
          <t>Bọc chống cháy vỏ van (Lưu ý: Giá vật tư đang TẠM TÍNH 300k/m2)</t>
        </is>
      </c>
    </row>
    <row r="584">
      <c r="A584" t="inlineStr">
        <is>
          <t>SW-DAMPER-273-BODY</t>
        </is>
      </c>
      <c r="B584" t="inlineStr">
        <is>
          <t>SW-DAMPER-273</t>
        </is>
      </c>
      <c r="C584" t="inlineStr">
        <is>
          <t>Thân vỏ van FD bích TDF (1.15mm)</t>
        </is>
      </c>
      <c r="D584" t="inlineStr">
        <is>
          <t>TÔN_CUỘN_MẠ_KẼM</t>
        </is>
      </c>
      <c r="E584" t="inlineStr">
        <is>
          <t>MAT-STEEL-PN-1.15</t>
        </is>
      </c>
      <c r="F584" t="inlineStr">
        <is>
          <t>kg</t>
        </is>
      </c>
      <c r="G584" s="394" t="n">
        <v>3.761217599999999</v>
      </c>
      <c r="H584" s="390">
        <f>IFERROR(INDEX('00_TONG_HOP_BAO_GIA'!$G$1:$G$5000, MATCH(B584, '00_TONG_HOP_BAO_GIA'!$B$1:$B$5000, 0)), 1)</f>
        <v/>
      </c>
      <c r="I584" s="395">
        <f>G584*H584</f>
        <v/>
      </c>
      <c r="J584" s="390">
        <f>IFERROR(INDEX('06_BANG_GIA_VAT_TU_AP_DUNG'!$E$1:$E$5000, MATCH(E584, '06_BANG_GIA_VAT_TU_AP_DUNG'!$B$1:$B$5000, 0)), 0)</f>
        <v/>
      </c>
      <c r="K584" s="390">
        <f>I584*J584</f>
        <v/>
      </c>
      <c r="L584" t="inlineStr">
        <is>
          <t>Kích thước vỏ 300x300x250mm</t>
        </is>
      </c>
    </row>
    <row r="585">
      <c r="A585" t="inlineStr">
        <is>
          <t>SW-DAMPER-273-BLADE</t>
        </is>
      </c>
      <c r="B585" t="inlineStr">
        <is>
          <t>SW-DAMPER-273</t>
        </is>
      </c>
      <c r="C585" t="inlineStr">
        <is>
          <t>Lá cánh van (2 cánh overlap)</t>
        </is>
      </c>
      <c r="D585" t="inlineStr">
        <is>
          <t>TÔN_CUỘN_MẠ_KẼM</t>
        </is>
      </c>
      <c r="E585" t="inlineStr">
        <is>
          <t>MAT-STEEL-PN-1.15</t>
        </is>
      </c>
      <c r="F585" t="inlineStr">
        <is>
          <t>kg</t>
        </is>
      </c>
      <c r="G585" s="394" t="n">
        <v>0.9944693999999999</v>
      </c>
      <c r="H585" s="390">
        <f>IFERROR(INDEX('00_TONG_HOP_BAO_GIA'!$G$1:$G$5000, MATCH(B585, '00_TONG_HOP_BAO_GIA'!$B$1:$B$5000, 0)), 1)</f>
        <v/>
      </c>
      <c r="I585" s="395">
        <f>G585*H585</f>
        <v/>
      </c>
      <c r="J585" s="390">
        <f>IFERROR(INDEX('06_BANG_GIA_VAT_TU_AP_DUNG'!$E$1:$E$5000, MATCH(E585, '06_BANG_GIA_VAT_TU_AP_DUNG'!$B$1:$B$5000, 0)), 0)</f>
        <v/>
      </c>
      <c r="K585" s="390">
        <f>I585*J585</f>
        <v/>
      </c>
      <c r="L585" t="inlineStr">
        <is>
          <t>2 cánh cao 170mm</t>
        </is>
      </c>
    </row>
    <row r="586">
      <c r="A586" t="inlineStr">
        <is>
          <t>SW-DAMPER-273-AXLE</t>
        </is>
      </c>
      <c r="B586" t="inlineStr">
        <is>
          <t>SW-DAMPER-273</t>
        </is>
      </c>
      <c r="C586" t="inlineStr">
        <is>
          <t>Trục Sus 201 D10</t>
        </is>
      </c>
      <c r="D586" t="inlineStr">
        <is>
          <t>PHỤ_KIỆN_VAN</t>
        </is>
      </c>
      <c r="E586" t="inlineStr">
        <is>
          <t>MAT-DAMPER-TRUC-SUS-201-D10</t>
        </is>
      </c>
      <c r="F586" t="inlineStr">
        <is>
          <t>m</t>
        </is>
      </c>
      <c r="G586" s="394" t="n">
        <v>0.72</v>
      </c>
      <c r="H586" s="390">
        <f>IFERROR(INDEX('00_TONG_HOP_BAO_GIA'!$G$1:$G$5000, MATCH(B586, '00_TONG_HOP_BAO_GIA'!$B$1:$B$5000, 0)), 1)</f>
        <v/>
      </c>
      <c r="I586" s="395">
        <f>G586*H586</f>
        <v/>
      </c>
      <c r="J586" s="390">
        <f>IFERROR(INDEX('06_BANG_GIA_VAT_TU_AP_DUNG'!$E$1:$E$5000, MATCH(E586, '06_BANG_GIA_VAT_TU_AP_DUNG'!$B$1:$B$5000, 0)), 0)</f>
        <v/>
      </c>
      <c r="K586" s="390">
        <f>I586*J586</f>
        <v/>
      </c>
      <c r="L586" t="inlineStr">
        <is>
          <t>2 trục dài 360mm</t>
        </is>
      </c>
    </row>
    <row r="587">
      <c r="A587" t="inlineStr">
        <is>
          <t>SW-DAMPER-273-BEARING</t>
        </is>
      </c>
      <c r="B587" t="inlineStr">
        <is>
          <t>SW-DAMPER-273</t>
        </is>
      </c>
      <c r="C587" t="inlineStr">
        <is>
          <t>Bạc đồng D10</t>
        </is>
      </c>
      <c r="D587" t="inlineStr">
        <is>
          <t>PHỤ_KIỆN_VAN</t>
        </is>
      </c>
      <c r="E587" t="inlineStr">
        <is>
          <t>MAT-DAMPER-BAC-DONG-D10</t>
        </is>
      </c>
      <c r="F587" t="inlineStr">
        <is>
          <t>Đôi</t>
        </is>
      </c>
      <c r="G587" s="394" t="n">
        <v>2</v>
      </c>
      <c r="H587" s="390">
        <f>IFERROR(INDEX('00_TONG_HOP_BAO_GIA'!$G$1:$G$5000, MATCH(B587, '00_TONG_HOP_BAO_GIA'!$B$1:$B$5000, 0)), 1)</f>
        <v/>
      </c>
      <c r="I587" s="395">
        <f>G587*H587</f>
        <v/>
      </c>
      <c r="J587" s="390">
        <f>IFERROR(INDEX('06_BANG_GIA_VAT_TU_AP_DUNG'!$E$1:$E$5000, MATCH(E587, '06_BANG_GIA_VAT_TU_AP_DUNG'!$B$1:$B$5000, 0)), 0)</f>
        <v/>
      </c>
      <c r="K587" s="390">
        <f>I587*J587</f>
        <v/>
      </c>
      <c r="L587" t="inlineStr">
        <is>
          <t>2 đôi bạc đỡ 2 bên thân</t>
        </is>
      </c>
    </row>
    <row r="588">
      <c r="A588" t="inlineStr">
        <is>
          <t>SW-DAMPER-273-GEAR</t>
        </is>
      </c>
      <c r="B588" t="inlineStr">
        <is>
          <t>SW-DAMPER-273</t>
        </is>
      </c>
      <c r="C588" t="inlineStr">
        <is>
          <t>Bánh răng van nhôm</t>
        </is>
      </c>
      <c r="D588" t="inlineStr">
        <is>
          <t>PHỤ_KIỆN_VAN</t>
        </is>
      </c>
      <c r="E588" t="inlineStr">
        <is>
          <t>MAT-DAMPER-BANH-RANG-VAN-NHOM</t>
        </is>
      </c>
      <c r="F588" t="inlineStr">
        <is>
          <t>Bộ</t>
        </is>
      </c>
      <c r="G588" s="394" t="n">
        <v>1</v>
      </c>
      <c r="H588" s="390">
        <f>IFERROR(INDEX('00_TONG_HOP_BAO_GIA'!$G$1:$G$5000, MATCH(B588, '00_TONG_HOP_BAO_GIA'!$B$1:$B$5000, 0)), 1)</f>
        <v/>
      </c>
      <c r="I588" s="395">
        <f>G588*H588</f>
        <v/>
      </c>
      <c r="J588" s="390">
        <f>IFERROR(INDEX('06_BANG_GIA_VAT_TU_AP_DUNG'!$E$1:$E$5000, MATCH(E588, '06_BANG_GIA_VAT_TU_AP_DUNG'!$B$1:$B$5000, 0)), 0)</f>
        <v/>
      </c>
      <c r="K588" s="390">
        <f>I588*J588</f>
        <v/>
      </c>
      <c r="L588" t="inlineStr">
        <is>
          <t>Cơ cấu liên động bánh răng van</t>
        </is>
      </c>
    </row>
    <row r="589">
      <c r="A589" t="inlineStr">
        <is>
          <t>SW-DAMPER-273-FUSE</t>
        </is>
      </c>
      <c r="B589" t="inlineStr">
        <is>
          <t>SW-DAMPER-273</t>
        </is>
      </c>
      <c r="C589" t="inlineStr">
        <is>
          <t>Cầu chì nhiệt nóng chảy 70°C (Elsie/USA)</t>
        </is>
      </c>
      <c r="D589" t="inlineStr">
        <is>
          <t>PHỤ_KIỆN_VAN</t>
        </is>
      </c>
      <c r="E589" t="inlineStr">
        <is>
          <t>MAT-DAMPER-CAU-CHI-USA-1-400X400</t>
        </is>
      </c>
      <c r="F589" t="inlineStr">
        <is>
          <t>Cái</t>
        </is>
      </c>
      <c r="G589" s="394" t="n">
        <v>1</v>
      </c>
      <c r="H589" s="390">
        <f>IFERROR(INDEX('00_TONG_HOP_BAO_GIA'!$G$1:$G$5000, MATCH(B589, '00_TONG_HOP_BAO_GIA'!$B$1:$B$5000, 0)), 1)</f>
        <v/>
      </c>
      <c r="I589" s="395">
        <f>G589*H589</f>
        <v/>
      </c>
      <c r="J589" s="390">
        <f>IFERROR(INDEX('06_BANG_GIA_VAT_TU_AP_DUNG'!$E$1:$E$5000, MATCH(E589, '06_BANG_GIA_VAT_TU_AP_DUNG'!$B$1:$B$5000, 0)), 0)</f>
        <v/>
      </c>
      <c r="K589" s="390">
        <f>I589*J589</f>
        <v/>
      </c>
      <c r="L589" t="inlineStr">
        <is>
          <t>Cầu chì kiểm định PCCC</t>
        </is>
      </c>
    </row>
    <row r="590">
      <c r="A590" t="inlineStr">
        <is>
          <t>SW-DAMPER-273-FIRE_INSULATION</t>
        </is>
      </c>
      <c r="B590" t="inlineStr">
        <is>
          <t>SW-DAMPER-273</t>
        </is>
      </c>
      <c r="C590" t="inlineStr">
        <is>
          <t>Bọc cách nhiệt chống cháy tấm MGO/Thạch cao (Tiêu chuẩn EI)</t>
        </is>
      </c>
      <c r="D590" t="inlineStr">
        <is>
          <t>VẬT_LIỆU_CÁCH_NHIỆT</t>
        </is>
      </c>
      <c r="E590" t="inlineStr">
        <is>
          <t>MAT-INSULATION-EI-DAMPER</t>
        </is>
      </c>
      <c r="F590" t="inlineStr">
        <is>
          <t>m2</t>
        </is>
      </c>
      <c r="G590" s="394" t="n">
        <v>0.458304</v>
      </c>
      <c r="H590" s="390">
        <f>IFERROR(INDEX('00_TONG_HOP_BAO_GIA'!$G$1:$G$5000, MATCH(B590, '00_TONG_HOP_BAO_GIA'!$B$1:$B$5000, 0)), 1)</f>
        <v/>
      </c>
      <c r="I590" s="395">
        <f>G590*H590</f>
        <v/>
      </c>
      <c r="J590" s="390">
        <f>IFERROR(INDEX('06_BANG_GIA_VAT_TU_AP_DUNG'!$E$1:$E$5000, MATCH(E590, '06_BANG_GIA_VAT_TU_AP_DUNG'!$B$1:$B$5000, 0)), 0)</f>
        <v/>
      </c>
      <c r="K590" s="390">
        <f>I590*J590</f>
        <v/>
      </c>
      <c r="L590" t="inlineStr">
        <is>
          <t>Bọc chống cháy vỏ van (Lưu ý: Giá vật tư đang TẠM TÍNH 300k/m2)</t>
        </is>
      </c>
    </row>
    <row r="591">
      <c r="A591" t="inlineStr">
        <is>
          <t>SW-DAMPER-277-BODY</t>
        </is>
      </c>
      <c r="B591" t="inlineStr">
        <is>
          <t>SW-DAMPER-277</t>
        </is>
      </c>
      <c r="C591" t="inlineStr">
        <is>
          <t>Thân vỏ van FD bích TDF (1.15mm)</t>
        </is>
      </c>
      <c r="D591" t="inlineStr">
        <is>
          <t>TÔN_CUỘN_MẠ_KẼM</t>
        </is>
      </c>
      <c r="E591" t="inlineStr">
        <is>
          <t>MAT-STEEL-PN-1.15</t>
        </is>
      </c>
      <c r="F591" t="inlineStr">
        <is>
          <t>kg</t>
        </is>
      </c>
      <c r="G591" s="394" t="n">
        <v>3.761217599999999</v>
      </c>
      <c r="H591" s="390">
        <f>IFERROR(INDEX('00_TONG_HOP_BAO_GIA'!$G$1:$G$5000, MATCH(B591, '00_TONG_HOP_BAO_GIA'!$B$1:$B$5000, 0)), 1)</f>
        <v/>
      </c>
      <c r="I591" s="395">
        <f>G591*H591</f>
        <v/>
      </c>
      <c r="J591" s="390">
        <f>IFERROR(INDEX('06_BANG_GIA_VAT_TU_AP_DUNG'!$E$1:$E$5000, MATCH(E591, '06_BANG_GIA_VAT_TU_AP_DUNG'!$B$1:$B$5000, 0)), 0)</f>
        <v/>
      </c>
      <c r="K591" s="390">
        <f>I591*J591</f>
        <v/>
      </c>
      <c r="L591" t="inlineStr">
        <is>
          <t>Kích thước vỏ 300x300x250mm</t>
        </is>
      </c>
    </row>
    <row r="592">
      <c r="A592" t="inlineStr">
        <is>
          <t>SW-DAMPER-277-BLADE</t>
        </is>
      </c>
      <c r="B592" t="inlineStr">
        <is>
          <t>SW-DAMPER-277</t>
        </is>
      </c>
      <c r="C592" t="inlineStr">
        <is>
          <t>Lá cánh van (2 cánh overlap)</t>
        </is>
      </c>
      <c r="D592" t="inlineStr">
        <is>
          <t>TÔN_CUỘN_MẠ_KẼM</t>
        </is>
      </c>
      <c r="E592" t="inlineStr">
        <is>
          <t>MAT-STEEL-PN-1.15</t>
        </is>
      </c>
      <c r="F592" t="inlineStr">
        <is>
          <t>kg</t>
        </is>
      </c>
      <c r="G592" s="394" t="n">
        <v>0.9944693999999999</v>
      </c>
      <c r="H592" s="390">
        <f>IFERROR(INDEX('00_TONG_HOP_BAO_GIA'!$G$1:$G$5000, MATCH(B592, '00_TONG_HOP_BAO_GIA'!$B$1:$B$5000, 0)), 1)</f>
        <v/>
      </c>
      <c r="I592" s="395">
        <f>G592*H592</f>
        <v/>
      </c>
      <c r="J592" s="390">
        <f>IFERROR(INDEX('06_BANG_GIA_VAT_TU_AP_DUNG'!$E$1:$E$5000, MATCH(E592, '06_BANG_GIA_VAT_TU_AP_DUNG'!$B$1:$B$5000, 0)), 0)</f>
        <v/>
      </c>
      <c r="K592" s="390">
        <f>I592*J592</f>
        <v/>
      </c>
      <c r="L592" t="inlineStr">
        <is>
          <t>2 cánh cao 170mm</t>
        </is>
      </c>
    </row>
    <row r="593">
      <c r="A593" t="inlineStr">
        <is>
          <t>SW-DAMPER-277-AXLE</t>
        </is>
      </c>
      <c r="B593" t="inlineStr">
        <is>
          <t>SW-DAMPER-277</t>
        </is>
      </c>
      <c r="C593" t="inlineStr">
        <is>
          <t>Trục Sus 201 D10</t>
        </is>
      </c>
      <c r="D593" t="inlineStr">
        <is>
          <t>PHỤ_KIỆN_VAN</t>
        </is>
      </c>
      <c r="E593" t="inlineStr">
        <is>
          <t>MAT-DAMPER-TRUC-SUS-201-D10</t>
        </is>
      </c>
      <c r="F593" t="inlineStr">
        <is>
          <t>m</t>
        </is>
      </c>
      <c r="G593" s="394" t="n">
        <v>0.72</v>
      </c>
      <c r="H593" s="390">
        <f>IFERROR(INDEX('00_TONG_HOP_BAO_GIA'!$G$1:$G$5000, MATCH(B593, '00_TONG_HOP_BAO_GIA'!$B$1:$B$5000, 0)), 1)</f>
        <v/>
      </c>
      <c r="I593" s="395">
        <f>G593*H593</f>
        <v/>
      </c>
      <c r="J593" s="390">
        <f>IFERROR(INDEX('06_BANG_GIA_VAT_TU_AP_DUNG'!$E$1:$E$5000, MATCH(E593, '06_BANG_GIA_VAT_TU_AP_DUNG'!$B$1:$B$5000, 0)), 0)</f>
        <v/>
      </c>
      <c r="K593" s="390">
        <f>I593*J593</f>
        <v/>
      </c>
      <c r="L593" t="inlineStr">
        <is>
          <t>2 trục dài 360mm</t>
        </is>
      </c>
    </row>
    <row r="594">
      <c r="A594" t="inlineStr">
        <is>
          <t>SW-DAMPER-277-BEARING</t>
        </is>
      </c>
      <c r="B594" t="inlineStr">
        <is>
          <t>SW-DAMPER-277</t>
        </is>
      </c>
      <c r="C594" t="inlineStr">
        <is>
          <t>Bạc đồng D10</t>
        </is>
      </c>
      <c r="D594" t="inlineStr">
        <is>
          <t>PHỤ_KIỆN_VAN</t>
        </is>
      </c>
      <c r="E594" t="inlineStr">
        <is>
          <t>MAT-DAMPER-BAC-DONG-D10</t>
        </is>
      </c>
      <c r="F594" t="inlineStr">
        <is>
          <t>Đôi</t>
        </is>
      </c>
      <c r="G594" s="394" t="n">
        <v>2</v>
      </c>
      <c r="H594" s="390">
        <f>IFERROR(INDEX('00_TONG_HOP_BAO_GIA'!$G$1:$G$5000, MATCH(B594, '00_TONG_HOP_BAO_GIA'!$B$1:$B$5000, 0)), 1)</f>
        <v/>
      </c>
      <c r="I594" s="395">
        <f>G594*H594</f>
        <v/>
      </c>
      <c r="J594" s="390">
        <f>IFERROR(INDEX('06_BANG_GIA_VAT_TU_AP_DUNG'!$E$1:$E$5000, MATCH(E594, '06_BANG_GIA_VAT_TU_AP_DUNG'!$B$1:$B$5000, 0)), 0)</f>
        <v/>
      </c>
      <c r="K594" s="390">
        <f>I594*J594</f>
        <v/>
      </c>
      <c r="L594" t="inlineStr">
        <is>
          <t>2 đôi bạc đỡ 2 bên thân</t>
        </is>
      </c>
    </row>
    <row r="595">
      <c r="A595" t="inlineStr">
        <is>
          <t>SW-DAMPER-277-GEAR</t>
        </is>
      </c>
      <c r="B595" t="inlineStr">
        <is>
          <t>SW-DAMPER-277</t>
        </is>
      </c>
      <c r="C595" t="inlineStr">
        <is>
          <t>Bánh răng van nhôm</t>
        </is>
      </c>
      <c r="D595" t="inlineStr">
        <is>
          <t>PHỤ_KIỆN_VAN</t>
        </is>
      </c>
      <c r="E595" t="inlineStr">
        <is>
          <t>MAT-DAMPER-BANH-RANG-VAN-NHOM</t>
        </is>
      </c>
      <c r="F595" t="inlineStr">
        <is>
          <t>Bộ</t>
        </is>
      </c>
      <c r="G595" s="394" t="n">
        <v>1</v>
      </c>
      <c r="H595" s="390">
        <f>IFERROR(INDEX('00_TONG_HOP_BAO_GIA'!$G$1:$G$5000, MATCH(B595, '00_TONG_HOP_BAO_GIA'!$B$1:$B$5000, 0)), 1)</f>
        <v/>
      </c>
      <c r="I595" s="395">
        <f>G595*H595</f>
        <v/>
      </c>
      <c r="J595" s="390">
        <f>IFERROR(INDEX('06_BANG_GIA_VAT_TU_AP_DUNG'!$E$1:$E$5000, MATCH(E595, '06_BANG_GIA_VAT_TU_AP_DUNG'!$B$1:$B$5000, 0)), 0)</f>
        <v/>
      </c>
      <c r="K595" s="390">
        <f>I595*J595</f>
        <v/>
      </c>
      <c r="L595" t="inlineStr">
        <is>
          <t>Cơ cấu liên động bánh răng van</t>
        </is>
      </c>
    </row>
    <row r="596">
      <c r="A596" t="inlineStr">
        <is>
          <t>SW-DAMPER-277-FUSE</t>
        </is>
      </c>
      <c r="B596" t="inlineStr">
        <is>
          <t>SW-DAMPER-277</t>
        </is>
      </c>
      <c r="C596" t="inlineStr">
        <is>
          <t>Cầu chì nhiệt nóng chảy 70°C (Elsie/USA)</t>
        </is>
      </c>
      <c r="D596" t="inlineStr">
        <is>
          <t>PHỤ_KIỆN_VAN</t>
        </is>
      </c>
      <c r="E596" t="inlineStr">
        <is>
          <t>MAT-DAMPER-CAU-CHI-USA-1-400X400</t>
        </is>
      </c>
      <c r="F596" t="inlineStr">
        <is>
          <t>Cái</t>
        </is>
      </c>
      <c r="G596" s="394" t="n">
        <v>1</v>
      </c>
      <c r="H596" s="390">
        <f>IFERROR(INDEX('00_TONG_HOP_BAO_GIA'!$G$1:$G$5000, MATCH(B596, '00_TONG_HOP_BAO_GIA'!$B$1:$B$5000, 0)), 1)</f>
        <v/>
      </c>
      <c r="I596" s="395">
        <f>G596*H596</f>
        <v/>
      </c>
      <c r="J596" s="390">
        <f>IFERROR(INDEX('06_BANG_GIA_VAT_TU_AP_DUNG'!$E$1:$E$5000, MATCH(E596, '06_BANG_GIA_VAT_TU_AP_DUNG'!$B$1:$B$5000, 0)), 0)</f>
        <v/>
      </c>
      <c r="K596" s="390">
        <f>I596*J596</f>
        <v/>
      </c>
      <c r="L596" t="inlineStr">
        <is>
          <t>Cầu chì kiểm định PCCC</t>
        </is>
      </c>
    </row>
    <row r="597">
      <c r="A597" t="inlineStr">
        <is>
          <t>SW-DAMPER-277-FIRE_INSULATION</t>
        </is>
      </c>
      <c r="B597" t="inlineStr">
        <is>
          <t>SW-DAMPER-277</t>
        </is>
      </c>
      <c r="C597" t="inlineStr">
        <is>
          <t>Bọc cách nhiệt chống cháy tấm MGO/Thạch cao (Tiêu chuẩn EI)</t>
        </is>
      </c>
      <c r="D597" t="inlineStr">
        <is>
          <t>VẬT_LIỆU_CÁCH_NHIỆT</t>
        </is>
      </c>
      <c r="E597" t="inlineStr">
        <is>
          <t>MAT-INSULATION-EI-DAMPER</t>
        </is>
      </c>
      <c r="F597" t="inlineStr">
        <is>
          <t>m2</t>
        </is>
      </c>
      <c r="G597" s="394" t="n">
        <v>0.458304</v>
      </c>
      <c r="H597" s="390">
        <f>IFERROR(INDEX('00_TONG_HOP_BAO_GIA'!$G$1:$G$5000, MATCH(B597, '00_TONG_HOP_BAO_GIA'!$B$1:$B$5000, 0)), 1)</f>
        <v/>
      </c>
      <c r="I597" s="395">
        <f>G597*H597</f>
        <v/>
      </c>
      <c r="J597" s="390">
        <f>IFERROR(INDEX('06_BANG_GIA_VAT_TU_AP_DUNG'!$E$1:$E$5000, MATCH(E597, '06_BANG_GIA_VAT_TU_AP_DUNG'!$B$1:$B$5000, 0)), 0)</f>
        <v/>
      </c>
      <c r="K597" s="390">
        <f>I597*J597</f>
        <v/>
      </c>
      <c r="L597" t="inlineStr">
        <is>
          <t>Bọc chống cháy vỏ van (Lưu ý: Giá vật tư đang TẠM TÍNH 300k/m2)</t>
        </is>
      </c>
    </row>
    <row r="598">
      <c r="A598" t="inlineStr">
        <is>
          <t>SW-DAMPER-278-BODY</t>
        </is>
      </c>
      <c r="B598" t="inlineStr">
        <is>
          <t>SW-DAMPER-278</t>
        </is>
      </c>
      <c r="C598" t="inlineStr">
        <is>
          <t>Thân vỏ van FD bích TDF (1.15mm)</t>
        </is>
      </c>
      <c r="D598" t="inlineStr">
        <is>
          <t>TÔN_CUỘN_MẠ_KẼM</t>
        </is>
      </c>
      <c r="E598" t="inlineStr">
        <is>
          <t>MAT-STEEL-PN-1.15</t>
        </is>
      </c>
      <c r="F598" t="inlineStr">
        <is>
          <t>kg</t>
        </is>
      </c>
      <c r="G598" s="394" t="n">
        <v>3.761217599999999</v>
      </c>
      <c r="H598" s="390">
        <f>IFERROR(INDEX('00_TONG_HOP_BAO_GIA'!$G$1:$G$5000, MATCH(B598, '00_TONG_HOP_BAO_GIA'!$B$1:$B$5000, 0)), 1)</f>
        <v/>
      </c>
      <c r="I598" s="395">
        <f>G598*H598</f>
        <v/>
      </c>
      <c r="J598" s="390">
        <f>IFERROR(INDEX('06_BANG_GIA_VAT_TU_AP_DUNG'!$E$1:$E$5000, MATCH(E598, '06_BANG_GIA_VAT_TU_AP_DUNG'!$B$1:$B$5000, 0)), 0)</f>
        <v/>
      </c>
      <c r="K598" s="390">
        <f>I598*J598</f>
        <v/>
      </c>
      <c r="L598" t="inlineStr">
        <is>
          <t>Kích thước vỏ 300x300x250mm</t>
        </is>
      </c>
    </row>
    <row r="599">
      <c r="A599" t="inlineStr">
        <is>
          <t>SW-DAMPER-278-BLADE</t>
        </is>
      </c>
      <c r="B599" t="inlineStr">
        <is>
          <t>SW-DAMPER-278</t>
        </is>
      </c>
      <c r="C599" t="inlineStr">
        <is>
          <t>Lá cánh van (2 cánh overlap)</t>
        </is>
      </c>
      <c r="D599" t="inlineStr">
        <is>
          <t>TÔN_CUỘN_MẠ_KẼM</t>
        </is>
      </c>
      <c r="E599" t="inlineStr">
        <is>
          <t>MAT-STEEL-PN-1.15</t>
        </is>
      </c>
      <c r="F599" t="inlineStr">
        <is>
          <t>kg</t>
        </is>
      </c>
      <c r="G599" s="394" t="n">
        <v>0.9944693999999999</v>
      </c>
      <c r="H599" s="390">
        <f>IFERROR(INDEX('00_TONG_HOP_BAO_GIA'!$G$1:$G$5000, MATCH(B599, '00_TONG_HOP_BAO_GIA'!$B$1:$B$5000, 0)), 1)</f>
        <v/>
      </c>
      <c r="I599" s="395">
        <f>G599*H599</f>
        <v/>
      </c>
      <c r="J599" s="390">
        <f>IFERROR(INDEX('06_BANG_GIA_VAT_TU_AP_DUNG'!$E$1:$E$5000, MATCH(E599, '06_BANG_GIA_VAT_TU_AP_DUNG'!$B$1:$B$5000, 0)), 0)</f>
        <v/>
      </c>
      <c r="K599" s="390">
        <f>I599*J599</f>
        <v/>
      </c>
      <c r="L599" t="inlineStr">
        <is>
          <t>2 cánh cao 170mm</t>
        </is>
      </c>
    </row>
    <row r="600">
      <c r="A600" t="inlineStr">
        <is>
          <t>SW-DAMPER-278-AXLE</t>
        </is>
      </c>
      <c r="B600" t="inlineStr">
        <is>
          <t>SW-DAMPER-278</t>
        </is>
      </c>
      <c r="C600" t="inlineStr">
        <is>
          <t>Trục Sus 201 D10</t>
        </is>
      </c>
      <c r="D600" t="inlineStr">
        <is>
          <t>PHỤ_KIỆN_VAN</t>
        </is>
      </c>
      <c r="E600" t="inlineStr">
        <is>
          <t>MAT-DAMPER-TRUC-SUS-201-D10</t>
        </is>
      </c>
      <c r="F600" t="inlineStr">
        <is>
          <t>m</t>
        </is>
      </c>
      <c r="G600" s="394" t="n">
        <v>0.72</v>
      </c>
      <c r="H600" s="390">
        <f>IFERROR(INDEX('00_TONG_HOP_BAO_GIA'!$G$1:$G$5000, MATCH(B600, '00_TONG_HOP_BAO_GIA'!$B$1:$B$5000, 0)), 1)</f>
        <v/>
      </c>
      <c r="I600" s="395">
        <f>G600*H600</f>
        <v/>
      </c>
      <c r="J600" s="390">
        <f>IFERROR(INDEX('06_BANG_GIA_VAT_TU_AP_DUNG'!$E$1:$E$5000, MATCH(E600, '06_BANG_GIA_VAT_TU_AP_DUNG'!$B$1:$B$5000, 0)), 0)</f>
        <v/>
      </c>
      <c r="K600" s="390">
        <f>I600*J600</f>
        <v/>
      </c>
      <c r="L600" t="inlineStr">
        <is>
          <t>2 trục dài 360mm</t>
        </is>
      </c>
    </row>
    <row r="601">
      <c r="A601" t="inlineStr">
        <is>
          <t>SW-DAMPER-278-BEARING</t>
        </is>
      </c>
      <c r="B601" t="inlineStr">
        <is>
          <t>SW-DAMPER-278</t>
        </is>
      </c>
      <c r="C601" t="inlineStr">
        <is>
          <t>Bạc đồng D10</t>
        </is>
      </c>
      <c r="D601" t="inlineStr">
        <is>
          <t>PHỤ_KIỆN_VAN</t>
        </is>
      </c>
      <c r="E601" t="inlineStr">
        <is>
          <t>MAT-DAMPER-BAC-DONG-D10</t>
        </is>
      </c>
      <c r="F601" t="inlineStr">
        <is>
          <t>Đôi</t>
        </is>
      </c>
      <c r="G601" s="394" t="n">
        <v>2</v>
      </c>
      <c r="H601" s="390">
        <f>IFERROR(INDEX('00_TONG_HOP_BAO_GIA'!$G$1:$G$5000, MATCH(B601, '00_TONG_HOP_BAO_GIA'!$B$1:$B$5000, 0)), 1)</f>
        <v/>
      </c>
      <c r="I601" s="395">
        <f>G601*H601</f>
        <v/>
      </c>
      <c r="J601" s="390">
        <f>IFERROR(INDEX('06_BANG_GIA_VAT_TU_AP_DUNG'!$E$1:$E$5000, MATCH(E601, '06_BANG_GIA_VAT_TU_AP_DUNG'!$B$1:$B$5000, 0)), 0)</f>
        <v/>
      </c>
      <c r="K601" s="390">
        <f>I601*J601</f>
        <v/>
      </c>
      <c r="L601" t="inlineStr">
        <is>
          <t>2 đôi bạc đỡ 2 bên thân</t>
        </is>
      </c>
    </row>
    <row r="602">
      <c r="A602" t="inlineStr">
        <is>
          <t>SW-DAMPER-278-GEAR</t>
        </is>
      </c>
      <c r="B602" t="inlineStr">
        <is>
          <t>SW-DAMPER-278</t>
        </is>
      </c>
      <c r="C602" t="inlineStr">
        <is>
          <t>Bánh răng van nhôm</t>
        </is>
      </c>
      <c r="D602" t="inlineStr">
        <is>
          <t>PHỤ_KIỆN_VAN</t>
        </is>
      </c>
      <c r="E602" t="inlineStr">
        <is>
          <t>MAT-DAMPER-BANH-RANG-VAN-NHOM</t>
        </is>
      </c>
      <c r="F602" t="inlineStr">
        <is>
          <t>Bộ</t>
        </is>
      </c>
      <c r="G602" s="394" t="n">
        <v>1</v>
      </c>
      <c r="H602" s="390">
        <f>IFERROR(INDEX('00_TONG_HOP_BAO_GIA'!$G$1:$G$5000, MATCH(B602, '00_TONG_HOP_BAO_GIA'!$B$1:$B$5000, 0)), 1)</f>
        <v/>
      </c>
      <c r="I602" s="395">
        <f>G602*H602</f>
        <v/>
      </c>
      <c r="J602" s="390">
        <f>IFERROR(INDEX('06_BANG_GIA_VAT_TU_AP_DUNG'!$E$1:$E$5000, MATCH(E602, '06_BANG_GIA_VAT_TU_AP_DUNG'!$B$1:$B$5000, 0)), 0)</f>
        <v/>
      </c>
      <c r="K602" s="390">
        <f>I602*J602</f>
        <v/>
      </c>
      <c r="L602" t="inlineStr">
        <is>
          <t>Cơ cấu liên động bánh răng van</t>
        </is>
      </c>
    </row>
    <row r="603">
      <c r="A603" t="inlineStr">
        <is>
          <t>SW-DAMPER-278-FUSE</t>
        </is>
      </c>
      <c r="B603" t="inlineStr">
        <is>
          <t>SW-DAMPER-278</t>
        </is>
      </c>
      <c r="C603" t="inlineStr">
        <is>
          <t>Cầu chì nhiệt nóng chảy 70°C (Elsie/USA)</t>
        </is>
      </c>
      <c r="D603" t="inlineStr">
        <is>
          <t>PHỤ_KIỆN_VAN</t>
        </is>
      </c>
      <c r="E603" t="inlineStr">
        <is>
          <t>MAT-DAMPER-CAU-CHI-USA-1-400X400</t>
        </is>
      </c>
      <c r="F603" t="inlineStr">
        <is>
          <t>Cái</t>
        </is>
      </c>
      <c r="G603" s="394" t="n">
        <v>1</v>
      </c>
      <c r="H603" s="390">
        <f>IFERROR(INDEX('00_TONG_HOP_BAO_GIA'!$G$1:$G$5000, MATCH(B603, '00_TONG_HOP_BAO_GIA'!$B$1:$B$5000, 0)), 1)</f>
        <v/>
      </c>
      <c r="I603" s="395">
        <f>G603*H603</f>
        <v/>
      </c>
      <c r="J603" s="390">
        <f>IFERROR(INDEX('06_BANG_GIA_VAT_TU_AP_DUNG'!$E$1:$E$5000, MATCH(E603, '06_BANG_GIA_VAT_TU_AP_DUNG'!$B$1:$B$5000, 0)), 0)</f>
        <v/>
      </c>
      <c r="K603" s="390">
        <f>I603*J603</f>
        <v/>
      </c>
      <c r="L603" t="inlineStr">
        <is>
          <t>Cầu chì kiểm định PCCC</t>
        </is>
      </c>
    </row>
    <row r="604">
      <c r="A604" t="inlineStr">
        <is>
          <t>SW-DAMPER-278-FIRE_INSULATION</t>
        </is>
      </c>
      <c r="B604" t="inlineStr">
        <is>
          <t>SW-DAMPER-278</t>
        </is>
      </c>
      <c r="C604" t="inlineStr">
        <is>
          <t>Bọc cách nhiệt chống cháy tấm MGO/Thạch cao (Tiêu chuẩn EI)</t>
        </is>
      </c>
      <c r="D604" t="inlineStr">
        <is>
          <t>VẬT_LIỆU_CÁCH_NHIỆT</t>
        </is>
      </c>
      <c r="E604" t="inlineStr">
        <is>
          <t>MAT-INSULATION-EI-DAMPER</t>
        </is>
      </c>
      <c r="F604" t="inlineStr">
        <is>
          <t>m2</t>
        </is>
      </c>
      <c r="G604" s="394" t="n">
        <v>0.458304</v>
      </c>
      <c r="H604" s="390">
        <f>IFERROR(INDEX('00_TONG_HOP_BAO_GIA'!$G$1:$G$5000, MATCH(B604, '00_TONG_HOP_BAO_GIA'!$B$1:$B$5000, 0)), 1)</f>
        <v/>
      </c>
      <c r="I604" s="395">
        <f>G604*H604</f>
        <v/>
      </c>
      <c r="J604" s="390">
        <f>IFERROR(INDEX('06_BANG_GIA_VAT_TU_AP_DUNG'!$E$1:$E$5000, MATCH(E604, '06_BANG_GIA_VAT_TU_AP_DUNG'!$B$1:$B$5000, 0)), 0)</f>
        <v/>
      </c>
      <c r="K604" s="390">
        <f>I604*J604</f>
        <v/>
      </c>
      <c r="L604" t="inlineStr">
        <is>
          <t>Bọc chống cháy vỏ van (Lưu ý: Giá vật tư đang TẠM TÍNH 300k/m2)</t>
        </is>
      </c>
    </row>
    <row r="605">
      <c r="A605" t="inlineStr">
        <is>
          <t>SW-DAMPER-281-BODY</t>
        </is>
      </c>
      <c r="B605" t="inlineStr">
        <is>
          <t>SW-DAMPER-281</t>
        </is>
      </c>
      <c r="C605" t="inlineStr">
        <is>
          <t>Thân vỏ van FD bích TDF (1.15mm)</t>
        </is>
      </c>
      <c r="D605" t="inlineStr">
        <is>
          <t>TÔN_CUỘN_MẠ_KẼM</t>
        </is>
      </c>
      <c r="E605" t="inlineStr">
        <is>
          <t>MAT-STEEL-PN-1.15</t>
        </is>
      </c>
      <c r="F605" t="inlineStr">
        <is>
          <t>kg</t>
        </is>
      </c>
      <c r="G605" s="394" t="n">
        <v>3.761217599999999</v>
      </c>
      <c r="H605" s="390">
        <f>IFERROR(INDEX('00_TONG_HOP_BAO_GIA'!$G$1:$G$5000, MATCH(B605, '00_TONG_HOP_BAO_GIA'!$B$1:$B$5000, 0)), 1)</f>
        <v/>
      </c>
      <c r="I605" s="395">
        <f>G605*H605</f>
        <v/>
      </c>
      <c r="J605" s="390">
        <f>IFERROR(INDEX('06_BANG_GIA_VAT_TU_AP_DUNG'!$E$1:$E$5000, MATCH(E605, '06_BANG_GIA_VAT_TU_AP_DUNG'!$B$1:$B$5000, 0)), 0)</f>
        <v/>
      </c>
      <c r="K605" s="390">
        <f>I605*J605</f>
        <v/>
      </c>
      <c r="L605" t="inlineStr">
        <is>
          <t>Kích thước vỏ 300x300x250mm</t>
        </is>
      </c>
    </row>
    <row r="606">
      <c r="A606" t="inlineStr">
        <is>
          <t>SW-DAMPER-281-BLADE</t>
        </is>
      </c>
      <c r="B606" t="inlineStr">
        <is>
          <t>SW-DAMPER-281</t>
        </is>
      </c>
      <c r="C606" t="inlineStr">
        <is>
          <t>Lá cánh van (2 cánh overlap)</t>
        </is>
      </c>
      <c r="D606" t="inlineStr">
        <is>
          <t>TÔN_CUỘN_MẠ_KẼM</t>
        </is>
      </c>
      <c r="E606" t="inlineStr">
        <is>
          <t>MAT-STEEL-PN-1.15</t>
        </is>
      </c>
      <c r="F606" t="inlineStr">
        <is>
          <t>kg</t>
        </is>
      </c>
      <c r="G606" s="394" t="n">
        <v>0.9944693999999999</v>
      </c>
      <c r="H606" s="390">
        <f>IFERROR(INDEX('00_TONG_HOP_BAO_GIA'!$G$1:$G$5000, MATCH(B606, '00_TONG_HOP_BAO_GIA'!$B$1:$B$5000, 0)), 1)</f>
        <v/>
      </c>
      <c r="I606" s="395">
        <f>G606*H606</f>
        <v/>
      </c>
      <c r="J606" s="390">
        <f>IFERROR(INDEX('06_BANG_GIA_VAT_TU_AP_DUNG'!$E$1:$E$5000, MATCH(E606, '06_BANG_GIA_VAT_TU_AP_DUNG'!$B$1:$B$5000, 0)), 0)</f>
        <v/>
      </c>
      <c r="K606" s="390">
        <f>I606*J606</f>
        <v/>
      </c>
      <c r="L606" t="inlineStr">
        <is>
          <t>2 cánh cao 170mm</t>
        </is>
      </c>
    </row>
    <row r="607">
      <c r="A607" t="inlineStr">
        <is>
          <t>SW-DAMPER-281-AXLE</t>
        </is>
      </c>
      <c r="B607" t="inlineStr">
        <is>
          <t>SW-DAMPER-281</t>
        </is>
      </c>
      <c r="C607" t="inlineStr">
        <is>
          <t>Trục Sus 201 D10</t>
        </is>
      </c>
      <c r="D607" t="inlineStr">
        <is>
          <t>PHỤ_KIỆN_VAN</t>
        </is>
      </c>
      <c r="E607" t="inlineStr">
        <is>
          <t>MAT-DAMPER-TRUC-SUS-201-D10</t>
        </is>
      </c>
      <c r="F607" t="inlineStr">
        <is>
          <t>m</t>
        </is>
      </c>
      <c r="G607" s="394" t="n">
        <v>0.72</v>
      </c>
      <c r="H607" s="390">
        <f>IFERROR(INDEX('00_TONG_HOP_BAO_GIA'!$G$1:$G$5000, MATCH(B607, '00_TONG_HOP_BAO_GIA'!$B$1:$B$5000, 0)), 1)</f>
        <v/>
      </c>
      <c r="I607" s="395">
        <f>G607*H607</f>
        <v/>
      </c>
      <c r="J607" s="390">
        <f>IFERROR(INDEX('06_BANG_GIA_VAT_TU_AP_DUNG'!$E$1:$E$5000, MATCH(E607, '06_BANG_GIA_VAT_TU_AP_DUNG'!$B$1:$B$5000, 0)), 0)</f>
        <v/>
      </c>
      <c r="K607" s="390">
        <f>I607*J607</f>
        <v/>
      </c>
      <c r="L607" t="inlineStr">
        <is>
          <t>2 trục dài 360mm</t>
        </is>
      </c>
    </row>
    <row r="608">
      <c r="A608" t="inlineStr">
        <is>
          <t>SW-DAMPER-281-BEARING</t>
        </is>
      </c>
      <c r="B608" t="inlineStr">
        <is>
          <t>SW-DAMPER-281</t>
        </is>
      </c>
      <c r="C608" t="inlineStr">
        <is>
          <t>Bạc đồng D10</t>
        </is>
      </c>
      <c r="D608" t="inlineStr">
        <is>
          <t>PHỤ_KIỆN_VAN</t>
        </is>
      </c>
      <c r="E608" t="inlineStr">
        <is>
          <t>MAT-DAMPER-BAC-DONG-D10</t>
        </is>
      </c>
      <c r="F608" t="inlineStr">
        <is>
          <t>Đôi</t>
        </is>
      </c>
      <c r="G608" s="394" t="n">
        <v>2</v>
      </c>
      <c r="H608" s="390">
        <f>IFERROR(INDEX('00_TONG_HOP_BAO_GIA'!$G$1:$G$5000, MATCH(B608, '00_TONG_HOP_BAO_GIA'!$B$1:$B$5000, 0)), 1)</f>
        <v/>
      </c>
      <c r="I608" s="395">
        <f>G608*H608</f>
        <v/>
      </c>
      <c r="J608" s="390">
        <f>IFERROR(INDEX('06_BANG_GIA_VAT_TU_AP_DUNG'!$E$1:$E$5000, MATCH(E608, '06_BANG_GIA_VAT_TU_AP_DUNG'!$B$1:$B$5000, 0)), 0)</f>
        <v/>
      </c>
      <c r="K608" s="390">
        <f>I608*J608</f>
        <v/>
      </c>
      <c r="L608" t="inlineStr">
        <is>
          <t>2 đôi bạc đỡ 2 bên thân</t>
        </is>
      </c>
    </row>
    <row r="609">
      <c r="A609" t="inlineStr">
        <is>
          <t>SW-DAMPER-281-GEAR</t>
        </is>
      </c>
      <c r="B609" t="inlineStr">
        <is>
          <t>SW-DAMPER-281</t>
        </is>
      </c>
      <c r="C609" t="inlineStr">
        <is>
          <t>Bánh răng van nhôm</t>
        </is>
      </c>
      <c r="D609" t="inlineStr">
        <is>
          <t>PHỤ_KIỆN_VAN</t>
        </is>
      </c>
      <c r="E609" t="inlineStr">
        <is>
          <t>MAT-DAMPER-BANH-RANG-VAN-NHOM</t>
        </is>
      </c>
      <c r="F609" t="inlineStr">
        <is>
          <t>Bộ</t>
        </is>
      </c>
      <c r="G609" s="394" t="n">
        <v>1</v>
      </c>
      <c r="H609" s="390">
        <f>IFERROR(INDEX('00_TONG_HOP_BAO_GIA'!$G$1:$G$5000, MATCH(B609, '00_TONG_HOP_BAO_GIA'!$B$1:$B$5000, 0)), 1)</f>
        <v/>
      </c>
      <c r="I609" s="395">
        <f>G609*H609</f>
        <v/>
      </c>
      <c r="J609" s="390">
        <f>IFERROR(INDEX('06_BANG_GIA_VAT_TU_AP_DUNG'!$E$1:$E$5000, MATCH(E609, '06_BANG_GIA_VAT_TU_AP_DUNG'!$B$1:$B$5000, 0)), 0)</f>
        <v/>
      </c>
      <c r="K609" s="390">
        <f>I609*J609</f>
        <v/>
      </c>
      <c r="L609" t="inlineStr">
        <is>
          <t>Cơ cấu liên động bánh răng van</t>
        </is>
      </c>
    </row>
    <row r="610">
      <c r="A610" t="inlineStr">
        <is>
          <t>SW-DAMPER-281-FUSE</t>
        </is>
      </c>
      <c r="B610" t="inlineStr">
        <is>
          <t>SW-DAMPER-281</t>
        </is>
      </c>
      <c r="C610" t="inlineStr">
        <is>
          <t>Cầu chì nhiệt nóng chảy 70°C (Elsie/USA)</t>
        </is>
      </c>
      <c r="D610" t="inlineStr">
        <is>
          <t>PHỤ_KIỆN_VAN</t>
        </is>
      </c>
      <c r="E610" t="inlineStr">
        <is>
          <t>MAT-DAMPER-CAU-CHI-USA-1-400X400</t>
        </is>
      </c>
      <c r="F610" t="inlineStr">
        <is>
          <t>Cái</t>
        </is>
      </c>
      <c r="G610" s="394" t="n">
        <v>1</v>
      </c>
      <c r="H610" s="390">
        <f>IFERROR(INDEX('00_TONG_HOP_BAO_GIA'!$G$1:$G$5000, MATCH(B610, '00_TONG_HOP_BAO_GIA'!$B$1:$B$5000, 0)), 1)</f>
        <v/>
      </c>
      <c r="I610" s="395">
        <f>G610*H610</f>
        <v/>
      </c>
      <c r="J610" s="390">
        <f>IFERROR(INDEX('06_BANG_GIA_VAT_TU_AP_DUNG'!$E$1:$E$5000, MATCH(E610, '06_BANG_GIA_VAT_TU_AP_DUNG'!$B$1:$B$5000, 0)), 0)</f>
        <v/>
      </c>
      <c r="K610" s="390">
        <f>I610*J610</f>
        <v/>
      </c>
      <c r="L610" t="inlineStr">
        <is>
          <t>Cầu chì kiểm định PCCC</t>
        </is>
      </c>
    </row>
    <row r="611">
      <c r="A611" t="inlineStr">
        <is>
          <t>SW-DAMPER-281-FIRE_INSULATION</t>
        </is>
      </c>
      <c r="B611" t="inlineStr">
        <is>
          <t>SW-DAMPER-281</t>
        </is>
      </c>
      <c r="C611" t="inlineStr">
        <is>
          <t>Bọc cách nhiệt chống cháy tấm MGO/Thạch cao (Tiêu chuẩn EI)</t>
        </is>
      </c>
      <c r="D611" t="inlineStr">
        <is>
          <t>VẬT_LIỆU_CÁCH_NHIỆT</t>
        </is>
      </c>
      <c r="E611" t="inlineStr">
        <is>
          <t>MAT-INSULATION-EI-DAMPER</t>
        </is>
      </c>
      <c r="F611" t="inlineStr">
        <is>
          <t>m2</t>
        </is>
      </c>
      <c r="G611" s="394" t="n">
        <v>0.458304</v>
      </c>
      <c r="H611" s="390">
        <f>IFERROR(INDEX('00_TONG_HOP_BAO_GIA'!$G$1:$G$5000, MATCH(B611, '00_TONG_HOP_BAO_GIA'!$B$1:$B$5000, 0)), 1)</f>
        <v/>
      </c>
      <c r="I611" s="395">
        <f>G611*H611</f>
        <v/>
      </c>
      <c r="J611" s="390">
        <f>IFERROR(INDEX('06_BANG_GIA_VAT_TU_AP_DUNG'!$E$1:$E$5000, MATCH(E611, '06_BANG_GIA_VAT_TU_AP_DUNG'!$B$1:$B$5000, 0)), 0)</f>
        <v/>
      </c>
      <c r="K611" s="390">
        <f>I611*J611</f>
        <v/>
      </c>
      <c r="L611" t="inlineStr">
        <is>
          <t>Bọc chống cháy vỏ van (Lưu ý: Giá vật tư đang TẠM TÍNH 300k/m2)</t>
        </is>
      </c>
    </row>
    <row r="612">
      <c r="A612" t="inlineStr">
        <is>
          <t>SW-DAMPER-282-BODY</t>
        </is>
      </c>
      <c r="B612" t="inlineStr">
        <is>
          <t>SW-DAMPER-282</t>
        </is>
      </c>
      <c r="C612" t="inlineStr">
        <is>
          <t>Thân vỏ van FD bích TDF (1.15mm)</t>
        </is>
      </c>
      <c r="D612" t="inlineStr">
        <is>
          <t>TÔN_CUỘN_MẠ_KẼM</t>
        </is>
      </c>
      <c r="E612" t="inlineStr">
        <is>
          <t>MAT-STEEL-PN-1.15</t>
        </is>
      </c>
      <c r="F612" t="inlineStr">
        <is>
          <t>kg</t>
        </is>
      </c>
      <c r="G612" s="394" t="n">
        <v>3.761217599999999</v>
      </c>
      <c r="H612" s="390">
        <f>IFERROR(INDEX('00_TONG_HOP_BAO_GIA'!$G$1:$G$5000, MATCH(B612, '00_TONG_HOP_BAO_GIA'!$B$1:$B$5000, 0)), 1)</f>
        <v/>
      </c>
      <c r="I612" s="395">
        <f>G612*H612</f>
        <v/>
      </c>
      <c r="J612" s="390">
        <f>IFERROR(INDEX('06_BANG_GIA_VAT_TU_AP_DUNG'!$E$1:$E$5000, MATCH(E612, '06_BANG_GIA_VAT_TU_AP_DUNG'!$B$1:$B$5000, 0)), 0)</f>
        <v/>
      </c>
      <c r="K612" s="390">
        <f>I612*J612</f>
        <v/>
      </c>
      <c r="L612" t="inlineStr">
        <is>
          <t>Kích thước vỏ 300x300x250mm</t>
        </is>
      </c>
    </row>
    <row r="613">
      <c r="A613" t="inlineStr">
        <is>
          <t>SW-DAMPER-282-BLADE</t>
        </is>
      </c>
      <c r="B613" t="inlineStr">
        <is>
          <t>SW-DAMPER-282</t>
        </is>
      </c>
      <c r="C613" t="inlineStr">
        <is>
          <t>Lá cánh van (2 cánh overlap)</t>
        </is>
      </c>
      <c r="D613" t="inlineStr">
        <is>
          <t>TÔN_CUỘN_MẠ_KẼM</t>
        </is>
      </c>
      <c r="E613" t="inlineStr">
        <is>
          <t>MAT-STEEL-PN-1.15</t>
        </is>
      </c>
      <c r="F613" t="inlineStr">
        <is>
          <t>kg</t>
        </is>
      </c>
      <c r="G613" s="394" t="n">
        <v>0.9944693999999999</v>
      </c>
      <c r="H613" s="390">
        <f>IFERROR(INDEX('00_TONG_HOP_BAO_GIA'!$G$1:$G$5000, MATCH(B613, '00_TONG_HOP_BAO_GIA'!$B$1:$B$5000, 0)), 1)</f>
        <v/>
      </c>
      <c r="I613" s="395">
        <f>G613*H613</f>
        <v/>
      </c>
      <c r="J613" s="390">
        <f>IFERROR(INDEX('06_BANG_GIA_VAT_TU_AP_DUNG'!$E$1:$E$5000, MATCH(E613, '06_BANG_GIA_VAT_TU_AP_DUNG'!$B$1:$B$5000, 0)), 0)</f>
        <v/>
      </c>
      <c r="K613" s="390">
        <f>I613*J613</f>
        <v/>
      </c>
      <c r="L613" t="inlineStr">
        <is>
          <t>2 cánh cao 170mm</t>
        </is>
      </c>
    </row>
    <row r="614">
      <c r="A614" t="inlineStr">
        <is>
          <t>SW-DAMPER-282-AXLE</t>
        </is>
      </c>
      <c r="B614" t="inlineStr">
        <is>
          <t>SW-DAMPER-282</t>
        </is>
      </c>
      <c r="C614" t="inlineStr">
        <is>
          <t>Trục Sus 201 D10</t>
        </is>
      </c>
      <c r="D614" t="inlineStr">
        <is>
          <t>PHỤ_KIỆN_VAN</t>
        </is>
      </c>
      <c r="E614" t="inlineStr">
        <is>
          <t>MAT-DAMPER-TRUC-SUS-201-D10</t>
        </is>
      </c>
      <c r="F614" t="inlineStr">
        <is>
          <t>m</t>
        </is>
      </c>
      <c r="G614" s="394" t="n">
        <v>0.72</v>
      </c>
      <c r="H614" s="390">
        <f>IFERROR(INDEX('00_TONG_HOP_BAO_GIA'!$G$1:$G$5000, MATCH(B614, '00_TONG_HOP_BAO_GIA'!$B$1:$B$5000, 0)), 1)</f>
        <v/>
      </c>
      <c r="I614" s="395">
        <f>G614*H614</f>
        <v/>
      </c>
      <c r="J614" s="390">
        <f>IFERROR(INDEX('06_BANG_GIA_VAT_TU_AP_DUNG'!$E$1:$E$5000, MATCH(E614, '06_BANG_GIA_VAT_TU_AP_DUNG'!$B$1:$B$5000, 0)), 0)</f>
        <v/>
      </c>
      <c r="K614" s="390">
        <f>I614*J614</f>
        <v/>
      </c>
      <c r="L614" t="inlineStr">
        <is>
          <t>2 trục dài 360mm</t>
        </is>
      </c>
    </row>
    <row r="615">
      <c r="A615" t="inlineStr">
        <is>
          <t>SW-DAMPER-282-BEARING</t>
        </is>
      </c>
      <c r="B615" t="inlineStr">
        <is>
          <t>SW-DAMPER-282</t>
        </is>
      </c>
      <c r="C615" t="inlineStr">
        <is>
          <t>Bạc đồng D10</t>
        </is>
      </c>
      <c r="D615" t="inlineStr">
        <is>
          <t>PHỤ_KIỆN_VAN</t>
        </is>
      </c>
      <c r="E615" t="inlineStr">
        <is>
          <t>MAT-DAMPER-BAC-DONG-D10</t>
        </is>
      </c>
      <c r="F615" t="inlineStr">
        <is>
          <t>Đôi</t>
        </is>
      </c>
      <c r="G615" s="394" t="n">
        <v>2</v>
      </c>
      <c r="H615" s="390">
        <f>IFERROR(INDEX('00_TONG_HOP_BAO_GIA'!$G$1:$G$5000, MATCH(B615, '00_TONG_HOP_BAO_GIA'!$B$1:$B$5000, 0)), 1)</f>
        <v/>
      </c>
      <c r="I615" s="395">
        <f>G615*H615</f>
        <v/>
      </c>
      <c r="J615" s="390">
        <f>IFERROR(INDEX('06_BANG_GIA_VAT_TU_AP_DUNG'!$E$1:$E$5000, MATCH(E615, '06_BANG_GIA_VAT_TU_AP_DUNG'!$B$1:$B$5000, 0)), 0)</f>
        <v/>
      </c>
      <c r="K615" s="390">
        <f>I615*J615</f>
        <v/>
      </c>
      <c r="L615" t="inlineStr">
        <is>
          <t>2 đôi bạc đỡ 2 bên thân</t>
        </is>
      </c>
    </row>
    <row r="616">
      <c r="A616" t="inlineStr">
        <is>
          <t>SW-DAMPER-282-GEAR</t>
        </is>
      </c>
      <c r="B616" t="inlineStr">
        <is>
          <t>SW-DAMPER-282</t>
        </is>
      </c>
      <c r="C616" t="inlineStr">
        <is>
          <t>Bánh răng van nhôm</t>
        </is>
      </c>
      <c r="D616" t="inlineStr">
        <is>
          <t>PHỤ_KIỆN_VAN</t>
        </is>
      </c>
      <c r="E616" t="inlineStr">
        <is>
          <t>MAT-DAMPER-BANH-RANG-VAN-NHOM</t>
        </is>
      </c>
      <c r="F616" t="inlineStr">
        <is>
          <t>Bộ</t>
        </is>
      </c>
      <c r="G616" s="394" t="n">
        <v>1</v>
      </c>
      <c r="H616" s="390">
        <f>IFERROR(INDEX('00_TONG_HOP_BAO_GIA'!$G$1:$G$5000, MATCH(B616, '00_TONG_HOP_BAO_GIA'!$B$1:$B$5000, 0)), 1)</f>
        <v/>
      </c>
      <c r="I616" s="395">
        <f>G616*H616</f>
        <v/>
      </c>
      <c r="J616" s="390">
        <f>IFERROR(INDEX('06_BANG_GIA_VAT_TU_AP_DUNG'!$E$1:$E$5000, MATCH(E616, '06_BANG_GIA_VAT_TU_AP_DUNG'!$B$1:$B$5000, 0)), 0)</f>
        <v/>
      </c>
      <c r="K616" s="390">
        <f>I616*J616</f>
        <v/>
      </c>
      <c r="L616" t="inlineStr">
        <is>
          <t>Cơ cấu liên động bánh răng van</t>
        </is>
      </c>
    </row>
    <row r="617">
      <c r="A617" t="inlineStr">
        <is>
          <t>SW-DAMPER-282-FUSE</t>
        </is>
      </c>
      <c r="B617" t="inlineStr">
        <is>
          <t>SW-DAMPER-282</t>
        </is>
      </c>
      <c r="C617" t="inlineStr">
        <is>
          <t>Cầu chì nhiệt nóng chảy 70°C (Elsie/USA)</t>
        </is>
      </c>
      <c r="D617" t="inlineStr">
        <is>
          <t>PHỤ_KIỆN_VAN</t>
        </is>
      </c>
      <c r="E617" t="inlineStr">
        <is>
          <t>MAT-DAMPER-CAU-CHI-USA-1-400X400</t>
        </is>
      </c>
      <c r="F617" t="inlineStr">
        <is>
          <t>Cái</t>
        </is>
      </c>
      <c r="G617" s="394" t="n">
        <v>1</v>
      </c>
      <c r="H617" s="390">
        <f>IFERROR(INDEX('00_TONG_HOP_BAO_GIA'!$G$1:$G$5000, MATCH(B617, '00_TONG_HOP_BAO_GIA'!$B$1:$B$5000, 0)), 1)</f>
        <v/>
      </c>
      <c r="I617" s="395">
        <f>G617*H617</f>
        <v/>
      </c>
      <c r="J617" s="390">
        <f>IFERROR(INDEX('06_BANG_GIA_VAT_TU_AP_DUNG'!$E$1:$E$5000, MATCH(E617, '06_BANG_GIA_VAT_TU_AP_DUNG'!$B$1:$B$5000, 0)), 0)</f>
        <v/>
      </c>
      <c r="K617" s="390">
        <f>I617*J617</f>
        <v/>
      </c>
      <c r="L617" t="inlineStr">
        <is>
          <t>Cầu chì kiểm định PCCC</t>
        </is>
      </c>
    </row>
    <row r="618">
      <c r="A618" t="inlineStr">
        <is>
          <t>SW-DAMPER-282-FIRE_INSULATION</t>
        </is>
      </c>
      <c r="B618" t="inlineStr">
        <is>
          <t>SW-DAMPER-282</t>
        </is>
      </c>
      <c r="C618" t="inlineStr">
        <is>
          <t>Bọc cách nhiệt chống cháy tấm MGO/Thạch cao (Tiêu chuẩn EI)</t>
        </is>
      </c>
      <c r="D618" t="inlineStr">
        <is>
          <t>VẬT_LIỆU_CÁCH_NHIỆT</t>
        </is>
      </c>
      <c r="E618" t="inlineStr">
        <is>
          <t>MAT-INSULATION-EI-DAMPER</t>
        </is>
      </c>
      <c r="F618" t="inlineStr">
        <is>
          <t>m2</t>
        </is>
      </c>
      <c r="G618" s="394" t="n">
        <v>0.458304</v>
      </c>
      <c r="H618" s="390">
        <f>IFERROR(INDEX('00_TONG_HOP_BAO_GIA'!$G$1:$G$5000, MATCH(B618, '00_TONG_HOP_BAO_GIA'!$B$1:$B$5000, 0)), 1)</f>
        <v/>
      </c>
      <c r="I618" s="395">
        <f>G618*H618</f>
        <v/>
      </c>
      <c r="J618" s="390">
        <f>IFERROR(INDEX('06_BANG_GIA_VAT_TU_AP_DUNG'!$E$1:$E$5000, MATCH(E618, '06_BANG_GIA_VAT_TU_AP_DUNG'!$B$1:$B$5000, 0)), 0)</f>
        <v/>
      </c>
      <c r="K618" s="390">
        <f>I618*J618</f>
        <v/>
      </c>
      <c r="L618" t="inlineStr">
        <is>
          <t>Bọc chống cháy vỏ van (Lưu ý: Giá vật tư đang TẠM TÍNH 300k/m2)</t>
        </is>
      </c>
    </row>
    <row r="619">
      <c r="A619" t="inlineStr">
        <is>
          <t>SW-DAMPER-283-BODY</t>
        </is>
      </c>
      <c r="B619" t="inlineStr">
        <is>
          <t>SW-DAMPER-283</t>
        </is>
      </c>
      <c r="C619" t="inlineStr">
        <is>
          <t>Thân vỏ van FD bích TDF (1.15mm)</t>
        </is>
      </c>
      <c r="D619" t="inlineStr">
        <is>
          <t>TÔN_CUỘN_MẠ_KẼM</t>
        </is>
      </c>
      <c r="E619" t="inlineStr">
        <is>
          <t>MAT-STEEL-PN-1.15</t>
        </is>
      </c>
      <c r="F619" t="inlineStr">
        <is>
          <t>kg</t>
        </is>
      </c>
      <c r="G619" s="394" t="n">
        <v>3.761217599999999</v>
      </c>
      <c r="H619" s="390">
        <f>IFERROR(INDEX('00_TONG_HOP_BAO_GIA'!$G$1:$G$5000, MATCH(B619, '00_TONG_HOP_BAO_GIA'!$B$1:$B$5000, 0)), 1)</f>
        <v/>
      </c>
      <c r="I619" s="395">
        <f>G619*H619</f>
        <v/>
      </c>
      <c r="J619" s="390">
        <f>IFERROR(INDEX('06_BANG_GIA_VAT_TU_AP_DUNG'!$E$1:$E$5000, MATCH(E619, '06_BANG_GIA_VAT_TU_AP_DUNG'!$B$1:$B$5000, 0)), 0)</f>
        <v/>
      </c>
      <c r="K619" s="390">
        <f>I619*J619</f>
        <v/>
      </c>
      <c r="L619" t="inlineStr">
        <is>
          <t>Kích thước vỏ 300x300x250mm</t>
        </is>
      </c>
    </row>
    <row r="620">
      <c r="A620" t="inlineStr">
        <is>
          <t>SW-DAMPER-283-BLADE</t>
        </is>
      </c>
      <c r="B620" t="inlineStr">
        <is>
          <t>SW-DAMPER-283</t>
        </is>
      </c>
      <c r="C620" t="inlineStr">
        <is>
          <t>Lá cánh van (2 cánh overlap)</t>
        </is>
      </c>
      <c r="D620" t="inlineStr">
        <is>
          <t>TÔN_CUỘN_MẠ_KẼM</t>
        </is>
      </c>
      <c r="E620" t="inlineStr">
        <is>
          <t>MAT-STEEL-PN-1.15</t>
        </is>
      </c>
      <c r="F620" t="inlineStr">
        <is>
          <t>kg</t>
        </is>
      </c>
      <c r="G620" s="394" t="n">
        <v>0.9944693999999999</v>
      </c>
      <c r="H620" s="390">
        <f>IFERROR(INDEX('00_TONG_HOP_BAO_GIA'!$G$1:$G$5000, MATCH(B620, '00_TONG_HOP_BAO_GIA'!$B$1:$B$5000, 0)), 1)</f>
        <v/>
      </c>
      <c r="I620" s="395">
        <f>G620*H620</f>
        <v/>
      </c>
      <c r="J620" s="390">
        <f>IFERROR(INDEX('06_BANG_GIA_VAT_TU_AP_DUNG'!$E$1:$E$5000, MATCH(E620, '06_BANG_GIA_VAT_TU_AP_DUNG'!$B$1:$B$5000, 0)), 0)</f>
        <v/>
      </c>
      <c r="K620" s="390">
        <f>I620*J620</f>
        <v/>
      </c>
      <c r="L620" t="inlineStr">
        <is>
          <t>2 cánh cao 170mm</t>
        </is>
      </c>
    </row>
    <row r="621">
      <c r="A621" t="inlineStr">
        <is>
          <t>SW-DAMPER-283-AXLE</t>
        </is>
      </c>
      <c r="B621" t="inlineStr">
        <is>
          <t>SW-DAMPER-283</t>
        </is>
      </c>
      <c r="C621" t="inlineStr">
        <is>
          <t>Trục Sus 201 D10</t>
        </is>
      </c>
      <c r="D621" t="inlineStr">
        <is>
          <t>PHỤ_KIỆN_VAN</t>
        </is>
      </c>
      <c r="E621" t="inlineStr">
        <is>
          <t>MAT-DAMPER-TRUC-SUS-201-D10</t>
        </is>
      </c>
      <c r="F621" t="inlineStr">
        <is>
          <t>m</t>
        </is>
      </c>
      <c r="G621" s="394" t="n">
        <v>0.72</v>
      </c>
      <c r="H621" s="390">
        <f>IFERROR(INDEX('00_TONG_HOP_BAO_GIA'!$G$1:$G$5000, MATCH(B621, '00_TONG_HOP_BAO_GIA'!$B$1:$B$5000, 0)), 1)</f>
        <v/>
      </c>
      <c r="I621" s="395">
        <f>G621*H621</f>
        <v/>
      </c>
      <c r="J621" s="390">
        <f>IFERROR(INDEX('06_BANG_GIA_VAT_TU_AP_DUNG'!$E$1:$E$5000, MATCH(E621, '06_BANG_GIA_VAT_TU_AP_DUNG'!$B$1:$B$5000, 0)), 0)</f>
        <v/>
      </c>
      <c r="K621" s="390">
        <f>I621*J621</f>
        <v/>
      </c>
      <c r="L621" t="inlineStr">
        <is>
          <t>2 trục dài 360mm</t>
        </is>
      </c>
    </row>
    <row r="622">
      <c r="A622" t="inlineStr">
        <is>
          <t>SW-DAMPER-283-BEARING</t>
        </is>
      </c>
      <c r="B622" t="inlineStr">
        <is>
          <t>SW-DAMPER-283</t>
        </is>
      </c>
      <c r="C622" t="inlineStr">
        <is>
          <t>Bạc đồng D10</t>
        </is>
      </c>
      <c r="D622" t="inlineStr">
        <is>
          <t>PHỤ_KIỆN_VAN</t>
        </is>
      </c>
      <c r="E622" t="inlineStr">
        <is>
          <t>MAT-DAMPER-BAC-DONG-D10</t>
        </is>
      </c>
      <c r="F622" t="inlineStr">
        <is>
          <t>Đôi</t>
        </is>
      </c>
      <c r="G622" s="394" t="n">
        <v>2</v>
      </c>
      <c r="H622" s="390">
        <f>IFERROR(INDEX('00_TONG_HOP_BAO_GIA'!$G$1:$G$5000, MATCH(B622, '00_TONG_HOP_BAO_GIA'!$B$1:$B$5000, 0)), 1)</f>
        <v/>
      </c>
      <c r="I622" s="395">
        <f>G622*H622</f>
        <v/>
      </c>
      <c r="J622" s="390">
        <f>IFERROR(INDEX('06_BANG_GIA_VAT_TU_AP_DUNG'!$E$1:$E$5000, MATCH(E622, '06_BANG_GIA_VAT_TU_AP_DUNG'!$B$1:$B$5000, 0)), 0)</f>
        <v/>
      </c>
      <c r="K622" s="390">
        <f>I622*J622</f>
        <v/>
      </c>
      <c r="L622" t="inlineStr">
        <is>
          <t>2 đôi bạc đỡ 2 bên thân</t>
        </is>
      </c>
    </row>
    <row r="623">
      <c r="A623" t="inlineStr">
        <is>
          <t>SW-DAMPER-283-GEAR</t>
        </is>
      </c>
      <c r="B623" t="inlineStr">
        <is>
          <t>SW-DAMPER-283</t>
        </is>
      </c>
      <c r="C623" t="inlineStr">
        <is>
          <t>Bánh răng van nhôm</t>
        </is>
      </c>
      <c r="D623" t="inlineStr">
        <is>
          <t>PHỤ_KIỆN_VAN</t>
        </is>
      </c>
      <c r="E623" t="inlineStr">
        <is>
          <t>MAT-DAMPER-BANH-RANG-VAN-NHOM</t>
        </is>
      </c>
      <c r="F623" t="inlineStr">
        <is>
          <t>Bộ</t>
        </is>
      </c>
      <c r="G623" s="394" t="n">
        <v>1</v>
      </c>
      <c r="H623" s="390">
        <f>IFERROR(INDEX('00_TONG_HOP_BAO_GIA'!$G$1:$G$5000, MATCH(B623, '00_TONG_HOP_BAO_GIA'!$B$1:$B$5000, 0)), 1)</f>
        <v/>
      </c>
      <c r="I623" s="395">
        <f>G623*H623</f>
        <v/>
      </c>
      <c r="J623" s="390">
        <f>IFERROR(INDEX('06_BANG_GIA_VAT_TU_AP_DUNG'!$E$1:$E$5000, MATCH(E623, '06_BANG_GIA_VAT_TU_AP_DUNG'!$B$1:$B$5000, 0)), 0)</f>
        <v/>
      </c>
      <c r="K623" s="390">
        <f>I623*J623</f>
        <v/>
      </c>
      <c r="L623" t="inlineStr">
        <is>
          <t>Cơ cấu liên động bánh răng van</t>
        </is>
      </c>
    </row>
    <row r="624">
      <c r="A624" t="inlineStr">
        <is>
          <t>SW-DAMPER-283-FUSE</t>
        </is>
      </c>
      <c r="B624" t="inlineStr">
        <is>
          <t>SW-DAMPER-283</t>
        </is>
      </c>
      <c r="C624" t="inlineStr">
        <is>
          <t>Cầu chì nhiệt nóng chảy 70°C (Elsie/USA)</t>
        </is>
      </c>
      <c r="D624" t="inlineStr">
        <is>
          <t>PHỤ_KIỆN_VAN</t>
        </is>
      </c>
      <c r="E624" t="inlineStr">
        <is>
          <t>MAT-DAMPER-CAU-CHI-USA-1-400X400</t>
        </is>
      </c>
      <c r="F624" t="inlineStr">
        <is>
          <t>Cái</t>
        </is>
      </c>
      <c r="G624" s="394" t="n">
        <v>1</v>
      </c>
      <c r="H624" s="390">
        <f>IFERROR(INDEX('00_TONG_HOP_BAO_GIA'!$G$1:$G$5000, MATCH(B624, '00_TONG_HOP_BAO_GIA'!$B$1:$B$5000, 0)), 1)</f>
        <v/>
      </c>
      <c r="I624" s="395">
        <f>G624*H624</f>
        <v/>
      </c>
      <c r="J624" s="390">
        <f>IFERROR(INDEX('06_BANG_GIA_VAT_TU_AP_DUNG'!$E$1:$E$5000, MATCH(E624, '06_BANG_GIA_VAT_TU_AP_DUNG'!$B$1:$B$5000, 0)), 0)</f>
        <v/>
      </c>
      <c r="K624" s="390">
        <f>I624*J624</f>
        <v/>
      </c>
      <c r="L624" t="inlineStr">
        <is>
          <t>Cầu chì kiểm định PCCC</t>
        </is>
      </c>
    </row>
    <row r="625">
      <c r="A625" t="inlineStr">
        <is>
          <t>SW-DAMPER-283-FIRE_INSULATION</t>
        </is>
      </c>
      <c r="B625" t="inlineStr">
        <is>
          <t>SW-DAMPER-283</t>
        </is>
      </c>
      <c r="C625" t="inlineStr">
        <is>
          <t>Bọc cách nhiệt chống cháy tấm MGO/Thạch cao (Tiêu chuẩn EI)</t>
        </is>
      </c>
      <c r="D625" t="inlineStr">
        <is>
          <t>VẬT_LIỆU_CÁCH_NHIỆT</t>
        </is>
      </c>
      <c r="E625" t="inlineStr">
        <is>
          <t>MAT-INSULATION-EI-DAMPER</t>
        </is>
      </c>
      <c r="F625" t="inlineStr">
        <is>
          <t>m2</t>
        </is>
      </c>
      <c r="G625" s="394" t="n">
        <v>0.458304</v>
      </c>
      <c r="H625" s="390">
        <f>IFERROR(INDEX('00_TONG_HOP_BAO_GIA'!$G$1:$G$5000, MATCH(B625, '00_TONG_HOP_BAO_GIA'!$B$1:$B$5000, 0)), 1)</f>
        <v/>
      </c>
      <c r="I625" s="395">
        <f>G625*H625</f>
        <v/>
      </c>
      <c r="J625" s="390">
        <f>IFERROR(INDEX('06_BANG_GIA_VAT_TU_AP_DUNG'!$E$1:$E$5000, MATCH(E625, '06_BANG_GIA_VAT_TU_AP_DUNG'!$B$1:$B$5000, 0)), 0)</f>
        <v/>
      </c>
      <c r="K625" s="390">
        <f>I625*J625</f>
        <v/>
      </c>
      <c r="L625" t="inlineStr">
        <is>
          <t>Bọc chống cháy vỏ van (Lưu ý: Giá vật tư đang TẠM TÍNH 300k/m2)</t>
        </is>
      </c>
    </row>
    <row r="626">
      <c r="A626" t="inlineStr">
        <is>
          <t>SW-DAMPER-284-BODY</t>
        </is>
      </c>
      <c r="B626" t="inlineStr">
        <is>
          <t>SW-DAMPER-284</t>
        </is>
      </c>
      <c r="C626" t="inlineStr">
        <is>
          <t>Thân vỏ van FD bích TDF (1.15mm)</t>
        </is>
      </c>
      <c r="D626" t="inlineStr">
        <is>
          <t>TÔN_CUỘN_MẠ_KẼM</t>
        </is>
      </c>
      <c r="E626" t="inlineStr">
        <is>
          <t>MAT-STEEL-PN-1.15</t>
        </is>
      </c>
      <c r="F626" t="inlineStr">
        <is>
          <t>kg</t>
        </is>
      </c>
      <c r="G626" s="394" t="n">
        <v>3.761217599999999</v>
      </c>
      <c r="H626" s="390">
        <f>IFERROR(INDEX('00_TONG_HOP_BAO_GIA'!$G$1:$G$5000, MATCH(B626, '00_TONG_HOP_BAO_GIA'!$B$1:$B$5000, 0)), 1)</f>
        <v/>
      </c>
      <c r="I626" s="395">
        <f>G626*H626</f>
        <v/>
      </c>
      <c r="J626" s="390">
        <f>IFERROR(INDEX('06_BANG_GIA_VAT_TU_AP_DUNG'!$E$1:$E$5000, MATCH(E626, '06_BANG_GIA_VAT_TU_AP_DUNG'!$B$1:$B$5000, 0)), 0)</f>
        <v/>
      </c>
      <c r="K626" s="390">
        <f>I626*J626</f>
        <v/>
      </c>
      <c r="L626" t="inlineStr">
        <is>
          <t>Kích thước vỏ 300x300x250mm</t>
        </is>
      </c>
    </row>
    <row r="627">
      <c r="A627" t="inlineStr">
        <is>
          <t>SW-DAMPER-284-BLADE</t>
        </is>
      </c>
      <c r="B627" t="inlineStr">
        <is>
          <t>SW-DAMPER-284</t>
        </is>
      </c>
      <c r="C627" t="inlineStr">
        <is>
          <t>Lá cánh van (2 cánh overlap)</t>
        </is>
      </c>
      <c r="D627" t="inlineStr">
        <is>
          <t>TÔN_CUỘN_MẠ_KẼM</t>
        </is>
      </c>
      <c r="E627" t="inlineStr">
        <is>
          <t>MAT-STEEL-PN-1.15</t>
        </is>
      </c>
      <c r="F627" t="inlineStr">
        <is>
          <t>kg</t>
        </is>
      </c>
      <c r="G627" s="394" t="n">
        <v>0.9944693999999999</v>
      </c>
      <c r="H627" s="390">
        <f>IFERROR(INDEX('00_TONG_HOP_BAO_GIA'!$G$1:$G$5000, MATCH(B627, '00_TONG_HOP_BAO_GIA'!$B$1:$B$5000, 0)), 1)</f>
        <v/>
      </c>
      <c r="I627" s="395">
        <f>G627*H627</f>
        <v/>
      </c>
      <c r="J627" s="390">
        <f>IFERROR(INDEX('06_BANG_GIA_VAT_TU_AP_DUNG'!$E$1:$E$5000, MATCH(E627, '06_BANG_GIA_VAT_TU_AP_DUNG'!$B$1:$B$5000, 0)), 0)</f>
        <v/>
      </c>
      <c r="K627" s="390">
        <f>I627*J627</f>
        <v/>
      </c>
      <c r="L627" t="inlineStr">
        <is>
          <t>2 cánh cao 170mm</t>
        </is>
      </c>
    </row>
    <row r="628">
      <c r="A628" t="inlineStr">
        <is>
          <t>SW-DAMPER-284-AXLE</t>
        </is>
      </c>
      <c r="B628" t="inlineStr">
        <is>
          <t>SW-DAMPER-284</t>
        </is>
      </c>
      <c r="C628" t="inlineStr">
        <is>
          <t>Trục Sus 201 D10</t>
        </is>
      </c>
      <c r="D628" t="inlineStr">
        <is>
          <t>PHỤ_KIỆN_VAN</t>
        </is>
      </c>
      <c r="E628" t="inlineStr">
        <is>
          <t>MAT-DAMPER-TRUC-SUS-201-D10</t>
        </is>
      </c>
      <c r="F628" t="inlineStr">
        <is>
          <t>m</t>
        </is>
      </c>
      <c r="G628" s="394" t="n">
        <v>0.72</v>
      </c>
      <c r="H628" s="390">
        <f>IFERROR(INDEX('00_TONG_HOP_BAO_GIA'!$G$1:$G$5000, MATCH(B628, '00_TONG_HOP_BAO_GIA'!$B$1:$B$5000, 0)), 1)</f>
        <v/>
      </c>
      <c r="I628" s="395">
        <f>G628*H628</f>
        <v/>
      </c>
      <c r="J628" s="390">
        <f>IFERROR(INDEX('06_BANG_GIA_VAT_TU_AP_DUNG'!$E$1:$E$5000, MATCH(E628, '06_BANG_GIA_VAT_TU_AP_DUNG'!$B$1:$B$5000, 0)), 0)</f>
        <v/>
      </c>
      <c r="K628" s="390">
        <f>I628*J628</f>
        <v/>
      </c>
      <c r="L628" t="inlineStr">
        <is>
          <t>2 trục dài 360mm</t>
        </is>
      </c>
    </row>
    <row r="629">
      <c r="A629" t="inlineStr">
        <is>
          <t>SW-DAMPER-284-BEARING</t>
        </is>
      </c>
      <c r="B629" t="inlineStr">
        <is>
          <t>SW-DAMPER-284</t>
        </is>
      </c>
      <c r="C629" t="inlineStr">
        <is>
          <t>Bạc đồng D10</t>
        </is>
      </c>
      <c r="D629" t="inlineStr">
        <is>
          <t>PHỤ_KIỆN_VAN</t>
        </is>
      </c>
      <c r="E629" t="inlineStr">
        <is>
          <t>MAT-DAMPER-BAC-DONG-D10</t>
        </is>
      </c>
      <c r="F629" t="inlineStr">
        <is>
          <t>Đôi</t>
        </is>
      </c>
      <c r="G629" s="394" t="n">
        <v>2</v>
      </c>
      <c r="H629" s="390">
        <f>IFERROR(INDEX('00_TONG_HOP_BAO_GIA'!$G$1:$G$5000, MATCH(B629, '00_TONG_HOP_BAO_GIA'!$B$1:$B$5000, 0)), 1)</f>
        <v/>
      </c>
      <c r="I629" s="395">
        <f>G629*H629</f>
        <v/>
      </c>
      <c r="J629" s="390">
        <f>IFERROR(INDEX('06_BANG_GIA_VAT_TU_AP_DUNG'!$E$1:$E$5000, MATCH(E629, '06_BANG_GIA_VAT_TU_AP_DUNG'!$B$1:$B$5000, 0)), 0)</f>
        <v/>
      </c>
      <c r="K629" s="390">
        <f>I629*J629</f>
        <v/>
      </c>
      <c r="L629" t="inlineStr">
        <is>
          <t>2 đôi bạc đỡ 2 bên thân</t>
        </is>
      </c>
    </row>
    <row r="630">
      <c r="A630" t="inlineStr">
        <is>
          <t>SW-DAMPER-284-GEAR</t>
        </is>
      </c>
      <c r="B630" t="inlineStr">
        <is>
          <t>SW-DAMPER-284</t>
        </is>
      </c>
      <c r="C630" t="inlineStr">
        <is>
          <t>Bánh răng van nhôm</t>
        </is>
      </c>
      <c r="D630" t="inlineStr">
        <is>
          <t>PHỤ_KIỆN_VAN</t>
        </is>
      </c>
      <c r="E630" t="inlineStr">
        <is>
          <t>MAT-DAMPER-BANH-RANG-VAN-NHOM</t>
        </is>
      </c>
      <c r="F630" t="inlineStr">
        <is>
          <t>Bộ</t>
        </is>
      </c>
      <c r="G630" s="394" t="n">
        <v>1</v>
      </c>
      <c r="H630" s="390">
        <f>IFERROR(INDEX('00_TONG_HOP_BAO_GIA'!$G$1:$G$5000, MATCH(B630, '00_TONG_HOP_BAO_GIA'!$B$1:$B$5000, 0)), 1)</f>
        <v/>
      </c>
      <c r="I630" s="395">
        <f>G630*H630</f>
        <v/>
      </c>
      <c r="J630" s="390">
        <f>IFERROR(INDEX('06_BANG_GIA_VAT_TU_AP_DUNG'!$E$1:$E$5000, MATCH(E630, '06_BANG_GIA_VAT_TU_AP_DUNG'!$B$1:$B$5000, 0)), 0)</f>
        <v/>
      </c>
      <c r="K630" s="390">
        <f>I630*J630</f>
        <v/>
      </c>
      <c r="L630" t="inlineStr">
        <is>
          <t>Cơ cấu liên động bánh răng van</t>
        </is>
      </c>
    </row>
    <row r="631">
      <c r="A631" t="inlineStr">
        <is>
          <t>SW-DAMPER-284-FUSE</t>
        </is>
      </c>
      <c r="B631" t="inlineStr">
        <is>
          <t>SW-DAMPER-284</t>
        </is>
      </c>
      <c r="C631" t="inlineStr">
        <is>
          <t>Cầu chì nhiệt nóng chảy 70°C (Elsie/USA)</t>
        </is>
      </c>
      <c r="D631" t="inlineStr">
        <is>
          <t>PHỤ_KIỆN_VAN</t>
        </is>
      </c>
      <c r="E631" t="inlineStr">
        <is>
          <t>MAT-DAMPER-CAU-CHI-USA-1-400X400</t>
        </is>
      </c>
      <c r="F631" t="inlineStr">
        <is>
          <t>Cái</t>
        </is>
      </c>
      <c r="G631" s="394" t="n">
        <v>1</v>
      </c>
      <c r="H631" s="390">
        <f>IFERROR(INDEX('00_TONG_HOP_BAO_GIA'!$G$1:$G$5000, MATCH(B631, '00_TONG_HOP_BAO_GIA'!$B$1:$B$5000, 0)), 1)</f>
        <v/>
      </c>
      <c r="I631" s="395">
        <f>G631*H631</f>
        <v/>
      </c>
      <c r="J631" s="390">
        <f>IFERROR(INDEX('06_BANG_GIA_VAT_TU_AP_DUNG'!$E$1:$E$5000, MATCH(E631, '06_BANG_GIA_VAT_TU_AP_DUNG'!$B$1:$B$5000, 0)), 0)</f>
        <v/>
      </c>
      <c r="K631" s="390">
        <f>I631*J631</f>
        <v/>
      </c>
      <c r="L631" t="inlineStr">
        <is>
          <t>Cầu chì kiểm định PCCC</t>
        </is>
      </c>
    </row>
    <row r="632">
      <c r="A632" t="inlineStr">
        <is>
          <t>SW-DAMPER-284-FIRE_INSULATION</t>
        </is>
      </c>
      <c r="B632" t="inlineStr">
        <is>
          <t>SW-DAMPER-284</t>
        </is>
      </c>
      <c r="C632" t="inlineStr">
        <is>
          <t>Bọc cách nhiệt chống cháy tấm MGO/Thạch cao (Tiêu chuẩn EI)</t>
        </is>
      </c>
      <c r="D632" t="inlineStr">
        <is>
          <t>VẬT_LIỆU_CÁCH_NHIỆT</t>
        </is>
      </c>
      <c r="E632" t="inlineStr">
        <is>
          <t>MAT-INSULATION-EI-DAMPER</t>
        </is>
      </c>
      <c r="F632" t="inlineStr">
        <is>
          <t>m2</t>
        </is>
      </c>
      <c r="G632" s="394" t="n">
        <v>0.458304</v>
      </c>
      <c r="H632" s="390">
        <f>IFERROR(INDEX('00_TONG_HOP_BAO_GIA'!$G$1:$G$5000, MATCH(B632, '00_TONG_HOP_BAO_GIA'!$B$1:$B$5000, 0)), 1)</f>
        <v/>
      </c>
      <c r="I632" s="395">
        <f>G632*H632</f>
        <v/>
      </c>
      <c r="J632" s="390">
        <f>IFERROR(INDEX('06_BANG_GIA_VAT_TU_AP_DUNG'!$E$1:$E$5000, MATCH(E632, '06_BANG_GIA_VAT_TU_AP_DUNG'!$B$1:$B$5000, 0)), 0)</f>
        <v/>
      </c>
      <c r="K632" s="390">
        <f>I632*J632</f>
        <v/>
      </c>
      <c r="L632" t="inlineStr">
        <is>
          <t>Bọc chống cháy vỏ van (Lưu ý: Giá vật tư đang TẠM TÍNH 300k/m2)</t>
        </is>
      </c>
    </row>
    <row r="633">
      <c r="A633" t="inlineStr">
        <is>
          <t>SW-DAMPER-303-BODY</t>
        </is>
      </c>
      <c r="B633" t="inlineStr">
        <is>
          <t>SW-DAMPER-303</t>
        </is>
      </c>
      <c r="C633" t="inlineStr">
        <is>
          <t>Thân vỏ van FD bích TDF (1.15mm)</t>
        </is>
      </c>
      <c r="D633" t="inlineStr">
        <is>
          <t>TÔN_CUỘN_MẠ_KẼM</t>
        </is>
      </c>
      <c r="E633" t="inlineStr">
        <is>
          <t>MAT-STEEL-PN-1.15</t>
        </is>
      </c>
      <c r="F633" t="inlineStr">
        <is>
          <t>kg</t>
        </is>
      </c>
      <c r="G633" s="394" t="n">
        <v>1.9412736</v>
      </c>
      <c r="H633" s="390">
        <f>IFERROR(INDEX('00_TONG_HOP_BAO_GIA'!$G$1:$G$5000, MATCH(B633, '00_TONG_HOP_BAO_GIA'!$B$1:$B$5000, 0)), 1)</f>
        <v/>
      </c>
      <c r="I633" s="395">
        <f>G633*H633</f>
        <v/>
      </c>
      <c r="J633" s="390">
        <f>IFERROR(INDEX('06_BANG_GIA_VAT_TU_AP_DUNG'!$E$1:$E$5000, MATCH(E633, '06_BANG_GIA_VAT_TU_AP_DUNG'!$B$1:$B$5000, 0)), 0)</f>
        <v/>
      </c>
      <c r="K633" s="390">
        <f>I633*J633</f>
        <v/>
      </c>
      <c r="L633" t="inlineStr">
        <is>
          <t>Kích thước vỏ 150.0x150.0x250mm</t>
        </is>
      </c>
    </row>
    <row r="634">
      <c r="A634" t="inlineStr">
        <is>
          <t>SW-DAMPER-303-BLADE</t>
        </is>
      </c>
      <c r="B634" t="inlineStr">
        <is>
          <t>SW-DAMPER-303</t>
        </is>
      </c>
      <c r="C634" t="inlineStr">
        <is>
          <t>Lá cánh van (1 cánh overlap)</t>
        </is>
      </c>
      <c r="D634" t="inlineStr">
        <is>
          <t>TÔN_CUỘN_MẠ_KẼM</t>
        </is>
      </c>
      <c r="E634" t="inlineStr">
        <is>
          <t>MAT-STEEL-PN-1.15</t>
        </is>
      </c>
      <c r="F634" t="inlineStr">
        <is>
          <t>kg</t>
        </is>
      </c>
      <c r="G634" s="394" t="n">
        <v>0.24861735</v>
      </c>
      <c r="H634" s="390">
        <f>IFERROR(INDEX('00_TONG_HOP_BAO_GIA'!$G$1:$G$5000, MATCH(B634, '00_TONG_HOP_BAO_GIA'!$B$1:$B$5000, 0)), 1)</f>
        <v/>
      </c>
      <c r="I634" s="395">
        <f>G634*H634</f>
        <v/>
      </c>
      <c r="J634" s="390">
        <f>IFERROR(INDEX('06_BANG_GIA_VAT_TU_AP_DUNG'!$E$1:$E$5000, MATCH(E634, '06_BANG_GIA_VAT_TU_AP_DUNG'!$B$1:$B$5000, 0)), 0)</f>
        <v/>
      </c>
      <c r="K634" s="390">
        <f>I634*J634</f>
        <v/>
      </c>
      <c r="L634" t="inlineStr">
        <is>
          <t>1 cánh cao 170mm</t>
        </is>
      </c>
    </row>
    <row r="635">
      <c r="A635" t="inlineStr">
        <is>
          <t>SW-DAMPER-303-AXLE</t>
        </is>
      </c>
      <c r="B635" t="inlineStr">
        <is>
          <t>SW-DAMPER-303</t>
        </is>
      </c>
      <c r="C635" t="inlineStr">
        <is>
          <t>Trục Sus 201 D10</t>
        </is>
      </c>
      <c r="D635" t="inlineStr">
        <is>
          <t>PHỤ_KIỆN_VAN</t>
        </is>
      </c>
      <c r="E635" t="inlineStr">
        <is>
          <t>MAT-DAMPER-TRUC-SUS-201-D10</t>
        </is>
      </c>
      <c r="F635" t="inlineStr">
        <is>
          <t>m</t>
        </is>
      </c>
      <c r="G635" s="394" t="n">
        <v>0.21</v>
      </c>
      <c r="H635" s="390">
        <f>IFERROR(INDEX('00_TONG_HOP_BAO_GIA'!$G$1:$G$5000, MATCH(B635, '00_TONG_HOP_BAO_GIA'!$B$1:$B$5000, 0)), 1)</f>
        <v/>
      </c>
      <c r="I635" s="395">
        <f>G635*H635</f>
        <v/>
      </c>
      <c r="J635" s="390">
        <f>IFERROR(INDEX('06_BANG_GIA_VAT_TU_AP_DUNG'!$E$1:$E$5000, MATCH(E635, '06_BANG_GIA_VAT_TU_AP_DUNG'!$B$1:$B$5000, 0)), 0)</f>
        <v/>
      </c>
      <c r="K635" s="390">
        <f>I635*J635</f>
        <v/>
      </c>
      <c r="L635" t="inlineStr">
        <is>
          <t>1 trục dài 210mm</t>
        </is>
      </c>
    </row>
    <row r="636">
      <c r="A636" t="inlineStr">
        <is>
          <t>SW-DAMPER-303-BEARING</t>
        </is>
      </c>
      <c r="B636" t="inlineStr">
        <is>
          <t>SW-DAMPER-303</t>
        </is>
      </c>
      <c r="C636" t="inlineStr">
        <is>
          <t>Bạc đồng D10</t>
        </is>
      </c>
      <c r="D636" t="inlineStr">
        <is>
          <t>PHỤ_KIỆN_VAN</t>
        </is>
      </c>
      <c r="E636" t="inlineStr">
        <is>
          <t>MAT-DAMPER-BAC-DONG-D10</t>
        </is>
      </c>
      <c r="F636" t="inlineStr">
        <is>
          <t>Đôi</t>
        </is>
      </c>
      <c r="G636" s="394" t="n">
        <v>1</v>
      </c>
      <c r="H636" s="390">
        <f>IFERROR(INDEX('00_TONG_HOP_BAO_GIA'!$G$1:$G$5000, MATCH(B636, '00_TONG_HOP_BAO_GIA'!$B$1:$B$5000, 0)), 1)</f>
        <v/>
      </c>
      <c r="I636" s="395">
        <f>G636*H636</f>
        <v/>
      </c>
      <c r="J636" s="390">
        <f>IFERROR(INDEX('06_BANG_GIA_VAT_TU_AP_DUNG'!$E$1:$E$5000, MATCH(E636, '06_BANG_GIA_VAT_TU_AP_DUNG'!$B$1:$B$5000, 0)), 0)</f>
        <v/>
      </c>
      <c r="K636" s="390">
        <f>I636*J636</f>
        <v/>
      </c>
      <c r="L636" t="inlineStr">
        <is>
          <t>1 đôi bạc đỡ 2 bên thân</t>
        </is>
      </c>
    </row>
    <row r="637">
      <c r="A637" t="inlineStr">
        <is>
          <t>SW-DAMPER-303-FUSE</t>
        </is>
      </c>
      <c r="B637" t="inlineStr">
        <is>
          <t>SW-DAMPER-303</t>
        </is>
      </c>
      <c r="C637" t="inlineStr">
        <is>
          <t>Cầu chì nhiệt nóng chảy 70°C (Elsie/USA)</t>
        </is>
      </c>
      <c r="D637" t="inlineStr">
        <is>
          <t>PHỤ_KIỆN_VAN</t>
        </is>
      </c>
      <c r="E637" t="inlineStr">
        <is>
          <t>MAT-DAMPER-CAU-CHI-USA-1-400X400</t>
        </is>
      </c>
      <c r="F637" t="inlineStr">
        <is>
          <t>Cái</t>
        </is>
      </c>
      <c r="G637" s="394" t="n">
        <v>1</v>
      </c>
      <c r="H637" s="390">
        <f>IFERROR(INDEX('00_TONG_HOP_BAO_GIA'!$G$1:$G$5000, MATCH(B637, '00_TONG_HOP_BAO_GIA'!$B$1:$B$5000, 0)), 1)</f>
        <v/>
      </c>
      <c r="I637" s="395">
        <f>G637*H637</f>
        <v/>
      </c>
      <c r="J637" s="390">
        <f>IFERROR(INDEX('06_BANG_GIA_VAT_TU_AP_DUNG'!$E$1:$E$5000, MATCH(E637, '06_BANG_GIA_VAT_TU_AP_DUNG'!$B$1:$B$5000, 0)), 0)</f>
        <v/>
      </c>
      <c r="K637" s="390">
        <f>I637*J637</f>
        <v/>
      </c>
      <c r="L637" t="inlineStr">
        <is>
          <t>Cầu chì kiểm định PCCC</t>
        </is>
      </c>
    </row>
    <row r="638">
      <c r="A638" t="inlineStr">
        <is>
          <t>SW-DAMPER-303-FIRE_INSULATION</t>
        </is>
      </c>
      <c r="B638" t="inlineStr">
        <is>
          <t>SW-DAMPER-303</t>
        </is>
      </c>
      <c r="C638" t="inlineStr">
        <is>
          <t>Bọc cách nhiệt chống cháy tấm MGO/Thạch cao (Tiêu chuẩn EI)</t>
        </is>
      </c>
      <c r="D638" t="inlineStr">
        <is>
          <t>VẬT_LIỆU_CÁCH_NHIỆT</t>
        </is>
      </c>
      <c r="E638" t="inlineStr">
        <is>
          <t>MAT-INSULATION-EI-DAMPER</t>
        </is>
      </c>
      <c r="F638" t="inlineStr">
        <is>
          <t>m2</t>
        </is>
      </c>
      <c r="G638" s="394" t="n">
        <v>0.236544</v>
      </c>
      <c r="H638" s="390">
        <f>IFERROR(INDEX('00_TONG_HOP_BAO_GIA'!$G$1:$G$5000, MATCH(B638, '00_TONG_HOP_BAO_GIA'!$B$1:$B$5000, 0)), 1)</f>
        <v/>
      </c>
      <c r="I638" s="395">
        <f>G638*H638</f>
        <v/>
      </c>
      <c r="J638" s="390">
        <f>IFERROR(INDEX('06_BANG_GIA_VAT_TU_AP_DUNG'!$E$1:$E$5000, MATCH(E638, '06_BANG_GIA_VAT_TU_AP_DUNG'!$B$1:$B$5000, 0)), 0)</f>
        <v/>
      </c>
      <c r="K638" s="390">
        <f>I638*J638</f>
        <v/>
      </c>
      <c r="L638" t="inlineStr">
        <is>
          <t>Bọc chống cháy vỏ van (Lưu ý: Giá vật tư đang TẠM TÍNH 300k/m2)</t>
        </is>
      </c>
    </row>
    <row r="639">
      <c r="A639" t="inlineStr">
        <is>
          <t>SW-DAMPER-304-BODY</t>
        </is>
      </c>
      <c r="B639" t="inlineStr">
        <is>
          <t>SW-DAMPER-304</t>
        </is>
      </c>
      <c r="C639" t="inlineStr">
        <is>
          <t>Thân vỏ van FD bích TDF (1.15mm)</t>
        </is>
      </c>
      <c r="D639" t="inlineStr">
        <is>
          <t>TÔN_CUỘN_MẠ_KẼM</t>
        </is>
      </c>
      <c r="E639" t="inlineStr">
        <is>
          <t>MAT-STEEL-PN-1.15</t>
        </is>
      </c>
      <c r="F639" t="inlineStr">
        <is>
          <t>kg</t>
        </is>
      </c>
      <c r="G639" s="394" t="n">
        <v>3.457893599999999</v>
      </c>
      <c r="H639" s="390">
        <f>IFERROR(INDEX('00_TONG_HOP_BAO_GIA'!$G$1:$G$5000, MATCH(B639, '00_TONG_HOP_BAO_GIA'!$B$1:$B$5000, 0)), 1)</f>
        <v/>
      </c>
      <c r="I639" s="395">
        <f>G639*H639</f>
        <v/>
      </c>
      <c r="J639" s="390">
        <f>IFERROR(INDEX('06_BANG_GIA_VAT_TU_AP_DUNG'!$E$1:$E$5000, MATCH(E639, '06_BANG_GIA_VAT_TU_AP_DUNG'!$B$1:$B$5000, 0)), 0)</f>
        <v/>
      </c>
      <c r="K639" s="390">
        <f>I639*J639</f>
        <v/>
      </c>
      <c r="L639" t="inlineStr">
        <is>
          <t>Kích thước vỏ 400.0x150.0x250mm</t>
        </is>
      </c>
    </row>
    <row r="640">
      <c r="A640" t="inlineStr">
        <is>
          <t>SW-DAMPER-304-BLADE</t>
        </is>
      </c>
      <c r="B640" t="inlineStr">
        <is>
          <t>SW-DAMPER-304</t>
        </is>
      </c>
      <c r="C640" t="inlineStr">
        <is>
          <t>Lá cánh van (1 cánh overlap)</t>
        </is>
      </c>
      <c r="D640" t="inlineStr">
        <is>
          <t>TÔN_CUỘN_MẠ_KẼM</t>
        </is>
      </c>
      <c r="E640" t="inlineStr">
        <is>
          <t>MAT-STEEL-PN-1.15</t>
        </is>
      </c>
      <c r="F640" t="inlineStr">
        <is>
          <t>kg</t>
        </is>
      </c>
      <c r="G640" s="394" t="n">
        <v>0.6629795999999999</v>
      </c>
      <c r="H640" s="390">
        <f>IFERROR(INDEX('00_TONG_HOP_BAO_GIA'!$G$1:$G$5000, MATCH(B640, '00_TONG_HOP_BAO_GIA'!$B$1:$B$5000, 0)), 1)</f>
        <v/>
      </c>
      <c r="I640" s="395">
        <f>G640*H640</f>
        <v/>
      </c>
      <c r="J640" s="390">
        <f>IFERROR(INDEX('06_BANG_GIA_VAT_TU_AP_DUNG'!$E$1:$E$5000, MATCH(E640, '06_BANG_GIA_VAT_TU_AP_DUNG'!$B$1:$B$5000, 0)), 0)</f>
        <v/>
      </c>
      <c r="K640" s="390">
        <f>I640*J640</f>
        <v/>
      </c>
      <c r="L640" t="inlineStr">
        <is>
          <t>1 cánh cao 170mm</t>
        </is>
      </c>
    </row>
    <row r="641">
      <c r="A641" t="inlineStr">
        <is>
          <t>SW-DAMPER-304-AXLE</t>
        </is>
      </c>
      <c r="B641" t="inlineStr">
        <is>
          <t>SW-DAMPER-304</t>
        </is>
      </c>
      <c r="C641" t="inlineStr">
        <is>
          <t>Trục Sus 201 D10</t>
        </is>
      </c>
      <c r="D641" t="inlineStr">
        <is>
          <t>PHỤ_KIỆN_VAN</t>
        </is>
      </c>
      <c r="E641" t="inlineStr">
        <is>
          <t>MAT-DAMPER-TRUC-SUS-201-D10</t>
        </is>
      </c>
      <c r="F641" t="inlineStr">
        <is>
          <t>m</t>
        </is>
      </c>
      <c r="G641" s="394" t="n">
        <v>0.46</v>
      </c>
      <c r="H641" s="390">
        <f>IFERROR(INDEX('00_TONG_HOP_BAO_GIA'!$G$1:$G$5000, MATCH(B641, '00_TONG_HOP_BAO_GIA'!$B$1:$B$5000, 0)), 1)</f>
        <v/>
      </c>
      <c r="I641" s="395">
        <f>G641*H641</f>
        <v/>
      </c>
      <c r="J641" s="390">
        <f>IFERROR(INDEX('06_BANG_GIA_VAT_TU_AP_DUNG'!$E$1:$E$5000, MATCH(E641, '06_BANG_GIA_VAT_TU_AP_DUNG'!$B$1:$B$5000, 0)), 0)</f>
        <v/>
      </c>
      <c r="K641" s="390">
        <f>I641*J641</f>
        <v/>
      </c>
      <c r="L641" t="inlineStr">
        <is>
          <t>1 trục dài 460mm</t>
        </is>
      </c>
    </row>
    <row r="642">
      <c r="A642" t="inlineStr">
        <is>
          <t>SW-DAMPER-304-BEARING</t>
        </is>
      </c>
      <c r="B642" t="inlineStr">
        <is>
          <t>SW-DAMPER-304</t>
        </is>
      </c>
      <c r="C642" t="inlineStr">
        <is>
          <t>Bạc đồng D10</t>
        </is>
      </c>
      <c r="D642" t="inlineStr">
        <is>
          <t>PHỤ_KIỆN_VAN</t>
        </is>
      </c>
      <c r="E642" t="inlineStr">
        <is>
          <t>MAT-DAMPER-BAC-DONG-D10</t>
        </is>
      </c>
      <c r="F642" t="inlineStr">
        <is>
          <t>Đôi</t>
        </is>
      </c>
      <c r="G642" s="394" t="n">
        <v>1</v>
      </c>
      <c r="H642" s="390">
        <f>IFERROR(INDEX('00_TONG_HOP_BAO_GIA'!$G$1:$G$5000, MATCH(B642, '00_TONG_HOP_BAO_GIA'!$B$1:$B$5000, 0)), 1)</f>
        <v/>
      </c>
      <c r="I642" s="395">
        <f>G642*H642</f>
        <v/>
      </c>
      <c r="J642" s="390">
        <f>IFERROR(INDEX('06_BANG_GIA_VAT_TU_AP_DUNG'!$E$1:$E$5000, MATCH(E642, '06_BANG_GIA_VAT_TU_AP_DUNG'!$B$1:$B$5000, 0)), 0)</f>
        <v/>
      </c>
      <c r="K642" s="390">
        <f>I642*J642</f>
        <v/>
      </c>
      <c r="L642" t="inlineStr">
        <is>
          <t>1 đôi bạc đỡ 2 bên thân</t>
        </is>
      </c>
    </row>
    <row r="643">
      <c r="A643" t="inlineStr">
        <is>
          <t>SW-DAMPER-304-FUSE</t>
        </is>
      </c>
      <c r="B643" t="inlineStr">
        <is>
          <t>SW-DAMPER-304</t>
        </is>
      </c>
      <c r="C643" t="inlineStr">
        <is>
          <t>Cầu chì nhiệt nóng chảy 70°C (Elsie/USA)</t>
        </is>
      </c>
      <c r="D643" t="inlineStr">
        <is>
          <t>PHỤ_KIỆN_VAN</t>
        </is>
      </c>
      <c r="E643" t="inlineStr">
        <is>
          <t>MAT-DAMPER-CAU-CHI-USA-2-400X400</t>
        </is>
      </c>
      <c r="F643" t="inlineStr">
        <is>
          <t>Cái</t>
        </is>
      </c>
      <c r="G643" s="394" t="n">
        <v>1</v>
      </c>
      <c r="H643" s="390">
        <f>IFERROR(INDEX('00_TONG_HOP_BAO_GIA'!$G$1:$G$5000, MATCH(B643, '00_TONG_HOP_BAO_GIA'!$B$1:$B$5000, 0)), 1)</f>
        <v/>
      </c>
      <c r="I643" s="395">
        <f>G643*H643</f>
        <v/>
      </c>
      <c r="J643" s="390">
        <f>IFERROR(INDEX('06_BANG_GIA_VAT_TU_AP_DUNG'!$E$1:$E$5000, MATCH(E643, '06_BANG_GIA_VAT_TU_AP_DUNG'!$B$1:$B$5000, 0)), 0)</f>
        <v/>
      </c>
      <c r="K643" s="390">
        <f>I643*J643</f>
        <v/>
      </c>
      <c r="L643" t="inlineStr">
        <is>
          <t>Cầu chì kiểm định PCCC</t>
        </is>
      </c>
    </row>
    <row r="644">
      <c r="A644" t="inlineStr">
        <is>
          <t>SW-DAMPER-304-FIRE_INSULATION</t>
        </is>
      </c>
      <c r="B644" t="inlineStr">
        <is>
          <t>SW-DAMPER-304</t>
        </is>
      </c>
      <c r="C644" t="inlineStr">
        <is>
          <t>Bọc cách nhiệt chống cháy tấm MGO/Thạch cao (Tiêu chuẩn EI)</t>
        </is>
      </c>
      <c r="D644" t="inlineStr">
        <is>
          <t>VẬT_LIỆU_CÁCH_NHIỆT</t>
        </is>
      </c>
      <c r="E644" t="inlineStr">
        <is>
          <t>MAT-INSULATION-EI-DAMPER</t>
        </is>
      </c>
      <c r="F644" t="inlineStr">
        <is>
          <t>m2</t>
        </is>
      </c>
      <c r="G644" s="394" t="n">
        <v>0.4213440000000001</v>
      </c>
      <c r="H644" s="390">
        <f>IFERROR(INDEX('00_TONG_HOP_BAO_GIA'!$G$1:$G$5000, MATCH(B644, '00_TONG_HOP_BAO_GIA'!$B$1:$B$5000, 0)), 1)</f>
        <v/>
      </c>
      <c r="I644" s="395">
        <f>G644*H644</f>
        <v/>
      </c>
      <c r="J644" s="390">
        <f>IFERROR(INDEX('06_BANG_GIA_VAT_TU_AP_DUNG'!$E$1:$E$5000, MATCH(E644, '06_BANG_GIA_VAT_TU_AP_DUNG'!$B$1:$B$5000, 0)), 0)</f>
        <v/>
      </c>
      <c r="K644" s="390">
        <f>I644*J644</f>
        <v/>
      </c>
      <c r="L644" t="inlineStr">
        <is>
          <t>Bọc chống cháy vỏ van (Lưu ý: Giá vật tư đang TẠM TÍNH 300k/m2)</t>
        </is>
      </c>
    </row>
    <row r="645">
      <c r="A645" t="inlineStr">
        <is>
          <t>SW-DAMPER-305-BODY</t>
        </is>
      </c>
      <c r="B645" t="inlineStr">
        <is>
          <t>SW-DAMPER-305</t>
        </is>
      </c>
      <c r="C645" t="inlineStr">
        <is>
          <t>Thân vỏ van FD bích TDF (1.15mm)</t>
        </is>
      </c>
      <c r="D645" t="inlineStr">
        <is>
          <t>TÔN_CUỘN_MẠ_KẼM</t>
        </is>
      </c>
      <c r="E645" t="inlineStr">
        <is>
          <t>MAT-STEEL-PN-1.15</t>
        </is>
      </c>
      <c r="F645" t="inlineStr">
        <is>
          <t>kg</t>
        </is>
      </c>
      <c r="G645" s="394" t="n">
        <v>3.761217599999999</v>
      </c>
      <c r="H645" s="390">
        <f>IFERROR(INDEX('00_TONG_HOP_BAO_GIA'!$G$1:$G$5000, MATCH(B645, '00_TONG_HOP_BAO_GIA'!$B$1:$B$5000, 0)), 1)</f>
        <v/>
      </c>
      <c r="I645" s="395">
        <f>G645*H645</f>
        <v/>
      </c>
      <c r="J645" s="390">
        <f>IFERROR(INDEX('06_BANG_GIA_VAT_TU_AP_DUNG'!$E$1:$E$5000, MATCH(E645, '06_BANG_GIA_VAT_TU_AP_DUNG'!$B$1:$B$5000, 0)), 0)</f>
        <v/>
      </c>
      <c r="K645" s="390">
        <f>I645*J645</f>
        <v/>
      </c>
      <c r="L645" t="inlineStr">
        <is>
          <t>Kích thước vỏ 400.0x200.0x250mm</t>
        </is>
      </c>
    </row>
    <row r="646">
      <c r="A646" t="inlineStr">
        <is>
          <t>SW-DAMPER-305-BLADE</t>
        </is>
      </c>
      <c r="B646" t="inlineStr">
        <is>
          <t>SW-DAMPER-305</t>
        </is>
      </c>
      <c r="C646" t="inlineStr">
        <is>
          <t>Lá cánh van (2 cánh overlap)</t>
        </is>
      </c>
      <c r="D646" t="inlineStr">
        <is>
          <t>TÔN_CUỘN_MẠ_KẼM</t>
        </is>
      </c>
      <c r="E646" t="inlineStr">
        <is>
          <t>MAT-STEEL-PN-1.15</t>
        </is>
      </c>
      <c r="F646" t="inlineStr">
        <is>
          <t>kg</t>
        </is>
      </c>
      <c r="G646" s="394" t="n">
        <v>0.9359711999999999</v>
      </c>
      <c r="H646" s="390">
        <f>IFERROR(INDEX('00_TONG_HOP_BAO_GIA'!$G$1:$G$5000, MATCH(B646, '00_TONG_HOP_BAO_GIA'!$B$1:$B$5000, 0)), 1)</f>
        <v/>
      </c>
      <c r="I646" s="395">
        <f>G646*H646</f>
        <v/>
      </c>
      <c r="J646" s="390">
        <f>IFERROR(INDEX('06_BANG_GIA_VAT_TU_AP_DUNG'!$E$1:$E$5000, MATCH(E646, '06_BANG_GIA_VAT_TU_AP_DUNG'!$B$1:$B$5000, 0)), 0)</f>
        <v/>
      </c>
      <c r="K646" s="390">
        <f>I646*J646</f>
        <v/>
      </c>
      <c r="L646" t="inlineStr">
        <is>
          <t>2 cánh cao 120mm</t>
        </is>
      </c>
    </row>
    <row r="647">
      <c r="A647" t="inlineStr">
        <is>
          <t>SW-DAMPER-305-AXLE</t>
        </is>
      </c>
      <c r="B647" t="inlineStr">
        <is>
          <t>SW-DAMPER-305</t>
        </is>
      </c>
      <c r="C647" t="inlineStr">
        <is>
          <t>Trục Sus 201 D10</t>
        </is>
      </c>
      <c r="D647" t="inlineStr">
        <is>
          <t>PHỤ_KIỆN_VAN</t>
        </is>
      </c>
      <c r="E647" t="inlineStr">
        <is>
          <t>MAT-DAMPER-TRUC-SUS-201-D10</t>
        </is>
      </c>
      <c r="F647" t="inlineStr">
        <is>
          <t>m</t>
        </is>
      </c>
      <c r="G647" s="394" t="n">
        <v>0.92</v>
      </c>
      <c r="H647" s="390">
        <f>IFERROR(INDEX('00_TONG_HOP_BAO_GIA'!$G$1:$G$5000, MATCH(B647, '00_TONG_HOP_BAO_GIA'!$B$1:$B$5000, 0)), 1)</f>
        <v/>
      </c>
      <c r="I647" s="395">
        <f>G647*H647</f>
        <v/>
      </c>
      <c r="J647" s="390">
        <f>IFERROR(INDEX('06_BANG_GIA_VAT_TU_AP_DUNG'!$E$1:$E$5000, MATCH(E647, '06_BANG_GIA_VAT_TU_AP_DUNG'!$B$1:$B$5000, 0)), 0)</f>
        <v/>
      </c>
      <c r="K647" s="390">
        <f>I647*J647</f>
        <v/>
      </c>
      <c r="L647" t="inlineStr">
        <is>
          <t>2 trục dài 460mm</t>
        </is>
      </c>
    </row>
    <row r="648">
      <c r="A648" t="inlineStr">
        <is>
          <t>SW-DAMPER-305-BEARING</t>
        </is>
      </c>
      <c r="B648" t="inlineStr">
        <is>
          <t>SW-DAMPER-305</t>
        </is>
      </c>
      <c r="C648" t="inlineStr">
        <is>
          <t>Bạc đồng D10</t>
        </is>
      </c>
      <c r="D648" t="inlineStr">
        <is>
          <t>PHỤ_KIỆN_VAN</t>
        </is>
      </c>
      <c r="E648" t="inlineStr">
        <is>
          <t>MAT-DAMPER-BAC-DONG-D10</t>
        </is>
      </c>
      <c r="F648" t="inlineStr">
        <is>
          <t>Đôi</t>
        </is>
      </c>
      <c r="G648" s="394" t="n">
        <v>2</v>
      </c>
      <c r="H648" s="390">
        <f>IFERROR(INDEX('00_TONG_HOP_BAO_GIA'!$G$1:$G$5000, MATCH(B648, '00_TONG_HOP_BAO_GIA'!$B$1:$B$5000, 0)), 1)</f>
        <v/>
      </c>
      <c r="I648" s="395">
        <f>G648*H648</f>
        <v/>
      </c>
      <c r="J648" s="390">
        <f>IFERROR(INDEX('06_BANG_GIA_VAT_TU_AP_DUNG'!$E$1:$E$5000, MATCH(E648, '06_BANG_GIA_VAT_TU_AP_DUNG'!$B$1:$B$5000, 0)), 0)</f>
        <v/>
      </c>
      <c r="K648" s="390">
        <f>I648*J648</f>
        <v/>
      </c>
      <c r="L648" t="inlineStr">
        <is>
          <t>2 đôi bạc đỡ 2 bên thân</t>
        </is>
      </c>
    </row>
    <row r="649">
      <c r="A649" t="inlineStr">
        <is>
          <t>SW-DAMPER-305-GEAR</t>
        </is>
      </c>
      <c r="B649" t="inlineStr">
        <is>
          <t>SW-DAMPER-305</t>
        </is>
      </c>
      <c r="C649" t="inlineStr">
        <is>
          <t>Bánh răng van nhôm</t>
        </is>
      </c>
      <c r="D649" t="inlineStr">
        <is>
          <t>PHỤ_KIỆN_VAN</t>
        </is>
      </c>
      <c r="E649" t="inlineStr">
        <is>
          <t>MAT-DAMPER-BANH-RANG-VAN-NHOM</t>
        </is>
      </c>
      <c r="F649" t="inlineStr">
        <is>
          <t>Bộ</t>
        </is>
      </c>
      <c r="G649" s="394" t="n">
        <v>1</v>
      </c>
      <c r="H649" s="390">
        <f>IFERROR(INDEX('00_TONG_HOP_BAO_GIA'!$G$1:$G$5000, MATCH(B649, '00_TONG_HOP_BAO_GIA'!$B$1:$B$5000, 0)), 1)</f>
        <v/>
      </c>
      <c r="I649" s="395">
        <f>G649*H649</f>
        <v/>
      </c>
      <c r="J649" s="390">
        <f>IFERROR(INDEX('06_BANG_GIA_VAT_TU_AP_DUNG'!$E$1:$E$5000, MATCH(E649, '06_BANG_GIA_VAT_TU_AP_DUNG'!$B$1:$B$5000, 0)), 0)</f>
        <v/>
      </c>
      <c r="K649" s="390">
        <f>I649*J649</f>
        <v/>
      </c>
      <c r="L649" t="inlineStr">
        <is>
          <t>Cơ cấu liên động bánh răng van</t>
        </is>
      </c>
    </row>
    <row r="650">
      <c r="A650" t="inlineStr">
        <is>
          <t>SW-DAMPER-305-FUSE</t>
        </is>
      </c>
      <c r="B650" t="inlineStr">
        <is>
          <t>SW-DAMPER-305</t>
        </is>
      </c>
      <c r="C650" t="inlineStr">
        <is>
          <t>Cầu chì nhiệt nóng chảy 70°C (Elsie/USA)</t>
        </is>
      </c>
      <c r="D650" t="inlineStr">
        <is>
          <t>PHỤ_KIỆN_VAN</t>
        </is>
      </c>
      <c r="E650" t="inlineStr">
        <is>
          <t>MAT-DAMPER-CAU-CHI-USA-2-400X400</t>
        </is>
      </c>
      <c r="F650" t="inlineStr">
        <is>
          <t>Cái</t>
        </is>
      </c>
      <c r="G650" s="394" t="n">
        <v>1</v>
      </c>
      <c r="H650" s="390">
        <f>IFERROR(INDEX('00_TONG_HOP_BAO_GIA'!$G$1:$G$5000, MATCH(B650, '00_TONG_HOP_BAO_GIA'!$B$1:$B$5000, 0)), 1)</f>
        <v/>
      </c>
      <c r="I650" s="395">
        <f>G650*H650</f>
        <v/>
      </c>
      <c r="J650" s="390">
        <f>IFERROR(INDEX('06_BANG_GIA_VAT_TU_AP_DUNG'!$E$1:$E$5000, MATCH(E650, '06_BANG_GIA_VAT_TU_AP_DUNG'!$B$1:$B$5000, 0)), 0)</f>
        <v/>
      </c>
      <c r="K650" s="390">
        <f>I650*J650</f>
        <v/>
      </c>
      <c r="L650" t="inlineStr">
        <is>
          <t>Cầu chì kiểm định PCCC</t>
        </is>
      </c>
    </row>
    <row r="651">
      <c r="A651" t="inlineStr">
        <is>
          <t>SW-DAMPER-305-FIRE_INSULATION</t>
        </is>
      </c>
      <c r="B651" t="inlineStr">
        <is>
          <t>SW-DAMPER-305</t>
        </is>
      </c>
      <c r="C651" t="inlineStr">
        <is>
          <t>Bọc cách nhiệt chống cháy tấm MGO/Thạch cao (Tiêu chuẩn EI)</t>
        </is>
      </c>
      <c r="D651" t="inlineStr">
        <is>
          <t>VẬT_LIỆU_CÁCH_NHIỆT</t>
        </is>
      </c>
      <c r="E651" t="inlineStr">
        <is>
          <t>MAT-INSULATION-EI-DAMPER</t>
        </is>
      </c>
      <c r="F651" t="inlineStr">
        <is>
          <t>m2</t>
        </is>
      </c>
      <c r="G651" s="394" t="n">
        <v>0.458304</v>
      </c>
      <c r="H651" s="390">
        <f>IFERROR(INDEX('00_TONG_HOP_BAO_GIA'!$G$1:$G$5000, MATCH(B651, '00_TONG_HOP_BAO_GIA'!$B$1:$B$5000, 0)), 1)</f>
        <v/>
      </c>
      <c r="I651" s="395">
        <f>G651*H651</f>
        <v/>
      </c>
      <c r="J651" s="390">
        <f>IFERROR(INDEX('06_BANG_GIA_VAT_TU_AP_DUNG'!$E$1:$E$5000, MATCH(E651, '06_BANG_GIA_VAT_TU_AP_DUNG'!$B$1:$B$5000, 0)), 0)</f>
        <v/>
      </c>
      <c r="K651" s="390">
        <f>I651*J651</f>
        <v/>
      </c>
      <c r="L651" t="inlineStr">
        <is>
          <t>Bọc chống cháy vỏ van (Lưu ý: Giá vật tư đang TẠM TÍNH 300k/m2)</t>
        </is>
      </c>
    </row>
    <row r="652">
      <c r="A652" t="inlineStr">
        <is>
          <t>SW-DAMPER-306-BODY</t>
        </is>
      </c>
      <c r="B652" t="inlineStr">
        <is>
          <t>SW-DAMPER-306</t>
        </is>
      </c>
      <c r="C652" t="inlineStr">
        <is>
          <t>Thân vỏ van FD bích TDF (1.15mm)</t>
        </is>
      </c>
      <c r="D652" t="inlineStr">
        <is>
          <t>TÔN_CUỘN_MẠ_KẼM</t>
        </is>
      </c>
      <c r="E652" t="inlineStr">
        <is>
          <t>MAT-STEEL-PN-1.15</t>
        </is>
      </c>
      <c r="F652" t="inlineStr">
        <is>
          <t>kg</t>
        </is>
      </c>
      <c r="G652" s="394" t="n">
        <v>2.851245599999999</v>
      </c>
      <c r="H652" s="390">
        <f>IFERROR(INDEX('00_TONG_HOP_BAO_GIA'!$G$1:$G$5000, MATCH(B652, '00_TONG_HOP_BAO_GIA'!$B$1:$B$5000, 0)), 1)</f>
        <v/>
      </c>
      <c r="I652" s="395">
        <f>G652*H652</f>
        <v/>
      </c>
      <c r="J652" s="390">
        <f>IFERROR(INDEX('06_BANG_GIA_VAT_TU_AP_DUNG'!$E$1:$E$5000, MATCH(E652, '06_BANG_GIA_VAT_TU_AP_DUNG'!$B$1:$B$5000, 0)), 0)</f>
        <v/>
      </c>
      <c r="K652" s="390">
        <f>I652*J652</f>
        <v/>
      </c>
      <c r="L652" t="inlineStr">
        <is>
          <t>Kích thước vỏ 300.0x150.0x250mm</t>
        </is>
      </c>
    </row>
    <row r="653">
      <c r="A653" t="inlineStr">
        <is>
          <t>SW-DAMPER-306-BLADE</t>
        </is>
      </c>
      <c r="B653" t="inlineStr">
        <is>
          <t>SW-DAMPER-306</t>
        </is>
      </c>
      <c r="C653" t="inlineStr">
        <is>
          <t>Lá cánh van (1 cánh overlap)</t>
        </is>
      </c>
      <c r="D653" t="inlineStr">
        <is>
          <t>TÔN_CUỘN_MẠ_KẼM</t>
        </is>
      </c>
      <c r="E653" t="inlineStr">
        <is>
          <t>MAT-STEEL-PN-1.15</t>
        </is>
      </c>
      <c r="F653" t="inlineStr">
        <is>
          <t>kg</t>
        </is>
      </c>
      <c r="G653" s="394" t="n">
        <v>0.4972347</v>
      </c>
      <c r="H653" s="390">
        <f>IFERROR(INDEX('00_TONG_HOP_BAO_GIA'!$G$1:$G$5000, MATCH(B653, '00_TONG_HOP_BAO_GIA'!$B$1:$B$5000, 0)), 1)</f>
        <v/>
      </c>
      <c r="I653" s="395">
        <f>G653*H653</f>
        <v/>
      </c>
      <c r="J653" s="390">
        <f>IFERROR(INDEX('06_BANG_GIA_VAT_TU_AP_DUNG'!$E$1:$E$5000, MATCH(E653, '06_BANG_GIA_VAT_TU_AP_DUNG'!$B$1:$B$5000, 0)), 0)</f>
        <v/>
      </c>
      <c r="K653" s="390">
        <f>I653*J653</f>
        <v/>
      </c>
      <c r="L653" t="inlineStr">
        <is>
          <t>1 cánh cao 170mm</t>
        </is>
      </c>
    </row>
    <row r="654">
      <c r="A654" t="inlineStr">
        <is>
          <t>SW-DAMPER-306-AXLE</t>
        </is>
      </c>
      <c r="B654" t="inlineStr">
        <is>
          <t>SW-DAMPER-306</t>
        </is>
      </c>
      <c r="C654" t="inlineStr">
        <is>
          <t>Trục Sus 201 D10</t>
        </is>
      </c>
      <c r="D654" t="inlineStr">
        <is>
          <t>PHỤ_KIỆN_VAN</t>
        </is>
      </c>
      <c r="E654" t="inlineStr">
        <is>
          <t>MAT-DAMPER-TRUC-SUS-201-D10</t>
        </is>
      </c>
      <c r="F654" t="inlineStr">
        <is>
          <t>m</t>
        </is>
      </c>
      <c r="G654" s="394" t="n">
        <v>0.36</v>
      </c>
      <c r="H654" s="390">
        <f>IFERROR(INDEX('00_TONG_HOP_BAO_GIA'!$G$1:$G$5000, MATCH(B654, '00_TONG_HOP_BAO_GIA'!$B$1:$B$5000, 0)), 1)</f>
        <v/>
      </c>
      <c r="I654" s="395">
        <f>G654*H654</f>
        <v/>
      </c>
      <c r="J654" s="390">
        <f>IFERROR(INDEX('06_BANG_GIA_VAT_TU_AP_DUNG'!$E$1:$E$5000, MATCH(E654, '06_BANG_GIA_VAT_TU_AP_DUNG'!$B$1:$B$5000, 0)), 0)</f>
        <v/>
      </c>
      <c r="K654" s="390">
        <f>I654*J654</f>
        <v/>
      </c>
      <c r="L654" t="inlineStr">
        <is>
          <t>1 trục dài 360mm</t>
        </is>
      </c>
    </row>
    <row r="655">
      <c r="A655" t="inlineStr">
        <is>
          <t>SW-DAMPER-306-BEARING</t>
        </is>
      </c>
      <c r="B655" t="inlineStr">
        <is>
          <t>SW-DAMPER-306</t>
        </is>
      </c>
      <c r="C655" t="inlineStr">
        <is>
          <t>Bạc đồng D10</t>
        </is>
      </c>
      <c r="D655" t="inlineStr">
        <is>
          <t>PHỤ_KIỆN_VAN</t>
        </is>
      </c>
      <c r="E655" t="inlineStr">
        <is>
          <t>MAT-DAMPER-BAC-DONG-D10</t>
        </is>
      </c>
      <c r="F655" t="inlineStr">
        <is>
          <t>Đôi</t>
        </is>
      </c>
      <c r="G655" s="394" t="n">
        <v>1</v>
      </c>
      <c r="H655" s="390">
        <f>IFERROR(INDEX('00_TONG_HOP_BAO_GIA'!$G$1:$G$5000, MATCH(B655, '00_TONG_HOP_BAO_GIA'!$B$1:$B$5000, 0)), 1)</f>
        <v/>
      </c>
      <c r="I655" s="395">
        <f>G655*H655</f>
        <v/>
      </c>
      <c r="J655" s="390">
        <f>IFERROR(INDEX('06_BANG_GIA_VAT_TU_AP_DUNG'!$E$1:$E$5000, MATCH(E655, '06_BANG_GIA_VAT_TU_AP_DUNG'!$B$1:$B$5000, 0)), 0)</f>
        <v/>
      </c>
      <c r="K655" s="390">
        <f>I655*J655</f>
        <v/>
      </c>
      <c r="L655" t="inlineStr">
        <is>
          <t>1 đôi bạc đỡ 2 bên thân</t>
        </is>
      </c>
    </row>
    <row r="656">
      <c r="A656" t="inlineStr">
        <is>
          <t>SW-DAMPER-306-FUSE</t>
        </is>
      </c>
      <c r="B656" t="inlineStr">
        <is>
          <t>SW-DAMPER-306</t>
        </is>
      </c>
      <c r="C656" t="inlineStr">
        <is>
          <t>Cầu chì nhiệt nóng chảy 70°C (Elsie/USA)</t>
        </is>
      </c>
      <c r="D656" t="inlineStr">
        <is>
          <t>PHỤ_KIỆN_VAN</t>
        </is>
      </c>
      <c r="E656" t="inlineStr">
        <is>
          <t>MAT-DAMPER-CAU-CHI-USA-1-400X400</t>
        </is>
      </c>
      <c r="F656" t="inlineStr">
        <is>
          <t>Cái</t>
        </is>
      </c>
      <c r="G656" s="394" t="n">
        <v>1</v>
      </c>
      <c r="H656" s="390">
        <f>IFERROR(INDEX('00_TONG_HOP_BAO_GIA'!$G$1:$G$5000, MATCH(B656, '00_TONG_HOP_BAO_GIA'!$B$1:$B$5000, 0)), 1)</f>
        <v/>
      </c>
      <c r="I656" s="395">
        <f>G656*H656</f>
        <v/>
      </c>
      <c r="J656" s="390">
        <f>IFERROR(INDEX('06_BANG_GIA_VAT_TU_AP_DUNG'!$E$1:$E$5000, MATCH(E656, '06_BANG_GIA_VAT_TU_AP_DUNG'!$B$1:$B$5000, 0)), 0)</f>
        <v/>
      </c>
      <c r="K656" s="390">
        <f>I656*J656</f>
        <v/>
      </c>
      <c r="L656" t="inlineStr">
        <is>
          <t>Cầu chì kiểm định PCCC</t>
        </is>
      </c>
    </row>
    <row r="657">
      <c r="A657" t="inlineStr">
        <is>
          <t>SW-DAMPER-306-FIRE_INSULATION</t>
        </is>
      </c>
      <c r="B657" t="inlineStr">
        <is>
          <t>SW-DAMPER-306</t>
        </is>
      </c>
      <c r="C657" t="inlineStr">
        <is>
          <t>Bọc cách nhiệt chống cháy tấm MGO/Thạch cao (Tiêu chuẩn EI)</t>
        </is>
      </c>
      <c r="D657" t="inlineStr">
        <is>
          <t>VẬT_LIỆU_CÁCH_NHIỆT</t>
        </is>
      </c>
      <c r="E657" t="inlineStr">
        <is>
          <t>MAT-INSULATION-EI-DAMPER</t>
        </is>
      </c>
      <c r="F657" t="inlineStr">
        <is>
          <t>m2</t>
        </is>
      </c>
      <c r="G657" s="394" t="n">
        <v>0.3474240000000001</v>
      </c>
      <c r="H657" s="390">
        <f>IFERROR(INDEX('00_TONG_HOP_BAO_GIA'!$G$1:$G$5000, MATCH(B657, '00_TONG_HOP_BAO_GIA'!$B$1:$B$5000, 0)), 1)</f>
        <v/>
      </c>
      <c r="I657" s="395">
        <f>G657*H657</f>
        <v/>
      </c>
      <c r="J657" s="390">
        <f>IFERROR(INDEX('06_BANG_GIA_VAT_TU_AP_DUNG'!$E$1:$E$5000, MATCH(E657, '06_BANG_GIA_VAT_TU_AP_DUNG'!$B$1:$B$5000, 0)), 0)</f>
        <v/>
      </c>
      <c r="K657" s="390">
        <f>I657*J657</f>
        <v/>
      </c>
      <c r="L657" t="inlineStr">
        <is>
          <t>Bọc chống cháy vỏ van (Lưu ý: Giá vật tư đang TẠM TÍNH 300k/m2)</t>
        </is>
      </c>
    </row>
    <row r="658">
      <c r="A658" t="inlineStr">
        <is>
          <t>SW-DAMPER-307-BODY</t>
        </is>
      </c>
      <c r="B658" t="inlineStr">
        <is>
          <t>SW-DAMPER-307</t>
        </is>
      </c>
      <c r="C658" t="inlineStr">
        <is>
          <t>Thân vỏ van FD bích TDF (1.15mm)</t>
        </is>
      </c>
      <c r="D658" t="inlineStr">
        <is>
          <t>TÔN_CUỘN_MẠ_KẼM</t>
        </is>
      </c>
      <c r="E658" t="inlineStr">
        <is>
          <t>MAT-STEEL-PN-1.15</t>
        </is>
      </c>
      <c r="F658" t="inlineStr">
        <is>
          <t>kg</t>
        </is>
      </c>
      <c r="G658" s="394" t="n">
        <v>3.1545696</v>
      </c>
      <c r="H658" s="390">
        <f>IFERROR(INDEX('00_TONG_HOP_BAO_GIA'!$G$1:$G$5000, MATCH(B658, '00_TONG_HOP_BAO_GIA'!$B$1:$B$5000, 0)), 1)</f>
        <v/>
      </c>
      <c r="I658" s="395">
        <f>G658*H658</f>
        <v/>
      </c>
      <c r="J658" s="390">
        <f>IFERROR(INDEX('06_BANG_GIA_VAT_TU_AP_DUNG'!$E$1:$E$5000, MATCH(E658, '06_BANG_GIA_VAT_TU_AP_DUNG'!$B$1:$B$5000, 0)), 0)</f>
        <v/>
      </c>
      <c r="K658" s="390">
        <f>I658*J658</f>
        <v/>
      </c>
      <c r="L658" t="inlineStr">
        <is>
          <t>Kích thước vỏ 300.0x200.0x250mm</t>
        </is>
      </c>
    </row>
    <row r="659">
      <c r="A659" t="inlineStr">
        <is>
          <t>SW-DAMPER-307-BLADE</t>
        </is>
      </c>
      <c r="B659" t="inlineStr">
        <is>
          <t>SW-DAMPER-307</t>
        </is>
      </c>
      <c r="C659" t="inlineStr">
        <is>
          <t>Lá cánh van (2 cánh overlap)</t>
        </is>
      </c>
      <c r="D659" t="inlineStr">
        <is>
          <t>TÔN_CUỘN_MẠ_KẼM</t>
        </is>
      </c>
      <c r="E659" t="inlineStr">
        <is>
          <t>MAT-STEEL-PN-1.15</t>
        </is>
      </c>
      <c r="F659" t="inlineStr">
        <is>
          <t>kg</t>
        </is>
      </c>
      <c r="G659" s="394" t="n">
        <v>0.7019783999999998</v>
      </c>
      <c r="H659" s="390">
        <f>IFERROR(INDEX('00_TONG_HOP_BAO_GIA'!$G$1:$G$5000, MATCH(B659, '00_TONG_HOP_BAO_GIA'!$B$1:$B$5000, 0)), 1)</f>
        <v/>
      </c>
      <c r="I659" s="395">
        <f>G659*H659</f>
        <v/>
      </c>
      <c r="J659" s="390">
        <f>IFERROR(INDEX('06_BANG_GIA_VAT_TU_AP_DUNG'!$E$1:$E$5000, MATCH(E659, '06_BANG_GIA_VAT_TU_AP_DUNG'!$B$1:$B$5000, 0)), 0)</f>
        <v/>
      </c>
      <c r="K659" s="390">
        <f>I659*J659</f>
        <v/>
      </c>
      <c r="L659" t="inlineStr">
        <is>
          <t>2 cánh cao 120mm</t>
        </is>
      </c>
    </row>
    <row r="660">
      <c r="A660" t="inlineStr">
        <is>
          <t>SW-DAMPER-307-AXLE</t>
        </is>
      </c>
      <c r="B660" t="inlineStr">
        <is>
          <t>SW-DAMPER-307</t>
        </is>
      </c>
      <c r="C660" t="inlineStr">
        <is>
          <t>Trục Sus 201 D10</t>
        </is>
      </c>
      <c r="D660" t="inlineStr">
        <is>
          <t>PHỤ_KIỆN_VAN</t>
        </is>
      </c>
      <c r="E660" t="inlineStr">
        <is>
          <t>MAT-DAMPER-TRUC-SUS-201-D10</t>
        </is>
      </c>
      <c r="F660" t="inlineStr">
        <is>
          <t>m</t>
        </is>
      </c>
      <c r="G660" s="394" t="n">
        <v>0.72</v>
      </c>
      <c r="H660" s="390">
        <f>IFERROR(INDEX('00_TONG_HOP_BAO_GIA'!$G$1:$G$5000, MATCH(B660, '00_TONG_HOP_BAO_GIA'!$B$1:$B$5000, 0)), 1)</f>
        <v/>
      </c>
      <c r="I660" s="395">
        <f>G660*H660</f>
        <v/>
      </c>
      <c r="J660" s="390">
        <f>IFERROR(INDEX('06_BANG_GIA_VAT_TU_AP_DUNG'!$E$1:$E$5000, MATCH(E660, '06_BANG_GIA_VAT_TU_AP_DUNG'!$B$1:$B$5000, 0)), 0)</f>
        <v/>
      </c>
      <c r="K660" s="390">
        <f>I660*J660</f>
        <v/>
      </c>
      <c r="L660" t="inlineStr">
        <is>
          <t>2 trục dài 360mm</t>
        </is>
      </c>
    </row>
    <row r="661">
      <c r="A661" t="inlineStr">
        <is>
          <t>SW-DAMPER-307-BEARING</t>
        </is>
      </c>
      <c r="B661" t="inlineStr">
        <is>
          <t>SW-DAMPER-307</t>
        </is>
      </c>
      <c r="C661" t="inlineStr">
        <is>
          <t>Bạc đồng D10</t>
        </is>
      </c>
      <c r="D661" t="inlineStr">
        <is>
          <t>PHỤ_KIỆN_VAN</t>
        </is>
      </c>
      <c r="E661" t="inlineStr">
        <is>
          <t>MAT-DAMPER-BAC-DONG-D10</t>
        </is>
      </c>
      <c r="F661" t="inlineStr">
        <is>
          <t>Đôi</t>
        </is>
      </c>
      <c r="G661" s="394" t="n">
        <v>2</v>
      </c>
      <c r="H661" s="390">
        <f>IFERROR(INDEX('00_TONG_HOP_BAO_GIA'!$G$1:$G$5000, MATCH(B661, '00_TONG_HOP_BAO_GIA'!$B$1:$B$5000, 0)), 1)</f>
        <v/>
      </c>
      <c r="I661" s="395">
        <f>G661*H661</f>
        <v/>
      </c>
      <c r="J661" s="390">
        <f>IFERROR(INDEX('06_BANG_GIA_VAT_TU_AP_DUNG'!$E$1:$E$5000, MATCH(E661, '06_BANG_GIA_VAT_TU_AP_DUNG'!$B$1:$B$5000, 0)), 0)</f>
        <v/>
      </c>
      <c r="K661" s="390">
        <f>I661*J661</f>
        <v/>
      </c>
      <c r="L661" t="inlineStr">
        <is>
          <t>2 đôi bạc đỡ 2 bên thân</t>
        </is>
      </c>
    </row>
    <row r="662">
      <c r="A662" t="inlineStr">
        <is>
          <t>SW-DAMPER-307-GEAR</t>
        </is>
      </c>
      <c r="B662" t="inlineStr">
        <is>
          <t>SW-DAMPER-307</t>
        </is>
      </c>
      <c r="C662" t="inlineStr">
        <is>
          <t>Bánh răng van nhôm</t>
        </is>
      </c>
      <c r="D662" t="inlineStr">
        <is>
          <t>PHỤ_KIỆN_VAN</t>
        </is>
      </c>
      <c r="E662" t="inlineStr">
        <is>
          <t>MAT-DAMPER-BANH-RANG-VAN-NHOM</t>
        </is>
      </c>
      <c r="F662" t="inlineStr">
        <is>
          <t>Bộ</t>
        </is>
      </c>
      <c r="G662" s="394" t="n">
        <v>1</v>
      </c>
      <c r="H662" s="390">
        <f>IFERROR(INDEX('00_TONG_HOP_BAO_GIA'!$G$1:$G$5000, MATCH(B662, '00_TONG_HOP_BAO_GIA'!$B$1:$B$5000, 0)), 1)</f>
        <v/>
      </c>
      <c r="I662" s="395">
        <f>G662*H662</f>
        <v/>
      </c>
      <c r="J662" s="390">
        <f>IFERROR(INDEX('06_BANG_GIA_VAT_TU_AP_DUNG'!$E$1:$E$5000, MATCH(E662, '06_BANG_GIA_VAT_TU_AP_DUNG'!$B$1:$B$5000, 0)), 0)</f>
        <v/>
      </c>
      <c r="K662" s="390">
        <f>I662*J662</f>
        <v/>
      </c>
      <c r="L662" t="inlineStr">
        <is>
          <t>Cơ cấu liên động bánh răng van</t>
        </is>
      </c>
    </row>
    <row r="663">
      <c r="A663" t="inlineStr">
        <is>
          <t>SW-DAMPER-307-FUSE</t>
        </is>
      </c>
      <c r="B663" t="inlineStr">
        <is>
          <t>SW-DAMPER-307</t>
        </is>
      </c>
      <c r="C663" t="inlineStr">
        <is>
          <t>Cầu chì nhiệt nóng chảy 70°C (Elsie/USA)</t>
        </is>
      </c>
      <c r="D663" t="inlineStr">
        <is>
          <t>PHỤ_KIỆN_VAN</t>
        </is>
      </c>
      <c r="E663" t="inlineStr">
        <is>
          <t>MAT-DAMPER-CAU-CHI-USA-1-400X400</t>
        </is>
      </c>
      <c r="F663" t="inlineStr">
        <is>
          <t>Cái</t>
        </is>
      </c>
      <c r="G663" s="394" t="n">
        <v>1</v>
      </c>
      <c r="H663" s="390">
        <f>IFERROR(INDEX('00_TONG_HOP_BAO_GIA'!$G$1:$G$5000, MATCH(B663, '00_TONG_HOP_BAO_GIA'!$B$1:$B$5000, 0)), 1)</f>
        <v/>
      </c>
      <c r="I663" s="395">
        <f>G663*H663</f>
        <v/>
      </c>
      <c r="J663" s="390">
        <f>IFERROR(INDEX('06_BANG_GIA_VAT_TU_AP_DUNG'!$E$1:$E$5000, MATCH(E663, '06_BANG_GIA_VAT_TU_AP_DUNG'!$B$1:$B$5000, 0)), 0)</f>
        <v/>
      </c>
      <c r="K663" s="390">
        <f>I663*J663</f>
        <v/>
      </c>
      <c r="L663" t="inlineStr">
        <is>
          <t>Cầu chì kiểm định PCCC</t>
        </is>
      </c>
    </row>
    <row r="664">
      <c r="A664" t="inlineStr">
        <is>
          <t>SW-DAMPER-307-FIRE_INSULATION</t>
        </is>
      </c>
      <c r="B664" t="inlineStr">
        <is>
          <t>SW-DAMPER-307</t>
        </is>
      </c>
      <c r="C664" t="inlineStr">
        <is>
          <t>Bọc cách nhiệt chống cháy tấm MGO/Thạch cao (Tiêu chuẩn EI)</t>
        </is>
      </c>
      <c r="D664" t="inlineStr">
        <is>
          <t>VẬT_LIỆU_CÁCH_NHIỆT</t>
        </is>
      </c>
      <c r="E664" t="inlineStr">
        <is>
          <t>MAT-INSULATION-EI-DAMPER</t>
        </is>
      </c>
      <c r="F664" t="inlineStr">
        <is>
          <t>m2</t>
        </is>
      </c>
      <c r="G664" s="394" t="n">
        <v>0.3843840000000001</v>
      </c>
      <c r="H664" s="390">
        <f>IFERROR(INDEX('00_TONG_HOP_BAO_GIA'!$G$1:$G$5000, MATCH(B664, '00_TONG_HOP_BAO_GIA'!$B$1:$B$5000, 0)), 1)</f>
        <v/>
      </c>
      <c r="I664" s="395">
        <f>G664*H664</f>
        <v/>
      </c>
      <c r="J664" s="390">
        <f>IFERROR(INDEX('06_BANG_GIA_VAT_TU_AP_DUNG'!$E$1:$E$5000, MATCH(E664, '06_BANG_GIA_VAT_TU_AP_DUNG'!$B$1:$B$5000, 0)), 0)</f>
        <v/>
      </c>
      <c r="K664" s="390">
        <f>I664*J664</f>
        <v/>
      </c>
      <c r="L664" t="inlineStr">
        <is>
          <t>Bọc chống cháy vỏ van (Lưu ý: Giá vật tư đang TẠM TÍNH 300k/m2)</t>
        </is>
      </c>
    </row>
    <row r="665">
      <c r="A665" t="inlineStr">
        <is>
          <t>SW-DAMPER-308-BODY</t>
        </is>
      </c>
      <c r="B665" t="inlineStr">
        <is>
          <t>SW-DAMPER-308</t>
        </is>
      </c>
      <c r="C665" t="inlineStr">
        <is>
          <t>Thân vỏ van FD bích TDF (1.15mm)</t>
        </is>
      </c>
      <c r="D665" t="inlineStr">
        <is>
          <t>TÔN_CUỘN_MẠ_KẼM</t>
        </is>
      </c>
      <c r="E665" t="inlineStr">
        <is>
          <t>MAT-STEEL-PN-1.15</t>
        </is>
      </c>
      <c r="F665" t="inlineStr">
        <is>
          <t>kg</t>
        </is>
      </c>
      <c r="G665" s="394" t="n">
        <v>3.457893599999999</v>
      </c>
      <c r="H665" s="390">
        <f>IFERROR(INDEX('00_TONG_HOP_BAO_GIA'!$G$1:$G$5000, MATCH(B665, '00_TONG_HOP_BAO_GIA'!$B$1:$B$5000, 0)), 1)</f>
        <v/>
      </c>
      <c r="I665" s="395">
        <f>G665*H665</f>
        <v/>
      </c>
      <c r="J665" s="390">
        <f>IFERROR(INDEX('06_BANG_GIA_VAT_TU_AP_DUNG'!$E$1:$E$5000, MATCH(E665, '06_BANG_GIA_VAT_TU_AP_DUNG'!$B$1:$B$5000, 0)), 0)</f>
        <v/>
      </c>
      <c r="K665" s="390">
        <f>I665*J665</f>
        <v/>
      </c>
      <c r="L665" t="inlineStr">
        <is>
          <t>Kích thước vỏ 400.0x150.0x250mm</t>
        </is>
      </c>
    </row>
    <row r="666">
      <c r="A666" t="inlineStr">
        <is>
          <t>SW-DAMPER-308-BLADE</t>
        </is>
      </c>
      <c r="B666" t="inlineStr">
        <is>
          <t>SW-DAMPER-308</t>
        </is>
      </c>
      <c r="C666" t="inlineStr">
        <is>
          <t>Lá cánh van (1 cánh overlap)</t>
        </is>
      </c>
      <c r="D666" t="inlineStr">
        <is>
          <t>TÔN_CUỘN_MẠ_KẼM</t>
        </is>
      </c>
      <c r="E666" t="inlineStr">
        <is>
          <t>MAT-STEEL-PN-1.15</t>
        </is>
      </c>
      <c r="F666" t="inlineStr">
        <is>
          <t>kg</t>
        </is>
      </c>
      <c r="G666" s="394" t="n">
        <v>0.6629795999999999</v>
      </c>
      <c r="H666" s="390">
        <f>IFERROR(INDEX('00_TONG_HOP_BAO_GIA'!$G$1:$G$5000, MATCH(B666, '00_TONG_HOP_BAO_GIA'!$B$1:$B$5000, 0)), 1)</f>
        <v/>
      </c>
      <c r="I666" s="395">
        <f>G666*H666</f>
        <v/>
      </c>
      <c r="J666" s="390">
        <f>IFERROR(INDEX('06_BANG_GIA_VAT_TU_AP_DUNG'!$E$1:$E$5000, MATCH(E666, '06_BANG_GIA_VAT_TU_AP_DUNG'!$B$1:$B$5000, 0)), 0)</f>
        <v/>
      </c>
      <c r="K666" s="390">
        <f>I666*J666</f>
        <v/>
      </c>
      <c r="L666" t="inlineStr">
        <is>
          <t>1 cánh cao 170mm</t>
        </is>
      </c>
    </row>
    <row r="667">
      <c r="A667" t="inlineStr">
        <is>
          <t>SW-DAMPER-308-AXLE</t>
        </is>
      </c>
      <c r="B667" t="inlineStr">
        <is>
          <t>SW-DAMPER-308</t>
        </is>
      </c>
      <c r="C667" t="inlineStr">
        <is>
          <t>Trục Sus 201 D10</t>
        </is>
      </c>
      <c r="D667" t="inlineStr">
        <is>
          <t>PHỤ_KIỆN_VAN</t>
        </is>
      </c>
      <c r="E667" t="inlineStr">
        <is>
          <t>MAT-DAMPER-TRUC-SUS-201-D10</t>
        </is>
      </c>
      <c r="F667" t="inlineStr">
        <is>
          <t>m</t>
        </is>
      </c>
      <c r="G667" s="394" t="n">
        <v>0.46</v>
      </c>
      <c r="H667" s="390">
        <f>IFERROR(INDEX('00_TONG_HOP_BAO_GIA'!$G$1:$G$5000, MATCH(B667, '00_TONG_HOP_BAO_GIA'!$B$1:$B$5000, 0)), 1)</f>
        <v/>
      </c>
      <c r="I667" s="395">
        <f>G667*H667</f>
        <v/>
      </c>
      <c r="J667" s="390">
        <f>IFERROR(INDEX('06_BANG_GIA_VAT_TU_AP_DUNG'!$E$1:$E$5000, MATCH(E667, '06_BANG_GIA_VAT_TU_AP_DUNG'!$B$1:$B$5000, 0)), 0)</f>
        <v/>
      </c>
      <c r="K667" s="390">
        <f>I667*J667</f>
        <v/>
      </c>
      <c r="L667" t="inlineStr">
        <is>
          <t>1 trục dài 460mm</t>
        </is>
      </c>
    </row>
    <row r="668">
      <c r="A668" t="inlineStr">
        <is>
          <t>SW-DAMPER-308-BEARING</t>
        </is>
      </c>
      <c r="B668" t="inlineStr">
        <is>
          <t>SW-DAMPER-308</t>
        </is>
      </c>
      <c r="C668" t="inlineStr">
        <is>
          <t>Bạc đồng D10</t>
        </is>
      </c>
      <c r="D668" t="inlineStr">
        <is>
          <t>PHỤ_KIỆN_VAN</t>
        </is>
      </c>
      <c r="E668" t="inlineStr">
        <is>
          <t>MAT-DAMPER-BAC-DONG-D10</t>
        </is>
      </c>
      <c r="F668" t="inlineStr">
        <is>
          <t>Đôi</t>
        </is>
      </c>
      <c r="G668" s="394" t="n">
        <v>1</v>
      </c>
      <c r="H668" s="390">
        <f>IFERROR(INDEX('00_TONG_HOP_BAO_GIA'!$G$1:$G$5000, MATCH(B668, '00_TONG_HOP_BAO_GIA'!$B$1:$B$5000, 0)), 1)</f>
        <v/>
      </c>
      <c r="I668" s="395">
        <f>G668*H668</f>
        <v/>
      </c>
      <c r="J668" s="390">
        <f>IFERROR(INDEX('06_BANG_GIA_VAT_TU_AP_DUNG'!$E$1:$E$5000, MATCH(E668, '06_BANG_GIA_VAT_TU_AP_DUNG'!$B$1:$B$5000, 0)), 0)</f>
        <v/>
      </c>
      <c r="K668" s="390">
        <f>I668*J668</f>
        <v/>
      </c>
      <c r="L668" t="inlineStr">
        <is>
          <t>1 đôi bạc đỡ 2 bên thân</t>
        </is>
      </c>
    </row>
    <row r="669">
      <c r="A669" t="inlineStr">
        <is>
          <t>SW-DAMPER-308-FUSE</t>
        </is>
      </c>
      <c r="B669" t="inlineStr">
        <is>
          <t>SW-DAMPER-308</t>
        </is>
      </c>
      <c r="C669" t="inlineStr">
        <is>
          <t>Cầu chì nhiệt nóng chảy 70°C (Elsie/USA)</t>
        </is>
      </c>
      <c r="D669" t="inlineStr">
        <is>
          <t>PHỤ_KIỆN_VAN</t>
        </is>
      </c>
      <c r="E669" t="inlineStr">
        <is>
          <t>MAT-DAMPER-CAU-CHI-USA-2-400X400</t>
        </is>
      </c>
      <c r="F669" t="inlineStr">
        <is>
          <t>Cái</t>
        </is>
      </c>
      <c r="G669" s="394" t="n">
        <v>1</v>
      </c>
      <c r="H669" s="390">
        <f>IFERROR(INDEX('00_TONG_HOP_BAO_GIA'!$G$1:$G$5000, MATCH(B669, '00_TONG_HOP_BAO_GIA'!$B$1:$B$5000, 0)), 1)</f>
        <v/>
      </c>
      <c r="I669" s="395">
        <f>G669*H669</f>
        <v/>
      </c>
      <c r="J669" s="390">
        <f>IFERROR(INDEX('06_BANG_GIA_VAT_TU_AP_DUNG'!$E$1:$E$5000, MATCH(E669, '06_BANG_GIA_VAT_TU_AP_DUNG'!$B$1:$B$5000, 0)), 0)</f>
        <v/>
      </c>
      <c r="K669" s="390">
        <f>I669*J669</f>
        <v/>
      </c>
      <c r="L669" t="inlineStr">
        <is>
          <t>Cầu chì kiểm định PCCC</t>
        </is>
      </c>
    </row>
    <row r="670">
      <c r="A670" t="inlineStr">
        <is>
          <t>SW-DAMPER-308-FIRE_INSULATION</t>
        </is>
      </c>
      <c r="B670" t="inlineStr">
        <is>
          <t>SW-DAMPER-308</t>
        </is>
      </c>
      <c r="C670" t="inlineStr">
        <is>
          <t>Bọc cách nhiệt chống cháy tấm MGO/Thạch cao (Tiêu chuẩn EI)</t>
        </is>
      </c>
      <c r="D670" t="inlineStr">
        <is>
          <t>VẬT_LIỆU_CÁCH_NHIỆT</t>
        </is>
      </c>
      <c r="E670" t="inlineStr">
        <is>
          <t>MAT-INSULATION-EI-DAMPER</t>
        </is>
      </c>
      <c r="F670" t="inlineStr">
        <is>
          <t>m2</t>
        </is>
      </c>
      <c r="G670" s="394" t="n">
        <v>0.4213440000000001</v>
      </c>
      <c r="H670" s="390">
        <f>IFERROR(INDEX('00_TONG_HOP_BAO_GIA'!$G$1:$G$5000, MATCH(B670, '00_TONG_HOP_BAO_GIA'!$B$1:$B$5000, 0)), 1)</f>
        <v/>
      </c>
      <c r="I670" s="395">
        <f>G670*H670</f>
        <v/>
      </c>
      <c r="J670" s="390">
        <f>IFERROR(INDEX('06_BANG_GIA_VAT_TU_AP_DUNG'!$E$1:$E$5000, MATCH(E670, '06_BANG_GIA_VAT_TU_AP_DUNG'!$B$1:$B$5000, 0)), 0)</f>
        <v/>
      </c>
      <c r="K670" s="390">
        <f>I670*J670</f>
        <v/>
      </c>
      <c r="L670" t="inlineStr">
        <is>
          <t>Bọc chống cháy vỏ van (Lưu ý: Giá vật tư đang TẠM TÍNH 300k/m2)</t>
        </is>
      </c>
    </row>
    <row r="671">
      <c r="A671" t="inlineStr">
        <is>
          <t>SW-DAMPER-309-BODY</t>
        </is>
      </c>
      <c r="B671" t="inlineStr">
        <is>
          <t>SW-DAMPER-309</t>
        </is>
      </c>
      <c r="C671" t="inlineStr">
        <is>
          <t>Thân vỏ van FD bích TDF (1.15mm)</t>
        </is>
      </c>
      <c r="D671" t="inlineStr">
        <is>
          <t>TÔN_CUỘN_MẠ_KẼM</t>
        </is>
      </c>
      <c r="E671" t="inlineStr">
        <is>
          <t>MAT-STEEL-PN-1.15</t>
        </is>
      </c>
      <c r="F671" t="inlineStr">
        <is>
          <t>kg</t>
        </is>
      </c>
      <c r="G671" s="394" t="n">
        <v>6.4911336</v>
      </c>
      <c r="H671" s="390">
        <f>IFERROR(INDEX('00_TONG_HOP_BAO_GIA'!$G$1:$G$5000, MATCH(B671, '00_TONG_HOP_BAO_GIA'!$B$1:$B$5000, 0)), 1)</f>
        <v/>
      </c>
      <c r="I671" s="395">
        <f>G671*H671</f>
        <v/>
      </c>
      <c r="J671" s="390">
        <f>IFERROR(INDEX('06_BANG_GIA_VAT_TU_AP_DUNG'!$E$1:$E$5000, MATCH(E671, '06_BANG_GIA_VAT_TU_AP_DUNG'!$B$1:$B$5000, 0)), 0)</f>
        <v/>
      </c>
      <c r="K671" s="390">
        <f>I671*J671</f>
        <v/>
      </c>
      <c r="L671" t="inlineStr">
        <is>
          <t>Kích thước vỏ 800.0x250.0x250mm</t>
        </is>
      </c>
    </row>
    <row r="672">
      <c r="A672" t="inlineStr">
        <is>
          <t>SW-DAMPER-309-BLADE</t>
        </is>
      </c>
      <c r="B672" t="inlineStr">
        <is>
          <t>SW-DAMPER-309</t>
        </is>
      </c>
      <c r="C672" t="inlineStr">
        <is>
          <t>Lá cánh van (2 cánh overlap)</t>
        </is>
      </c>
      <c r="D672" t="inlineStr">
        <is>
          <t>TÔN_CUỘN_MẠ_KẼM</t>
        </is>
      </c>
      <c r="E672" t="inlineStr">
        <is>
          <t>MAT-STEEL-PN-1.15</t>
        </is>
      </c>
      <c r="F672" t="inlineStr">
        <is>
          <t>kg</t>
        </is>
      </c>
      <c r="G672" s="394" t="n">
        <v>2.2619304</v>
      </c>
      <c r="H672" s="390">
        <f>IFERROR(INDEX('00_TONG_HOP_BAO_GIA'!$G$1:$G$5000, MATCH(B672, '00_TONG_HOP_BAO_GIA'!$B$1:$B$5000, 0)), 1)</f>
        <v/>
      </c>
      <c r="I672" s="395">
        <f>G672*H672</f>
        <v/>
      </c>
      <c r="J672" s="390">
        <f>IFERROR(INDEX('06_BANG_GIA_VAT_TU_AP_DUNG'!$E$1:$E$5000, MATCH(E672, '06_BANG_GIA_VAT_TU_AP_DUNG'!$B$1:$B$5000, 0)), 0)</f>
        <v/>
      </c>
      <c r="K672" s="390">
        <f>I672*J672</f>
        <v/>
      </c>
      <c r="L672" t="inlineStr">
        <is>
          <t>2 cánh cao 145mm</t>
        </is>
      </c>
    </row>
    <row r="673">
      <c r="A673" t="inlineStr">
        <is>
          <t>SW-DAMPER-309-AXLE</t>
        </is>
      </c>
      <c r="B673" t="inlineStr">
        <is>
          <t>SW-DAMPER-309</t>
        </is>
      </c>
      <c r="C673" t="inlineStr">
        <is>
          <t>Trục Sus 201 D10</t>
        </is>
      </c>
      <c r="D673" t="inlineStr">
        <is>
          <t>PHỤ_KIỆN_VAN</t>
        </is>
      </c>
      <c r="E673" t="inlineStr">
        <is>
          <t>MAT-DAMPER-TRUC-SUS-201-D10</t>
        </is>
      </c>
      <c r="F673" t="inlineStr">
        <is>
          <t>m</t>
        </is>
      </c>
      <c r="G673" s="394" t="n">
        <v>1.72</v>
      </c>
      <c r="H673" s="390">
        <f>IFERROR(INDEX('00_TONG_HOP_BAO_GIA'!$G$1:$G$5000, MATCH(B673, '00_TONG_HOP_BAO_GIA'!$B$1:$B$5000, 0)), 1)</f>
        <v/>
      </c>
      <c r="I673" s="395">
        <f>G673*H673</f>
        <v/>
      </c>
      <c r="J673" s="390">
        <f>IFERROR(INDEX('06_BANG_GIA_VAT_TU_AP_DUNG'!$E$1:$E$5000, MATCH(E673, '06_BANG_GIA_VAT_TU_AP_DUNG'!$B$1:$B$5000, 0)), 0)</f>
        <v/>
      </c>
      <c r="K673" s="390">
        <f>I673*J673</f>
        <v/>
      </c>
      <c r="L673" t="inlineStr">
        <is>
          <t>2 trục dài 860mm</t>
        </is>
      </c>
    </row>
    <row r="674">
      <c r="A674" t="inlineStr">
        <is>
          <t>SW-DAMPER-309-BEARING</t>
        </is>
      </c>
      <c r="B674" t="inlineStr">
        <is>
          <t>SW-DAMPER-309</t>
        </is>
      </c>
      <c r="C674" t="inlineStr">
        <is>
          <t>Bạc đồng D10</t>
        </is>
      </c>
      <c r="D674" t="inlineStr">
        <is>
          <t>PHỤ_KIỆN_VAN</t>
        </is>
      </c>
      <c r="E674" t="inlineStr">
        <is>
          <t>MAT-DAMPER-BAC-DONG-D10</t>
        </is>
      </c>
      <c r="F674" t="inlineStr">
        <is>
          <t>Đôi</t>
        </is>
      </c>
      <c r="G674" s="394" t="n">
        <v>2</v>
      </c>
      <c r="H674" s="390">
        <f>IFERROR(INDEX('00_TONG_HOP_BAO_GIA'!$G$1:$G$5000, MATCH(B674, '00_TONG_HOP_BAO_GIA'!$B$1:$B$5000, 0)), 1)</f>
        <v/>
      </c>
      <c r="I674" s="395">
        <f>G674*H674</f>
        <v/>
      </c>
      <c r="J674" s="390">
        <f>IFERROR(INDEX('06_BANG_GIA_VAT_TU_AP_DUNG'!$E$1:$E$5000, MATCH(E674, '06_BANG_GIA_VAT_TU_AP_DUNG'!$B$1:$B$5000, 0)), 0)</f>
        <v/>
      </c>
      <c r="K674" s="390">
        <f>I674*J674</f>
        <v/>
      </c>
      <c r="L674" t="inlineStr">
        <is>
          <t>2 đôi bạc đỡ 2 bên thân</t>
        </is>
      </c>
    </row>
    <row r="675">
      <c r="A675" t="inlineStr">
        <is>
          <t>SW-DAMPER-309-GEAR</t>
        </is>
      </c>
      <c r="B675" t="inlineStr">
        <is>
          <t>SW-DAMPER-309</t>
        </is>
      </c>
      <c r="C675" t="inlineStr">
        <is>
          <t>Bánh răng van nhôm</t>
        </is>
      </c>
      <c r="D675" t="inlineStr">
        <is>
          <t>PHỤ_KIỆN_VAN</t>
        </is>
      </c>
      <c r="E675" t="inlineStr">
        <is>
          <t>MAT-DAMPER-BANH-RANG-VAN-NHOM</t>
        </is>
      </c>
      <c r="F675" t="inlineStr">
        <is>
          <t>Bộ</t>
        </is>
      </c>
      <c r="G675" s="394" t="n">
        <v>1</v>
      </c>
      <c r="H675" s="390">
        <f>IFERROR(INDEX('00_TONG_HOP_BAO_GIA'!$G$1:$G$5000, MATCH(B675, '00_TONG_HOP_BAO_GIA'!$B$1:$B$5000, 0)), 1)</f>
        <v/>
      </c>
      <c r="I675" s="395">
        <f>G675*H675</f>
        <v/>
      </c>
      <c r="J675" s="390">
        <f>IFERROR(INDEX('06_BANG_GIA_VAT_TU_AP_DUNG'!$E$1:$E$5000, MATCH(E675, '06_BANG_GIA_VAT_TU_AP_DUNG'!$B$1:$B$5000, 0)), 0)</f>
        <v/>
      </c>
      <c r="K675" s="390">
        <f>I675*J675</f>
        <v/>
      </c>
      <c r="L675" t="inlineStr">
        <is>
          <t>Cơ cấu liên động bánh răng van</t>
        </is>
      </c>
    </row>
    <row r="676">
      <c r="A676" t="inlineStr">
        <is>
          <t>SW-DAMPER-309-FUSE</t>
        </is>
      </c>
      <c r="B676" t="inlineStr">
        <is>
          <t>SW-DAMPER-309</t>
        </is>
      </c>
      <c r="C676" t="inlineStr">
        <is>
          <t>Cầu chì nhiệt nóng chảy 70°C (Elsie/USA)</t>
        </is>
      </c>
      <c r="D676" t="inlineStr">
        <is>
          <t>PHỤ_KIỆN_VAN</t>
        </is>
      </c>
      <c r="E676" t="inlineStr">
        <is>
          <t>MAT-DAMPER-CAU-CHI-USA-2-400X400</t>
        </is>
      </c>
      <c r="F676" t="inlineStr">
        <is>
          <t>Cái</t>
        </is>
      </c>
      <c r="G676" s="394" t="n">
        <v>1</v>
      </c>
      <c r="H676" s="390">
        <f>IFERROR(INDEX('00_TONG_HOP_BAO_GIA'!$G$1:$G$5000, MATCH(B676, '00_TONG_HOP_BAO_GIA'!$B$1:$B$5000, 0)), 1)</f>
        <v/>
      </c>
      <c r="I676" s="395">
        <f>G676*H676</f>
        <v/>
      </c>
      <c r="J676" s="390">
        <f>IFERROR(INDEX('06_BANG_GIA_VAT_TU_AP_DUNG'!$E$1:$E$5000, MATCH(E676, '06_BANG_GIA_VAT_TU_AP_DUNG'!$B$1:$B$5000, 0)), 0)</f>
        <v/>
      </c>
      <c r="K676" s="390">
        <f>I676*J676</f>
        <v/>
      </c>
      <c r="L676" t="inlineStr">
        <is>
          <t>Cầu chì kiểm định PCCC</t>
        </is>
      </c>
    </row>
    <row r="677">
      <c r="A677" t="inlineStr">
        <is>
          <t>SW-DAMPER-309-FIRE_INSULATION</t>
        </is>
      </c>
      <c r="B677" t="inlineStr">
        <is>
          <t>SW-DAMPER-309</t>
        </is>
      </c>
      <c r="C677" t="inlineStr">
        <is>
          <t>Bọc cách nhiệt chống cháy tấm MGO/Thạch cao (Tiêu chuẩn EI)</t>
        </is>
      </c>
      <c r="D677" t="inlineStr">
        <is>
          <t>VẬT_LIỆU_CÁCH_NHIỆT</t>
        </is>
      </c>
      <c r="E677" t="inlineStr">
        <is>
          <t>MAT-INSULATION-EI-DAMPER</t>
        </is>
      </c>
      <c r="F677" t="inlineStr">
        <is>
          <t>m2</t>
        </is>
      </c>
      <c r="G677" s="394" t="n">
        <v>0.7909440000000002</v>
      </c>
      <c r="H677" s="390">
        <f>IFERROR(INDEX('00_TONG_HOP_BAO_GIA'!$G$1:$G$5000, MATCH(B677, '00_TONG_HOP_BAO_GIA'!$B$1:$B$5000, 0)), 1)</f>
        <v/>
      </c>
      <c r="I677" s="395">
        <f>G677*H677</f>
        <v/>
      </c>
      <c r="J677" s="390">
        <f>IFERROR(INDEX('06_BANG_GIA_VAT_TU_AP_DUNG'!$E$1:$E$5000, MATCH(E677, '06_BANG_GIA_VAT_TU_AP_DUNG'!$B$1:$B$5000, 0)), 0)</f>
        <v/>
      </c>
      <c r="K677" s="390">
        <f>I677*J677</f>
        <v/>
      </c>
      <c r="L677" t="inlineStr">
        <is>
          <t>Bọc chống cháy vỏ van (Lưu ý: Giá vật tư đang TẠM TÍNH 300k/m2)</t>
        </is>
      </c>
    </row>
    <row r="678">
      <c r="A678" t="inlineStr">
        <is>
          <t>SW-DAMPER-310-BODY</t>
        </is>
      </c>
      <c r="B678" t="inlineStr">
        <is>
          <t>SW-DAMPER-310</t>
        </is>
      </c>
      <c r="C678" t="inlineStr">
        <is>
          <t>Thân vỏ van FD bích TDF (1.15mm)</t>
        </is>
      </c>
      <c r="D678" t="inlineStr">
        <is>
          <t>TÔN_CUỘN_MẠ_KẼM</t>
        </is>
      </c>
      <c r="E678" t="inlineStr">
        <is>
          <t>MAT-STEEL-PN-1.15</t>
        </is>
      </c>
      <c r="F678" t="inlineStr">
        <is>
          <t>kg</t>
        </is>
      </c>
      <c r="G678" s="394" t="n">
        <v>9.524373600000001</v>
      </c>
      <c r="H678" s="390">
        <f>IFERROR(INDEX('00_TONG_HOP_BAO_GIA'!$G$1:$G$5000, MATCH(B678, '00_TONG_HOP_BAO_GIA'!$B$1:$B$5000, 0)), 1)</f>
        <v/>
      </c>
      <c r="I678" s="395">
        <f>G678*H678</f>
        <v/>
      </c>
      <c r="J678" s="390">
        <f>IFERROR(INDEX('06_BANG_GIA_VAT_TU_AP_DUNG'!$E$1:$E$5000, MATCH(E678, '06_BANG_GIA_VAT_TU_AP_DUNG'!$B$1:$B$5000, 0)), 0)</f>
        <v/>
      </c>
      <c r="K678" s="390">
        <f>I678*J678</f>
        <v/>
      </c>
      <c r="L678" t="inlineStr">
        <is>
          <t>Kích thước vỏ 1200.0x350.0x250mm</t>
        </is>
      </c>
    </row>
    <row r="679">
      <c r="A679" t="inlineStr">
        <is>
          <t>SW-DAMPER-310-BLADE</t>
        </is>
      </c>
      <c r="B679" t="inlineStr">
        <is>
          <t>SW-DAMPER-310</t>
        </is>
      </c>
      <c r="C679" t="inlineStr">
        <is>
          <t>Lá cánh van (2 cánh overlap)</t>
        </is>
      </c>
      <c r="D679" t="inlineStr">
        <is>
          <t>TÔN_CUỘN_MẠ_KẼM</t>
        </is>
      </c>
      <c r="E679" t="inlineStr">
        <is>
          <t>MAT-STEEL-PN-1.15</t>
        </is>
      </c>
      <c r="F679" t="inlineStr">
        <is>
          <t>kg</t>
        </is>
      </c>
      <c r="G679" s="394" t="n">
        <v>4.562859599999999</v>
      </c>
      <c r="H679" s="390">
        <f>IFERROR(INDEX('00_TONG_HOP_BAO_GIA'!$G$1:$G$5000, MATCH(B679, '00_TONG_HOP_BAO_GIA'!$B$1:$B$5000, 0)), 1)</f>
        <v/>
      </c>
      <c r="I679" s="395">
        <f>G679*H679</f>
        <v/>
      </c>
      <c r="J679" s="390">
        <f>IFERROR(INDEX('06_BANG_GIA_VAT_TU_AP_DUNG'!$E$1:$E$5000, MATCH(E679, '06_BANG_GIA_VAT_TU_AP_DUNG'!$B$1:$B$5000, 0)), 0)</f>
        <v/>
      </c>
      <c r="K679" s="390">
        <f>I679*J679</f>
        <v/>
      </c>
      <c r="L679" t="inlineStr">
        <is>
          <t>2 cánh cao 195mm</t>
        </is>
      </c>
    </row>
    <row r="680">
      <c r="A680" t="inlineStr">
        <is>
          <t>SW-DAMPER-310-AXLE</t>
        </is>
      </c>
      <c r="B680" t="inlineStr">
        <is>
          <t>SW-DAMPER-310</t>
        </is>
      </c>
      <c r="C680" t="inlineStr">
        <is>
          <t>Trục Sus 201 D10</t>
        </is>
      </c>
      <c r="D680" t="inlineStr">
        <is>
          <t>PHỤ_KIỆN_VAN</t>
        </is>
      </c>
      <c r="E680" t="inlineStr">
        <is>
          <t>MAT-DAMPER-TRUC-SUS-201-D10</t>
        </is>
      </c>
      <c r="F680" t="inlineStr">
        <is>
          <t>m</t>
        </is>
      </c>
      <c r="G680" s="394" t="n">
        <v>2.52</v>
      </c>
      <c r="H680" s="390">
        <f>IFERROR(INDEX('00_TONG_HOP_BAO_GIA'!$G$1:$G$5000, MATCH(B680, '00_TONG_HOP_BAO_GIA'!$B$1:$B$5000, 0)), 1)</f>
        <v/>
      </c>
      <c r="I680" s="395">
        <f>G680*H680</f>
        <v/>
      </c>
      <c r="J680" s="390">
        <f>IFERROR(INDEX('06_BANG_GIA_VAT_TU_AP_DUNG'!$E$1:$E$5000, MATCH(E680, '06_BANG_GIA_VAT_TU_AP_DUNG'!$B$1:$B$5000, 0)), 0)</f>
        <v/>
      </c>
      <c r="K680" s="390">
        <f>I680*J680</f>
        <v/>
      </c>
      <c r="L680" t="inlineStr">
        <is>
          <t>2 trục dài 1260mm</t>
        </is>
      </c>
    </row>
    <row r="681">
      <c r="A681" t="inlineStr">
        <is>
          <t>SW-DAMPER-310-BEARING</t>
        </is>
      </c>
      <c r="B681" t="inlineStr">
        <is>
          <t>SW-DAMPER-310</t>
        </is>
      </c>
      <c r="C681" t="inlineStr">
        <is>
          <t>Bạc đồng D10</t>
        </is>
      </c>
      <c r="D681" t="inlineStr">
        <is>
          <t>PHỤ_KIỆN_VAN</t>
        </is>
      </c>
      <c r="E681" t="inlineStr">
        <is>
          <t>MAT-DAMPER-BAC-DONG-D10</t>
        </is>
      </c>
      <c r="F681" t="inlineStr">
        <is>
          <t>Đôi</t>
        </is>
      </c>
      <c r="G681" s="394" t="n">
        <v>2</v>
      </c>
      <c r="H681" s="390">
        <f>IFERROR(INDEX('00_TONG_HOP_BAO_GIA'!$G$1:$G$5000, MATCH(B681, '00_TONG_HOP_BAO_GIA'!$B$1:$B$5000, 0)), 1)</f>
        <v/>
      </c>
      <c r="I681" s="395">
        <f>G681*H681</f>
        <v/>
      </c>
      <c r="J681" s="390">
        <f>IFERROR(INDEX('06_BANG_GIA_VAT_TU_AP_DUNG'!$E$1:$E$5000, MATCH(E681, '06_BANG_GIA_VAT_TU_AP_DUNG'!$B$1:$B$5000, 0)), 0)</f>
        <v/>
      </c>
      <c r="K681" s="390">
        <f>I681*J681</f>
        <v/>
      </c>
      <c r="L681" t="inlineStr">
        <is>
          <t>2 đôi bạc đỡ 2 bên thân</t>
        </is>
      </c>
    </row>
    <row r="682">
      <c r="A682" t="inlineStr">
        <is>
          <t>SW-DAMPER-310-GEAR</t>
        </is>
      </c>
      <c r="B682" t="inlineStr">
        <is>
          <t>SW-DAMPER-310</t>
        </is>
      </c>
      <c r="C682" t="inlineStr">
        <is>
          <t>Bánh răng van nhôm</t>
        </is>
      </c>
      <c r="D682" t="inlineStr">
        <is>
          <t>PHỤ_KIỆN_VAN</t>
        </is>
      </c>
      <c r="E682" t="inlineStr">
        <is>
          <t>MAT-DAMPER-BANH-RANG-VAN-NHOM</t>
        </is>
      </c>
      <c r="F682" t="inlineStr">
        <is>
          <t>Bộ</t>
        </is>
      </c>
      <c r="G682" s="394" t="n">
        <v>1</v>
      </c>
      <c r="H682" s="390">
        <f>IFERROR(INDEX('00_TONG_HOP_BAO_GIA'!$G$1:$G$5000, MATCH(B682, '00_TONG_HOP_BAO_GIA'!$B$1:$B$5000, 0)), 1)</f>
        <v/>
      </c>
      <c r="I682" s="395">
        <f>G682*H682</f>
        <v/>
      </c>
      <c r="J682" s="390">
        <f>IFERROR(INDEX('06_BANG_GIA_VAT_TU_AP_DUNG'!$E$1:$E$5000, MATCH(E682, '06_BANG_GIA_VAT_TU_AP_DUNG'!$B$1:$B$5000, 0)), 0)</f>
        <v/>
      </c>
      <c r="K682" s="390">
        <f>I682*J682</f>
        <v/>
      </c>
      <c r="L682" t="inlineStr">
        <is>
          <t>Cơ cấu liên động bánh răng van</t>
        </is>
      </c>
    </row>
    <row r="683">
      <c r="A683" t="inlineStr">
        <is>
          <t>SW-DAMPER-310-FUSE</t>
        </is>
      </c>
      <c r="B683" t="inlineStr">
        <is>
          <t>SW-DAMPER-310</t>
        </is>
      </c>
      <c r="C683" t="inlineStr">
        <is>
          <t>Cầu chì nhiệt nóng chảy 70°C (Elsie/USA)</t>
        </is>
      </c>
      <c r="D683" t="inlineStr">
        <is>
          <t>PHỤ_KIỆN_VAN</t>
        </is>
      </c>
      <c r="E683" t="inlineStr">
        <is>
          <t>MAT-DAMPER-CAU-CHI-USA-2-400X400</t>
        </is>
      </c>
      <c r="F683" t="inlineStr">
        <is>
          <t>Cái</t>
        </is>
      </c>
      <c r="G683" s="394" t="n">
        <v>1</v>
      </c>
      <c r="H683" s="390">
        <f>IFERROR(INDEX('00_TONG_HOP_BAO_GIA'!$G$1:$G$5000, MATCH(B683, '00_TONG_HOP_BAO_GIA'!$B$1:$B$5000, 0)), 1)</f>
        <v/>
      </c>
      <c r="I683" s="395">
        <f>G683*H683</f>
        <v/>
      </c>
      <c r="J683" s="390">
        <f>IFERROR(INDEX('06_BANG_GIA_VAT_TU_AP_DUNG'!$E$1:$E$5000, MATCH(E683, '06_BANG_GIA_VAT_TU_AP_DUNG'!$B$1:$B$5000, 0)), 0)</f>
        <v/>
      </c>
      <c r="K683" s="390">
        <f>I683*J683</f>
        <v/>
      </c>
      <c r="L683" t="inlineStr">
        <is>
          <t>Cầu chì kiểm định PCCC</t>
        </is>
      </c>
    </row>
    <row r="684">
      <c r="A684" t="inlineStr">
        <is>
          <t>SW-DAMPER-310-FIRE_INSULATION</t>
        </is>
      </c>
      <c r="B684" t="inlineStr">
        <is>
          <t>SW-DAMPER-310</t>
        </is>
      </c>
      <c r="C684" t="inlineStr">
        <is>
          <t>Bọc cách nhiệt chống cháy tấm MGO/Thạch cao (Tiêu chuẩn EI)</t>
        </is>
      </c>
      <c r="D684" t="inlineStr">
        <is>
          <t>VẬT_LIỆU_CÁCH_NHIỆT</t>
        </is>
      </c>
      <c r="E684" t="inlineStr">
        <is>
          <t>MAT-INSULATION-EI-DAMPER</t>
        </is>
      </c>
      <c r="F684" t="inlineStr">
        <is>
          <t>m2</t>
        </is>
      </c>
      <c r="G684" s="394" t="n">
        <v>1.160544</v>
      </c>
      <c r="H684" s="390">
        <f>IFERROR(INDEX('00_TONG_HOP_BAO_GIA'!$G$1:$G$5000, MATCH(B684, '00_TONG_HOP_BAO_GIA'!$B$1:$B$5000, 0)), 1)</f>
        <v/>
      </c>
      <c r="I684" s="395">
        <f>G684*H684</f>
        <v/>
      </c>
      <c r="J684" s="390">
        <f>IFERROR(INDEX('06_BANG_GIA_VAT_TU_AP_DUNG'!$E$1:$E$5000, MATCH(E684, '06_BANG_GIA_VAT_TU_AP_DUNG'!$B$1:$B$5000, 0)), 0)</f>
        <v/>
      </c>
      <c r="K684" s="390">
        <f>I684*J684</f>
        <v/>
      </c>
      <c r="L684" t="inlineStr">
        <is>
          <t>Bọc chống cháy vỏ van (Lưu ý: Giá vật tư đang TẠM TÍNH 300k/m2)</t>
        </is>
      </c>
    </row>
    <row r="685">
      <c r="A685" t="inlineStr">
        <is>
          <t>SW-DAMPER-311-BODY</t>
        </is>
      </c>
      <c r="B685" t="inlineStr">
        <is>
          <t>SW-DAMPER-311</t>
        </is>
      </c>
      <c r="C685" t="inlineStr">
        <is>
          <t>Thân vỏ van FD bích TDF (1.15mm)</t>
        </is>
      </c>
      <c r="D685" t="inlineStr">
        <is>
          <t>TÔN_CUỘN_MẠ_KẼM</t>
        </is>
      </c>
      <c r="E685" t="inlineStr">
        <is>
          <t>MAT-STEEL-PN-1.15</t>
        </is>
      </c>
      <c r="F685" t="inlineStr">
        <is>
          <t>kg</t>
        </is>
      </c>
      <c r="G685" s="394" t="n">
        <v>8.007753599999999</v>
      </c>
      <c r="H685" s="390">
        <f>IFERROR(INDEX('00_TONG_HOP_BAO_GIA'!$G$1:$G$5000, MATCH(B685, '00_TONG_HOP_BAO_GIA'!$B$1:$B$5000, 0)), 1)</f>
        <v/>
      </c>
      <c r="I685" s="395">
        <f>G685*H685</f>
        <v/>
      </c>
      <c r="J685" s="390">
        <f>IFERROR(INDEX('06_BANG_GIA_VAT_TU_AP_DUNG'!$E$1:$E$5000, MATCH(E685, '06_BANG_GIA_VAT_TU_AP_DUNG'!$B$1:$B$5000, 0)), 0)</f>
        <v/>
      </c>
      <c r="K685" s="390">
        <f>I685*J685</f>
        <v/>
      </c>
      <c r="L685" t="inlineStr">
        <is>
          <t>Kích thước vỏ 1000.0x300.0x250mm</t>
        </is>
      </c>
    </row>
    <row r="686">
      <c r="A686" t="inlineStr">
        <is>
          <t>SW-DAMPER-311-BLADE</t>
        </is>
      </c>
      <c r="B686" t="inlineStr">
        <is>
          <t>SW-DAMPER-311</t>
        </is>
      </c>
      <c r="C686" t="inlineStr">
        <is>
          <t>Lá cánh van (2 cánh overlap)</t>
        </is>
      </c>
      <c r="D686" t="inlineStr">
        <is>
          <t>TÔN_CUỘN_MẠ_KẼM</t>
        </is>
      </c>
      <c r="E686" t="inlineStr">
        <is>
          <t>MAT-STEEL-PN-1.15</t>
        </is>
      </c>
      <c r="F686" t="inlineStr">
        <is>
          <t>kg</t>
        </is>
      </c>
      <c r="G686" s="394" t="n">
        <v>3.314897999999999</v>
      </c>
      <c r="H686" s="390">
        <f>IFERROR(INDEX('00_TONG_HOP_BAO_GIA'!$G$1:$G$5000, MATCH(B686, '00_TONG_HOP_BAO_GIA'!$B$1:$B$5000, 0)), 1)</f>
        <v/>
      </c>
      <c r="I686" s="395">
        <f>G686*H686</f>
        <v/>
      </c>
      <c r="J686" s="390">
        <f>IFERROR(INDEX('06_BANG_GIA_VAT_TU_AP_DUNG'!$E$1:$E$5000, MATCH(E686, '06_BANG_GIA_VAT_TU_AP_DUNG'!$B$1:$B$5000, 0)), 0)</f>
        <v/>
      </c>
      <c r="K686" s="390">
        <f>I686*J686</f>
        <v/>
      </c>
      <c r="L686" t="inlineStr">
        <is>
          <t>2 cánh cao 170mm</t>
        </is>
      </c>
    </row>
    <row r="687">
      <c r="A687" t="inlineStr">
        <is>
          <t>SW-DAMPER-311-AXLE</t>
        </is>
      </c>
      <c r="B687" t="inlineStr">
        <is>
          <t>SW-DAMPER-311</t>
        </is>
      </c>
      <c r="C687" t="inlineStr">
        <is>
          <t>Trục Sus 201 D10</t>
        </is>
      </c>
      <c r="D687" t="inlineStr">
        <is>
          <t>PHỤ_KIỆN_VAN</t>
        </is>
      </c>
      <c r="E687" t="inlineStr">
        <is>
          <t>MAT-DAMPER-TRUC-SUS-201-D10</t>
        </is>
      </c>
      <c r="F687" t="inlineStr">
        <is>
          <t>m</t>
        </is>
      </c>
      <c r="G687" s="394" t="n">
        <v>2.12</v>
      </c>
      <c r="H687" s="390">
        <f>IFERROR(INDEX('00_TONG_HOP_BAO_GIA'!$G$1:$G$5000, MATCH(B687, '00_TONG_HOP_BAO_GIA'!$B$1:$B$5000, 0)), 1)</f>
        <v/>
      </c>
      <c r="I687" s="395">
        <f>G687*H687</f>
        <v/>
      </c>
      <c r="J687" s="390">
        <f>IFERROR(INDEX('06_BANG_GIA_VAT_TU_AP_DUNG'!$E$1:$E$5000, MATCH(E687, '06_BANG_GIA_VAT_TU_AP_DUNG'!$B$1:$B$5000, 0)), 0)</f>
        <v/>
      </c>
      <c r="K687" s="390">
        <f>I687*J687</f>
        <v/>
      </c>
      <c r="L687" t="inlineStr">
        <is>
          <t>2 trục dài 1060mm</t>
        </is>
      </c>
    </row>
    <row r="688">
      <c r="A688" t="inlineStr">
        <is>
          <t>SW-DAMPER-311-BEARING</t>
        </is>
      </c>
      <c r="B688" t="inlineStr">
        <is>
          <t>SW-DAMPER-311</t>
        </is>
      </c>
      <c r="C688" t="inlineStr">
        <is>
          <t>Bạc đồng D10</t>
        </is>
      </c>
      <c r="D688" t="inlineStr">
        <is>
          <t>PHỤ_KIỆN_VAN</t>
        </is>
      </c>
      <c r="E688" t="inlineStr">
        <is>
          <t>MAT-DAMPER-BAC-DONG-D10</t>
        </is>
      </c>
      <c r="F688" t="inlineStr">
        <is>
          <t>Đôi</t>
        </is>
      </c>
      <c r="G688" s="394" t="n">
        <v>2</v>
      </c>
      <c r="H688" s="390">
        <f>IFERROR(INDEX('00_TONG_HOP_BAO_GIA'!$G$1:$G$5000, MATCH(B688, '00_TONG_HOP_BAO_GIA'!$B$1:$B$5000, 0)), 1)</f>
        <v/>
      </c>
      <c r="I688" s="395">
        <f>G688*H688</f>
        <v/>
      </c>
      <c r="J688" s="390">
        <f>IFERROR(INDEX('06_BANG_GIA_VAT_TU_AP_DUNG'!$E$1:$E$5000, MATCH(E688, '06_BANG_GIA_VAT_TU_AP_DUNG'!$B$1:$B$5000, 0)), 0)</f>
        <v/>
      </c>
      <c r="K688" s="390">
        <f>I688*J688</f>
        <v/>
      </c>
      <c r="L688" t="inlineStr">
        <is>
          <t>2 đôi bạc đỡ 2 bên thân</t>
        </is>
      </c>
    </row>
    <row r="689">
      <c r="A689" t="inlineStr">
        <is>
          <t>SW-DAMPER-311-GEAR</t>
        </is>
      </c>
      <c r="B689" t="inlineStr">
        <is>
          <t>SW-DAMPER-311</t>
        </is>
      </c>
      <c r="C689" t="inlineStr">
        <is>
          <t>Bánh răng van nhôm</t>
        </is>
      </c>
      <c r="D689" t="inlineStr">
        <is>
          <t>PHỤ_KIỆN_VAN</t>
        </is>
      </c>
      <c r="E689" t="inlineStr">
        <is>
          <t>MAT-DAMPER-BANH-RANG-VAN-NHOM</t>
        </is>
      </c>
      <c r="F689" t="inlineStr">
        <is>
          <t>Bộ</t>
        </is>
      </c>
      <c r="G689" s="394" t="n">
        <v>1</v>
      </c>
      <c r="H689" s="390">
        <f>IFERROR(INDEX('00_TONG_HOP_BAO_GIA'!$G$1:$G$5000, MATCH(B689, '00_TONG_HOP_BAO_GIA'!$B$1:$B$5000, 0)), 1)</f>
        <v/>
      </c>
      <c r="I689" s="395">
        <f>G689*H689</f>
        <v/>
      </c>
      <c r="J689" s="390">
        <f>IFERROR(INDEX('06_BANG_GIA_VAT_TU_AP_DUNG'!$E$1:$E$5000, MATCH(E689, '06_BANG_GIA_VAT_TU_AP_DUNG'!$B$1:$B$5000, 0)), 0)</f>
        <v/>
      </c>
      <c r="K689" s="390">
        <f>I689*J689</f>
        <v/>
      </c>
      <c r="L689" t="inlineStr">
        <is>
          <t>Cơ cấu liên động bánh răng van</t>
        </is>
      </c>
    </row>
    <row r="690">
      <c r="A690" t="inlineStr">
        <is>
          <t>SW-DAMPER-311-FUSE</t>
        </is>
      </c>
      <c r="B690" t="inlineStr">
        <is>
          <t>SW-DAMPER-311</t>
        </is>
      </c>
      <c r="C690" t="inlineStr">
        <is>
          <t>Cầu chì nhiệt nóng chảy 70°C (Elsie/USA)</t>
        </is>
      </c>
      <c r="D690" t="inlineStr">
        <is>
          <t>PHỤ_KIỆN_VAN</t>
        </is>
      </c>
      <c r="E690" t="inlineStr">
        <is>
          <t>MAT-DAMPER-CAU-CHI-USA-2-400X400</t>
        </is>
      </c>
      <c r="F690" t="inlineStr">
        <is>
          <t>Cái</t>
        </is>
      </c>
      <c r="G690" s="394" t="n">
        <v>1</v>
      </c>
      <c r="H690" s="390">
        <f>IFERROR(INDEX('00_TONG_HOP_BAO_GIA'!$G$1:$G$5000, MATCH(B690, '00_TONG_HOP_BAO_GIA'!$B$1:$B$5000, 0)), 1)</f>
        <v/>
      </c>
      <c r="I690" s="395">
        <f>G690*H690</f>
        <v/>
      </c>
      <c r="J690" s="390">
        <f>IFERROR(INDEX('06_BANG_GIA_VAT_TU_AP_DUNG'!$E$1:$E$5000, MATCH(E690, '06_BANG_GIA_VAT_TU_AP_DUNG'!$B$1:$B$5000, 0)), 0)</f>
        <v/>
      </c>
      <c r="K690" s="390">
        <f>I690*J690</f>
        <v/>
      </c>
      <c r="L690" t="inlineStr">
        <is>
          <t>Cầu chì kiểm định PCCC</t>
        </is>
      </c>
    </row>
    <row r="691">
      <c r="A691" t="inlineStr">
        <is>
          <t>SW-DAMPER-311-FIRE_INSULATION</t>
        </is>
      </c>
      <c r="B691" t="inlineStr">
        <is>
          <t>SW-DAMPER-311</t>
        </is>
      </c>
      <c r="C691" t="inlineStr">
        <is>
          <t>Bọc cách nhiệt chống cháy tấm MGO/Thạch cao (Tiêu chuẩn EI)</t>
        </is>
      </c>
      <c r="D691" t="inlineStr">
        <is>
          <t>VẬT_LIỆU_CÁCH_NHIỆT</t>
        </is>
      </c>
      <c r="E691" t="inlineStr">
        <is>
          <t>MAT-INSULATION-EI-DAMPER</t>
        </is>
      </c>
      <c r="F691" t="inlineStr">
        <is>
          <t>m2</t>
        </is>
      </c>
      <c r="G691" s="394" t="n">
        <v>0.9757440000000003</v>
      </c>
      <c r="H691" s="390">
        <f>IFERROR(INDEX('00_TONG_HOP_BAO_GIA'!$G$1:$G$5000, MATCH(B691, '00_TONG_HOP_BAO_GIA'!$B$1:$B$5000, 0)), 1)</f>
        <v/>
      </c>
      <c r="I691" s="395">
        <f>G691*H691</f>
        <v/>
      </c>
      <c r="J691" s="390">
        <f>IFERROR(INDEX('06_BANG_GIA_VAT_TU_AP_DUNG'!$E$1:$E$5000, MATCH(E691, '06_BANG_GIA_VAT_TU_AP_DUNG'!$B$1:$B$5000, 0)), 0)</f>
        <v/>
      </c>
      <c r="K691" s="390">
        <f>I691*J691</f>
        <v/>
      </c>
      <c r="L691" t="inlineStr">
        <is>
          <t>Bọc chống cháy vỏ van (Lưu ý: Giá vật tư đang TẠM TÍNH 300k/m2)</t>
        </is>
      </c>
    </row>
    <row r="692">
      <c r="A692" t="inlineStr">
        <is>
          <t>SW-DAMPER-312-BODY</t>
        </is>
      </c>
      <c r="B692" t="inlineStr">
        <is>
          <t>SW-DAMPER-312</t>
        </is>
      </c>
      <c r="C692" t="inlineStr">
        <is>
          <t>Thân vỏ van FD bích TDF (1.15mm)</t>
        </is>
      </c>
      <c r="D692" t="inlineStr">
        <is>
          <t>TÔN_CUỘN_MẠ_KẼM</t>
        </is>
      </c>
      <c r="E692" t="inlineStr">
        <is>
          <t>MAT-STEEL-PN-1.15</t>
        </is>
      </c>
      <c r="F692" t="inlineStr">
        <is>
          <t>kg</t>
        </is>
      </c>
      <c r="G692" s="394" t="n">
        <v>5.581161599999999</v>
      </c>
      <c r="H692" s="390">
        <f>IFERROR(INDEX('00_TONG_HOP_BAO_GIA'!$G$1:$G$5000, MATCH(B692, '00_TONG_HOP_BAO_GIA'!$B$1:$B$5000, 0)), 1)</f>
        <v/>
      </c>
      <c r="I692" s="395">
        <f>G692*H692</f>
        <v/>
      </c>
      <c r="J692" s="390">
        <f>IFERROR(INDEX('06_BANG_GIA_VAT_TU_AP_DUNG'!$E$1:$E$5000, MATCH(E692, '06_BANG_GIA_VAT_TU_AP_DUNG'!$B$1:$B$5000, 0)), 0)</f>
        <v/>
      </c>
      <c r="K692" s="390">
        <f>I692*J692</f>
        <v/>
      </c>
      <c r="L692" t="inlineStr">
        <is>
          <t>Kích thước vỏ 600.0x300.0x250mm</t>
        </is>
      </c>
    </row>
    <row r="693">
      <c r="A693" t="inlineStr">
        <is>
          <t>SW-DAMPER-312-BLADE</t>
        </is>
      </c>
      <c r="B693" t="inlineStr">
        <is>
          <t>SW-DAMPER-312</t>
        </is>
      </c>
      <c r="C693" t="inlineStr">
        <is>
          <t>Lá cánh van (2 cánh overlap)</t>
        </is>
      </c>
      <c r="D693" t="inlineStr">
        <is>
          <t>TÔN_CUỘN_MẠ_KẼM</t>
        </is>
      </c>
      <c r="E693" t="inlineStr">
        <is>
          <t>MAT-STEEL-PN-1.15</t>
        </is>
      </c>
      <c r="F693" t="inlineStr">
        <is>
          <t>kg</t>
        </is>
      </c>
      <c r="G693" s="394" t="n">
        <v>1.9889388</v>
      </c>
      <c r="H693" s="390">
        <f>IFERROR(INDEX('00_TONG_HOP_BAO_GIA'!$G$1:$G$5000, MATCH(B693, '00_TONG_HOP_BAO_GIA'!$B$1:$B$5000, 0)), 1)</f>
        <v/>
      </c>
      <c r="I693" s="395">
        <f>G693*H693</f>
        <v/>
      </c>
      <c r="J693" s="390">
        <f>IFERROR(INDEX('06_BANG_GIA_VAT_TU_AP_DUNG'!$E$1:$E$5000, MATCH(E693, '06_BANG_GIA_VAT_TU_AP_DUNG'!$B$1:$B$5000, 0)), 0)</f>
        <v/>
      </c>
      <c r="K693" s="390">
        <f>I693*J693</f>
        <v/>
      </c>
      <c r="L693" t="inlineStr">
        <is>
          <t>2 cánh cao 170mm</t>
        </is>
      </c>
    </row>
    <row r="694">
      <c r="A694" t="inlineStr">
        <is>
          <t>SW-DAMPER-312-AXLE</t>
        </is>
      </c>
      <c r="B694" t="inlineStr">
        <is>
          <t>SW-DAMPER-312</t>
        </is>
      </c>
      <c r="C694" t="inlineStr">
        <is>
          <t>Trục Sus 201 D10</t>
        </is>
      </c>
      <c r="D694" t="inlineStr">
        <is>
          <t>PHỤ_KIỆN_VAN</t>
        </is>
      </c>
      <c r="E694" t="inlineStr">
        <is>
          <t>MAT-DAMPER-TRUC-SUS-201-D10</t>
        </is>
      </c>
      <c r="F694" t="inlineStr">
        <is>
          <t>m</t>
        </is>
      </c>
      <c r="G694" s="394" t="n">
        <v>1.32</v>
      </c>
      <c r="H694" s="390">
        <f>IFERROR(INDEX('00_TONG_HOP_BAO_GIA'!$G$1:$G$5000, MATCH(B694, '00_TONG_HOP_BAO_GIA'!$B$1:$B$5000, 0)), 1)</f>
        <v/>
      </c>
      <c r="I694" s="395">
        <f>G694*H694</f>
        <v/>
      </c>
      <c r="J694" s="390">
        <f>IFERROR(INDEX('06_BANG_GIA_VAT_TU_AP_DUNG'!$E$1:$E$5000, MATCH(E694, '06_BANG_GIA_VAT_TU_AP_DUNG'!$B$1:$B$5000, 0)), 0)</f>
        <v/>
      </c>
      <c r="K694" s="390">
        <f>I694*J694</f>
        <v/>
      </c>
      <c r="L694" t="inlineStr">
        <is>
          <t>2 trục dài 660mm</t>
        </is>
      </c>
    </row>
    <row r="695">
      <c r="A695" t="inlineStr">
        <is>
          <t>SW-DAMPER-312-BEARING</t>
        </is>
      </c>
      <c r="B695" t="inlineStr">
        <is>
          <t>SW-DAMPER-312</t>
        </is>
      </c>
      <c r="C695" t="inlineStr">
        <is>
          <t>Bạc đồng D10</t>
        </is>
      </c>
      <c r="D695" t="inlineStr">
        <is>
          <t>PHỤ_KIỆN_VAN</t>
        </is>
      </c>
      <c r="E695" t="inlineStr">
        <is>
          <t>MAT-DAMPER-BAC-DONG-D10</t>
        </is>
      </c>
      <c r="F695" t="inlineStr">
        <is>
          <t>Đôi</t>
        </is>
      </c>
      <c r="G695" s="394" t="n">
        <v>2</v>
      </c>
      <c r="H695" s="390">
        <f>IFERROR(INDEX('00_TONG_HOP_BAO_GIA'!$G$1:$G$5000, MATCH(B695, '00_TONG_HOP_BAO_GIA'!$B$1:$B$5000, 0)), 1)</f>
        <v/>
      </c>
      <c r="I695" s="395">
        <f>G695*H695</f>
        <v/>
      </c>
      <c r="J695" s="390">
        <f>IFERROR(INDEX('06_BANG_GIA_VAT_TU_AP_DUNG'!$E$1:$E$5000, MATCH(E695, '06_BANG_GIA_VAT_TU_AP_DUNG'!$B$1:$B$5000, 0)), 0)</f>
        <v/>
      </c>
      <c r="K695" s="390">
        <f>I695*J695</f>
        <v/>
      </c>
      <c r="L695" t="inlineStr">
        <is>
          <t>2 đôi bạc đỡ 2 bên thân</t>
        </is>
      </c>
    </row>
    <row r="696">
      <c r="A696" t="inlineStr">
        <is>
          <t>SW-DAMPER-312-GEAR</t>
        </is>
      </c>
      <c r="B696" t="inlineStr">
        <is>
          <t>SW-DAMPER-312</t>
        </is>
      </c>
      <c r="C696" t="inlineStr">
        <is>
          <t>Bánh răng van nhôm</t>
        </is>
      </c>
      <c r="D696" t="inlineStr">
        <is>
          <t>PHỤ_KIỆN_VAN</t>
        </is>
      </c>
      <c r="E696" t="inlineStr">
        <is>
          <t>MAT-DAMPER-BANH-RANG-VAN-NHOM</t>
        </is>
      </c>
      <c r="F696" t="inlineStr">
        <is>
          <t>Bộ</t>
        </is>
      </c>
      <c r="G696" s="394" t="n">
        <v>1</v>
      </c>
      <c r="H696" s="390">
        <f>IFERROR(INDEX('00_TONG_HOP_BAO_GIA'!$G$1:$G$5000, MATCH(B696, '00_TONG_HOP_BAO_GIA'!$B$1:$B$5000, 0)), 1)</f>
        <v/>
      </c>
      <c r="I696" s="395">
        <f>G696*H696</f>
        <v/>
      </c>
      <c r="J696" s="390">
        <f>IFERROR(INDEX('06_BANG_GIA_VAT_TU_AP_DUNG'!$E$1:$E$5000, MATCH(E696, '06_BANG_GIA_VAT_TU_AP_DUNG'!$B$1:$B$5000, 0)), 0)</f>
        <v/>
      </c>
      <c r="K696" s="390">
        <f>I696*J696</f>
        <v/>
      </c>
      <c r="L696" t="inlineStr">
        <is>
          <t>Cơ cấu liên động bánh răng van</t>
        </is>
      </c>
    </row>
    <row r="697">
      <c r="A697" t="inlineStr">
        <is>
          <t>SW-DAMPER-312-FUSE</t>
        </is>
      </c>
      <c r="B697" t="inlineStr">
        <is>
          <t>SW-DAMPER-312</t>
        </is>
      </c>
      <c r="C697" t="inlineStr">
        <is>
          <t>Cầu chì nhiệt nóng chảy 70°C (Elsie/USA)</t>
        </is>
      </c>
      <c r="D697" t="inlineStr">
        <is>
          <t>PHỤ_KIỆN_VAN</t>
        </is>
      </c>
      <c r="E697" t="inlineStr">
        <is>
          <t>MAT-DAMPER-CAU-CHI-USA-2-400X400</t>
        </is>
      </c>
      <c r="F697" t="inlineStr">
        <is>
          <t>Cái</t>
        </is>
      </c>
      <c r="G697" s="394" t="n">
        <v>1</v>
      </c>
      <c r="H697" s="390">
        <f>IFERROR(INDEX('00_TONG_HOP_BAO_GIA'!$G$1:$G$5000, MATCH(B697, '00_TONG_HOP_BAO_GIA'!$B$1:$B$5000, 0)), 1)</f>
        <v/>
      </c>
      <c r="I697" s="395">
        <f>G697*H697</f>
        <v/>
      </c>
      <c r="J697" s="390">
        <f>IFERROR(INDEX('06_BANG_GIA_VAT_TU_AP_DUNG'!$E$1:$E$5000, MATCH(E697, '06_BANG_GIA_VAT_TU_AP_DUNG'!$B$1:$B$5000, 0)), 0)</f>
        <v/>
      </c>
      <c r="K697" s="390">
        <f>I697*J697</f>
        <v/>
      </c>
      <c r="L697" t="inlineStr">
        <is>
          <t>Cầu chì kiểm định PCCC</t>
        </is>
      </c>
    </row>
    <row r="698">
      <c r="A698" t="inlineStr">
        <is>
          <t>SW-DAMPER-312-FIRE_INSULATION</t>
        </is>
      </c>
      <c r="B698" t="inlineStr">
        <is>
          <t>SW-DAMPER-312</t>
        </is>
      </c>
      <c r="C698" t="inlineStr">
        <is>
          <t>Bọc cách nhiệt chống cháy tấm MGO/Thạch cao (Tiêu chuẩn EI)</t>
        </is>
      </c>
      <c r="D698" t="inlineStr">
        <is>
          <t>VẬT_LIỆU_CÁCH_NHIỆT</t>
        </is>
      </c>
      <c r="E698" t="inlineStr">
        <is>
          <t>MAT-INSULATION-EI-DAMPER</t>
        </is>
      </c>
      <c r="F698" t="inlineStr">
        <is>
          <t>m2</t>
        </is>
      </c>
      <c r="G698" s="394" t="n">
        <v>0.6800640000000001</v>
      </c>
      <c r="H698" s="390">
        <f>IFERROR(INDEX('00_TONG_HOP_BAO_GIA'!$G$1:$G$5000, MATCH(B698, '00_TONG_HOP_BAO_GIA'!$B$1:$B$5000, 0)), 1)</f>
        <v/>
      </c>
      <c r="I698" s="395">
        <f>G698*H698</f>
        <v/>
      </c>
      <c r="J698" s="390">
        <f>IFERROR(INDEX('06_BANG_GIA_VAT_TU_AP_DUNG'!$E$1:$E$5000, MATCH(E698, '06_BANG_GIA_VAT_TU_AP_DUNG'!$B$1:$B$5000, 0)), 0)</f>
        <v/>
      </c>
      <c r="K698" s="390">
        <f>I698*J698</f>
        <v/>
      </c>
      <c r="L698" t="inlineStr">
        <is>
          <t>Bọc chống cháy vỏ van (Lưu ý: Giá vật tư đang TẠM TÍNH 300k/m2)</t>
        </is>
      </c>
    </row>
    <row r="699">
      <c r="A699" t="inlineStr">
        <is>
          <t>SW-DAMPER-313-BODY</t>
        </is>
      </c>
      <c r="B699" t="inlineStr">
        <is>
          <t>SW-DAMPER-313</t>
        </is>
      </c>
      <c r="C699" t="inlineStr">
        <is>
          <t>Thân vỏ van FD bích TDF (1.15mm)</t>
        </is>
      </c>
      <c r="D699" t="inlineStr">
        <is>
          <t>TÔN_CUỘN_MẠ_KẼM</t>
        </is>
      </c>
      <c r="E699" t="inlineStr">
        <is>
          <t>MAT-STEEL-PN-1.15</t>
        </is>
      </c>
      <c r="F699" t="inlineStr">
        <is>
          <t>kg</t>
        </is>
      </c>
      <c r="G699" s="394" t="n">
        <v>3.761217599999999</v>
      </c>
      <c r="H699" s="390">
        <f>IFERROR(INDEX('00_TONG_HOP_BAO_GIA'!$G$1:$G$5000, MATCH(B699, '00_TONG_HOP_BAO_GIA'!$B$1:$B$5000, 0)), 1)</f>
        <v/>
      </c>
      <c r="I699" s="395">
        <f>G699*H699</f>
        <v/>
      </c>
      <c r="J699" s="390">
        <f>IFERROR(INDEX('06_BANG_GIA_VAT_TU_AP_DUNG'!$E$1:$E$5000, MATCH(E699, '06_BANG_GIA_VAT_TU_AP_DUNG'!$B$1:$B$5000, 0)), 0)</f>
        <v/>
      </c>
      <c r="K699" s="390">
        <f>I699*J699</f>
        <v/>
      </c>
      <c r="L699" t="inlineStr">
        <is>
          <t>Kích thước vỏ 400.0x200.0x250mm</t>
        </is>
      </c>
    </row>
    <row r="700">
      <c r="A700" t="inlineStr">
        <is>
          <t>SW-DAMPER-313-BLADE</t>
        </is>
      </c>
      <c r="B700" t="inlineStr">
        <is>
          <t>SW-DAMPER-313</t>
        </is>
      </c>
      <c r="C700" t="inlineStr">
        <is>
          <t>Lá cánh van (2 cánh overlap)</t>
        </is>
      </c>
      <c r="D700" t="inlineStr">
        <is>
          <t>TÔN_CUỘN_MẠ_KẼM</t>
        </is>
      </c>
      <c r="E700" t="inlineStr">
        <is>
          <t>MAT-STEEL-PN-1.15</t>
        </is>
      </c>
      <c r="F700" t="inlineStr">
        <is>
          <t>kg</t>
        </is>
      </c>
      <c r="G700" s="394" t="n">
        <v>0.9359711999999999</v>
      </c>
      <c r="H700" s="390">
        <f>IFERROR(INDEX('00_TONG_HOP_BAO_GIA'!$G$1:$G$5000, MATCH(B700, '00_TONG_HOP_BAO_GIA'!$B$1:$B$5000, 0)), 1)</f>
        <v/>
      </c>
      <c r="I700" s="395">
        <f>G700*H700</f>
        <v/>
      </c>
      <c r="J700" s="390">
        <f>IFERROR(INDEX('06_BANG_GIA_VAT_TU_AP_DUNG'!$E$1:$E$5000, MATCH(E700, '06_BANG_GIA_VAT_TU_AP_DUNG'!$B$1:$B$5000, 0)), 0)</f>
        <v/>
      </c>
      <c r="K700" s="390">
        <f>I700*J700</f>
        <v/>
      </c>
      <c r="L700" t="inlineStr">
        <is>
          <t>2 cánh cao 120mm</t>
        </is>
      </c>
    </row>
    <row r="701">
      <c r="A701" t="inlineStr">
        <is>
          <t>SW-DAMPER-313-AXLE</t>
        </is>
      </c>
      <c r="B701" t="inlineStr">
        <is>
          <t>SW-DAMPER-313</t>
        </is>
      </c>
      <c r="C701" t="inlineStr">
        <is>
          <t>Trục Sus 201 D10</t>
        </is>
      </c>
      <c r="D701" t="inlineStr">
        <is>
          <t>PHỤ_KIỆN_VAN</t>
        </is>
      </c>
      <c r="E701" t="inlineStr">
        <is>
          <t>MAT-DAMPER-TRUC-SUS-201-D10</t>
        </is>
      </c>
      <c r="F701" t="inlineStr">
        <is>
          <t>m</t>
        </is>
      </c>
      <c r="G701" s="394" t="n">
        <v>0.92</v>
      </c>
      <c r="H701" s="390">
        <f>IFERROR(INDEX('00_TONG_HOP_BAO_GIA'!$G$1:$G$5000, MATCH(B701, '00_TONG_HOP_BAO_GIA'!$B$1:$B$5000, 0)), 1)</f>
        <v/>
      </c>
      <c r="I701" s="395">
        <f>G701*H701</f>
        <v/>
      </c>
      <c r="J701" s="390">
        <f>IFERROR(INDEX('06_BANG_GIA_VAT_TU_AP_DUNG'!$E$1:$E$5000, MATCH(E701, '06_BANG_GIA_VAT_TU_AP_DUNG'!$B$1:$B$5000, 0)), 0)</f>
        <v/>
      </c>
      <c r="K701" s="390">
        <f>I701*J701</f>
        <v/>
      </c>
      <c r="L701" t="inlineStr">
        <is>
          <t>2 trục dài 460mm</t>
        </is>
      </c>
    </row>
    <row r="702">
      <c r="A702" t="inlineStr">
        <is>
          <t>SW-DAMPER-313-BEARING</t>
        </is>
      </c>
      <c r="B702" t="inlineStr">
        <is>
          <t>SW-DAMPER-313</t>
        </is>
      </c>
      <c r="C702" t="inlineStr">
        <is>
          <t>Bạc đồng D10</t>
        </is>
      </c>
      <c r="D702" t="inlineStr">
        <is>
          <t>PHỤ_KIỆN_VAN</t>
        </is>
      </c>
      <c r="E702" t="inlineStr">
        <is>
          <t>MAT-DAMPER-BAC-DONG-D10</t>
        </is>
      </c>
      <c r="F702" t="inlineStr">
        <is>
          <t>Đôi</t>
        </is>
      </c>
      <c r="G702" s="394" t="n">
        <v>2</v>
      </c>
      <c r="H702" s="390">
        <f>IFERROR(INDEX('00_TONG_HOP_BAO_GIA'!$G$1:$G$5000, MATCH(B702, '00_TONG_HOP_BAO_GIA'!$B$1:$B$5000, 0)), 1)</f>
        <v/>
      </c>
      <c r="I702" s="395">
        <f>G702*H702</f>
        <v/>
      </c>
      <c r="J702" s="390">
        <f>IFERROR(INDEX('06_BANG_GIA_VAT_TU_AP_DUNG'!$E$1:$E$5000, MATCH(E702, '06_BANG_GIA_VAT_TU_AP_DUNG'!$B$1:$B$5000, 0)), 0)</f>
        <v/>
      </c>
      <c r="K702" s="390">
        <f>I702*J702</f>
        <v/>
      </c>
      <c r="L702" t="inlineStr">
        <is>
          <t>2 đôi bạc đỡ 2 bên thân</t>
        </is>
      </c>
    </row>
    <row r="703">
      <c r="A703" t="inlineStr">
        <is>
          <t>SW-DAMPER-313-GEAR</t>
        </is>
      </c>
      <c r="B703" t="inlineStr">
        <is>
          <t>SW-DAMPER-313</t>
        </is>
      </c>
      <c r="C703" t="inlineStr">
        <is>
          <t>Bánh răng van nhôm</t>
        </is>
      </c>
      <c r="D703" t="inlineStr">
        <is>
          <t>PHỤ_KIỆN_VAN</t>
        </is>
      </c>
      <c r="E703" t="inlineStr">
        <is>
          <t>MAT-DAMPER-BANH-RANG-VAN-NHOM</t>
        </is>
      </c>
      <c r="F703" t="inlineStr">
        <is>
          <t>Bộ</t>
        </is>
      </c>
      <c r="G703" s="394" t="n">
        <v>1</v>
      </c>
      <c r="H703" s="390">
        <f>IFERROR(INDEX('00_TONG_HOP_BAO_GIA'!$G$1:$G$5000, MATCH(B703, '00_TONG_HOP_BAO_GIA'!$B$1:$B$5000, 0)), 1)</f>
        <v/>
      </c>
      <c r="I703" s="395">
        <f>G703*H703</f>
        <v/>
      </c>
      <c r="J703" s="390">
        <f>IFERROR(INDEX('06_BANG_GIA_VAT_TU_AP_DUNG'!$E$1:$E$5000, MATCH(E703, '06_BANG_GIA_VAT_TU_AP_DUNG'!$B$1:$B$5000, 0)), 0)</f>
        <v/>
      </c>
      <c r="K703" s="390">
        <f>I703*J703</f>
        <v/>
      </c>
      <c r="L703" t="inlineStr">
        <is>
          <t>Cơ cấu liên động bánh răng van</t>
        </is>
      </c>
    </row>
    <row r="704">
      <c r="A704" t="inlineStr">
        <is>
          <t>SW-DAMPER-313-FUSE</t>
        </is>
      </c>
      <c r="B704" t="inlineStr">
        <is>
          <t>SW-DAMPER-313</t>
        </is>
      </c>
      <c r="C704" t="inlineStr">
        <is>
          <t>Cầu chì nhiệt nóng chảy 70°C (Elsie/USA)</t>
        </is>
      </c>
      <c r="D704" t="inlineStr">
        <is>
          <t>PHỤ_KIỆN_VAN</t>
        </is>
      </c>
      <c r="E704" t="inlineStr">
        <is>
          <t>MAT-DAMPER-CAU-CHI-USA-2-400X400</t>
        </is>
      </c>
      <c r="F704" t="inlineStr">
        <is>
          <t>Cái</t>
        </is>
      </c>
      <c r="G704" s="394" t="n">
        <v>1</v>
      </c>
      <c r="H704" s="390">
        <f>IFERROR(INDEX('00_TONG_HOP_BAO_GIA'!$G$1:$G$5000, MATCH(B704, '00_TONG_HOP_BAO_GIA'!$B$1:$B$5000, 0)), 1)</f>
        <v/>
      </c>
      <c r="I704" s="395">
        <f>G704*H704</f>
        <v/>
      </c>
      <c r="J704" s="390">
        <f>IFERROR(INDEX('06_BANG_GIA_VAT_TU_AP_DUNG'!$E$1:$E$5000, MATCH(E704, '06_BANG_GIA_VAT_TU_AP_DUNG'!$B$1:$B$5000, 0)), 0)</f>
        <v/>
      </c>
      <c r="K704" s="390">
        <f>I704*J704</f>
        <v/>
      </c>
      <c r="L704" t="inlineStr">
        <is>
          <t>Cầu chì kiểm định PCCC</t>
        </is>
      </c>
    </row>
    <row r="705">
      <c r="A705" t="inlineStr">
        <is>
          <t>SW-DAMPER-313-FIRE_INSULATION</t>
        </is>
      </c>
      <c r="B705" t="inlineStr">
        <is>
          <t>SW-DAMPER-313</t>
        </is>
      </c>
      <c r="C705" t="inlineStr">
        <is>
          <t>Bọc cách nhiệt chống cháy tấm MGO/Thạch cao (Tiêu chuẩn EI)</t>
        </is>
      </c>
      <c r="D705" t="inlineStr">
        <is>
          <t>VẬT_LIỆU_CÁCH_NHIỆT</t>
        </is>
      </c>
      <c r="E705" t="inlineStr">
        <is>
          <t>MAT-INSULATION-EI-DAMPER</t>
        </is>
      </c>
      <c r="F705" t="inlineStr">
        <is>
          <t>m2</t>
        </is>
      </c>
      <c r="G705" s="394" t="n">
        <v>0.458304</v>
      </c>
      <c r="H705" s="390">
        <f>IFERROR(INDEX('00_TONG_HOP_BAO_GIA'!$G$1:$G$5000, MATCH(B705, '00_TONG_HOP_BAO_GIA'!$B$1:$B$5000, 0)), 1)</f>
        <v/>
      </c>
      <c r="I705" s="395">
        <f>G705*H705</f>
        <v/>
      </c>
      <c r="J705" s="390">
        <f>IFERROR(INDEX('06_BANG_GIA_VAT_TU_AP_DUNG'!$E$1:$E$5000, MATCH(E705, '06_BANG_GIA_VAT_TU_AP_DUNG'!$B$1:$B$5000, 0)), 0)</f>
        <v/>
      </c>
      <c r="K705" s="390">
        <f>I705*J705</f>
        <v/>
      </c>
      <c r="L705" t="inlineStr">
        <is>
          <t>Bọc chống cháy vỏ van (Lưu ý: Giá vật tư đang TẠM TÍNH 300k/m2)</t>
        </is>
      </c>
    </row>
    <row r="706">
      <c r="A706" t="inlineStr">
        <is>
          <t>SW-DAMPER-314-BODY</t>
        </is>
      </c>
      <c r="B706" t="inlineStr">
        <is>
          <t>SW-DAMPER-314</t>
        </is>
      </c>
      <c r="C706" t="inlineStr">
        <is>
          <t>Thân vỏ van FD bích TDF (1.15mm)</t>
        </is>
      </c>
      <c r="D706" t="inlineStr">
        <is>
          <t>TÔN_CUỘN_MẠ_KẼM</t>
        </is>
      </c>
      <c r="E706" t="inlineStr">
        <is>
          <t>MAT-STEEL-PN-1.15</t>
        </is>
      </c>
      <c r="F706" t="inlineStr">
        <is>
          <t>kg</t>
        </is>
      </c>
      <c r="G706" s="394" t="n">
        <v>3.1545696</v>
      </c>
      <c r="H706" s="390">
        <f>IFERROR(INDEX('00_TONG_HOP_BAO_GIA'!$G$1:$G$5000, MATCH(B706, '00_TONG_HOP_BAO_GIA'!$B$1:$B$5000, 0)), 1)</f>
        <v/>
      </c>
      <c r="I706" s="395">
        <f>G706*H706</f>
        <v/>
      </c>
      <c r="J706" s="390">
        <f>IFERROR(INDEX('06_BANG_GIA_VAT_TU_AP_DUNG'!$E$1:$E$5000, MATCH(E706, '06_BANG_GIA_VAT_TU_AP_DUNG'!$B$1:$B$5000, 0)), 0)</f>
        <v/>
      </c>
      <c r="K706" s="390">
        <f>I706*J706</f>
        <v/>
      </c>
      <c r="L706" t="inlineStr">
        <is>
          <t>Kích thước vỏ 300.0x200.0x250mm</t>
        </is>
      </c>
    </row>
    <row r="707">
      <c r="A707" t="inlineStr">
        <is>
          <t>SW-DAMPER-314-BLADE</t>
        </is>
      </c>
      <c r="B707" t="inlineStr">
        <is>
          <t>SW-DAMPER-314</t>
        </is>
      </c>
      <c r="C707" t="inlineStr">
        <is>
          <t>Lá cánh van (2 cánh overlap)</t>
        </is>
      </c>
      <c r="D707" t="inlineStr">
        <is>
          <t>TÔN_CUỘN_MẠ_KẼM</t>
        </is>
      </c>
      <c r="E707" t="inlineStr">
        <is>
          <t>MAT-STEEL-PN-1.15</t>
        </is>
      </c>
      <c r="F707" t="inlineStr">
        <is>
          <t>kg</t>
        </is>
      </c>
      <c r="G707" s="394" t="n">
        <v>0.7019783999999998</v>
      </c>
      <c r="H707" s="390">
        <f>IFERROR(INDEX('00_TONG_HOP_BAO_GIA'!$G$1:$G$5000, MATCH(B707, '00_TONG_HOP_BAO_GIA'!$B$1:$B$5000, 0)), 1)</f>
        <v/>
      </c>
      <c r="I707" s="395">
        <f>G707*H707</f>
        <v/>
      </c>
      <c r="J707" s="390">
        <f>IFERROR(INDEX('06_BANG_GIA_VAT_TU_AP_DUNG'!$E$1:$E$5000, MATCH(E707, '06_BANG_GIA_VAT_TU_AP_DUNG'!$B$1:$B$5000, 0)), 0)</f>
        <v/>
      </c>
      <c r="K707" s="390">
        <f>I707*J707</f>
        <v/>
      </c>
      <c r="L707" t="inlineStr">
        <is>
          <t>2 cánh cao 120mm</t>
        </is>
      </c>
    </row>
    <row r="708">
      <c r="A708" t="inlineStr">
        <is>
          <t>SW-DAMPER-314-AXLE</t>
        </is>
      </c>
      <c r="B708" t="inlineStr">
        <is>
          <t>SW-DAMPER-314</t>
        </is>
      </c>
      <c r="C708" t="inlineStr">
        <is>
          <t>Trục Sus 201 D10</t>
        </is>
      </c>
      <c r="D708" t="inlineStr">
        <is>
          <t>PHỤ_KIỆN_VAN</t>
        </is>
      </c>
      <c r="E708" t="inlineStr">
        <is>
          <t>MAT-DAMPER-TRUC-SUS-201-D10</t>
        </is>
      </c>
      <c r="F708" t="inlineStr">
        <is>
          <t>m</t>
        </is>
      </c>
      <c r="G708" s="394" t="n">
        <v>0.72</v>
      </c>
      <c r="H708" s="390">
        <f>IFERROR(INDEX('00_TONG_HOP_BAO_GIA'!$G$1:$G$5000, MATCH(B708, '00_TONG_HOP_BAO_GIA'!$B$1:$B$5000, 0)), 1)</f>
        <v/>
      </c>
      <c r="I708" s="395">
        <f>G708*H708</f>
        <v/>
      </c>
      <c r="J708" s="390">
        <f>IFERROR(INDEX('06_BANG_GIA_VAT_TU_AP_DUNG'!$E$1:$E$5000, MATCH(E708, '06_BANG_GIA_VAT_TU_AP_DUNG'!$B$1:$B$5000, 0)), 0)</f>
        <v/>
      </c>
      <c r="K708" s="390">
        <f>I708*J708</f>
        <v/>
      </c>
      <c r="L708" t="inlineStr">
        <is>
          <t>2 trục dài 360mm</t>
        </is>
      </c>
    </row>
    <row r="709">
      <c r="A709" t="inlineStr">
        <is>
          <t>SW-DAMPER-314-BEARING</t>
        </is>
      </c>
      <c r="B709" t="inlineStr">
        <is>
          <t>SW-DAMPER-314</t>
        </is>
      </c>
      <c r="C709" t="inlineStr">
        <is>
          <t>Bạc đồng D10</t>
        </is>
      </c>
      <c r="D709" t="inlineStr">
        <is>
          <t>PHỤ_KIỆN_VAN</t>
        </is>
      </c>
      <c r="E709" t="inlineStr">
        <is>
          <t>MAT-DAMPER-BAC-DONG-D10</t>
        </is>
      </c>
      <c r="F709" t="inlineStr">
        <is>
          <t>Đôi</t>
        </is>
      </c>
      <c r="G709" s="394" t="n">
        <v>2</v>
      </c>
      <c r="H709" s="390">
        <f>IFERROR(INDEX('00_TONG_HOP_BAO_GIA'!$G$1:$G$5000, MATCH(B709, '00_TONG_HOP_BAO_GIA'!$B$1:$B$5000, 0)), 1)</f>
        <v/>
      </c>
      <c r="I709" s="395">
        <f>G709*H709</f>
        <v/>
      </c>
      <c r="J709" s="390">
        <f>IFERROR(INDEX('06_BANG_GIA_VAT_TU_AP_DUNG'!$E$1:$E$5000, MATCH(E709, '06_BANG_GIA_VAT_TU_AP_DUNG'!$B$1:$B$5000, 0)), 0)</f>
        <v/>
      </c>
      <c r="K709" s="390">
        <f>I709*J709</f>
        <v/>
      </c>
      <c r="L709" t="inlineStr">
        <is>
          <t>2 đôi bạc đỡ 2 bên thân</t>
        </is>
      </c>
    </row>
    <row r="710">
      <c r="A710" t="inlineStr">
        <is>
          <t>SW-DAMPER-314-GEAR</t>
        </is>
      </c>
      <c r="B710" t="inlineStr">
        <is>
          <t>SW-DAMPER-314</t>
        </is>
      </c>
      <c r="C710" t="inlineStr">
        <is>
          <t>Bánh răng van nhôm</t>
        </is>
      </c>
      <c r="D710" t="inlineStr">
        <is>
          <t>PHỤ_KIỆN_VAN</t>
        </is>
      </c>
      <c r="E710" t="inlineStr">
        <is>
          <t>MAT-DAMPER-BANH-RANG-VAN-NHOM</t>
        </is>
      </c>
      <c r="F710" t="inlineStr">
        <is>
          <t>Bộ</t>
        </is>
      </c>
      <c r="G710" s="394" t="n">
        <v>1</v>
      </c>
      <c r="H710" s="390">
        <f>IFERROR(INDEX('00_TONG_HOP_BAO_GIA'!$G$1:$G$5000, MATCH(B710, '00_TONG_HOP_BAO_GIA'!$B$1:$B$5000, 0)), 1)</f>
        <v/>
      </c>
      <c r="I710" s="395">
        <f>G710*H710</f>
        <v/>
      </c>
      <c r="J710" s="390">
        <f>IFERROR(INDEX('06_BANG_GIA_VAT_TU_AP_DUNG'!$E$1:$E$5000, MATCH(E710, '06_BANG_GIA_VAT_TU_AP_DUNG'!$B$1:$B$5000, 0)), 0)</f>
        <v/>
      </c>
      <c r="K710" s="390">
        <f>I710*J710</f>
        <v/>
      </c>
      <c r="L710" t="inlineStr">
        <is>
          <t>Cơ cấu liên động bánh răng van</t>
        </is>
      </c>
    </row>
    <row r="711">
      <c r="A711" t="inlineStr">
        <is>
          <t>SW-DAMPER-314-FUSE</t>
        </is>
      </c>
      <c r="B711" t="inlineStr">
        <is>
          <t>SW-DAMPER-314</t>
        </is>
      </c>
      <c r="C711" t="inlineStr">
        <is>
          <t>Cầu chì nhiệt nóng chảy 70°C (Elsie/USA)</t>
        </is>
      </c>
      <c r="D711" t="inlineStr">
        <is>
          <t>PHỤ_KIỆN_VAN</t>
        </is>
      </c>
      <c r="E711" t="inlineStr">
        <is>
          <t>MAT-DAMPER-CAU-CHI-USA-1-400X400</t>
        </is>
      </c>
      <c r="F711" t="inlineStr">
        <is>
          <t>Cái</t>
        </is>
      </c>
      <c r="G711" s="394" t="n">
        <v>1</v>
      </c>
      <c r="H711" s="390">
        <f>IFERROR(INDEX('00_TONG_HOP_BAO_GIA'!$G$1:$G$5000, MATCH(B711, '00_TONG_HOP_BAO_GIA'!$B$1:$B$5000, 0)), 1)</f>
        <v/>
      </c>
      <c r="I711" s="395">
        <f>G711*H711</f>
        <v/>
      </c>
      <c r="J711" s="390">
        <f>IFERROR(INDEX('06_BANG_GIA_VAT_TU_AP_DUNG'!$E$1:$E$5000, MATCH(E711, '06_BANG_GIA_VAT_TU_AP_DUNG'!$B$1:$B$5000, 0)), 0)</f>
        <v/>
      </c>
      <c r="K711" s="390">
        <f>I711*J711</f>
        <v/>
      </c>
      <c r="L711" t="inlineStr">
        <is>
          <t>Cầu chì kiểm định PCCC</t>
        </is>
      </c>
    </row>
    <row r="712">
      <c r="A712" t="inlineStr">
        <is>
          <t>SW-DAMPER-314-FIRE_INSULATION</t>
        </is>
      </c>
      <c r="B712" t="inlineStr">
        <is>
          <t>SW-DAMPER-314</t>
        </is>
      </c>
      <c r="C712" t="inlineStr">
        <is>
          <t>Bọc cách nhiệt chống cháy tấm MGO/Thạch cao (Tiêu chuẩn EI)</t>
        </is>
      </c>
      <c r="D712" t="inlineStr">
        <is>
          <t>VẬT_LIỆU_CÁCH_NHIỆT</t>
        </is>
      </c>
      <c r="E712" t="inlineStr">
        <is>
          <t>MAT-INSULATION-EI-DAMPER</t>
        </is>
      </c>
      <c r="F712" t="inlineStr">
        <is>
          <t>m2</t>
        </is>
      </c>
      <c r="G712" s="394" t="n">
        <v>0.3843840000000001</v>
      </c>
      <c r="H712" s="390">
        <f>IFERROR(INDEX('00_TONG_HOP_BAO_GIA'!$G$1:$G$5000, MATCH(B712, '00_TONG_HOP_BAO_GIA'!$B$1:$B$5000, 0)), 1)</f>
        <v/>
      </c>
      <c r="I712" s="395">
        <f>G712*H712</f>
        <v/>
      </c>
      <c r="J712" s="390">
        <f>IFERROR(INDEX('06_BANG_GIA_VAT_TU_AP_DUNG'!$E$1:$E$5000, MATCH(E712, '06_BANG_GIA_VAT_TU_AP_DUNG'!$B$1:$B$5000, 0)), 0)</f>
        <v/>
      </c>
      <c r="K712" s="390">
        <f>I712*J712</f>
        <v/>
      </c>
      <c r="L712" t="inlineStr">
        <is>
          <t>Bọc chống cháy vỏ van (Lưu ý: Giá vật tư đang TẠM TÍNH 300k/m2)</t>
        </is>
      </c>
    </row>
    <row r="713">
      <c r="A713" t="inlineStr">
        <is>
          <t>SW-DAMPER-315-BODY</t>
        </is>
      </c>
      <c r="B713" t="inlineStr">
        <is>
          <t>SW-DAMPER-315</t>
        </is>
      </c>
      <c r="C713" t="inlineStr">
        <is>
          <t>Thân vỏ van FD bích TDF (1.15mm)</t>
        </is>
      </c>
      <c r="D713" t="inlineStr">
        <is>
          <t>TÔN_CUỘN_MẠ_KẼM</t>
        </is>
      </c>
      <c r="E713" t="inlineStr">
        <is>
          <t>MAT-STEEL-PN-1.15</t>
        </is>
      </c>
      <c r="F713" t="inlineStr">
        <is>
          <t>kg</t>
        </is>
      </c>
      <c r="G713" s="394" t="n">
        <v>3.457893599999999</v>
      </c>
      <c r="H713" s="390">
        <f>IFERROR(INDEX('00_TONG_HOP_BAO_GIA'!$G$1:$G$5000, MATCH(B713, '00_TONG_HOP_BAO_GIA'!$B$1:$B$5000, 0)), 1)</f>
        <v/>
      </c>
      <c r="I713" s="395">
        <f>G713*H713</f>
        <v/>
      </c>
      <c r="J713" s="390">
        <f>IFERROR(INDEX('06_BANG_GIA_VAT_TU_AP_DUNG'!$E$1:$E$5000, MATCH(E713, '06_BANG_GIA_VAT_TU_AP_DUNG'!$B$1:$B$5000, 0)), 0)</f>
        <v/>
      </c>
      <c r="K713" s="390">
        <f>I713*J713</f>
        <v/>
      </c>
      <c r="L713" t="inlineStr">
        <is>
          <t>Kích thước vỏ 350.0x200.0x250mm</t>
        </is>
      </c>
    </row>
    <row r="714">
      <c r="A714" t="inlineStr">
        <is>
          <t>SW-DAMPER-315-BLADE</t>
        </is>
      </c>
      <c r="B714" t="inlineStr">
        <is>
          <t>SW-DAMPER-315</t>
        </is>
      </c>
      <c r="C714" t="inlineStr">
        <is>
          <t>Lá cánh van (2 cánh overlap)</t>
        </is>
      </c>
      <c r="D714" t="inlineStr">
        <is>
          <t>TÔN_CUỘN_MẠ_KẼM</t>
        </is>
      </c>
      <c r="E714" t="inlineStr">
        <is>
          <t>MAT-STEEL-PN-1.15</t>
        </is>
      </c>
      <c r="F714" t="inlineStr">
        <is>
          <t>kg</t>
        </is>
      </c>
      <c r="G714" s="394" t="n">
        <v>0.8189747999999998</v>
      </c>
      <c r="H714" s="390">
        <f>IFERROR(INDEX('00_TONG_HOP_BAO_GIA'!$G$1:$G$5000, MATCH(B714, '00_TONG_HOP_BAO_GIA'!$B$1:$B$5000, 0)), 1)</f>
        <v/>
      </c>
      <c r="I714" s="395">
        <f>G714*H714</f>
        <v/>
      </c>
      <c r="J714" s="390">
        <f>IFERROR(INDEX('06_BANG_GIA_VAT_TU_AP_DUNG'!$E$1:$E$5000, MATCH(E714, '06_BANG_GIA_VAT_TU_AP_DUNG'!$B$1:$B$5000, 0)), 0)</f>
        <v/>
      </c>
      <c r="K714" s="390">
        <f>I714*J714</f>
        <v/>
      </c>
      <c r="L714" t="inlineStr">
        <is>
          <t>2 cánh cao 120mm</t>
        </is>
      </c>
    </row>
    <row r="715">
      <c r="A715" t="inlineStr">
        <is>
          <t>SW-DAMPER-315-AXLE</t>
        </is>
      </c>
      <c r="B715" t="inlineStr">
        <is>
          <t>SW-DAMPER-315</t>
        </is>
      </c>
      <c r="C715" t="inlineStr">
        <is>
          <t>Trục Sus 201 D10</t>
        </is>
      </c>
      <c r="D715" t="inlineStr">
        <is>
          <t>PHỤ_KIỆN_VAN</t>
        </is>
      </c>
      <c r="E715" t="inlineStr">
        <is>
          <t>MAT-DAMPER-TRUC-SUS-201-D10</t>
        </is>
      </c>
      <c r="F715" t="inlineStr">
        <is>
          <t>m</t>
        </is>
      </c>
      <c r="G715" s="394" t="n">
        <v>0.82</v>
      </c>
      <c r="H715" s="390">
        <f>IFERROR(INDEX('00_TONG_HOP_BAO_GIA'!$G$1:$G$5000, MATCH(B715, '00_TONG_HOP_BAO_GIA'!$B$1:$B$5000, 0)), 1)</f>
        <v/>
      </c>
      <c r="I715" s="395">
        <f>G715*H715</f>
        <v/>
      </c>
      <c r="J715" s="390">
        <f>IFERROR(INDEX('06_BANG_GIA_VAT_TU_AP_DUNG'!$E$1:$E$5000, MATCH(E715, '06_BANG_GIA_VAT_TU_AP_DUNG'!$B$1:$B$5000, 0)), 0)</f>
        <v/>
      </c>
      <c r="K715" s="390">
        <f>I715*J715</f>
        <v/>
      </c>
      <c r="L715" t="inlineStr">
        <is>
          <t>2 trục dài 410mm</t>
        </is>
      </c>
    </row>
    <row r="716">
      <c r="A716" t="inlineStr">
        <is>
          <t>SW-DAMPER-315-BEARING</t>
        </is>
      </c>
      <c r="B716" t="inlineStr">
        <is>
          <t>SW-DAMPER-315</t>
        </is>
      </c>
      <c r="C716" t="inlineStr">
        <is>
          <t>Bạc đồng D10</t>
        </is>
      </c>
      <c r="D716" t="inlineStr">
        <is>
          <t>PHỤ_KIỆN_VAN</t>
        </is>
      </c>
      <c r="E716" t="inlineStr">
        <is>
          <t>MAT-DAMPER-BAC-DONG-D10</t>
        </is>
      </c>
      <c r="F716" t="inlineStr">
        <is>
          <t>Đôi</t>
        </is>
      </c>
      <c r="G716" s="394" t="n">
        <v>2</v>
      </c>
      <c r="H716" s="390">
        <f>IFERROR(INDEX('00_TONG_HOP_BAO_GIA'!$G$1:$G$5000, MATCH(B716, '00_TONG_HOP_BAO_GIA'!$B$1:$B$5000, 0)), 1)</f>
        <v/>
      </c>
      <c r="I716" s="395">
        <f>G716*H716</f>
        <v/>
      </c>
      <c r="J716" s="390">
        <f>IFERROR(INDEX('06_BANG_GIA_VAT_TU_AP_DUNG'!$E$1:$E$5000, MATCH(E716, '06_BANG_GIA_VAT_TU_AP_DUNG'!$B$1:$B$5000, 0)), 0)</f>
        <v/>
      </c>
      <c r="K716" s="390">
        <f>I716*J716</f>
        <v/>
      </c>
      <c r="L716" t="inlineStr">
        <is>
          <t>2 đôi bạc đỡ 2 bên thân</t>
        </is>
      </c>
    </row>
    <row r="717">
      <c r="A717" t="inlineStr">
        <is>
          <t>SW-DAMPER-315-GEAR</t>
        </is>
      </c>
      <c r="B717" t="inlineStr">
        <is>
          <t>SW-DAMPER-315</t>
        </is>
      </c>
      <c r="C717" t="inlineStr">
        <is>
          <t>Bánh răng van nhôm</t>
        </is>
      </c>
      <c r="D717" t="inlineStr">
        <is>
          <t>PHỤ_KIỆN_VAN</t>
        </is>
      </c>
      <c r="E717" t="inlineStr">
        <is>
          <t>MAT-DAMPER-BANH-RANG-VAN-NHOM</t>
        </is>
      </c>
      <c r="F717" t="inlineStr">
        <is>
          <t>Bộ</t>
        </is>
      </c>
      <c r="G717" s="394" t="n">
        <v>1</v>
      </c>
      <c r="H717" s="390">
        <f>IFERROR(INDEX('00_TONG_HOP_BAO_GIA'!$G$1:$G$5000, MATCH(B717, '00_TONG_HOP_BAO_GIA'!$B$1:$B$5000, 0)), 1)</f>
        <v/>
      </c>
      <c r="I717" s="395">
        <f>G717*H717</f>
        <v/>
      </c>
      <c r="J717" s="390">
        <f>IFERROR(INDEX('06_BANG_GIA_VAT_TU_AP_DUNG'!$E$1:$E$5000, MATCH(E717, '06_BANG_GIA_VAT_TU_AP_DUNG'!$B$1:$B$5000, 0)), 0)</f>
        <v/>
      </c>
      <c r="K717" s="390">
        <f>I717*J717</f>
        <v/>
      </c>
      <c r="L717" t="inlineStr">
        <is>
          <t>Cơ cấu liên động bánh răng van</t>
        </is>
      </c>
    </row>
    <row r="718">
      <c r="A718" t="inlineStr">
        <is>
          <t>SW-DAMPER-315-FUSE</t>
        </is>
      </c>
      <c r="B718" t="inlineStr">
        <is>
          <t>SW-DAMPER-315</t>
        </is>
      </c>
      <c r="C718" t="inlineStr">
        <is>
          <t>Cầu chì nhiệt nóng chảy 70°C (Elsie/USA)</t>
        </is>
      </c>
      <c r="D718" t="inlineStr">
        <is>
          <t>PHỤ_KIỆN_VAN</t>
        </is>
      </c>
      <c r="E718" t="inlineStr">
        <is>
          <t>MAT-DAMPER-CAU-CHI-USA-1-400X400</t>
        </is>
      </c>
      <c r="F718" t="inlineStr">
        <is>
          <t>Cái</t>
        </is>
      </c>
      <c r="G718" s="394" t="n">
        <v>1</v>
      </c>
      <c r="H718" s="390">
        <f>IFERROR(INDEX('00_TONG_HOP_BAO_GIA'!$G$1:$G$5000, MATCH(B718, '00_TONG_HOP_BAO_GIA'!$B$1:$B$5000, 0)), 1)</f>
        <v/>
      </c>
      <c r="I718" s="395">
        <f>G718*H718</f>
        <v/>
      </c>
      <c r="J718" s="390">
        <f>IFERROR(INDEX('06_BANG_GIA_VAT_TU_AP_DUNG'!$E$1:$E$5000, MATCH(E718, '06_BANG_GIA_VAT_TU_AP_DUNG'!$B$1:$B$5000, 0)), 0)</f>
        <v/>
      </c>
      <c r="K718" s="390">
        <f>I718*J718</f>
        <v/>
      </c>
      <c r="L718" t="inlineStr">
        <is>
          <t>Cầu chì kiểm định PCCC</t>
        </is>
      </c>
    </row>
    <row r="719">
      <c r="A719" t="inlineStr">
        <is>
          <t>SW-DAMPER-315-FIRE_INSULATION</t>
        </is>
      </c>
      <c r="B719" t="inlineStr">
        <is>
          <t>SW-DAMPER-315</t>
        </is>
      </c>
      <c r="C719" t="inlineStr">
        <is>
          <t>Bọc cách nhiệt chống cháy tấm MGO/Thạch cao (Tiêu chuẩn EI)</t>
        </is>
      </c>
      <c r="D719" t="inlineStr">
        <is>
          <t>VẬT_LIỆU_CÁCH_NHIỆT</t>
        </is>
      </c>
      <c r="E719" t="inlineStr">
        <is>
          <t>MAT-INSULATION-EI-DAMPER</t>
        </is>
      </c>
      <c r="F719" t="inlineStr">
        <is>
          <t>m2</t>
        </is>
      </c>
      <c r="G719" s="394" t="n">
        <v>0.4213440000000001</v>
      </c>
      <c r="H719" s="390">
        <f>IFERROR(INDEX('00_TONG_HOP_BAO_GIA'!$G$1:$G$5000, MATCH(B719, '00_TONG_HOP_BAO_GIA'!$B$1:$B$5000, 0)), 1)</f>
        <v/>
      </c>
      <c r="I719" s="395">
        <f>G719*H719</f>
        <v/>
      </c>
      <c r="J719" s="390">
        <f>IFERROR(INDEX('06_BANG_GIA_VAT_TU_AP_DUNG'!$E$1:$E$5000, MATCH(E719, '06_BANG_GIA_VAT_TU_AP_DUNG'!$B$1:$B$5000, 0)), 0)</f>
        <v/>
      </c>
      <c r="K719" s="390">
        <f>I719*J719</f>
        <v/>
      </c>
      <c r="L719" t="inlineStr">
        <is>
          <t>Bọc chống cháy vỏ van (Lưu ý: Giá vật tư đang TẠM TÍNH 300k/m2)</t>
        </is>
      </c>
    </row>
    <row r="720">
      <c r="A720" t="inlineStr">
        <is>
          <t>SW-DAMPER-316-BODY</t>
        </is>
      </c>
      <c r="B720" t="inlineStr">
        <is>
          <t>SW-DAMPER-316</t>
        </is>
      </c>
      <c r="C720" t="inlineStr">
        <is>
          <t>Thân vỏ van FD bích TDF (1.15mm)</t>
        </is>
      </c>
      <c r="D720" t="inlineStr">
        <is>
          <t>TÔN_CUỘN_MẠ_KẼM</t>
        </is>
      </c>
      <c r="E720" t="inlineStr">
        <is>
          <t>MAT-STEEL-PN-1.15</t>
        </is>
      </c>
      <c r="F720" t="inlineStr">
        <is>
          <t>kg</t>
        </is>
      </c>
      <c r="G720" s="394" t="n">
        <v>4.367865599999999</v>
      </c>
      <c r="H720" s="390">
        <f>IFERROR(INDEX('00_TONG_HOP_BAO_GIA'!$G$1:$G$5000, MATCH(B720, '00_TONG_HOP_BAO_GIA'!$B$1:$B$5000, 0)), 1)</f>
        <v/>
      </c>
      <c r="I720" s="395">
        <f>G720*H720</f>
        <v/>
      </c>
      <c r="J720" s="390">
        <f>IFERROR(INDEX('06_BANG_GIA_VAT_TU_AP_DUNG'!$E$1:$E$5000, MATCH(E720, '06_BANG_GIA_VAT_TU_AP_DUNG'!$B$1:$B$5000, 0)), 0)</f>
        <v/>
      </c>
      <c r="K720" s="390">
        <f>I720*J720</f>
        <v/>
      </c>
      <c r="L720" t="inlineStr">
        <is>
          <t>Kích thước vỏ 500.0x200.0x250mm</t>
        </is>
      </c>
    </row>
    <row r="721">
      <c r="A721" t="inlineStr">
        <is>
          <t>SW-DAMPER-316-BLADE</t>
        </is>
      </c>
      <c r="B721" t="inlineStr">
        <is>
          <t>SW-DAMPER-316</t>
        </is>
      </c>
      <c r="C721" t="inlineStr">
        <is>
          <t>Lá cánh van (2 cánh overlap)</t>
        </is>
      </c>
      <c r="D721" t="inlineStr">
        <is>
          <t>TÔN_CUỘN_MẠ_KẼM</t>
        </is>
      </c>
      <c r="E721" t="inlineStr">
        <is>
          <t>MAT-STEEL-PN-1.15</t>
        </is>
      </c>
      <c r="F721" t="inlineStr">
        <is>
          <t>kg</t>
        </is>
      </c>
      <c r="G721" s="394" t="n">
        <v>1.169964</v>
      </c>
      <c r="H721" s="390">
        <f>IFERROR(INDEX('00_TONG_HOP_BAO_GIA'!$G$1:$G$5000, MATCH(B721, '00_TONG_HOP_BAO_GIA'!$B$1:$B$5000, 0)), 1)</f>
        <v/>
      </c>
      <c r="I721" s="395">
        <f>G721*H721</f>
        <v/>
      </c>
      <c r="J721" s="390">
        <f>IFERROR(INDEX('06_BANG_GIA_VAT_TU_AP_DUNG'!$E$1:$E$5000, MATCH(E721, '06_BANG_GIA_VAT_TU_AP_DUNG'!$B$1:$B$5000, 0)), 0)</f>
        <v/>
      </c>
      <c r="K721" s="390">
        <f>I721*J721</f>
        <v/>
      </c>
      <c r="L721" t="inlineStr">
        <is>
          <t>2 cánh cao 120mm</t>
        </is>
      </c>
    </row>
    <row r="722">
      <c r="A722" t="inlineStr">
        <is>
          <t>SW-DAMPER-316-AXLE</t>
        </is>
      </c>
      <c r="B722" t="inlineStr">
        <is>
          <t>SW-DAMPER-316</t>
        </is>
      </c>
      <c r="C722" t="inlineStr">
        <is>
          <t>Trục Sus 201 D10</t>
        </is>
      </c>
      <c r="D722" t="inlineStr">
        <is>
          <t>PHỤ_KIỆN_VAN</t>
        </is>
      </c>
      <c r="E722" t="inlineStr">
        <is>
          <t>MAT-DAMPER-TRUC-SUS-201-D10</t>
        </is>
      </c>
      <c r="F722" t="inlineStr">
        <is>
          <t>m</t>
        </is>
      </c>
      <c r="G722" s="394" t="n">
        <v>1.12</v>
      </c>
      <c r="H722" s="390">
        <f>IFERROR(INDEX('00_TONG_HOP_BAO_GIA'!$G$1:$G$5000, MATCH(B722, '00_TONG_HOP_BAO_GIA'!$B$1:$B$5000, 0)), 1)</f>
        <v/>
      </c>
      <c r="I722" s="395">
        <f>G722*H722</f>
        <v/>
      </c>
      <c r="J722" s="390">
        <f>IFERROR(INDEX('06_BANG_GIA_VAT_TU_AP_DUNG'!$E$1:$E$5000, MATCH(E722, '06_BANG_GIA_VAT_TU_AP_DUNG'!$B$1:$B$5000, 0)), 0)</f>
        <v/>
      </c>
      <c r="K722" s="390">
        <f>I722*J722</f>
        <v/>
      </c>
      <c r="L722" t="inlineStr">
        <is>
          <t>2 trục dài 560mm</t>
        </is>
      </c>
    </row>
    <row r="723">
      <c r="A723" t="inlineStr">
        <is>
          <t>SW-DAMPER-316-BEARING</t>
        </is>
      </c>
      <c r="B723" t="inlineStr">
        <is>
          <t>SW-DAMPER-316</t>
        </is>
      </c>
      <c r="C723" t="inlineStr">
        <is>
          <t>Bạc đồng D10</t>
        </is>
      </c>
      <c r="D723" t="inlineStr">
        <is>
          <t>PHỤ_KIỆN_VAN</t>
        </is>
      </c>
      <c r="E723" t="inlineStr">
        <is>
          <t>MAT-DAMPER-BAC-DONG-D10</t>
        </is>
      </c>
      <c r="F723" t="inlineStr">
        <is>
          <t>Đôi</t>
        </is>
      </c>
      <c r="G723" s="394" t="n">
        <v>2</v>
      </c>
      <c r="H723" s="390">
        <f>IFERROR(INDEX('00_TONG_HOP_BAO_GIA'!$G$1:$G$5000, MATCH(B723, '00_TONG_HOP_BAO_GIA'!$B$1:$B$5000, 0)), 1)</f>
        <v/>
      </c>
      <c r="I723" s="395">
        <f>G723*H723</f>
        <v/>
      </c>
      <c r="J723" s="390">
        <f>IFERROR(INDEX('06_BANG_GIA_VAT_TU_AP_DUNG'!$E$1:$E$5000, MATCH(E723, '06_BANG_GIA_VAT_TU_AP_DUNG'!$B$1:$B$5000, 0)), 0)</f>
        <v/>
      </c>
      <c r="K723" s="390">
        <f>I723*J723</f>
        <v/>
      </c>
      <c r="L723" t="inlineStr">
        <is>
          <t>2 đôi bạc đỡ 2 bên thân</t>
        </is>
      </c>
    </row>
    <row r="724">
      <c r="A724" t="inlineStr">
        <is>
          <t>SW-DAMPER-316-GEAR</t>
        </is>
      </c>
      <c r="B724" t="inlineStr">
        <is>
          <t>SW-DAMPER-316</t>
        </is>
      </c>
      <c r="C724" t="inlineStr">
        <is>
          <t>Bánh răng van nhôm</t>
        </is>
      </c>
      <c r="D724" t="inlineStr">
        <is>
          <t>PHỤ_KIỆN_VAN</t>
        </is>
      </c>
      <c r="E724" t="inlineStr">
        <is>
          <t>MAT-DAMPER-BANH-RANG-VAN-NHOM</t>
        </is>
      </c>
      <c r="F724" t="inlineStr">
        <is>
          <t>Bộ</t>
        </is>
      </c>
      <c r="G724" s="394" t="n">
        <v>1</v>
      </c>
      <c r="H724" s="390">
        <f>IFERROR(INDEX('00_TONG_HOP_BAO_GIA'!$G$1:$G$5000, MATCH(B724, '00_TONG_HOP_BAO_GIA'!$B$1:$B$5000, 0)), 1)</f>
        <v/>
      </c>
      <c r="I724" s="395">
        <f>G724*H724</f>
        <v/>
      </c>
      <c r="J724" s="390">
        <f>IFERROR(INDEX('06_BANG_GIA_VAT_TU_AP_DUNG'!$E$1:$E$5000, MATCH(E724, '06_BANG_GIA_VAT_TU_AP_DUNG'!$B$1:$B$5000, 0)), 0)</f>
        <v/>
      </c>
      <c r="K724" s="390">
        <f>I724*J724</f>
        <v/>
      </c>
      <c r="L724" t="inlineStr">
        <is>
          <t>Cơ cấu liên động bánh răng van</t>
        </is>
      </c>
    </row>
    <row r="725">
      <c r="A725" t="inlineStr">
        <is>
          <t>SW-DAMPER-316-FUSE</t>
        </is>
      </c>
      <c r="B725" t="inlineStr">
        <is>
          <t>SW-DAMPER-316</t>
        </is>
      </c>
      <c r="C725" t="inlineStr">
        <is>
          <t>Cầu chì nhiệt nóng chảy 70°C (Elsie/USA)</t>
        </is>
      </c>
      <c r="D725" t="inlineStr">
        <is>
          <t>PHỤ_KIỆN_VAN</t>
        </is>
      </c>
      <c r="E725" t="inlineStr">
        <is>
          <t>MAT-DAMPER-CAU-CHI-USA-2-400X400</t>
        </is>
      </c>
      <c r="F725" t="inlineStr">
        <is>
          <t>Cái</t>
        </is>
      </c>
      <c r="G725" s="394" t="n">
        <v>1</v>
      </c>
      <c r="H725" s="390">
        <f>IFERROR(INDEX('00_TONG_HOP_BAO_GIA'!$G$1:$G$5000, MATCH(B725, '00_TONG_HOP_BAO_GIA'!$B$1:$B$5000, 0)), 1)</f>
        <v/>
      </c>
      <c r="I725" s="395">
        <f>G725*H725</f>
        <v/>
      </c>
      <c r="J725" s="390">
        <f>IFERROR(INDEX('06_BANG_GIA_VAT_TU_AP_DUNG'!$E$1:$E$5000, MATCH(E725, '06_BANG_GIA_VAT_TU_AP_DUNG'!$B$1:$B$5000, 0)), 0)</f>
        <v/>
      </c>
      <c r="K725" s="390">
        <f>I725*J725</f>
        <v/>
      </c>
      <c r="L725" t="inlineStr">
        <is>
          <t>Cầu chì kiểm định PCCC</t>
        </is>
      </c>
    </row>
    <row r="726">
      <c r="A726" t="inlineStr">
        <is>
          <t>SW-DAMPER-316-FIRE_INSULATION</t>
        </is>
      </c>
      <c r="B726" t="inlineStr">
        <is>
          <t>SW-DAMPER-316</t>
        </is>
      </c>
      <c r="C726" t="inlineStr">
        <is>
          <t>Bọc cách nhiệt chống cháy tấm MGO/Thạch cao (Tiêu chuẩn EI)</t>
        </is>
      </c>
      <c r="D726" t="inlineStr">
        <is>
          <t>VẬT_LIỆU_CÁCH_NHIỆT</t>
        </is>
      </c>
      <c r="E726" t="inlineStr">
        <is>
          <t>MAT-INSULATION-EI-DAMPER</t>
        </is>
      </c>
      <c r="F726" t="inlineStr">
        <is>
          <t>m2</t>
        </is>
      </c>
      <c r="G726" s="394" t="n">
        <v>0.532224</v>
      </c>
      <c r="H726" s="390">
        <f>IFERROR(INDEX('00_TONG_HOP_BAO_GIA'!$G$1:$G$5000, MATCH(B726, '00_TONG_HOP_BAO_GIA'!$B$1:$B$5000, 0)), 1)</f>
        <v/>
      </c>
      <c r="I726" s="395">
        <f>G726*H726</f>
        <v/>
      </c>
      <c r="J726" s="390">
        <f>IFERROR(INDEX('06_BANG_GIA_VAT_TU_AP_DUNG'!$E$1:$E$5000, MATCH(E726, '06_BANG_GIA_VAT_TU_AP_DUNG'!$B$1:$B$5000, 0)), 0)</f>
        <v/>
      </c>
      <c r="K726" s="390">
        <f>I726*J726</f>
        <v/>
      </c>
      <c r="L726" t="inlineStr">
        <is>
          <t>Bọc chống cháy vỏ van (Lưu ý: Giá vật tư đang TẠM TÍNH 300k/m2)</t>
        </is>
      </c>
    </row>
    <row r="727">
      <c r="A727" t="inlineStr">
        <is>
          <t>SW-DAMPER-317-BODY</t>
        </is>
      </c>
      <c r="B727" t="inlineStr">
        <is>
          <t>SW-DAMPER-317</t>
        </is>
      </c>
      <c r="C727" t="inlineStr">
        <is>
          <t>Thân vỏ van MFD bích TDF (1.15mm)</t>
        </is>
      </c>
      <c r="D727" t="inlineStr">
        <is>
          <t>TÔN_CUỘN_MẠ_KẼM</t>
        </is>
      </c>
      <c r="E727" t="inlineStr">
        <is>
          <t>MAT-STEEL-PN-1.15</t>
        </is>
      </c>
      <c r="F727" t="inlineStr">
        <is>
          <t>kg</t>
        </is>
      </c>
      <c r="G727" s="394" t="n">
        <v>9.8276976</v>
      </c>
      <c r="H727" s="390">
        <f>IFERROR(INDEX('00_TONG_HOP_BAO_GIA'!$G$1:$G$5000, MATCH(B727, '00_TONG_HOP_BAO_GIA'!$B$1:$B$5000, 0)), 1)</f>
        <v/>
      </c>
      <c r="I727" s="395">
        <f>G727*H727</f>
        <v/>
      </c>
      <c r="J727" s="390">
        <f>IFERROR(INDEX('06_BANG_GIA_VAT_TU_AP_DUNG'!$E$1:$E$5000, MATCH(E727, '06_BANG_GIA_VAT_TU_AP_DUNG'!$B$1:$B$5000, 0)), 0)</f>
        <v/>
      </c>
      <c r="K727" s="390">
        <f>I727*J727</f>
        <v/>
      </c>
      <c r="L727" t="inlineStr">
        <is>
          <t>Kích thước vỏ 1250.0x350.0x250mm</t>
        </is>
      </c>
    </row>
    <row r="728">
      <c r="A728" t="inlineStr">
        <is>
          <t>SW-DAMPER-317-BLADE</t>
        </is>
      </c>
      <c r="B728" t="inlineStr">
        <is>
          <t>SW-DAMPER-317</t>
        </is>
      </c>
      <c r="C728" t="inlineStr">
        <is>
          <t>Lá cánh van (2 cánh overlap)</t>
        </is>
      </c>
      <c r="D728" t="inlineStr">
        <is>
          <t>TÔN_CUỘN_MẠ_KẼM</t>
        </is>
      </c>
      <c r="E728" t="inlineStr">
        <is>
          <t>MAT-STEEL-PN-1.15</t>
        </is>
      </c>
      <c r="F728" t="inlineStr">
        <is>
          <t>kg</t>
        </is>
      </c>
      <c r="G728" s="394" t="n">
        <v>4.75297875</v>
      </c>
      <c r="H728" s="390">
        <f>IFERROR(INDEX('00_TONG_HOP_BAO_GIA'!$G$1:$G$5000, MATCH(B728, '00_TONG_HOP_BAO_GIA'!$B$1:$B$5000, 0)), 1)</f>
        <v/>
      </c>
      <c r="I728" s="395">
        <f>G728*H728</f>
        <v/>
      </c>
      <c r="J728" s="390">
        <f>IFERROR(INDEX('06_BANG_GIA_VAT_TU_AP_DUNG'!$E$1:$E$5000, MATCH(E728, '06_BANG_GIA_VAT_TU_AP_DUNG'!$B$1:$B$5000, 0)), 0)</f>
        <v/>
      </c>
      <c r="K728" s="390">
        <f>I728*J728</f>
        <v/>
      </c>
      <c r="L728" t="inlineStr">
        <is>
          <t>2 cánh cao 195mm</t>
        </is>
      </c>
    </row>
    <row r="729">
      <c r="A729" t="inlineStr">
        <is>
          <t>SW-DAMPER-317-AXLE</t>
        </is>
      </c>
      <c r="B729" t="inlineStr">
        <is>
          <t>SW-DAMPER-317</t>
        </is>
      </c>
      <c r="C729" t="inlineStr">
        <is>
          <t>Trục Sus 201 D10</t>
        </is>
      </c>
      <c r="D729" t="inlineStr">
        <is>
          <t>PHỤ_KIỆN_VAN</t>
        </is>
      </c>
      <c r="E729" t="inlineStr">
        <is>
          <t>MAT-DAMPER-TRUC-SUS-201-D10</t>
        </is>
      </c>
      <c r="F729" t="inlineStr">
        <is>
          <t>m</t>
        </is>
      </c>
      <c r="G729" s="394" t="n">
        <v>2.62</v>
      </c>
      <c r="H729" s="390">
        <f>IFERROR(INDEX('00_TONG_HOP_BAO_GIA'!$G$1:$G$5000, MATCH(B729, '00_TONG_HOP_BAO_GIA'!$B$1:$B$5000, 0)), 1)</f>
        <v/>
      </c>
      <c r="I729" s="395">
        <f>G729*H729</f>
        <v/>
      </c>
      <c r="J729" s="390">
        <f>IFERROR(INDEX('06_BANG_GIA_VAT_TU_AP_DUNG'!$E$1:$E$5000, MATCH(E729, '06_BANG_GIA_VAT_TU_AP_DUNG'!$B$1:$B$5000, 0)), 0)</f>
        <v/>
      </c>
      <c r="K729" s="390">
        <f>I729*J729</f>
        <v/>
      </c>
      <c r="L729" t="inlineStr">
        <is>
          <t>2 trục dài 1310mm</t>
        </is>
      </c>
    </row>
    <row r="730">
      <c r="A730" t="inlineStr">
        <is>
          <t>SW-DAMPER-317-BEARING</t>
        </is>
      </c>
      <c r="B730" t="inlineStr">
        <is>
          <t>SW-DAMPER-317</t>
        </is>
      </c>
      <c r="C730" t="inlineStr">
        <is>
          <t>Bạc đồng D10</t>
        </is>
      </c>
      <c r="D730" t="inlineStr">
        <is>
          <t>PHỤ_KIỆN_VAN</t>
        </is>
      </c>
      <c r="E730" t="inlineStr">
        <is>
          <t>MAT-DAMPER-BAC-DONG-D10</t>
        </is>
      </c>
      <c r="F730" t="inlineStr">
        <is>
          <t>Đôi</t>
        </is>
      </c>
      <c r="G730" s="394" t="n">
        <v>2</v>
      </c>
      <c r="H730" s="390">
        <f>IFERROR(INDEX('00_TONG_HOP_BAO_GIA'!$G$1:$G$5000, MATCH(B730, '00_TONG_HOP_BAO_GIA'!$B$1:$B$5000, 0)), 1)</f>
        <v/>
      </c>
      <c r="I730" s="395">
        <f>G730*H730</f>
        <v/>
      </c>
      <c r="J730" s="390">
        <f>IFERROR(INDEX('06_BANG_GIA_VAT_TU_AP_DUNG'!$E$1:$E$5000, MATCH(E730, '06_BANG_GIA_VAT_TU_AP_DUNG'!$B$1:$B$5000, 0)), 0)</f>
        <v/>
      </c>
      <c r="K730" s="390">
        <f>I730*J730</f>
        <v/>
      </c>
      <c r="L730" t="inlineStr">
        <is>
          <t>2 đôi bạc đỡ 2 bên thân</t>
        </is>
      </c>
    </row>
    <row r="731">
      <c r="A731" t="inlineStr">
        <is>
          <t>SW-DAMPER-317-GEAR</t>
        </is>
      </c>
      <c r="B731" t="inlineStr">
        <is>
          <t>SW-DAMPER-317</t>
        </is>
      </c>
      <c r="C731" t="inlineStr">
        <is>
          <t>Bánh răng van nhôm</t>
        </is>
      </c>
      <c r="D731" t="inlineStr">
        <is>
          <t>PHỤ_KIỆN_VAN</t>
        </is>
      </c>
      <c r="E731" t="inlineStr">
        <is>
          <t>MAT-DAMPER-BANH-RANG-VAN-NHOM</t>
        </is>
      </c>
      <c r="F731" t="inlineStr">
        <is>
          <t>Bộ</t>
        </is>
      </c>
      <c r="G731" s="394" t="n">
        <v>1</v>
      </c>
      <c r="H731" s="390">
        <f>IFERROR(INDEX('00_TONG_HOP_BAO_GIA'!$G$1:$G$5000, MATCH(B731, '00_TONG_HOP_BAO_GIA'!$B$1:$B$5000, 0)), 1)</f>
        <v/>
      </c>
      <c r="I731" s="395">
        <f>G731*H731</f>
        <v/>
      </c>
      <c r="J731" s="390">
        <f>IFERROR(INDEX('06_BANG_GIA_VAT_TU_AP_DUNG'!$E$1:$E$5000, MATCH(E731, '06_BANG_GIA_VAT_TU_AP_DUNG'!$B$1:$B$5000, 0)), 0)</f>
        <v/>
      </c>
      <c r="K731" s="390">
        <f>I731*J731</f>
        <v/>
      </c>
      <c r="L731" t="inlineStr">
        <is>
          <t>Cơ cấu liên động bánh răng van</t>
        </is>
      </c>
    </row>
    <row r="732">
      <c r="A732" t="inlineStr">
        <is>
          <t>SW-DAMPER-317-ACTUATOR</t>
        </is>
      </c>
      <c r="B732" t="inlineStr">
        <is>
          <t>SW-DAMPER-317</t>
        </is>
      </c>
      <c r="C732" t="inlineStr">
        <is>
          <t>Động cơ chặn lửa ON/OFF 9Nm, 24V (BELIMO BFN 24 hoặc tương đương)</t>
        </is>
      </c>
      <c r="D732" t="inlineStr">
        <is>
          <t>ĐỘNG_CƠ_VÀ_CẢM_BIẾN</t>
        </is>
      </c>
      <c r="E732" t="inlineStr">
        <is>
          <t>MAT-ACTUATOR-BELIMO-BFN24</t>
        </is>
      </c>
      <c r="F732" t="inlineStr">
        <is>
          <t>Cái</t>
        </is>
      </c>
      <c r="G732" s="394" t="n">
        <v>1</v>
      </c>
      <c r="H732" s="390">
        <f>IFERROR(INDEX('00_TONG_HOP_BAO_GIA'!$G$1:$G$5000, MATCH(B732, '00_TONG_HOP_BAO_GIA'!$B$1:$B$5000, 0)), 1)</f>
        <v/>
      </c>
      <c r="I732" s="395">
        <f>G732*H732</f>
        <v/>
      </c>
      <c r="J732" s="390">
        <f>IFERROR(INDEX('06_BANG_GIA_VAT_TU_AP_DUNG'!$E$1:$E$5000, MATCH(E732, '06_BANG_GIA_VAT_TU_AP_DUNG'!$B$1:$B$5000, 0)), 0)</f>
        <v/>
      </c>
      <c r="K732" s="390">
        <f>I732*J732</f>
        <v/>
      </c>
      <c r="L732" t="inlineStr">
        <is>
          <t>Động cơ lò xo phản hồi cho MFD (S=0.44m2)</t>
        </is>
      </c>
    </row>
    <row r="733">
      <c r="A733" t="inlineStr">
        <is>
          <t>SW-DAMPER-317-FIRE_INSULATION</t>
        </is>
      </c>
      <c r="B733" t="inlineStr">
        <is>
          <t>SW-DAMPER-317</t>
        </is>
      </c>
      <c r="C733" t="inlineStr">
        <is>
          <t>Bọc cách nhiệt chống cháy tấm MGO/Thạch cao (Tiêu chuẩn EI)</t>
        </is>
      </c>
      <c r="D733" t="inlineStr">
        <is>
          <t>VẬT_LIỆU_CÁCH_NHIỆT</t>
        </is>
      </c>
      <c r="E733" t="inlineStr">
        <is>
          <t>MAT-INSULATION-EI-DAMPER</t>
        </is>
      </c>
      <c r="F733" t="inlineStr">
        <is>
          <t>m2</t>
        </is>
      </c>
      <c r="G733" s="394" t="n">
        <v>1.197504</v>
      </c>
      <c r="H733" s="390">
        <f>IFERROR(INDEX('00_TONG_HOP_BAO_GIA'!$G$1:$G$5000, MATCH(B733, '00_TONG_HOP_BAO_GIA'!$B$1:$B$5000, 0)), 1)</f>
        <v/>
      </c>
      <c r="I733" s="395">
        <f>G733*H733</f>
        <v/>
      </c>
      <c r="J733" s="390">
        <f>IFERROR(INDEX('06_BANG_GIA_VAT_TU_AP_DUNG'!$E$1:$E$5000, MATCH(E733, '06_BANG_GIA_VAT_TU_AP_DUNG'!$B$1:$B$5000, 0)), 0)</f>
        <v/>
      </c>
      <c r="K733" s="390">
        <f>I733*J733</f>
        <v/>
      </c>
      <c r="L733" t="inlineStr">
        <is>
          <t>Bọc chống cháy vỏ van (Lưu ý: Giá vật tư đang TẠM TÍNH 300k/m2)</t>
        </is>
      </c>
    </row>
    <row r="734">
      <c r="A734" t="inlineStr">
        <is>
          <t>SW-DAMPER-318-BODY</t>
        </is>
      </c>
      <c r="B734" t="inlineStr">
        <is>
          <t>SW-DAMPER-318</t>
        </is>
      </c>
      <c r="C734" t="inlineStr">
        <is>
          <t>Thân vỏ van MFD bích TDF (1.15mm)</t>
        </is>
      </c>
      <c r="D734" t="inlineStr">
        <is>
          <t>TÔN_CUỘN_MẠ_KẼM</t>
        </is>
      </c>
      <c r="E734" t="inlineStr">
        <is>
          <t>MAT-STEEL-PN-1.15</t>
        </is>
      </c>
      <c r="F734" t="inlineStr">
        <is>
          <t>kg</t>
        </is>
      </c>
      <c r="G734" s="394" t="n">
        <v>9.524373600000001</v>
      </c>
      <c r="H734" s="390">
        <f>IFERROR(INDEX('00_TONG_HOP_BAO_GIA'!$G$1:$G$5000, MATCH(B734, '00_TONG_HOP_BAO_GIA'!$B$1:$B$5000, 0)), 1)</f>
        <v/>
      </c>
      <c r="I734" s="395">
        <f>G734*H734</f>
        <v/>
      </c>
      <c r="J734" s="390">
        <f>IFERROR(INDEX('06_BANG_GIA_VAT_TU_AP_DUNG'!$E$1:$E$5000, MATCH(E734, '06_BANG_GIA_VAT_TU_AP_DUNG'!$B$1:$B$5000, 0)), 0)</f>
        <v/>
      </c>
      <c r="K734" s="390">
        <f>I734*J734</f>
        <v/>
      </c>
      <c r="L734" t="inlineStr">
        <is>
          <t>Kích thước vỏ 1000.0x550.0x250mm</t>
        </is>
      </c>
    </row>
    <row r="735">
      <c r="A735" t="inlineStr">
        <is>
          <t>SW-DAMPER-318-BLADE</t>
        </is>
      </c>
      <c r="B735" t="inlineStr">
        <is>
          <t>SW-DAMPER-318</t>
        </is>
      </c>
      <c r="C735" t="inlineStr">
        <is>
          <t>Lá cánh van (4 cánh overlap)</t>
        </is>
      </c>
      <c r="D735" t="inlineStr">
        <is>
          <t>TÔN_CUỘN_MẠ_KẼM</t>
        </is>
      </c>
      <c r="E735" t="inlineStr">
        <is>
          <t>MAT-STEEL-PN-1.15</t>
        </is>
      </c>
      <c r="F735" t="inlineStr">
        <is>
          <t>kg</t>
        </is>
      </c>
      <c r="G735" s="394" t="n">
        <v>6.142310999999999</v>
      </c>
      <c r="H735" s="390">
        <f>IFERROR(INDEX('00_TONG_HOP_BAO_GIA'!$G$1:$G$5000, MATCH(B735, '00_TONG_HOP_BAO_GIA'!$B$1:$B$5000, 0)), 1)</f>
        <v/>
      </c>
      <c r="I735" s="395">
        <f>G735*H735</f>
        <v/>
      </c>
      <c r="J735" s="390">
        <f>IFERROR(INDEX('06_BANG_GIA_VAT_TU_AP_DUNG'!$E$1:$E$5000, MATCH(E735, '06_BANG_GIA_VAT_TU_AP_DUNG'!$B$1:$B$5000, 0)), 0)</f>
        <v/>
      </c>
      <c r="K735" s="390">
        <f>I735*J735</f>
        <v/>
      </c>
      <c r="L735" t="inlineStr">
        <is>
          <t>4 cánh cao 158mm</t>
        </is>
      </c>
    </row>
    <row r="736">
      <c r="A736" t="inlineStr">
        <is>
          <t>SW-DAMPER-318-AXLE</t>
        </is>
      </c>
      <c r="B736" t="inlineStr">
        <is>
          <t>SW-DAMPER-318</t>
        </is>
      </c>
      <c r="C736" t="inlineStr">
        <is>
          <t>Trục Sus 201 D10</t>
        </is>
      </c>
      <c r="D736" t="inlineStr">
        <is>
          <t>PHỤ_KIỆN_VAN</t>
        </is>
      </c>
      <c r="E736" t="inlineStr">
        <is>
          <t>MAT-DAMPER-TRUC-SUS-201-D10</t>
        </is>
      </c>
      <c r="F736" t="inlineStr">
        <is>
          <t>m</t>
        </is>
      </c>
      <c r="G736" s="394" t="n">
        <v>4.24</v>
      </c>
      <c r="H736" s="390">
        <f>IFERROR(INDEX('00_TONG_HOP_BAO_GIA'!$G$1:$G$5000, MATCH(B736, '00_TONG_HOP_BAO_GIA'!$B$1:$B$5000, 0)), 1)</f>
        <v/>
      </c>
      <c r="I736" s="395">
        <f>G736*H736</f>
        <v/>
      </c>
      <c r="J736" s="390">
        <f>IFERROR(INDEX('06_BANG_GIA_VAT_TU_AP_DUNG'!$E$1:$E$5000, MATCH(E736, '06_BANG_GIA_VAT_TU_AP_DUNG'!$B$1:$B$5000, 0)), 0)</f>
        <v/>
      </c>
      <c r="K736" s="390">
        <f>I736*J736</f>
        <v/>
      </c>
      <c r="L736" t="inlineStr">
        <is>
          <t>4 trục dài 1060mm</t>
        </is>
      </c>
    </row>
    <row r="737">
      <c r="A737" t="inlineStr">
        <is>
          <t>SW-DAMPER-318-BEARING</t>
        </is>
      </c>
      <c r="B737" t="inlineStr">
        <is>
          <t>SW-DAMPER-318</t>
        </is>
      </c>
      <c r="C737" t="inlineStr">
        <is>
          <t>Bạc đồng D10</t>
        </is>
      </c>
      <c r="D737" t="inlineStr">
        <is>
          <t>PHỤ_KIỆN_VAN</t>
        </is>
      </c>
      <c r="E737" t="inlineStr">
        <is>
          <t>MAT-DAMPER-BAC-DONG-D10</t>
        </is>
      </c>
      <c r="F737" t="inlineStr">
        <is>
          <t>Đôi</t>
        </is>
      </c>
      <c r="G737" s="394" t="n">
        <v>4</v>
      </c>
      <c r="H737" s="390">
        <f>IFERROR(INDEX('00_TONG_HOP_BAO_GIA'!$G$1:$G$5000, MATCH(B737, '00_TONG_HOP_BAO_GIA'!$B$1:$B$5000, 0)), 1)</f>
        <v/>
      </c>
      <c r="I737" s="395">
        <f>G737*H737</f>
        <v/>
      </c>
      <c r="J737" s="390">
        <f>IFERROR(INDEX('06_BANG_GIA_VAT_TU_AP_DUNG'!$E$1:$E$5000, MATCH(E737, '06_BANG_GIA_VAT_TU_AP_DUNG'!$B$1:$B$5000, 0)), 0)</f>
        <v/>
      </c>
      <c r="K737" s="390">
        <f>I737*J737</f>
        <v/>
      </c>
      <c r="L737" t="inlineStr">
        <is>
          <t>4 đôi bạc đỡ 2 bên thân</t>
        </is>
      </c>
    </row>
    <row r="738">
      <c r="A738" t="inlineStr">
        <is>
          <t>SW-DAMPER-318-GEAR</t>
        </is>
      </c>
      <c r="B738" t="inlineStr">
        <is>
          <t>SW-DAMPER-318</t>
        </is>
      </c>
      <c r="C738" t="inlineStr">
        <is>
          <t>Bánh răng van nhôm</t>
        </is>
      </c>
      <c r="D738" t="inlineStr">
        <is>
          <t>PHỤ_KIỆN_VAN</t>
        </is>
      </c>
      <c r="E738" t="inlineStr">
        <is>
          <t>MAT-DAMPER-BANH-RANG-VAN-NHOM</t>
        </is>
      </c>
      <c r="F738" t="inlineStr">
        <is>
          <t>Bộ</t>
        </is>
      </c>
      <c r="G738" s="394" t="n">
        <v>1</v>
      </c>
      <c r="H738" s="390">
        <f>IFERROR(INDEX('00_TONG_HOP_BAO_GIA'!$G$1:$G$5000, MATCH(B738, '00_TONG_HOP_BAO_GIA'!$B$1:$B$5000, 0)), 1)</f>
        <v/>
      </c>
      <c r="I738" s="395">
        <f>G738*H738</f>
        <v/>
      </c>
      <c r="J738" s="390">
        <f>IFERROR(INDEX('06_BANG_GIA_VAT_TU_AP_DUNG'!$E$1:$E$5000, MATCH(E738, '06_BANG_GIA_VAT_TU_AP_DUNG'!$B$1:$B$5000, 0)), 0)</f>
        <v/>
      </c>
      <c r="K738" s="390">
        <f>I738*J738</f>
        <v/>
      </c>
      <c r="L738" t="inlineStr">
        <is>
          <t>Cơ cấu liên động bánh răng van</t>
        </is>
      </c>
    </row>
    <row r="739">
      <c r="A739" t="inlineStr">
        <is>
          <t>SW-DAMPER-318-ACTUATOR</t>
        </is>
      </c>
      <c r="B739" t="inlineStr">
        <is>
          <t>SW-DAMPER-318</t>
        </is>
      </c>
      <c r="C739" t="inlineStr">
        <is>
          <t>Động cơ chặn lửa ON/OFF 9Nm, 24V (BELIMO BFN 24 hoặc tương đương)</t>
        </is>
      </c>
      <c r="D739" t="inlineStr">
        <is>
          <t>ĐỘNG_CƠ_VÀ_CẢM_BIẾN</t>
        </is>
      </c>
      <c r="E739" t="inlineStr">
        <is>
          <t>MAT-ACTUATOR-BELIMO-BFN24</t>
        </is>
      </c>
      <c r="F739" t="inlineStr">
        <is>
          <t>Cái</t>
        </is>
      </c>
      <c r="G739" s="394" t="n">
        <v>1</v>
      </c>
      <c r="H739" s="390">
        <f>IFERROR(INDEX('00_TONG_HOP_BAO_GIA'!$G$1:$G$5000, MATCH(B739, '00_TONG_HOP_BAO_GIA'!$B$1:$B$5000, 0)), 1)</f>
        <v/>
      </c>
      <c r="I739" s="395">
        <f>G739*H739</f>
        <v/>
      </c>
      <c r="J739" s="390">
        <f>IFERROR(INDEX('06_BANG_GIA_VAT_TU_AP_DUNG'!$E$1:$E$5000, MATCH(E739, '06_BANG_GIA_VAT_TU_AP_DUNG'!$B$1:$B$5000, 0)), 0)</f>
        <v/>
      </c>
      <c r="K739" s="390">
        <f>I739*J739</f>
        <v/>
      </c>
      <c r="L739" t="inlineStr">
        <is>
          <t>Động cơ lò xo phản hồi cho MFD (S=0.55m2)</t>
        </is>
      </c>
    </row>
    <row r="740">
      <c r="A740" t="inlineStr">
        <is>
          <t>SW-DAMPER-318-FIRE_INSULATION</t>
        </is>
      </c>
      <c r="B740" t="inlineStr">
        <is>
          <t>SW-DAMPER-318</t>
        </is>
      </c>
      <c r="C740" t="inlineStr">
        <is>
          <t>Bọc cách nhiệt chống cháy tấm MGO/Thạch cao (Tiêu chuẩn EI)</t>
        </is>
      </c>
      <c r="D740" t="inlineStr">
        <is>
          <t>VẬT_LIỆU_CÁCH_NHIỆT</t>
        </is>
      </c>
      <c r="E740" t="inlineStr">
        <is>
          <t>MAT-INSULATION-EI-DAMPER</t>
        </is>
      </c>
      <c r="F740" t="inlineStr">
        <is>
          <t>m2</t>
        </is>
      </c>
      <c r="G740" s="394" t="n">
        <v>1.160544</v>
      </c>
      <c r="H740" s="390">
        <f>IFERROR(INDEX('00_TONG_HOP_BAO_GIA'!$G$1:$G$5000, MATCH(B740, '00_TONG_HOP_BAO_GIA'!$B$1:$B$5000, 0)), 1)</f>
        <v/>
      </c>
      <c r="I740" s="395">
        <f>G740*H740</f>
        <v/>
      </c>
      <c r="J740" s="390">
        <f>IFERROR(INDEX('06_BANG_GIA_VAT_TU_AP_DUNG'!$E$1:$E$5000, MATCH(E740, '06_BANG_GIA_VAT_TU_AP_DUNG'!$B$1:$B$5000, 0)), 0)</f>
        <v/>
      </c>
      <c r="K740" s="390">
        <f>I740*J740</f>
        <v/>
      </c>
      <c r="L740" t="inlineStr">
        <is>
          <t>Bọc chống cháy vỏ van (Lưu ý: Giá vật tư đang TẠM TÍNH 300k/m2)</t>
        </is>
      </c>
    </row>
    <row r="741">
      <c r="A741" t="inlineStr">
        <is>
          <t>SW-DAMPER-319-BODY</t>
        </is>
      </c>
      <c r="B741" t="inlineStr">
        <is>
          <t>SW-DAMPER-319</t>
        </is>
      </c>
      <c r="C741" t="inlineStr">
        <is>
          <t>Thân vỏ van MFD bích TDF (1.15mm)</t>
        </is>
      </c>
      <c r="D741" t="inlineStr">
        <is>
          <t>TÔN_CUỘN_MẠ_KẼM</t>
        </is>
      </c>
      <c r="E741" t="inlineStr">
        <is>
          <t>MAT-STEEL-PN-1.15</t>
        </is>
      </c>
      <c r="F741" t="inlineStr">
        <is>
          <t>kg</t>
        </is>
      </c>
      <c r="G741" s="394" t="n">
        <v>4.367865599999999</v>
      </c>
      <c r="H741" s="390">
        <f>IFERROR(INDEX('00_TONG_HOP_BAO_GIA'!$G$1:$G$5000, MATCH(B741, '00_TONG_HOP_BAO_GIA'!$B$1:$B$5000, 0)), 1)</f>
        <v/>
      </c>
      <c r="I741" s="395">
        <f>G741*H741</f>
        <v/>
      </c>
      <c r="J741" s="390">
        <f>IFERROR(INDEX('06_BANG_GIA_VAT_TU_AP_DUNG'!$E$1:$E$5000, MATCH(E741, '06_BANG_GIA_VAT_TU_AP_DUNG'!$B$1:$B$5000, 0)), 0)</f>
        <v/>
      </c>
      <c r="K741" s="390">
        <f>I741*J741</f>
        <v/>
      </c>
      <c r="L741" t="inlineStr">
        <is>
          <t>Kích thước vỏ 500.0x200.0x250mm</t>
        </is>
      </c>
    </row>
    <row r="742">
      <c r="A742" t="inlineStr">
        <is>
          <t>SW-DAMPER-319-BLADE</t>
        </is>
      </c>
      <c r="B742" t="inlineStr">
        <is>
          <t>SW-DAMPER-319</t>
        </is>
      </c>
      <c r="C742" t="inlineStr">
        <is>
          <t>Lá cánh van (2 cánh overlap)</t>
        </is>
      </c>
      <c r="D742" t="inlineStr">
        <is>
          <t>TÔN_CUỘN_MẠ_KẼM</t>
        </is>
      </c>
      <c r="E742" t="inlineStr">
        <is>
          <t>MAT-STEEL-PN-1.15</t>
        </is>
      </c>
      <c r="F742" t="inlineStr">
        <is>
          <t>kg</t>
        </is>
      </c>
      <c r="G742" s="394" t="n">
        <v>1.169964</v>
      </c>
      <c r="H742" s="390">
        <f>IFERROR(INDEX('00_TONG_HOP_BAO_GIA'!$G$1:$G$5000, MATCH(B742, '00_TONG_HOP_BAO_GIA'!$B$1:$B$5000, 0)), 1)</f>
        <v/>
      </c>
      <c r="I742" s="395">
        <f>G742*H742</f>
        <v/>
      </c>
      <c r="J742" s="390">
        <f>IFERROR(INDEX('06_BANG_GIA_VAT_TU_AP_DUNG'!$E$1:$E$5000, MATCH(E742, '06_BANG_GIA_VAT_TU_AP_DUNG'!$B$1:$B$5000, 0)), 0)</f>
        <v/>
      </c>
      <c r="K742" s="390">
        <f>I742*J742</f>
        <v/>
      </c>
      <c r="L742" t="inlineStr">
        <is>
          <t>2 cánh cao 120mm</t>
        </is>
      </c>
    </row>
    <row r="743">
      <c r="A743" t="inlineStr">
        <is>
          <t>SW-DAMPER-319-AXLE</t>
        </is>
      </c>
      <c r="B743" t="inlineStr">
        <is>
          <t>SW-DAMPER-319</t>
        </is>
      </c>
      <c r="C743" t="inlineStr">
        <is>
          <t>Trục Sus 201 D10</t>
        </is>
      </c>
      <c r="D743" t="inlineStr">
        <is>
          <t>PHỤ_KIỆN_VAN</t>
        </is>
      </c>
      <c r="E743" t="inlineStr">
        <is>
          <t>MAT-DAMPER-TRUC-SUS-201-D10</t>
        </is>
      </c>
      <c r="F743" t="inlineStr">
        <is>
          <t>m</t>
        </is>
      </c>
      <c r="G743" s="394" t="n">
        <v>1.12</v>
      </c>
      <c r="H743" s="390">
        <f>IFERROR(INDEX('00_TONG_HOP_BAO_GIA'!$G$1:$G$5000, MATCH(B743, '00_TONG_HOP_BAO_GIA'!$B$1:$B$5000, 0)), 1)</f>
        <v/>
      </c>
      <c r="I743" s="395">
        <f>G743*H743</f>
        <v/>
      </c>
      <c r="J743" s="390">
        <f>IFERROR(INDEX('06_BANG_GIA_VAT_TU_AP_DUNG'!$E$1:$E$5000, MATCH(E743, '06_BANG_GIA_VAT_TU_AP_DUNG'!$B$1:$B$5000, 0)), 0)</f>
        <v/>
      </c>
      <c r="K743" s="390">
        <f>I743*J743</f>
        <v/>
      </c>
      <c r="L743" t="inlineStr">
        <is>
          <t>2 trục dài 560mm</t>
        </is>
      </c>
    </row>
    <row r="744">
      <c r="A744" t="inlineStr">
        <is>
          <t>SW-DAMPER-319-BEARING</t>
        </is>
      </c>
      <c r="B744" t="inlineStr">
        <is>
          <t>SW-DAMPER-319</t>
        </is>
      </c>
      <c r="C744" t="inlineStr">
        <is>
          <t>Bạc đồng D10</t>
        </is>
      </c>
      <c r="D744" t="inlineStr">
        <is>
          <t>PHỤ_KIỆN_VAN</t>
        </is>
      </c>
      <c r="E744" t="inlineStr">
        <is>
          <t>MAT-DAMPER-BAC-DONG-D10</t>
        </is>
      </c>
      <c r="F744" t="inlineStr">
        <is>
          <t>Đôi</t>
        </is>
      </c>
      <c r="G744" s="394" t="n">
        <v>2</v>
      </c>
      <c r="H744" s="390">
        <f>IFERROR(INDEX('00_TONG_HOP_BAO_GIA'!$G$1:$G$5000, MATCH(B744, '00_TONG_HOP_BAO_GIA'!$B$1:$B$5000, 0)), 1)</f>
        <v/>
      </c>
      <c r="I744" s="395">
        <f>G744*H744</f>
        <v/>
      </c>
      <c r="J744" s="390">
        <f>IFERROR(INDEX('06_BANG_GIA_VAT_TU_AP_DUNG'!$E$1:$E$5000, MATCH(E744, '06_BANG_GIA_VAT_TU_AP_DUNG'!$B$1:$B$5000, 0)), 0)</f>
        <v/>
      </c>
      <c r="K744" s="390">
        <f>I744*J744</f>
        <v/>
      </c>
      <c r="L744" t="inlineStr">
        <is>
          <t>2 đôi bạc đỡ 2 bên thân</t>
        </is>
      </c>
    </row>
    <row r="745">
      <c r="A745" t="inlineStr">
        <is>
          <t>SW-DAMPER-319-GEAR</t>
        </is>
      </c>
      <c r="B745" t="inlineStr">
        <is>
          <t>SW-DAMPER-319</t>
        </is>
      </c>
      <c r="C745" t="inlineStr">
        <is>
          <t>Bánh răng van nhôm</t>
        </is>
      </c>
      <c r="D745" t="inlineStr">
        <is>
          <t>PHỤ_KIỆN_VAN</t>
        </is>
      </c>
      <c r="E745" t="inlineStr">
        <is>
          <t>MAT-DAMPER-BANH-RANG-VAN-NHOM</t>
        </is>
      </c>
      <c r="F745" t="inlineStr">
        <is>
          <t>Bộ</t>
        </is>
      </c>
      <c r="G745" s="394" t="n">
        <v>1</v>
      </c>
      <c r="H745" s="390">
        <f>IFERROR(INDEX('00_TONG_HOP_BAO_GIA'!$G$1:$G$5000, MATCH(B745, '00_TONG_HOP_BAO_GIA'!$B$1:$B$5000, 0)), 1)</f>
        <v/>
      </c>
      <c r="I745" s="395">
        <f>G745*H745</f>
        <v/>
      </c>
      <c r="J745" s="390">
        <f>IFERROR(INDEX('06_BANG_GIA_VAT_TU_AP_DUNG'!$E$1:$E$5000, MATCH(E745, '06_BANG_GIA_VAT_TU_AP_DUNG'!$B$1:$B$5000, 0)), 0)</f>
        <v/>
      </c>
      <c r="K745" s="390">
        <f>I745*J745</f>
        <v/>
      </c>
      <c r="L745" t="inlineStr">
        <is>
          <t>Cơ cấu liên động bánh răng van</t>
        </is>
      </c>
    </row>
    <row r="746">
      <c r="A746" t="inlineStr">
        <is>
          <t>SW-DAMPER-319-ACTUATOR</t>
        </is>
      </c>
      <c r="B746" t="inlineStr">
        <is>
          <t>SW-DAMPER-319</t>
        </is>
      </c>
      <c r="C746" t="inlineStr">
        <is>
          <t>Động cơ chặn lửa ON/OFF 9Nm, 24V (BELIMO BFN 24 hoặc tương đương)</t>
        </is>
      </c>
      <c r="D746" t="inlineStr">
        <is>
          <t>ĐỘNG_CƠ_VÀ_CẢM_BIẾN</t>
        </is>
      </c>
      <c r="E746" t="inlineStr">
        <is>
          <t>MAT-ACTUATOR-BELIMO-BFN24</t>
        </is>
      </c>
      <c r="F746" t="inlineStr">
        <is>
          <t>Cái</t>
        </is>
      </c>
      <c r="G746" s="394" t="n">
        <v>1</v>
      </c>
      <c r="H746" s="390">
        <f>IFERROR(INDEX('00_TONG_HOP_BAO_GIA'!$G$1:$G$5000, MATCH(B746, '00_TONG_HOP_BAO_GIA'!$B$1:$B$5000, 0)), 1)</f>
        <v/>
      </c>
      <c r="I746" s="395">
        <f>G746*H746</f>
        <v/>
      </c>
      <c r="J746" s="390">
        <f>IFERROR(INDEX('06_BANG_GIA_VAT_TU_AP_DUNG'!$E$1:$E$5000, MATCH(E746, '06_BANG_GIA_VAT_TU_AP_DUNG'!$B$1:$B$5000, 0)), 0)</f>
        <v/>
      </c>
      <c r="K746" s="390">
        <f>I746*J746</f>
        <v/>
      </c>
      <c r="L746" t="inlineStr">
        <is>
          <t>Động cơ lò xo phản hồi cho MFD (S=0.10m2)</t>
        </is>
      </c>
    </row>
    <row r="747">
      <c r="A747" t="inlineStr">
        <is>
          <t>SW-DAMPER-319-FIRE_INSULATION</t>
        </is>
      </c>
      <c r="B747" t="inlineStr">
        <is>
          <t>SW-DAMPER-319</t>
        </is>
      </c>
      <c r="C747" t="inlineStr">
        <is>
          <t>Bọc cách nhiệt chống cháy tấm MGO/Thạch cao (Tiêu chuẩn EI)</t>
        </is>
      </c>
      <c r="D747" t="inlineStr">
        <is>
          <t>VẬT_LIỆU_CÁCH_NHIỆT</t>
        </is>
      </c>
      <c r="E747" t="inlineStr">
        <is>
          <t>MAT-INSULATION-EI-DAMPER</t>
        </is>
      </c>
      <c r="F747" t="inlineStr">
        <is>
          <t>m2</t>
        </is>
      </c>
      <c r="G747" s="394" t="n">
        <v>0.532224</v>
      </c>
      <c r="H747" s="390">
        <f>IFERROR(INDEX('00_TONG_HOP_BAO_GIA'!$G$1:$G$5000, MATCH(B747, '00_TONG_HOP_BAO_GIA'!$B$1:$B$5000, 0)), 1)</f>
        <v/>
      </c>
      <c r="I747" s="395">
        <f>G747*H747</f>
        <v/>
      </c>
      <c r="J747" s="390">
        <f>IFERROR(INDEX('06_BANG_GIA_VAT_TU_AP_DUNG'!$E$1:$E$5000, MATCH(E747, '06_BANG_GIA_VAT_TU_AP_DUNG'!$B$1:$B$5000, 0)), 0)</f>
        <v/>
      </c>
      <c r="K747" s="390">
        <f>I747*J747</f>
        <v/>
      </c>
      <c r="L747" t="inlineStr">
        <is>
          <t>Bọc chống cháy vỏ van (Lưu ý: Giá vật tư đang TẠM TÍNH 300k/m2)</t>
        </is>
      </c>
    </row>
    <row r="748">
      <c r="A748" t="inlineStr">
        <is>
          <t>SW-DAMPER-320-BODY</t>
        </is>
      </c>
      <c r="B748" t="inlineStr">
        <is>
          <t>SW-DAMPER-320</t>
        </is>
      </c>
      <c r="C748" t="inlineStr">
        <is>
          <t>Thân vỏ van MFD bích TDF (1.15mm)</t>
        </is>
      </c>
      <c r="D748" t="inlineStr">
        <is>
          <t>TÔN_CUỘN_MẠ_KẼM</t>
        </is>
      </c>
      <c r="E748" t="inlineStr">
        <is>
          <t>MAT-STEEL-PN-1.15</t>
        </is>
      </c>
      <c r="F748" t="inlineStr">
        <is>
          <t>kg</t>
        </is>
      </c>
      <c r="G748" s="394" t="n">
        <v>6.794457599999999</v>
      </c>
      <c r="H748" s="390">
        <f>IFERROR(INDEX('00_TONG_HOP_BAO_GIA'!$G$1:$G$5000, MATCH(B748, '00_TONG_HOP_BAO_GIA'!$B$1:$B$5000, 0)), 1)</f>
        <v/>
      </c>
      <c r="I748" s="395">
        <f>G748*H748</f>
        <v/>
      </c>
      <c r="J748" s="390">
        <f>IFERROR(INDEX('06_BANG_GIA_VAT_TU_AP_DUNG'!$E$1:$E$5000, MATCH(E748, '06_BANG_GIA_VAT_TU_AP_DUNG'!$B$1:$B$5000, 0)), 0)</f>
        <v/>
      </c>
      <c r="K748" s="390">
        <f>I748*J748</f>
        <v/>
      </c>
      <c r="L748" t="inlineStr">
        <is>
          <t>Kích thước vỏ 800.0x300.0x250mm</t>
        </is>
      </c>
    </row>
    <row r="749">
      <c r="A749" t="inlineStr">
        <is>
          <t>SW-DAMPER-320-BLADE</t>
        </is>
      </c>
      <c r="B749" t="inlineStr">
        <is>
          <t>SW-DAMPER-320</t>
        </is>
      </c>
      <c r="C749" t="inlineStr">
        <is>
          <t>Lá cánh van (2 cánh overlap)</t>
        </is>
      </c>
      <c r="D749" t="inlineStr">
        <is>
          <t>TÔN_CUỘN_MẠ_KẼM</t>
        </is>
      </c>
      <c r="E749" t="inlineStr">
        <is>
          <t>MAT-STEEL-PN-1.15</t>
        </is>
      </c>
      <c r="F749" t="inlineStr">
        <is>
          <t>kg</t>
        </is>
      </c>
      <c r="G749" s="394" t="n">
        <v>2.6519184</v>
      </c>
      <c r="H749" s="390">
        <f>IFERROR(INDEX('00_TONG_HOP_BAO_GIA'!$G$1:$G$5000, MATCH(B749, '00_TONG_HOP_BAO_GIA'!$B$1:$B$5000, 0)), 1)</f>
        <v/>
      </c>
      <c r="I749" s="395">
        <f>G749*H749</f>
        <v/>
      </c>
      <c r="J749" s="390">
        <f>IFERROR(INDEX('06_BANG_GIA_VAT_TU_AP_DUNG'!$E$1:$E$5000, MATCH(E749, '06_BANG_GIA_VAT_TU_AP_DUNG'!$B$1:$B$5000, 0)), 0)</f>
        <v/>
      </c>
      <c r="K749" s="390">
        <f>I749*J749</f>
        <v/>
      </c>
      <c r="L749" t="inlineStr">
        <is>
          <t>2 cánh cao 170mm</t>
        </is>
      </c>
    </row>
    <row r="750">
      <c r="A750" t="inlineStr">
        <is>
          <t>SW-DAMPER-320-AXLE</t>
        </is>
      </c>
      <c r="B750" t="inlineStr">
        <is>
          <t>SW-DAMPER-320</t>
        </is>
      </c>
      <c r="C750" t="inlineStr">
        <is>
          <t>Trục Sus 201 D10</t>
        </is>
      </c>
      <c r="D750" t="inlineStr">
        <is>
          <t>PHỤ_KIỆN_VAN</t>
        </is>
      </c>
      <c r="E750" t="inlineStr">
        <is>
          <t>MAT-DAMPER-TRUC-SUS-201-D10</t>
        </is>
      </c>
      <c r="F750" t="inlineStr">
        <is>
          <t>m</t>
        </is>
      </c>
      <c r="G750" s="394" t="n">
        <v>1.72</v>
      </c>
      <c r="H750" s="390">
        <f>IFERROR(INDEX('00_TONG_HOP_BAO_GIA'!$G$1:$G$5000, MATCH(B750, '00_TONG_HOP_BAO_GIA'!$B$1:$B$5000, 0)), 1)</f>
        <v/>
      </c>
      <c r="I750" s="395">
        <f>G750*H750</f>
        <v/>
      </c>
      <c r="J750" s="390">
        <f>IFERROR(INDEX('06_BANG_GIA_VAT_TU_AP_DUNG'!$E$1:$E$5000, MATCH(E750, '06_BANG_GIA_VAT_TU_AP_DUNG'!$B$1:$B$5000, 0)), 0)</f>
        <v/>
      </c>
      <c r="K750" s="390">
        <f>I750*J750</f>
        <v/>
      </c>
      <c r="L750" t="inlineStr">
        <is>
          <t>2 trục dài 860mm</t>
        </is>
      </c>
    </row>
    <row r="751">
      <c r="A751" t="inlineStr">
        <is>
          <t>SW-DAMPER-320-BEARING</t>
        </is>
      </c>
      <c r="B751" t="inlineStr">
        <is>
          <t>SW-DAMPER-320</t>
        </is>
      </c>
      <c r="C751" t="inlineStr">
        <is>
          <t>Bạc đồng D10</t>
        </is>
      </c>
      <c r="D751" t="inlineStr">
        <is>
          <t>PHỤ_KIỆN_VAN</t>
        </is>
      </c>
      <c r="E751" t="inlineStr">
        <is>
          <t>MAT-DAMPER-BAC-DONG-D10</t>
        </is>
      </c>
      <c r="F751" t="inlineStr">
        <is>
          <t>Đôi</t>
        </is>
      </c>
      <c r="G751" s="394" t="n">
        <v>2</v>
      </c>
      <c r="H751" s="390">
        <f>IFERROR(INDEX('00_TONG_HOP_BAO_GIA'!$G$1:$G$5000, MATCH(B751, '00_TONG_HOP_BAO_GIA'!$B$1:$B$5000, 0)), 1)</f>
        <v/>
      </c>
      <c r="I751" s="395">
        <f>G751*H751</f>
        <v/>
      </c>
      <c r="J751" s="390">
        <f>IFERROR(INDEX('06_BANG_GIA_VAT_TU_AP_DUNG'!$E$1:$E$5000, MATCH(E751, '06_BANG_GIA_VAT_TU_AP_DUNG'!$B$1:$B$5000, 0)), 0)</f>
        <v/>
      </c>
      <c r="K751" s="390">
        <f>I751*J751</f>
        <v/>
      </c>
      <c r="L751" t="inlineStr">
        <is>
          <t>2 đôi bạc đỡ 2 bên thân</t>
        </is>
      </c>
    </row>
    <row r="752">
      <c r="A752" t="inlineStr">
        <is>
          <t>SW-DAMPER-320-GEAR</t>
        </is>
      </c>
      <c r="B752" t="inlineStr">
        <is>
          <t>SW-DAMPER-320</t>
        </is>
      </c>
      <c r="C752" t="inlineStr">
        <is>
          <t>Bánh răng van nhôm</t>
        </is>
      </c>
      <c r="D752" t="inlineStr">
        <is>
          <t>PHỤ_KIỆN_VAN</t>
        </is>
      </c>
      <c r="E752" t="inlineStr">
        <is>
          <t>MAT-DAMPER-BANH-RANG-VAN-NHOM</t>
        </is>
      </c>
      <c r="F752" t="inlineStr">
        <is>
          <t>Bộ</t>
        </is>
      </c>
      <c r="G752" s="394" t="n">
        <v>1</v>
      </c>
      <c r="H752" s="390">
        <f>IFERROR(INDEX('00_TONG_HOP_BAO_GIA'!$G$1:$G$5000, MATCH(B752, '00_TONG_HOP_BAO_GIA'!$B$1:$B$5000, 0)), 1)</f>
        <v/>
      </c>
      <c r="I752" s="395">
        <f>G752*H752</f>
        <v/>
      </c>
      <c r="J752" s="390">
        <f>IFERROR(INDEX('06_BANG_GIA_VAT_TU_AP_DUNG'!$E$1:$E$5000, MATCH(E752, '06_BANG_GIA_VAT_TU_AP_DUNG'!$B$1:$B$5000, 0)), 0)</f>
        <v/>
      </c>
      <c r="K752" s="390">
        <f>I752*J752</f>
        <v/>
      </c>
      <c r="L752" t="inlineStr">
        <is>
          <t>Cơ cấu liên động bánh răng van</t>
        </is>
      </c>
    </row>
    <row r="753">
      <c r="A753" t="inlineStr">
        <is>
          <t>SW-DAMPER-320-ACTUATOR</t>
        </is>
      </c>
      <c r="B753" t="inlineStr">
        <is>
          <t>SW-DAMPER-320</t>
        </is>
      </c>
      <c r="C753" t="inlineStr">
        <is>
          <t>Động cơ chặn lửa ON/OFF 9Nm, 24V (BELIMO BFN 24 hoặc tương đương)</t>
        </is>
      </c>
      <c r="D753" t="inlineStr">
        <is>
          <t>ĐỘNG_CƠ_VÀ_CẢM_BIẾN</t>
        </is>
      </c>
      <c r="E753" t="inlineStr">
        <is>
          <t>MAT-ACTUATOR-BELIMO-BFN24</t>
        </is>
      </c>
      <c r="F753" t="inlineStr">
        <is>
          <t>Cái</t>
        </is>
      </c>
      <c r="G753" s="394" t="n">
        <v>1</v>
      </c>
      <c r="H753" s="390">
        <f>IFERROR(INDEX('00_TONG_HOP_BAO_GIA'!$G$1:$G$5000, MATCH(B753, '00_TONG_HOP_BAO_GIA'!$B$1:$B$5000, 0)), 1)</f>
        <v/>
      </c>
      <c r="I753" s="395">
        <f>G753*H753</f>
        <v/>
      </c>
      <c r="J753" s="390">
        <f>IFERROR(INDEX('06_BANG_GIA_VAT_TU_AP_DUNG'!$E$1:$E$5000, MATCH(E753, '06_BANG_GIA_VAT_TU_AP_DUNG'!$B$1:$B$5000, 0)), 0)</f>
        <v/>
      </c>
      <c r="K753" s="390">
        <f>I753*J753</f>
        <v/>
      </c>
      <c r="L753" t="inlineStr">
        <is>
          <t>Động cơ lò xo phản hồi cho MFD (S=0.24m2)</t>
        </is>
      </c>
    </row>
    <row r="754">
      <c r="A754" t="inlineStr">
        <is>
          <t>SW-DAMPER-320-FIRE_INSULATION</t>
        </is>
      </c>
      <c r="B754" t="inlineStr">
        <is>
          <t>SW-DAMPER-320</t>
        </is>
      </c>
      <c r="C754" t="inlineStr">
        <is>
          <t>Bọc cách nhiệt chống cháy tấm MGO/Thạch cao (Tiêu chuẩn EI)</t>
        </is>
      </c>
      <c r="D754" t="inlineStr">
        <is>
          <t>VẬT_LIỆU_CÁCH_NHIỆT</t>
        </is>
      </c>
      <c r="E754" t="inlineStr">
        <is>
          <t>MAT-INSULATION-EI-DAMPER</t>
        </is>
      </c>
      <c r="F754" t="inlineStr">
        <is>
          <t>m2</t>
        </is>
      </c>
      <c r="G754" s="394" t="n">
        <v>0.8279040000000002</v>
      </c>
      <c r="H754" s="390">
        <f>IFERROR(INDEX('00_TONG_HOP_BAO_GIA'!$G$1:$G$5000, MATCH(B754, '00_TONG_HOP_BAO_GIA'!$B$1:$B$5000, 0)), 1)</f>
        <v/>
      </c>
      <c r="I754" s="395">
        <f>G754*H754</f>
        <v/>
      </c>
      <c r="J754" s="390">
        <f>IFERROR(INDEX('06_BANG_GIA_VAT_TU_AP_DUNG'!$E$1:$E$5000, MATCH(E754, '06_BANG_GIA_VAT_TU_AP_DUNG'!$B$1:$B$5000, 0)), 0)</f>
        <v/>
      </c>
      <c r="K754" s="390">
        <f>I754*J754</f>
        <v/>
      </c>
      <c r="L754" t="inlineStr">
        <is>
          <t>Bọc chống cháy vỏ van (Lưu ý: Giá vật tư đang TẠM TÍNH 300k/m2)</t>
        </is>
      </c>
    </row>
    <row r="755">
      <c r="A755" t="inlineStr">
        <is>
          <t>SW-DAMPER-321-BODY</t>
        </is>
      </c>
      <c r="B755" t="inlineStr">
        <is>
          <t>SW-DAMPER-321</t>
        </is>
      </c>
      <c r="C755" t="inlineStr">
        <is>
          <t>Thân vỏ van MFD bích TDF (1.15mm)</t>
        </is>
      </c>
      <c r="D755" t="inlineStr">
        <is>
          <t>TÔN_CUỘN_MẠ_KẼM</t>
        </is>
      </c>
      <c r="E755" t="inlineStr">
        <is>
          <t>MAT-STEEL-PN-1.15</t>
        </is>
      </c>
      <c r="F755" t="inlineStr">
        <is>
          <t>kg</t>
        </is>
      </c>
      <c r="G755" s="394" t="n">
        <v>11.3443176</v>
      </c>
      <c r="H755" s="390">
        <f>IFERROR(INDEX('00_TONG_HOP_BAO_GIA'!$G$1:$G$5000, MATCH(B755, '00_TONG_HOP_BAO_GIA'!$B$1:$B$5000, 0)), 1)</f>
        <v/>
      </c>
      <c r="I755" s="395">
        <f>G755*H755</f>
        <v/>
      </c>
      <c r="J755" s="390">
        <f>IFERROR(INDEX('06_BANG_GIA_VAT_TU_AP_DUNG'!$E$1:$E$5000, MATCH(E755, '06_BANG_GIA_VAT_TU_AP_DUNG'!$B$1:$B$5000, 0)), 0)</f>
        <v/>
      </c>
      <c r="K755" s="390">
        <f>I755*J755</f>
        <v/>
      </c>
      <c r="L755" t="inlineStr">
        <is>
          <t>Kích thước vỏ 1200.0x650.0x250mm</t>
        </is>
      </c>
    </row>
    <row r="756">
      <c r="A756" t="inlineStr">
        <is>
          <t>SW-DAMPER-321-BLADE</t>
        </is>
      </c>
      <c r="B756" t="inlineStr">
        <is>
          <t>SW-DAMPER-321</t>
        </is>
      </c>
      <c r="C756" t="inlineStr">
        <is>
          <t>Lá cánh van (4 cánh overlap)</t>
        </is>
      </c>
      <c r="D756" t="inlineStr">
        <is>
          <t>TÔN_CUỘN_MẠ_KẼM</t>
        </is>
      </c>
      <c r="E756" t="inlineStr">
        <is>
          <t>MAT-STEEL-PN-1.15</t>
        </is>
      </c>
      <c r="F756" t="inlineStr">
        <is>
          <t>kg</t>
        </is>
      </c>
      <c r="G756" s="394" t="n">
        <v>8.540737199999999</v>
      </c>
      <c r="H756" s="390">
        <f>IFERROR(INDEX('00_TONG_HOP_BAO_GIA'!$G$1:$G$5000, MATCH(B756, '00_TONG_HOP_BAO_GIA'!$B$1:$B$5000, 0)), 1)</f>
        <v/>
      </c>
      <c r="I756" s="395">
        <f>G756*H756</f>
        <v/>
      </c>
      <c r="J756" s="390">
        <f>IFERROR(INDEX('06_BANG_GIA_VAT_TU_AP_DUNG'!$E$1:$E$5000, MATCH(E756, '06_BANG_GIA_VAT_TU_AP_DUNG'!$B$1:$B$5000, 0)), 0)</f>
        <v/>
      </c>
      <c r="K756" s="390">
        <f>I756*J756</f>
        <v/>
      </c>
      <c r="L756" t="inlineStr">
        <is>
          <t>4 cánh cao 182mm</t>
        </is>
      </c>
    </row>
    <row r="757">
      <c r="A757" t="inlineStr">
        <is>
          <t>SW-DAMPER-321-AXLE</t>
        </is>
      </c>
      <c r="B757" t="inlineStr">
        <is>
          <t>SW-DAMPER-321</t>
        </is>
      </c>
      <c r="C757" t="inlineStr">
        <is>
          <t>Trục Sus 201 D10</t>
        </is>
      </c>
      <c r="D757" t="inlineStr">
        <is>
          <t>PHỤ_KIỆN_VAN</t>
        </is>
      </c>
      <c r="E757" t="inlineStr">
        <is>
          <t>MAT-DAMPER-TRUC-SUS-201-D10</t>
        </is>
      </c>
      <c r="F757" t="inlineStr">
        <is>
          <t>m</t>
        </is>
      </c>
      <c r="G757" s="394" t="n">
        <v>5.04</v>
      </c>
      <c r="H757" s="390">
        <f>IFERROR(INDEX('00_TONG_HOP_BAO_GIA'!$G$1:$G$5000, MATCH(B757, '00_TONG_HOP_BAO_GIA'!$B$1:$B$5000, 0)), 1)</f>
        <v/>
      </c>
      <c r="I757" s="395">
        <f>G757*H757</f>
        <v/>
      </c>
      <c r="J757" s="390">
        <f>IFERROR(INDEX('06_BANG_GIA_VAT_TU_AP_DUNG'!$E$1:$E$5000, MATCH(E757, '06_BANG_GIA_VAT_TU_AP_DUNG'!$B$1:$B$5000, 0)), 0)</f>
        <v/>
      </c>
      <c r="K757" s="390">
        <f>I757*J757</f>
        <v/>
      </c>
      <c r="L757" t="inlineStr">
        <is>
          <t>4 trục dài 1260mm</t>
        </is>
      </c>
    </row>
    <row r="758">
      <c r="A758" t="inlineStr">
        <is>
          <t>SW-DAMPER-321-BEARING</t>
        </is>
      </c>
      <c r="B758" t="inlineStr">
        <is>
          <t>SW-DAMPER-321</t>
        </is>
      </c>
      <c r="C758" t="inlineStr">
        <is>
          <t>Bạc đồng D10</t>
        </is>
      </c>
      <c r="D758" t="inlineStr">
        <is>
          <t>PHỤ_KIỆN_VAN</t>
        </is>
      </c>
      <c r="E758" t="inlineStr">
        <is>
          <t>MAT-DAMPER-BAC-DONG-D10</t>
        </is>
      </c>
      <c r="F758" t="inlineStr">
        <is>
          <t>Đôi</t>
        </is>
      </c>
      <c r="G758" s="394" t="n">
        <v>4</v>
      </c>
      <c r="H758" s="390">
        <f>IFERROR(INDEX('00_TONG_HOP_BAO_GIA'!$G$1:$G$5000, MATCH(B758, '00_TONG_HOP_BAO_GIA'!$B$1:$B$5000, 0)), 1)</f>
        <v/>
      </c>
      <c r="I758" s="395">
        <f>G758*H758</f>
        <v/>
      </c>
      <c r="J758" s="390">
        <f>IFERROR(INDEX('06_BANG_GIA_VAT_TU_AP_DUNG'!$E$1:$E$5000, MATCH(E758, '06_BANG_GIA_VAT_TU_AP_DUNG'!$B$1:$B$5000, 0)), 0)</f>
        <v/>
      </c>
      <c r="K758" s="390">
        <f>I758*J758</f>
        <v/>
      </c>
      <c r="L758" t="inlineStr">
        <is>
          <t>4 đôi bạc đỡ 2 bên thân</t>
        </is>
      </c>
    </row>
    <row r="759">
      <c r="A759" t="inlineStr">
        <is>
          <t>SW-DAMPER-321-GEAR</t>
        </is>
      </c>
      <c r="B759" t="inlineStr">
        <is>
          <t>SW-DAMPER-321</t>
        </is>
      </c>
      <c r="C759" t="inlineStr">
        <is>
          <t>Bánh răng van nhôm</t>
        </is>
      </c>
      <c r="D759" t="inlineStr">
        <is>
          <t>PHỤ_KIỆN_VAN</t>
        </is>
      </c>
      <c r="E759" t="inlineStr">
        <is>
          <t>MAT-DAMPER-BANH-RANG-VAN-NHOM</t>
        </is>
      </c>
      <c r="F759" t="inlineStr">
        <is>
          <t>Bộ</t>
        </is>
      </c>
      <c r="G759" s="394" t="n">
        <v>1</v>
      </c>
      <c r="H759" s="390">
        <f>IFERROR(INDEX('00_TONG_HOP_BAO_GIA'!$G$1:$G$5000, MATCH(B759, '00_TONG_HOP_BAO_GIA'!$B$1:$B$5000, 0)), 1)</f>
        <v/>
      </c>
      <c r="I759" s="395">
        <f>G759*H759</f>
        <v/>
      </c>
      <c r="J759" s="390">
        <f>IFERROR(INDEX('06_BANG_GIA_VAT_TU_AP_DUNG'!$E$1:$E$5000, MATCH(E759, '06_BANG_GIA_VAT_TU_AP_DUNG'!$B$1:$B$5000, 0)), 0)</f>
        <v/>
      </c>
      <c r="K759" s="390">
        <f>I759*J759</f>
        <v/>
      </c>
      <c r="L759" t="inlineStr">
        <is>
          <t>Cơ cấu liên động bánh răng van</t>
        </is>
      </c>
    </row>
    <row r="760">
      <c r="A760" t="inlineStr">
        <is>
          <t>SW-DAMPER-321-ACTUATOR</t>
        </is>
      </c>
      <c r="B760" t="inlineStr">
        <is>
          <t>SW-DAMPER-321</t>
        </is>
      </c>
      <c r="C760" t="inlineStr">
        <is>
          <t>Động cơ chặn lửa ON/OFF 9Nm, 24V (BELIMO BFN 24 hoặc tương đương)</t>
        </is>
      </c>
      <c r="D760" t="inlineStr">
        <is>
          <t>ĐỘNG_CƠ_VÀ_CẢM_BIẾN</t>
        </is>
      </c>
      <c r="E760" t="inlineStr">
        <is>
          <t>MAT-ACTUATOR-BELIMO-BFN24</t>
        </is>
      </c>
      <c r="F760" t="inlineStr">
        <is>
          <t>Cái</t>
        </is>
      </c>
      <c r="G760" s="394" t="n">
        <v>1</v>
      </c>
      <c r="H760" s="390">
        <f>IFERROR(INDEX('00_TONG_HOP_BAO_GIA'!$G$1:$G$5000, MATCH(B760, '00_TONG_HOP_BAO_GIA'!$B$1:$B$5000, 0)), 1)</f>
        <v/>
      </c>
      <c r="I760" s="395">
        <f>G760*H760</f>
        <v/>
      </c>
      <c r="J760" s="390">
        <f>IFERROR(INDEX('06_BANG_GIA_VAT_TU_AP_DUNG'!$E$1:$E$5000, MATCH(E760, '06_BANG_GIA_VAT_TU_AP_DUNG'!$B$1:$B$5000, 0)), 0)</f>
        <v/>
      </c>
      <c r="K760" s="390">
        <f>I760*J760</f>
        <v/>
      </c>
      <c r="L760" t="inlineStr">
        <is>
          <t>Động cơ lò xo phản hồi cho MFD (S=0.78m2)</t>
        </is>
      </c>
    </row>
    <row r="761">
      <c r="A761" t="inlineStr">
        <is>
          <t>SW-DAMPER-321-FIRE_INSULATION</t>
        </is>
      </c>
      <c r="B761" t="inlineStr">
        <is>
          <t>SW-DAMPER-321</t>
        </is>
      </c>
      <c r="C761" t="inlineStr">
        <is>
          <t>Bọc cách nhiệt chống cháy tấm MGO/Thạch cao (Tiêu chuẩn EI)</t>
        </is>
      </c>
      <c r="D761" t="inlineStr">
        <is>
          <t>VẬT_LIỆU_CÁCH_NHIỆT</t>
        </is>
      </c>
      <c r="E761" t="inlineStr">
        <is>
          <t>MAT-INSULATION-EI-DAMPER</t>
        </is>
      </c>
      <c r="F761" t="inlineStr">
        <is>
          <t>m2</t>
        </is>
      </c>
      <c r="G761" s="394" t="n">
        <v>1.382304</v>
      </c>
      <c r="H761" s="390">
        <f>IFERROR(INDEX('00_TONG_HOP_BAO_GIA'!$G$1:$G$5000, MATCH(B761, '00_TONG_HOP_BAO_GIA'!$B$1:$B$5000, 0)), 1)</f>
        <v/>
      </c>
      <c r="I761" s="395">
        <f>G761*H761</f>
        <v/>
      </c>
      <c r="J761" s="390">
        <f>IFERROR(INDEX('06_BANG_GIA_VAT_TU_AP_DUNG'!$E$1:$E$5000, MATCH(E761, '06_BANG_GIA_VAT_TU_AP_DUNG'!$B$1:$B$5000, 0)), 0)</f>
        <v/>
      </c>
      <c r="K761" s="390">
        <f>I761*J761</f>
        <v/>
      </c>
      <c r="L761" t="inlineStr">
        <is>
          <t>Bọc chống cháy vỏ van (Lưu ý: Giá vật tư đang TẠM TÍNH 300k/m2)</t>
        </is>
      </c>
    </row>
    <row r="762">
      <c r="A762" t="inlineStr">
        <is>
          <t>SW-DAMPER-322-BODY</t>
        </is>
      </c>
      <c r="B762" t="inlineStr">
        <is>
          <t>SW-DAMPER-322</t>
        </is>
      </c>
      <c r="C762" t="inlineStr">
        <is>
          <t>Thân vỏ van VCD bích TDF (0.75mm)</t>
        </is>
      </c>
      <c r="D762" t="inlineStr">
        <is>
          <t>TÔN_CUỘN_MẠ_KẼM</t>
        </is>
      </c>
      <c r="E762" t="inlineStr">
        <is>
          <t>MAT-STEEL-PN-0.75</t>
        </is>
      </c>
      <c r="F762" t="inlineStr">
        <is>
          <t>kg</t>
        </is>
      </c>
      <c r="G762" s="394" t="n">
        <v>1.107792</v>
      </c>
      <c r="H762" s="390">
        <f>IFERROR(INDEX('00_TONG_HOP_BAO_GIA'!$G$1:$G$5000, MATCH(B762, '00_TONG_HOP_BAO_GIA'!$B$1:$B$5000, 0)), 1)</f>
        <v/>
      </c>
      <c r="I762" s="395">
        <f>G762*H762</f>
        <v/>
      </c>
      <c r="J762" s="390">
        <f>IFERROR(INDEX('06_BANG_GIA_VAT_TU_AP_DUNG'!$E$1:$E$5000, MATCH(E762, '06_BANG_GIA_VAT_TU_AP_DUNG'!$B$1:$B$5000, 0)), 0)</f>
        <v/>
      </c>
      <c r="K762" s="390">
        <f>I762*J762</f>
        <v/>
      </c>
      <c r="L762" t="inlineStr">
        <is>
          <t>Kích thước vỏ 150.0x150.0x210mm</t>
        </is>
      </c>
    </row>
    <row r="763">
      <c r="A763" t="inlineStr">
        <is>
          <t>SW-DAMPER-322-BLADE</t>
        </is>
      </c>
      <c r="B763" t="inlineStr">
        <is>
          <t>SW-DAMPER-322</t>
        </is>
      </c>
      <c r="C763" t="inlineStr">
        <is>
          <t>Lá cánh van (1 cánh overlap)</t>
        </is>
      </c>
      <c r="D763" t="inlineStr">
        <is>
          <t>TÔN_CUỘN_MẠ_KẼM</t>
        </is>
      </c>
      <c r="E763" t="inlineStr">
        <is>
          <t>MAT-STEEL-PN-0.75</t>
        </is>
      </c>
      <c r="F763" t="inlineStr">
        <is>
          <t>kg</t>
        </is>
      </c>
      <c r="G763" s="394" t="n">
        <v>0.16214175</v>
      </c>
      <c r="H763" s="390">
        <f>IFERROR(INDEX('00_TONG_HOP_BAO_GIA'!$G$1:$G$5000, MATCH(B763, '00_TONG_HOP_BAO_GIA'!$B$1:$B$5000, 0)), 1)</f>
        <v/>
      </c>
      <c r="I763" s="395">
        <f>G763*H763</f>
        <v/>
      </c>
      <c r="J763" s="390">
        <f>IFERROR(INDEX('06_BANG_GIA_VAT_TU_AP_DUNG'!$E$1:$E$5000, MATCH(E763, '06_BANG_GIA_VAT_TU_AP_DUNG'!$B$1:$B$5000, 0)), 0)</f>
        <v/>
      </c>
      <c r="K763" s="390">
        <f>I763*J763</f>
        <v/>
      </c>
      <c r="L763" t="inlineStr">
        <is>
          <t>1 cánh cao 170mm</t>
        </is>
      </c>
    </row>
    <row r="764">
      <c r="A764" t="inlineStr">
        <is>
          <t>SW-DAMPER-322-AXLE</t>
        </is>
      </c>
      <c r="B764" t="inlineStr">
        <is>
          <t>SW-DAMPER-322</t>
        </is>
      </c>
      <c r="C764" t="inlineStr">
        <is>
          <t>Trục Sus 201 D10</t>
        </is>
      </c>
      <c r="D764" t="inlineStr">
        <is>
          <t>PHỤ_KIỆN_VAN</t>
        </is>
      </c>
      <c r="E764" t="inlineStr">
        <is>
          <t>MAT-DAMPER-TRUC-SUS-201-D10</t>
        </is>
      </c>
      <c r="F764" t="inlineStr">
        <is>
          <t>m</t>
        </is>
      </c>
      <c r="G764" s="394" t="n">
        <v>0.21</v>
      </c>
      <c r="H764" s="390">
        <f>IFERROR(INDEX('00_TONG_HOP_BAO_GIA'!$G$1:$G$5000, MATCH(B764, '00_TONG_HOP_BAO_GIA'!$B$1:$B$5000, 0)), 1)</f>
        <v/>
      </c>
      <c r="I764" s="395">
        <f>G764*H764</f>
        <v/>
      </c>
      <c r="J764" s="390">
        <f>IFERROR(INDEX('06_BANG_GIA_VAT_TU_AP_DUNG'!$E$1:$E$5000, MATCH(E764, '06_BANG_GIA_VAT_TU_AP_DUNG'!$B$1:$B$5000, 0)), 0)</f>
        <v/>
      </c>
      <c r="K764" s="390">
        <f>I764*J764</f>
        <v/>
      </c>
      <c r="L764" t="inlineStr">
        <is>
          <t>1 trục dài 210mm</t>
        </is>
      </c>
    </row>
    <row r="765">
      <c r="A765" t="inlineStr">
        <is>
          <t>SW-DAMPER-322-BEARING</t>
        </is>
      </c>
      <c r="B765" t="inlineStr">
        <is>
          <t>SW-DAMPER-322</t>
        </is>
      </c>
      <c r="C765" t="inlineStr">
        <is>
          <t>Bạc đồng D10</t>
        </is>
      </c>
      <c r="D765" t="inlineStr">
        <is>
          <t>PHỤ_KIỆN_VAN</t>
        </is>
      </c>
      <c r="E765" t="inlineStr">
        <is>
          <t>MAT-DAMPER-BAC-DONG-D10</t>
        </is>
      </c>
      <c r="F765" t="inlineStr">
        <is>
          <t>Đôi</t>
        </is>
      </c>
      <c r="G765" s="394" t="n">
        <v>1</v>
      </c>
      <c r="H765" s="390">
        <f>IFERROR(INDEX('00_TONG_HOP_BAO_GIA'!$G$1:$G$5000, MATCH(B765, '00_TONG_HOP_BAO_GIA'!$B$1:$B$5000, 0)), 1)</f>
        <v/>
      </c>
      <c r="I765" s="395">
        <f>G765*H765</f>
        <v/>
      </c>
      <c r="J765" s="390">
        <f>IFERROR(INDEX('06_BANG_GIA_VAT_TU_AP_DUNG'!$E$1:$E$5000, MATCH(E765, '06_BANG_GIA_VAT_TU_AP_DUNG'!$B$1:$B$5000, 0)), 0)</f>
        <v/>
      </c>
      <c r="K765" s="390">
        <f>I765*J765</f>
        <v/>
      </c>
      <c r="L765" t="inlineStr">
        <is>
          <t>1 đôi bạc đỡ 2 bên thân</t>
        </is>
      </c>
    </row>
    <row r="766">
      <c r="A766" t="inlineStr">
        <is>
          <t>SW-DAMPER-322-HANDLE</t>
        </is>
      </c>
      <c r="B766" t="inlineStr">
        <is>
          <t>SW-DAMPER-322</t>
        </is>
      </c>
      <c r="C766" t="inlineStr">
        <is>
          <t>Tay gạt nhỏ</t>
        </is>
      </c>
      <c r="D766" t="inlineStr">
        <is>
          <t>PHỤ_KIỆN_VAN</t>
        </is>
      </c>
      <c r="E766" t="inlineStr">
        <is>
          <t>MAT-DAMPER-TAY-GAT-NHO</t>
        </is>
      </c>
      <c r="F766" t="inlineStr">
        <is>
          <t>Bộ</t>
        </is>
      </c>
      <c r="G766" s="394" t="n">
        <v>1</v>
      </c>
      <c r="H766" s="390">
        <f>IFERROR(INDEX('00_TONG_HOP_BAO_GIA'!$G$1:$G$5000, MATCH(B766, '00_TONG_HOP_BAO_GIA'!$B$1:$B$5000, 0)), 1)</f>
        <v/>
      </c>
      <c r="I766" s="395">
        <f>G766*H766</f>
        <v/>
      </c>
      <c r="J766" s="390">
        <f>IFERROR(INDEX('06_BANG_GIA_VAT_TU_AP_DUNG'!$E$1:$E$5000, MATCH(E766, '06_BANG_GIA_VAT_TU_AP_DUNG'!$B$1:$B$5000, 0)), 0)</f>
        <v/>
      </c>
      <c r="K766" s="390">
        <f>I766*J766</f>
        <v/>
      </c>
      <c r="L766" t="inlineStr">
        <is>
          <t>Tay gạt khóa vị trí nan (S=0.02m2)</t>
        </is>
      </c>
    </row>
    <row r="767">
      <c r="A767" t="inlineStr">
        <is>
          <t>SW-DAMPER-323-BODY</t>
        </is>
      </c>
      <c r="B767" t="inlineStr">
        <is>
          <t>SW-DAMPER-323</t>
        </is>
      </c>
      <c r="C767" t="inlineStr">
        <is>
          <t>Thân vỏ van VCD bích TDF (0.75mm)</t>
        </is>
      </c>
      <c r="D767" t="inlineStr">
        <is>
          <t>TÔN_CUỘN_MẠ_KẼM</t>
        </is>
      </c>
      <c r="E767" t="inlineStr">
        <is>
          <t>MAT-STEEL-PN-0.75</t>
        </is>
      </c>
      <c r="F767" t="inlineStr">
        <is>
          <t>kg</t>
        </is>
      </c>
      <c r="G767" s="394" t="n">
        <v>1.6270695</v>
      </c>
      <c r="H767" s="390">
        <f>IFERROR(INDEX('00_TONG_HOP_BAO_GIA'!$G$1:$G$5000, MATCH(B767, '00_TONG_HOP_BAO_GIA'!$B$1:$B$5000, 0)), 1)</f>
        <v/>
      </c>
      <c r="I767" s="395">
        <f>G767*H767</f>
        <v/>
      </c>
      <c r="J767" s="390">
        <f>IFERROR(INDEX('06_BANG_GIA_VAT_TU_AP_DUNG'!$E$1:$E$5000, MATCH(E767, '06_BANG_GIA_VAT_TU_AP_DUNG'!$B$1:$B$5000, 0)), 0)</f>
        <v/>
      </c>
      <c r="K767" s="390">
        <f>I767*J767</f>
        <v/>
      </c>
      <c r="L767" t="inlineStr">
        <is>
          <t>Kích thước vỏ 300.0x150.0x210mm</t>
        </is>
      </c>
    </row>
    <row r="768">
      <c r="A768" t="inlineStr">
        <is>
          <t>SW-DAMPER-323-BLADE</t>
        </is>
      </c>
      <c r="B768" t="inlineStr">
        <is>
          <t>SW-DAMPER-323</t>
        </is>
      </c>
      <c r="C768" t="inlineStr">
        <is>
          <t>Lá cánh van (1 cánh overlap)</t>
        </is>
      </c>
      <c r="D768" t="inlineStr">
        <is>
          <t>TÔN_CUỘN_MẠ_KẼM</t>
        </is>
      </c>
      <c r="E768" t="inlineStr">
        <is>
          <t>MAT-STEEL-PN-0.75</t>
        </is>
      </c>
      <c r="F768" t="inlineStr">
        <is>
          <t>kg</t>
        </is>
      </c>
      <c r="G768" s="394" t="n">
        <v>0.3242835</v>
      </c>
      <c r="H768" s="390">
        <f>IFERROR(INDEX('00_TONG_HOP_BAO_GIA'!$G$1:$G$5000, MATCH(B768, '00_TONG_HOP_BAO_GIA'!$B$1:$B$5000, 0)), 1)</f>
        <v/>
      </c>
      <c r="I768" s="395">
        <f>G768*H768</f>
        <v/>
      </c>
      <c r="J768" s="390">
        <f>IFERROR(INDEX('06_BANG_GIA_VAT_TU_AP_DUNG'!$E$1:$E$5000, MATCH(E768, '06_BANG_GIA_VAT_TU_AP_DUNG'!$B$1:$B$5000, 0)), 0)</f>
        <v/>
      </c>
      <c r="K768" s="390">
        <f>I768*J768</f>
        <v/>
      </c>
      <c r="L768" t="inlineStr">
        <is>
          <t>1 cánh cao 170mm</t>
        </is>
      </c>
    </row>
    <row r="769">
      <c r="A769" t="inlineStr">
        <is>
          <t>SW-DAMPER-323-AXLE</t>
        </is>
      </c>
      <c r="B769" t="inlineStr">
        <is>
          <t>SW-DAMPER-323</t>
        </is>
      </c>
      <c r="C769" t="inlineStr">
        <is>
          <t>Trục Sus 201 D10</t>
        </is>
      </c>
      <c r="D769" t="inlineStr">
        <is>
          <t>PHỤ_KIỆN_VAN</t>
        </is>
      </c>
      <c r="E769" t="inlineStr">
        <is>
          <t>MAT-DAMPER-TRUC-SUS-201-D10</t>
        </is>
      </c>
      <c r="F769" t="inlineStr">
        <is>
          <t>m</t>
        </is>
      </c>
      <c r="G769" s="394" t="n">
        <v>0.36</v>
      </c>
      <c r="H769" s="390">
        <f>IFERROR(INDEX('00_TONG_HOP_BAO_GIA'!$G$1:$G$5000, MATCH(B769, '00_TONG_HOP_BAO_GIA'!$B$1:$B$5000, 0)), 1)</f>
        <v/>
      </c>
      <c r="I769" s="395">
        <f>G769*H769</f>
        <v/>
      </c>
      <c r="J769" s="390">
        <f>IFERROR(INDEX('06_BANG_GIA_VAT_TU_AP_DUNG'!$E$1:$E$5000, MATCH(E769, '06_BANG_GIA_VAT_TU_AP_DUNG'!$B$1:$B$5000, 0)), 0)</f>
        <v/>
      </c>
      <c r="K769" s="390">
        <f>I769*J769</f>
        <v/>
      </c>
      <c r="L769" t="inlineStr">
        <is>
          <t>1 trục dài 360mm</t>
        </is>
      </c>
    </row>
    <row r="770">
      <c r="A770" t="inlineStr">
        <is>
          <t>SW-DAMPER-323-BEARING</t>
        </is>
      </c>
      <c r="B770" t="inlineStr">
        <is>
          <t>SW-DAMPER-323</t>
        </is>
      </c>
      <c r="C770" t="inlineStr">
        <is>
          <t>Bạc đồng D10</t>
        </is>
      </c>
      <c r="D770" t="inlineStr">
        <is>
          <t>PHỤ_KIỆN_VAN</t>
        </is>
      </c>
      <c r="E770" t="inlineStr">
        <is>
          <t>MAT-DAMPER-BAC-DONG-D10</t>
        </is>
      </c>
      <c r="F770" t="inlineStr">
        <is>
          <t>Đôi</t>
        </is>
      </c>
      <c r="G770" s="394" t="n">
        <v>1</v>
      </c>
      <c r="H770" s="390">
        <f>IFERROR(INDEX('00_TONG_HOP_BAO_GIA'!$G$1:$G$5000, MATCH(B770, '00_TONG_HOP_BAO_GIA'!$B$1:$B$5000, 0)), 1)</f>
        <v/>
      </c>
      <c r="I770" s="395">
        <f>G770*H770</f>
        <v/>
      </c>
      <c r="J770" s="390">
        <f>IFERROR(INDEX('06_BANG_GIA_VAT_TU_AP_DUNG'!$E$1:$E$5000, MATCH(E770, '06_BANG_GIA_VAT_TU_AP_DUNG'!$B$1:$B$5000, 0)), 0)</f>
        <v/>
      </c>
      <c r="K770" s="390">
        <f>I770*J770</f>
        <v/>
      </c>
      <c r="L770" t="inlineStr">
        <is>
          <t>1 đôi bạc đỡ 2 bên thân</t>
        </is>
      </c>
    </row>
    <row r="771">
      <c r="A771" t="inlineStr">
        <is>
          <t>SW-DAMPER-323-HANDLE</t>
        </is>
      </c>
      <c r="B771" t="inlineStr">
        <is>
          <t>SW-DAMPER-323</t>
        </is>
      </c>
      <c r="C771" t="inlineStr">
        <is>
          <t>Tay gạt nhỏ</t>
        </is>
      </c>
      <c r="D771" t="inlineStr">
        <is>
          <t>PHỤ_KIỆN_VAN</t>
        </is>
      </c>
      <c r="E771" t="inlineStr">
        <is>
          <t>MAT-DAMPER-TAY-GAT-NHO</t>
        </is>
      </c>
      <c r="F771" t="inlineStr">
        <is>
          <t>Bộ</t>
        </is>
      </c>
      <c r="G771" s="394" t="n">
        <v>1</v>
      </c>
      <c r="H771" s="390">
        <f>IFERROR(INDEX('00_TONG_HOP_BAO_GIA'!$G$1:$G$5000, MATCH(B771, '00_TONG_HOP_BAO_GIA'!$B$1:$B$5000, 0)), 1)</f>
        <v/>
      </c>
      <c r="I771" s="395">
        <f>G771*H771</f>
        <v/>
      </c>
      <c r="J771" s="390">
        <f>IFERROR(INDEX('06_BANG_GIA_VAT_TU_AP_DUNG'!$E$1:$E$5000, MATCH(E771, '06_BANG_GIA_VAT_TU_AP_DUNG'!$B$1:$B$5000, 0)), 0)</f>
        <v/>
      </c>
      <c r="K771" s="390">
        <f>I771*J771</f>
        <v/>
      </c>
      <c r="L771" t="inlineStr">
        <is>
          <t>Tay gạt khóa vị trí nan (S=0.04m2)</t>
        </is>
      </c>
    </row>
    <row r="772">
      <c r="A772" t="inlineStr">
        <is>
          <t>SW-DAMPER-324-BODY</t>
        </is>
      </c>
      <c r="B772" t="inlineStr">
        <is>
          <t>SW-DAMPER-324</t>
        </is>
      </c>
      <c r="C772" t="inlineStr">
        <is>
          <t>Thân vỏ van MD bích TDF (0.75mm)</t>
        </is>
      </c>
      <c r="D772" t="inlineStr">
        <is>
          <t>TÔN_CUỘN_MẠ_KẼM</t>
        </is>
      </c>
      <c r="E772" t="inlineStr">
        <is>
          <t>MAT-STEEL-PN-0.75</t>
        </is>
      </c>
      <c r="F772" t="inlineStr">
        <is>
          <t>kg</t>
        </is>
      </c>
      <c r="G772" s="394" t="n">
        <v>1.6270695</v>
      </c>
      <c r="H772" s="390">
        <f>IFERROR(INDEX('00_TONG_HOP_BAO_GIA'!$G$1:$G$5000, MATCH(B772, '00_TONG_HOP_BAO_GIA'!$B$1:$B$5000, 0)), 1)</f>
        <v/>
      </c>
      <c r="I772" s="395">
        <f>G772*H772</f>
        <v/>
      </c>
      <c r="J772" s="390">
        <f>IFERROR(INDEX('06_BANG_GIA_VAT_TU_AP_DUNG'!$E$1:$E$5000, MATCH(E772, '06_BANG_GIA_VAT_TU_AP_DUNG'!$B$1:$B$5000, 0)), 0)</f>
        <v/>
      </c>
      <c r="K772" s="390">
        <f>I772*J772</f>
        <v/>
      </c>
      <c r="L772" t="inlineStr">
        <is>
          <t>Kích thước vỏ 300.0x150.0x210mm</t>
        </is>
      </c>
    </row>
    <row r="773">
      <c r="A773" t="inlineStr">
        <is>
          <t>SW-DAMPER-324-BLADE</t>
        </is>
      </c>
      <c r="B773" t="inlineStr">
        <is>
          <t>SW-DAMPER-324</t>
        </is>
      </c>
      <c r="C773" t="inlineStr">
        <is>
          <t>Lá cánh van (1 cánh overlap)</t>
        </is>
      </c>
      <c r="D773" t="inlineStr">
        <is>
          <t>TÔN_CUỘN_MẠ_KẼM</t>
        </is>
      </c>
      <c r="E773" t="inlineStr">
        <is>
          <t>MAT-STEEL-PN-0.75</t>
        </is>
      </c>
      <c r="F773" t="inlineStr">
        <is>
          <t>kg</t>
        </is>
      </c>
      <c r="G773" s="394" t="n">
        <v>0.3242835</v>
      </c>
      <c r="H773" s="390">
        <f>IFERROR(INDEX('00_TONG_HOP_BAO_GIA'!$G$1:$G$5000, MATCH(B773, '00_TONG_HOP_BAO_GIA'!$B$1:$B$5000, 0)), 1)</f>
        <v/>
      </c>
      <c r="I773" s="395">
        <f>G773*H773</f>
        <v/>
      </c>
      <c r="J773" s="390">
        <f>IFERROR(INDEX('06_BANG_GIA_VAT_TU_AP_DUNG'!$E$1:$E$5000, MATCH(E773, '06_BANG_GIA_VAT_TU_AP_DUNG'!$B$1:$B$5000, 0)), 0)</f>
        <v/>
      </c>
      <c r="K773" s="390">
        <f>I773*J773</f>
        <v/>
      </c>
      <c r="L773" t="inlineStr">
        <is>
          <t>1 cánh cao 170mm</t>
        </is>
      </c>
    </row>
    <row r="774">
      <c r="A774" t="inlineStr">
        <is>
          <t>SW-DAMPER-324-AXLE</t>
        </is>
      </c>
      <c r="B774" t="inlineStr">
        <is>
          <t>SW-DAMPER-324</t>
        </is>
      </c>
      <c r="C774" t="inlineStr">
        <is>
          <t>Trục Sus 201 D10</t>
        </is>
      </c>
      <c r="D774" t="inlineStr">
        <is>
          <t>PHỤ_KIỆN_VAN</t>
        </is>
      </c>
      <c r="E774" t="inlineStr">
        <is>
          <t>MAT-DAMPER-TRUC-SUS-201-D10</t>
        </is>
      </c>
      <c r="F774" t="inlineStr">
        <is>
          <t>m</t>
        </is>
      </c>
      <c r="G774" s="394" t="n">
        <v>0.36</v>
      </c>
      <c r="H774" s="390">
        <f>IFERROR(INDEX('00_TONG_HOP_BAO_GIA'!$G$1:$G$5000, MATCH(B774, '00_TONG_HOP_BAO_GIA'!$B$1:$B$5000, 0)), 1)</f>
        <v/>
      </c>
      <c r="I774" s="395">
        <f>G774*H774</f>
        <v/>
      </c>
      <c r="J774" s="390">
        <f>IFERROR(INDEX('06_BANG_GIA_VAT_TU_AP_DUNG'!$E$1:$E$5000, MATCH(E774, '06_BANG_GIA_VAT_TU_AP_DUNG'!$B$1:$B$5000, 0)), 0)</f>
        <v/>
      </c>
      <c r="K774" s="390">
        <f>I774*J774</f>
        <v/>
      </c>
      <c r="L774" t="inlineStr">
        <is>
          <t>1 trục dài 360mm</t>
        </is>
      </c>
    </row>
    <row r="775">
      <c r="A775" t="inlineStr">
        <is>
          <t>SW-DAMPER-324-BEARING</t>
        </is>
      </c>
      <c r="B775" t="inlineStr">
        <is>
          <t>SW-DAMPER-324</t>
        </is>
      </c>
      <c r="C775" t="inlineStr">
        <is>
          <t>Bạc đồng D10</t>
        </is>
      </c>
      <c r="D775" t="inlineStr">
        <is>
          <t>PHỤ_KIỆN_VAN</t>
        </is>
      </c>
      <c r="E775" t="inlineStr">
        <is>
          <t>MAT-DAMPER-BAC-DONG-D10</t>
        </is>
      </c>
      <c r="F775" t="inlineStr">
        <is>
          <t>Đôi</t>
        </is>
      </c>
      <c r="G775" s="394" t="n">
        <v>1</v>
      </c>
      <c r="H775" s="390">
        <f>IFERROR(INDEX('00_TONG_HOP_BAO_GIA'!$G$1:$G$5000, MATCH(B775, '00_TONG_HOP_BAO_GIA'!$B$1:$B$5000, 0)), 1)</f>
        <v/>
      </c>
      <c r="I775" s="395">
        <f>G775*H775</f>
        <v/>
      </c>
      <c r="J775" s="390">
        <f>IFERROR(INDEX('06_BANG_GIA_VAT_TU_AP_DUNG'!$E$1:$E$5000, MATCH(E775, '06_BANG_GIA_VAT_TU_AP_DUNG'!$B$1:$B$5000, 0)), 0)</f>
        <v/>
      </c>
      <c r="K775" s="390">
        <f>I775*J775</f>
        <v/>
      </c>
      <c r="L775" t="inlineStr">
        <is>
          <t>1 đôi bạc đỡ 2 bên thân</t>
        </is>
      </c>
    </row>
    <row r="776">
      <c r="A776" t="inlineStr">
        <is>
          <t>SW-DAMPER-324-ACTUATOR</t>
        </is>
      </c>
      <c r="B776" t="inlineStr">
        <is>
          <t>SW-DAMPER-324</t>
        </is>
      </c>
      <c r="C776" t="inlineStr">
        <is>
          <t>Model: NACA 2-05 (5Nm, 220VAC)</t>
        </is>
      </c>
      <c r="D776" t="inlineStr">
        <is>
          <t>ĐỘNG_CƠ_VÀ_CẢM_BIẾN</t>
        </is>
      </c>
      <c r="E776" t="inlineStr">
        <is>
          <t>MAT-ACTUATOR-NACA-2-05</t>
        </is>
      </c>
      <c r="F776" t="inlineStr">
        <is>
          <t>Cái</t>
        </is>
      </c>
      <c r="G776" s="394" t="n">
        <v>1</v>
      </c>
      <c r="H776" s="390">
        <f>IFERROR(INDEX('00_TONG_HOP_BAO_GIA'!$G$1:$G$5000, MATCH(B776, '00_TONG_HOP_BAO_GIA'!$B$1:$B$5000, 0)), 1)</f>
        <v/>
      </c>
      <c r="I776" s="395">
        <f>G776*H776</f>
        <v/>
      </c>
      <c r="J776" s="390">
        <f>IFERROR(INDEX('06_BANG_GIA_VAT_TU_AP_DUNG'!$E$1:$E$5000, MATCH(E776, '06_BANG_GIA_VAT_TU_AP_DUNG'!$B$1:$B$5000, 0)), 0)</f>
        <v/>
      </c>
      <c r="K776" s="390">
        <f>I776*J776</f>
        <v/>
      </c>
      <c r="L776" t="inlineStr">
        <is>
          <t>Tiết diện van 0.04m2</t>
        </is>
      </c>
    </row>
    <row r="777">
      <c r="A777" t="inlineStr">
        <is>
          <t>SW-DAMPER-324-HANDLE</t>
        </is>
      </c>
      <c r="B777" t="inlineStr">
        <is>
          <t>SW-DAMPER-324</t>
        </is>
      </c>
      <c r="C777" t="inlineStr">
        <is>
          <t>Tay gạt nhỏ</t>
        </is>
      </c>
      <c r="D777" t="inlineStr">
        <is>
          <t>PHỤ_KIỆN_VAN</t>
        </is>
      </c>
      <c r="E777" t="inlineStr">
        <is>
          <t>MAT-DAMPER-TAY-GAT-NHO</t>
        </is>
      </c>
      <c r="F777" t="inlineStr">
        <is>
          <t>Bộ</t>
        </is>
      </c>
      <c r="G777" s="394" t="n">
        <v>1</v>
      </c>
      <c r="H777" s="390">
        <f>IFERROR(INDEX('00_TONG_HOP_BAO_GIA'!$G$1:$G$5000, MATCH(B777, '00_TONG_HOP_BAO_GIA'!$B$1:$B$5000, 0)), 1)</f>
        <v/>
      </c>
      <c r="I777" s="395">
        <f>G777*H777</f>
        <v/>
      </c>
      <c r="J777" s="390">
        <f>IFERROR(INDEX('06_BANG_GIA_VAT_TU_AP_DUNG'!$E$1:$E$5000, MATCH(E777, '06_BANG_GIA_VAT_TU_AP_DUNG'!$B$1:$B$5000, 0)), 0)</f>
        <v/>
      </c>
      <c r="K777" s="390">
        <f>I777*J777</f>
        <v/>
      </c>
      <c r="L777" t="inlineStr">
        <is>
          <t>Tay gạt khóa vị trí nan (S=0.04m2)</t>
        </is>
      </c>
    </row>
    <row r="778">
      <c r="A778" t="inlineStr">
        <is>
          <t>SW-DAMPER-325-BODY</t>
        </is>
      </c>
      <c r="B778" t="inlineStr">
        <is>
          <t>SW-DAMPER-325</t>
        </is>
      </c>
      <c r="C778" t="inlineStr">
        <is>
          <t>Thân vỏ van VCD bích TDF (0.75mm)</t>
        </is>
      </c>
      <c r="D778" t="inlineStr">
        <is>
          <t>TÔN_CUỘN_MẠ_KẼM</t>
        </is>
      </c>
      <c r="E778" t="inlineStr">
        <is>
          <t>MAT-STEEL-PN-0.75</t>
        </is>
      </c>
      <c r="F778" t="inlineStr">
        <is>
          <t>kg</t>
        </is>
      </c>
      <c r="G778" s="394" t="n">
        <v>2.146347</v>
      </c>
      <c r="H778" s="390">
        <f>IFERROR(INDEX('00_TONG_HOP_BAO_GIA'!$G$1:$G$5000, MATCH(B778, '00_TONG_HOP_BAO_GIA'!$B$1:$B$5000, 0)), 1)</f>
        <v/>
      </c>
      <c r="I778" s="395">
        <f>G778*H778</f>
        <v/>
      </c>
      <c r="J778" s="390">
        <f>IFERROR(INDEX('06_BANG_GIA_VAT_TU_AP_DUNG'!$E$1:$E$5000, MATCH(E778, '06_BANG_GIA_VAT_TU_AP_DUNG'!$B$1:$B$5000, 0)), 0)</f>
        <v/>
      </c>
      <c r="K778" s="390">
        <f>I778*J778</f>
        <v/>
      </c>
      <c r="L778" t="inlineStr">
        <is>
          <t>Kích thước vỏ 300x300x210mm</t>
        </is>
      </c>
    </row>
    <row r="779">
      <c r="A779" t="inlineStr">
        <is>
          <t>SW-DAMPER-325-BLADE</t>
        </is>
      </c>
      <c r="B779" t="inlineStr">
        <is>
          <t>SW-DAMPER-325</t>
        </is>
      </c>
      <c r="C779" t="inlineStr">
        <is>
          <t>Lá cánh van (2 cánh overlap)</t>
        </is>
      </c>
      <c r="D779" t="inlineStr">
        <is>
          <t>TÔN_CUỘN_MẠ_KẼM</t>
        </is>
      </c>
      <c r="E779" t="inlineStr">
        <is>
          <t>MAT-STEEL-PN-0.75</t>
        </is>
      </c>
      <c r="F779" t="inlineStr">
        <is>
          <t>kg</t>
        </is>
      </c>
      <c r="G779" s="394" t="n">
        <v>0.648567</v>
      </c>
      <c r="H779" s="390">
        <f>IFERROR(INDEX('00_TONG_HOP_BAO_GIA'!$G$1:$G$5000, MATCH(B779, '00_TONG_HOP_BAO_GIA'!$B$1:$B$5000, 0)), 1)</f>
        <v/>
      </c>
      <c r="I779" s="395">
        <f>G779*H779</f>
        <v/>
      </c>
      <c r="J779" s="390">
        <f>IFERROR(INDEX('06_BANG_GIA_VAT_TU_AP_DUNG'!$E$1:$E$5000, MATCH(E779, '06_BANG_GIA_VAT_TU_AP_DUNG'!$B$1:$B$5000, 0)), 0)</f>
        <v/>
      </c>
      <c r="K779" s="390">
        <f>I779*J779</f>
        <v/>
      </c>
      <c r="L779" t="inlineStr">
        <is>
          <t>2 cánh cao 170mm</t>
        </is>
      </c>
    </row>
    <row r="780">
      <c r="A780" t="inlineStr">
        <is>
          <t>SW-DAMPER-325-AXLE</t>
        </is>
      </c>
      <c r="B780" t="inlineStr">
        <is>
          <t>SW-DAMPER-325</t>
        </is>
      </c>
      <c r="C780" t="inlineStr">
        <is>
          <t>Trục Sus 201 D10</t>
        </is>
      </c>
      <c r="D780" t="inlineStr">
        <is>
          <t>PHỤ_KIỆN_VAN</t>
        </is>
      </c>
      <c r="E780" t="inlineStr">
        <is>
          <t>MAT-DAMPER-TRUC-SUS-201-D10</t>
        </is>
      </c>
      <c r="F780" t="inlineStr">
        <is>
          <t>m</t>
        </is>
      </c>
      <c r="G780" s="394" t="n">
        <v>0.72</v>
      </c>
      <c r="H780" s="390">
        <f>IFERROR(INDEX('00_TONG_HOP_BAO_GIA'!$G$1:$G$5000, MATCH(B780, '00_TONG_HOP_BAO_GIA'!$B$1:$B$5000, 0)), 1)</f>
        <v/>
      </c>
      <c r="I780" s="395">
        <f>G780*H780</f>
        <v/>
      </c>
      <c r="J780" s="390">
        <f>IFERROR(INDEX('06_BANG_GIA_VAT_TU_AP_DUNG'!$E$1:$E$5000, MATCH(E780, '06_BANG_GIA_VAT_TU_AP_DUNG'!$B$1:$B$5000, 0)), 0)</f>
        <v/>
      </c>
      <c r="K780" s="390">
        <f>I780*J780</f>
        <v/>
      </c>
      <c r="L780" t="inlineStr">
        <is>
          <t>2 trục dài 360mm</t>
        </is>
      </c>
    </row>
    <row r="781">
      <c r="A781" t="inlineStr">
        <is>
          <t>SW-DAMPER-325-BEARING</t>
        </is>
      </c>
      <c r="B781" t="inlineStr">
        <is>
          <t>SW-DAMPER-325</t>
        </is>
      </c>
      <c r="C781" t="inlineStr">
        <is>
          <t>Bạc đồng D10</t>
        </is>
      </c>
      <c r="D781" t="inlineStr">
        <is>
          <t>PHỤ_KIỆN_VAN</t>
        </is>
      </c>
      <c r="E781" t="inlineStr">
        <is>
          <t>MAT-DAMPER-BAC-DONG-D10</t>
        </is>
      </c>
      <c r="F781" t="inlineStr">
        <is>
          <t>Đôi</t>
        </is>
      </c>
      <c r="G781" s="394" t="n">
        <v>2</v>
      </c>
      <c r="H781" s="390">
        <f>IFERROR(INDEX('00_TONG_HOP_BAO_GIA'!$G$1:$G$5000, MATCH(B781, '00_TONG_HOP_BAO_GIA'!$B$1:$B$5000, 0)), 1)</f>
        <v/>
      </c>
      <c r="I781" s="395">
        <f>G781*H781</f>
        <v/>
      </c>
      <c r="J781" s="390">
        <f>IFERROR(INDEX('06_BANG_GIA_VAT_TU_AP_DUNG'!$E$1:$E$5000, MATCH(E781, '06_BANG_GIA_VAT_TU_AP_DUNG'!$B$1:$B$5000, 0)), 0)</f>
        <v/>
      </c>
      <c r="K781" s="390">
        <f>I781*J781</f>
        <v/>
      </c>
      <c r="L781" t="inlineStr">
        <is>
          <t>2 đôi bạc đỡ 2 bên thân</t>
        </is>
      </c>
    </row>
    <row r="782">
      <c r="A782" t="inlineStr">
        <is>
          <t>SW-DAMPER-325-GEAR</t>
        </is>
      </c>
      <c r="B782" t="inlineStr">
        <is>
          <t>SW-DAMPER-325</t>
        </is>
      </c>
      <c r="C782" t="inlineStr">
        <is>
          <t>Bánh răng van nhôm</t>
        </is>
      </c>
      <c r="D782" t="inlineStr">
        <is>
          <t>PHỤ_KIỆN_VAN</t>
        </is>
      </c>
      <c r="E782" t="inlineStr">
        <is>
          <t>MAT-DAMPER-BANH-RANG-VAN-NHOM</t>
        </is>
      </c>
      <c r="F782" t="inlineStr">
        <is>
          <t>Bộ</t>
        </is>
      </c>
      <c r="G782" s="394" t="n">
        <v>1</v>
      </c>
      <c r="H782" s="390">
        <f>IFERROR(INDEX('00_TONG_HOP_BAO_GIA'!$G$1:$G$5000, MATCH(B782, '00_TONG_HOP_BAO_GIA'!$B$1:$B$5000, 0)), 1)</f>
        <v/>
      </c>
      <c r="I782" s="395">
        <f>G782*H782</f>
        <v/>
      </c>
      <c r="J782" s="390">
        <f>IFERROR(INDEX('06_BANG_GIA_VAT_TU_AP_DUNG'!$E$1:$E$5000, MATCH(E782, '06_BANG_GIA_VAT_TU_AP_DUNG'!$B$1:$B$5000, 0)), 0)</f>
        <v/>
      </c>
      <c r="K782" s="390">
        <f>I782*J782</f>
        <v/>
      </c>
      <c r="L782" t="inlineStr">
        <is>
          <t>Cơ cấu liên động bánh răng van</t>
        </is>
      </c>
    </row>
    <row r="783">
      <c r="A783" t="inlineStr">
        <is>
          <t>SW-DAMPER-325-HANDLE</t>
        </is>
      </c>
      <c r="B783" t="inlineStr">
        <is>
          <t>SW-DAMPER-325</t>
        </is>
      </c>
      <c r="C783" t="inlineStr">
        <is>
          <t>Tay gạt nhỏ</t>
        </is>
      </c>
      <c r="D783" t="inlineStr">
        <is>
          <t>PHỤ_KIỆN_VAN</t>
        </is>
      </c>
      <c r="E783" t="inlineStr">
        <is>
          <t>MAT-DAMPER-TAY-GAT-NHO</t>
        </is>
      </c>
      <c r="F783" t="inlineStr">
        <is>
          <t>Bộ</t>
        </is>
      </c>
      <c r="G783" s="394" t="n">
        <v>1</v>
      </c>
      <c r="H783" s="390">
        <f>IFERROR(INDEX('00_TONG_HOP_BAO_GIA'!$G$1:$G$5000, MATCH(B783, '00_TONG_HOP_BAO_GIA'!$B$1:$B$5000, 0)), 1)</f>
        <v/>
      </c>
      <c r="I783" s="395">
        <f>G783*H783</f>
        <v/>
      </c>
      <c r="J783" s="390">
        <f>IFERROR(INDEX('06_BANG_GIA_VAT_TU_AP_DUNG'!$E$1:$E$5000, MATCH(E783, '06_BANG_GIA_VAT_TU_AP_DUNG'!$B$1:$B$5000, 0)), 0)</f>
        <v/>
      </c>
      <c r="K783" s="390">
        <f>I783*J783</f>
        <v/>
      </c>
      <c r="L783" t="inlineStr">
        <is>
          <t>Tay gạt khóa vị trí nan (S=0.09m2)</t>
        </is>
      </c>
    </row>
    <row r="784">
      <c r="A784" t="inlineStr">
        <is>
          <t>SW-DAMPER-326-BODY</t>
        </is>
      </c>
      <c r="B784" t="inlineStr">
        <is>
          <t>SW-DAMPER-326</t>
        </is>
      </c>
      <c r="C784" t="inlineStr">
        <is>
          <t>Thân vỏ van NRD bích TDF (0.75mm)</t>
        </is>
      </c>
      <c r="D784" t="inlineStr">
        <is>
          <t>TÔN_CUỘN_MẠ_KẼM</t>
        </is>
      </c>
      <c r="E784" t="inlineStr">
        <is>
          <t>MAT-STEEL-PN-0.75</t>
        </is>
      </c>
      <c r="F784" t="inlineStr">
        <is>
          <t>kg</t>
        </is>
      </c>
      <c r="G784" s="394" t="n">
        <v>1.9732545</v>
      </c>
      <c r="H784" s="390">
        <f>IFERROR(INDEX('00_TONG_HOP_BAO_GIA'!$G$1:$G$5000, MATCH(B784, '00_TONG_HOP_BAO_GIA'!$B$1:$B$5000, 0)), 1)</f>
        <v/>
      </c>
      <c r="I784" s="395">
        <f>G784*H784</f>
        <v/>
      </c>
      <c r="J784" s="390">
        <f>IFERROR(INDEX('06_BANG_GIA_VAT_TU_AP_DUNG'!$E$1:$E$5000, MATCH(E784, '06_BANG_GIA_VAT_TU_AP_DUNG'!$B$1:$B$5000, 0)), 0)</f>
        <v/>
      </c>
      <c r="K784" s="390">
        <f>I784*J784</f>
        <v/>
      </c>
      <c r="L784" t="inlineStr">
        <is>
          <t>Kích thước vỏ 350.0x200.0x210mm</t>
        </is>
      </c>
    </row>
    <row r="785">
      <c r="A785" t="inlineStr">
        <is>
          <t>SW-DAMPER-326-BLADE</t>
        </is>
      </c>
      <c r="B785" t="inlineStr">
        <is>
          <t>SW-DAMPER-326</t>
        </is>
      </c>
      <c r="C785" t="inlineStr">
        <is>
          <t>Lá cánh van (2 cánh overlap)</t>
        </is>
      </c>
      <c r="D785" t="inlineStr">
        <is>
          <t>TÔN_CUỘN_MẠ_KẼM</t>
        </is>
      </c>
      <c r="E785" t="inlineStr">
        <is>
          <t>MAT-STEEL-PN-0.75</t>
        </is>
      </c>
      <c r="F785" t="inlineStr">
        <is>
          <t>kg</t>
        </is>
      </c>
      <c r="G785" s="394" t="n">
        <v>0.5341139999999999</v>
      </c>
      <c r="H785" s="390">
        <f>IFERROR(INDEX('00_TONG_HOP_BAO_GIA'!$G$1:$G$5000, MATCH(B785, '00_TONG_HOP_BAO_GIA'!$B$1:$B$5000, 0)), 1)</f>
        <v/>
      </c>
      <c r="I785" s="395">
        <f>G785*H785</f>
        <v/>
      </c>
      <c r="J785" s="390">
        <f>IFERROR(INDEX('06_BANG_GIA_VAT_TU_AP_DUNG'!$E$1:$E$5000, MATCH(E785, '06_BANG_GIA_VAT_TU_AP_DUNG'!$B$1:$B$5000, 0)), 0)</f>
        <v/>
      </c>
      <c r="K785" s="390">
        <f>I785*J785</f>
        <v/>
      </c>
      <c r="L785" t="inlineStr">
        <is>
          <t>2 cánh cao 120mm</t>
        </is>
      </c>
    </row>
    <row r="786">
      <c r="A786" t="inlineStr">
        <is>
          <t>SW-DAMPER-326-AXLE</t>
        </is>
      </c>
      <c r="B786" t="inlineStr">
        <is>
          <t>SW-DAMPER-326</t>
        </is>
      </c>
      <c r="C786" t="inlineStr">
        <is>
          <t>Trục Sus 201 D10</t>
        </is>
      </c>
      <c r="D786" t="inlineStr">
        <is>
          <t>PHỤ_KIỆN_VAN</t>
        </is>
      </c>
      <c r="E786" t="inlineStr">
        <is>
          <t>MAT-DAMPER-TRUC-SUS-201-D10</t>
        </is>
      </c>
      <c r="F786" t="inlineStr">
        <is>
          <t>m</t>
        </is>
      </c>
      <c r="G786" s="394" t="n">
        <v>0.82</v>
      </c>
      <c r="H786" s="390">
        <f>IFERROR(INDEX('00_TONG_HOP_BAO_GIA'!$G$1:$G$5000, MATCH(B786, '00_TONG_HOP_BAO_GIA'!$B$1:$B$5000, 0)), 1)</f>
        <v/>
      </c>
      <c r="I786" s="395">
        <f>G786*H786</f>
        <v/>
      </c>
      <c r="J786" s="390">
        <f>IFERROR(INDEX('06_BANG_GIA_VAT_TU_AP_DUNG'!$E$1:$E$5000, MATCH(E786, '06_BANG_GIA_VAT_TU_AP_DUNG'!$B$1:$B$5000, 0)), 0)</f>
        <v/>
      </c>
      <c r="K786" s="390">
        <f>I786*J786</f>
        <v/>
      </c>
      <c r="L786" t="inlineStr">
        <is>
          <t>2 trục dài 410mm</t>
        </is>
      </c>
    </row>
    <row r="787">
      <c r="A787" t="inlineStr">
        <is>
          <t>SW-DAMPER-326-BEARING</t>
        </is>
      </c>
      <c r="B787" t="inlineStr">
        <is>
          <t>SW-DAMPER-326</t>
        </is>
      </c>
      <c r="C787" t="inlineStr">
        <is>
          <t>Bạc đồng D10</t>
        </is>
      </c>
      <c r="D787" t="inlineStr">
        <is>
          <t>PHỤ_KIỆN_VAN</t>
        </is>
      </c>
      <c r="E787" t="inlineStr">
        <is>
          <t>MAT-DAMPER-BAC-DONG-D10</t>
        </is>
      </c>
      <c r="F787" t="inlineStr">
        <is>
          <t>Đôi</t>
        </is>
      </c>
      <c r="G787" s="394" t="n">
        <v>2</v>
      </c>
      <c r="H787" s="390">
        <f>IFERROR(INDEX('00_TONG_HOP_BAO_GIA'!$G$1:$G$5000, MATCH(B787, '00_TONG_HOP_BAO_GIA'!$B$1:$B$5000, 0)), 1)</f>
        <v/>
      </c>
      <c r="I787" s="395">
        <f>G787*H787</f>
        <v/>
      </c>
      <c r="J787" s="390">
        <f>IFERROR(INDEX('06_BANG_GIA_VAT_TU_AP_DUNG'!$E$1:$E$5000, MATCH(E787, '06_BANG_GIA_VAT_TU_AP_DUNG'!$B$1:$B$5000, 0)), 0)</f>
        <v/>
      </c>
      <c r="K787" s="390">
        <f>I787*J787</f>
        <v/>
      </c>
      <c r="L787" t="inlineStr">
        <is>
          <t>2 đôi bạc đỡ 2 bên thân</t>
        </is>
      </c>
    </row>
    <row r="788">
      <c r="A788" t="inlineStr">
        <is>
          <t>SW-DAMPER-326-GEAR</t>
        </is>
      </c>
      <c r="B788" t="inlineStr">
        <is>
          <t>SW-DAMPER-326</t>
        </is>
      </c>
      <c r="C788" t="inlineStr">
        <is>
          <t>Bánh răng van nhôm</t>
        </is>
      </c>
      <c r="D788" t="inlineStr">
        <is>
          <t>PHỤ_KIỆN_VAN</t>
        </is>
      </c>
      <c r="E788" t="inlineStr">
        <is>
          <t>MAT-DAMPER-BANH-RANG-VAN-NHOM</t>
        </is>
      </c>
      <c r="F788" t="inlineStr">
        <is>
          <t>Bộ</t>
        </is>
      </c>
      <c r="G788" s="394" t="n">
        <v>1</v>
      </c>
      <c r="H788" s="390">
        <f>IFERROR(INDEX('00_TONG_HOP_BAO_GIA'!$G$1:$G$5000, MATCH(B788, '00_TONG_HOP_BAO_GIA'!$B$1:$B$5000, 0)), 1)</f>
        <v/>
      </c>
      <c r="I788" s="395">
        <f>G788*H788</f>
        <v/>
      </c>
      <c r="J788" s="390">
        <f>IFERROR(INDEX('06_BANG_GIA_VAT_TU_AP_DUNG'!$E$1:$E$5000, MATCH(E788, '06_BANG_GIA_VAT_TU_AP_DUNG'!$B$1:$B$5000, 0)), 0)</f>
        <v/>
      </c>
      <c r="K788" s="390">
        <f>I788*J788</f>
        <v/>
      </c>
      <c r="L788" t="inlineStr">
        <is>
          <t>Cơ cấu liên động bánh răng van</t>
        </is>
      </c>
    </row>
    <row r="789">
      <c r="A789" t="inlineStr">
        <is>
          <t>SW-DAMPER-326-ECCENTRIC</t>
        </is>
      </c>
      <c r="B789" t="inlineStr">
        <is>
          <t>SW-DAMPER-326</t>
        </is>
      </c>
      <c r="C789" t="inlineStr">
        <is>
          <t>Cơ cấu lệch tâm / Lò xo đóng mở (NRD)</t>
        </is>
      </c>
      <c r="D789" t="inlineStr">
        <is>
          <t>PHỤ_KIỆN_VAN</t>
        </is>
      </c>
      <c r="E789" t="inlineStr">
        <is>
          <t>ECCENTRIC_SHAFT</t>
        </is>
      </c>
      <c r="F789" t="inlineStr">
        <is>
          <t>Bộ</t>
        </is>
      </c>
      <c r="G789" s="394" t="n">
        <v>1</v>
      </c>
      <c r="H789" s="390">
        <f>IFERROR(INDEX('00_TONG_HOP_BAO_GIA'!$G$1:$G$5000, MATCH(B789, '00_TONG_HOP_BAO_GIA'!$B$1:$B$5000, 0)), 1)</f>
        <v/>
      </c>
      <c r="I789" s="395">
        <f>G789*H789</f>
        <v/>
      </c>
      <c r="J789" s="390">
        <f>IFERROR(INDEX('06_BANG_GIA_VAT_TU_AP_DUNG'!$E$1:$E$5000, MATCH(E789, '06_BANG_GIA_VAT_TU_AP_DUNG'!$B$1:$B$5000, 0)), 0)</f>
        <v/>
      </c>
      <c r="K789" s="390">
        <f>I789*J789</f>
        <v/>
      </c>
      <c r="L789" t="inlineStr">
        <is>
          <t>Cơ cấu đóng mở một chiều</t>
        </is>
      </c>
    </row>
    <row r="790">
      <c r="A790" t="inlineStr">
        <is>
          <t>SW-DAMPER-327-BODY</t>
        </is>
      </c>
      <c r="B790" t="inlineStr">
        <is>
          <t>SW-DAMPER-327</t>
        </is>
      </c>
      <c r="C790" t="inlineStr">
        <is>
          <t>Thân vỏ van NRD bích TDF (0.75mm)</t>
        </is>
      </c>
      <c r="D790" t="inlineStr">
        <is>
          <t>TÔN_CUỘN_MẠ_KẼM</t>
        </is>
      </c>
      <c r="E790" t="inlineStr">
        <is>
          <t>MAT-STEEL-PN-0.75</t>
        </is>
      </c>
      <c r="F790" t="inlineStr">
        <is>
          <t>kg</t>
        </is>
      </c>
      <c r="G790" s="394" t="n">
        <v>2.838717</v>
      </c>
      <c r="H790" s="390">
        <f>IFERROR(INDEX('00_TONG_HOP_BAO_GIA'!$G$1:$G$5000, MATCH(B790, '00_TONG_HOP_BAO_GIA'!$B$1:$B$5000, 0)), 1)</f>
        <v/>
      </c>
      <c r="I790" s="395">
        <f>G790*H790</f>
        <v/>
      </c>
      <c r="J790" s="390">
        <f>IFERROR(INDEX('06_BANG_GIA_VAT_TU_AP_DUNG'!$E$1:$E$5000, MATCH(E790, '06_BANG_GIA_VAT_TU_AP_DUNG'!$B$1:$B$5000, 0)), 0)</f>
        <v/>
      </c>
      <c r="K790" s="390">
        <f>I790*J790</f>
        <v/>
      </c>
      <c r="L790" t="inlineStr">
        <is>
          <t>Kích thước vỏ 400.0x400.0x210mm</t>
        </is>
      </c>
    </row>
    <row r="791">
      <c r="A791" t="inlineStr">
        <is>
          <t>SW-DAMPER-327-BLADE</t>
        </is>
      </c>
      <c r="B791" t="inlineStr">
        <is>
          <t>SW-DAMPER-327</t>
        </is>
      </c>
      <c r="C791" t="inlineStr">
        <is>
          <t>Lá cánh van (3 cánh overlap)</t>
        </is>
      </c>
      <c r="D791" t="inlineStr">
        <is>
          <t>TÔN_CUỘN_MẠ_KẼM</t>
        </is>
      </c>
      <c r="E791" t="inlineStr">
        <is>
          <t>MAT-STEEL-PN-0.75</t>
        </is>
      </c>
      <c r="F791" t="inlineStr">
        <is>
          <t>kg</t>
        </is>
      </c>
      <c r="G791" s="394" t="n">
        <v>1.169964</v>
      </c>
      <c r="H791" s="390">
        <f>IFERROR(INDEX('00_TONG_HOP_BAO_GIA'!$G$1:$G$5000, MATCH(B791, '00_TONG_HOP_BAO_GIA'!$B$1:$B$5000, 0)), 1)</f>
        <v/>
      </c>
      <c r="I791" s="395">
        <f>G791*H791</f>
        <v/>
      </c>
      <c r="J791" s="390">
        <f>IFERROR(INDEX('06_BANG_GIA_VAT_TU_AP_DUNG'!$E$1:$E$5000, MATCH(E791, '06_BANG_GIA_VAT_TU_AP_DUNG'!$B$1:$B$5000, 0)), 0)</f>
        <v/>
      </c>
      <c r="K791" s="390">
        <f>I791*J791</f>
        <v/>
      </c>
      <c r="L791" t="inlineStr">
        <is>
          <t>3 cánh cao 153mm</t>
        </is>
      </c>
    </row>
    <row r="792">
      <c r="A792" t="inlineStr">
        <is>
          <t>SW-DAMPER-327-AXLE</t>
        </is>
      </c>
      <c r="B792" t="inlineStr">
        <is>
          <t>SW-DAMPER-327</t>
        </is>
      </c>
      <c r="C792" t="inlineStr">
        <is>
          <t>Trục Sus 201 D10</t>
        </is>
      </c>
      <c r="D792" t="inlineStr">
        <is>
          <t>PHỤ_KIỆN_VAN</t>
        </is>
      </c>
      <c r="E792" t="inlineStr">
        <is>
          <t>MAT-DAMPER-TRUC-SUS-201-D10</t>
        </is>
      </c>
      <c r="F792" t="inlineStr">
        <is>
          <t>m</t>
        </is>
      </c>
      <c r="G792" s="394" t="n">
        <v>1.38</v>
      </c>
      <c r="H792" s="390">
        <f>IFERROR(INDEX('00_TONG_HOP_BAO_GIA'!$G$1:$G$5000, MATCH(B792, '00_TONG_HOP_BAO_GIA'!$B$1:$B$5000, 0)), 1)</f>
        <v/>
      </c>
      <c r="I792" s="395">
        <f>G792*H792</f>
        <v/>
      </c>
      <c r="J792" s="390">
        <f>IFERROR(INDEX('06_BANG_GIA_VAT_TU_AP_DUNG'!$E$1:$E$5000, MATCH(E792, '06_BANG_GIA_VAT_TU_AP_DUNG'!$B$1:$B$5000, 0)), 0)</f>
        <v/>
      </c>
      <c r="K792" s="390">
        <f>I792*J792</f>
        <v/>
      </c>
      <c r="L792" t="inlineStr">
        <is>
          <t>3 trục dài 460mm</t>
        </is>
      </c>
    </row>
    <row r="793">
      <c r="A793" t="inlineStr">
        <is>
          <t>SW-DAMPER-327-BEARING</t>
        </is>
      </c>
      <c r="B793" t="inlineStr">
        <is>
          <t>SW-DAMPER-327</t>
        </is>
      </c>
      <c r="C793" t="inlineStr">
        <is>
          <t>Bạc đồng D10</t>
        </is>
      </c>
      <c r="D793" t="inlineStr">
        <is>
          <t>PHỤ_KIỆN_VAN</t>
        </is>
      </c>
      <c r="E793" t="inlineStr">
        <is>
          <t>MAT-DAMPER-BAC-DONG-D10</t>
        </is>
      </c>
      <c r="F793" t="inlineStr">
        <is>
          <t>Đôi</t>
        </is>
      </c>
      <c r="G793" s="394" t="n">
        <v>3</v>
      </c>
      <c r="H793" s="390">
        <f>IFERROR(INDEX('00_TONG_HOP_BAO_GIA'!$G$1:$G$5000, MATCH(B793, '00_TONG_HOP_BAO_GIA'!$B$1:$B$5000, 0)), 1)</f>
        <v/>
      </c>
      <c r="I793" s="395">
        <f>G793*H793</f>
        <v/>
      </c>
      <c r="J793" s="390">
        <f>IFERROR(INDEX('06_BANG_GIA_VAT_TU_AP_DUNG'!$E$1:$E$5000, MATCH(E793, '06_BANG_GIA_VAT_TU_AP_DUNG'!$B$1:$B$5000, 0)), 0)</f>
        <v/>
      </c>
      <c r="K793" s="390">
        <f>I793*J793</f>
        <v/>
      </c>
      <c r="L793" t="inlineStr">
        <is>
          <t>3 đôi bạc đỡ 2 bên thân</t>
        </is>
      </c>
    </row>
    <row r="794">
      <c r="A794" t="inlineStr">
        <is>
          <t>SW-DAMPER-327-GEAR</t>
        </is>
      </c>
      <c r="B794" t="inlineStr">
        <is>
          <t>SW-DAMPER-327</t>
        </is>
      </c>
      <c r="C794" t="inlineStr">
        <is>
          <t>Bánh răng van nhôm</t>
        </is>
      </c>
      <c r="D794" t="inlineStr">
        <is>
          <t>PHỤ_KIỆN_VAN</t>
        </is>
      </c>
      <c r="E794" t="inlineStr">
        <is>
          <t>MAT-DAMPER-BANH-RANG-VAN-NHOM</t>
        </is>
      </c>
      <c r="F794" t="inlineStr">
        <is>
          <t>Bộ</t>
        </is>
      </c>
      <c r="G794" s="394" t="n">
        <v>1</v>
      </c>
      <c r="H794" s="390">
        <f>IFERROR(INDEX('00_TONG_HOP_BAO_GIA'!$G$1:$G$5000, MATCH(B794, '00_TONG_HOP_BAO_GIA'!$B$1:$B$5000, 0)), 1)</f>
        <v/>
      </c>
      <c r="I794" s="395">
        <f>G794*H794</f>
        <v/>
      </c>
      <c r="J794" s="390">
        <f>IFERROR(INDEX('06_BANG_GIA_VAT_TU_AP_DUNG'!$E$1:$E$5000, MATCH(E794, '06_BANG_GIA_VAT_TU_AP_DUNG'!$B$1:$B$5000, 0)), 0)</f>
        <v/>
      </c>
      <c r="K794" s="390">
        <f>I794*J794</f>
        <v/>
      </c>
      <c r="L794" t="inlineStr">
        <is>
          <t>Cơ cấu liên động bánh răng van</t>
        </is>
      </c>
    </row>
    <row r="795">
      <c r="A795" t="inlineStr">
        <is>
          <t>SW-DAMPER-327-ECCENTRIC</t>
        </is>
      </c>
      <c r="B795" t="inlineStr">
        <is>
          <t>SW-DAMPER-327</t>
        </is>
      </c>
      <c r="C795" t="inlineStr">
        <is>
          <t>Cơ cấu lệch tâm / Lò xo đóng mở (NRD)</t>
        </is>
      </c>
      <c r="D795" t="inlineStr">
        <is>
          <t>PHỤ_KIỆN_VAN</t>
        </is>
      </c>
      <c r="E795" t="inlineStr">
        <is>
          <t>ECCENTRIC_SHAFT</t>
        </is>
      </c>
      <c r="F795" t="inlineStr">
        <is>
          <t>Bộ</t>
        </is>
      </c>
      <c r="G795" s="394" t="n">
        <v>1</v>
      </c>
      <c r="H795" s="390">
        <f>IFERROR(INDEX('00_TONG_HOP_BAO_GIA'!$G$1:$G$5000, MATCH(B795, '00_TONG_HOP_BAO_GIA'!$B$1:$B$5000, 0)), 1)</f>
        <v/>
      </c>
      <c r="I795" s="395">
        <f>G795*H795</f>
        <v/>
      </c>
      <c r="J795" s="390">
        <f>IFERROR(INDEX('06_BANG_GIA_VAT_TU_AP_DUNG'!$E$1:$E$5000, MATCH(E795, '06_BANG_GIA_VAT_TU_AP_DUNG'!$B$1:$B$5000, 0)), 0)</f>
        <v/>
      </c>
      <c r="K795" s="390">
        <f>I795*J795</f>
        <v/>
      </c>
      <c r="L795" t="inlineStr">
        <is>
          <t>Cơ cấu đóng mở một chiều</t>
        </is>
      </c>
    </row>
    <row r="796">
      <c r="A796" t="inlineStr">
        <is>
          <t>SW-DAMPER-328-BODY</t>
        </is>
      </c>
      <c r="B796" t="inlineStr">
        <is>
          <t>SW-DAMPER-328</t>
        </is>
      </c>
      <c r="C796" t="inlineStr">
        <is>
          <t>Thân vỏ van NRD bích TDF (0.75mm)</t>
        </is>
      </c>
      <c r="D796" t="inlineStr">
        <is>
          <t>TÔN_CUỘN_MẠ_KẼM</t>
        </is>
      </c>
      <c r="E796" t="inlineStr">
        <is>
          <t>MAT-STEEL-PN-0.75</t>
        </is>
      </c>
      <c r="F796" t="inlineStr">
        <is>
          <t>kg</t>
        </is>
      </c>
      <c r="G796" s="394" t="n">
        <v>1.800162</v>
      </c>
      <c r="H796" s="390">
        <f>IFERROR(INDEX('00_TONG_HOP_BAO_GIA'!$G$1:$G$5000, MATCH(B796, '00_TONG_HOP_BAO_GIA'!$B$1:$B$5000, 0)), 1)</f>
        <v/>
      </c>
      <c r="I796" s="395">
        <f>G796*H796</f>
        <v/>
      </c>
      <c r="J796" s="390">
        <f>IFERROR(INDEX('06_BANG_GIA_VAT_TU_AP_DUNG'!$E$1:$E$5000, MATCH(E796, '06_BANG_GIA_VAT_TU_AP_DUNG'!$B$1:$B$5000, 0)), 0)</f>
        <v/>
      </c>
      <c r="K796" s="390">
        <f>I796*J796</f>
        <v/>
      </c>
      <c r="L796" t="inlineStr">
        <is>
          <t>Kích thước vỏ 250.0x250.0x210mm</t>
        </is>
      </c>
    </row>
    <row r="797">
      <c r="A797" t="inlineStr">
        <is>
          <t>SW-DAMPER-328-BLADE</t>
        </is>
      </c>
      <c r="B797" t="inlineStr">
        <is>
          <t>SW-DAMPER-328</t>
        </is>
      </c>
      <c r="C797" t="inlineStr">
        <is>
          <t>Lá cánh van (2 cánh overlap)</t>
        </is>
      </c>
      <c r="D797" t="inlineStr">
        <is>
          <t>TÔN_CUỘN_MẠ_KẼM</t>
        </is>
      </c>
      <c r="E797" t="inlineStr">
        <is>
          <t>MAT-STEEL-PN-0.75</t>
        </is>
      </c>
      <c r="F797" t="inlineStr">
        <is>
          <t>kg</t>
        </is>
      </c>
      <c r="G797" s="394" t="n">
        <v>0.4609912499999999</v>
      </c>
      <c r="H797" s="390">
        <f>IFERROR(INDEX('00_TONG_HOP_BAO_GIA'!$G$1:$G$5000, MATCH(B797, '00_TONG_HOP_BAO_GIA'!$B$1:$B$5000, 0)), 1)</f>
        <v/>
      </c>
      <c r="I797" s="395">
        <f>G797*H797</f>
        <v/>
      </c>
      <c r="J797" s="390">
        <f>IFERROR(INDEX('06_BANG_GIA_VAT_TU_AP_DUNG'!$E$1:$E$5000, MATCH(E797, '06_BANG_GIA_VAT_TU_AP_DUNG'!$B$1:$B$5000, 0)), 0)</f>
        <v/>
      </c>
      <c r="K797" s="390">
        <f>I797*J797</f>
        <v/>
      </c>
      <c r="L797" t="inlineStr">
        <is>
          <t>2 cánh cao 145mm</t>
        </is>
      </c>
    </row>
    <row r="798">
      <c r="A798" t="inlineStr">
        <is>
          <t>SW-DAMPER-328-AXLE</t>
        </is>
      </c>
      <c r="B798" t="inlineStr">
        <is>
          <t>SW-DAMPER-328</t>
        </is>
      </c>
      <c r="C798" t="inlineStr">
        <is>
          <t>Trục Sus 201 D10</t>
        </is>
      </c>
      <c r="D798" t="inlineStr">
        <is>
          <t>PHỤ_KIỆN_VAN</t>
        </is>
      </c>
      <c r="E798" t="inlineStr">
        <is>
          <t>MAT-DAMPER-TRUC-SUS-201-D10</t>
        </is>
      </c>
      <c r="F798" t="inlineStr">
        <is>
          <t>m</t>
        </is>
      </c>
      <c r="G798" s="394" t="n">
        <v>0.62</v>
      </c>
      <c r="H798" s="390">
        <f>IFERROR(INDEX('00_TONG_HOP_BAO_GIA'!$G$1:$G$5000, MATCH(B798, '00_TONG_HOP_BAO_GIA'!$B$1:$B$5000, 0)), 1)</f>
        <v/>
      </c>
      <c r="I798" s="395">
        <f>G798*H798</f>
        <v/>
      </c>
      <c r="J798" s="390">
        <f>IFERROR(INDEX('06_BANG_GIA_VAT_TU_AP_DUNG'!$E$1:$E$5000, MATCH(E798, '06_BANG_GIA_VAT_TU_AP_DUNG'!$B$1:$B$5000, 0)), 0)</f>
        <v/>
      </c>
      <c r="K798" s="390">
        <f>I798*J798</f>
        <v/>
      </c>
      <c r="L798" t="inlineStr">
        <is>
          <t>2 trục dài 310mm</t>
        </is>
      </c>
    </row>
    <row r="799">
      <c r="A799" t="inlineStr">
        <is>
          <t>SW-DAMPER-328-BEARING</t>
        </is>
      </c>
      <c r="B799" t="inlineStr">
        <is>
          <t>SW-DAMPER-328</t>
        </is>
      </c>
      <c r="C799" t="inlineStr">
        <is>
          <t>Bạc đồng D10</t>
        </is>
      </c>
      <c r="D799" t="inlineStr">
        <is>
          <t>PHỤ_KIỆN_VAN</t>
        </is>
      </c>
      <c r="E799" t="inlineStr">
        <is>
          <t>MAT-DAMPER-BAC-DONG-D10</t>
        </is>
      </c>
      <c r="F799" t="inlineStr">
        <is>
          <t>Đôi</t>
        </is>
      </c>
      <c r="G799" s="394" t="n">
        <v>2</v>
      </c>
      <c r="H799" s="390">
        <f>IFERROR(INDEX('00_TONG_HOP_BAO_GIA'!$G$1:$G$5000, MATCH(B799, '00_TONG_HOP_BAO_GIA'!$B$1:$B$5000, 0)), 1)</f>
        <v/>
      </c>
      <c r="I799" s="395">
        <f>G799*H799</f>
        <v/>
      </c>
      <c r="J799" s="390">
        <f>IFERROR(INDEX('06_BANG_GIA_VAT_TU_AP_DUNG'!$E$1:$E$5000, MATCH(E799, '06_BANG_GIA_VAT_TU_AP_DUNG'!$B$1:$B$5000, 0)), 0)</f>
        <v/>
      </c>
      <c r="K799" s="390">
        <f>I799*J799</f>
        <v/>
      </c>
      <c r="L799" t="inlineStr">
        <is>
          <t>2 đôi bạc đỡ 2 bên thân</t>
        </is>
      </c>
    </row>
    <row r="800">
      <c r="A800" t="inlineStr">
        <is>
          <t>SW-DAMPER-328-GEAR</t>
        </is>
      </c>
      <c r="B800" t="inlineStr">
        <is>
          <t>SW-DAMPER-328</t>
        </is>
      </c>
      <c r="C800" t="inlineStr">
        <is>
          <t>Bánh răng van nhôm</t>
        </is>
      </c>
      <c r="D800" t="inlineStr">
        <is>
          <t>PHỤ_KIỆN_VAN</t>
        </is>
      </c>
      <c r="E800" t="inlineStr">
        <is>
          <t>MAT-DAMPER-BANH-RANG-VAN-NHOM</t>
        </is>
      </c>
      <c r="F800" t="inlineStr">
        <is>
          <t>Bộ</t>
        </is>
      </c>
      <c r="G800" s="394" t="n">
        <v>1</v>
      </c>
      <c r="H800" s="390">
        <f>IFERROR(INDEX('00_TONG_HOP_BAO_GIA'!$G$1:$G$5000, MATCH(B800, '00_TONG_HOP_BAO_GIA'!$B$1:$B$5000, 0)), 1)</f>
        <v/>
      </c>
      <c r="I800" s="395">
        <f>G800*H800</f>
        <v/>
      </c>
      <c r="J800" s="390">
        <f>IFERROR(INDEX('06_BANG_GIA_VAT_TU_AP_DUNG'!$E$1:$E$5000, MATCH(E800, '06_BANG_GIA_VAT_TU_AP_DUNG'!$B$1:$B$5000, 0)), 0)</f>
        <v/>
      </c>
      <c r="K800" s="390">
        <f>I800*J800</f>
        <v/>
      </c>
      <c r="L800" t="inlineStr">
        <is>
          <t>Cơ cấu liên động bánh răng van</t>
        </is>
      </c>
    </row>
    <row r="801">
      <c r="A801" t="inlineStr">
        <is>
          <t>SW-DAMPER-328-ECCENTRIC</t>
        </is>
      </c>
      <c r="B801" t="inlineStr">
        <is>
          <t>SW-DAMPER-328</t>
        </is>
      </c>
      <c r="C801" t="inlineStr">
        <is>
          <t>Cơ cấu lệch tâm / Lò xo đóng mở (NRD)</t>
        </is>
      </c>
      <c r="D801" t="inlineStr">
        <is>
          <t>PHỤ_KIỆN_VAN</t>
        </is>
      </c>
      <c r="E801" t="inlineStr">
        <is>
          <t>ECCENTRIC_SHAFT</t>
        </is>
      </c>
      <c r="F801" t="inlineStr">
        <is>
          <t>Bộ</t>
        </is>
      </c>
      <c r="G801" s="394" t="n">
        <v>1</v>
      </c>
      <c r="H801" s="390">
        <f>IFERROR(INDEX('00_TONG_HOP_BAO_GIA'!$G$1:$G$5000, MATCH(B801, '00_TONG_HOP_BAO_GIA'!$B$1:$B$5000, 0)), 1)</f>
        <v/>
      </c>
      <c r="I801" s="395">
        <f>G801*H801</f>
        <v/>
      </c>
      <c r="J801" s="390">
        <f>IFERROR(INDEX('06_BANG_GIA_VAT_TU_AP_DUNG'!$E$1:$E$5000, MATCH(E801, '06_BANG_GIA_VAT_TU_AP_DUNG'!$B$1:$B$5000, 0)), 0)</f>
        <v/>
      </c>
      <c r="K801" s="390">
        <f>I801*J801</f>
        <v/>
      </c>
      <c r="L801" t="inlineStr">
        <is>
          <t>Cơ cấu đóng mở một chiều</t>
        </is>
      </c>
    </row>
    <row r="802">
      <c r="A802" t="inlineStr">
        <is>
          <t>SW-DAMPER-329-BODY</t>
        </is>
      </c>
      <c r="B802" t="inlineStr">
        <is>
          <t>SW-DAMPER-329</t>
        </is>
      </c>
      <c r="C802" t="inlineStr">
        <is>
          <t>Thân vỏ van NRD bích TDF (0.95mm)</t>
        </is>
      </c>
      <c r="D802" t="inlineStr">
        <is>
          <t>TÔN_CUỘN_MẠ_KẼM</t>
        </is>
      </c>
      <c r="E802" t="inlineStr">
        <is>
          <t>MAT-STEEL-PN-0.95</t>
        </is>
      </c>
      <c r="F802" t="inlineStr">
        <is>
          <t>kg</t>
        </is>
      </c>
      <c r="G802" s="394" t="n">
        <v>7.103716200000001</v>
      </c>
      <c r="H802" s="390">
        <f>IFERROR(INDEX('00_TONG_HOP_BAO_GIA'!$G$1:$G$5000, MATCH(B802, '00_TONG_HOP_BAO_GIA'!$B$1:$B$5000, 0)), 1)</f>
        <v/>
      </c>
      <c r="I802" s="395">
        <f>G802*H802</f>
        <v/>
      </c>
      <c r="J802" s="390">
        <f>IFERROR(INDEX('06_BANG_GIA_VAT_TU_AP_DUNG'!$E$1:$E$5000, MATCH(E802, '06_BANG_GIA_VAT_TU_AP_DUNG'!$B$1:$B$5000, 0)), 0)</f>
        <v/>
      </c>
      <c r="K802" s="390">
        <f>I802*J802</f>
        <v/>
      </c>
      <c r="L802" t="inlineStr">
        <is>
          <t>Kích thước vỏ 1250.0x350.0x210mm</t>
        </is>
      </c>
    </row>
    <row r="803">
      <c r="A803" t="inlineStr">
        <is>
          <t>SW-DAMPER-329-BLADE</t>
        </is>
      </c>
      <c r="B803" t="inlineStr">
        <is>
          <t>SW-DAMPER-329</t>
        </is>
      </c>
      <c r="C803" t="inlineStr">
        <is>
          <t>Lá cánh van (2 cánh overlap)</t>
        </is>
      </c>
      <c r="D803" t="inlineStr">
        <is>
          <t>TÔN_CUỘN_MẠ_KẼM</t>
        </is>
      </c>
      <c r="E803" t="inlineStr">
        <is>
          <t>MAT-STEEL-PN-0.75</t>
        </is>
      </c>
      <c r="F803" t="inlineStr">
        <is>
          <t>kg</t>
        </is>
      </c>
      <c r="G803" s="394" t="n">
        <v>3.09976875</v>
      </c>
      <c r="H803" s="390">
        <f>IFERROR(INDEX('00_TONG_HOP_BAO_GIA'!$G$1:$G$5000, MATCH(B803, '00_TONG_HOP_BAO_GIA'!$B$1:$B$5000, 0)), 1)</f>
        <v/>
      </c>
      <c r="I803" s="395">
        <f>G803*H803</f>
        <v/>
      </c>
      <c r="J803" s="390">
        <f>IFERROR(INDEX('06_BANG_GIA_VAT_TU_AP_DUNG'!$E$1:$E$5000, MATCH(E803, '06_BANG_GIA_VAT_TU_AP_DUNG'!$B$1:$B$5000, 0)), 0)</f>
        <v/>
      </c>
      <c r="K803" s="390">
        <f>I803*J803</f>
        <v/>
      </c>
      <c r="L803" t="inlineStr">
        <is>
          <t>2 cánh cao 195mm</t>
        </is>
      </c>
    </row>
    <row r="804">
      <c r="A804" t="inlineStr">
        <is>
          <t>SW-DAMPER-329-AXLE</t>
        </is>
      </c>
      <c r="B804" t="inlineStr">
        <is>
          <t>SW-DAMPER-329</t>
        </is>
      </c>
      <c r="C804" t="inlineStr">
        <is>
          <t>Trục Sus 201 D10</t>
        </is>
      </c>
      <c r="D804" t="inlineStr">
        <is>
          <t>PHỤ_KIỆN_VAN</t>
        </is>
      </c>
      <c r="E804" t="inlineStr">
        <is>
          <t>MAT-DAMPER-TRUC-SUS-201-D10</t>
        </is>
      </c>
      <c r="F804" t="inlineStr">
        <is>
          <t>m</t>
        </is>
      </c>
      <c r="G804" s="394" t="n">
        <v>2.62</v>
      </c>
      <c r="H804" s="390">
        <f>IFERROR(INDEX('00_TONG_HOP_BAO_GIA'!$G$1:$G$5000, MATCH(B804, '00_TONG_HOP_BAO_GIA'!$B$1:$B$5000, 0)), 1)</f>
        <v/>
      </c>
      <c r="I804" s="395">
        <f>G804*H804</f>
        <v/>
      </c>
      <c r="J804" s="390">
        <f>IFERROR(INDEX('06_BANG_GIA_VAT_TU_AP_DUNG'!$E$1:$E$5000, MATCH(E804, '06_BANG_GIA_VAT_TU_AP_DUNG'!$B$1:$B$5000, 0)), 0)</f>
        <v/>
      </c>
      <c r="K804" s="390">
        <f>I804*J804</f>
        <v/>
      </c>
      <c r="L804" t="inlineStr">
        <is>
          <t>2 trục dài 1310mm</t>
        </is>
      </c>
    </row>
    <row r="805">
      <c r="A805" t="inlineStr">
        <is>
          <t>SW-DAMPER-329-BEARING</t>
        </is>
      </c>
      <c r="B805" t="inlineStr">
        <is>
          <t>SW-DAMPER-329</t>
        </is>
      </c>
      <c r="C805" t="inlineStr">
        <is>
          <t>Bạc đồng D10</t>
        </is>
      </c>
      <c r="D805" t="inlineStr">
        <is>
          <t>PHỤ_KIỆN_VAN</t>
        </is>
      </c>
      <c r="E805" t="inlineStr">
        <is>
          <t>MAT-DAMPER-BAC-DONG-D10</t>
        </is>
      </c>
      <c r="F805" t="inlineStr">
        <is>
          <t>Đôi</t>
        </is>
      </c>
      <c r="G805" s="394" t="n">
        <v>2</v>
      </c>
      <c r="H805" s="390">
        <f>IFERROR(INDEX('00_TONG_HOP_BAO_GIA'!$G$1:$G$5000, MATCH(B805, '00_TONG_HOP_BAO_GIA'!$B$1:$B$5000, 0)), 1)</f>
        <v/>
      </c>
      <c r="I805" s="395">
        <f>G805*H805</f>
        <v/>
      </c>
      <c r="J805" s="390">
        <f>IFERROR(INDEX('06_BANG_GIA_VAT_TU_AP_DUNG'!$E$1:$E$5000, MATCH(E805, '06_BANG_GIA_VAT_TU_AP_DUNG'!$B$1:$B$5000, 0)), 0)</f>
        <v/>
      </c>
      <c r="K805" s="390">
        <f>I805*J805</f>
        <v/>
      </c>
      <c r="L805" t="inlineStr">
        <is>
          <t>2 đôi bạc đỡ 2 bên thân</t>
        </is>
      </c>
    </row>
    <row r="806">
      <c r="A806" t="inlineStr">
        <is>
          <t>SW-DAMPER-329-GEAR</t>
        </is>
      </c>
      <c r="B806" t="inlineStr">
        <is>
          <t>SW-DAMPER-329</t>
        </is>
      </c>
      <c r="C806" t="inlineStr">
        <is>
          <t>Bánh răng van nhôm</t>
        </is>
      </c>
      <c r="D806" t="inlineStr">
        <is>
          <t>PHỤ_KIỆN_VAN</t>
        </is>
      </c>
      <c r="E806" t="inlineStr">
        <is>
          <t>MAT-DAMPER-BANH-RANG-VAN-NHOM</t>
        </is>
      </c>
      <c r="F806" t="inlineStr">
        <is>
          <t>Bộ</t>
        </is>
      </c>
      <c r="G806" s="394" t="n">
        <v>1</v>
      </c>
      <c r="H806" s="390">
        <f>IFERROR(INDEX('00_TONG_HOP_BAO_GIA'!$G$1:$G$5000, MATCH(B806, '00_TONG_HOP_BAO_GIA'!$B$1:$B$5000, 0)), 1)</f>
        <v/>
      </c>
      <c r="I806" s="395">
        <f>G806*H806</f>
        <v/>
      </c>
      <c r="J806" s="390">
        <f>IFERROR(INDEX('06_BANG_GIA_VAT_TU_AP_DUNG'!$E$1:$E$5000, MATCH(E806, '06_BANG_GIA_VAT_TU_AP_DUNG'!$B$1:$B$5000, 0)), 0)</f>
        <v/>
      </c>
      <c r="K806" s="390">
        <f>I806*J806</f>
        <v/>
      </c>
      <c r="L806" t="inlineStr">
        <is>
          <t>Cơ cấu liên động bánh răng van</t>
        </is>
      </c>
    </row>
    <row r="807">
      <c r="A807" t="inlineStr">
        <is>
          <t>SW-DAMPER-329-ECCENTRIC</t>
        </is>
      </c>
      <c r="B807" t="inlineStr">
        <is>
          <t>SW-DAMPER-329</t>
        </is>
      </c>
      <c r="C807" t="inlineStr">
        <is>
          <t>Cơ cấu lệch tâm / Lò xo đóng mở (NRD)</t>
        </is>
      </c>
      <c r="D807" t="inlineStr">
        <is>
          <t>PHỤ_KIỆN_VAN</t>
        </is>
      </c>
      <c r="E807" t="inlineStr">
        <is>
          <t>ECCENTRIC_SHAFT</t>
        </is>
      </c>
      <c r="F807" t="inlineStr">
        <is>
          <t>Bộ</t>
        </is>
      </c>
      <c r="G807" s="394" t="n">
        <v>1</v>
      </c>
      <c r="H807" s="390">
        <f>IFERROR(INDEX('00_TONG_HOP_BAO_GIA'!$G$1:$G$5000, MATCH(B807, '00_TONG_HOP_BAO_GIA'!$B$1:$B$5000, 0)), 1)</f>
        <v/>
      </c>
      <c r="I807" s="395">
        <f>G807*H807</f>
        <v/>
      </c>
      <c r="J807" s="390">
        <f>IFERROR(INDEX('06_BANG_GIA_VAT_TU_AP_DUNG'!$E$1:$E$5000, MATCH(E807, '06_BANG_GIA_VAT_TU_AP_DUNG'!$B$1:$B$5000, 0)), 0)</f>
        <v/>
      </c>
      <c r="K807" s="390">
        <f>I807*J807</f>
        <v/>
      </c>
      <c r="L807" t="inlineStr">
        <is>
          <t>Cơ cấu đóng mở một chiều</t>
        </is>
      </c>
    </row>
    <row r="808">
      <c r="A808" t="inlineStr">
        <is>
          <t>SW-DAMPER-330-BODY</t>
        </is>
      </c>
      <c r="B808" t="inlineStr">
        <is>
          <t>SW-DAMPER-330</t>
        </is>
      </c>
      <c r="C808" t="inlineStr">
        <is>
          <t>Thân vỏ van NRD bích TDF (0.95mm)</t>
        </is>
      </c>
      <c r="D808" t="inlineStr">
        <is>
          <t>TÔN_CUỘN_MẠ_KẼM</t>
        </is>
      </c>
      <c r="E808" t="inlineStr">
        <is>
          <t>MAT-STEEL-PN-0.95</t>
        </is>
      </c>
      <c r="F808" t="inlineStr">
        <is>
          <t>kg</t>
        </is>
      </c>
      <c r="G808" s="394" t="n">
        <v>6.884465700000001</v>
      </c>
      <c r="H808" s="390">
        <f>IFERROR(INDEX('00_TONG_HOP_BAO_GIA'!$G$1:$G$5000, MATCH(B808, '00_TONG_HOP_BAO_GIA'!$B$1:$B$5000, 0)), 1)</f>
        <v/>
      </c>
      <c r="I808" s="395">
        <f>G808*H808</f>
        <v/>
      </c>
      <c r="J808" s="390">
        <f>IFERROR(INDEX('06_BANG_GIA_VAT_TU_AP_DUNG'!$E$1:$E$5000, MATCH(E808, '06_BANG_GIA_VAT_TU_AP_DUNG'!$B$1:$B$5000, 0)), 0)</f>
        <v/>
      </c>
      <c r="K808" s="390">
        <f>I808*J808</f>
        <v/>
      </c>
      <c r="L808" t="inlineStr">
        <is>
          <t>Kích thước vỏ 1000.0x550.0x210mm</t>
        </is>
      </c>
    </row>
    <row r="809">
      <c r="A809" t="inlineStr">
        <is>
          <t>SW-DAMPER-330-BLADE</t>
        </is>
      </c>
      <c r="B809" t="inlineStr">
        <is>
          <t>SW-DAMPER-330</t>
        </is>
      </c>
      <c r="C809" t="inlineStr">
        <is>
          <t>Lá cánh van (4 cánh overlap)</t>
        </is>
      </c>
      <c r="D809" t="inlineStr">
        <is>
          <t>TÔN_CUỘN_MẠ_KẼM</t>
        </is>
      </c>
      <c r="E809" t="inlineStr">
        <is>
          <t>MAT-STEEL-PN-0.75</t>
        </is>
      </c>
      <c r="F809" t="inlineStr">
        <is>
          <t>kg</t>
        </is>
      </c>
      <c r="G809" s="394" t="n">
        <v>4.005854999999999</v>
      </c>
      <c r="H809" s="390">
        <f>IFERROR(INDEX('00_TONG_HOP_BAO_GIA'!$G$1:$G$5000, MATCH(B809, '00_TONG_HOP_BAO_GIA'!$B$1:$B$5000, 0)), 1)</f>
        <v/>
      </c>
      <c r="I809" s="395">
        <f>G809*H809</f>
        <v/>
      </c>
      <c r="J809" s="390">
        <f>IFERROR(INDEX('06_BANG_GIA_VAT_TU_AP_DUNG'!$E$1:$E$5000, MATCH(E809, '06_BANG_GIA_VAT_TU_AP_DUNG'!$B$1:$B$5000, 0)), 0)</f>
        <v/>
      </c>
      <c r="K809" s="390">
        <f>I809*J809</f>
        <v/>
      </c>
      <c r="L809" t="inlineStr">
        <is>
          <t>4 cánh cao 158mm</t>
        </is>
      </c>
    </row>
    <row r="810">
      <c r="A810" t="inlineStr">
        <is>
          <t>SW-DAMPER-330-AXLE</t>
        </is>
      </c>
      <c r="B810" t="inlineStr">
        <is>
          <t>SW-DAMPER-330</t>
        </is>
      </c>
      <c r="C810" t="inlineStr">
        <is>
          <t>Trục Sus 201 D10</t>
        </is>
      </c>
      <c r="D810" t="inlineStr">
        <is>
          <t>PHỤ_KIỆN_VAN</t>
        </is>
      </c>
      <c r="E810" t="inlineStr">
        <is>
          <t>MAT-DAMPER-TRUC-SUS-201-D10</t>
        </is>
      </c>
      <c r="F810" t="inlineStr">
        <is>
          <t>m</t>
        </is>
      </c>
      <c r="G810" s="394" t="n">
        <v>4.24</v>
      </c>
      <c r="H810" s="390">
        <f>IFERROR(INDEX('00_TONG_HOP_BAO_GIA'!$G$1:$G$5000, MATCH(B810, '00_TONG_HOP_BAO_GIA'!$B$1:$B$5000, 0)), 1)</f>
        <v/>
      </c>
      <c r="I810" s="395">
        <f>G810*H810</f>
        <v/>
      </c>
      <c r="J810" s="390">
        <f>IFERROR(INDEX('06_BANG_GIA_VAT_TU_AP_DUNG'!$E$1:$E$5000, MATCH(E810, '06_BANG_GIA_VAT_TU_AP_DUNG'!$B$1:$B$5000, 0)), 0)</f>
        <v/>
      </c>
      <c r="K810" s="390">
        <f>I810*J810</f>
        <v/>
      </c>
      <c r="L810" t="inlineStr">
        <is>
          <t>4 trục dài 1060mm</t>
        </is>
      </c>
    </row>
    <row r="811">
      <c r="A811" t="inlineStr">
        <is>
          <t>SW-DAMPER-330-BEARING</t>
        </is>
      </c>
      <c r="B811" t="inlineStr">
        <is>
          <t>SW-DAMPER-330</t>
        </is>
      </c>
      <c r="C811" t="inlineStr">
        <is>
          <t>Bạc đồng D10</t>
        </is>
      </c>
      <c r="D811" t="inlineStr">
        <is>
          <t>PHỤ_KIỆN_VAN</t>
        </is>
      </c>
      <c r="E811" t="inlineStr">
        <is>
          <t>MAT-DAMPER-BAC-DONG-D10</t>
        </is>
      </c>
      <c r="F811" t="inlineStr">
        <is>
          <t>Đôi</t>
        </is>
      </c>
      <c r="G811" s="394" t="n">
        <v>4</v>
      </c>
      <c r="H811" s="390">
        <f>IFERROR(INDEX('00_TONG_HOP_BAO_GIA'!$G$1:$G$5000, MATCH(B811, '00_TONG_HOP_BAO_GIA'!$B$1:$B$5000, 0)), 1)</f>
        <v/>
      </c>
      <c r="I811" s="395">
        <f>G811*H811</f>
        <v/>
      </c>
      <c r="J811" s="390">
        <f>IFERROR(INDEX('06_BANG_GIA_VAT_TU_AP_DUNG'!$E$1:$E$5000, MATCH(E811, '06_BANG_GIA_VAT_TU_AP_DUNG'!$B$1:$B$5000, 0)), 0)</f>
        <v/>
      </c>
      <c r="K811" s="390">
        <f>I811*J811</f>
        <v/>
      </c>
      <c r="L811" t="inlineStr">
        <is>
          <t>4 đôi bạc đỡ 2 bên thân</t>
        </is>
      </c>
    </row>
    <row r="812">
      <c r="A812" t="inlineStr">
        <is>
          <t>SW-DAMPER-330-GEAR</t>
        </is>
      </c>
      <c r="B812" t="inlineStr">
        <is>
          <t>SW-DAMPER-330</t>
        </is>
      </c>
      <c r="C812" t="inlineStr">
        <is>
          <t>Bánh răng van nhôm</t>
        </is>
      </c>
      <c r="D812" t="inlineStr">
        <is>
          <t>PHỤ_KIỆN_VAN</t>
        </is>
      </c>
      <c r="E812" t="inlineStr">
        <is>
          <t>MAT-DAMPER-BANH-RANG-VAN-NHOM</t>
        </is>
      </c>
      <c r="F812" t="inlineStr">
        <is>
          <t>Bộ</t>
        </is>
      </c>
      <c r="G812" s="394" t="n">
        <v>1</v>
      </c>
      <c r="H812" s="390">
        <f>IFERROR(INDEX('00_TONG_HOP_BAO_GIA'!$G$1:$G$5000, MATCH(B812, '00_TONG_HOP_BAO_GIA'!$B$1:$B$5000, 0)), 1)</f>
        <v/>
      </c>
      <c r="I812" s="395">
        <f>G812*H812</f>
        <v/>
      </c>
      <c r="J812" s="390">
        <f>IFERROR(INDEX('06_BANG_GIA_VAT_TU_AP_DUNG'!$E$1:$E$5000, MATCH(E812, '06_BANG_GIA_VAT_TU_AP_DUNG'!$B$1:$B$5000, 0)), 0)</f>
        <v/>
      </c>
      <c r="K812" s="390">
        <f>I812*J812</f>
        <v/>
      </c>
      <c r="L812" t="inlineStr">
        <is>
          <t>Cơ cấu liên động bánh răng van</t>
        </is>
      </c>
    </row>
    <row r="813">
      <c r="A813" t="inlineStr">
        <is>
          <t>SW-DAMPER-330-ECCENTRIC</t>
        </is>
      </c>
      <c r="B813" t="inlineStr">
        <is>
          <t>SW-DAMPER-330</t>
        </is>
      </c>
      <c r="C813" t="inlineStr">
        <is>
          <t>Cơ cấu lệch tâm / Lò xo đóng mở (NRD)</t>
        </is>
      </c>
      <c r="D813" t="inlineStr">
        <is>
          <t>PHỤ_KIỆN_VAN</t>
        </is>
      </c>
      <c r="E813" t="inlineStr">
        <is>
          <t>ECCENTRIC_SHAFT</t>
        </is>
      </c>
      <c r="F813" t="inlineStr">
        <is>
          <t>Bộ</t>
        </is>
      </c>
      <c r="G813" s="394" t="n">
        <v>1</v>
      </c>
      <c r="H813" s="390">
        <f>IFERROR(INDEX('00_TONG_HOP_BAO_GIA'!$G$1:$G$5000, MATCH(B813, '00_TONG_HOP_BAO_GIA'!$B$1:$B$5000, 0)), 1)</f>
        <v/>
      </c>
      <c r="I813" s="395">
        <f>G813*H813</f>
        <v/>
      </c>
      <c r="J813" s="390">
        <f>IFERROR(INDEX('06_BANG_GIA_VAT_TU_AP_DUNG'!$E$1:$E$5000, MATCH(E813, '06_BANG_GIA_VAT_TU_AP_DUNG'!$B$1:$B$5000, 0)), 0)</f>
        <v/>
      </c>
      <c r="K813" s="390">
        <f>I813*J813</f>
        <v/>
      </c>
      <c r="L813" t="inlineStr">
        <is>
          <t>Cơ cấu đóng mở một chiều</t>
        </is>
      </c>
    </row>
    <row r="814">
      <c r="A814" t="inlineStr">
        <is>
          <t>SW-DAMPER-331-BODY</t>
        </is>
      </c>
      <c r="B814" t="inlineStr">
        <is>
          <t>SW-DAMPER-331</t>
        </is>
      </c>
      <c r="C814" t="inlineStr">
        <is>
          <t>Thân vỏ van NRD bích TDF (0.75mm)</t>
        </is>
      </c>
      <c r="D814" t="inlineStr">
        <is>
          <t>TÔN_CUỘN_MẠ_KẼM</t>
        </is>
      </c>
      <c r="E814" t="inlineStr">
        <is>
          <t>MAT-STEEL-PN-0.75</t>
        </is>
      </c>
      <c r="F814" t="inlineStr">
        <is>
          <t>kg</t>
        </is>
      </c>
      <c r="G814" s="394" t="n">
        <v>2.146347</v>
      </c>
      <c r="H814" s="390">
        <f>IFERROR(INDEX('00_TONG_HOP_BAO_GIA'!$G$1:$G$5000, MATCH(B814, '00_TONG_HOP_BAO_GIA'!$B$1:$B$5000, 0)), 1)</f>
        <v/>
      </c>
      <c r="I814" s="395">
        <f>G814*H814</f>
        <v/>
      </c>
      <c r="J814" s="390">
        <f>IFERROR(INDEX('06_BANG_GIA_VAT_TU_AP_DUNG'!$E$1:$E$5000, MATCH(E814, '06_BANG_GIA_VAT_TU_AP_DUNG'!$B$1:$B$5000, 0)), 0)</f>
        <v/>
      </c>
      <c r="K814" s="390">
        <f>I814*J814</f>
        <v/>
      </c>
      <c r="L814" t="inlineStr">
        <is>
          <t>Kích thước vỏ 400.0x200.0x210mm</t>
        </is>
      </c>
    </row>
    <row r="815">
      <c r="A815" t="inlineStr">
        <is>
          <t>SW-DAMPER-331-BLADE</t>
        </is>
      </c>
      <c r="B815" t="inlineStr">
        <is>
          <t>SW-DAMPER-331</t>
        </is>
      </c>
      <c r="C815" t="inlineStr">
        <is>
          <t>Lá cánh van (2 cánh overlap)</t>
        </is>
      </c>
      <c r="D815" t="inlineStr">
        <is>
          <t>TÔN_CUỘN_MẠ_KẼM</t>
        </is>
      </c>
      <c r="E815" t="inlineStr">
        <is>
          <t>MAT-STEEL-PN-0.75</t>
        </is>
      </c>
      <c r="F815" t="inlineStr">
        <is>
          <t>kg</t>
        </is>
      </c>
      <c r="G815" s="394" t="n">
        <v>0.610416</v>
      </c>
      <c r="H815" s="390">
        <f>IFERROR(INDEX('00_TONG_HOP_BAO_GIA'!$G$1:$G$5000, MATCH(B815, '00_TONG_HOP_BAO_GIA'!$B$1:$B$5000, 0)), 1)</f>
        <v/>
      </c>
      <c r="I815" s="395">
        <f>G815*H815</f>
        <v/>
      </c>
      <c r="J815" s="390">
        <f>IFERROR(INDEX('06_BANG_GIA_VAT_TU_AP_DUNG'!$E$1:$E$5000, MATCH(E815, '06_BANG_GIA_VAT_TU_AP_DUNG'!$B$1:$B$5000, 0)), 0)</f>
        <v/>
      </c>
      <c r="K815" s="390">
        <f>I815*J815</f>
        <v/>
      </c>
      <c r="L815" t="inlineStr">
        <is>
          <t>2 cánh cao 120mm</t>
        </is>
      </c>
    </row>
    <row r="816">
      <c r="A816" t="inlineStr">
        <is>
          <t>SW-DAMPER-331-AXLE</t>
        </is>
      </c>
      <c r="B816" t="inlineStr">
        <is>
          <t>SW-DAMPER-331</t>
        </is>
      </c>
      <c r="C816" t="inlineStr">
        <is>
          <t>Trục Sus 201 D10</t>
        </is>
      </c>
      <c r="D816" t="inlineStr">
        <is>
          <t>PHỤ_KIỆN_VAN</t>
        </is>
      </c>
      <c r="E816" t="inlineStr">
        <is>
          <t>MAT-DAMPER-TRUC-SUS-201-D10</t>
        </is>
      </c>
      <c r="F816" t="inlineStr">
        <is>
          <t>m</t>
        </is>
      </c>
      <c r="G816" s="394" t="n">
        <v>0.92</v>
      </c>
      <c r="H816" s="390">
        <f>IFERROR(INDEX('00_TONG_HOP_BAO_GIA'!$G$1:$G$5000, MATCH(B816, '00_TONG_HOP_BAO_GIA'!$B$1:$B$5000, 0)), 1)</f>
        <v/>
      </c>
      <c r="I816" s="395">
        <f>G816*H816</f>
        <v/>
      </c>
      <c r="J816" s="390">
        <f>IFERROR(INDEX('06_BANG_GIA_VAT_TU_AP_DUNG'!$E$1:$E$5000, MATCH(E816, '06_BANG_GIA_VAT_TU_AP_DUNG'!$B$1:$B$5000, 0)), 0)</f>
        <v/>
      </c>
      <c r="K816" s="390">
        <f>I816*J816</f>
        <v/>
      </c>
      <c r="L816" t="inlineStr">
        <is>
          <t>2 trục dài 460mm</t>
        </is>
      </c>
    </row>
    <row r="817">
      <c r="A817" t="inlineStr">
        <is>
          <t>SW-DAMPER-331-BEARING</t>
        </is>
      </c>
      <c r="B817" t="inlineStr">
        <is>
          <t>SW-DAMPER-331</t>
        </is>
      </c>
      <c r="C817" t="inlineStr">
        <is>
          <t>Bạc đồng D10</t>
        </is>
      </c>
      <c r="D817" t="inlineStr">
        <is>
          <t>PHỤ_KIỆN_VAN</t>
        </is>
      </c>
      <c r="E817" t="inlineStr">
        <is>
          <t>MAT-DAMPER-BAC-DONG-D10</t>
        </is>
      </c>
      <c r="F817" t="inlineStr">
        <is>
          <t>Đôi</t>
        </is>
      </c>
      <c r="G817" s="394" t="n">
        <v>2</v>
      </c>
      <c r="H817" s="390">
        <f>IFERROR(INDEX('00_TONG_HOP_BAO_GIA'!$G$1:$G$5000, MATCH(B817, '00_TONG_HOP_BAO_GIA'!$B$1:$B$5000, 0)), 1)</f>
        <v/>
      </c>
      <c r="I817" s="395">
        <f>G817*H817</f>
        <v/>
      </c>
      <c r="J817" s="390">
        <f>IFERROR(INDEX('06_BANG_GIA_VAT_TU_AP_DUNG'!$E$1:$E$5000, MATCH(E817, '06_BANG_GIA_VAT_TU_AP_DUNG'!$B$1:$B$5000, 0)), 0)</f>
        <v/>
      </c>
      <c r="K817" s="390">
        <f>I817*J817</f>
        <v/>
      </c>
      <c r="L817" t="inlineStr">
        <is>
          <t>2 đôi bạc đỡ 2 bên thân</t>
        </is>
      </c>
    </row>
    <row r="818">
      <c r="A818" t="inlineStr">
        <is>
          <t>SW-DAMPER-331-GEAR</t>
        </is>
      </c>
      <c r="B818" t="inlineStr">
        <is>
          <t>SW-DAMPER-331</t>
        </is>
      </c>
      <c r="C818" t="inlineStr">
        <is>
          <t>Bánh răng van nhôm</t>
        </is>
      </c>
      <c r="D818" t="inlineStr">
        <is>
          <t>PHỤ_KIỆN_VAN</t>
        </is>
      </c>
      <c r="E818" t="inlineStr">
        <is>
          <t>MAT-DAMPER-BANH-RANG-VAN-NHOM</t>
        </is>
      </c>
      <c r="F818" t="inlineStr">
        <is>
          <t>Bộ</t>
        </is>
      </c>
      <c r="G818" s="394" t="n">
        <v>1</v>
      </c>
      <c r="H818" s="390">
        <f>IFERROR(INDEX('00_TONG_HOP_BAO_GIA'!$G$1:$G$5000, MATCH(B818, '00_TONG_HOP_BAO_GIA'!$B$1:$B$5000, 0)), 1)</f>
        <v/>
      </c>
      <c r="I818" s="395">
        <f>G818*H818</f>
        <v/>
      </c>
      <c r="J818" s="390">
        <f>IFERROR(INDEX('06_BANG_GIA_VAT_TU_AP_DUNG'!$E$1:$E$5000, MATCH(E818, '06_BANG_GIA_VAT_TU_AP_DUNG'!$B$1:$B$5000, 0)), 0)</f>
        <v/>
      </c>
      <c r="K818" s="390">
        <f>I818*J818</f>
        <v/>
      </c>
      <c r="L818" t="inlineStr">
        <is>
          <t>Cơ cấu liên động bánh răng van</t>
        </is>
      </c>
    </row>
    <row r="819">
      <c r="A819" t="inlineStr">
        <is>
          <t>SW-DAMPER-331-ECCENTRIC</t>
        </is>
      </c>
      <c r="B819" t="inlineStr">
        <is>
          <t>SW-DAMPER-331</t>
        </is>
      </c>
      <c r="C819" t="inlineStr">
        <is>
          <t>Cơ cấu lệch tâm / Lò xo đóng mở (NRD)</t>
        </is>
      </c>
      <c r="D819" t="inlineStr">
        <is>
          <t>PHỤ_KIỆN_VAN</t>
        </is>
      </c>
      <c r="E819" t="inlineStr">
        <is>
          <t>ECCENTRIC_SHAFT</t>
        </is>
      </c>
      <c r="F819" t="inlineStr">
        <is>
          <t>Bộ</t>
        </is>
      </c>
      <c r="G819" s="394" t="n">
        <v>1</v>
      </c>
      <c r="H819" s="390">
        <f>IFERROR(INDEX('00_TONG_HOP_BAO_GIA'!$G$1:$G$5000, MATCH(B819, '00_TONG_HOP_BAO_GIA'!$B$1:$B$5000, 0)), 1)</f>
        <v/>
      </c>
      <c r="I819" s="395">
        <f>G819*H819</f>
        <v/>
      </c>
      <c r="J819" s="390">
        <f>IFERROR(INDEX('06_BANG_GIA_VAT_TU_AP_DUNG'!$E$1:$E$5000, MATCH(E819, '06_BANG_GIA_VAT_TU_AP_DUNG'!$B$1:$B$5000, 0)), 0)</f>
        <v/>
      </c>
      <c r="K819" s="390">
        <f>I819*J819</f>
        <v/>
      </c>
      <c r="L819" t="inlineStr">
        <is>
          <t>Cơ cấu đóng mở một chiều</t>
        </is>
      </c>
    </row>
    <row r="820">
      <c r="A820" t="inlineStr">
        <is>
          <t>SW-DAMPER-332-BODY</t>
        </is>
      </c>
      <c r="B820" t="inlineStr">
        <is>
          <t>SW-DAMPER-332</t>
        </is>
      </c>
      <c r="C820" t="inlineStr">
        <is>
          <t>Thân vỏ van NRD bích TDF (0.75mm)</t>
        </is>
      </c>
      <c r="D820" t="inlineStr">
        <is>
          <t>TÔN_CUỘN_MẠ_KẼM</t>
        </is>
      </c>
      <c r="E820" t="inlineStr">
        <is>
          <t>MAT-STEEL-PN-0.75</t>
        </is>
      </c>
      <c r="F820" t="inlineStr">
        <is>
          <t>kg</t>
        </is>
      </c>
      <c r="G820" s="394" t="n">
        <v>4.3965495</v>
      </c>
      <c r="H820" s="390">
        <f>IFERROR(INDEX('00_TONG_HOP_BAO_GIA'!$G$1:$G$5000, MATCH(B820, '00_TONG_HOP_BAO_GIA'!$B$1:$B$5000, 0)), 1)</f>
        <v/>
      </c>
      <c r="I820" s="395">
        <f>G820*H820</f>
        <v/>
      </c>
      <c r="J820" s="390">
        <f>IFERROR(INDEX('06_BANG_GIA_VAT_TU_AP_DUNG'!$E$1:$E$5000, MATCH(E820, '06_BANG_GIA_VAT_TU_AP_DUNG'!$B$1:$B$5000, 0)), 0)</f>
        <v/>
      </c>
      <c r="K820" s="390">
        <f>I820*J820</f>
        <v/>
      </c>
      <c r="L820" t="inlineStr">
        <is>
          <t>Kích thước vỏ 800.0x450.0x210mm</t>
        </is>
      </c>
    </row>
    <row r="821">
      <c r="A821" t="inlineStr">
        <is>
          <t>SW-DAMPER-332-BLADE</t>
        </is>
      </c>
      <c r="B821" t="inlineStr">
        <is>
          <t>SW-DAMPER-332</t>
        </is>
      </c>
      <c r="C821" t="inlineStr">
        <is>
          <t>Lá cánh van (3 cánh overlap)</t>
        </is>
      </c>
      <c r="D821" t="inlineStr">
        <is>
          <t>TÔN_CUỘN_MẠ_KẼM</t>
        </is>
      </c>
      <c r="E821" t="inlineStr">
        <is>
          <t>MAT-STEEL-PN-0.75</t>
        </is>
      </c>
      <c r="F821" t="inlineStr">
        <is>
          <t>kg</t>
        </is>
      </c>
      <c r="G821" s="394" t="n">
        <v>2.594268</v>
      </c>
      <c r="H821" s="390">
        <f>IFERROR(INDEX('00_TONG_HOP_BAO_GIA'!$G$1:$G$5000, MATCH(B821, '00_TONG_HOP_BAO_GIA'!$B$1:$B$5000, 0)), 1)</f>
        <v/>
      </c>
      <c r="I821" s="395">
        <f>G821*H821</f>
        <v/>
      </c>
      <c r="J821" s="390">
        <f>IFERROR(INDEX('06_BANG_GIA_VAT_TU_AP_DUNG'!$E$1:$E$5000, MATCH(E821, '06_BANG_GIA_VAT_TU_AP_DUNG'!$B$1:$B$5000, 0)), 0)</f>
        <v/>
      </c>
      <c r="K821" s="390">
        <f>I821*J821</f>
        <v/>
      </c>
      <c r="L821" t="inlineStr">
        <is>
          <t>3 cánh cao 170mm</t>
        </is>
      </c>
    </row>
    <row r="822">
      <c r="A822" t="inlineStr">
        <is>
          <t>SW-DAMPER-332-AXLE</t>
        </is>
      </c>
      <c r="B822" t="inlineStr">
        <is>
          <t>SW-DAMPER-332</t>
        </is>
      </c>
      <c r="C822" t="inlineStr">
        <is>
          <t>Trục Sus 201 D10</t>
        </is>
      </c>
      <c r="D822" t="inlineStr">
        <is>
          <t>PHỤ_KIỆN_VAN</t>
        </is>
      </c>
      <c r="E822" t="inlineStr">
        <is>
          <t>MAT-DAMPER-TRUC-SUS-201-D10</t>
        </is>
      </c>
      <c r="F822" t="inlineStr">
        <is>
          <t>m</t>
        </is>
      </c>
      <c r="G822" s="394" t="n">
        <v>2.58</v>
      </c>
      <c r="H822" s="390">
        <f>IFERROR(INDEX('00_TONG_HOP_BAO_GIA'!$G$1:$G$5000, MATCH(B822, '00_TONG_HOP_BAO_GIA'!$B$1:$B$5000, 0)), 1)</f>
        <v/>
      </c>
      <c r="I822" s="395">
        <f>G822*H822</f>
        <v/>
      </c>
      <c r="J822" s="390">
        <f>IFERROR(INDEX('06_BANG_GIA_VAT_TU_AP_DUNG'!$E$1:$E$5000, MATCH(E822, '06_BANG_GIA_VAT_TU_AP_DUNG'!$B$1:$B$5000, 0)), 0)</f>
        <v/>
      </c>
      <c r="K822" s="390">
        <f>I822*J822</f>
        <v/>
      </c>
      <c r="L822" t="inlineStr">
        <is>
          <t>3 trục dài 860mm</t>
        </is>
      </c>
    </row>
    <row r="823">
      <c r="A823" t="inlineStr">
        <is>
          <t>SW-DAMPER-332-BEARING</t>
        </is>
      </c>
      <c r="B823" t="inlineStr">
        <is>
          <t>SW-DAMPER-332</t>
        </is>
      </c>
      <c r="C823" t="inlineStr">
        <is>
          <t>Bạc đồng D10</t>
        </is>
      </c>
      <c r="D823" t="inlineStr">
        <is>
          <t>PHỤ_KIỆN_VAN</t>
        </is>
      </c>
      <c r="E823" t="inlineStr">
        <is>
          <t>MAT-DAMPER-BAC-DONG-D10</t>
        </is>
      </c>
      <c r="F823" t="inlineStr">
        <is>
          <t>Đôi</t>
        </is>
      </c>
      <c r="G823" s="394" t="n">
        <v>3</v>
      </c>
      <c r="H823" s="390">
        <f>IFERROR(INDEX('00_TONG_HOP_BAO_GIA'!$G$1:$G$5000, MATCH(B823, '00_TONG_HOP_BAO_GIA'!$B$1:$B$5000, 0)), 1)</f>
        <v/>
      </c>
      <c r="I823" s="395">
        <f>G823*H823</f>
        <v/>
      </c>
      <c r="J823" s="390">
        <f>IFERROR(INDEX('06_BANG_GIA_VAT_TU_AP_DUNG'!$E$1:$E$5000, MATCH(E823, '06_BANG_GIA_VAT_TU_AP_DUNG'!$B$1:$B$5000, 0)), 0)</f>
        <v/>
      </c>
      <c r="K823" s="390">
        <f>I823*J823</f>
        <v/>
      </c>
      <c r="L823" t="inlineStr">
        <is>
          <t>3 đôi bạc đỡ 2 bên thân</t>
        </is>
      </c>
    </row>
    <row r="824">
      <c r="A824" t="inlineStr">
        <is>
          <t>SW-DAMPER-332-GEAR</t>
        </is>
      </c>
      <c r="B824" t="inlineStr">
        <is>
          <t>SW-DAMPER-332</t>
        </is>
      </c>
      <c r="C824" t="inlineStr">
        <is>
          <t>Bánh răng van nhôm</t>
        </is>
      </c>
      <c r="D824" t="inlineStr">
        <is>
          <t>PHỤ_KIỆN_VAN</t>
        </is>
      </c>
      <c r="E824" t="inlineStr">
        <is>
          <t>MAT-DAMPER-BANH-RANG-VAN-NHOM</t>
        </is>
      </c>
      <c r="F824" t="inlineStr">
        <is>
          <t>Bộ</t>
        </is>
      </c>
      <c r="G824" s="394" t="n">
        <v>1</v>
      </c>
      <c r="H824" s="390">
        <f>IFERROR(INDEX('00_TONG_HOP_BAO_GIA'!$G$1:$G$5000, MATCH(B824, '00_TONG_HOP_BAO_GIA'!$B$1:$B$5000, 0)), 1)</f>
        <v/>
      </c>
      <c r="I824" s="395">
        <f>G824*H824</f>
        <v/>
      </c>
      <c r="J824" s="390">
        <f>IFERROR(INDEX('06_BANG_GIA_VAT_TU_AP_DUNG'!$E$1:$E$5000, MATCH(E824, '06_BANG_GIA_VAT_TU_AP_DUNG'!$B$1:$B$5000, 0)), 0)</f>
        <v/>
      </c>
      <c r="K824" s="390">
        <f>I824*J824</f>
        <v/>
      </c>
      <c r="L824" t="inlineStr">
        <is>
          <t>Cơ cấu liên động bánh răng van</t>
        </is>
      </c>
    </row>
    <row r="825">
      <c r="A825" t="inlineStr">
        <is>
          <t>SW-DAMPER-332-ECCENTRIC</t>
        </is>
      </c>
      <c r="B825" t="inlineStr">
        <is>
          <t>SW-DAMPER-332</t>
        </is>
      </c>
      <c r="C825" t="inlineStr">
        <is>
          <t>Cơ cấu lệch tâm / Lò xo đóng mở (NRD)</t>
        </is>
      </c>
      <c r="D825" t="inlineStr">
        <is>
          <t>PHỤ_KIỆN_VAN</t>
        </is>
      </c>
      <c r="E825" t="inlineStr">
        <is>
          <t>ECCENTRIC_SHAFT</t>
        </is>
      </c>
      <c r="F825" t="inlineStr">
        <is>
          <t>Bộ</t>
        </is>
      </c>
      <c r="G825" s="394" t="n">
        <v>1</v>
      </c>
      <c r="H825" s="390">
        <f>IFERROR(INDEX('00_TONG_HOP_BAO_GIA'!$G$1:$G$5000, MATCH(B825, '00_TONG_HOP_BAO_GIA'!$B$1:$B$5000, 0)), 1)</f>
        <v/>
      </c>
      <c r="I825" s="395">
        <f>G825*H825</f>
        <v/>
      </c>
      <c r="J825" s="390">
        <f>IFERROR(INDEX('06_BANG_GIA_VAT_TU_AP_DUNG'!$E$1:$E$5000, MATCH(E825, '06_BANG_GIA_VAT_TU_AP_DUNG'!$B$1:$B$5000, 0)), 0)</f>
        <v/>
      </c>
      <c r="K825" s="390">
        <f>I825*J825</f>
        <v/>
      </c>
      <c r="L825" t="inlineStr">
        <is>
          <t>Cơ cấu đóng mở một chiều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8"/>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389" t="inlineStr">
        <is>
          <t>STT</t>
        </is>
      </c>
      <c r="B1" s="389" t="inlineStr">
        <is>
          <t>MAT_ID</t>
        </is>
      </c>
      <c r="C1" s="389" t="inlineStr">
        <is>
          <t>PHÂN LOẠI</t>
        </is>
      </c>
      <c r="D1" s="389" t="inlineStr">
        <is>
          <t>TÊN VẬT TƯ</t>
        </is>
      </c>
      <c r="E1" s="389" t="inlineStr">
        <is>
          <t>ĐVT</t>
        </is>
      </c>
      <c r="F1" s="389" t="inlineStr">
        <is>
          <t>BAREM KỸ THUẬT</t>
        </is>
      </c>
      <c r="G1" s="389"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MAT-STEEL-PN-1.38</t>
        </is>
      </c>
      <c r="C28" t="inlineStr">
        <is>
          <t>TÔN_CUỘN_MẠ_KẼM</t>
        </is>
      </c>
      <c r="D28" t="inlineStr">
        <is>
          <t>TÔN PHƯƠNG NAM 1.38mm</t>
        </is>
      </c>
      <c r="E28" t="inlineStr">
        <is>
          <t>kg</t>
        </is>
      </c>
      <c r="F28" t="inlineStr">
        <is>
          <t>10.833 kg/m2</t>
        </is>
      </c>
      <c r="G28" t="inlineStr">
        <is>
          <t>Vat tu tôn!R10C14</t>
        </is>
      </c>
    </row>
    <row r="29">
      <c r="A29" t="n">
        <v>28</v>
      </c>
      <c r="B29" t="inlineStr">
        <is>
          <t>MAT-STEEL-PN-1.48</t>
        </is>
      </c>
      <c r="C29" t="inlineStr">
        <is>
          <t>TÔN_CUỘN_MẠ_KẼM</t>
        </is>
      </c>
      <c r="D29" t="inlineStr">
        <is>
          <t>TÔN PHƯƠNG NAM 1.48mm</t>
        </is>
      </c>
      <c r="E29" t="inlineStr">
        <is>
          <t>kg</t>
        </is>
      </c>
      <c r="F29" t="inlineStr">
        <is>
          <t>11.618 kg/m2</t>
        </is>
      </c>
      <c r="G29" t="inlineStr">
        <is>
          <t>Vat tu tôn!R11C14</t>
        </is>
      </c>
    </row>
    <row r="30">
      <c r="A30" t="n">
        <v>29</v>
      </c>
      <c r="B30" t="inlineStr">
        <is>
          <t>MAT-STEEL-HOASEN-0.48</t>
        </is>
      </c>
      <c r="C30" t="inlineStr">
        <is>
          <t>TÔN_CUỘN_MẠ_KẼM</t>
        </is>
      </c>
      <c r="D30" t="inlineStr">
        <is>
          <t>TÔN HOA SEN 0.48mm</t>
        </is>
      </c>
      <c r="E30" t="inlineStr">
        <is>
          <t>kg</t>
        </is>
      </c>
      <c r="F30" t="inlineStr">
        <is>
          <t>3.768 kg/m2</t>
        </is>
      </c>
      <c r="G30" t="inlineStr">
        <is>
          <t>Vat tu tôn!R5C19</t>
        </is>
      </c>
    </row>
    <row r="31">
      <c r="A31" t="n">
        <v>30</v>
      </c>
      <c r="B31" t="inlineStr">
        <is>
          <t>MAT-STEEL-HOASEN-0.58</t>
        </is>
      </c>
      <c r="C31" t="inlineStr">
        <is>
          <t>TÔN_CUỘN_MẠ_KẼM</t>
        </is>
      </c>
      <c r="D31" t="inlineStr">
        <is>
          <t>TÔN HOA SEN 0.58mm</t>
        </is>
      </c>
      <c r="E31" t="inlineStr">
        <is>
          <t>kg</t>
        </is>
      </c>
      <c r="F31" t="inlineStr">
        <is>
          <t>4.553 kg/m2</t>
        </is>
      </c>
      <c r="G31" t="inlineStr">
        <is>
          <t>Vat tu tôn!R15C19</t>
        </is>
      </c>
    </row>
    <row r="32">
      <c r="A32" t="n">
        <v>31</v>
      </c>
      <c r="B32" t="inlineStr">
        <is>
          <t>MAT-STEEL-HOASEN-0.75</t>
        </is>
      </c>
      <c r="C32" t="inlineStr">
        <is>
          <t>TÔN_CUỘN_MẠ_KẼM</t>
        </is>
      </c>
      <c r="D32" t="inlineStr">
        <is>
          <t>TÔN HOA SEN 0.75mm</t>
        </is>
      </c>
      <c r="E32" t="inlineStr">
        <is>
          <t>kg</t>
        </is>
      </c>
      <c r="F32" t="inlineStr">
        <is>
          <t>5.887 kg/m2</t>
        </is>
      </c>
      <c r="G32" t="inlineStr">
        <is>
          <t>Vat tu tôn!R16C19</t>
        </is>
      </c>
    </row>
    <row r="33">
      <c r="A33" t="n">
        <v>32</v>
      </c>
      <c r="B33" t="inlineStr">
        <is>
          <t>MAT-STEEL-HOASEN-0.95</t>
        </is>
      </c>
      <c r="C33" t="inlineStr">
        <is>
          <t>TÔN_CUỘN_MẠ_KẼM</t>
        </is>
      </c>
      <c r="D33" t="inlineStr">
        <is>
          <t>TÔN HOA SEN 0.95mm</t>
        </is>
      </c>
      <c r="E33" t="inlineStr">
        <is>
          <t>kg</t>
        </is>
      </c>
      <c r="F33" t="inlineStr">
        <is>
          <t>7.457 kg/m2</t>
        </is>
      </c>
      <c r="G33" t="inlineStr">
        <is>
          <t>Vat tu tôn!R17C19</t>
        </is>
      </c>
    </row>
    <row r="34">
      <c r="A34" t="n">
        <v>33</v>
      </c>
      <c r="B34" t="inlineStr">
        <is>
          <t>MAT-STEEL-HOASEN-1.15</t>
        </is>
      </c>
      <c r="C34" t="inlineStr">
        <is>
          <t>TÔN_CUỘN_MẠ_KẼM</t>
        </is>
      </c>
      <c r="D34" t="inlineStr">
        <is>
          <t>TÔN HOA SEN 1.15mm</t>
        </is>
      </c>
      <c r="E34" t="inlineStr">
        <is>
          <t>kg</t>
        </is>
      </c>
      <c r="F34" t="inlineStr">
        <is>
          <t>9.027 kg/m2</t>
        </is>
      </c>
      <c r="G34" t="inlineStr">
        <is>
          <t>Vat tu tôn!R18C19</t>
        </is>
      </c>
    </row>
    <row r="35">
      <c r="A35" t="n">
        <v>34</v>
      </c>
      <c r="B35" t="inlineStr">
        <is>
          <t>MAT-STEEL-HOASEN-1.50</t>
        </is>
      </c>
      <c r="C35" t="inlineStr">
        <is>
          <t>TÔN_CUỘN_MẠ_KẼM</t>
        </is>
      </c>
      <c r="D35" t="inlineStr">
        <is>
          <t>TÔN HOA SEN 1.50mm</t>
        </is>
      </c>
      <c r="E35" t="inlineStr">
        <is>
          <t>kg</t>
        </is>
      </c>
      <c r="F35" t="inlineStr">
        <is>
          <t>11.775 kg/m2</t>
        </is>
      </c>
      <c r="G35" t="inlineStr">
        <is>
          <t>Vat tu tôn!R10C19</t>
        </is>
      </c>
    </row>
    <row r="36">
      <c r="A36" t="n">
        <v>35</v>
      </c>
      <c r="B36" t="inlineStr">
        <is>
          <t>MAT-STEEL-BLUESCOPE-0.47</t>
        </is>
      </c>
      <c r="C36" t="inlineStr">
        <is>
          <t>TÔN_CUỘN_MẠ_KẼM</t>
        </is>
      </c>
      <c r="D36" t="inlineStr">
        <is>
          <t>TÔN BLUESCOPE 0.47mm</t>
        </is>
      </c>
      <c r="E36" t="inlineStr">
        <is>
          <t>kg</t>
        </is>
      </c>
      <c r="F36" t="inlineStr">
        <is>
          <t>3.689 kg/m2</t>
        </is>
      </c>
      <c r="G36" t="inlineStr">
        <is>
          <t>Vat tu tôn!R5C24</t>
        </is>
      </c>
    </row>
    <row r="37">
      <c r="A37" t="n">
        <v>36</v>
      </c>
      <c r="B37" t="inlineStr">
        <is>
          <t>MAT-STEEL-BLUESCOPE-0.57</t>
        </is>
      </c>
      <c r="C37" t="inlineStr">
        <is>
          <t>TÔN_CUỘN_MẠ_KẼM</t>
        </is>
      </c>
      <c r="D37" t="inlineStr">
        <is>
          <t>TÔN BLUESCOPE 0.57mm</t>
        </is>
      </c>
      <c r="E37" t="inlineStr">
        <is>
          <t>kg</t>
        </is>
      </c>
      <c r="F37" t="inlineStr">
        <is>
          <t>4.474 kg/m2</t>
        </is>
      </c>
      <c r="G37" t="inlineStr">
        <is>
          <t>Vat tu tôn!R6C24</t>
        </is>
      </c>
    </row>
    <row r="38">
      <c r="A38" t="n">
        <v>37</v>
      </c>
      <c r="B38" t="inlineStr">
        <is>
          <t>MAT-STEEL-BLUESCOPE-0.77</t>
        </is>
      </c>
      <c r="C38" t="inlineStr">
        <is>
          <t>TÔN_CUỘN_MẠ_KẼM</t>
        </is>
      </c>
      <c r="D38" t="inlineStr">
        <is>
          <t>TÔN BLUESCOPE 0.77mm</t>
        </is>
      </c>
      <c r="E38" t="inlineStr">
        <is>
          <t>kg</t>
        </is>
      </c>
      <c r="F38" t="inlineStr">
        <is>
          <t>6.045 kg/m2</t>
        </is>
      </c>
      <c r="G38" t="inlineStr">
        <is>
          <t>Vat tu tôn!R7C24</t>
        </is>
      </c>
    </row>
    <row r="39">
      <c r="A39" t="n">
        <v>38</v>
      </c>
      <c r="B39" t="inlineStr">
        <is>
          <t>MAT-STEEL-BLUESCOPE-0.95</t>
        </is>
      </c>
      <c r="C39" t="inlineStr">
        <is>
          <t>TÔN_CUỘN_MẠ_KẼM</t>
        </is>
      </c>
      <c r="D39" t="inlineStr">
        <is>
          <t>TÔN BLUESCOPE 0.95mm</t>
        </is>
      </c>
      <c r="E39" t="inlineStr">
        <is>
          <t>kg</t>
        </is>
      </c>
      <c r="F39" t="inlineStr">
        <is>
          <t>7.457 kg/m2</t>
        </is>
      </c>
      <c r="G39" t="inlineStr">
        <is>
          <t>Vat tu tôn!R8C24</t>
        </is>
      </c>
    </row>
    <row r="40">
      <c r="A40" t="n">
        <v>39</v>
      </c>
      <c r="B40" t="inlineStr">
        <is>
          <t>MAT-STEEL-BLUESCOPE-1.15</t>
        </is>
      </c>
      <c r="C40" t="inlineStr">
        <is>
          <t>TÔN_CUỘN_MẠ_KẼM</t>
        </is>
      </c>
      <c r="D40" t="inlineStr">
        <is>
          <t>TÔN BLUESCOPE 1.15mm</t>
        </is>
      </c>
      <c r="E40" t="inlineStr">
        <is>
          <t>kg</t>
        </is>
      </c>
      <c r="F40" t="inlineStr">
        <is>
          <t>9.027 kg/m2</t>
        </is>
      </c>
      <c r="G40" t="inlineStr">
        <is>
          <t>Vat tu tôn!R9C24</t>
        </is>
      </c>
    </row>
    <row r="41">
      <c r="A41" t="n">
        <v>40</v>
      </c>
      <c r="B41" t="inlineStr">
        <is>
          <t>MAT-INOX-SUS304-0-5</t>
        </is>
      </c>
      <c r="C41" t="inlineStr">
        <is>
          <t>INOX</t>
        </is>
      </c>
      <c r="D41" t="inlineStr">
        <is>
          <t>Inox Sus304-0.5</t>
        </is>
      </c>
      <c r="E41" t="inlineStr">
        <is>
          <t>kg</t>
        </is>
      </c>
      <c r="F41" t="inlineStr"/>
      <c r="G41" t="inlineStr">
        <is>
          <t>Vat tu tôn!R5C29</t>
        </is>
      </c>
    </row>
    <row r="42">
      <c r="A42" t="n">
        <v>41</v>
      </c>
      <c r="B42" t="inlineStr">
        <is>
          <t>MAT-INOX-SUS304-0-6</t>
        </is>
      </c>
      <c r="C42" t="inlineStr">
        <is>
          <t>INOX</t>
        </is>
      </c>
      <c r="D42" t="inlineStr">
        <is>
          <t>Inox Sus304-0.6</t>
        </is>
      </c>
      <c r="E42" t="inlineStr">
        <is>
          <t>kg</t>
        </is>
      </c>
      <c r="F42" t="inlineStr"/>
      <c r="G42" t="inlineStr">
        <is>
          <t>Vat tu tôn!R6C29</t>
        </is>
      </c>
    </row>
    <row r="43">
      <c r="A43" t="n">
        <v>42</v>
      </c>
      <c r="B43" t="inlineStr">
        <is>
          <t>MAT-INOX-SUS304-0-7</t>
        </is>
      </c>
      <c r="C43" t="inlineStr">
        <is>
          <t>INOX</t>
        </is>
      </c>
      <c r="D43" t="inlineStr">
        <is>
          <t>Inox Sus304-0.7</t>
        </is>
      </c>
      <c r="E43" t="inlineStr">
        <is>
          <t>kg</t>
        </is>
      </c>
      <c r="F43" t="inlineStr"/>
      <c r="G43" t="inlineStr">
        <is>
          <t>Vat tu tôn!R7C29</t>
        </is>
      </c>
    </row>
    <row r="44">
      <c r="A44" t="n">
        <v>43</v>
      </c>
      <c r="B44" t="inlineStr">
        <is>
          <t>MAT-INOX-SUS304-0-8</t>
        </is>
      </c>
      <c r="C44" t="inlineStr">
        <is>
          <t>INOX</t>
        </is>
      </c>
      <c r="D44" t="inlineStr">
        <is>
          <t>Inox Sus304-0.8</t>
        </is>
      </c>
      <c r="E44" t="inlineStr">
        <is>
          <t>kg</t>
        </is>
      </c>
      <c r="F44" t="inlineStr"/>
      <c r="G44" t="inlineStr">
        <is>
          <t>Vat tu tôn!R8C29</t>
        </is>
      </c>
    </row>
    <row r="45">
      <c r="A45" t="n">
        <v>44</v>
      </c>
      <c r="B45" t="inlineStr">
        <is>
          <t>MAT-INOX-SUS304-0-9</t>
        </is>
      </c>
      <c r="C45" t="inlineStr">
        <is>
          <t>INOX</t>
        </is>
      </c>
      <c r="D45" t="inlineStr">
        <is>
          <t>Inox Sus304-0.9</t>
        </is>
      </c>
      <c r="E45" t="inlineStr">
        <is>
          <t>kg</t>
        </is>
      </c>
      <c r="F45" t="inlineStr"/>
      <c r="G45" t="inlineStr">
        <is>
          <t>Vat tu tôn!R9C29</t>
        </is>
      </c>
    </row>
    <row r="46">
      <c r="A46" t="n">
        <v>45</v>
      </c>
      <c r="B46" t="inlineStr">
        <is>
          <t>MAT-INOX-SUS304-1-0</t>
        </is>
      </c>
      <c r="C46" t="inlineStr">
        <is>
          <t>INOX</t>
        </is>
      </c>
      <c r="D46" t="inlineStr">
        <is>
          <t>Inox Sus304-1,0</t>
        </is>
      </c>
      <c r="E46" t="inlineStr">
        <is>
          <t>kg</t>
        </is>
      </c>
      <c r="F46" t="inlineStr"/>
      <c r="G46" t="inlineStr">
        <is>
          <t>Vat tu tôn!R10C29</t>
        </is>
      </c>
    </row>
    <row r="47">
      <c r="A47" t="n">
        <v>46</v>
      </c>
      <c r="B47" t="inlineStr">
        <is>
          <t>MAT-INOX-SUS304-1-2</t>
        </is>
      </c>
      <c r="C47" t="inlineStr">
        <is>
          <t>INOX</t>
        </is>
      </c>
      <c r="D47" t="inlineStr">
        <is>
          <t>Inox Sus304-1,2</t>
        </is>
      </c>
      <c r="E47" t="inlineStr">
        <is>
          <t>kg</t>
        </is>
      </c>
      <c r="F47" t="inlineStr"/>
      <c r="G47" t="inlineStr">
        <is>
          <t>Vat tu tôn!R11C29</t>
        </is>
      </c>
    </row>
    <row r="48">
      <c r="A48" t="n">
        <v>47</v>
      </c>
      <c r="B48" t="inlineStr">
        <is>
          <t>MAT-INOX-SUS430-0-5</t>
        </is>
      </c>
      <c r="C48" t="inlineStr">
        <is>
          <t>INOX</t>
        </is>
      </c>
      <c r="D48" t="inlineStr">
        <is>
          <t>Inox Sus430-0.5</t>
        </is>
      </c>
      <c r="E48" t="inlineStr">
        <is>
          <t>kg</t>
        </is>
      </c>
      <c r="F48" t="inlineStr"/>
      <c r="G48" t="inlineStr">
        <is>
          <t>Vat tu tôn!R12C29</t>
        </is>
      </c>
    </row>
    <row r="49">
      <c r="A49" t="n">
        <v>48</v>
      </c>
      <c r="B49" t="inlineStr">
        <is>
          <t>MAT-INOX-SUS430-0-6</t>
        </is>
      </c>
      <c r="C49" t="inlineStr">
        <is>
          <t>INOX</t>
        </is>
      </c>
      <c r="D49" t="inlineStr">
        <is>
          <t>Inox Sus430-0.6</t>
        </is>
      </c>
      <c r="E49" t="inlineStr">
        <is>
          <t>kg</t>
        </is>
      </c>
      <c r="F49" t="inlineStr"/>
      <c r="G49" t="inlineStr">
        <is>
          <t>Vat tu tôn!R13C29</t>
        </is>
      </c>
    </row>
    <row r="50">
      <c r="A50" t="n">
        <v>49</v>
      </c>
      <c r="B50" t="inlineStr">
        <is>
          <t>MAT-INOX-SUS430-0-7</t>
        </is>
      </c>
      <c r="C50" t="inlineStr">
        <is>
          <t>INOX</t>
        </is>
      </c>
      <c r="D50" t="inlineStr">
        <is>
          <t>Inox Sus430-0.7</t>
        </is>
      </c>
      <c r="E50" t="inlineStr">
        <is>
          <t>kg</t>
        </is>
      </c>
      <c r="F50" t="inlineStr"/>
      <c r="G50" t="inlineStr">
        <is>
          <t>Vat tu tôn!R14C29</t>
        </is>
      </c>
    </row>
    <row r="51">
      <c r="A51" t="n">
        <v>50</v>
      </c>
      <c r="B51" t="inlineStr">
        <is>
          <t>MAT-INOX-SUS430-0-8</t>
        </is>
      </c>
      <c r="C51" t="inlineStr">
        <is>
          <t>INOX</t>
        </is>
      </c>
      <c r="D51" t="inlineStr">
        <is>
          <t>Inox Sus430-0.8</t>
        </is>
      </c>
      <c r="E51" t="inlineStr">
        <is>
          <t>kg</t>
        </is>
      </c>
      <c r="F51" t="inlineStr"/>
      <c r="G51" t="inlineStr">
        <is>
          <t>Vat tu tôn!R15C29</t>
        </is>
      </c>
    </row>
    <row r="52">
      <c r="A52" t="n">
        <v>51</v>
      </c>
      <c r="B52" t="inlineStr">
        <is>
          <t>MAT-INOX-SUS430-0-9</t>
        </is>
      </c>
      <c r="C52" t="inlineStr">
        <is>
          <t>INOX</t>
        </is>
      </c>
      <c r="D52" t="inlineStr">
        <is>
          <t>Inox Sus430-0.9</t>
        </is>
      </c>
      <c r="E52" t="inlineStr">
        <is>
          <t>kg</t>
        </is>
      </c>
      <c r="F52" t="inlineStr"/>
      <c r="G52" t="inlineStr">
        <is>
          <t>Vat tu tôn!R16C29</t>
        </is>
      </c>
    </row>
    <row r="53">
      <c r="A53" t="n">
        <v>52</v>
      </c>
      <c r="B53" t="inlineStr">
        <is>
          <t>MAT-INOX-SUS430-1-0</t>
        </is>
      </c>
      <c r="C53" t="inlineStr">
        <is>
          <t>INOX</t>
        </is>
      </c>
      <c r="D53" t="inlineStr">
        <is>
          <t>Inox Sus430-1,0</t>
        </is>
      </c>
      <c r="E53" t="inlineStr">
        <is>
          <t>kg</t>
        </is>
      </c>
      <c r="F53" t="inlineStr"/>
      <c r="G53" t="inlineStr">
        <is>
          <t>Vat tu tôn!R17C29</t>
        </is>
      </c>
    </row>
    <row r="54">
      <c r="A54" t="n">
        <v>53</v>
      </c>
      <c r="B54" t="inlineStr">
        <is>
          <t>MAT-INOX-SUS430-1-1</t>
        </is>
      </c>
      <c r="C54" t="inlineStr">
        <is>
          <t>INOX</t>
        </is>
      </c>
      <c r="D54" t="inlineStr">
        <is>
          <t>Inox Sus430-1,1</t>
        </is>
      </c>
      <c r="E54" t="inlineStr">
        <is>
          <t>kg</t>
        </is>
      </c>
      <c r="F54" t="inlineStr"/>
      <c r="G54" t="inlineStr">
        <is>
          <t>Vat tu tôn!R18C29</t>
        </is>
      </c>
    </row>
    <row r="55">
      <c r="A55" t="n">
        <v>54</v>
      </c>
      <c r="B55" t="inlineStr">
        <is>
          <t>MAT-INOX-SUS430-1-2</t>
        </is>
      </c>
      <c r="C55" t="inlineStr">
        <is>
          <t>INOX</t>
        </is>
      </c>
      <c r="D55" t="inlineStr">
        <is>
          <t>Inox Sus430-1,2</t>
        </is>
      </c>
      <c r="E55" t="inlineStr">
        <is>
          <t>kg</t>
        </is>
      </c>
      <c r="F55" t="inlineStr"/>
      <c r="G55" t="inlineStr">
        <is>
          <t>Vat tu tôn!R19C29</t>
        </is>
      </c>
    </row>
    <row r="56">
      <c r="A56" t="n">
        <v>55</v>
      </c>
      <c r="B56" t="inlineStr">
        <is>
          <t>MAT-INOX-SUS201-0-4</t>
        </is>
      </c>
      <c r="C56" t="inlineStr">
        <is>
          <t>INOX</t>
        </is>
      </c>
      <c r="D56" t="inlineStr">
        <is>
          <t>Inox Sus201-0.4</t>
        </is>
      </c>
      <c r="E56" t="inlineStr">
        <is>
          <t>kg</t>
        </is>
      </c>
      <c r="F56" t="inlineStr"/>
      <c r="G56" t="inlineStr">
        <is>
          <t>Vat tu tôn!R20C29</t>
        </is>
      </c>
    </row>
    <row r="57">
      <c r="A57" t="n">
        <v>56</v>
      </c>
      <c r="B57" t="inlineStr">
        <is>
          <t>MAT-INOX-SUS201-0-5</t>
        </is>
      </c>
      <c r="C57" t="inlineStr">
        <is>
          <t>INOX</t>
        </is>
      </c>
      <c r="D57" t="inlineStr">
        <is>
          <t>Inox Sus201-0.5</t>
        </is>
      </c>
      <c r="E57" t="inlineStr">
        <is>
          <t>kg</t>
        </is>
      </c>
      <c r="F57" t="inlineStr"/>
      <c r="G57" t="inlineStr">
        <is>
          <t>Vat tu tôn!R21C29</t>
        </is>
      </c>
    </row>
    <row r="58">
      <c r="A58" t="n">
        <v>57</v>
      </c>
      <c r="B58" t="inlineStr">
        <is>
          <t>MAT-INOX-SUS201-0-6</t>
        </is>
      </c>
      <c r="C58" t="inlineStr">
        <is>
          <t>INOX</t>
        </is>
      </c>
      <c r="D58" t="inlineStr">
        <is>
          <t>Inox Sus201-0.6</t>
        </is>
      </c>
      <c r="E58" t="inlineStr">
        <is>
          <t>kg</t>
        </is>
      </c>
      <c r="F58" t="inlineStr"/>
      <c r="G58" t="inlineStr">
        <is>
          <t>Vat tu tôn!R22C29</t>
        </is>
      </c>
    </row>
    <row r="59">
      <c r="A59" t="n">
        <v>58</v>
      </c>
      <c r="B59" t="inlineStr">
        <is>
          <t>MAT-INOX-SUS201-0-7</t>
        </is>
      </c>
      <c r="C59" t="inlineStr">
        <is>
          <t>INOX</t>
        </is>
      </c>
      <c r="D59" t="inlineStr">
        <is>
          <t>Inox Sus201-0.7</t>
        </is>
      </c>
      <c r="E59" t="inlineStr">
        <is>
          <t>kg</t>
        </is>
      </c>
      <c r="F59" t="inlineStr"/>
      <c r="G59" t="inlineStr">
        <is>
          <t>Vat tu tôn!R23C29</t>
        </is>
      </c>
    </row>
    <row r="60">
      <c r="A60" t="n">
        <v>59</v>
      </c>
      <c r="B60" t="inlineStr">
        <is>
          <t>MAT-INOX-SUS201-0-8</t>
        </is>
      </c>
      <c r="C60" t="inlineStr">
        <is>
          <t>INOX</t>
        </is>
      </c>
      <c r="D60" t="inlineStr">
        <is>
          <t>Inox Sus201-0.8</t>
        </is>
      </c>
      <c r="E60" t="inlineStr">
        <is>
          <t>kg</t>
        </is>
      </c>
      <c r="F60" t="inlineStr"/>
      <c r="G60" t="inlineStr">
        <is>
          <t>Vat tu tôn!R24C29</t>
        </is>
      </c>
    </row>
    <row r="61">
      <c r="A61" t="n">
        <v>60</v>
      </c>
      <c r="B61" t="inlineStr">
        <is>
          <t>MAT-DAMPER-TRUC-SUS-201-D10</t>
        </is>
      </c>
      <c r="C61" t="inlineStr">
        <is>
          <t>PHỤ_KIỆN_VAN</t>
        </is>
      </c>
      <c r="D61" t="inlineStr">
        <is>
          <t>Trục Sus 201 D10</t>
        </is>
      </c>
      <c r="E61" t="inlineStr">
        <is>
          <t>m</t>
        </is>
      </c>
      <c r="F61" t="inlineStr"/>
      <c r="G61" t="inlineStr">
        <is>
          <t>Vat tu tôn!R5C33</t>
        </is>
      </c>
    </row>
    <row r="62">
      <c r="A62" t="n">
        <v>61</v>
      </c>
      <c r="B62" t="inlineStr">
        <is>
          <t>MAT-DAMPER-TRUC-SUS-201-D12</t>
        </is>
      </c>
      <c r="C62" t="inlineStr">
        <is>
          <t>PHỤ_KIỆN_VAN</t>
        </is>
      </c>
      <c r="D62" t="inlineStr">
        <is>
          <t>Trục Sus 201 D12</t>
        </is>
      </c>
      <c r="E62" t="inlineStr">
        <is>
          <t>m</t>
        </is>
      </c>
      <c r="F62" t="inlineStr"/>
      <c r="G62" t="inlineStr">
        <is>
          <t>Vat tu tôn!R6C33</t>
        </is>
      </c>
    </row>
    <row r="63">
      <c r="A63" t="n">
        <v>62</v>
      </c>
      <c r="B63" t="inlineStr">
        <is>
          <t>MAT-DAMPER-TRUC-SUS-201-D14</t>
        </is>
      </c>
      <c r="C63" t="inlineStr">
        <is>
          <t>PHỤ_KIỆN_VAN</t>
        </is>
      </c>
      <c r="D63" t="inlineStr">
        <is>
          <t>Trục Sus 201 D14</t>
        </is>
      </c>
      <c r="E63" t="inlineStr">
        <is>
          <t>m</t>
        </is>
      </c>
      <c r="F63" t="inlineStr"/>
      <c r="G63" t="inlineStr">
        <is>
          <t>Vat tu tôn!R7C33</t>
        </is>
      </c>
    </row>
    <row r="64">
      <c r="A64" t="n">
        <v>63</v>
      </c>
      <c r="B64" t="inlineStr">
        <is>
          <t>MAT-DAMPER-BAC-DONG-D10</t>
        </is>
      </c>
      <c r="C64" t="inlineStr">
        <is>
          <t>PHỤ_KIỆN_VAN</t>
        </is>
      </c>
      <c r="D64" t="inlineStr">
        <is>
          <t>Bạc đồng D10</t>
        </is>
      </c>
      <c r="E64" t="inlineStr">
        <is>
          <t>Đôi</t>
        </is>
      </c>
      <c r="F64" t="inlineStr"/>
      <c r="G64" t="inlineStr">
        <is>
          <t>Vat tu tôn!R8C33</t>
        </is>
      </c>
    </row>
    <row r="65">
      <c r="A65" t="n">
        <v>64</v>
      </c>
      <c r="B65" t="inlineStr">
        <is>
          <t>MAT-DAMPER-BAC-DONG-D12</t>
        </is>
      </c>
      <c r="C65" t="inlineStr">
        <is>
          <t>PHỤ_KIỆN_VAN</t>
        </is>
      </c>
      <c r="D65" t="inlineStr">
        <is>
          <t>Bạc đồng D12</t>
        </is>
      </c>
      <c r="E65" t="inlineStr">
        <is>
          <t>Đôi</t>
        </is>
      </c>
      <c r="F65" t="inlineStr"/>
      <c r="G65" t="inlineStr">
        <is>
          <t>Vat tu tôn!R9C33</t>
        </is>
      </c>
    </row>
    <row r="66">
      <c r="A66" t="n">
        <v>65</v>
      </c>
      <c r="B66" t="inlineStr">
        <is>
          <t>MAT-DAMPER-BAC-DONG-D14</t>
        </is>
      </c>
      <c r="C66" t="inlineStr">
        <is>
          <t>PHỤ_KIỆN_VAN</t>
        </is>
      </c>
      <c r="D66" t="inlineStr">
        <is>
          <t>Bạc đồng D14</t>
        </is>
      </c>
      <c r="E66" t="inlineStr">
        <is>
          <t>Đôi</t>
        </is>
      </c>
      <c r="F66" t="inlineStr"/>
      <c r="G66" t="inlineStr">
        <is>
          <t>Vat tu tôn!R10C33</t>
        </is>
      </c>
    </row>
    <row r="67">
      <c r="A67" t="n">
        <v>66</v>
      </c>
      <c r="B67" t="inlineStr">
        <is>
          <t>MAT-DAMPER-TAY-GAT-1-1M2</t>
        </is>
      </c>
      <c r="C67" t="inlineStr">
        <is>
          <t>PHỤ_KIỆN_VAN</t>
        </is>
      </c>
      <c r="D67" t="inlineStr">
        <is>
          <t>Tay gạt 1 &gt;1m2</t>
        </is>
      </c>
      <c r="E67" t="inlineStr">
        <is>
          <t>Cái</t>
        </is>
      </c>
      <c r="F67" t="inlineStr"/>
      <c r="G67" t="inlineStr">
        <is>
          <t>Vat tu tôn!R11C33</t>
        </is>
      </c>
    </row>
    <row r="68">
      <c r="A68" t="n">
        <v>67</v>
      </c>
      <c r="B68" t="inlineStr">
        <is>
          <t>MAT-DAMPER-GIANG-TAY-GAT-1</t>
        </is>
      </c>
      <c r="C68" t="inlineStr">
        <is>
          <t>PHỤ_KIỆN_VAN</t>
        </is>
      </c>
      <c r="D68" t="inlineStr">
        <is>
          <t>Giằng tay gạt 1</t>
        </is>
      </c>
      <c r="E68" t="inlineStr">
        <is>
          <t>Cái</t>
        </is>
      </c>
      <c r="F68" t="inlineStr"/>
      <c r="G68" t="inlineStr">
        <is>
          <t>Vat tu tôn!R12C33</t>
        </is>
      </c>
    </row>
    <row r="69">
      <c r="A69" t="n">
        <v>68</v>
      </c>
      <c r="B69" t="inlineStr">
        <is>
          <t>MAT-DAMPER-GIANG-TAY-GAT-2</t>
        </is>
      </c>
      <c r="C69" t="inlineStr">
        <is>
          <t>PHỤ_KIỆN_VAN</t>
        </is>
      </c>
      <c r="D69" t="inlineStr">
        <is>
          <t>Giằng tay gạt 2</t>
        </is>
      </c>
      <c r="E69" t="inlineStr">
        <is>
          <t>Cái</t>
        </is>
      </c>
      <c r="F69" t="inlineStr"/>
      <c r="G69" t="inlineStr">
        <is>
          <t>Vat tu tôn!R13C33</t>
        </is>
      </c>
    </row>
    <row r="70">
      <c r="A70" t="n">
        <v>69</v>
      </c>
      <c r="B70" t="inlineStr">
        <is>
          <t>MAT-DAMPER-CAU-CHI-1-400X400</t>
        </is>
      </c>
      <c r="C70" t="inlineStr">
        <is>
          <t>PHỤ_KIỆN_VAN</t>
        </is>
      </c>
      <c r="D70" t="inlineStr">
        <is>
          <t>Cầu chì 1 &lt;400x400</t>
        </is>
      </c>
      <c r="E70" t="inlineStr">
        <is>
          <t>Cái</t>
        </is>
      </c>
      <c r="F70" t="inlineStr"/>
      <c r="G70" t="inlineStr">
        <is>
          <t>Vat tu tôn!R14C33</t>
        </is>
      </c>
    </row>
    <row r="71">
      <c r="A71" t="n">
        <v>70</v>
      </c>
      <c r="B71" t="inlineStr">
        <is>
          <t>MAT-DAMPER-CAU-CHI-2-400X400</t>
        </is>
      </c>
      <c r="C71" t="inlineStr">
        <is>
          <t>PHỤ_KIỆN_VAN</t>
        </is>
      </c>
      <c r="D71" t="inlineStr">
        <is>
          <t>Cầu chì 2&gt;400x400</t>
        </is>
      </c>
      <c r="E71" t="inlineStr">
        <is>
          <t>Cái</t>
        </is>
      </c>
      <c r="F71" t="inlineStr"/>
      <c r="G71" t="inlineStr">
        <is>
          <t>Vat tu tôn!R15C33</t>
        </is>
      </c>
    </row>
    <row r="72">
      <c r="A72" t="n">
        <v>71</v>
      </c>
      <c r="B72" t="inlineStr">
        <is>
          <t>MAT-DAMPER-TRUC-VIT-1</t>
        </is>
      </c>
      <c r="C72" t="inlineStr">
        <is>
          <t>PHỤ_KIỆN_VAN</t>
        </is>
      </c>
      <c r="D72" t="inlineStr">
        <is>
          <t>Trục vít 1</t>
        </is>
      </c>
      <c r="E72" t="inlineStr">
        <is>
          <t>Cái</t>
        </is>
      </c>
      <c r="F72" t="inlineStr"/>
      <c r="G72" t="inlineStr">
        <is>
          <t>Vat tu tôn!R16C33</t>
        </is>
      </c>
    </row>
    <row r="73">
      <c r="A73" t="n">
        <v>72</v>
      </c>
      <c r="B73" t="inlineStr">
        <is>
          <t>MAT-DAMPER-BAC-DONG-8</t>
        </is>
      </c>
      <c r="C73" t="inlineStr">
        <is>
          <t>PHỤ_KIỆN_VAN</t>
        </is>
      </c>
      <c r="D73" t="inlineStr">
        <is>
          <t>Bạc đồng 8</t>
        </is>
      </c>
      <c r="E73" t="inlineStr">
        <is>
          <t>cặp</t>
        </is>
      </c>
      <c r="F73" t="inlineStr"/>
      <c r="G73" t="inlineStr">
        <is>
          <t>Vat tu tôn!R18C33</t>
        </is>
      </c>
    </row>
    <row r="74">
      <c r="A74" t="n">
        <v>73</v>
      </c>
      <c r="B74" t="inlineStr">
        <is>
          <t>MAT-DAMPER-BANH-RANG-VAN-NHOM</t>
        </is>
      </c>
      <c r="C74" t="inlineStr">
        <is>
          <t>PHỤ_KIỆN_VAN</t>
        </is>
      </c>
      <c r="D74" t="inlineStr">
        <is>
          <t>Bánh răng van nhôm</t>
        </is>
      </c>
      <c r="E74" t="inlineStr">
        <is>
          <t>Bộ</t>
        </is>
      </c>
      <c r="F74" t="inlineStr"/>
      <c r="G74" t="inlineStr">
        <is>
          <t>Vat tu tôn!R19C33</t>
        </is>
      </c>
    </row>
    <row r="75">
      <c r="A75" t="n">
        <v>74</v>
      </c>
      <c r="B75" t="inlineStr">
        <is>
          <t>MAT-DAMPER-TAY-VAN-NHUA-1M2</t>
        </is>
      </c>
      <c r="C75" t="inlineStr">
        <is>
          <t>PHỤ_KIỆN_VAN</t>
        </is>
      </c>
      <c r="D75" t="inlineStr">
        <is>
          <t>Tay van nhựa &gt;1m2</t>
        </is>
      </c>
      <c r="E75" t="inlineStr">
        <is>
          <t>Bộ</t>
        </is>
      </c>
      <c r="F75" t="inlineStr"/>
      <c r="G75" t="inlineStr">
        <is>
          <t>Vat tu tôn!R20C33</t>
        </is>
      </c>
    </row>
    <row r="76">
      <c r="A76" t="n">
        <v>75</v>
      </c>
      <c r="B76" t="inlineStr">
        <is>
          <t>MAT-DAMPER-TAY-VAN-INOX-1M2</t>
        </is>
      </c>
      <c r="C76" t="inlineStr">
        <is>
          <t>PHỤ_KIỆN_VAN</t>
        </is>
      </c>
      <c r="D76" t="inlineStr">
        <is>
          <t>Tay van Inox &gt;1m2</t>
        </is>
      </c>
      <c r="E76" t="inlineStr">
        <is>
          <t>Bộ</t>
        </is>
      </c>
      <c r="F76" t="inlineStr"/>
      <c r="G76" t="inlineStr">
        <is>
          <t>Vat tu tôn!R21C33</t>
        </is>
      </c>
    </row>
    <row r="77">
      <c r="A77" t="n">
        <v>76</v>
      </c>
      <c r="B77" t="inlineStr">
        <is>
          <t>MAT-DAMPER-TAY-VAN-NHOM</t>
        </is>
      </c>
      <c r="C77" t="inlineStr">
        <is>
          <t>PHỤ_KIỆN_VAN</t>
        </is>
      </c>
      <c r="D77" t="inlineStr">
        <is>
          <t>Tay van nhôm</t>
        </is>
      </c>
      <c r="E77" t="inlineStr">
        <is>
          <t>Bộ</t>
        </is>
      </c>
      <c r="F77" t="inlineStr"/>
      <c r="G77" t="inlineStr">
        <is>
          <t>Vat tu tôn!R22C33</t>
        </is>
      </c>
    </row>
    <row r="78">
      <c r="A78" t="n">
        <v>77</v>
      </c>
      <c r="B78" t="inlineStr">
        <is>
          <t>MAT-DAMPER-GIOANG-CAO-SU-VAN-NHOM</t>
        </is>
      </c>
      <c r="C78" t="inlineStr">
        <is>
          <t>PHỤ_KIỆN_VAN</t>
        </is>
      </c>
      <c r="D78" t="inlineStr">
        <is>
          <t>Gioăng cao su van nhôm</t>
        </is>
      </c>
      <c r="E78" t="inlineStr">
        <is>
          <t>M</t>
        </is>
      </c>
      <c r="F78" t="inlineStr"/>
      <c r="G78" t="inlineStr">
        <is>
          <t>Vat tu tôn!R23C33</t>
        </is>
      </c>
    </row>
    <row r="79">
      <c r="A79" t="n">
        <v>78</v>
      </c>
      <c r="B79" t="inlineStr">
        <is>
          <t>MAT-DAMPER-TAY-GAT-NHO</t>
        </is>
      </c>
      <c r="C79" t="inlineStr">
        <is>
          <t>PHỤ_KIỆN_VAN</t>
        </is>
      </c>
      <c r="D79" t="inlineStr">
        <is>
          <t>Tay gạt nhỏ</t>
        </is>
      </c>
      <c r="E79" t="inlineStr">
        <is>
          <t>Bộ</t>
        </is>
      </c>
      <c r="F79" t="inlineStr"/>
      <c r="G79" t="inlineStr">
        <is>
          <t>Vat tu tôn!R24C33</t>
        </is>
      </c>
    </row>
    <row r="80">
      <c r="A80" t="n">
        <v>79</v>
      </c>
      <c r="B80" t="inlineStr">
        <is>
          <t>MAT-DAMPER-TAY-GAT-TRUNG-BINH</t>
        </is>
      </c>
      <c r="C80" t="inlineStr">
        <is>
          <t>PHỤ_KIỆN_VAN</t>
        </is>
      </c>
      <c r="D80" t="inlineStr">
        <is>
          <t>Tay gạt trung bình</t>
        </is>
      </c>
      <c r="E80" t="inlineStr">
        <is>
          <t>Bộ</t>
        </is>
      </c>
      <c r="F80" t="inlineStr"/>
      <c r="G80" t="inlineStr">
        <is>
          <t>Vat tu tôn!R25C33</t>
        </is>
      </c>
    </row>
    <row r="81">
      <c r="A81" t="n">
        <v>80</v>
      </c>
      <c r="B81" t="inlineStr">
        <is>
          <t>MAT-DAMPER-MOTOR-NENUTEC-THUY-SY-300X300</t>
        </is>
      </c>
      <c r="C81" t="inlineStr">
        <is>
          <t>PHỤ_KIỆN_VAN</t>
        </is>
      </c>
      <c r="D81" t="inlineStr">
        <is>
          <t>Motor NENUTEC - THỤY SỸ &gt;300x300</t>
        </is>
      </c>
      <c r="E81" t="inlineStr">
        <is>
          <t>cái</t>
        </is>
      </c>
      <c r="F81" t="inlineStr"/>
      <c r="G81" t="inlineStr">
        <is>
          <t>Vat tu tôn!R27C33</t>
        </is>
      </c>
    </row>
    <row r="82">
      <c r="A82" t="n">
        <v>81</v>
      </c>
      <c r="B82" t="inlineStr">
        <is>
          <t>MAT-DAMPER-MOTOR-NENUTEC-THUY-SY-1M2</t>
        </is>
      </c>
      <c r="C82" t="inlineStr">
        <is>
          <t>PHỤ_KIỆN_VAN</t>
        </is>
      </c>
      <c r="D82" t="inlineStr">
        <is>
          <t>Motor NENUTEC - THỤY SỸ &gt;1m2</t>
        </is>
      </c>
      <c r="E82" t="inlineStr">
        <is>
          <t>cái</t>
        </is>
      </c>
      <c r="F82" t="inlineStr"/>
      <c r="G82" t="inlineStr">
        <is>
          <t>Vat tu tôn!R28C33</t>
        </is>
      </c>
    </row>
    <row r="83">
      <c r="A83" t="n">
        <v>82</v>
      </c>
      <c r="B83" t="inlineStr">
        <is>
          <t>MAT-DAMPER-MOTOR-VAN-DAP-LUA-CAM-BIEN</t>
        </is>
      </c>
      <c r="C83" t="inlineStr">
        <is>
          <t>PHỤ_KIỆN_VAN</t>
        </is>
      </c>
      <c r="D83" t="inlineStr">
        <is>
          <t>Motor van dập lửa + cảm biến</t>
        </is>
      </c>
      <c r="E83" t="inlineStr">
        <is>
          <t>Cái</t>
        </is>
      </c>
      <c r="F83" t="inlineStr"/>
      <c r="G83" t="inlineStr">
        <is>
          <t>Vat tu tôn!R29C33</t>
        </is>
      </c>
    </row>
    <row r="84">
      <c r="A84" t="n">
        <v>83</v>
      </c>
      <c r="B84" t="inlineStr">
        <is>
          <t>MAT-DAMPER-MOTOR-VAN-AP-SUAT</t>
        </is>
      </c>
      <c r="C84" t="inlineStr">
        <is>
          <t>PHỤ_KIỆN_VAN</t>
        </is>
      </c>
      <c r="D84" t="inlineStr">
        <is>
          <t>Motor van áp suất</t>
        </is>
      </c>
      <c r="E84" t="inlineStr">
        <is>
          <t>Cái</t>
        </is>
      </c>
      <c r="F84" t="inlineStr"/>
      <c r="G84" t="inlineStr">
        <is>
          <t>Vat tu tôn!R30C33</t>
        </is>
      </c>
    </row>
    <row r="85">
      <c r="A85" t="n">
        <v>84</v>
      </c>
      <c r="B85" t="inlineStr">
        <is>
          <t>MAT-DAMPER-CAU-CHI-TRUNG-QUOC</t>
        </is>
      </c>
      <c r="C85" t="inlineStr">
        <is>
          <t>PHỤ_KIỆN_VAN</t>
        </is>
      </c>
      <c r="D85" t="inlineStr">
        <is>
          <t>Cầu chì Trung Quốc</t>
        </is>
      </c>
      <c r="E85" t="inlineStr">
        <is>
          <t>Cái</t>
        </is>
      </c>
      <c r="F85" t="inlineStr"/>
      <c r="G85" t="inlineStr">
        <is>
          <t>Vat tu tôn!R31C33</t>
        </is>
      </c>
    </row>
    <row r="86">
      <c r="A86" t="n">
        <v>85</v>
      </c>
      <c r="B86" t="inlineStr">
        <is>
          <t>MAT-DAMPER-CAU-CHI-USA-1-400X400</t>
        </is>
      </c>
      <c r="C86" t="inlineStr">
        <is>
          <t>PHỤ_KIỆN_VAN</t>
        </is>
      </c>
      <c r="D86" t="inlineStr">
        <is>
          <t>Cầu chì USA -1 (&lt;400x400)</t>
        </is>
      </c>
      <c r="E86" t="inlineStr">
        <is>
          <t>Cái</t>
        </is>
      </c>
      <c r="F86" t="inlineStr"/>
      <c r="G86" t="inlineStr">
        <is>
          <t>Vat tu tôn!R32C33</t>
        </is>
      </c>
    </row>
    <row r="87">
      <c r="A87" t="n">
        <v>86</v>
      </c>
      <c r="B87" t="inlineStr">
        <is>
          <t>MAT-DAMPER-CAU-CHI-USA-2-400X400</t>
        </is>
      </c>
      <c r="C87" t="inlineStr">
        <is>
          <t>PHỤ_KIỆN_VAN</t>
        </is>
      </c>
      <c r="D87" t="inlineStr">
        <is>
          <t>Cầu chì USA-2 (&gt;400x400)</t>
        </is>
      </c>
      <c r="E87" t="inlineStr">
        <is>
          <t>Cái</t>
        </is>
      </c>
      <c r="F87" t="inlineStr"/>
      <c r="G87" t="inlineStr">
        <is>
          <t>Vat tu tôn!R33C33</t>
        </is>
      </c>
    </row>
    <row r="88">
      <c r="A88" t="n">
        <v>87</v>
      </c>
      <c r="B88" t="inlineStr">
        <is>
          <t>MAT-FLANGE-L-30X30X2-CT38-L-6-M</t>
        </is>
      </c>
      <c r="C88" t="inlineStr">
        <is>
          <t>THÉP_BÍCH_GÓC</t>
        </is>
      </c>
      <c r="D88" t="inlineStr">
        <is>
          <t>L 30x30x2 CT38 L = 6 m</t>
        </is>
      </c>
      <c r="E88" t="inlineStr">
        <is>
          <t>m</t>
        </is>
      </c>
      <c r="F88" t="inlineStr"/>
      <c r="G88" t="inlineStr">
        <is>
          <t>Vat tu tôn!R13C37</t>
        </is>
      </c>
    </row>
    <row r="89">
      <c r="A89" t="n">
        <v>88</v>
      </c>
      <c r="B89" t="inlineStr">
        <is>
          <t>MAT-FLANGE-L-30X30X3-CT38-L-6-M</t>
        </is>
      </c>
      <c r="C89" t="inlineStr">
        <is>
          <t>THÉP_BÍCH_GÓC</t>
        </is>
      </c>
      <c r="D89" t="inlineStr">
        <is>
          <t>L 30x30x3 CT38 L = 6 m</t>
        </is>
      </c>
      <c r="E89" t="inlineStr">
        <is>
          <t>m</t>
        </is>
      </c>
      <c r="F89" t="inlineStr"/>
      <c r="G89" t="inlineStr">
        <is>
          <t>Vat tu tôn!R14C37</t>
        </is>
      </c>
    </row>
    <row r="90">
      <c r="A90" t="n">
        <v>89</v>
      </c>
      <c r="B90" t="inlineStr">
        <is>
          <t>MAT-FLANGE-L-40X40X4-CT39-L-6-M</t>
        </is>
      </c>
      <c r="C90" t="inlineStr">
        <is>
          <t>THÉP_BÍCH_GÓC</t>
        </is>
      </c>
      <c r="D90" t="inlineStr">
        <is>
          <t>L 40x40x4 CT39 L = 6 m</t>
        </is>
      </c>
      <c r="E90" t="inlineStr">
        <is>
          <t>m</t>
        </is>
      </c>
      <c r="F90" t="inlineStr"/>
      <c r="G90" t="inlineStr">
        <is>
          <t>Vat tu tôn!R15C37</t>
        </is>
      </c>
    </row>
    <row r="91">
      <c r="A91" t="n">
        <v>90</v>
      </c>
      <c r="B91" t="inlineStr">
        <is>
          <t>MAT-FLANGE-L-50X50X4-CT40-L-6-M</t>
        </is>
      </c>
      <c r="C91" t="inlineStr">
        <is>
          <t>THÉP_BÍCH_GÓC</t>
        </is>
      </c>
      <c r="D91" t="inlineStr">
        <is>
          <t>L 50x50x4 CT40 L = 6 m</t>
        </is>
      </c>
      <c r="E91" t="inlineStr">
        <is>
          <t>m</t>
        </is>
      </c>
      <c r="F91" t="inlineStr"/>
      <c r="G91" t="inlineStr">
        <is>
          <t>Vat tu tôn!R16C37</t>
        </is>
      </c>
    </row>
    <row r="92">
      <c r="A92" t="n">
        <v>91</v>
      </c>
      <c r="B92" t="inlineStr">
        <is>
          <t>MAT-INSUL-LUOI-NHUA</t>
        </is>
      </c>
      <c r="C92" t="inlineStr">
        <is>
          <t>VẬT_LIỆU_TIÊU_ÂM</t>
        </is>
      </c>
      <c r="D92" t="inlineStr">
        <is>
          <t>Lưới nhựa</t>
        </is>
      </c>
      <c r="E92" t="inlineStr">
        <is>
          <t>m2</t>
        </is>
      </c>
      <c r="F92" t="inlineStr"/>
      <c r="G92" t="inlineStr">
        <is>
          <t>Vat tu tôn!R5C41</t>
        </is>
      </c>
    </row>
    <row r="93">
      <c r="A93" t="n">
        <v>92</v>
      </c>
      <c r="B93" t="inlineStr">
        <is>
          <t>MAT-INSUL-MOTOR-NENUTEC-THUY-SY-300X300</t>
        </is>
      </c>
      <c r="C93" t="inlineStr">
        <is>
          <t>VẬT_LIỆU_TIÊU_ÂM</t>
        </is>
      </c>
      <c r="D93" t="inlineStr">
        <is>
          <t>Motor NENUTEC - THỤY SỸ &gt;300x300</t>
        </is>
      </c>
      <c r="E93" t="inlineStr">
        <is>
          <t>cái</t>
        </is>
      </c>
      <c r="F93" t="inlineStr"/>
      <c r="G93" t="inlineStr">
        <is>
          <t>Vat tu tôn!R7C41</t>
        </is>
      </c>
    </row>
    <row r="94">
      <c r="A94" t="n">
        <v>93</v>
      </c>
      <c r="B94" t="inlineStr">
        <is>
          <t>MAT-INSUL-MOTOR-NENUTEC-THUY-SY-1M2</t>
        </is>
      </c>
      <c r="C94" t="inlineStr">
        <is>
          <t>VẬT_LIỆU_TIÊU_ÂM</t>
        </is>
      </c>
      <c r="D94" t="inlineStr">
        <is>
          <t>Motor NENUTEC - THỤY SỸ &gt;1m2</t>
        </is>
      </c>
      <c r="E94" t="inlineStr">
        <is>
          <t>cái</t>
        </is>
      </c>
      <c r="F94" t="inlineStr"/>
      <c r="G94" t="inlineStr">
        <is>
          <t>Vat tu tôn!R8C41</t>
        </is>
      </c>
    </row>
    <row r="95">
      <c r="A95" t="n">
        <v>94</v>
      </c>
      <c r="B95" t="inlineStr">
        <is>
          <t>MAT-INSUL-MOTOR-VAN-DAP-LUA-CAM-BIEN</t>
        </is>
      </c>
      <c r="C95" t="inlineStr">
        <is>
          <t>VẬT_LIỆU_TIÊU_ÂM</t>
        </is>
      </c>
      <c r="D95" t="inlineStr">
        <is>
          <t>Motor van dập lửa + cảm biến</t>
        </is>
      </c>
      <c r="E95" t="inlineStr">
        <is>
          <t>m2</t>
        </is>
      </c>
      <c r="F95" t="inlineStr"/>
      <c r="G95" t="inlineStr">
        <is>
          <t>Vat tu tôn!R9C41</t>
        </is>
      </c>
    </row>
    <row r="96">
      <c r="A96" t="n">
        <v>95</v>
      </c>
      <c r="B96" t="inlineStr">
        <is>
          <t>MAT-INSUL-MOTOR-VAN-AP-SUAT</t>
        </is>
      </c>
      <c r="C96" t="inlineStr">
        <is>
          <t>VẬT_LIỆU_TIÊU_ÂM</t>
        </is>
      </c>
      <c r="D96" t="inlineStr">
        <is>
          <t>Motor van áp suất</t>
        </is>
      </c>
      <c r="E96" t="inlineStr">
        <is>
          <t>m2</t>
        </is>
      </c>
      <c r="F96" t="inlineStr"/>
      <c r="G96" t="inlineStr">
        <is>
          <t>Vat tu tôn!R10C41</t>
        </is>
      </c>
    </row>
    <row r="97">
      <c r="A97" t="n">
        <v>96</v>
      </c>
      <c r="B97" t="inlineStr">
        <is>
          <t>MAT-ALU-NAN-BD</t>
        </is>
      </c>
      <c r="C97" t="inlineStr">
        <is>
          <t>NHÔM_ĐỊNH_HÌNH</t>
        </is>
      </c>
      <c r="D97" t="inlineStr">
        <is>
          <t>Nhôm định hình NAN BD</t>
        </is>
      </c>
      <c r="E97" t="inlineStr">
        <is>
          <t>kg</t>
        </is>
      </c>
      <c r="F97" t="inlineStr">
        <is>
          <t>0.058 kg/m</t>
        </is>
      </c>
      <c r="G97" t="inlineStr">
        <is>
          <t>BG Cửa  (rút gọn)!R3C2</t>
        </is>
      </c>
    </row>
    <row r="98">
      <c r="A98" t="n">
        <v>97</v>
      </c>
      <c r="B98" t="inlineStr">
        <is>
          <t>MAT-ALU-NAN-T</t>
        </is>
      </c>
      <c r="C98" t="inlineStr">
        <is>
          <t>NHÔM_ĐỊNH_HÌNH</t>
        </is>
      </c>
      <c r="D98" t="inlineStr">
        <is>
          <t>Nhôm định hình NAN T</t>
        </is>
      </c>
      <c r="E98" t="inlineStr">
        <is>
          <t>kg</t>
        </is>
      </c>
      <c r="F98" t="inlineStr">
        <is>
          <t>0.078 kg/m</t>
        </is>
      </c>
      <c r="G98" t="inlineStr">
        <is>
          <t>BG Cửa  (rút gọn)!R4C2</t>
        </is>
      </c>
    </row>
    <row r="99">
      <c r="A99" t="n">
        <v>98</v>
      </c>
      <c r="B99" t="inlineStr">
        <is>
          <t>MAT-ALU-KHUNG-BD</t>
        </is>
      </c>
      <c r="C99" t="inlineStr">
        <is>
          <t>NHÔM_ĐỊNH_HÌNH</t>
        </is>
      </c>
      <c r="D99" t="inlineStr">
        <is>
          <t>Nhôm định hình KHUNG BD</t>
        </is>
      </c>
      <c r="E99" t="inlineStr">
        <is>
          <t>kg</t>
        </is>
      </c>
      <c r="F99" t="inlineStr">
        <is>
          <t>0.2 kg/m</t>
        </is>
      </c>
      <c r="G99" t="inlineStr">
        <is>
          <t>BG Cửa  (rút gọn)!R5C2</t>
        </is>
      </c>
    </row>
    <row r="100">
      <c r="A100" t="n">
        <v>99</v>
      </c>
      <c r="B100" t="inlineStr">
        <is>
          <t>MAT-ALU-KHUNG-BD-Z-MONG</t>
        </is>
      </c>
      <c r="C100" t="inlineStr">
        <is>
          <t>NHÔM_ĐỊNH_HÌNH</t>
        </is>
      </c>
      <c r="D100" t="inlineStr">
        <is>
          <t>Nhôm định hình KHUNG BD+ Z MỎNG</t>
        </is>
      </c>
      <c r="E100" t="inlineStr">
        <is>
          <t>kg</t>
        </is>
      </c>
      <c r="F100" t="inlineStr">
        <is>
          <t>0.173 kg/m</t>
        </is>
      </c>
      <c r="G100" t="inlineStr">
        <is>
          <t>BG Cửa  (rút gọn)!R6C2</t>
        </is>
      </c>
    </row>
    <row r="101">
      <c r="A101" t="n">
        <v>100</v>
      </c>
      <c r="B101" t="inlineStr">
        <is>
          <t>MAT-ALU-NAN-Z-DAY</t>
        </is>
      </c>
      <c r="C101" t="inlineStr">
        <is>
          <t>NHÔM_ĐỊNH_HÌNH</t>
        </is>
      </c>
      <c r="D101" t="inlineStr">
        <is>
          <t>Nhôm định hình NAN Z DÀY</t>
        </is>
      </c>
      <c r="E101" t="inlineStr">
        <is>
          <t>kg</t>
        </is>
      </c>
      <c r="F101" t="inlineStr">
        <is>
          <t>0.217 kg/m</t>
        </is>
      </c>
      <c r="G101" t="inlineStr">
        <is>
          <t>BG Cửa  (rút gọn)!R7C2</t>
        </is>
      </c>
    </row>
    <row r="102">
      <c r="A102" t="n">
        <v>101</v>
      </c>
      <c r="B102" t="inlineStr">
        <is>
          <t>MAT-ALU-NAN-Z-MONG</t>
        </is>
      </c>
      <c r="C102" t="inlineStr">
        <is>
          <t>NHÔM_ĐỊNH_HÌNH</t>
        </is>
      </c>
      <c r="D102" t="inlineStr">
        <is>
          <t>Nhôm định hình NAN Z MỎNG</t>
        </is>
      </c>
      <c r="E102" t="inlineStr">
        <is>
          <t>kg</t>
        </is>
      </c>
      <c r="F102" t="inlineStr">
        <is>
          <t>0.16 kg/m</t>
        </is>
      </c>
      <c r="G102" t="inlineStr">
        <is>
          <t>BG Cửa  (rút gọn)!R8C2</t>
        </is>
      </c>
    </row>
    <row r="103">
      <c r="A103" t="n">
        <v>102</v>
      </c>
      <c r="B103" t="inlineStr">
        <is>
          <t>MAT-ALU-KHUNG-Z-2-LOP</t>
        </is>
      </c>
      <c r="C103" t="inlineStr">
        <is>
          <t>NHÔM_ĐỊNH_HÌNH</t>
        </is>
      </c>
      <c r="D103" t="inlineStr">
        <is>
          <t>Nhôm định hình KHUNG Z+2 LỚP</t>
        </is>
      </c>
      <c r="E103" t="inlineStr">
        <is>
          <t>kg</t>
        </is>
      </c>
      <c r="F103" t="inlineStr">
        <is>
          <t>0.227 kg/m</t>
        </is>
      </c>
      <c r="G103" t="inlineStr">
        <is>
          <t>BG Cửa  (rút gọn)!R9C2</t>
        </is>
      </c>
    </row>
    <row r="104">
      <c r="A104" t="n">
        <v>103</v>
      </c>
      <c r="B104" t="inlineStr">
        <is>
          <t>MAT-ALU-NAN-OBD</t>
        </is>
      </c>
      <c r="C104" t="inlineStr">
        <is>
          <t>NHÔM_ĐỊNH_HÌNH</t>
        </is>
      </c>
      <c r="D104" t="inlineStr">
        <is>
          <t>Nhôm định hình NAN OBD</t>
        </is>
      </c>
      <c r="E104" t="inlineStr">
        <is>
          <t>kg</t>
        </is>
      </c>
      <c r="F104" t="inlineStr">
        <is>
          <t>0.11 kg/m</t>
        </is>
      </c>
      <c r="G104" t="inlineStr">
        <is>
          <t>BG Cửa  (rút gọn)!R10C2</t>
        </is>
      </c>
    </row>
    <row r="105">
      <c r="A105" t="n">
        <v>104</v>
      </c>
      <c r="B105" t="inlineStr">
        <is>
          <t>MAT-ALU-KHUNG-OBD</t>
        </is>
      </c>
      <c r="C105" t="inlineStr">
        <is>
          <t>NHÔM_ĐỊNH_HÌNH</t>
        </is>
      </c>
      <c r="D105" t="inlineStr">
        <is>
          <t>Nhôm định hình KHUNG OBD</t>
        </is>
      </c>
      <c r="E105" t="inlineStr">
        <is>
          <t>kg</t>
        </is>
      </c>
      <c r="F105" t="inlineStr">
        <is>
          <t>0.158 kg/m</t>
        </is>
      </c>
      <c r="G105" t="inlineStr">
        <is>
          <t>BG Cửa  (rút gọn)!R11C2</t>
        </is>
      </c>
    </row>
    <row r="106">
      <c r="A106" t="n">
        <v>105</v>
      </c>
      <c r="B106" t="inlineStr">
        <is>
          <t>MAT-ALU-NAN-BD-EUS02</t>
        </is>
      </c>
      <c r="C106" t="inlineStr">
        <is>
          <t>NHÔM_ĐỊNH_HÌNH</t>
        </is>
      </c>
      <c r="D106" t="inlineStr">
        <is>
          <t>Nhôm định hình NAN BD EUS 02</t>
        </is>
      </c>
      <c r="E106" t="inlineStr">
        <is>
          <t>kg</t>
        </is>
      </c>
      <c r="F106" t="inlineStr">
        <is>
          <t>0.071 kg/m</t>
        </is>
      </c>
      <c r="G106" t="inlineStr">
        <is>
          <t>BG Cửa  (rút gọn)!R14C2</t>
        </is>
      </c>
    </row>
    <row r="107">
      <c r="A107" t="n">
        <v>106</v>
      </c>
      <c r="B107" t="inlineStr">
        <is>
          <t>MAT-ALU-KHUNG-BD-EUS01</t>
        </is>
      </c>
      <c r="C107" t="inlineStr">
        <is>
          <t>NHÔM_ĐỊNH_HÌNH</t>
        </is>
      </c>
      <c r="D107" t="inlineStr">
        <is>
          <t>Nhôm định hình KHUNG BD EUS 01</t>
        </is>
      </c>
      <c r="E107" t="inlineStr">
        <is>
          <t>kg</t>
        </is>
      </c>
      <c r="F107" t="inlineStr">
        <is>
          <t>0.206 kg/m</t>
        </is>
      </c>
      <c r="G107" t="inlineStr">
        <is>
          <t>BG Cửa  (rút gọn)!R15C2</t>
        </is>
      </c>
    </row>
    <row r="108">
      <c r="A108" t="n">
        <v>107</v>
      </c>
      <c r="B108" t="inlineStr">
        <is>
          <t>MAT-ALU-NAN-Z-EUS05</t>
        </is>
      </c>
      <c r="C108" t="inlineStr">
        <is>
          <t>NHÔM_ĐỊNH_HÌNH</t>
        </is>
      </c>
      <c r="D108" t="inlineStr">
        <is>
          <t>Nhôm định hình NAN Z EUS 05</t>
        </is>
      </c>
      <c r="E108" t="inlineStr">
        <is>
          <t>kg</t>
        </is>
      </c>
      <c r="F108" t="inlineStr">
        <is>
          <t>0.162 kg/m</t>
        </is>
      </c>
      <c r="G108" t="inlineStr">
        <is>
          <t>BG Cửa  (rút gọn)!R16C2</t>
        </is>
      </c>
    </row>
    <row r="109">
      <c r="A109" t="n">
        <v>108</v>
      </c>
      <c r="B109" t="inlineStr">
        <is>
          <t>MAT-ALU-KHUNG-Z-EUS03</t>
        </is>
      </c>
      <c r="C109" t="inlineStr">
        <is>
          <t>NHÔM_ĐỊNH_HÌNH</t>
        </is>
      </c>
      <c r="D109" t="inlineStr">
        <is>
          <t>Nhôm định hình KHUNG Z EUS 03</t>
        </is>
      </c>
      <c r="E109" t="inlineStr">
        <is>
          <t>kg</t>
        </is>
      </c>
      <c r="F109" t="inlineStr">
        <is>
          <t>0.247 kg/m</t>
        </is>
      </c>
      <c r="G109" t="inlineStr">
        <is>
          <t>BG Cửa  (rút gọn)!R17C2</t>
        </is>
      </c>
    </row>
    <row r="110">
      <c r="A110" t="n">
        <v>109</v>
      </c>
      <c r="B110" t="inlineStr">
        <is>
          <t>MAT-ALU-NAN-OBD-EUS20</t>
        </is>
      </c>
      <c r="C110" t="inlineStr">
        <is>
          <t>NHÔM_ĐỊNH_HÌNH</t>
        </is>
      </c>
      <c r="D110" t="inlineStr">
        <is>
          <t>Nhôm định hình NAN OBD EUS 20</t>
        </is>
      </c>
      <c r="E110" t="inlineStr">
        <is>
          <t>kg</t>
        </is>
      </c>
      <c r="F110" t="inlineStr">
        <is>
          <t>0.094 kg/m</t>
        </is>
      </c>
      <c r="G110" t="inlineStr">
        <is>
          <t>BG Cửa  (rút gọn)!R18C2</t>
        </is>
      </c>
    </row>
    <row r="111">
      <c r="A111" t="n">
        <v>110</v>
      </c>
      <c r="B111" t="inlineStr">
        <is>
          <t>MAT-ALU-KHUNG-OBD-EUS10</t>
        </is>
      </c>
      <c r="C111" t="inlineStr">
        <is>
          <t>NHÔM_ĐỊNH_HÌNH</t>
        </is>
      </c>
      <c r="D111" t="inlineStr">
        <is>
          <t>Nhôm định hình KHUNG OBD EUS 10</t>
        </is>
      </c>
      <c r="E111" t="inlineStr">
        <is>
          <t>kg</t>
        </is>
      </c>
      <c r="F111" t="inlineStr">
        <is>
          <t>0.141 kg/m</t>
        </is>
      </c>
      <c r="G111" t="inlineStr">
        <is>
          <t>BG Cửa  (rút gọn)!R19C2</t>
        </is>
      </c>
    </row>
    <row r="112">
      <c r="A112" t="n">
        <v>111</v>
      </c>
      <c r="B112" t="inlineStr">
        <is>
          <t>MAT-PAINT-POWDER</t>
        </is>
      </c>
      <c r="C112" t="inlineStr">
        <is>
          <t>SƠN_TĨNH_ĐIỆN</t>
        </is>
      </c>
      <c r="D112" t="inlineStr">
        <is>
          <t>Sơn tĩnh điện tiêu chuẩn Polyester</t>
        </is>
      </c>
      <c r="E112" t="inlineStr">
        <is>
          <t>m2</t>
        </is>
      </c>
      <c r="F112" t="inlineStr"/>
      <c r="G112" t="inlineStr">
        <is>
          <t>BG Cửa  (rút gọn)!R32C21</t>
        </is>
      </c>
    </row>
    <row r="113">
      <c r="A113" t="n">
        <v>112</v>
      </c>
      <c r="B113" t="inlineStr">
        <is>
          <t>MAT-DOOR-ACCESSORY</t>
        </is>
      </c>
      <c r="C113" t="inlineStr">
        <is>
          <t>PHỤ_KIỆN_CỬA</t>
        </is>
      </c>
      <c r="D113" t="inlineStr">
        <is>
          <t>Phụ kiện lắp ghép / Ke góc cửa gió</t>
        </is>
      </c>
      <c r="E113" t="inlineStr">
        <is>
          <t>Bộ</t>
        </is>
      </c>
      <c r="F113" t="inlineStr"/>
      <c r="G113" t="inlineStr">
        <is>
          <t>BG Cửa  (rút gọn)!R34C20</t>
        </is>
      </c>
    </row>
    <row r="114">
      <c r="A114" t="n">
        <v>113</v>
      </c>
      <c r="B114" t="inlineStr">
        <is>
          <t>MAT-ACTUATOR-NACA-2-05</t>
        </is>
      </c>
      <c r="C114" t="inlineStr">
        <is>
          <t>ĐỘNG_CƠ_VÀ_CẢM_BIẾN</t>
        </is>
      </c>
      <c r="D114" t="inlineStr">
        <is>
          <t>Model: NACA 2-05  ( 220VAC, On/Off )</t>
        </is>
      </c>
      <c r="E114" t="inlineStr">
        <is>
          <t>Cái</t>
        </is>
      </c>
      <c r="F114" t="inlineStr"/>
      <c r="G114" t="inlineStr">
        <is>
          <t>VT van</t>
        </is>
      </c>
    </row>
    <row r="115">
      <c r="A115" t="n">
        <v>114</v>
      </c>
      <c r="B115" t="inlineStr">
        <is>
          <t>MAT-ACTUATOR-NACA-2-10</t>
        </is>
      </c>
      <c r="C115" t="inlineStr">
        <is>
          <t>ĐỘNG_CƠ_VÀ_CẢM_BIẾN</t>
        </is>
      </c>
      <c r="D115" t="inlineStr">
        <is>
          <t>Model: NACA 2-10   ( 220VAC, On/Off )</t>
        </is>
      </c>
      <c r="E115" t="inlineStr">
        <is>
          <t>Cái</t>
        </is>
      </c>
      <c r="F115" t="inlineStr"/>
      <c r="G115" t="inlineStr">
        <is>
          <t>VT van</t>
        </is>
      </c>
    </row>
    <row r="116">
      <c r="A116" t="n">
        <v>115</v>
      </c>
      <c r="B116" t="inlineStr">
        <is>
          <t>MAT-ACTUATOR-NACA-2-20</t>
        </is>
      </c>
      <c r="C116" t="inlineStr">
        <is>
          <t>ĐỘNG_CƠ_VÀ_CẢM_BIẾN</t>
        </is>
      </c>
      <c r="D116" t="inlineStr">
        <is>
          <t>Model: NACA 2-20   ( 220VAC, On/Off )</t>
        </is>
      </c>
      <c r="E116" t="inlineStr">
        <is>
          <t>Cái</t>
        </is>
      </c>
      <c r="F116" t="inlineStr"/>
      <c r="G116" t="inlineStr">
        <is>
          <t>VT van</t>
        </is>
      </c>
    </row>
    <row r="117">
      <c r="A117" t="n">
        <v>116</v>
      </c>
      <c r="B117" t="inlineStr">
        <is>
          <t>MAT-ACTUATOR-NACA-2-40</t>
        </is>
      </c>
      <c r="C117" t="inlineStr">
        <is>
          <t>ĐỘNG_CƠ_VÀ_CẢM_BIẾN</t>
        </is>
      </c>
      <c r="D117" t="inlineStr">
        <is>
          <t>Model: NACA 2-40   ( 220VAC, On/Off )</t>
        </is>
      </c>
      <c r="E117" t="inlineStr">
        <is>
          <t>Cái</t>
        </is>
      </c>
      <c r="F117" t="inlineStr"/>
      <c r="G117" t="inlineStr">
        <is>
          <t>VT van</t>
        </is>
      </c>
    </row>
    <row r="118">
      <c r="A118" t="n">
        <v>117</v>
      </c>
      <c r="B118" t="inlineStr">
        <is>
          <t>MAT-ACTUATOR-NTC-831</t>
        </is>
      </c>
      <c r="C118" t="inlineStr">
        <is>
          <t>ĐỘNG_CƠ_VÀ_CẢM_BIẾN</t>
        </is>
      </c>
      <c r="D118" t="inlineStr">
        <is>
          <t>Model: NTC 831</t>
        </is>
      </c>
      <c r="E118" t="inlineStr">
        <is>
          <t>Cái</t>
        </is>
      </c>
      <c r="F118" t="inlineStr"/>
      <c r="G118" t="inlineStr">
        <is>
          <t>VT van</t>
        </is>
      </c>
    </row>
    <row r="119">
      <c r="A119" t="n">
        <v>118</v>
      </c>
      <c r="B119" t="inlineStr">
        <is>
          <t>MAT-ACTUATOR-NACM-1-2-05</t>
        </is>
      </c>
      <c r="C119" t="inlineStr">
        <is>
          <t>ĐỘNG_CƠ_VÀ_CẢM_BIẾN</t>
        </is>
      </c>
      <c r="D119" t="inlineStr">
        <is>
          <t>Model: NACM 1.2-05  ( Modulating )</t>
        </is>
      </c>
      <c r="E119" t="inlineStr">
        <is>
          <t>Cái</t>
        </is>
      </c>
      <c r="F119" t="inlineStr"/>
      <c r="G119" t="inlineStr">
        <is>
          <t>VT van!R23C3</t>
        </is>
      </c>
    </row>
    <row r="120">
      <c r="A120" t="n">
        <v>119</v>
      </c>
      <c r="B120" t="inlineStr">
        <is>
          <t>MAT-ACTUATOR-NACM-1-1-10</t>
        </is>
      </c>
      <c r="C120" t="inlineStr">
        <is>
          <t>ĐỘNG_CƠ_VÀ_CẢM_BIẾN</t>
        </is>
      </c>
      <c r="D120" t="inlineStr">
        <is>
          <t>Model: NACM 1.1-10  ( Modulating )</t>
        </is>
      </c>
      <c r="E120" t="inlineStr">
        <is>
          <t>Cái</t>
        </is>
      </c>
      <c r="F120" t="inlineStr"/>
      <c r="G120" t="inlineStr">
        <is>
          <t>VT van!R24C3</t>
        </is>
      </c>
    </row>
    <row r="121">
      <c r="A121" t="n">
        <v>120</v>
      </c>
      <c r="B121" t="inlineStr">
        <is>
          <t>MAT-ACTUATOR-NACM-1-1-20</t>
        </is>
      </c>
      <c r="C121" t="inlineStr">
        <is>
          <t>ĐỘNG_CƠ_VÀ_CẢM_BIẾN</t>
        </is>
      </c>
      <c r="D121" t="inlineStr">
        <is>
          <t>Model: NACM 1.1-20  ( Modulating )</t>
        </is>
      </c>
      <c r="E121" t="inlineStr">
        <is>
          <t>Cái</t>
        </is>
      </c>
      <c r="F121" t="inlineStr"/>
      <c r="G121" t="inlineStr">
        <is>
          <t>VT van!R25C3</t>
        </is>
      </c>
    </row>
    <row r="122">
      <c r="A122" t="n">
        <v>121</v>
      </c>
      <c r="B122" t="inlineStr">
        <is>
          <t>MAT-ACTUATOR-NACM-1-1-40</t>
        </is>
      </c>
      <c r="C122" t="inlineStr">
        <is>
          <t>ĐỘNG_CƠ_VÀ_CẢM_BIẾN</t>
        </is>
      </c>
      <c r="D122" t="inlineStr">
        <is>
          <t>Model: NACM 1.1-40  ( Modulating )</t>
        </is>
      </c>
      <c r="E122" t="inlineStr">
        <is>
          <t>Cái</t>
        </is>
      </c>
      <c r="F122" t="inlineStr"/>
      <c r="G122" t="inlineStr">
        <is>
          <t>VT van!R26C3</t>
        </is>
      </c>
    </row>
    <row r="123">
      <c r="A123" t="n">
        <v>122</v>
      </c>
      <c r="B123" t="inlineStr">
        <is>
          <t>MAT-ACTUATOR-MODEL-NPG-1-DIEU-KHI</t>
        </is>
      </c>
      <c r="C123" t="inlineStr">
        <is>
          <t>ĐỘNG_CƠ_VÀ_CẢM_BIẾN</t>
        </is>
      </c>
      <c r="D123" t="inlineStr">
        <is>
          <t>Model: NPG-1 ( Điều khiển cửa gió theo % đóng mở )</t>
        </is>
      </c>
      <c r="E123" t="inlineStr">
        <is>
          <t>Cái</t>
        </is>
      </c>
      <c r="F123" t="inlineStr"/>
      <c r="G123" t="inlineStr">
        <is>
          <t>VT van!R28C3</t>
        </is>
      </c>
    </row>
    <row r="124">
      <c r="A124" t="n">
        <v>123</v>
      </c>
      <c r="B124" t="inlineStr">
        <is>
          <t>MAT-ACTUATOR-MODEL-NTC-843-DIEU-K</t>
        </is>
      </c>
      <c r="C124" t="inlineStr">
        <is>
          <t>ĐỘNG_CƠ_VÀ_CẢM_BIẾN</t>
        </is>
      </c>
      <c r="D124" t="inlineStr">
        <is>
          <t>Model: NTC-843 ( Điều khiển cửa gió theo nhiệt độ phòng )</t>
        </is>
      </c>
      <c r="E124" t="inlineStr">
        <is>
          <t>Cái</t>
        </is>
      </c>
      <c r="F124" t="inlineStr"/>
      <c r="G124" t="inlineStr">
        <is>
          <t>VT van!R29C3</t>
        </is>
      </c>
    </row>
    <row r="125">
      <c r="A125" t="n">
        <v>124</v>
      </c>
      <c r="B125" t="inlineStr">
        <is>
          <t>MAT-ACTUATOR-SAFA-1-05S</t>
        </is>
      </c>
      <c r="C125" t="inlineStr">
        <is>
          <t>ĐỘNG_CƠ_VÀ_CẢM_BIẾN</t>
        </is>
      </c>
      <c r="D125" t="inlineStr">
        <is>
          <t>SAFA - 1 - 05S ( 24VAC/DC ) - Không có cảm biến</t>
        </is>
      </c>
      <c r="E125" t="inlineStr">
        <is>
          <t>Cái</t>
        </is>
      </c>
      <c r="F125" t="inlineStr"/>
      <c r="G125" t="inlineStr">
        <is>
          <t>VT van!R31C3</t>
        </is>
      </c>
    </row>
    <row r="126">
      <c r="A126" t="n">
        <v>125</v>
      </c>
      <c r="B126" t="inlineStr">
        <is>
          <t>MAT-ACTUATOR-SAFA-1-08S</t>
        </is>
      </c>
      <c r="C126" t="inlineStr">
        <is>
          <t>ĐỘNG_CƠ_VÀ_CẢM_BIẾN</t>
        </is>
      </c>
      <c r="D126" t="inlineStr">
        <is>
          <t>SAFA - 1 - 08S ( 24VAC/DC )  - Không có cảm biến</t>
        </is>
      </c>
      <c r="E126" t="inlineStr">
        <is>
          <t>Cái</t>
        </is>
      </c>
      <c r="F126" t="inlineStr"/>
      <c r="G126" t="inlineStr">
        <is>
          <t>VT van!R32C3</t>
        </is>
      </c>
    </row>
    <row r="127">
      <c r="A127" t="n">
        <v>126</v>
      </c>
      <c r="B127" t="inlineStr">
        <is>
          <t>MAT-ACTUATOR-SAFA-2-05S</t>
        </is>
      </c>
      <c r="C127" t="inlineStr">
        <is>
          <t>ĐỘNG_CƠ_VÀ_CẢM_BIẾN</t>
        </is>
      </c>
      <c r="D127" t="inlineStr">
        <is>
          <t>SAFA - 2 - 05S ( 220VAC  )  - Không có cảm biến</t>
        </is>
      </c>
      <c r="E127" t="inlineStr">
        <is>
          <t>Cái</t>
        </is>
      </c>
      <c r="F127" t="inlineStr"/>
      <c r="G127" t="inlineStr">
        <is>
          <t>VT van!R33C3</t>
        </is>
      </c>
    </row>
    <row r="128">
      <c r="A128" t="n">
        <v>127</v>
      </c>
      <c r="B128" t="inlineStr">
        <is>
          <t>MAT-ACTUATOR-SAFA-2-08S</t>
        </is>
      </c>
      <c r="C128" t="inlineStr">
        <is>
          <t>ĐỘNG_CƠ_VÀ_CẢM_BIẾN</t>
        </is>
      </c>
      <c r="D128" t="inlineStr">
        <is>
          <t>SAFA - 2 - 08S ( 220VAC  )  - Không có cảm biến</t>
        </is>
      </c>
      <c r="E128" t="inlineStr">
        <is>
          <t>Cái</t>
        </is>
      </c>
      <c r="F128" t="inlineStr"/>
      <c r="G128" t="inlineStr">
        <is>
          <t>VT van!R34C3</t>
        </is>
      </c>
    </row>
    <row r="129">
      <c r="A129" t="n">
        <v>128</v>
      </c>
      <c r="B129" t="inlineStr">
        <is>
          <t>MAT-ACTUATOR-CAM-BIEN-NHIET-BANG-</t>
        </is>
      </c>
      <c r="C129" t="inlineStr">
        <is>
          <t>ĐỘNG_CƠ_VÀ_CẢM_BIẾN</t>
        </is>
      </c>
      <c r="D129" t="inlineStr">
        <is>
          <t>Cảm biến nhiệt bằng điện gắn với Motor dùng cho fire damper</t>
        </is>
      </c>
      <c r="E129" t="inlineStr">
        <is>
          <t>Cái</t>
        </is>
      </c>
      <c r="F129" t="inlineStr"/>
      <c r="G129" t="inlineStr">
        <is>
          <t>VT van!R35C3</t>
        </is>
      </c>
    </row>
    <row r="130">
      <c r="A130" t="n">
        <v>129</v>
      </c>
      <c r="B130" t="inlineStr">
        <is>
          <t>MAT-ACTUATOR-MODEL-B</t>
        </is>
      </c>
      <c r="C130" t="inlineStr">
        <is>
          <t>ĐỘNG_CƠ_VÀ_CẢM_BIẾN</t>
        </is>
      </c>
      <c r="D130" t="inlineStr">
        <is>
          <t>Model: B (165ºF) ( Loại nhỏ )</t>
        </is>
      </c>
      <c r="E130" t="inlineStr">
        <is>
          <t>Cái</t>
        </is>
      </c>
      <c r="F130" t="inlineStr"/>
      <c r="G130" t="inlineStr">
        <is>
          <t>VT van!R37C3</t>
        </is>
      </c>
    </row>
    <row r="131">
      <c r="A131" t="n">
        <v>130</v>
      </c>
      <c r="B131" t="inlineStr">
        <is>
          <t>MAT-ACTUATOR-MODEL-A</t>
        </is>
      </c>
      <c r="C131" t="inlineStr">
        <is>
          <t>ĐỘNG_CƠ_VÀ_CẢM_BIẾN</t>
        </is>
      </c>
      <c r="D131" t="inlineStr">
        <is>
          <t>Model: A (165ºF) ( Loại lớn )</t>
        </is>
      </c>
      <c r="E131" t="inlineStr">
        <is>
          <t>Cái</t>
        </is>
      </c>
      <c r="F131" t="inlineStr"/>
      <c r="G131" t="inlineStr">
        <is>
          <t>VT van!R38C3</t>
        </is>
      </c>
    </row>
    <row r="132">
      <c r="A132" t="n">
        <v>131</v>
      </c>
      <c r="B132" t="inlineStr">
        <is>
          <t>MAT-INSUL-BONG-THUY-TINH-KHONG-MAT-12</t>
        </is>
      </c>
      <c r="C132" t="inlineStr">
        <is>
          <t>VẬT_LIỆU_TIÊU_ÂM</t>
        </is>
      </c>
      <c r="D132" t="inlineStr">
        <is>
          <t>Bông thuỷ tinh không mặt bạc T12 D50 - Chiều dày 50mm, khổ rộng 1,2m dài 30m. Tổng 36m2/cuộn. Tỷ trọng 12kg/m3</t>
        </is>
      </c>
      <c r="E132" t="inlineStr">
        <is>
          <t>m2</t>
        </is>
      </c>
      <c r="F132" t="inlineStr"/>
      <c r="G132" t="inlineStr">
        <is>
          <t>VT tiêu âm!R12C2</t>
        </is>
      </c>
    </row>
    <row r="133">
      <c r="A133" t="n">
        <v>132</v>
      </c>
      <c r="B133" t="inlineStr">
        <is>
          <t>MAT-INSUL-BONG-THUY-TINH-CO-BAC-T12-13</t>
        </is>
      </c>
      <c r="C133" t="inlineStr">
        <is>
          <t>VẬT_LIỆU_TIÊU_ÂM</t>
        </is>
      </c>
      <c r="D133" t="inlineStr">
        <is>
          <t>Bông thuỷ tinh có bạc T12 D50 - Chiều dày 50mm, khổ rộng 1,2m dài 30m. Tổng 36m2/cuộn. Tỷ trọng 12kg/m3</t>
        </is>
      </c>
      <c r="E133" t="inlineStr">
        <is>
          <t>m2</t>
        </is>
      </c>
      <c r="F133" t="inlineStr"/>
      <c r="G133" t="inlineStr">
        <is>
          <t>VT tiêu âm!R13C2</t>
        </is>
      </c>
    </row>
    <row r="134">
      <c r="A134" t="n">
        <v>133</v>
      </c>
      <c r="B134" t="inlineStr">
        <is>
          <t>MAT-INSUL-BONG-THUY-TINH-KHONG-MAT-14</t>
        </is>
      </c>
      <c r="C134" t="inlineStr">
        <is>
          <t>VẬT_LIỆU_TIÊU_ÂM</t>
        </is>
      </c>
      <c r="D134" t="inlineStr">
        <is>
          <t>Bông thuỷ tinh không mặt bạc T24 D50 - Chiều dày 50mm, khổ rộng 1,2m dài 20m. Tổng 24m2/cuộn. Tỷ trọng 24kg/m3</t>
        </is>
      </c>
      <c r="E134" t="inlineStr">
        <is>
          <t>m2</t>
        </is>
      </c>
      <c r="F134" t="inlineStr"/>
      <c r="G134" t="inlineStr">
        <is>
          <t>VT tiêu âm!R14C2</t>
        </is>
      </c>
    </row>
    <row r="135">
      <c r="A135" t="n">
        <v>134</v>
      </c>
      <c r="B135" t="inlineStr">
        <is>
          <t>MAT-INSUL-BONG-THUY-TINH-CO-BAC-T24-15</t>
        </is>
      </c>
      <c r="C135" t="inlineStr">
        <is>
          <t>VẬT_LIỆU_TIÊU_ÂM</t>
        </is>
      </c>
      <c r="D135" t="inlineStr">
        <is>
          <t>Bông thuỷ tinh có bạc T24 D50 - Chiều dày 50mm, khổ rộng 1,2m dài 20m. Tổng 24m2/cuộn. Tỷ trọng 24kg/m3</t>
        </is>
      </c>
      <c r="E135" t="inlineStr">
        <is>
          <t>m2</t>
        </is>
      </c>
      <c r="F135" t="inlineStr"/>
      <c r="G135" t="inlineStr">
        <is>
          <t>VT tiêu âm!R15C2</t>
        </is>
      </c>
    </row>
    <row r="136">
      <c r="A136" t="n">
        <v>135</v>
      </c>
      <c r="B136" t="inlineStr">
        <is>
          <t>MAT-INSUL-BONG-THUY-TINH-KHONG-MAT-16</t>
        </is>
      </c>
      <c r="C136" t="inlineStr">
        <is>
          <t>VẬT_LIỆU_TIÊU_ÂM</t>
        </is>
      </c>
      <c r="D136" t="inlineStr">
        <is>
          <t>Bông thuỷ tinh không mặt bạc T32 D50 - Chiều dày 50mm, khổ rộng 1,2m dài 15m. Tổng 18m2/cuộn. Tỷ trọng 32kg/m3</t>
        </is>
      </c>
      <c r="E136" t="inlineStr">
        <is>
          <t>m2</t>
        </is>
      </c>
      <c r="F136" t="inlineStr"/>
      <c r="G136" t="inlineStr">
        <is>
          <t>VT tiêu âm!R16C2</t>
        </is>
      </c>
    </row>
    <row r="137">
      <c r="A137" t="n">
        <v>136</v>
      </c>
      <c r="B137" t="inlineStr">
        <is>
          <t>MAT-INSUL-BONG-THUY-TINH-CO-MAT-BAC-17</t>
        </is>
      </c>
      <c r="C137" t="inlineStr">
        <is>
          <t>VẬT_LIỆU_TIÊU_ÂM</t>
        </is>
      </c>
      <c r="D137" t="inlineStr">
        <is>
          <t>Bông thuỷ tinh có mặt bạc T32 D50 - Chiều dày 50mm, khổ rộng 1,2m dài 15m. Tổng 18m2/cuộn. Tỷ trọng 32kg/m3</t>
        </is>
      </c>
      <c r="E137" t="inlineStr">
        <is>
          <t>m2</t>
        </is>
      </c>
      <c r="F137" t="inlineStr"/>
      <c r="G137" t="inlineStr">
        <is>
          <t>VT tiêu âm!R17C2</t>
        </is>
      </c>
    </row>
    <row r="138">
      <c r="A138" t="n">
        <v>137</v>
      </c>
      <c r="B138" t="inlineStr">
        <is>
          <t>MAT-INSUL-BONG-KHOANG-TAM-T40-19</t>
        </is>
      </c>
      <c r="C138" t="inlineStr">
        <is>
          <t>VẬT_LIỆU_TIÊU_ÂM</t>
        </is>
      </c>
      <c r="D138" t="inlineStr">
        <is>
          <t>Bông khoáng tấm T40 - Kích thước tấm: 50 x 600 x 1200mm - 1 Kiện gồm 06 tấm, tỷ trọng 40kg/m3</t>
        </is>
      </c>
      <c r="E138" t="inlineStr">
        <is>
          <t>kiện</t>
        </is>
      </c>
      <c r="F138" t="inlineStr"/>
      <c r="G138" t="inlineStr">
        <is>
          <t>VT tiêu âm!R19C2</t>
        </is>
      </c>
    </row>
    <row r="139">
      <c r="A139" t="n">
        <v>138</v>
      </c>
      <c r="B139" t="inlineStr">
        <is>
          <t>MAT-INSUL-BONG-KHOANG-TAM-T50-20</t>
        </is>
      </c>
      <c r="C139" t="inlineStr">
        <is>
          <t>VẬT_LIỆU_TIÊU_ÂM</t>
        </is>
      </c>
      <c r="D139" t="inlineStr">
        <is>
          <t>Bông khoáng tấm T50 - Kích thước tấm: 50 x 600 x 1200mm - 1 Kiện gồm 06 tấm, tỷ trọng 50kg/m3</t>
        </is>
      </c>
      <c r="E139" t="inlineStr">
        <is>
          <t>kiện</t>
        </is>
      </c>
      <c r="F139" t="inlineStr"/>
      <c r="G139" t="inlineStr">
        <is>
          <t>VT tiêu âm!R20C2</t>
        </is>
      </c>
    </row>
    <row r="140">
      <c r="A140" t="n">
        <v>139</v>
      </c>
      <c r="B140" t="inlineStr">
        <is>
          <t>MAT-INSUL-BONG-KHOANG-T60-D50-21</t>
        </is>
      </c>
      <c r="C140" t="inlineStr">
        <is>
          <t>VẬT_LIỆU_TIÊU_ÂM</t>
        </is>
      </c>
      <c r="D140" t="inlineStr">
        <is>
          <t>Bông khoáng T60 D50 - Kích thước tấm: 50 x 600 x 1200mm - 1 Kiện gồm 06 tấm, tỷ trọng 60kg/m3</t>
        </is>
      </c>
      <c r="E140" t="inlineStr">
        <is>
          <t>kiện</t>
        </is>
      </c>
      <c r="F140" t="inlineStr"/>
      <c r="G140" t="inlineStr">
        <is>
          <t>VT tiêu âm!R21C2</t>
        </is>
      </c>
    </row>
    <row r="141">
      <c r="A141" t="n">
        <v>140</v>
      </c>
      <c r="B141" t="inlineStr">
        <is>
          <t>MAT-INSUL-BONG-KHOANG-T80-D50-22</t>
        </is>
      </c>
      <c r="C141" t="inlineStr">
        <is>
          <t>VẬT_LIỆU_TIÊU_ÂM</t>
        </is>
      </c>
      <c r="D141" t="inlineStr">
        <is>
          <t>Bông khoáng T80 D50 - Kích thước tấm: 50 x 600 x 1200mm - 1 Kiện gồm 06 tấm, tỷ trọng 80kg/m3</t>
        </is>
      </c>
      <c r="E141" t="inlineStr">
        <is>
          <t>kiện</t>
        </is>
      </c>
      <c r="F141" t="inlineStr"/>
      <c r="G141" t="inlineStr">
        <is>
          <t>VT tiêu âm!R22C2</t>
        </is>
      </c>
    </row>
    <row r="142">
      <c r="A142" t="n">
        <v>141</v>
      </c>
      <c r="B142" t="inlineStr">
        <is>
          <t>MAT-INSUL-BONG-KHOANG-T100-D50-23</t>
        </is>
      </c>
      <c r="C142" t="inlineStr">
        <is>
          <t>VẬT_LIỆU_TIÊU_ÂM</t>
        </is>
      </c>
      <c r="D142" t="inlineStr">
        <is>
          <t>Bông khoáng T100 D50 - Kích thước tấm: 100 x 600 x 1200mm - 1 Kiện gồm 03 tấm, tỷ trọng 100kg/m3</t>
        </is>
      </c>
      <c r="E142" t="inlineStr">
        <is>
          <t>kiện</t>
        </is>
      </c>
      <c r="F142" t="inlineStr"/>
      <c r="G142" t="inlineStr">
        <is>
          <t>VT tiêu âm!R23C2</t>
        </is>
      </c>
    </row>
    <row r="143">
      <c r="A143" t="n">
        <v>142</v>
      </c>
      <c r="B143" t="inlineStr">
        <is>
          <t>MAT-INSUL-BONG-GOM-BAO-610-X7200-X-25</t>
        </is>
      </c>
      <c r="C143" t="inlineStr">
        <is>
          <t>VẬT_LIỆU_TIÊU_ÂM</t>
        </is>
      </c>
      <c r="D143" t="inlineStr">
        <is>
          <t>Bông gốm bao 610 x7200 x 25mm - Bông gốm dạng bao dài 7,2m, rộng 0,61 dày 25mm , chịu nhiệt 1000 độ</t>
        </is>
      </c>
      <c r="E143" t="inlineStr">
        <is>
          <t>bao</t>
        </is>
      </c>
      <c r="F143" t="inlineStr"/>
      <c r="G143" t="inlineStr">
        <is>
          <t>VT tiêu âm!R25C2</t>
        </is>
      </c>
    </row>
    <row r="144">
      <c r="A144" t="n">
        <v>143</v>
      </c>
      <c r="B144" t="inlineStr">
        <is>
          <t>MAT-INSUL-BONG-GOM-HOP-610-X7200-X-26</t>
        </is>
      </c>
      <c r="C144" t="inlineStr">
        <is>
          <t>VẬT_LIỆU_TIÊU_ÂM</t>
        </is>
      </c>
      <c r="D144" t="inlineStr">
        <is>
          <t>Bông gốm hộp  610 x7200 x 25mm T96 - Bông gốm dạng bao dài 7,2m, rộng 0,61 dày 25mm , chịu nhiệt 1260 độ . 6P</t>
        </is>
      </c>
      <c r="E144" t="inlineStr">
        <is>
          <t>hộp</t>
        </is>
      </c>
      <c r="F144" t="inlineStr"/>
      <c r="G144" t="inlineStr">
        <is>
          <t>VT tiêu âm!R26C2</t>
        </is>
      </c>
    </row>
    <row r="145">
      <c r="A145" t="n">
        <v>144</v>
      </c>
      <c r="B145" t="inlineStr">
        <is>
          <t>MAT-INSUL-BONG-GOM-HOP-610-X7200-X-27</t>
        </is>
      </c>
      <c r="C145" t="inlineStr">
        <is>
          <t>VẬT_LIỆU_TIÊU_ÂM</t>
        </is>
      </c>
      <c r="D145" t="inlineStr">
        <is>
          <t>Bông gốm hộp  610 x7200 x 25mm T128 - Bông gốm dạng bao dài 7,2m, rộng 0,61 dày 25mm , chịu nhiệt 1260 độ . 8P</t>
        </is>
      </c>
      <c r="E145" t="inlineStr">
        <is>
          <t>hộp</t>
        </is>
      </c>
      <c r="F145" t="inlineStr"/>
      <c r="G145" t="inlineStr">
        <is>
          <t>VT tiêu âm!R27C2</t>
        </is>
      </c>
    </row>
    <row r="146">
      <c r="A146" t="n">
        <v>145</v>
      </c>
      <c r="B146" t="inlineStr">
        <is>
          <t>MAT-INSUL-BONG-GOM-HOP-610-X7200-X-28</t>
        </is>
      </c>
      <c r="C146" t="inlineStr">
        <is>
          <t>VẬT_LIỆU_TIÊU_ÂM</t>
        </is>
      </c>
      <c r="D146" t="inlineStr">
        <is>
          <t>Bông gốm hộp  610 x7200 x 25mm T128 - Bông gốm dạng bao dài 7,2m, rộng 0,61 dày 25mm , chịu nhiệt 1430 độ</t>
        </is>
      </c>
      <c r="E146" t="inlineStr">
        <is>
          <t>hộp</t>
        </is>
      </c>
      <c r="F146" t="inlineStr"/>
      <c r="G146" t="inlineStr">
        <is>
          <t>VT tiêu âm!R28C2</t>
        </is>
      </c>
    </row>
    <row r="147">
      <c r="A147" t="n">
        <v>146</v>
      </c>
      <c r="B147" t="inlineStr">
        <is>
          <t>MAT-INSUL-BONG-GOM-DANG-TAM-600-X-9-29</t>
        </is>
      </c>
      <c r="C147" t="inlineStr">
        <is>
          <t>VẬT_LIỆU_TIÊU_ÂM</t>
        </is>
      </c>
      <c r="D147" t="inlineStr">
        <is>
          <t>Bông gốm dạng tấm 600 x 900 T340 - Hộp D25 = 4 tấm  - Hộp D50 = 2 tấm</t>
        </is>
      </c>
      <c r="E147" t="inlineStr">
        <is>
          <t>hộp</t>
        </is>
      </c>
      <c r="F147" t="inlineStr"/>
      <c r="G147" t="inlineStr">
        <is>
          <t>VT tiêu âm!R29C2</t>
        </is>
      </c>
    </row>
    <row r="148">
      <c r="A148" t="n">
        <v>147</v>
      </c>
      <c r="B148" t="inlineStr">
        <is>
          <t>MAT-INSUL-BONG-GOM-DANG-ROI-30</t>
        </is>
      </c>
      <c r="C148" t="inlineStr">
        <is>
          <t>VẬT_LIỆU_TIÊU_ÂM</t>
        </is>
      </c>
      <c r="D148" t="inlineStr">
        <is>
          <t>Bông gốm dạng rời</t>
        </is>
      </c>
      <c r="E148" t="inlineStr">
        <is>
          <t>hộp</t>
        </is>
      </c>
      <c r="F148" t="inlineStr"/>
      <c r="G148" t="inlineStr">
        <is>
          <t>VT tiêu âm!R30C2</t>
        </is>
      </c>
    </row>
    <row r="149">
      <c r="A149" t="n">
        <v>148</v>
      </c>
      <c r="B149" t="inlineStr">
        <is>
          <t>MAT-INSUL-MUT-TRUNG-3CM-KICH-THUOC-32</t>
        </is>
      </c>
      <c r="C149" t="inlineStr">
        <is>
          <t>VẬT_LIỆU_TIÊU_ÂM</t>
        </is>
      </c>
      <c r="D149" t="inlineStr">
        <is>
          <t>Mút trứng 3cm , kích thước tấm 1,6 x 2m</t>
        </is>
      </c>
      <c r="E149" t="inlineStr">
        <is>
          <t>tấm</t>
        </is>
      </c>
      <c r="F149" t="inlineStr"/>
      <c r="G149" t="inlineStr">
        <is>
          <t>VT tiêu âm!R32C2</t>
        </is>
      </c>
    </row>
    <row r="150">
      <c r="A150" t="n">
        <v>149</v>
      </c>
      <c r="B150" t="inlineStr">
        <is>
          <t>MAT-INSUL-MUT-TRUNG-5CM-KICH-THUOC-33</t>
        </is>
      </c>
      <c r="C150" t="inlineStr">
        <is>
          <t>VẬT_LIỆU_TIÊU_ÂM</t>
        </is>
      </c>
      <c r="D150" t="inlineStr">
        <is>
          <t>Mút trứng 5cm , kích thước tấm 1,6 x 2m</t>
        </is>
      </c>
      <c r="E150" t="inlineStr">
        <is>
          <t>tấm</t>
        </is>
      </c>
      <c r="F150" t="inlineStr"/>
      <c r="G150" t="inlineStr">
        <is>
          <t>VT tiêu âm!R33C2</t>
        </is>
      </c>
    </row>
    <row r="151">
      <c r="A151" t="n">
        <v>150</v>
      </c>
      <c r="B151" t="inlineStr">
        <is>
          <t>MAT-INSUL-MUT-GAI-5CM-KICH-THUOC-TA-34</t>
        </is>
      </c>
      <c r="C151" t="inlineStr">
        <is>
          <t>VẬT_LIỆU_TIÊU_ÂM</t>
        </is>
      </c>
      <c r="D151" t="inlineStr">
        <is>
          <t>Mút gai 5cm , kích thước tấm 1 x 1m</t>
        </is>
      </c>
      <c r="E151" t="inlineStr">
        <is>
          <t>tấm</t>
        </is>
      </c>
      <c r="F151" t="inlineStr"/>
      <c r="G151" t="inlineStr">
        <is>
          <t>VT tiêu âm!R34C2</t>
        </is>
      </c>
    </row>
    <row r="152">
      <c r="A152" t="n">
        <v>151</v>
      </c>
      <c r="B152" t="inlineStr">
        <is>
          <t>MAT-INSUL-XOP-XPS-DAY-25MM-KICH-THU-35</t>
        </is>
      </c>
      <c r="C152" t="inlineStr">
        <is>
          <t>VẬT_LIỆU_TIÊU_ÂM</t>
        </is>
      </c>
      <c r="D152" t="inlineStr">
        <is>
          <t>Xốp XPS . Dày 25mm kích thước tấm 600 x 1800</t>
        </is>
      </c>
      <c r="E152" t="inlineStr">
        <is>
          <t>m2</t>
        </is>
      </c>
      <c r="F152" t="inlineStr"/>
      <c r="G152" t="inlineStr">
        <is>
          <t>VT tiêu âm!R35C2</t>
        </is>
      </c>
    </row>
    <row r="153">
      <c r="A153" t="n">
        <v>152</v>
      </c>
      <c r="B153" t="inlineStr">
        <is>
          <t>MAT-INSUL-VAI-THUY-TINH-36</t>
        </is>
      </c>
      <c r="C153" t="inlineStr">
        <is>
          <t>VẬT_LIỆU_TIÊU_ÂM</t>
        </is>
      </c>
      <c r="D153" t="inlineStr">
        <is>
          <t>Vải thủy tinh</t>
        </is>
      </c>
      <c r="E153" t="inlineStr">
        <is>
          <t>kg</t>
        </is>
      </c>
      <c r="F153" t="inlineStr"/>
      <c r="G153" t="inlineStr">
        <is>
          <t>VT tiêu âm!R36C2</t>
        </is>
      </c>
    </row>
    <row r="154">
      <c r="A154" t="n">
        <v>153</v>
      </c>
      <c r="B154" t="inlineStr">
        <is>
          <t>MAT-INSUL-TON-LO-D6-38</t>
        </is>
      </c>
      <c r="C154" t="inlineStr">
        <is>
          <t>VẬT_LIỆU_TIÊU_ÂM</t>
        </is>
      </c>
      <c r="D154" t="inlineStr">
        <is>
          <t>Tôn lỗ D6</t>
        </is>
      </c>
      <c r="E154" t="inlineStr">
        <is>
          <t>tấm</t>
        </is>
      </c>
      <c r="F154" t="inlineStr"/>
      <c r="G154" t="inlineStr">
        <is>
          <t>VT tiêu âm!R38C2</t>
        </is>
      </c>
    </row>
    <row r="155">
      <c r="A155" t="n">
        <v>154</v>
      </c>
      <c r="B155" t="inlineStr">
        <is>
          <t>MAT-INSUL-TON-LO-D10-40</t>
        </is>
      </c>
      <c r="C155" t="inlineStr">
        <is>
          <t>VẬT_LIỆU_TIÊU_ÂM</t>
        </is>
      </c>
      <c r="D155" t="inlineStr">
        <is>
          <t>Tôn lỗ D10</t>
        </is>
      </c>
      <c r="E155" t="inlineStr">
        <is>
          <t>tấm</t>
        </is>
      </c>
      <c r="F155" t="inlineStr"/>
      <c r="G155" t="inlineStr">
        <is>
          <t>VT tiêu âm!R40C2</t>
        </is>
      </c>
    </row>
    <row r="156">
      <c r="A156" t="n">
        <v>155</v>
      </c>
      <c r="B156" t="inlineStr">
        <is>
          <t>CANVAS_FIRE_RESISTANT</t>
        </is>
      </c>
      <c r="C156" t="inlineStr">
        <is>
          <t>VẬT_TƯ_BẠT</t>
        </is>
      </c>
      <c r="D156" t="inlineStr">
        <is>
          <t>Cuộn vải bạt bọc cách nhiệt/chống cháy</t>
        </is>
      </c>
      <c r="E156" t="inlineStr">
        <is>
          <t>m2</t>
        </is>
      </c>
      <c r="F156" t="inlineStr"/>
      <c r="G156" t="inlineStr">
        <is>
          <t>BG canvas, ventcap</t>
        </is>
      </c>
    </row>
    <row r="157">
      <c r="A157" t="n">
        <v>156</v>
      </c>
      <c r="B157" t="inlineStr">
        <is>
          <t>ROCKWOOL_50MM_50KG</t>
        </is>
      </c>
      <c r="C157" t="inlineStr">
        <is>
          <t>VẬT_LIỆU_TIÊU_ÂM</t>
        </is>
      </c>
      <c r="D157" t="inlineStr">
        <is>
          <t>Bông Rockwool tỷ trọng 50kg/m3 dày 50mm</t>
        </is>
      </c>
      <c r="E157" t="inlineStr">
        <is>
          <t>m2</t>
        </is>
      </c>
      <c r="F157" t="inlineStr"/>
      <c r="G157" t="inlineStr">
        <is>
          <t>BG TIEU AM</t>
        </is>
      </c>
    </row>
    <row r="158">
      <c r="A158" t="n">
        <v>157</v>
      </c>
      <c r="B158" t="inlineStr">
        <is>
          <t>GLASS_CLOTH</t>
        </is>
      </c>
      <c r="C158" t="inlineStr">
        <is>
          <t>VẬT_LIỆU_TIÊU_ÂM</t>
        </is>
      </c>
      <c r="D158" t="inlineStr">
        <is>
          <t>Vải thủy tinh bọc tiêu âm</t>
        </is>
      </c>
      <c r="E158" t="inlineStr">
        <is>
          <t>m2</t>
        </is>
      </c>
      <c r="F158" t="inlineStr"/>
      <c r="G158" t="inlineStr">
        <is>
          <t>BG TIEU AM</t>
        </is>
      </c>
    </row>
    <row r="159">
      <c r="A159" t="n">
        <v>158</v>
      </c>
      <c r="B159" t="inlineStr">
        <is>
          <t>PERFORATED_SHEET</t>
        </is>
      </c>
      <c r="C159" t="inlineStr">
        <is>
          <t>VẬT_LIỆU_TIÊU_ÂM</t>
        </is>
      </c>
      <c r="D159" t="inlineStr">
        <is>
          <t>Tôn đục lỗ tiêu âm</t>
        </is>
      </c>
      <c r="E159" t="inlineStr">
        <is>
          <t>m2</t>
        </is>
      </c>
      <c r="F159" t="inlineStr"/>
      <c r="G159" t="inlineStr">
        <is>
          <t>BG TIEU AM</t>
        </is>
      </c>
    </row>
    <row r="160">
      <c r="A160" t="n">
        <v>159</v>
      </c>
      <c r="B160" t="inlineStr">
        <is>
          <t>SUPERLON_19MM</t>
        </is>
      </c>
      <c r="C160" t="inlineStr">
        <is>
          <t>VẬT_LIỆU_BẢO_ÔN</t>
        </is>
      </c>
      <c r="D160" t="inlineStr">
        <is>
          <t>Bảo ôn Superlon dạng tấm dày 19mm</t>
        </is>
      </c>
      <c r="E160" t="inlineStr">
        <is>
          <t>m2</t>
        </is>
      </c>
      <c r="F160" t="inlineStr"/>
      <c r="G160" t="inlineStr">
        <is>
          <t>bảo ôn</t>
        </is>
      </c>
    </row>
    <row r="161">
      <c r="A161" t="n">
        <v>160</v>
      </c>
      <c r="B161" t="inlineStr">
        <is>
          <t>ECCENTRIC_SHAFT</t>
        </is>
      </c>
      <c r="C161" t="inlineStr">
        <is>
          <t>PHỤ_KIỆN_VAN</t>
        </is>
      </c>
      <c r="D161" t="inlineStr">
        <is>
          <t>Cơ cấu lệch tâm / Lò xo đóng mở (NRD)</t>
        </is>
      </c>
      <c r="E161" t="inlineStr">
        <is>
          <t>Bộ</t>
        </is>
      </c>
      <c r="F161" t="inlineStr"/>
      <c r="G161" t="inlineStr">
        <is>
          <t>BG VAN CU</t>
        </is>
      </c>
    </row>
    <row r="162">
      <c r="A162" t="n">
        <v>161</v>
      </c>
      <c r="B162" t="inlineStr">
        <is>
          <t>FLEX_DUCT_D100_NON_INSUL</t>
        </is>
      </c>
      <c r="C162" t="inlineStr">
        <is>
          <t>ỐNG_GIÓ_MỀM</t>
        </is>
      </c>
      <c r="D162" t="inlineStr">
        <is>
          <t>ống mềm D100 không bảo ôn</t>
        </is>
      </c>
      <c r="E162" t="inlineStr">
        <is>
          <t>ống</t>
        </is>
      </c>
      <c r="F162" t="inlineStr"/>
      <c r="G162" t="inlineStr">
        <is>
          <t>bảo ôn</t>
        </is>
      </c>
    </row>
    <row r="163">
      <c r="A163" t="n">
        <v>162</v>
      </c>
      <c r="B163" t="inlineStr">
        <is>
          <t>FLEX_DUCT_D150_NON_INSUL</t>
        </is>
      </c>
      <c r="C163" t="inlineStr">
        <is>
          <t>ỐNG_GIÓ_MỀM</t>
        </is>
      </c>
      <c r="D163" t="inlineStr">
        <is>
          <t>ống mềm D150 không bảo ôn</t>
        </is>
      </c>
      <c r="E163" t="inlineStr">
        <is>
          <t>ống</t>
        </is>
      </c>
      <c r="F163" t="inlineStr"/>
      <c r="G163" t="inlineStr">
        <is>
          <t>bảo ôn</t>
        </is>
      </c>
    </row>
    <row r="164">
      <c r="A164" t="n">
        <v>163</v>
      </c>
      <c r="B164" t="inlineStr">
        <is>
          <t>FLEX_DUCT_D200_NON_INSUL</t>
        </is>
      </c>
      <c r="C164" t="inlineStr">
        <is>
          <t>ỐNG_GIÓ_MỀM</t>
        </is>
      </c>
      <c r="D164" t="inlineStr">
        <is>
          <t>ống mềm D200 không bảo ôn</t>
        </is>
      </c>
      <c r="E164" t="inlineStr">
        <is>
          <t>ống</t>
        </is>
      </c>
      <c r="F164" t="inlineStr"/>
      <c r="G164" t="inlineStr">
        <is>
          <t>bảo ôn</t>
        </is>
      </c>
    </row>
    <row r="165">
      <c r="A165" t="n">
        <v>164</v>
      </c>
      <c r="B165" t="inlineStr">
        <is>
          <t>FLEX_DUCT_D250_NON_INSUL</t>
        </is>
      </c>
      <c r="C165" t="inlineStr">
        <is>
          <t>ỐNG_GIÓ_MỀM</t>
        </is>
      </c>
      <c r="D165" t="inlineStr">
        <is>
          <t>ống mềm D250 không bảo ôn</t>
        </is>
      </c>
      <c r="E165" t="inlineStr">
        <is>
          <t>ống</t>
        </is>
      </c>
      <c r="F165" t="inlineStr"/>
      <c r="G165" t="inlineStr">
        <is>
          <t>bảo ôn</t>
        </is>
      </c>
    </row>
    <row r="166">
      <c r="A166" t="n">
        <v>165</v>
      </c>
      <c r="B166" t="inlineStr">
        <is>
          <t>FLEX_DUCT_D300_NON_INSUL</t>
        </is>
      </c>
      <c r="C166" t="inlineStr">
        <is>
          <t>ỐNG_GIÓ_MỀM</t>
        </is>
      </c>
      <c r="D166" t="inlineStr">
        <is>
          <t>ống mềm D300 không bảo ôn</t>
        </is>
      </c>
      <c r="E166" t="inlineStr">
        <is>
          <t>ống</t>
        </is>
      </c>
      <c r="F166" t="inlineStr"/>
      <c r="G166" t="inlineStr">
        <is>
          <t>bảo ôn</t>
        </is>
      </c>
    </row>
    <row r="167">
      <c r="A167" t="n">
        <v>166</v>
      </c>
      <c r="B167" t="inlineStr">
        <is>
          <t>FLEX_DUCT_D350_NON_INSUL</t>
        </is>
      </c>
      <c r="C167" t="inlineStr">
        <is>
          <t>ỐNG_GIÓ_MỀM</t>
        </is>
      </c>
      <c r="D167" t="inlineStr">
        <is>
          <t>ống mềm D350 không bảo ôn</t>
        </is>
      </c>
      <c r="E167" t="inlineStr">
        <is>
          <t>ống</t>
        </is>
      </c>
      <c r="F167" t="inlineStr"/>
      <c r="G167" t="inlineStr">
        <is>
          <t>bảo ôn</t>
        </is>
      </c>
    </row>
    <row r="168">
      <c r="A168" t="n">
        <v>167</v>
      </c>
      <c r="B168" t="inlineStr">
        <is>
          <t>FLEX_DUCT_D100_INSUL</t>
        </is>
      </c>
      <c r="C168" t="inlineStr">
        <is>
          <t>ỐNG_GIÓ_MỀM</t>
        </is>
      </c>
      <c r="D168" t="inlineStr">
        <is>
          <t>ống mềm D100 có bảo ôn</t>
        </is>
      </c>
      <c r="E168" t="inlineStr">
        <is>
          <t>ống</t>
        </is>
      </c>
      <c r="F168" t="inlineStr"/>
      <c r="G168" t="inlineStr">
        <is>
          <t>bảo ôn</t>
        </is>
      </c>
    </row>
    <row r="169">
      <c r="A169" t="n">
        <v>168</v>
      </c>
      <c r="B169" t="inlineStr">
        <is>
          <t>FLEX_DUCT_D150_INSUL</t>
        </is>
      </c>
      <c r="C169" t="inlineStr">
        <is>
          <t>ỐNG_GIÓ_MỀM</t>
        </is>
      </c>
      <c r="D169" t="inlineStr">
        <is>
          <t>ống mềm D150 có bảo ôn</t>
        </is>
      </c>
      <c r="E169" t="inlineStr">
        <is>
          <t>ống</t>
        </is>
      </c>
      <c r="F169" t="inlineStr"/>
      <c r="G169" t="inlineStr">
        <is>
          <t>bảo ôn</t>
        </is>
      </c>
    </row>
    <row r="170">
      <c r="A170" t="n">
        <v>169</v>
      </c>
      <c r="B170" t="inlineStr">
        <is>
          <t>FLEX_DUCT_D200_INSUL</t>
        </is>
      </c>
      <c r="C170" t="inlineStr">
        <is>
          <t>ỐNG_GIÓ_MỀM</t>
        </is>
      </c>
      <c r="D170" t="inlineStr">
        <is>
          <t>ống mềm D200 có bảo ôn</t>
        </is>
      </c>
      <c r="E170" t="inlineStr">
        <is>
          <t>ống</t>
        </is>
      </c>
      <c r="F170" t="inlineStr"/>
      <c r="G170" t="inlineStr">
        <is>
          <t>bảo ôn</t>
        </is>
      </c>
    </row>
    <row r="171">
      <c r="A171" t="n">
        <v>170</v>
      </c>
      <c r="B171" t="inlineStr">
        <is>
          <t>FLEX_DUCT_D250_INSUL</t>
        </is>
      </c>
      <c r="C171" t="inlineStr">
        <is>
          <t>ỐNG_GIÓ_MỀM</t>
        </is>
      </c>
      <c r="D171" t="inlineStr">
        <is>
          <t>ống mềm D250 có bảo ôn</t>
        </is>
      </c>
      <c r="E171" t="inlineStr">
        <is>
          <t>ống</t>
        </is>
      </c>
      <c r="F171" t="inlineStr"/>
      <c r="G171" t="inlineStr">
        <is>
          <t>bảo ôn</t>
        </is>
      </c>
    </row>
    <row r="172">
      <c r="A172" t="n">
        <v>171</v>
      </c>
      <c r="B172" t="inlineStr">
        <is>
          <t>FLEX_DUCT_D300_INSUL</t>
        </is>
      </c>
      <c r="C172" t="inlineStr">
        <is>
          <t>ỐNG_GIÓ_MỀM</t>
        </is>
      </c>
      <c r="D172" t="inlineStr">
        <is>
          <t>ống mềm D300 có bảo ôn</t>
        </is>
      </c>
      <c r="E172" t="inlineStr">
        <is>
          <t>ống</t>
        </is>
      </c>
      <c r="F172" t="inlineStr"/>
      <c r="G172" t="inlineStr">
        <is>
          <t>bảo ôn</t>
        </is>
      </c>
    </row>
    <row r="173">
      <c r="A173" t="n">
        <v>172</v>
      </c>
      <c r="B173" t="inlineStr">
        <is>
          <t>FLEX_DUCT_D350_INSUL</t>
        </is>
      </c>
      <c r="C173" t="inlineStr">
        <is>
          <t>ỐNG_GIÓ_MỀM</t>
        </is>
      </c>
      <c r="D173" t="inlineStr">
        <is>
          <t>ống mềm D350 có bảo ôn</t>
        </is>
      </c>
      <c r="E173" t="inlineStr">
        <is>
          <t>ống</t>
        </is>
      </c>
      <c r="F173" t="inlineStr"/>
      <c r="G173" t="inlineStr">
        <is>
          <t>bảo ôn</t>
        </is>
      </c>
    </row>
    <row r="174">
      <c r="A174" t="n">
        <v>173</v>
      </c>
      <c r="B174" t="inlineStr">
        <is>
          <t>MAT-ACTUATOR-NACM-1.2-05</t>
        </is>
      </c>
      <c r="C174" t="inlineStr">
        <is>
          <t>ĐỘNG_CƠ_VÀ_CẢM_BIẾN</t>
        </is>
      </c>
      <c r="D174" t="inlineStr">
        <is>
          <t>Model: NACM 1.2-05  ( Modulating )</t>
        </is>
      </c>
      <c r="E174" t="inlineStr">
        <is>
          <t>Cái</t>
        </is>
      </c>
      <c r="F174" t="inlineStr"/>
      <c r="G174" t="inlineStr">
        <is>
          <t>VT van</t>
        </is>
      </c>
    </row>
    <row r="175">
      <c r="A175" t="n">
        <v>174</v>
      </c>
      <c r="B175" t="inlineStr">
        <is>
          <t>MAT-ACTUATOR-NACM-1.1-10</t>
        </is>
      </c>
      <c r="C175" t="inlineStr">
        <is>
          <t>ĐỘNG_CƠ_VÀ_CẢM_BIẾN</t>
        </is>
      </c>
      <c r="D175" t="inlineStr">
        <is>
          <t>Model: NACM 1.1-10  ( Modulating )</t>
        </is>
      </c>
      <c r="E175" t="inlineStr">
        <is>
          <t>Cái</t>
        </is>
      </c>
      <c r="F175" t="inlineStr"/>
      <c r="G175" t="inlineStr">
        <is>
          <t>VT van</t>
        </is>
      </c>
    </row>
    <row r="176">
      <c r="A176" t="n">
        <v>175</v>
      </c>
      <c r="B176" t="inlineStr">
        <is>
          <t>MAT-ACTUATOR-NACM-1.1-20</t>
        </is>
      </c>
      <c r="C176" t="inlineStr">
        <is>
          <t>ĐỘNG_CƠ_VÀ_CẢM_BIẾN</t>
        </is>
      </c>
      <c r="D176" t="inlineStr">
        <is>
          <t>Model: NACM 1.1-20  ( Modulating )</t>
        </is>
      </c>
      <c r="E176" t="inlineStr">
        <is>
          <t>Cái</t>
        </is>
      </c>
      <c r="F176" t="inlineStr"/>
      <c r="G176" t="inlineStr">
        <is>
          <t>VT van</t>
        </is>
      </c>
    </row>
    <row r="177">
      <c r="A177" t="n">
        <v>176</v>
      </c>
      <c r="B177" t="inlineStr">
        <is>
          <t>MAT-TRỤC-SUS-201-D10</t>
        </is>
      </c>
      <c r="C177" t="inlineStr">
        <is>
          <t>PHỤ_KIỆN_VAN</t>
        </is>
      </c>
      <c r="D177" t="inlineStr">
        <is>
          <t>Trục Sus 201 D10</t>
        </is>
      </c>
      <c r="E177" t="inlineStr">
        <is>
          <t>m</t>
        </is>
      </c>
      <c r="F177" t="inlineStr"/>
      <c r="G177" t="inlineStr">
        <is>
          <t>Vat tu tôn</t>
        </is>
      </c>
    </row>
    <row r="178">
      <c r="A178" t="n">
        <v>177</v>
      </c>
      <c r="B178" t="inlineStr">
        <is>
          <t>MAT-TRỤC-SUS-201-D12</t>
        </is>
      </c>
      <c r="C178" t="inlineStr">
        <is>
          <t>PHỤ_KIỆN_VAN</t>
        </is>
      </c>
      <c r="D178" t="inlineStr">
        <is>
          <t>Trục Sus 201 D12</t>
        </is>
      </c>
      <c r="E178" t="inlineStr">
        <is>
          <t>m</t>
        </is>
      </c>
      <c r="F178" t="inlineStr"/>
      <c r="G178" t="inlineStr">
        <is>
          <t>Vat tu tôn</t>
        </is>
      </c>
    </row>
    <row r="179">
      <c r="A179" t="n">
        <v>178</v>
      </c>
      <c r="B179" t="inlineStr">
        <is>
          <t>MAT-TRỤC-SUS-201-D14</t>
        </is>
      </c>
      <c r="C179" t="inlineStr">
        <is>
          <t>PHỤ_KIỆN_VAN</t>
        </is>
      </c>
      <c r="D179" t="inlineStr">
        <is>
          <t>Trục Sus 201 D14</t>
        </is>
      </c>
      <c r="E179" t="inlineStr">
        <is>
          <t>m</t>
        </is>
      </c>
      <c r="F179" t="inlineStr"/>
      <c r="G179" t="inlineStr">
        <is>
          <t>Vat tu tôn</t>
        </is>
      </c>
    </row>
    <row r="180">
      <c r="A180" t="n">
        <v>179</v>
      </c>
      <c r="B180" t="inlineStr">
        <is>
          <t>MAT-BẠC-ĐỒNG-D10</t>
        </is>
      </c>
      <c r="C180" t="inlineStr">
        <is>
          <t>PHỤ_KIỆN_VAN</t>
        </is>
      </c>
      <c r="D180" t="inlineStr">
        <is>
          <t>Bạc đồng D10</t>
        </is>
      </c>
      <c r="E180" t="inlineStr">
        <is>
          <t>Đôi</t>
        </is>
      </c>
      <c r="F180" t="inlineStr"/>
      <c r="G180" t="inlineStr">
        <is>
          <t>Vat tu tôn</t>
        </is>
      </c>
    </row>
    <row r="181">
      <c r="A181" t="n">
        <v>180</v>
      </c>
      <c r="B181" t="inlineStr">
        <is>
          <t>MAT-BẠC-ĐỒNG-D12</t>
        </is>
      </c>
      <c r="C181" t="inlineStr">
        <is>
          <t>PHỤ_KIỆN_VAN</t>
        </is>
      </c>
      <c r="D181" t="inlineStr">
        <is>
          <t>Bạc đồng D12</t>
        </is>
      </c>
      <c r="E181" t="inlineStr">
        <is>
          <t>Đôi</t>
        </is>
      </c>
      <c r="F181" t="inlineStr"/>
      <c r="G181" t="inlineStr">
        <is>
          <t>Vat tu tôn</t>
        </is>
      </c>
    </row>
    <row r="182">
      <c r="A182" t="n">
        <v>181</v>
      </c>
      <c r="B182" t="inlineStr">
        <is>
          <t>MAT-BẠC-ĐỒNG-D14</t>
        </is>
      </c>
      <c r="C182" t="inlineStr">
        <is>
          <t>PHỤ_KIỆN_VAN</t>
        </is>
      </c>
      <c r="D182" t="inlineStr">
        <is>
          <t>Bạc đồng D14</t>
        </is>
      </c>
      <c r="E182" t="inlineStr">
        <is>
          <t>Đôi</t>
        </is>
      </c>
      <c r="F182" t="inlineStr"/>
      <c r="G182" t="inlineStr">
        <is>
          <t>Vat tu tôn</t>
        </is>
      </c>
    </row>
    <row r="183">
      <c r="A183" t="n">
        <v>182</v>
      </c>
      <c r="B183" t="inlineStr">
        <is>
          <t>MAT-TAY-GẠT-1-&gt;1M2</t>
        </is>
      </c>
      <c r="C183" t="inlineStr">
        <is>
          <t>PHỤ_KIỆN_VAN</t>
        </is>
      </c>
      <c r="D183" t="inlineStr">
        <is>
          <t>Tay gạt 1 &gt;1m2</t>
        </is>
      </c>
      <c r="E183" t="inlineStr">
        <is>
          <t>Cái</t>
        </is>
      </c>
      <c r="F183" t="inlineStr"/>
      <c r="G183" t="inlineStr">
        <is>
          <t>Vat tu tôn</t>
        </is>
      </c>
    </row>
    <row r="184">
      <c r="A184" t="n">
        <v>183</v>
      </c>
      <c r="B184" t="inlineStr">
        <is>
          <t>MAT-GIẰNG-TAY-GẠT-1</t>
        </is>
      </c>
      <c r="C184" t="inlineStr">
        <is>
          <t>PHỤ_KIỆN_VAN</t>
        </is>
      </c>
      <c r="D184" t="inlineStr">
        <is>
          <t>Giằng tay gạt 1</t>
        </is>
      </c>
      <c r="E184" t="inlineStr">
        <is>
          <t>Cái</t>
        </is>
      </c>
      <c r="F184" t="inlineStr"/>
      <c r="G184" t="inlineStr">
        <is>
          <t>Vat tu tôn</t>
        </is>
      </c>
    </row>
    <row r="185">
      <c r="A185" t="n">
        <v>184</v>
      </c>
      <c r="B185" t="inlineStr">
        <is>
          <t>MAT-KHAC-LUOI_BAO_VE</t>
        </is>
      </c>
      <c r="C185" t="inlineStr">
        <is>
          <t>THƯƠNG_MẠI_TỰ_ĐỘNG</t>
        </is>
      </c>
      <c r="D185" t="inlineStr">
        <is>
          <t>Lưới bảo vệ</t>
        </is>
      </c>
      <c r="E185" t="inlineStr">
        <is>
          <t>Cái/Bộ</t>
        </is>
      </c>
      <c r="F185" t="inlineStr"/>
      <c r="G185" t="inlineStr">
        <is>
          <t>Auto-learned from Excel</t>
        </is>
      </c>
    </row>
    <row r="186">
      <c r="A186" t="n">
        <v>188</v>
      </c>
      <c r="B186" t="inlineStr">
        <is>
          <t>MAT-THUONG_MAI-HE_THONG_HUT_KHOI_HAM_XE_HUT_K_BDCE</t>
        </is>
      </c>
      <c r="C186" t="inlineStr">
        <is>
          <t>THUONG_MAI</t>
        </is>
      </c>
      <c r="D186" t="inlineStr">
        <is>
          <t>HỆ THỐNG HÚT KHÓI HẦM XE, HÚT KHÓI SỰ CỐ Quạt hướng trục CEF-B2-Z1-01~02 5290/9430 l/s @ 500/1350 Pa, chống cháy 300°C trong 2h,</t>
        </is>
      </c>
      <c r="E186" t="inlineStr">
        <is>
          <t>Cái</t>
        </is>
      </c>
      <c r="F186" t="inlineStr">
        <is>
          <t>-</t>
        </is>
      </c>
      <c r="G186" t="inlineStr">
        <is>
          <t>Phát sinh từ BOQ (chưa có trong CSDL)</t>
        </is>
      </c>
    </row>
    <row r="187">
      <c r="A187" t="n">
        <v>189</v>
      </c>
      <c r="B187" t="inlineStr">
        <is>
          <t>MAT-THUONG_MAI-HE_THONG_HUT_KHOI_HAM_XE_HUT_K_5C8C</t>
        </is>
      </c>
      <c r="C187" t="inlineStr">
        <is>
          <t>THUONG_MAI</t>
        </is>
      </c>
      <c r="D187" t="inlineStr">
        <is>
          <t>HỆ THỐNG HÚT KHÓI HẦM XE, HÚT KHÓI SỰ CỐ Quạt hướng trục CEF-B2-Z2-01~02 5490/8910 l/s @ 600/1350 Pa, chống cháy 300°C trong 2h</t>
        </is>
      </c>
      <c r="E187" t="inlineStr">
        <is>
          <t>Cái</t>
        </is>
      </c>
      <c r="F187" t="inlineStr">
        <is>
          <t>-</t>
        </is>
      </c>
      <c r="G187" t="inlineStr">
        <is>
          <t>Phát sinh từ BOQ (chưa có trong CSDL)</t>
        </is>
      </c>
    </row>
    <row r="188">
      <c r="A188" t="n">
        <v>190</v>
      </c>
      <c r="B188" t="inlineStr">
        <is>
          <t>MAT-THUONG_MAI-HE_THONG_HUT_KHOI_HAM_XE_HUT_K_85A7</t>
        </is>
      </c>
      <c r="C188" t="inlineStr">
        <is>
          <t>THUONG_MAI</t>
        </is>
      </c>
      <c r="D188" t="inlineStr">
        <is>
          <t>HỆ THỐNG HÚT KHÓI HẦM XE, HÚT KHÓI SỰ CỐ Quạt hướng trục CEF-B1-Z1-01~02 5590/8385 l/s @ 600/1350 Pa, chống cháy 300°C trong 2h</t>
        </is>
      </c>
      <c r="E188" t="inlineStr">
        <is>
          <t>Cái</t>
        </is>
      </c>
      <c r="F188" t="inlineStr">
        <is>
          <t>-</t>
        </is>
      </c>
      <c r="G188" t="inlineStr">
        <is>
          <t>Phát sinh từ BOQ (chưa có trong CSDL)</t>
        </is>
      </c>
    </row>
    <row r="189">
      <c r="A189" t="n">
        <v>191</v>
      </c>
      <c r="B189" t="inlineStr">
        <is>
          <t>MAT-THUONG_MAI-HE_THONG_HUT_KHOI_HAM_XE_HUT_K_50BF</t>
        </is>
      </c>
      <c r="C189" t="inlineStr">
        <is>
          <t>THUONG_MAI</t>
        </is>
      </c>
      <c r="D189" t="inlineStr">
        <is>
          <t>HỆ THỐNG HÚT KHÓI HẦM XE, HÚT KHÓI SỰ CỐ Quạt hướng trục CEF-B1-Z2-01~02 5135/7700 l/s @ 600/1350 Pa, chống cháy 300°C trong 2h</t>
        </is>
      </c>
      <c r="E189" t="inlineStr">
        <is>
          <t>Cái</t>
        </is>
      </c>
      <c r="F189" t="inlineStr">
        <is>
          <t>-</t>
        </is>
      </c>
      <c r="G189" t="inlineStr">
        <is>
          <t>Phát sinh từ BOQ (chưa có trong CSDL)</t>
        </is>
      </c>
    </row>
    <row r="190">
      <c r="A190" t="n">
        <v>192</v>
      </c>
      <c r="B190" t="inlineStr">
        <is>
          <t>MAT-THUONG_MAI-HE_THONG_HUT_KHOI_HAM_XE_HUT_K_C640</t>
        </is>
      </c>
      <c r="C190" t="inlineStr">
        <is>
          <t>THUONG_MAI</t>
        </is>
      </c>
      <c r="D190" t="inlineStr">
        <is>
          <t>HỆ THỐNG HÚT KHÓI HẦM XE, HÚT KHÓI SỰ CỐ Quạt hướng trục SEF-B1-Z2-01 4800 l/s @ 500 Pa, chống cháy 300°C trong 2h</t>
        </is>
      </c>
      <c r="E190" t="inlineStr">
        <is>
          <t>Cái</t>
        </is>
      </c>
      <c r="F190" t="inlineStr">
        <is>
          <t>-</t>
        </is>
      </c>
      <c r="G190" t="inlineStr">
        <is>
          <t>Phát sinh từ BOQ (chưa có trong CSDL)</t>
        </is>
      </c>
    </row>
    <row r="191">
      <c r="A191" t="n">
        <v>193</v>
      </c>
      <c r="B191" t="inlineStr">
        <is>
          <t>MAT-THUONG_MAI-HE_THONG_HUT_KHOI_HAM_XE_HUT_K_5E99</t>
        </is>
      </c>
      <c r="C191" t="inlineStr">
        <is>
          <t>THUONG_MAI</t>
        </is>
      </c>
      <c r="D191" t="inlineStr">
        <is>
          <t>HỆ THỐNG HÚT KHÓI HẦM XE, HÚT KHÓI SỰ CỐ Quạt hướng trục SEF-A1.1-03F-01~02 7400 l/s @ 400 Pa, chống cháy 300°C trong 2h</t>
        </is>
      </c>
      <c r="E191" t="inlineStr">
        <is>
          <t>Cái</t>
        </is>
      </c>
      <c r="F191" t="inlineStr">
        <is>
          <t>-</t>
        </is>
      </c>
      <c r="G191" t="inlineStr">
        <is>
          <t>Phát sinh từ BOQ (chưa có trong CSDL)</t>
        </is>
      </c>
    </row>
    <row r="192">
      <c r="A192" t="n">
        <v>194</v>
      </c>
      <c r="B192" t="inlineStr">
        <is>
          <t>MAT-THUONG_MAI-HE_THONG_HUT_KHOI_HAM_XE_HUT_K_0135</t>
        </is>
      </c>
      <c r="C192" t="inlineStr">
        <is>
          <t>THUONG_MAI</t>
        </is>
      </c>
      <c r="D192" t="inlineStr">
        <is>
          <t>HỆ THỐNG HÚT KHÓI HẦM XE, HÚT KHÓI SỰ CỐ Quạt hướng trục SEF-A1.2-03F-01~02 6700 l/s @ 500 Pa, chống cháy 300°C trong 2h</t>
        </is>
      </c>
      <c r="E192" t="inlineStr">
        <is>
          <t>Cái</t>
        </is>
      </c>
      <c r="F192" t="inlineStr">
        <is>
          <t>-</t>
        </is>
      </c>
      <c r="G192" t="inlineStr">
        <is>
          <t>Phát sinh từ BOQ (chưa có trong CSDL)</t>
        </is>
      </c>
    </row>
    <row r="193">
      <c r="A193" t="n">
        <v>195</v>
      </c>
      <c r="B193" t="inlineStr">
        <is>
          <t>MAT-THUONG_MAI-HE_THONG_HUT_KHOI_HAM_XE_HUT_K_8FEB</t>
        </is>
      </c>
      <c r="C193" t="inlineStr">
        <is>
          <t>THUONG_MAI</t>
        </is>
      </c>
      <c r="D193" t="inlineStr">
        <is>
          <t>HỆ THỐNG HÚT KHÓI HẦM XE, HÚT KHÓI SỰ CỐ Quạt hướng trục SEF-A1.2-03F-03 5100 l/s @ 500 Pa, chống cháy 300°C trong 2h</t>
        </is>
      </c>
      <c r="E193" t="inlineStr">
        <is>
          <t>Cái</t>
        </is>
      </c>
      <c r="F193" t="inlineStr">
        <is>
          <t>-</t>
        </is>
      </c>
      <c r="G193" t="inlineStr">
        <is>
          <t>Phát sinh từ BOQ (chưa có trong CSDL)</t>
        </is>
      </c>
    </row>
    <row r="194">
      <c r="A194" t="n">
        <v>196</v>
      </c>
      <c r="B194" t="inlineStr">
        <is>
          <t>MAT-THUONG_MAI-HE_THONG_HUT_KHOI_HAM_XE_HUT_K_5E9C</t>
        </is>
      </c>
      <c r="C194" t="inlineStr">
        <is>
          <t>THUONG_MAI</t>
        </is>
      </c>
      <c r="D194" t="inlineStr">
        <is>
          <t>HỆ THỐNG HÚT KHÓI HẦM XE, HÚT KHÓI SỰ CỐ Quạt hướng trục SEF-A1.3-03F-01~03 4800 l/s @ 500 Pa, chống cháy 300°C trong 2h</t>
        </is>
      </c>
      <c r="E194" t="inlineStr">
        <is>
          <t>Cái</t>
        </is>
      </c>
      <c r="F194" t="inlineStr">
        <is>
          <t>-</t>
        </is>
      </c>
      <c r="G194" t="inlineStr">
        <is>
          <t>Phát sinh từ BOQ (chưa có trong CSDL)</t>
        </is>
      </c>
    </row>
    <row r="195">
      <c r="A195" t="n">
        <v>197</v>
      </c>
      <c r="B195" t="inlineStr">
        <is>
          <t>MAT-THUONG_MAI-HE_THONG_HUT_KHOI_HAM_XE_HUT_K_2169</t>
        </is>
      </c>
      <c r="C195" t="inlineStr">
        <is>
          <t>THUONG_MAI</t>
        </is>
      </c>
      <c r="D195" t="inlineStr">
        <is>
          <t>HỆ THỐNG HÚT KHÓI HẦM XE, HÚT KHÓI SỰ CỐ Quạt hướng trục SEF-A1.3-03F-04 4800 l/s @ 450 Pa, chống cháy 300°C trong 2h</t>
        </is>
      </c>
      <c r="E195" t="inlineStr">
        <is>
          <t>Cái</t>
        </is>
      </c>
      <c r="F195" t="inlineStr">
        <is>
          <t>-</t>
        </is>
      </c>
      <c r="G195" t="inlineStr">
        <is>
          <t>Phát sinh từ BOQ (chưa có trong CSDL)</t>
        </is>
      </c>
    </row>
    <row r="196">
      <c r="A196" t="n">
        <v>198</v>
      </c>
      <c r="B196" t="inlineStr">
        <is>
          <t>MAT-THUONG_MAI-HE_THONG_HUT_KHOI_HAM_XE_HUT_K_04CF</t>
        </is>
      </c>
      <c r="C196" t="inlineStr">
        <is>
          <t>THUONG_MAI</t>
        </is>
      </c>
      <c r="D196" t="inlineStr">
        <is>
          <t>HỆ THỐNG HÚT KHÓI HẦM XE, HÚT KHÓI SỰ CỐ Quạt hướng trục SEF-A1.3-03F-05~07 4800 l/s @ 500 Pa, chống cháy 300°C trong 2h</t>
        </is>
      </c>
      <c r="E196" t="inlineStr">
        <is>
          <t>Cái</t>
        </is>
      </c>
      <c r="F196" t="inlineStr">
        <is>
          <t>-</t>
        </is>
      </c>
      <c r="G196" t="inlineStr">
        <is>
          <t>Phát sinh từ BOQ (chưa có trong CSDL)</t>
        </is>
      </c>
    </row>
    <row r="197">
      <c r="A197" t="n">
        <v>199</v>
      </c>
      <c r="B197" t="inlineStr">
        <is>
          <t>MAT-THUONG_MAI-HE_THONG_HUT_KHOI_HAM_XE_HUT_K_6B0C</t>
        </is>
      </c>
      <c r="C197" t="inlineStr">
        <is>
          <t>THUONG_MAI</t>
        </is>
      </c>
      <c r="D197" t="inlineStr">
        <is>
          <t>HỆ THỐNG HÚT KHÓI HẦM XE, HÚT KHÓI SỰ CỐ Quạt hướng trục SEF-A1.3-10F-01 7100 l/s @ 600 Pa, chống cháy 300°C trong 2h</t>
        </is>
      </c>
      <c r="E197" t="inlineStr">
        <is>
          <t>Cái</t>
        </is>
      </c>
      <c r="F197" t="inlineStr">
        <is>
          <t>-</t>
        </is>
      </c>
      <c r="G197" t="inlineStr">
        <is>
          <t>Phát sinh từ BOQ (chưa có trong CSDL)</t>
        </is>
      </c>
    </row>
    <row r="198">
      <c r="A198" t="n">
        <v>200</v>
      </c>
      <c r="B198" t="inlineStr">
        <is>
          <t>MAT-THUONG_MAI-HE_THONG_HUT_KHOI_HAM_XE_HUT_K_55AD</t>
        </is>
      </c>
      <c r="C198" t="inlineStr">
        <is>
          <t>THUONG_MAI</t>
        </is>
      </c>
      <c r="D198" t="inlineStr">
        <is>
          <t>HỆ THỐNG HÚT KHÓI HẦM XE, HÚT KHÓI SỰ CỐ Quạt hướng trục SEF-A1.2-12F-01 8800 l/s @ 650 Pa, chống cháy 300°C trong 2h</t>
        </is>
      </c>
      <c r="E198" t="inlineStr">
        <is>
          <t>Cái</t>
        </is>
      </c>
      <c r="F198" t="inlineStr">
        <is>
          <t>-</t>
        </is>
      </c>
      <c r="G198" t="inlineStr">
        <is>
          <t>Phát sinh từ BOQ (chưa có trong CSDL)</t>
        </is>
      </c>
    </row>
    <row r="199">
      <c r="A199" t="n">
        <v>201</v>
      </c>
      <c r="B199" t="inlineStr">
        <is>
          <t>MAT-THUONG_MAI-HE_THONG_HUT_KHOI_HAM_XE_HUT_K_BF17</t>
        </is>
      </c>
      <c r="C199" t="inlineStr">
        <is>
          <t>THUONG_MAI</t>
        </is>
      </c>
      <c r="D199" t="inlineStr">
        <is>
          <t>HỆ THỐNG HÚT KHÓI HẦM XE, HÚT KHÓI SỰ CỐ Quạt hướng trục SEF-A1.1-RF-01 8100 l/s @ 650 Pa, chống cháy 300°C trong 2h</t>
        </is>
      </c>
      <c r="E199" t="inlineStr">
        <is>
          <t>Cái</t>
        </is>
      </c>
      <c r="F199" t="inlineStr">
        <is>
          <t>-</t>
        </is>
      </c>
      <c r="G199" t="inlineStr">
        <is>
          <t>Phát sinh từ BOQ (chưa có trong CSDL)</t>
        </is>
      </c>
    </row>
    <row r="200">
      <c r="A200" t="n">
        <v>202</v>
      </c>
      <c r="B200" t="inlineStr">
        <is>
          <t>MAT-ACTUATOR-BELIMO-BF24</t>
        </is>
      </c>
      <c r="C200" t="inlineStr">
        <is>
          <t>ĐỘNG_CƠ_VÀ_CẢM_BIẾN</t>
        </is>
      </c>
      <c r="D200" t="inlineStr">
        <is>
          <t>Động cơ chặn lửa ON/OFF 18Nm, 24V (BELIMO BF 24 hoặc tương đương)</t>
        </is>
      </c>
      <c r="E200" t="inlineStr">
        <is>
          <t>Cái</t>
        </is>
      </c>
      <c r="F200" t="inlineStr">
        <is>
          <t>-</t>
        </is>
      </c>
      <c r="G200" t="inlineStr">
        <is>
          <t>Phát sinh từ BOQ (chưa có trong CSDL)</t>
        </is>
      </c>
    </row>
    <row r="201">
      <c r="A201" t="n">
        <v>203</v>
      </c>
      <c r="B201" t="inlineStr">
        <is>
          <t>MAT-BOX-HE_THONG_HUT_KHOI_HA_8B49</t>
        </is>
      </c>
      <c r="C201" t="inlineStr">
        <is>
          <t>THUONG_MAI</t>
        </is>
      </c>
      <c r="D201" t="inlineStr">
        <is>
          <t>Box phụ kiện 600x300</t>
        </is>
      </c>
      <c r="E201" t="inlineStr">
        <is>
          <t>Cái</t>
        </is>
      </c>
      <c r="F201" t="inlineStr">
        <is>
          <t>-</t>
        </is>
      </c>
      <c r="G201" t="inlineStr">
        <is>
          <t>Phát sinh từ BOQ (chưa có trong CSDL)</t>
        </is>
      </c>
    </row>
    <row r="202">
      <c r="A202" t="n">
        <v>204</v>
      </c>
      <c r="B202" t="inlineStr">
        <is>
          <t>MAT-BOX-HE_THONG_HUT_KHOI_HA_CF0E</t>
        </is>
      </c>
      <c r="C202" t="inlineStr">
        <is>
          <t>THUONG_MAI</t>
        </is>
      </c>
      <c r="D202" t="inlineStr">
        <is>
          <t>Box phụ kiện 1200x600</t>
        </is>
      </c>
      <c r="E202" t="inlineStr">
        <is>
          <t>Cái</t>
        </is>
      </c>
      <c r="F202" t="inlineStr">
        <is>
          <t>-</t>
        </is>
      </c>
      <c r="G202" t="inlineStr">
        <is>
          <t>Phát sinh từ BOQ (chưa có trong CSDL)</t>
        </is>
      </c>
    </row>
    <row r="203">
      <c r="A203" t="n">
        <v>205</v>
      </c>
      <c r="B203" t="inlineStr">
        <is>
          <t>MAT-BOX-HE_THONG_HUT_KHOI_HA_FD5D</t>
        </is>
      </c>
      <c r="C203" t="inlineStr">
        <is>
          <t>THUONG_MAI</t>
        </is>
      </c>
      <c r="D203" t="inlineStr">
        <is>
          <t>Box phụ kiện -</t>
        </is>
      </c>
      <c r="E203" t="inlineStr">
        <is>
          <t>Cái</t>
        </is>
      </c>
      <c r="F203" t="inlineStr">
        <is>
          <t>-</t>
        </is>
      </c>
      <c r="G203" t="inlineStr">
        <is>
          <t>Phát sinh từ BOQ (chưa có trong CSDL)</t>
        </is>
      </c>
    </row>
    <row r="204">
      <c r="A204" t="n">
        <v>206</v>
      </c>
      <c r="B204" t="inlineStr">
        <is>
          <t>MAT-THUONG_MAI-HE_THONG_HUT_KHOI_HAM_XE_HUT_K_016B</t>
        </is>
      </c>
      <c r="C204" t="inlineStr">
        <is>
          <t>THUONG_MAI</t>
        </is>
      </c>
      <c r="D204" t="inlineStr">
        <is>
          <t>HỆ THỐNG HÚT KHÓI HẦM XE, HÚT KHÓI SỰ CỐ Vật tư phụ, phụ kiện</t>
        </is>
      </c>
      <c r="E204" t="inlineStr">
        <is>
          <t>Lô</t>
        </is>
      </c>
      <c r="F204" t="inlineStr">
        <is>
          <t>-</t>
        </is>
      </c>
      <c r="G204" t="inlineStr">
        <is>
          <t>Phát sinh từ BOQ (chưa có trong CSDL)</t>
        </is>
      </c>
    </row>
    <row r="205">
      <c r="A205" t="n">
        <v>207</v>
      </c>
      <c r="B205" t="inlineStr">
        <is>
          <t>MAT-BOX-ONG_THONG_GIO_VA_PHU_A849</t>
        </is>
      </c>
      <c r="C205" t="inlineStr">
        <is>
          <t>THUONG_MAI</t>
        </is>
      </c>
      <c r="D205" t="inlineStr">
        <is>
          <t>Box phụ kiện 0.75mm</t>
        </is>
      </c>
      <c r="E205" t="inlineStr">
        <is>
          <t>Cái</t>
        </is>
      </c>
      <c r="F205" t="inlineStr">
        <is>
          <t>-</t>
        </is>
      </c>
      <c r="G205" t="inlineStr">
        <is>
          <t>Phát sinh từ BOQ (chưa có trong CSDL)</t>
        </is>
      </c>
    </row>
    <row r="206">
      <c r="A206" t="n">
        <v>208</v>
      </c>
      <c r="B206" t="inlineStr">
        <is>
          <t>MAT-BOX-ONG_THONG_GIO_VA_PHU_44C4</t>
        </is>
      </c>
      <c r="C206" t="inlineStr">
        <is>
          <t>THUONG_MAI</t>
        </is>
      </c>
      <c r="D206" t="inlineStr">
        <is>
          <t>Box phụ kiện 0.95mm</t>
        </is>
      </c>
      <c r="E206" t="inlineStr">
        <is>
          <t>Cái</t>
        </is>
      </c>
      <c r="F206" t="inlineStr">
        <is>
          <t>-</t>
        </is>
      </c>
      <c r="G206" t="inlineStr">
        <is>
          <t>Phát sinh từ BOQ (chưa có trong CSDL)</t>
        </is>
      </c>
    </row>
    <row r="207">
      <c r="A207" t="n">
        <v>209</v>
      </c>
      <c r="B207" t="inlineStr">
        <is>
          <t>MAT-BOX-ONG_THONG_GIO_VA_PHU_46E3</t>
        </is>
      </c>
      <c r="C207" t="inlineStr">
        <is>
          <t>THUONG_MAI</t>
        </is>
      </c>
      <c r="D207" t="inlineStr">
        <is>
          <t>Box phụ kiện 1.15mm</t>
        </is>
      </c>
      <c r="E207" t="inlineStr">
        <is>
          <t>Cái</t>
        </is>
      </c>
      <c r="F207" t="inlineStr">
        <is>
          <t>-</t>
        </is>
      </c>
      <c r="G207" t="inlineStr">
        <is>
          <t>Phát sinh từ BOQ (chưa có trong CSDL)</t>
        </is>
      </c>
    </row>
    <row r="208">
      <c r="A208" t="n">
        <v>210</v>
      </c>
      <c r="B208" t="inlineStr">
        <is>
          <t>MAT-BOX-ONG_THONG_GIO_VA_PHU_FCFE</t>
        </is>
      </c>
      <c r="C208" t="inlineStr">
        <is>
          <t>THUONG_MAI</t>
        </is>
      </c>
      <c r="D208" t="inlineStr">
        <is>
          <t>Box phụ kiện 1.15mm</t>
        </is>
      </c>
      <c r="E208" t="inlineStr">
        <is>
          <t>Cái</t>
        </is>
      </c>
      <c r="F208" t="inlineStr">
        <is>
          <t>-</t>
        </is>
      </c>
      <c r="G208" t="inlineStr">
        <is>
          <t>Phát sinh từ BOQ (chưa có trong CSDL)</t>
        </is>
      </c>
    </row>
    <row r="209">
      <c r="A209" t="n">
        <v>211</v>
      </c>
      <c r="B209" t="inlineStr">
        <is>
          <t>MAT-THUONG_MAI-ONG_THONG_GIO_VA_PHU_KIEN_BOX_11DB</t>
        </is>
      </c>
      <c r="C209" t="inlineStr">
        <is>
          <t>THUONG_MAI</t>
        </is>
      </c>
      <c r="D209" t="inlineStr">
        <is>
          <t>Ống thông gió và phụ kiện, box miệng gió Lưới bảo vệ</t>
        </is>
      </c>
      <c r="E209" t="inlineStr">
        <is>
          <t>cái</t>
        </is>
      </c>
      <c r="F209" t="inlineStr">
        <is>
          <t>-</t>
        </is>
      </c>
      <c r="G209" t="inlineStr">
        <is>
          <t>Phát sinh từ BOQ (chưa có trong CSDL)</t>
        </is>
      </c>
    </row>
    <row r="210">
      <c r="A210" t="n">
        <v>212</v>
      </c>
      <c r="B210" t="inlineStr">
        <is>
          <t>MAT-BOX-ONG_THONG_GIO_VA_PHU_11DB</t>
        </is>
      </c>
      <c r="C210" t="inlineStr">
        <is>
          <t>THUONG_MAI</t>
        </is>
      </c>
      <c r="D210" t="inlineStr">
        <is>
          <t>Box phụ kiện -</t>
        </is>
      </c>
      <c r="E210" t="inlineStr">
        <is>
          <t>Cái</t>
        </is>
      </c>
      <c r="F210" t="inlineStr">
        <is>
          <t>-</t>
        </is>
      </c>
      <c r="G210" t="inlineStr">
        <is>
          <t>Phát sinh từ BOQ (chưa có trong CSDL)</t>
        </is>
      </c>
    </row>
    <row r="211">
      <c r="A211" t="n">
        <v>213</v>
      </c>
      <c r="B211" t="inlineStr">
        <is>
          <t>MAT-LUOI-ONG_THONG_GIO_VA_PHU_11DB</t>
        </is>
      </c>
      <c r="C211" t="inlineStr">
        <is>
          <t>THUONG_MAI</t>
        </is>
      </c>
      <c r="D211" t="inlineStr">
        <is>
          <t>Lưới bảo vệ -</t>
        </is>
      </c>
      <c r="E211" t="inlineStr">
        <is>
          <t>Cái</t>
        </is>
      </c>
      <c r="F211" t="inlineStr">
        <is>
          <t>-</t>
        </is>
      </c>
      <c r="G211" t="inlineStr">
        <is>
          <t>Phát sinh từ BOQ (chưa có trong CSDL)</t>
        </is>
      </c>
    </row>
    <row r="212">
      <c r="A212" t="n">
        <v>214</v>
      </c>
      <c r="B212" t="inlineStr">
        <is>
          <t>MAT-THUONG_MAI-ONG_THONG_GIO_VA_PHU_KIEN_BOX_82DE</t>
        </is>
      </c>
      <c r="C212" t="inlineStr">
        <is>
          <t>THUONG_MAI</t>
        </is>
      </c>
      <c r="D212" t="inlineStr">
        <is>
          <t>Ống thông gió và phụ kiện, box miệng gió Lớp chống cháy EI30</t>
        </is>
      </c>
      <c r="E212" t="inlineStr">
        <is>
          <t>m2</t>
        </is>
      </c>
      <c r="F212" t="inlineStr">
        <is>
          <t>-</t>
        </is>
      </c>
      <c r="G212" t="inlineStr">
        <is>
          <t>Phát sinh từ BOQ (chưa có trong CSDL)</t>
        </is>
      </c>
    </row>
    <row r="213">
      <c r="A213" t="n">
        <v>215</v>
      </c>
      <c r="B213" t="inlineStr">
        <is>
          <t>MAT-BOX-ONG_THONG_GIO_VA_PHU_82DE</t>
        </is>
      </c>
      <c r="C213" t="inlineStr">
        <is>
          <t>THUONG_MAI</t>
        </is>
      </c>
      <c r="D213" t="inlineStr">
        <is>
          <t>Box phụ kiện -</t>
        </is>
      </c>
      <c r="E213" t="inlineStr">
        <is>
          <t>Cái</t>
        </is>
      </c>
      <c r="F213" t="inlineStr">
        <is>
          <t>-</t>
        </is>
      </c>
      <c r="G213" t="inlineStr">
        <is>
          <t>Phát sinh từ BOQ (chưa có trong CSDL)</t>
        </is>
      </c>
    </row>
    <row r="214">
      <c r="A214" t="n">
        <v>216</v>
      </c>
      <c r="B214" t="inlineStr">
        <is>
          <t>MAT-THUONG_MAI-ONG_THONG_GIO_VA_PHU_KIEN_BOX_E395</t>
        </is>
      </c>
      <c r="C214" t="inlineStr">
        <is>
          <t>THUONG_MAI</t>
        </is>
      </c>
      <c r="D214" t="inlineStr">
        <is>
          <t>Ống thông gió và phụ kiện, box miệng gió Lớp chống cháy EI60</t>
        </is>
      </c>
      <c r="E214" t="inlineStr">
        <is>
          <t>m2</t>
        </is>
      </c>
      <c r="F214" t="inlineStr">
        <is>
          <t>-</t>
        </is>
      </c>
      <c r="G214" t="inlineStr">
        <is>
          <t>Phát sinh từ BOQ (chưa có trong CSDL)</t>
        </is>
      </c>
    </row>
    <row r="215">
      <c r="A215" t="n">
        <v>217</v>
      </c>
      <c r="B215" t="inlineStr">
        <is>
          <t>MAT-BOX-ONG_THONG_GIO_VA_PHU_E395</t>
        </is>
      </c>
      <c r="C215" t="inlineStr">
        <is>
          <t>THUONG_MAI</t>
        </is>
      </c>
      <c r="D215" t="inlineStr">
        <is>
          <t>Box phụ kiện -</t>
        </is>
      </c>
      <c r="E215" t="inlineStr">
        <is>
          <t>Cái</t>
        </is>
      </c>
      <c r="F215" t="inlineStr">
        <is>
          <t>-</t>
        </is>
      </c>
      <c r="G215" t="inlineStr">
        <is>
          <t>Phát sinh từ BOQ (chưa có trong CSDL)</t>
        </is>
      </c>
    </row>
    <row r="216">
      <c r="A216" t="n">
        <v>218</v>
      </c>
      <c r="B216" t="inlineStr">
        <is>
          <t>MAT-THUONG_MAI-ONG_THONG_GIO_VA_PHU_KIEN_BOX_A0E1</t>
        </is>
      </c>
      <c r="C216" t="inlineStr">
        <is>
          <t>THUONG_MAI</t>
        </is>
      </c>
      <c r="D216" t="inlineStr">
        <is>
          <t>Ống thông gió và phụ kiện, box miệng gió Vật tư phụ, phụ kiện</t>
        </is>
      </c>
      <c r="E216" t="inlineStr">
        <is>
          <t>Lô</t>
        </is>
      </c>
      <c r="F216" t="inlineStr">
        <is>
          <t>-</t>
        </is>
      </c>
      <c r="G216" t="inlineStr">
        <is>
          <t>Phát sinh từ BOQ (chưa có trong CSDL)</t>
        </is>
      </c>
    </row>
    <row r="217">
      <c r="A217" t="n">
        <v>219</v>
      </c>
      <c r="B217" t="inlineStr">
        <is>
          <t>MAT-BOX-ONG_THONG_GIO_VA_PHU_A0E1</t>
        </is>
      </c>
      <c r="C217" t="inlineStr">
        <is>
          <t>THUONG_MAI</t>
        </is>
      </c>
      <c r="D217" t="inlineStr">
        <is>
          <t>Box phụ kiện -</t>
        </is>
      </c>
      <c r="E217" t="inlineStr">
        <is>
          <t>Cái</t>
        </is>
      </c>
      <c r="F217" t="inlineStr">
        <is>
          <t>-</t>
        </is>
      </c>
      <c r="G217" t="inlineStr">
        <is>
          <t>Phát sinh từ BOQ (chưa có trong CSDL)</t>
        </is>
      </c>
    </row>
    <row r="218">
      <c r="A218" t="n">
        <v>220</v>
      </c>
      <c r="B218" t="inlineStr">
        <is>
          <t>MAT-THUONG_MAI-HE_THONG_TAO_AP_QUAT_HUONG_TRU_0E7C</t>
        </is>
      </c>
      <c r="C218" t="inlineStr">
        <is>
          <t>THUONG_MAI</t>
        </is>
      </c>
      <c r="D218" t="inlineStr">
        <is>
          <t>HỆ THỐNG TẠO ÁP Quạt hướng trục BPF-B2-Z2-01 400 l/s @ 650 Pa, chống cháy 300°C trong 2h</t>
        </is>
      </c>
      <c r="E218" t="inlineStr">
        <is>
          <t>Cái</t>
        </is>
      </c>
      <c r="F218" t="inlineStr">
        <is>
          <t>-</t>
        </is>
      </c>
      <c r="G218" t="inlineStr">
        <is>
          <t>Phát sinh từ BOQ (chưa có trong CSDL)</t>
        </is>
      </c>
    </row>
    <row r="219">
      <c r="A219" t="n">
        <v>221</v>
      </c>
      <c r="B219" t="inlineStr">
        <is>
          <t>MAT-THUONG_MAI-HE_THONG_TAO_AP_QUAT_HUONG_TRU_CDC2</t>
        </is>
      </c>
      <c r="C219" t="inlineStr">
        <is>
          <t>THUONG_MAI</t>
        </is>
      </c>
      <c r="D219" t="inlineStr">
        <is>
          <t>HỆ THỐNG TẠO ÁP Quạt hướng trục BPF-B2-Z2-02 1200 l/s @ 550 Pa, chống cháy 300°C trong 2h</t>
        </is>
      </c>
      <c r="E219" t="inlineStr">
        <is>
          <t>Cái</t>
        </is>
      </c>
      <c r="F219" t="inlineStr">
        <is>
          <t>-</t>
        </is>
      </c>
      <c r="G219" t="inlineStr">
        <is>
          <t>Phát sinh từ BOQ (chưa có trong CSDL)</t>
        </is>
      </c>
    </row>
    <row r="220">
      <c r="A220" t="n">
        <v>222</v>
      </c>
      <c r="B220" t="inlineStr">
        <is>
          <t>MAT-THUONG_MAI-HE_THONG_TAO_AP_QUAT_HUONG_TRU_1386</t>
        </is>
      </c>
      <c r="C220" t="inlineStr">
        <is>
          <t>THUONG_MAI</t>
        </is>
      </c>
      <c r="D220" t="inlineStr">
        <is>
          <t>HỆ THỐNG TẠO ÁP Quạt hướng trục BPF-B2-Z2-03 4200 l/s @ 400 Pa, chống cháy 300°C trong 2h</t>
        </is>
      </c>
      <c r="E220" t="inlineStr">
        <is>
          <t>Cái</t>
        </is>
      </c>
      <c r="F220" t="inlineStr">
        <is>
          <t>-</t>
        </is>
      </c>
      <c r="G220" t="inlineStr">
        <is>
          <t>Phát sinh từ BOQ (chưa có trong CSDL)</t>
        </is>
      </c>
    </row>
    <row r="221">
      <c r="A221" t="n">
        <v>223</v>
      </c>
      <c r="B221" t="inlineStr">
        <is>
          <t>MAT-THUONG_MAI-HE_THONG_TAO_AP_QUAT_HUONG_TRU_68E4</t>
        </is>
      </c>
      <c r="C221" t="inlineStr">
        <is>
          <t>THUONG_MAI</t>
        </is>
      </c>
      <c r="D221" t="inlineStr">
        <is>
          <t>HỆ THỐNG TẠO ÁP Quạt hướng trục BPF-B2-Z2-04 4200 l/s @ 400 Pa, chống cháy 300°C trong 2h</t>
        </is>
      </c>
      <c r="E221" t="inlineStr">
        <is>
          <t>Cái</t>
        </is>
      </c>
      <c r="F221" t="inlineStr">
        <is>
          <t>-</t>
        </is>
      </c>
      <c r="G221" t="inlineStr">
        <is>
          <t>Phát sinh từ BOQ (chưa có trong CSDL)</t>
        </is>
      </c>
    </row>
    <row r="222">
      <c r="A222" t="n">
        <v>224</v>
      </c>
      <c r="B222" t="inlineStr">
        <is>
          <t>MAT-THUONG_MAI-HE_THONG_TAO_AP_QUAT_HUONG_TRU_F6FD</t>
        </is>
      </c>
      <c r="C222" t="inlineStr">
        <is>
          <t>THUONG_MAI</t>
        </is>
      </c>
      <c r="D222" t="inlineStr">
        <is>
          <t>HỆ THỐNG TẠO ÁP Quạt hướng trục BPF-B1-Z1-01 5400 l/s @ 700 Pa, chống cháy 300°C trong 2h</t>
        </is>
      </c>
      <c r="E222" t="inlineStr">
        <is>
          <t>Cái</t>
        </is>
      </c>
      <c r="F222" t="inlineStr">
        <is>
          <t>-</t>
        </is>
      </c>
      <c r="G222" t="inlineStr">
        <is>
          <t>Phát sinh từ BOQ (chưa có trong CSDL)</t>
        </is>
      </c>
    </row>
    <row r="223">
      <c r="A223" t="n">
        <v>225</v>
      </c>
      <c r="B223" t="inlineStr">
        <is>
          <t>MAT-THUONG_MAI-HE_THONG_TAO_AP_QUAT_HUONG_TRU_07AC</t>
        </is>
      </c>
      <c r="C223" t="inlineStr">
        <is>
          <t>THUONG_MAI</t>
        </is>
      </c>
      <c r="D223" t="inlineStr">
        <is>
          <t>HỆ THỐNG TẠO ÁP Quạt hướng trục BPF-B1-Z1-02 5800 l/s @ 700 Pa, chống cháy 300°C trong 2h</t>
        </is>
      </c>
      <c r="E223" t="inlineStr">
        <is>
          <t>Cái</t>
        </is>
      </c>
      <c r="F223" t="inlineStr">
        <is>
          <t>-</t>
        </is>
      </c>
      <c r="G223" t="inlineStr">
        <is>
          <t>Phát sinh từ BOQ (chưa có trong CSDL)</t>
        </is>
      </c>
    </row>
    <row r="224">
      <c r="A224" t="n">
        <v>226</v>
      </c>
      <c r="B224" t="inlineStr">
        <is>
          <t>MAT-THUONG_MAI-HE_THONG_TAO_AP_QUAT_HUONG_TRU_2C9C</t>
        </is>
      </c>
      <c r="C224" t="inlineStr">
        <is>
          <t>THUONG_MAI</t>
        </is>
      </c>
      <c r="D224" t="inlineStr">
        <is>
          <t>HỆ THỐNG TẠO ÁP Quạt hướng trục BPF-B1-Z1-03 400 l/s @ 550 Pa, chống cháy 300°C trong 2h</t>
        </is>
      </c>
      <c r="E224" t="inlineStr">
        <is>
          <t>Cái</t>
        </is>
      </c>
      <c r="F224" t="inlineStr">
        <is>
          <t>-</t>
        </is>
      </c>
      <c r="G224" t="inlineStr">
        <is>
          <t>Phát sinh từ BOQ (chưa có trong CSDL)</t>
        </is>
      </c>
    </row>
    <row r="225">
      <c r="A225" t="n">
        <v>227</v>
      </c>
      <c r="B225" t="inlineStr">
        <is>
          <t>MAT-THUONG_MAI-HE_THONG_TAO_AP_QUAT_HUONG_TRU_B64F</t>
        </is>
      </c>
      <c r="C225" t="inlineStr">
        <is>
          <t>THUONG_MAI</t>
        </is>
      </c>
      <c r="D225" t="inlineStr">
        <is>
          <t>HỆ THỐNG TẠO ÁP Quạt hướng trục BPF-B1-Z1-04 5400 l/s @ 450 Pa, chống cháy 300°C trong 2h</t>
        </is>
      </c>
      <c r="E225" t="inlineStr">
        <is>
          <t>Cái</t>
        </is>
      </c>
      <c r="F225" t="inlineStr">
        <is>
          <t>-</t>
        </is>
      </c>
      <c r="G225" t="inlineStr">
        <is>
          <t>Phát sinh từ BOQ (chưa có trong CSDL)</t>
        </is>
      </c>
    </row>
    <row r="226">
      <c r="A226" t="n">
        <v>228</v>
      </c>
      <c r="B226" t="inlineStr">
        <is>
          <t>MAT-THUONG_MAI-HE_THONG_TAO_AP_QUAT_HUONG_TRU_8D9F</t>
        </is>
      </c>
      <c r="C226" t="inlineStr">
        <is>
          <t>THUONG_MAI</t>
        </is>
      </c>
      <c r="D226" t="inlineStr">
        <is>
          <t>HỆ THỐNG TẠO ÁP Quạt hướng trục BPF-B1-Z1-05 1100 l/s @ 500 Pa, chống cháy 300°C trong 2h</t>
        </is>
      </c>
      <c r="E226" t="inlineStr">
        <is>
          <t>Cái</t>
        </is>
      </c>
      <c r="F226" t="inlineStr">
        <is>
          <t>-</t>
        </is>
      </c>
      <c r="G226" t="inlineStr">
        <is>
          <t>Phát sinh từ BOQ (chưa có trong CSDL)</t>
        </is>
      </c>
    </row>
    <row r="227">
      <c r="A227" t="n">
        <v>229</v>
      </c>
      <c r="B227" t="inlineStr">
        <is>
          <t>MAT-THUONG_MAI-HE_THONG_TAO_AP_QUAT_HUONG_TRU_8416</t>
        </is>
      </c>
      <c r="C227" t="inlineStr">
        <is>
          <t>THUONG_MAI</t>
        </is>
      </c>
      <c r="D227" t="inlineStr">
        <is>
          <t>HỆ THỐNG TẠO ÁP Quạt hướng trục BPF-B1-Z1-06 400 l/s @ 650 Pa, chống cháy 300°C trong 2h</t>
        </is>
      </c>
      <c r="E227" t="inlineStr">
        <is>
          <t>Cái</t>
        </is>
      </c>
      <c r="F227" t="inlineStr">
        <is>
          <t>-</t>
        </is>
      </c>
      <c r="G227" t="inlineStr">
        <is>
          <t>Phát sinh từ BOQ (chưa có trong CSDL)</t>
        </is>
      </c>
    </row>
    <row r="228">
      <c r="A228" t="n">
        <v>230</v>
      </c>
      <c r="B228" t="inlineStr">
        <is>
          <t>MAT-THUONG_MAI-HE_THONG_TAO_AP_QUAT_HUONG_TRU_0BB2</t>
        </is>
      </c>
      <c r="C228" t="inlineStr">
        <is>
          <t>THUONG_MAI</t>
        </is>
      </c>
      <c r="D228" t="inlineStr">
        <is>
          <t>HỆ THỐNG TẠO ÁP Quạt hướng trục BPF-B1-Z2-01 400 l/s @ 400 Pa, chống cháy 300°C trong 2h</t>
        </is>
      </c>
      <c r="E228" t="inlineStr">
        <is>
          <t>Cái</t>
        </is>
      </c>
      <c r="F228" t="inlineStr">
        <is>
          <t>-</t>
        </is>
      </c>
      <c r="G228" t="inlineStr">
        <is>
          <t>Phát sinh từ BOQ (chưa có trong CSDL)</t>
        </is>
      </c>
    </row>
    <row r="229">
      <c r="A229" t="n">
        <v>231</v>
      </c>
      <c r="B229" t="inlineStr">
        <is>
          <t>MAT-THUONG_MAI-HE_THONG_TAO_AP_QUAT_HUONG_TRU_72F7</t>
        </is>
      </c>
      <c r="C229" t="inlineStr">
        <is>
          <t>THUONG_MAI</t>
        </is>
      </c>
      <c r="D229" t="inlineStr">
        <is>
          <t>HỆ THỐNG TẠO ÁP Quạt hướng trục BPF-B1-Z2-02 5400 l/s @ 700 Pa, chống cháy 300°C trong 2h</t>
        </is>
      </c>
      <c r="E229" t="inlineStr">
        <is>
          <t>Cái</t>
        </is>
      </c>
      <c r="F229" t="inlineStr">
        <is>
          <t>-</t>
        </is>
      </c>
      <c r="G229" t="inlineStr">
        <is>
          <t>Phát sinh từ BOQ (chưa có trong CSDL)</t>
        </is>
      </c>
    </row>
    <row r="230">
      <c r="A230" t="n">
        <v>232</v>
      </c>
      <c r="B230" t="inlineStr">
        <is>
          <t>MAT-THUONG_MAI-HE_THONG_TAO_AP_QUAT_HUONG_TRU_4A30</t>
        </is>
      </c>
      <c r="C230" t="inlineStr">
        <is>
          <t>THUONG_MAI</t>
        </is>
      </c>
      <c r="D230" t="inlineStr">
        <is>
          <t>HỆ THỐNG TẠO ÁP Quạt hướng trục BPF-B1-Z2-03 5400 l/s @ 700 Pa, chống cháy 300°C trong 2h</t>
        </is>
      </c>
      <c r="E230" t="inlineStr">
        <is>
          <t>Cái</t>
        </is>
      </c>
      <c r="F230" t="inlineStr">
        <is>
          <t>-</t>
        </is>
      </c>
      <c r="G230" t="inlineStr">
        <is>
          <t>Phát sinh từ BOQ (chưa có trong CSDL)</t>
        </is>
      </c>
    </row>
    <row r="231">
      <c r="A231" t="n">
        <v>233</v>
      </c>
      <c r="B231" t="inlineStr">
        <is>
          <t>MAT-THUONG_MAI-HE_THONG_TAO_AP_QUAT_HUONG_TRU_F291</t>
        </is>
      </c>
      <c r="C231" t="inlineStr">
        <is>
          <t>THUONG_MAI</t>
        </is>
      </c>
      <c r="D231" t="inlineStr">
        <is>
          <t>HỆ THỐNG TẠO ÁP Quạt hướng trục BPF-B1-Z2-04 700 l/s @ 400 Pa, chống cháy 300°C trong 2h</t>
        </is>
      </c>
      <c r="E231" t="inlineStr">
        <is>
          <t>Cái</t>
        </is>
      </c>
      <c r="F231" t="inlineStr">
        <is>
          <t>-</t>
        </is>
      </c>
      <c r="G231" t="inlineStr">
        <is>
          <t>Phát sinh từ BOQ (chưa có trong CSDL)</t>
        </is>
      </c>
    </row>
    <row r="232">
      <c r="A232" t="n">
        <v>234</v>
      </c>
      <c r="B232" t="inlineStr">
        <is>
          <t>MAT-THUONG_MAI-HE_THONG_TAO_AP_QUAT_HUONG_TRU_3FF6</t>
        </is>
      </c>
      <c r="C232" t="inlineStr">
        <is>
          <t>THUONG_MAI</t>
        </is>
      </c>
      <c r="D232" t="inlineStr">
        <is>
          <t>HỆ THỐNG TẠO ÁP Quạt hướng trục LPF-A1.12-03F-01 1900 l/s @ 400 Pa, chống cháy 300°C trong 2h</t>
        </is>
      </c>
      <c r="E232" t="inlineStr">
        <is>
          <t>Cái</t>
        </is>
      </c>
      <c r="F232" t="inlineStr">
        <is>
          <t>-</t>
        </is>
      </c>
      <c r="G232" t="inlineStr">
        <is>
          <t>Phát sinh từ BOQ (chưa có trong CSDL)</t>
        </is>
      </c>
    </row>
    <row r="233">
      <c r="A233" t="n">
        <v>235</v>
      </c>
      <c r="B233" t="inlineStr">
        <is>
          <t>MAT-THUONG_MAI-HE_THONG_TAO_AP_QUAT_HUONG_TRU_3A11</t>
        </is>
      </c>
      <c r="C233" t="inlineStr">
        <is>
          <t>THUONG_MAI</t>
        </is>
      </c>
      <c r="D233" t="inlineStr">
        <is>
          <t>HỆ THỐNG TẠO ÁP Quạt hướng trục LPF-A1.23-03F-01 1900 l/s @ 450 Pa, chống cháy 300°C trong 2h</t>
        </is>
      </c>
      <c r="E233" t="inlineStr">
        <is>
          <t>Cái</t>
        </is>
      </c>
      <c r="F233" t="inlineStr">
        <is>
          <t>-</t>
        </is>
      </c>
      <c r="G233" t="inlineStr">
        <is>
          <t>Phát sinh từ BOQ (chưa có trong CSDL)</t>
        </is>
      </c>
    </row>
    <row r="234">
      <c r="A234" t="n">
        <v>236</v>
      </c>
      <c r="B234" t="inlineStr">
        <is>
          <t>MAT-THUONG_MAI-HE_THONG_TAO_AP_QUAT_HUONG_TRU_D2E7</t>
        </is>
      </c>
      <c r="C234" t="inlineStr">
        <is>
          <t>THUONG_MAI</t>
        </is>
      </c>
      <c r="D234" t="inlineStr">
        <is>
          <t>HỆ THỐNG TẠO ÁP Quạt hướng trục BPF-A1.2-04F-01 9500 l/s @ 450 Pa, chống cháy 300°C trong 2h</t>
        </is>
      </c>
      <c r="E234" t="inlineStr">
        <is>
          <t>Cái</t>
        </is>
      </c>
      <c r="F234" t="inlineStr">
        <is>
          <t>-</t>
        </is>
      </c>
      <c r="G234" t="inlineStr">
        <is>
          <t>Phát sinh từ BOQ (chưa có trong CSDL)</t>
        </is>
      </c>
    </row>
    <row r="235">
      <c r="A235" t="n">
        <v>237</v>
      </c>
      <c r="B235" t="inlineStr">
        <is>
          <t>MAT-THUONG_MAI-HE_THONG_TAO_AP_QUAT_HUONG_TRU_8B6B</t>
        </is>
      </c>
      <c r="C235" t="inlineStr">
        <is>
          <t>THUONG_MAI</t>
        </is>
      </c>
      <c r="D235" t="inlineStr">
        <is>
          <t>HỆ THỐNG TẠO ÁP Quạt hướng trục LPF-A1.2-04F-01 1900 l/s @ 400 Pa, chống cháy 300°C trong 2h</t>
        </is>
      </c>
      <c r="E235" t="inlineStr">
        <is>
          <t>Cái</t>
        </is>
      </c>
      <c r="F235" t="inlineStr">
        <is>
          <t>-</t>
        </is>
      </c>
      <c r="G235" t="inlineStr">
        <is>
          <t>Phát sinh từ BOQ (chưa có trong CSDL)</t>
        </is>
      </c>
    </row>
    <row r="236">
      <c r="A236" t="n">
        <v>238</v>
      </c>
      <c r="B236" t="inlineStr">
        <is>
          <t>MAT-THUONG_MAI-HE_THONG_TAO_AP_QUAT_HUONG_TRU_E639</t>
        </is>
      </c>
      <c r="C236" t="inlineStr">
        <is>
          <t>THUONG_MAI</t>
        </is>
      </c>
      <c r="D236" t="inlineStr">
        <is>
          <t>HỆ THỐNG TẠO ÁP Quạt hướng trục SPF-A1.3-09F-01 4800 l/s @ 400 Pa, chống cháy 300°C trong 2h</t>
        </is>
      </c>
      <c r="E236" t="inlineStr">
        <is>
          <t>Cái</t>
        </is>
      </c>
      <c r="F236" t="inlineStr">
        <is>
          <t>-</t>
        </is>
      </c>
      <c r="G236" t="inlineStr">
        <is>
          <t>Phát sinh từ BOQ (chưa có trong CSDL)</t>
        </is>
      </c>
    </row>
    <row r="237">
      <c r="A237" t="n">
        <v>239</v>
      </c>
      <c r="B237" t="inlineStr">
        <is>
          <t>MAT-THUONG_MAI-HE_THONG_TAO_AP_QUAT_HUONG_TRU_F0F2</t>
        </is>
      </c>
      <c r="C237" t="inlineStr">
        <is>
          <t>THUONG_MAI</t>
        </is>
      </c>
      <c r="D237" t="inlineStr">
        <is>
          <t>HỆ THỐNG TẠO ÁP Quạt hướng trục SPF-A1.3-10F-01 4800 l/s @ 400 Pa, chống cháy 300°C trong 2h</t>
        </is>
      </c>
      <c r="E237" t="inlineStr">
        <is>
          <t>Cái</t>
        </is>
      </c>
      <c r="F237" t="inlineStr">
        <is>
          <t>-</t>
        </is>
      </c>
      <c r="G237" t="inlineStr">
        <is>
          <t>Phát sinh từ BOQ (chưa có trong CSDL)</t>
        </is>
      </c>
    </row>
    <row r="238">
      <c r="A238" t="n">
        <v>240</v>
      </c>
      <c r="B238" t="inlineStr">
        <is>
          <t>MAT-THUONG_MAI-HE_THONG_TAO_AP_QUAT_HUONG_TRU_42C5</t>
        </is>
      </c>
      <c r="C238" t="inlineStr">
        <is>
          <t>THUONG_MAI</t>
        </is>
      </c>
      <c r="D238" t="inlineStr">
        <is>
          <t>HỆ THỐNG TẠO ÁP Quạt hướng trục LPF-A1.3-10F-01~02 3000 l/s @ 350 Pa, chống cháy 300°C trong 2h</t>
        </is>
      </c>
      <c r="E238" t="inlineStr">
        <is>
          <t>Cái</t>
        </is>
      </c>
      <c r="F238" t="inlineStr">
        <is>
          <t>-</t>
        </is>
      </c>
      <c r="G238" t="inlineStr">
        <is>
          <t>Phát sinh từ BOQ (chưa có trong CSDL)</t>
        </is>
      </c>
    </row>
    <row r="239">
      <c r="A239" t="n">
        <v>241</v>
      </c>
      <c r="B239" t="inlineStr">
        <is>
          <t>MAT-THUONG_MAI-HE_THONG_TAO_AP_QUAT_HUONG_TRU_498D</t>
        </is>
      </c>
      <c r="C239" t="inlineStr">
        <is>
          <t>THUONG_MAI</t>
        </is>
      </c>
      <c r="D239" t="inlineStr">
        <is>
          <t>HỆ THỐNG TẠO ÁP Quạt hướng trục BPF-A1.3-10F-01 5800 l/s @ 550 Pa, chống cháy 300°C trong 2h</t>
        </is>
      </c>
      <c r="E239" t="inlineStr">
        <is>
          <t>Cái</t>
        </is>
      </c>
      <c r="F239" t="inlineStr">
        <is>
          <t>-</t>
        </is>
      </c>
      <c r="G239" t="inlineStr">
        <is>
          <t>Phát sinh từ BOQ (chưa có trong CSDL)</t>
        </is>
      </c>
    </row>
    <row r="240">
      <c r="A240" t="n">
        <v>242</v>
      </c>
      <c r="B240" t="inlineStr">
        <is>
          <t>MAT-THUONG_MAI-HE_THONG_TAO_AP_QUAT_HUONG_TRU_891C</t>
        </is>
      </c>
      <c r="C240" t="inlineStr">
        <is>
          <t>THUONG_MAI</t>
        </is>
      </c>
      <c r="D240" t="inlineStr">
        <is>
          <t>HỆ THỐNG TẠO ÁP Quạt hướng trục LPF-A1.2-11F-01~03 3500 l/s @ 400 Pa, chống cháy 300°C trong 2h</t>
        </is>
      </c>
      <c r="E240" t="inlineStr">
        <is>
          <t>Cái</t>
        </is>
      </c>
      <c r="F240" t="inlineStr">
        <is>
          <t>-</t>
        </is>
      </c>
      <c r="G240" t="inlineStr">
        <is>
          <t>Phát sinh từ BOQ (chưa có trong CSDL)</t>
        </is>
      </c>
    </row>
    <row r="241">
      <c r="A241" t="n">
        <v>243</v>
      </c>
      <c r="B241" t="inlineStr">
        <is>
          <t>MAT-THUONG_MAI-HE_THONG_TAO_AP_QUAT_HUONG_TRU_1157</t>
        </is>
      </c>
      <c r="C241" t="inlineStr">
        <is>
          <t>THUONG_MAI</t>
        </is>
      </c>
      <c r="D241" t="inlineStr">
        <is>
          <t>HỆ THỐNG TẠO ÁP Quạt hướng trục SPF-A1.2-12F-01~02 3500 l/s @ 400 Pa, chống cháy 300°C trong 2h</t>
        </is>
      </c>
      <c r="E241" t="inlineStr">
        <is>
          <t>Cái</t>
        </is>
      </c>
      <c r="F241" t="inlineStr">
        <is>
          <t>-</t>
        </is>
      </c>
      <c r="G241" t="inlineStr">
        <is>
          <t>Phát sinh từ BOQ (chưa có trong CSDL)</t>
        </is>
      </c>
    </row>
    <row r="242">
      <c r="A242" t="n">
        <v>244</v>
      </c>
      <c r="B242" t="inlineStr">
        <is>
          <t>MAT-THUONG_MAI-HE_THONG_TAO_AP_QUAT_HUONG_TRU_050A</t>
        </is>
      </c>
      <c r="C242" t="inlineStr">
        <is>
          <t>THUONG_MAI</t>
        </is>
      </c>
      <c r="D242" t="inlineStr">
        <is>
          <t>HỆ THỐNG TẠO ÁP Quạt hướng trục BPF-A1.2-12F-01 6100 l/s @ 600 Pa, chống cháy 300°C trong 2h</t>
        </is>
      </c>
      <c r="E242" t="inlineStr">
        <is>
          <t>Cái</t>
        </is>
      </c>
      <c r="F242" t="inlineStr">
        <is>
          <t>-</t>
        </is>
      </c>
      <c r="G242" t="inlineStr">
        <is>
          <t>Phát sinh từ BOQ (chưa có trong CSDL)</t>
        </is>
      </c>
    </row>
    <row r="243">
      <c r="A243" t="n">
        <v>245</v>
      </c>
      <c r="B243" t="inlineStr">
        <is>
          <t>MAT-THUONG_MAI-HE_THONG_TAO_AP_QUAT_HUONG_TRU_50FB</t>
        </is>
      </c>
      <c r="C243" t="inlineStr">
        <is>
          <t>THUONG_MAI</t>
        </is>
      </c>
      <c r="D243" t="inlineStr">
        <is>
          <t>HỆ THỐNG TẠO ÁP Quạt hướng trục LPF-A1.1-RF-01~03 4000 l/s @ 400 Pa, chống cháy 300°C trong 2h</t>
        </is>
      </c>
      <c r="E243" t="inlineStr">
        <is>
          <t>Cái</t>
        </is>
      </c>
      <c r="F243" t="inlineStr">
        <is>
          <t>-</t>
        </is>
      </c>
      <c r="G243" t="inlineStr">
        <is>
          <t>Phát sinh từ BOQ (chưa có trong CSDL)</t>
        </is>
      </c>
    </row>
    <row r="244">
      <c r="A244" t="n">
        <v>246</v>
      </c>
      <c r="B244" t="inlineStr">
        <is>
          <t>MAT-THUONG_MAI-HE_THONG_TAO_AP_QUAT_HUONG_TRU_97E6</t>
        </is>
      </c>
      <c r="C244" t="inlineStr">
        <is>
          <t>THUONG_MAI</t>
        </is>
      </c>
      <c r="D244" t="inlineStr">
        <is>
          <t>HỆ THỐNG TẠO ÁP Quạt hướng trục SPF-A1.1-RF-01~02 5300 l/s @ 450 Pa, chống cháy 300°C trong 2h</t>
        </is>
      </c>
      <c r="E244" t="inlineStr">
        <is>
          <t>Cái</t>
        </is>
      </c>
      <c r="F244" t="inlineStr">
        <is>
          <t>-</t>
        </is>
      </c>
      <c r="G244" t="inlineStr">
        <is>
          <t>Phát sinh từ BOQ (chưa có trong CSDL)</t>
        </is>
      </c>
    </row>
    <row r="245">
      <c r="A245" t="n">
        <v>247</v>
      </c>
      <c r="B245" t="inlineStr">
        <is>
          <t>MAT-THUONG_MAI-HE_THONG_TAO_AP_QUAT_HUONG_TRU_E25B</t>
        </is>
      </c>
      <c r="C245" t="inlineStr">
        <is>
          <t>THUONG_MAI</t>
        </is>
      </c>
      <c r="D245" t="inlineStr">
        <is>
          <t>HỆ THỐNG TẠO ÁP Quạt hướng trục BPF-A1.1-RF-01 6100 l/s @ 600 Pa, chống cháy 300°C trong 2h</t>
        </is>
      </c>
      <c r="E245" t="inlineStr">
        <is>
          <t>Cái</t>
        </is>
      </c>
      <c r="F245" t="inlineStr">
        <is>
          <t>-</t>
        </is>
      </c>
      <c r="G245" t="inlineStr">
        <is>
          <t>Phát sinh từ BOQ (chưa có trong CSDL)</t>
        </is>
      </c>
    </row>
    <row r="246">
      <c r="A246" t="n">
        <v>248</v>
      </c>
      <c r="B246" t="inlineStr">
        <is>
          <t>MAT-THUONG_MAI-HE_THONG_TAO_AP_VAT_TU_PHU_PHU_KIEN</t>
        </is>
      </c>
      <c r="C246" t="inlineStr">
        <is>
          <t>THUONG_MAI</t>
        </is>
      </c>
      <c r="D246" t="inlineStr">
        <is>
          <t>HỆ THỐNG TẠO ÁP Vật tư phụ, phụ kiện</t>
        </is>
      </c>
      <c r="E246" t="inlineStr">
        <is>
          <t>Lô</t>
        </is>
      </c>
      <c r="F246" t="inlineStr">
        <is>
          <t>-</t>
        </is>
      </c>
      <c r="G246" t="inlineStr">
        <is>
          <t>Phát sinh từ BOQ (chưa có trong CSDL)</t>
        </is>
      </c>
    </row>
    <row r="247">
      <c r="A247" t="n">
        <v>249</v>
      </c>
      <c r="B247" t="inlineStr">
        <is>
          <t>MAT-BOX-HE_THONG_ONG_THONG_G_A19B</t>
        </is>
      </c>
      <c r="C247" t="inlineStr">
        <is>
          <t>THUONG_MAI</t>
        </is>
      </c>
      <c r="D247" t="inlineStr">
        <is>
          <t>Box phụ kiện 0.75mm</t>
        </is>
      </c>
      <c r="E247" t="inlineStr">
        <is>
          <t>Cái</t>
        </is>
      </c>
      <c r="F247" t="inlineStr">
        <is>
          <t>-</t>
        </is>
      </c>
      <c r="G247" t="inlineStr">
        <is>
          <t>Phát sinh từ BOQ (chưa có trong CSDL)</t>
        </is>
      </c>
    </row>
    <row r="248">
      <c r="A248" t="n">
        <v>250</v>
      </c>
      <c r="B248" t="inlineStr">
        <is>
          <t>MAT-BOX-HE_THONG_ONG_THONG_G_5D3C</t>
        </is>
      </c>
      <c r="C248" t="inlineStr">
        <is>
          <t>THUONG_MAI</t>
        </is>
      </c>
      <c r="D248" t="inlineStr">
        <is>
          <t>Box phụ kiện 0.95mm</t>
        </is>
      </c>
      <c r="E248" t="inlineStr">
        <is>
          <t>Cái</t>
        </is>
      </c>
      <c r="F248" t="inlineStr">
        <is>
          <t>-</t>
        </is>
      </c>
      <c r="G248" t="inlineStr">
        <is>
          <t>Phát sinh từ BOQ (chưa có trong CSDL)</t>
        </is>
      </c>
    </row>
    <row r="249">
      <c r="A249" t="n">
        <v>251</v>
      </c>
      <c r="B249" t="inlineStr">
        <is>
          <t>MAT-BOX-HE_THONG_ONG_THONG_G_8FA7</t>
        </is>
      </c>
      <c r="C249" t="inlineStr">
        <is>
          <t>THUONG_MAI</t>
        </is>
      </c>
      <c r="D249" t="inlineStr">
        <is>
          <t>Box phụ kiện 1.15mm</t>
        </is>
      </c>
      <c r="E249" t="inlineStr">
        <is>
          <t>Cái</t>
        </is>
      </c>
      <c r="F249" t="inlineStr">
        <is>
          <t>-</t>
        </is>
      </c>
      <c r="G249" t="inlineStr">
        <is>
          <t>Phát sinh từ BOQ (chưa có trong CSDL)</t>
        </is>
      </c>
    </row>
    <row r="250">
      <c r="A250" t="n">
        <v>252</v>
      </c>
      <c r="B250" t="inlineStr">
        <is>
          <t>MAT-BOX-HE_THONG_ONG_THONG_G_7F99</t>
        </is>
      </c>
      <c r="C250" t="inlineStr">
        <is>
          <t>THUONG_MAI</t>
        </is>
      </c>
      <c r="D250" t="inlineStr">
        <is>
          <t>Box phụ kiện 1.15mm</t>
        </is>
      </c>
      <c r="E250" t="inlineStr">
        <is>
          <t>Cái</t>
        </is>
      </c>
      <c r="F250" t="inlineStr">
        <is>
          <t>-</t>
        </is>
      </c>
      <c r="G250" t="inlineStr">
        <is>
          <t>Phát sinh từ BOQ (chưa có trong CSDL)</t>
        </is>
      </c>
    </row>
    <row r="251">
      <c r="A251" t="n">
        <v>253</v>
      </c>
      <c r="B251" t="inlineStr">
        <is>
          <t>MAT-THUONG_MAI-HE_THONG_ONG_THONG_GIO_TAO_AP_6A5C</t>
        </is>
      </c>
      <c r="C251" t="inlineStr">
        <is>
          <t>THUONG_MAI</t>
        </is>
      </c>
      <c r="D251" t="inlineStr">
        <is>
          <t>Hệ thống ống thông gió tạo áp, box miệng gió… Lưới bảo vệ</t>
        </is>
      </c>
      <c r="E251" t="inlineStr">
        <is>
          <t>cái</t>
        </is>
      </c>
      <c r="F251" t="inlineStr">
        <is>
          <t>-</t>
        </is>
      </c>
      <c r="G251" t="inlineStr">
        <is>
          <t>Phát sinh từ BOQ (chưa có trong CSDL)</t>
        </is>
      </c>
    </row>
    <row r="252">
      <c r="A252" t="n">
        <v>254</v>
      </c>
      <c r="B252" t="inlineStr">
        <is>
          <t>MAT-BOX-HE_THONG_ONG_THONG_G_6A5C</t>
        </is>
      </c>
      <c r="C252" t="inlineStr">
        <is>
          <t>THUONG_MAI</t>
        </is>
      </c>
      <c r="D252" t="inlineStr">
        <is>
          <t>Box phụ kiện -</t>
        </is>
      </c>
      <c r="E252" t="inlineStr">
        <is>
          <t>Cái</t>
        </is>
      </c>
      <c r="F252" t="inlineStr">
        <is>
          <t>-</t>
        </is>
      </c>
      <c r="G252" t="inlineStr">
        <is>
          <t>Phát sinh từ BOQ (chưa có trong CSDL)</t>
        </is>
      </c>
    </row>
    <row r="253">
      <c r="A253" t="n">
        <v>255</v>
      </c>
      <c r="B253" t="inlineStr">
        <is>
          <t>MAT-LUOI-HE_THONG_ONG_THONG_G_6A5C</t>
        </is>
      </c>
      <c r="C253" t="inlineStr">
        <is>
          <t>THUONG_MAI</t>
        </is>
      </c>
      <c r="D253" t="inlineStr">
        <is>
          <t>Lưới bảo vệ -</t>
        </is>
      </c>
      <c r="E253" t="inlineStr">
        <is>
          <t>Cái</t>
        </is>
      </c>
      <c r="F253" t="inlineStr">
        <is>
          <t>-</t>
        </is>
      </c>
      <c r="G253" t="inlineStr">
        <is>
          <t>Phát sinh từ BOQ (chưa có trong CSDL)</t>
        </is>
      </c>
    </row>
    <row r="254">
      <c r="A254" t="n">
        <v>256</v>
      </c>
      <c r="B254" t="inlineStr">
        <is>
          <t>MAT-THUONG_MAI-HE_THONG_ONG_THONG_GIO_TAO_AP_106E</t>
        </is>
      </c>
      <c r="C254" t="inlineStr">
        <is>
          <t>THUONG_MAI</t>
        </is>
      </c>
      <c r="D254" t="inlineStr">
        <is>
          <t>Hệ thống ống thông gió tạo áp, box miệng gió… Lớp chống cháy EI60</t>
        </is>
      </c>
      <c r="E254" t="inlineStr">
        <is>
          <t>m2</t>
        </is>
      </c>
      <c r="F254" t="inlineStr">
        <is>
          <t>-</t>
        </is>
      </c>
      <c r="G254" t="inlineStr">
        <is>
          <t>Phát sinh từ BOQ (chưa có trong CSDL)</t>
        </is>
      </c>
    </row>
    <row r="255">
      <c r="A255" t="n">
        <v>257</v>
      </c>
      <c r="B255" t="inlineStr">
        <is>
          <t>MAT-BOX-HE_THONG_ONG_THONG_G_106E</t>
        </is>
      </c>
      <c r="C255" t="inlineStr">
        <is>
          <t>THUONG_MAI</t>
        </is>
      </c>
      <c r="D255" t="inlineStr">
        <is>
          <t>Box phụ kiện -</t>
        </is>
      </c>
      <c r="E255" t="inlineStr">
        <is>
          <t>Cái</t>
        </is>
      </c>
      <c r="F255" t="inlineStr">
        <is>
          <t>-</t>
        </is>
      </c>
      <c r="G255" t="inlineStr">
        <is>
          <t>Phát sinh từ BOQ (chưa có trong CSDL)</t>
        </is>
      </c>
    </row>
    <row r="256">
      <c r="A256" t="n">
        <v>258</v>
      </c>
      <c r="B256" t="inlineStr">
        <is>
          <t>MAT-THUONG_MAI-HE_THONG_ONG_THONG_GIO_TAO_AP_6252</t>
        </is>
      </c>
      <c r="C256" t="inlineStr">
        <is>
          <t>THUONG_MAI</t>
        </is>
      </c>
      <c r="D256" t="inlineStr">
        <is>
          <t>Hệ thống ống thông gió tạo áp, box miệng gió… Lớp chống cháy EI120</t>
        </is>
      </c>
      <c r="E256" t="inlineStr">
        <is>
          <t>m2</t>
        </is>
      </c>
      <c r="F256" t="inlineStr">
        <is>
          <t>-</t>
        </is>
      </c>
      <c r="G256" t="inlineStr">
        <is>
          <t>Phát sinh từ BOQ (chưa có trong CSDL)</t>
        </is>
      </c>
    </row>
    <row r="257">
      <c r="A257" t="n">
        <v>259</v>
      </c>
      <c r="B257" t="inlineStr">
        <is>
          <t>MAT-BOX-HE_THONG_ONG_THONG_G_6252</t>
        </is>
      </c>
      <c r="C257" t="inlineStr">
        <is>
          <t>THUONG_MAI</t>
        </is>
      </c>
      <c r="D257" t="inlineStr">
        <is>
          <t>Box phụ kiện -</t>
        </is>
      </c>
      <c r="E257" t="inlineStr">
        <is>
          <t>Cái</t>
        </is>
      </c>
      <c r="F257" t="inlineStr">
        <is>
          <t>-</t>
        </is>
      </c>
      <c r="G257" t="inlineStr">
        <is>
          <t>Phát sinh từ BOQ (chưa có trong CSDL)</t>
        </is>
      </c>
    </row>
    <row r="258">
      <c r="A258" t="n">
        <v>260</v>
      </c>
      <c r="B258" t="inlineStr">
        <is>
          <t>MAT-THUONG_MAI-HE_THONG_ONG_THONG_GIO_TAO_AP_708B</t>
        </is>
      </c>
      <c r="C258" t="inlineStr">
        <is>
          <t>THUONG_MAI</t>
        </is>
      </c>
      <c r="D258" t="inlineStr">
        <is>
          <t>Hệ thống ống thông gió tạo áp, box miệng gió… Vật tư phụ, phụ kiện</t>
        </is>
      </c>
      <c r="E258" t="inlineStr">
        <is>
          <t>Lô</t>
        </is>
      </c>
      <c r="F258" t="inlineStr">
        <is>
          <t>-</t>
        </is>
      </c>
      <c r="G258" t="inlineStr">
        <is>
          <t>Phát sinh từ BOQ (chưa có trong CSDL)</t>
        </is>
      </c>
    </row>
    <row r="259">
      <c r="A259" t="n">
        <v>261</v>
      </c>
      <c r="B259" t="inlineStr">
        <is>
          <t>MAT-BOX-HE_THONG_ONG_THONG_G_708B</t>
        </is>
      </c>
      <c r="C259" t="inlineStr">
        <is>
          <t>THUONG_MAI</t>
        </is>
      </c>
      <c r="D259" t="inlineStr">
        <is>
          <t>Box phụ kiện -</t>
        </is>
      </c>
      <c r="E259" t="inlineStr">
        <is>
          <t>Cái</t>
        </is>
      </c>
      <c r="F259" t="inlineStr">
        <is>
          <t>-</t>
        </is>
      </c>
      <c r="G259" t="inlineStr">
        <is>
          <t>Phát sinh từ BOQ (chưa có trong CSDL)</t>
        </is>
      </c>
    </row>
    <row r="260">
      <c r="A260" t="n">
        <v>262</v>
      </c>
      <c r="B260" t="inlineStr">
        <is>
          <t>MAT-THUONG_MAI-HE_THONG_CAP_GIO_TUOI_GIO_BU_P_BE63</t>
        </is>
      </c>
      <c r="C260" t="inlineStr">
        <is>
          <t>THUONG_MAI</t>
        </is>
      </c>
      <c r="D260" t="inlineStr">
        <is>
          <t>HỆ THỐNG CẤP GIÓ TƯƠI, GIÓ BÙ PAU-A1.1-RF-01</t>
        </is>
      </c>
      <c r="E260" t="inlineStr">
        <is>
          <t>Bộ</t>
        </is>
      </c>
      <c r="F260" t="inlineStr">
        <is>
          <t>-</t>
        </is>
      </c>
      <c r="G260" t="inlineStr">
        <is>
          <t>Phát sinh từ BOQ (chưa có trong CSDL)</t>
        </is>
      </c>
    </row>
    <row r="261">
      <c r="A261" t="n">
        <v>263</v>
      </c>
      <c r="B261" t="inlineStr">
        <is>
          <t>MAT-THUONG_MAI-HE_THONG_CAP_GIO_TUOI_GIO_BU_P_05E9</t>
        </is>
      </c>
      <c r="C261" t="inlineStr">
        <is>
          <t>THUONG_MAI</t>
        </is>
      </c>
      <c r="D261" t="inlineStr">
        <is>
          <t>HỆ THỐNG CẤP GIÓ TƯƠI, GIÓ BÙ PAU-A1.2-11-01</t>
        </is>
      </c>
      <c r="E261" t="inlineStr">
        <is>
          <t>Cái</t>
        </is>
      </c>
      <c r="F261" t="inlineStr">
        <is>
          <t>-</t>
        </is>
      </c>
      <c r="G261" t="inlineStr">
        <is>
          <t>Phát sinh từ BOQ (chưa có trong CSDL)</t>
        </is>
      </c>
    </row>
    <row r="262">
      <c r="A262" t="n">
        <v>264</v>
      </c>
      <c r="B262" t="inlineStr">
        <is>
          <t>MAT-THUONG_MAI-HE_THONG_CAP_GIO_TUOI_GIO_BU_P_5959</t>
        </is>
      </c>
      <c r="C262" t="inlineStr">
        <is>
          <t>THUONG_MAI</t>
        </is>
      </c>
      <c r="D262" t="inlineStr">
        <is>
          <t>HỆ THỐNG CẤP GIÓ TƯƠI, GIÓ BÙ PAU-A1.3-09-01</t>
        </is>
      </c>
      <c r="E262" t="inlineStr">
        <is>
          <t>Cái</t>
        </is>
      </c>
      <c r="F262" t="inlineStr">
        <is>
          <t>-</t>
        </is>
      </c>
      <c r="G262" t="inlineStr">
        <is>
          <t>Phát sinh từ BOQ (chưa có trong CSDL)</t>
        </is>
      </c>
    </row>
    <row r="263">
      <c r="A263" t="n">
        <v>265</v>
      </c>
      <c r="B263" t="inlineStr">
        <is>
          <t>MAT-THUONG_MAI-HE_THONG_CAP_GIO_TUOI_GIO_BU_O_130A</t>
        </is>
      </c>
      <c r="C263" t="inlineStr">
        <is>
          <t>THUONG_MAI</t>
        </is>
      </c>
      <c r="D263" t="inlineStr">
        <is>
          <t>HỆ THỐNG CẤP GIÓ TƯƠI, GIÓ BÙ ODU-A1.1-RF-01</t>
        </is>
      </c>
      <c r="E263" t="inlineStr">
        <is>
          <t>Cái</t>
        </is>
      </c>
      <c r="F263" t="inlineStr">
        <is>
          <t>-</t>
        </is>
      </c>
      <c r="G263" t="inlineStr">
        <is>
          <t>Phát sinh từ BOQ (chưa có trong CSDL)</t>
        </is>
      </c>
    </row>
    <row r="264">
      <c r="A264" t="n">
        <v>266</v>
      </c>
      <c r="B264" t="inlineStr">
        <is>
          <t>MAT-THUONG_MAI-HE_THONG_CAP_GIO_TUOI_GIO_BU_O_3898</t>
        </is>
      </c>
      <c r="C264" t="inlineStr">
        <is>
          <t>THUONG_MAI</t>
        </is>
      </c>
      <c r="D264" t="inlineStr">
        <is>
          <t>HỆ THỐNG CẤP GIÓ TƯƠI, GIÓ BÙ ODU-A1.2-RF-01</t>
        </is>
      </c>
      <c r="E264" t="inlineStr">
        <is>
          <t>Cái</t>
        </is>
      </c>
      <c r="F264" t="inlineStr">
        <is>
          <t>-</t>
        </is>
      </c>
      <c r="G264" t="inlineStr">
        <is>
          <t>Phát sinh từ BOQ (chưa có trong CSDL)</t>
        </is>
      </c>
    </row>
    <row r="265">
      <c r="A265" t="n">
        <v>267</v>
      </c>
      <c r="B265" t="inlineStr">
        <is>
          <t>MAT-THUONG_MAI-HE_THONG_CAP_GIO_TUOI_GIO_BU_O_2798</t>
        </is>
      </c>
      <c r="C265" t="inlineStr">
        <is>
          <t>THUONG_MAI</t>
        </is>
      </c>
      <c r="D265" t="inlineStr">
        <is>
          <t>HỆ THỐNG CẤP GIÓ TƯƠI, GIÓ BÙ ODU-A1.3-RF-01</t>
        </is>
      </c>
      <c r="E265" t="inlineStr">
        <is>
          <t>Cái</t>
        </is>
      </c>
      <c r="F265" t="inlineStr">
        <is>
          <t>-</t>
        </is>
      </c>
      <c r="G265" t="inlineStr">
        <is>
          <t>Phát sinh từ BOQ (chưa có trong CSDL)</t>
        </is>
      </c>
    </row>
    <row r="266">
      <c r="A266" t="n">
        <v>268</v>
      </c>
      <c r="B266" t="inlineStr">
        <is>
          <t>MAT-THUONG_MAI-HE_THONG_CAP_GIO_TUOI_GIO_BU_Q_6C8C</t>
        </is>
      </c>
      <c r="C266" t="inlineStr">
        <is>
          <t>THUONG_MAI</t>
        </is>
      </c>
      <c r="D266" t="inlineStr">
        <is>
          <t>HỆ THỐNG CẤP GIÓ TƯƠI, GIÓ BÙ Quạt hướng trục CSF-B2-Z1-01~02 5350/8020 l/s @ 550/1238 Pa, chống cháy 300°C trong 2h</t>
        </is>
      </c>
      <c r="E266" t="inlineStr">
        <is>
          <t>Cái</t>
        </is>
      </c>
      <c r="F266" t="inlineStr">
        <is>
          <t>-</t>
        </is>
      </c>
      <c r="G266" t="inlineStr">
        <is>
          <t>Phát sinh từ BOQ (chưa có trong CSDL)</t>
        </is>
      </c>
    </row>
    <row r="267">
      <c r="A267" t="n">
        <v>269</v>
      </c>
      <c r="B267" t="inlineStr">
        <is>
          <t>MAT-THUONG_MAI-HE_THONG_CAP_GIO_TUOI_GIO_BU_Q_7996</t>
        </is>
      </c>
      <c r="C267" t="inlineStr">
        <is>
          <t>THUONG_MAI</t>
        </is>
      </c>
      <c r="D267" t="inlineStr">
        <is>
          <t>HỆ THỐNG CẤP GIÓ TƯƠI, GIÓ BÙ Quạt hướng trục CSF-B2-Z2-01~02 5050/7575 l/s @ 550/1238 Pa, chống cháy 300°C trong 2h</t>
        </is>
      </c>
      <c r="E267" t="inlineStr">
        <is>
          <t>Cái</t>
        </is>
      </c>
      <c r="F267" t="inlineStr">
        <is>
          <t>-</t>
        </is>
      </c>
      <c r="G267" t="inlineStr">
        <is>
          <t>Phát sinh từ BOQ (chưa có trong CSDL)</t>
        </is>
      </c>
    </row>
    <row r="268">
      <c r="A268" t="n">
        <v>270</v>
      </c>
      <c r="B268" t="inlineStr">
        <is>
          <t>MAT-THUONG_MAI-HE_THONG_CAP_GIO_TUOI_GIO_BU_Q_B272</t>
        </is>
      </c>
      <c r="C268" t="inlineStr">
        <is>
          <t>THUONG_MAI</t>
        </is>
      </c>
      <c r="D268" t="inlineStr">
        <is>
          <t>HỆ THỐNG CẤP GIÓ TƯƠI, GIÓ BÙ Quạt hướng trục CSF-B1-Z1-01~02 4750/7125 l/s @ 550/1238 Pa, chống cháy 300°C trong 2h</t>
        </is>
      </c>
      <c r="E268" t="inlineStr">
        <is>
          <t>Cái</t>
        </is>
      </c>
      <c r="F268" t="inlineStr">
        <is>
          <t>-</t>
        </is>
      </c>
      <c r="G268" t="inlineStr">
        <is>
          <t>Phát sinh từ BOQ (chưa có trong CSDL)</t>
        </is>
      </c>
    </row>
    <row r="269">
      <c r="A269" t="n">
        <v>271</v>
      </c>
      <c r="B269" t="inlineStr">
        <is>
          <t>MAT-THUONG_MAI-HE_THONG_CAP_GIO_TUOI_GIO_BU_Q_B62A</t>
        </is>
      </c>
      <c r="C269" t="inlineStr">
        <is>
          <t>THUONG_MAI</t>
        </is>
      </c>
      <c r="D269" t="inlineStr">
        <is>
          <t>HỆ THỐNG CẤP GIÓ TƯƠI, GIÓ BÙ Quạt hướng trục CSF-B1-Z2-01~02 4365/6550 l/s @ 550/1238 Pa, chống cháy 300°C trong 2h</t>
        </is>
      </c>
      <c r="E269" t="inlineStr">
        <is>
          <t>Cái</t>
        </is>
      </c>
      <c r="F269" t="inlineStr">
        <is>
          <t>-</t>
        </is>
      </c>
      <c r="G269" t="inlineStr">
        <is>
          <t>Phát sinh từ BOQ (chưa có trong CSDL)</t>
        </is>
      </c>
    </row>
    <row r="270">
      <c r="A270" t="n">
        <v>272</v>
      </c>
      <c r="B270" t="inlineStr">
        <is>
          <t>MAT-THUONG_MAI-HE_THONG_CAP_GIO_TUOI_GIO_BU_Q_03BF</t>
        </is>
      </c>
      <c r="C270" t="inlineStr">
        <is>
          <t>THUONG_MAI</t>
        </is>
      </c>
      <c r="D270" t="inlineStr">
        <is>
          <t>HỆ THỐNG CẤP GIÓ TƯƠI, GIÓ BÙ Quạt hướng trục MAF-B1-Z2-01 2800 l/s @ 350 Pa, chống cháy 300°C trong 2h</t>
        </is>
      </c>
      <c r="E270" t="inlineStr">
        <is>
          <t>Cái</t>
        </is>
      </c>
      <c r="F270" t="inlineStr">
        <is>
          <t>-</t>
        </is>
      </c>
      <c r="G270" t="inlineStr">
        <is>
          <t>Phát sinh từ BOQ (chưa có trong CSDL)</t>
        </is>
      </c>
    </row>
    <row r="271">
      <c r="A271" t="n">
        <v>273</v>
      </c>
      <c r="B271" t="inlineStr">
        <is>
          <t>MAT-THUONG_MAI-HE_THONG_CAP_GIO_TUOI_GIO_BU_Q_C4A3</t>
        </is>
      </c>
      <c r="C271" t="inlineStr">
        <is>
          <t>THUONG_MAI</t>
        </is>
      </c>
      <c r="D271" t="inlineStr">
        <is>
          <t>HỆ THỐNG CẤP GIÓ TƯƠI, GIÓ BÙ Quạt hướng trục MAF-A1.1-03F-01 3100 l/s @ 400 Pa, chống cháy 300°C trong 2h</t>
        </is>
      </c>
      <c r="E271" t="inlineStr">
        <is>
          <t>Cái</t>
        </is>
      </c>
      <c r="F271" t="inlineStr">
        <is>
          <t>-</t>
        </is>
      </c>
      <c r="G271" t="inlineStr">
        <is>
          <t>Phát sinh từ BOQ (chưa có trong CSDL)</t>
        </is>
      </c>
    </row>
    <row r="272">
      <c r="A272" t="n">
        <v>274</v>
      </c>
      <c r="B272" t="inlineStr">
        <is>
          <t>MAT-THUONG_MAI-HE_THONG_CAP_GIO_TUOI_GIO_BU_Q_9F75</t>
        </is>
      </c>
      <c r="C272" t="inlineStr">
        <is>
          <t>THUONG_MAI</t>
        </is>
      </c>
      <c r="D272" t="inlineStr">
        <is>
          <t>HỆ THỐNG CẤP GIÓ TƯƠI, GIÓ BÙ Quạt hướng trục MAF-A1.3-03F-01~05 2700 l/s @ 350 Pa, chống cháy 300°C trong 2h</t>
        </is>
      </c>
      <c r="E272" t="inlineStr">
        <is>
          <t>Cái</t>
        </is>
      </c>
      <c r="F272" t="inlineStr">
        <is>
          <t>-</t>
        </is>
      </c>
      <c r="G272" t="inlineStr">
        <is>
          <t>Phát sinh từ BOQ (chưa có trong CSDL)</t>
        </is>
      </c>
    </row>
    <row r="273">
      <c r="A273" t="n">
        <v>275</v>
      </c>
      <c r="B273" t="inlineStr">
        <is>
          <t>MAT-THUONG_MAI-HE_THONG_CAP_GIO_TUOI_GIO_BU_Q_4156</t>
        </is>
      </c>
      <c r="C273" t="inlineStr">
        <is>
          <t>THUONG_MAI</t>
        </is>
      </c>
      <c r="D273" t="inlineStr">
        <is>
          <t>HỆ THỐNG CẤP GIÓ TƯƠI, GIÓ BÙ Quạt hướng trục MAF-A1.3-09F-01 3700 l/s @ 500 Pa, chống cháy 300°C trong 2h</t>
        </is>
      </c>
      <c r="E273" t="inlineStr">
        <is>
          <t>Cái</t>
        </is>
      </c>
      <c r="F273" t="inlineStr">
        <is>
          <t>-</t>
        </is>
      </c>
      <c r="G273" t="inlineStr">
        <is>
          <t>Phát sinh từ BOQ (chưa có trong CSDL)</t>
        </is>
      </c>
    </row>
    <row r="274">
      <c r="A274" t="n">
        <v>276</v>
      </c>
      <c r="B274" t="inlineStr">
        <is>
          <t>MAT-THUONG_MAI-HE_THONG_CAP_GIO_TUOI_GIO_BU_Q_4C20</t>
        </is>
      </c>
      <c r="C274" t="inlineStr">
        <is>
          <t>THUONG_MAI</t>
        </is>
      </c>
      <c r="D274" t="inlineStr">
        <is>
          <t>HỆ THỐNG CẤP GIÓ TƯƠI, GIÓ BÙ Quạt hướng trục MAF-A1.2-12F-01 3900 l/s @ 400 Pa, chống cháy 300°C trong 2h</t>
        </is>
      </c>
      <c r="E274" t="inlineStr">
        <is>
          <t>Cái</t>
        </is>
      </c>
      <c r="F274" t="inlineStr">
        <is>
          <t>-</t>
        </is>
      </c>
      <c r="G274" t="inlineStr">
        <is>
          <t>Phát sinh từ BOQ (chưa có trong CSDL)</t>
        </is>
      </c>
    </row>
    <row r="275">
      <c r="A275" t="n">
        <v>277</v>
      </c>
      <c r="B275" t="inlineStr">
        <is>
          <t>MAT-THUONG_MAI-HE_THONG_CAP_GIO_TUOI_GIO_BU_Q_3FE6</t>
        </is>
      </c>
      <c r="C275" t="inlineStr">
        <is>
          <t>THUONG_MAI</t>
        </is>
      </c>
      <c r="D275" t="inlineStr">
        <is>
          <t>HỆ THỐNG CẤP GIÓ TƯƠI, GIÓ BÙ Quạt hướng trục MAF-A1.1-RF-01 4100 l/s @ 500 Pa, chống cháy 300°C trong 2h</t>
        </is>
      </c>
      <c r="E275" t="inlineStr">
        <is>
          <t>Cái</t>
        </is>
      </c>
      <c r="F275" t="inlineStr">
        <is>
          <t>-</t>
        </is>
      </c>
      <c r="G275" t="inlineStr">
        <is>
          <t>Phát sinh từ BOQ (chưa có trong CSDL)</t>
        </is>
      </c>
    </row>
    <row r="276">
      <c r="A276" t="n">
        <v>278</v>
      </c>
      <c r="B276" t="inlineStr">
        <is>
          <t>MAT-THUONG_MAI-HE_THONG_CAP_GIO_TUOI_GIO_BU_Q_E71D</t>
        </is>
      </c>
      <c r="C276" t="inlineStr">
        <is>
          <t>THUONG_MAI</t>
        </is>
      </c>
      <c r="D276" t="inlineStr">
        <is>
          <t>HỆ THỐNG CẤP GIÓ TƯƠI, GIÓ BÙ Quạt hướng trục OAF-B2-Z2-01 1050 L/s 200Pa</t>
        </is>
      </c>
      <c r="E276" t="inlineStr">
        <is>
          <t>bộ</t>
        </is>
      </c>
      <c r="F276" t="inlineStr">
        <is>
          <t>-</t>
        </is>
      </c>
      <c r="G276" t="inlineStr">
        <is>
          <t>Phát sinh từ BOQ (chưa có trong CSDL)</t>
        </is>
      </c>
    </row>
    <row r="277">
      <c r="A277" t="n">
        <v>279</v>
      </c>
      <c r="B277" t="inlineStr">
        <is>
          <t>MAT-THUONG_MAI-HE_THONG_CAP_GIO_TUOI_GIO_BU_Q_3DC8</t>
        </is>
      </c>
      <c r="C277" t="inlineStr">
        <is>
          <t>THUONG_MAI</t>
        </is>
      </c>
      <c r="D277" t="inlineStr">
        <is>
          <t>HỆ THỐNG CẤP GIÓ TƯƠI, GIÓ BÙ Quạt hướng trục OAF-A1.3-10F-01~02 3536 l/s @ 450 Pa</t>
        </is>
      </c>
      <c r="E277" t="inlineStr">
        <is>
          <t>bộ</t>
        </is>
      </c>
      <c r="F277" t="inlineStr">
        <is>
          <t>-</t>
        </is>
      </c>
      <c r="G277" t="inlineStr">
        <is>
          <t>Phát sinh từ BOQ (chưa có trong CSDL)</t>
        </is>
      </c>
    </row>
    <row r="278">
      <c r="A278" t="n">
        <v>280</v>
      </c>
      <c r="B278" t="inlineStr">
        <is>
          <t>MAT-THUONG_MAI-HE_THONG_CAP_GIO_TUOI_GIO_BU_Q_9473</t>
        </is>
      </c>
      <c r="C278" t="inlineStr">
        <is>
          <t>THUONG_MAI</t>
        </is>
      </c>
      <c r="D278" t="inlineStr">
        <is>
          <t>HỆ THỐNG CẤP GIÓ TƯƠI, GIÓ BÙ Quạt hướng trục OAF-A1.2-11F-01~02 3444 l/s @ 450 Pa</t>
        </is>
      </c>
      <c r="E278" t="inlineStr">
        <is>
          <t>Cái</t>
        </is>
      </c>
      <c r="F278" t="inlineStr">
        <is>
          <t>-</t>
        </is>
      </c>
      <c r="G278" t="inlineStr">
        <is>
          <t>Phát sinh từ BOQ (chưa có trong CSDL)</t>
        </is>
      </c>
    </row>
    <row r="279">
      <c r="A279" t="n">
        <v>281</v>
      </c>
      <c r="B279" t="inlineStr">
        <is>
          <t>MAT-THUONG_MAI-HE_THONG_CAP_GIO_TUOI_GIO_BU_Q_946D</t>
        </is>
      </c>
      <c r="C279" t="inlineStr">
        <is>
          <t>THUONG_MAI</t>
        </is>
      </c>
      <c r="D279" t="inlineStr">
        <is>
          <t>HỆ THỐNG CẤP GIÓ TƯƠI, GIÓ BÙ Quạt hướng trục OAF-A1.1-RF-01~02 3450 l/s @ 450 Pa</t>
        </is>
      </c>
      <c r="E279" t="inlineStr">
        <is>
          <t>Cái</t>
        </is>
      </c>
      <c r="F279" t="inlineStr">
        <is>
          <t>-</t>
        </is>
      </c>
      <c r="G279" t="inlineStr">
        <is>
          <t>Phát sinh từ BOQ (chưa có trong CSDL)</t>
        </is>
      </c>
    </row>
    <row r="280">
      <c r="A280" t="n">
        <v>282</v>
      </c>
      <c r="B280" t="inlineStr">
        <is>
          <t>MAT-THUONG_MAI-HE_THONG_CAP_GIO_TUOI_GIO_BU_Q_85CA</t>
        </is>
      </c>
      <c r="C280" t="inlineStr">
        <is>
          <t>THUONG_MAI</t>
        </is>
      </c>
      <c r="D280" t="inlineStr">
        <is>
          <t>HỆ THỐNG CẤP GIÓ TƯƠI, GIÓ BÙ Quạt hướng trục OAF-A1.1-1F.01-01 187 l/s @175Pa</t>
        </is>
      </c>
      <c r="E280" t="inlineStr">
        <is>
          <t>Cái</t>
        </is>
      </c>
      <c r="F280" t="inlineStr">
        <is>
          <t>-</t>
        </is>
      </c>
      <c r="G280" t="inlineStr">
        <is>
          <t>Phát sinh từ BOQ (chưa có trong CSDL)</t>
        </is>
      </c>
    </row>
    <row r="281">
      <c r="A281" t="n">
        <v>283</v>
      </c>
      <c r="B281" t="inlineStr">
        <is>
          <t>MAT-THUONG_MAI-HE_THONG_CAP_GIO_TUOI_GIO_BU_Q_4FCD</t>
        </is>
      </c>
      <c r="C281" t="inlineStr">
        <is>
          <t>THUONG_MAI</t>
        </is>
      </c>
      <c r="D281" t="inlineStr">
        <is>
          <t>HỆ THỐNG CẤP GIÓ TƯƠI, GIÓ BÙ Quạt hướng trục OAF-A1.1-1F.02-01 140 l/s @150Pa</t>
        </is>
      </c>
      <c r="E281" t="inlineStr">
        <is>
          <t>Cái</t>
        </is>
      </c>
      <c r="F281" t="inlineStr">
        <is>
          <t>-</t>
        </is>
      </c>
      <c r="G281" t="inlineStr">
        <is>
          <t>Phát sinh từ BOQ (chưa có trong CSDL)</t>
        </is>
      </c>
    </row>
    <row r="282">
      <c r="A282" t="n">
        <v>284</v>
      </c>
      <c r="B282" t="inlineStr">
        <is>
          <t>MAT-THUONG_MAI-HE_THONG_CAP_GIO_TUOI_GIO_BU_Q_A8B7</t>
        </is>
      </c>
      <c r="C282" t="inlineStr">
        <is>
          <t>THUONG_MAI</t>
        </is>
      </c>
      <c r="D282" t="inlineStr">
        <is>
          <t>HỆ THỐNG CẤP GIÓ TƯƠI, GIÓ BÙ Quạt hướng trục OAF-A1.1-1F.03-01 271 l/s @175Pa</t>
        </is>
      </c>
      <c r="E282" t="inlineStr">
        <is>
          <t>Cái</t>
        </is>
      </c>
      <c r="F282" t="inlineStr">
        <is>
          <t>-</t>
        </is>
      </c>
      <c r="G282" t="inlineStr">
        <is>
          <t>Phát sinh từ BOQ (chưa có trong CSDL)</t>
        </is>
      </c>
    </row>
    <row r="283">
      <c r="A283" t="n">
        <v>285</v>
      </c>
      <c r="B283" t="inlineStr">
        <is>
          <t>MAT-THUONG_MAI-HE_THONG_CAP_GIO_TUOI_GIO_BU_Q_C485</t>
        </is>
      </c>
      <c r="C283" t="inlineStr">
        <is>
          <t>THUONG_MAI</t>
        </is>
      </c>
      <c r="D283" t="inlineStr">
        <is>
          <t>HỆ THỐNG CẤP GIÓ TƯƠI, GIÓ BÙ Quạt hướng trục OAF-A1.1-1F.CR-01 188 l/s @150Pa</t>
        </is>
      </c>
      <c r="E283" t="inlineStr">
        <is>
          <t>Cái</t>
        </is>
      </c>
      <c r="F283" t="inlineStr">
        <is>
          <t>-</t>
        </is>
      </c>
      <c r="G283" t="inlineStr">
        <is>
          <t>Phát sinh từ BOQ (chưa có trong CSDL)</t>
        </is>
      </c>
    </row>
    <row r="284">
      <c r="A284" t="n">
        <v>286</v>
      </c>
      <c r="B284" t="inlineStr">
        <is>
          <t>MAT-THUONG_MAI-HE_THONG_CAP_GIO_TUOI_GIO_BU_Q_9C3B</t>
        </is>
      </c>
      <c r="C284" t="inlineStr">
        <is>
          <t>THUONG_MAI</t>
        </is>
      </c>
      <c r="D284" t="inlineStr">
        <is>
          <t>HỆ THỐNG CẤP GIÓ TƯƠI, GIÓ BÙ Quạt hướng trục OAF-A1.2-1F-01-01 123 l/s @150Pa</t>
        </is>
      </c>
      <c r="E284" t="inlineStr">
        <is>
          <t>Cái</t>
        </is>
      </c>
      <c r="F284" t="inlineStr">
        <is>
          <t>-</t>
        </is>
      </c>
      <c r="G284" t="inlineStr">
        <is>
          <t>Phát sinh từ BOQ (chưa có trong CSDL)</t>
        </is>
      </c>
    </row>
    <row r="285">
      <c r="A285" t="n">
        <v>287</v>
      </c>
      <c r="B285" t="inlineStr">
        <is>
          <t>MAT-THUONG_MAI-HE_THONG_CAP_GIO_TUOI_GIO_BU_Q_623C</t>
        </is>
      </c>
      <c r="C285" t="inlineStr">
        <is>
          <t>THUONG_MAI</t>
        </is>
      </c>
      <c r="D285" t="inlineStr">
        <is>
          <t>HỆ THỐNG CẤP GIÓ TƯƠI, GIÓ BÙ Quạt hướng trục OAF-A1.2-1F-02-01 193 l/s @175Pa</t>
        </is>
      </c>
      <c r="E285" t="inlineStr">
        <is>
          <t>Cái</t>
        </is>
      </c>
      <c r="F285" t="inlineStr">
        <is>
          <t>-</t>
        </is>
      </c>
      <c r="G285" t="inlineStr">
        <is>
          <t>Phát sinh từ BOQ (chưa có trong CSDL)</t>
        </is>
      </c>
    </row>
    <row r="286">
      <c r="A286" t="n">
        <v>288</v>
      </c>
      <c r="B286" t="inlineStr">
        <is>
          <t>MAT-THUONG_MAI-HE_THONG_CAP_GIO_TUOI_GIO_BU_Q_05AD</t>
        </is>
      </c>
      <c r="C286" t="inlineStr">
        <is>
          <t>THUONG_MAI</t>
        </is>
      </c>
      <c r="D286" t="inlineStr">
        <is>
          <t>HỆ THỐNG CẤP GIÓ TƯƠI, GIÓ BÙ Quạt hướng trục OAF-A1.2-1F-03-01 162 l/s @150Pa</t>
        </is>
      </c>
      <c r="E286" t="inlineStr">
        <is>
          <t>Cái</t>
        </is>
      </c>
      <c r="F286" t="inlineStr">
        <is>
          <t>-</t>
        </is>
      </c>
      <c r="G286" t="inlineStr">
        <is>
          <t>Phát sinh từ BOQ (chưa có trong CSDL)</t>
        </is>
      </c>
    </row>
    <row r="287">
      <c r="A287" t="n">
        <v>289</v>
      </c>
      <c r="B287" t="inlineStr">
        <is>
          <t>MAT-THUONG_MAI-HE_THONG_CAP_GIO_TUOI_GIO_BU_Q_44D2</t>
        </is>
      </c>
      <c r="C287" t="inlineStr">
        <is>
          <t>THUONG_MAI</t>
        </is>
      </c>
      <c r="D287" t="inlineStr">
        <is>
          <t>HỆ THỐNG CẤP GIÓ TƯƠI, GIÓ BÙ Quạt hướng trục OAF-A1.2-1F-05A-01 130 l/s @150Pa</t>
        </is>
      </c>
      <c r="E287" t="inlineStr">
        <is>
          <t>Cái</t>
        </is>
      </c>
      <c r="F287" t="inlineStr">
        <is>
          <t>-</t>
        </is>
      </c>
      <c r="G287" t="inlineStr">
        <is>
          <t>Phát sinh từ BOQ (chưa có trong CSDL)</t>
        </is>
      </c>
    </row>
    <row r="288">
      <c r="A288" t="n">
        <v>290</v>
      </c>
      <c r="B288" t="inlineStr">
        <is>
          <t>MAT-THUONG_MAI-HE_THONG_CAP_GIO_TUOI_GIO_BU_Q_BBC1</t>
        </is>
      </c>
      <c r="C288" t="inlineStr">
        <is>
          <t>THUONG_MAI</t>
        </is>
      </c>
      <c r="D288" t="inlineStr">
        <is>
          <t>HỆ THỐNG CẤP GIÓ TƯƠI, GIÓ BÙ Quạt hướng trục OAF-A1.2-1F-06-01 138 l/s @150Pa</t>
        </is>
      </c>
      <c r="E288" t="inlineStr">
        <is>
          <t>Cái</t>
        </is>
      </c>
      <c r="F288" t="inlineStr">
        <is>
          <t>-</t>
        </is>
      </c>
      <c r="G288" t="inlineStr">
        <is>
          <t>Phát sinh từ BOQ (chưa có trong CSDL)</t>
        </is>
      </c>
    </row>
    <row r="289">
      <c r="A289" t="n">
        <v>291</v>
      </c>
      <c r="B289" t="inlineStr">
        <is>
          <t>MAT-THUONG_MAI-HE_THONG_CAP_GIO_TUOI_GIO_BU_Q_11AD</t>
        </is>
      </c>
      <c r="C289" t="inlineStr">
        <is>
          <t>THUONG_MAI</t>
        </is>
      </c>
      <c r="D289" t="inlineStr">
        <is>
          <t>HỆ THỐNG CẤP GIÓ TƯƠI, GIÓ BÙ Quạt hướng trục OAF-A1.2-1F-08-01 97 l/s @150Pa</t>
        </is>
      </c>
      <c r="E289" t="inlineStr">
        <is>
          <t>Cái</t>
        </is>
      </c>
      <c r="F289" t="inlineStr">
        <is>
          <t>-</t>
        </is>
      </c>
      <c r="G289" t="inlineStr">
        <is>
          <t>Phát sinh từ BOQ (chưa có trong CSDL)</t>
        </is>
      </c>
    </row>
    <row r="290">
      <c r="A290" t="n">
        <v>292</v>
      </c>
      <c r="B290" t="inlineStr">
        <is>
          <t>MAT-THUONG_MAI-HE_THONG_CAP_GIO_TUOI_GIO_BU_Q_0CDB</t>
        </is>
      </c>
      <c r="C290" t="inlineStr">
        <is>
          <t>THUONG_MAI</t>
        </is>
      </c>
      <c r="D290" t="inlineStr">
        <is>
          <t>HỆ THỐNG CẤP GIÓ TƯƠI, GIÓ BÙ Quạt hướng trục OAF-A1.2-1F-08A-01 89 l/s @150Pa</t>
        </is>
      </c>
      <c r="E290" t="inlineStr">
        <is>
          <t>Cái</t>
        </is>
      </c>
      <c r="F290" t="inlineStr">
        <is>
          <t>-</t>
        </is>
      </c>
      <c r="G290" t="inlineStr">
        <is>
          <t>Phát sinh từ BOQ (chưa có trong CSDL)</t>
        </is>
      </c>
    </row>
    <row r="291">
      <c r="A291" t="n">
        <v>293</v>
      </c>
      <c r="B291" t="inlineStr">
        <is>
          <t>MAT-THUONG_MAI-HE_THONG_CAP_GIO_TUOI_GIO_BU_Q_68D7</t>
        </is>
      </c>
      <c r="C291" t="inlineStr">
        <is>
          <t>THUONG_MAI</t>
        </is>
      </c>
      <c r="D291" t="inlineStr">
        <is>
          <t>HỆ THỐNG CẤP GIÓ TƯƠI, GIÓ BÙ Quạt hướng trục OAF-A1.2-1F-CR-01 250 l/s @175Pa</t>
        </is>
      </c>
      <c r="E291" t="inlineStr">
        <is>
          <t>Cái</t>
        </is>
      </c>
      <c r="F291" t="inlineStr">
        <is>
          <t>-</t>
        </is>
      </c>
      <c r="G291" t="inlineStr">
        <is>
          <t>Phát sinh từ BOQ (chưa có trong CSDL)</t>
        </is>
      </c>
    </row>
    <row r="292">
      <c r="A292" t="n">
        <v>294</v>
      </c>
      <c r="B292" t="inlineStr">
        <is>
          <t>MAT-THUONG_MAI-HE_THONG_CAP_GIO_TUOI_GIO_BU_Q_FA31</t>
        </is>
      </c>
      <c r="C292" t="inlineStr">
        <is>
          <t>THUONG_MAI</t>
        </is>
      </c>
      <c r="D292" t="inlineStr">
        <is>
          <t>HỆ THỐNG CẤP GIÓ TƯƠI, GIÓ BÙ Quạt hướng trục OAF-A1.3-1F-01-01 275 l/s @175Pa</t>
        </is>
      </c>
      <c r="E292" t="inlineStr">
        <is>
          <t>Cái</t>
        </is>
      </c>
      <c r="F292" t="inlineStr">
        <is>
          <t>-</t>
        </is>
      </c>
      <c r="G292" t="inlineStr">
        <is>
          <t>Phát sinh từ BOQ (chưa có trong CSDL)</t>
        </is>
      </c>
    </row>
    <row r="293">
      <c r="A293" t="n">
        <v>295</v>
      </c>
      <c r="B293" t="inlineStr">
        <is>
          <t>MAT-THUONG_MAI-HE_THONG_CAP_GIO_TUOI_GIO_BU_Q_7797</t>
        </is>
      </c>
      <c r="C293" t="inlineStr">
        <is>
          <t>THUONG_MAI</t>
        </is>
      </c>
      <c r="D293" t="inlineStr">
        <is>
          <t>HỆ THỐNG CẤP GIÓ TƯƠI, GIÓ BÙ Quạt hướng trục OAF-A1.3-1F-02-01 262 l/s @250Pa</t>
        </is>
      </c>
      <c r="E293" t="inlineStr">
        <is>
          <t>Cái</t>
        </is>
      </c>
      <c r="F293" t="inlineStr">
        <is>
          <t>-</t>
        </is>
      </c>
      <c r="G293" t="inlineStr">
        <is>
          <t>Phát sinh từ BOQ (chưa có trong CSDL)</t>
        </is>
      </c>
    </row>
    <row r="294">
      <c r="A294" t="n">
        <v>296</v>
      </c>
      <c r="B294" t="inlineStr">
        <is>
          <t>MAT-THUONG_MAI-HE_THONG_CAP_GIO_TUOI_GIO_BU_Q_E2B7</t>
        </is>
      </c>
      <c r="C294" t="inlineStr">
        <is>
          <t>THUONG_MAI</t>
        </is>
      </c>
      <c r="D294" t="inlineStr">
        <is>
          <t>HỆ THỐNG CẤP GIÓ TƯƠI, GIÓ BÙ Quạt hướng trục OAF-A1.3-1F-03-01 250 l/s @175Pa</t>
        </is>
      </c>
      <c r="E294" t="inlineStr">
        <is>
          <t>Cái</t>
        </is>
      </c>
      <c r="F294" t="inlineStr">
        <is>
          <t>-</t>
        </is>
      </c>
      <c r="G294" t="inlineStr">
        <is>
          <t>Phát sinh từ BOQ (chưa có trong CSDL)</t>
        </is>
      </c>
    </row>
    <row r="295">
      <c r="A295" t="n">
        <v>297</v>
      </c>
      <c r="B295" t="inlineStr">
        <is>
          <t>MAT-THUONG_MAI-HE_THONG_CAP_GIO_TUOI_GIO_BU_Q_33EC</t>
        </is>
      </c>
      <c r="C295" t="inlineStr">
        <is>
          <t>THUONG_MAI</t>
        </is>
      </c>
      <c r="D295" t="inlineStr">
        <is>
          <t>HỆ THỐNG CẤP GIÓ TƯƠI, GIÓ BÙ Quạt hướng trục OAF-A1.3-1F-05-01 210 l/s @175Pa</t>
        </is>
      </c>
      <c r="E295" t="inlineStr">
        <is>
          <t>Cái</t>
        </is>
      </c>
      <c r="F295" t="inlineStr">
        <is>
          <t>-</t>
        </is>
      </c>
      <c r="G295" t="inlineStr">
        <is>
          <t>Phát sinh từ BOQ (chưa có trong CSDL)</t>
        </is>
      </c>
    </row>
    <row r="296">
      <c r="A296" t="n">
        <v>298</v>
      </c>
      <c r="B296" t="inlineStr">
        <is>
          <t>MAT-THUONG_MAI-HE_THONG_CAP_GIO_TUOI_GIO_BU_Q_FC19</t>
        </is>
      </c>
      <c r="C296" t="inlineStr">
        <is>
          <t>THUONG_MAI</t>
        </is>
      </c>
      <c r="D296" t="inlineStr">
        <is>
          <t>HỆ THỐNG CẤP GIÓ TƯƠI, GIÓ BÙ Quạt hướng trục OAF-A1.3-1F-05A-01 264 l/s @175Pa</t>
        </is>
      </c>
      <c r="E296" t="inlineStr">
        <is>
          <t>Cái</t>
        </is>
      </c>
      <c r="F296" t="inlineStr">
        <is>
          <t>-</t>
        </is>
      </c>
      <c r="G296" t="inlineStr">
        <is>
          <t>Phát sinh từ BOQ (chưa có trong CSDL)</t>
        </is>
      </c>
    </row>
    <row r="297">
      <c r="A297" t="n">
        <v>299</v>
      </c>
      <c r="B297" t="inlineStr">
        <is>
          <t>MAT-THUONG_MAI-HE_THONG_CAP_GIO_TUOI_GIO_BU_Q_7DE1</t>
        </is>
      </c>
      <c r="C297" t="inlineStr">
        <is>
          <t>THUONG_MAI</t>
        </is>
      </c>
      <c r="D297" t="inlineStr">
        <is>
          <t>HỆ THỐNG CẤP GIÓ TƯƠI, GIÓ BÙ Quạt hướng trục OAF-A1.3-1F-CR-01 188 l/s @175Pa</t>
        </is>
      </c>
      <c r="E297" t="inlineStr">
        <is>
          <t>Cái</t>
        </is>
      </c>
      <c r="F297" t="inlineStr">
        <is>
          <t>-</t>
        </is>
      </c>
      <c r="G297" t="inlineStr">
        <is>
          <t>Phát sinh từ BOQ (chưa có trong CSDL)</t>
        </is>
      </c>
    </row>
    <row r="298">
      <c r="A298" t="n">
        <v>300</v>
      </c>
      <c r="B298" t="inlineStr">
        <is>
          <t>MAT-THUONG_MAI-HE_THONG_CAP_GIO_TUOI_GIO_BU_Q_E836</t>
        </is>
      </c>
      <c r="C298" t="inlineStr">
        <is>
          <t>THUONG_MAI</t>
        </is>
      </c>
      <c r="D298" t="inlineStr">
        <is>
          <t>HỆ THỐNG CẤP GIÓ TƯƠI, GIÓ BÙ Quạt hướng trục OAF-A1.1-2F-01-01 172 l/s @150Pa</t>
        </is>
      </c>
      <c r="E298" t="inlineStr">
        <is>
          <t>Cái</t>
        </is>
      </c>
      <c r="F298" t="inlineStr">
        <is>
          <t>-</t>
        </is>
      </c>
      <c r="G298" t="inlineStr">
        <is>
          <t>Phát sinh từ BOQ (chưa có trong CSDL)</t>
        </is>
      </c>
    </row>
    <row r="299">
      <c r="A299" t="n">
        <v>301</v>
      </c>
      <c r="B299" t="inlineStr">
        <is>
          <t>MAT-THUONG_MAI-HE_THONG_CAP_GIO_TUOI_GIO_BU_Q_5212</t>
        </is>
      </c>
      <c r="C299" t="inlineStr">
        <is>
          <t>THUONG_MAI</t>
        </is>
      </c>
      <c r="D299" t="inlineStr">
        <is>
          <t>HỆ THỐNG CẤP GIÓ TƯƠI, GIÓ BÙ Quạt hướng trục OAF-A1.1-2F-02-01 133 l/s @150Pa</t>
        </is>
      </c>
      <c r="E299" t="inlineStr">
        <is>
          <t>Cái</t>
        </is>
      </c>
      <c r="F299" t="inlineStr">
        <is>
          <t>-</t>
        </is>
      </c>
      <c r="G299" t="inlineStr">
        <is>
          <t>Phát sinh từ BOQ (chưa có trong CSDL)</t>
        </is>
      </c>
    </row>
    <row r="300">
      <c r="A300" t="n">
        <v>302</v>
      </c>
      <c r="B300" t="inlineStr">
        <is>
          <t>MAT-THUONG_MAI-HE_THONG_CAP_GIO_TUOI_GIO_BU_Q_5205</t>
        </is>
      </c>
      <c r="C300" t="inlineStr">
        <is>
          <t>THUONG_MAI</t>
        </is>
      </c>
      <c r="D300" t="inlineStr">
        <is>
          <t>HỆ THỐNG CẤP GIÓ TƯƠI, GIÓ BÙ Quạt hướng trục OAF-A1.1-2F-03-01 136 l/s @150Pa</t>
        </is>
      </c>
      <c r="E300" t="inlineStr">
        <is>
          <t>Cái</t>
        </is>
      </c>
      <c r="F300" t="inlineStr">
        <is>
          <t>-</t>
        </is>
      </c>
      <c r="G300" t="inlineStr">
        <is>
          <t>Phát sinh từ BOQ (chưa có trong CSDL)</t>
        </is>
      </c>
    </row>
    <row r="301">
      <c r="A301" t="n">
        <v>303</v>
      </c>
      <c r="B301" t="inlineStr">
        <is>
          <t>MAT-THUONG_MAI-HE_THONG_CAP_GIO_TUOI_GIO_BU_Q_E33A</t>
        </is>
      </c>
      <c r="C301" t="inlineStr">
        <is>
          <t>THUONG_MAI</t>
        </is>
      </c>
      <c r="D301" t="inlineStr">
        <is>
          <t>HỆ THỐNG CẤP GIÓ TƯƠI, GIÓ BÙ Quạt hướng trục OAF-A1.1-2F-05A-01 35 l/s @75Pa</t>
        </is>
      </c>
      <c r="E301" t="inlineStr">
        <is>
          <t>Cái</t>
        </is>
      </c>
      <c r="F301" t="inlineStr">
        <is>
          <t>-</t>
        </is>
      </c>
      <c r="G301" t="inlineStr">
        <is>
          <t>Phát sinh từ BOQ (chưa có trong CSDL)</t>
        </is>
      </c>
    </row>
    <row r="302">
      <c r="A302" t="n">
        <v>304</v>
      </c>
      <c r="B302" t="inlineStr">
        <is>
          <t>MAT-THUONG_MAI-HE_THONG_CAP_GIO_TUOI_GIO_BU_Q_188D</t>
        </is>
      </c>
      <c r="C302" t="inlineStr">
        <is>
          <t>THUONG_MAI</t>
        </is>
      </c>
      <c r="D302" t="inlineStr">
        <is>
          <t>HỆ THỐNG CẤP GIÓ TƯƠI, GIÓ BÙ Quạt hướng trục OAF-A1.1-2F-05-01 117 l/s @150Pa</t>
        </is>
      </c>
      <c r="E302" t="inlineStr">
        <is>
          <t>Cái</t>
        </is>
      </c>
      <c r="F302" t="inlineStr">
        <is>
          <t>-</t>
        </is>
      </c>
      <c r="G302" t="inlineStr">
        <is>
          <t>Phát sinh từ BOQ (chưa có trong CSDL)</t>
        </is>
      </c>
    </row>
    <row r="303">
      <c r="A303" t="n">
        <v>305</v>
      </c>
      <c r="B303" t="inlineStr">
        <is>
          <t>MAT-THUONG_MAI-HE_THONG_CAP_GIO_TUOI_GIO_BU_Q_B9FB</t>
        </is>
      </c>
      <c r="C303" t="inlineStr">
        <is>
          <t>THUONG_MAI</t>
        </is>
      </c>
      <c r="D303" t="inlineStr">
        <is>
          <t>HỆ THỐNG CẤP GIÓ TƯƠI, GIÓ BÙ Quạt hướng trục OAF-A1.1-2F-09-01 83 l/s @150Pa</t>
        </is>
      </c>
      <c r="E303" t="inlineStr">
        <is>
          <t>Cái</t>
        </is>
      </c>
      <c r="F303" t="inlineStr">
        <is>
          <t>-</t>
        </is>
      </c>
      <c r="G303" t="inlineStr">
        <is>
          <t>Phát sinh từ BOQ (chưa có trong CSDL)</t>
        </is>
      </c>
    </row>
    <row r="304">
      <c r="A304" t="n">
        <v>306</v>
      </c>
      <c r="B304" t="inlineStr">
        <is>
          <t>MAT-THUONG_MAI-HE_THONG_CAP_GIO_TUOI_GIO_BU_Q_0CBF</t>
        </is>
      </c>
      <c r="C304" t="inlineStr">
        <is>
          <t>THUONG_MAI</t>
        </is>
      </c>
      <c r="D304" t="inlineStr">
        <is>
          <t>HỆ THỐNG CẤP GIÓ TƯƠI, GIÓ BÙ Quạt hướng trục OAF-A1.2-2F-01-01 136 l/s @150Pa</t>
        </is>
      </c>
      <c r="E304" t="inlineStr">
        <is>
          <t>Cái</t>
        </is>
      </c>
      <c r="F304" t="inlineStr">
        <is>
          <t>-</t>
        </is>
      </c>
      <c r="G304" t="inlineStr">
        <is>
          <t>Phát sinh từ BOQ (chưa có trong CSDL)</t>
        </is>
      </c>
    </row>
    <row r="305">
      <c r="A305" t="n">
        <v>307</v>
      </c>
      <c r="B305" t="inlineStr">
        <is>
          <t>MAT-THUONG_MAI-HE_THONG_CAP_GIO_TUOI_GIO_BU_Q_AE52</t>
        </is>
      </c>
      <c r="C305" t="inlineStr">
        <is>
          <t>THUONG_MAI</t>
        </is>
      </c>
      <c r="D305" t="inlineStr">
        <is>
          <t>HỆ THỐNG CẤP GIÓ TƯƠI, GIÓ BÙ Quạt hướng trục OAF-A1.2-2F-02-01 180 l/s @150Pa</t>
        </is>
      </c>
      <c r="E305" t="inlineStr">
        <is>
          <t>Cái</t>
        </is>
      </c>
      <c r="F305" t="inlineStr">
        <is>
          <t>-</t>
        </is>
      </c>
      <c r="G305" t="inlineStr">
        <is>
          <t>Phát sinh từ BOQ (chưa có trong CSDL)</t>
        </is>
      </c>
    </row>
    <row r="306">
      <c r="A306" t="n">
        <v>308</v>
      </c>
      <c r="B306" t="inlineStr">
        <is>
          <t>MAT-THUONG_MAI-HE_THONG_CAP_GIO_TUOI_GIO_BU_Q_66E8</t>
        </is>
      </c>
      <c r="C306" t="inlineStr">
        <is>
          <t>THUONG_MAI</t>
        </is>
      </c>
      <c r="D306" t="inlineStr">
        <is>
          <t>HỆ THỐNG CẤP GIÓ TƯƠI, GIÓ BÙ Quạt hướng trục OAF-A1.2-2F-03-01 160 l/s @150Pa</t>
        </is>
      </c>
      <c r="E306" t="inlineStr">
        <is>
          <t>Cái</t>
        </is>
      </c>
      <c r="F306" t="inlineStr">
        <is>
          <t>-</t>
        </is>
      </c>
      <c r="G306" t="inlineStr">
        <is>
          <t>Phát sinh từ BOQ (chưa có trong CSDL)</t>
        </is>
      </c>
    </row>
    <row r="307">
      <c r="A307" t="n">
        <v>309</v>
      </c>
      <c r="B307" t="inlineStr">
        <is>
          <t>MAT-THUONG_MAI-HE_THONG_CAP_GIO_TUOI_GIO_BU_Q_B77E</t>
        </is>
      </c>
      <c r="C307" t="inlineStr">
        <is>
          <t>THUONG_MAI</t>
        </is>
      </c>
      <c r="D307" t="inlineStr">
        <is>
          <t>HỆ THỐNG CẤP GIÓ TƯƠI, GIÓ BÙ Quạt hướng trục OAF-A1.2-2F-04-01 157 l/s @150Pa</t>
        </is>
      </c>
      <c r="E307" t="inlineStr">
        <is>
          <t>Cái</t>
        </is>
      </c>
      <c r="F307" t="inlineStr">
        <is>
          <t>-</t>
        </is>
      </c>
      <c r="G307" t="inlineStr">
        <is>
          <t>Phát sinh từ BOQ (chưa có trong CSDL)</t>
        </is>
      </c>
    </row>
    <row r="308">
      <c r="A308" t="n">
        <v>310</v>
      </c>
      <c r="B308" t="inlineStr">
        <is>
          <t>MAT-THUONG_MAI-HE_THONG_CAP_GIO_TUOI_GIO_BU_Q_F8AA</t>
        </is>
      </c>
      <c r="C308" t="inlineStr">
        <is>
          <t>THUONG_MAI</t>
        </is>
      </c>
      <c r="D308" t="inlineStr">
        <is>
          <t>HỆ THỐNG CẤP GIÓ TƯƠI, GIÓ BÙ Quạt hướng trục OAF-A1.2-2F-05-01 151 l/s @150Pa</t>
        </is>
      </c>
      <c r="E308" t="inlineStr">
        <is>
          <t>Cái</t>
        </is>
      </c>
      <c r="F308" t="inlineStr">
        <is>
          <t>-</t>
        </is>
      </c>
      <c r="G308" t="inlineStr">
        <is>
          <t>Phát sinh từ BOQ (chưa có trong CSDL)</t>
        </is>
      </c>
    </row>
    <row r="309">
      <c r="A309" t="n">
        <v>311</v>
      </c>
      <c r="B309" t="inlineStr">
        <is>
          <t>MAT-THUONG_MAI-HE_THONG_CAP_GIO_TUOI_GIO_BU_Q_0ECD</t>
        </is>
      </c>
      <c r="C309" t="inlineStr">
        <is>
          <t>THUONG_MAI</t>
        </is>
      </c>
      <c r="D309" t="inlineStr">
        <is>
          <t>HỆ THỐNG CẤP GIÓ TƯƠI, GIÓ BÙ Quạt hướng trục OAF-A1.2-2F-06-01 159 l/s @150Pa</t>
        </is>
      </c>
      <c r="E309" t="inlineStr">
        <is>
          <t>Cái</t>
        </is>
      </c>
      <c r="F309" t="inlineStr">
        <is>
          <t>-</t>
        </is>
      </c>
      <c r="G309" t="inlineStr">
        <is>
          <t>Phát sinh từ BOQ (chưa có trong CSDL)</t>
        </is>
      </c>
    </row>
    <row r="310">
      <c r="A310" t="n">
        <v>312</v>
      </c>
      <c r="B310" t="inlineStr">
        <is>
          <t>MAT-THUONG_MAI-HE_THONG_CAP_GIO_TUOI_GIO_BU_Q_75AA</t>
        </is>
      </c>
      <c r="C310" t="inlineStr">
        <is>
          <t>THUONG_MAI</t>
        </is>
      </c>
      <c r="D310" t="inlineStr">
        <is>
          <t>HỆ THỐNG CẤP GIÓ TƯƠI, GIÓ BÙ Quạt hướng trục OAF-A1.2-2F-12-01 240 l/s @150Pa</t>
        </is>
      </c>
      <c r="E310" t="inlineStr">
        <is>
          <t>Cái</t>
        </is>
      </c>
      <c r="F310" t="inlineStr">
        <is>
          <t>-</t>
        </is>
      </c>
      <c r="G310" t="inlineStr">
        <is>
          <t>Phát sinh từ BOQ (chưa có trong CSDL)</t>
        </is>
      </c>
    </row>
    <row r="311">
      <c r="A311" t="n">
        <v>313</v>
      </c>
      <c r="B311" t="inlineStr">
        <is>
          <t>MAT-THUONG_MAI-HE_THONG_CAP_GIO_TUOI_GIO_BU_Q_7686</t>
        </is>
      </c>
      <c r="C311" t="inlineStr">
        <is>
          <t>THUONG_MAI</t>
        </is>
      </c>
      <c r="D311" t="inlineStr">
        <is>
          <t>HỆ THỐNG CẤP GIÓ TƯƠI, GIÓ BÙ Quạt hướng trục OAF-A1.3-2F-01-01 164 l/s @150Pa</t>
        </is>
      </c>
      <c r="E311" t="inlineStr">
        <is>
          <t>Cái</t>
        </is>
      </c>
      <c r="F311" t="inlineStr">
        <is>
          <t>-</t>
        </is>
      </c>
      <c r="G311" t="inlineStr">
        <is>
          <t>Phát sinh từ BOQ (chưa có trong CSDL)</t>
        </is>
      </c>
    </row>
    <row r="312">
      <c r="A312" t="n">
        <v>314</v>
      </c>
      <c r="B312" t="inlineStr">
        <is>
          <t>MAT-THUONG_MAI-HE_THONG_CAP_GIO_TUOI_GIO_BU_Q_8618</t>
        </is>
      </c>
      <c r="C312" t="inlineStr">
        <is>
          <t>THUONG_MAI</t>
        </is>
      </c>
      <c r="D312" t="inlineStr">
        <is>
          <t>HỆ THỐNG CẤP GIÓ TƯƠI, GIÓ BÙ Quạt hướng trục OAF-A1.3-2F-02-01 142 l/s @150Pa</t>
        </is>
      </c>
      <c r="E312" t="inlineStr">
        <is>
          <t>Cái</t>
        </is>
      </c>
      <c r="F312" t="inlineStr">
        <is>
          <t>-</t>
        </is>
      </c>
      <c r="G312" t="inlineStr">
        <is>
          <t>Phát sinh từ BOQ (chưa có trong CSDL)</t>
        </is>
      </c>
    </row>
    <row r="313">
      <c r="A313" t="n">
        <v>315</v>
      </c>
      <c r="B313" t="inlineStr">
        <is>
          <t>MAT-THUONG_MAI-HE_THONG_CAP_GIO_TUOI_GIO_BU_Q_3DF1</t>
        </is>
      </c>
      <c r="C313" t="inlineStr">
        <is>
          <t>THUONG_MAI</t>
        </is>
      </c>
      <c r="D313" t="inlineStr">
        <is>
          <t>HỆ THỐNG CẤP GIÓ TƯƠI, GIÓ BÙ Quạt hướng trục OAF-A1.3-2F-03-01 268 l/s @150Pa</t>
        </is>
      </c>
      <c r="E313" t="inlineStr">
        <is>
          <t>Cái</t>
        </is>
      </c>
      <c r="F313" t="inlineStr">
        <is>
          <t>-</t>
        </is>
      </c>
      <c r="G313" t="inlineStr">
        <is>
          <t>Phát sinh từ BOQ (chưa có trong CSDL)</t>
        </is>
      </c>
    </row>
    <row r="314">
      <c r="A314" t="n">
        <v>316</v>
      </c>
      <c r="B314" t="inlineStr">
        <is>
          <t>MAT-THUONG_MAI-HE_THONG_CAP_GIO_TUOI_GIO_BU_Q_ECC7</t>
        </is>
      </c>
      <c r="C314" t="inlineStr">
        <is>
          <t>THUONG_MAI</t>
        </is>
      </c>
      <c r="D314" t="inlineStr">
        <is>
          <t>HỆ THỐNG CẤP GIÓ TƯƠI, GIÓ BÙ Quạt hướng trục OAF-A1.3-2F-05A-01 167 l/s @150Pa</t>
        </is>
      </c>
      <c r="E314" t="inlineStr">
        <is>
          <t>Cái</t>
        </is>
      </c>
      <c r="F314" t="inlineStr">
        <is>
          <t>-</t>
        </is>
      </c>
      <c r="G314" t="inlineStr">
        <is>
          <t>Phát sinh từ BOQ (chưa có trong CSDL)</t>
        </is>
      </c>
    </row>
    <row r="315">
      <c r="A315" t="n">
        <v>317</v>
      </c>
      <c r="B315" t="inlineStr">
        <is>
          <t>MAT-THUONG_MAI-HE_THONG_CAP_GIO_TUOI_GIO_BU_Q_836C</t>
        </is>
      </c>
      <c r="C315" t="inlineStr">
        <is>
          <t>THUONG_MAI</t>
        </is>
      </c>
      <c r="D315" t="inlineStr">
        <is>
          <t>HỆ THỐNG CẤP GIÓ TƯƠI, GIÓ BÙ Quạt hướng trục OAF-A1.3-2F-05-01 82 l/s @150Pa</t>
        </is>
      </c>
      <c r="E315" t="inlineStr">
        <is>
          <t>Cái</t>
        </is>
      </c>
      <c r="F315" t="inlineStr">
        <is>
          <t>-</t>
        </is>
      </c>
      <c r="G315" t="inlineStr">
        <is>
          <t>Phát sinh từ BOQ (chưa có trong CSDL)</t>
        </is>
      </c>
    </row>
    <row r="316">
      <c r="A316" t="n">
        <v>318</v>
      </c>
      <c r="B316" t="inlineStr">
        <is>
          <t>MAT-THUONG_MAI-HE_THONG_CAP_GIO_TUOI_GIO_BU_Q_61A1</t>
        </is>
      </c>
      <c r="C316" t="inlineStr">
        <is>
          <t>THUONG_MAI</t>
        </is>
      </c>
      <c r="D316" t="inlineStr">
        <is>
          <t>HỆ THỐNG CẤP GIÓ TƯƠI, GIÓ BÙ Quạt hướng trục OAF-A1.3-2F-06-01 47 l/s @150Pa</t>
        </is>
      </c>
      <c r="E316" t="inlineStr">
        <is>
          <t>Cái</t>
        </is>
      </c>
      <c r="F316" t="inlineStr">
        <is>
          <t>-</t>
        </is>
      </c>
      <c r="G316" t="inlineStr">
        <is>
          <t>Phát sinh từ BOQ (chưa có trong CSDL)</t>
        </is>
      </c>
    </row>
    <row r="317">
      <c r="A317" t="n">
        <v>319</v>
      </c>
      <c r="B317" t="inlineStr">
        <is>
          <t>MAT-THUONG_MAI-HE_THONG_CAP_GIO_TUOI_GIO_BU_Q_99F8</t>
        </is>
      </c>
      <c r="C317" t="inlineStr">
        <is>
          <t>THUONG_MAI</t>
        </is>
      </c>
      <c r="D317" t="inlineStr">
        <is>
          <t>HỆ THỐNG CẤP GIÓ TƯƠI, GIÓ BÙ Quạt hướng trục OAF-A1.3-2F-08A-01 147 l/s @150Pa</t>
        </is>
      </c>
      <c r="E317" t="inlineStr">
        <is>
          <t>Cái</t>
        </is>
      </c>
      <c r="F317" t="inlineStr">
        <is>
          <t>-</t>
        </is>
      </c>
      <c r="G317" t="inlineStr">
        <is>
          <t>Phát sinh từ BOQ (chưa có trong CSDL)</t>
        </is>
      </c>
    </row>
    <row r="318">
      <c r="A318" t="n">
        <v>320</v>
      </c>
      <c r="B318" t="inlineStr">
        <is>
          <t>MAT-BOX-HE_THONG_ONG_THONG_C_2F73</t>
        </is>
      </c>
      <c r="C318" t="inlineStr">
        <is>
          <t>THUONG_MAI</t>
        </is>
      </c>
      <c r="D318" t="inlineStr">
        <is>
          <t>Box phụ kiện 0.58mm</t>
        </is>
      </c>
      <c r="E318" t="inlineStr">
        <is>
          <t>Cái</t>
        </is>
      </c>
      <c r="F318" t="inlineStr">
        <is>
          <t>-</t>
        </is>
      </c>
      <c r="G318" t="inlineStr">
        <is>
          <t>Phát sinh từ BOQ (chưa có trong CSDL)</t>
        </is>
      </c>
    </row>
    <row r="319">
      <c r="A319" t="n">
        <v>321</v>
      </c>
      <c r="B319" t="inlineStr">
        <is>
          <t>MAT-BOX-HE_THONG_ONG_THONG_C_AAB8</t>
        </is>
      </c>
      <c r="C319" t="inlineStr">
        <is>
          <t>THUONG_MAI</t>
        </is>
      </c>
      <c r="D319" t="inlineStr">
        <is>
          <t>Box phụ kiện 0.75mm</t>
        </is>
      </c>
      <c r="E319" t="inlineStr">
        <is>
          <t>Cái</t>
        </is>
      </c>
      <c r="F319" t="inlineStr">
        <is>
          <t>-</t>
        </is>
      </c>
      <c r="G319" t="inlineStr">
        <is>
          <t>Phát sinh từ BOQ (chưa có trong CSDL)</t>
        </is>
      </c>
    </row>
    <row r="320">
      <c r="A320" t="n">
        <v>322</v>
      </c>
      <c r="B320" t="inlineStr">
        <is>
          <t>MAT-BOX-HE_THONG_ONG_THONG_C_A0C1</t>
        </is>
      </c>
      <c r="C320" t="inlineStr">
        <is>
          <t>THUONG_MAI</t>
        </is>
      </c>
      <c r="D320" t="inlineStr">
        <is>
          <t>Box phụ kiện 0.95mm</t>
        </is>
      </c>
      <c r="E320" t="inlineStr">
        <is>
          <t>Cái</t>
        </is>
      </c>
      <c r="F320" t="inlineStr">
        <is>
          <t>-</t>
        </is>
      </c>
      <c r="G320" t="inlineStr">
        <is>
          <t>Phát sinh từ BOQ (chưa có trong CSDL)</t>
        </is>
      </c>
    </row>
    <row r="321">
      <c r="A321" t="n">
        <v>323</v>
      </c>
      <c r="B321" t="inlineStr">
        <is>
          <t>MAT-BOX-HE_THONG_ONG_THONG_C_49CD</t>
        </is>
      </c>
      <c r="C321" t="inlineStr">
        <is>
          <t>THUONG_MAI</t>
        </is>
      </c>
      <c r="D321" t="inlineStr">
        <is>
          <t>Box phụ kiện 1.15mm</t>
        </is>
      </c>
      <c r="E321" t="inlineStr">
        <is>
          <t>Cái</t>
        </is>
      </c>
      <c r="F321" t="inlineStr">
        <is>
          <t>-</t>
        </is>
      </c>
      <c r="G321" t="inlineStr">
        <is>
          <t>Phát sinh từ BOQ (chưa có trong CSDL)</t>
        </is>
      </c>
    </row>
    <row r="322">
      <c r="A322" t="n">
        <v>324</v>
      </c>
      <c r="B322" t="inlineStr">
        <is>
          <t>MAT-BOX-HE_THONG_ONG_THONG_C_D98A</t>
        </is>
      </c>
      <c r="C322" t="inlineStr">
        <is>
          <t>THUONG_MAI</t>
        </is>
      </c>
      <c r="D322" t="inlineStr">
        <is>
          <t>Box phụ kiện 0.75mm</t>
        </is>
      </c>
      <c r="E322" t="inlineStr">
        <is>
          <t>Cái</t>
        </is>
      </c>
      <c r="F322" t="inlineStr">
        <is>
          <t>-</t>
        </is>
      </c>
      <c r="G322" t="inlineStr">
        <is>
          <t>Phát sinh từ BOQ (chưa có trong CSDL)</t>
        </is>
      </c>
    </row>
    <row r="323">
      <c r="A323" t="n">
        <v>325</v>
      </c>
      <c r="B323" t="inlineStr">
        <is>
          <t>MAT-THUONG_MAI-HE_THONG_ONG_THONG_CAP_GIO_TUO_01B5</t>
        </is>
      </c>
      <c r="C323" t="inlineStr">
        <is>
          <t>THUONG_MAI</t>
        </is>
      </c>
      <c r="D323" t="inlineStr">
        <is>
          <t>Hệ thống ống thông cấp gió tươi, gió bù, box miệng gió Lớp chống cháy EI30</t>
        </is>
      </c>
      <c r="E323" t="inlineStr">
        <is>
          <t>m2</t>
        </is>
      </c>
      <c r="F323" t="inlineStr">
        <is>
          <t>-</t>
        </is>
      </c>
      <c r="G323" t="inlineStr">
        <is>
          <t>Phát sinh từ BOQ (chưa có trong CSDL)</t>
        </is>
      </c>
    </row>
    <row r="324">
      <c r="A324" t="n">
        <v>326</v>
      </c>
      <c r="B324" t="inlineStr">
        <is>
          <t>MAT-BOX-HE_THONG_ONG_THONG_C_01B5</t>
        </is>
      </c>
      <c r="C324" t="inlineStr">
        <is>
          <t>THUONG_MAI</t>
        </is>
      </c>
      <c r="D324" t="inlineStr">
        <is>
          <t>Box phụ kiện -</t>
        </is>
      </c>
      <c r="E324" t="inlineStr">
        <is>
          <t>Cái</t>
        </is>
      </c>
      <c r="F324" t="inlineStr">
        <is>
          <t>-</t>
        </is>
      </c>
      <c r="G324" t="inlineStr">
        <is>
          <t>Phát sinh từ BOQ (chưa có trong CSDL)</t>
        </is>
      </c>
    </row>
    <row r="325">
      <c r="A325" t="n">
        <v>327</v>
      </c>
      <c r="B325" t="inlineStr">
        <is>
          <t>MAT-THUONG_MAI-HE_THONG_ONG_THONG_CAP_GIO_TUO_96F1</t>
        </is>
      </c>
      <c r="C325" t="inlineStr">
        <is>
          <t>THUONG_MAI</t>
        </is>
      </c>
      <c r="D325" t="inlineStr">
        <is>
          <t>Hệ thống ống thông cấp gió tươi, gió bù, box miệng gió Lớp chống cháy EI60</t>
        </is>
      </c>
      <c r="E325" t="inlineStr">
        <is>
          <t>m2</t>
        </is>
      </c>
      <c r="F325" t="inlineStr">
        <is>
          <t>-</t>
        </is>
      </c>
      <c r="G325" t="inlineStr">
        <is>
          <t>Phát sinh từ BOQ (chưa có trong CSDL)</t>
        </is>
      </c>
    </row>
    <row r="326">
      <c r="A326" t="n">
        <v>328</v>
      </c>
      <c r="B326" t="inlineStr">
        <is>
          <t>MAT-BOX-HE_THONG_ONG_THONG_C_96F1</t>
        </is>
      </c>
      <c r="C326" t="inlineStr">
        <is>
          <t>THUONG_MAI</t>
        </is>
      </c>
      <c r="D326" t="inlineStr">
        <is>
          <t>Box phụ kiện -</t>
        </is>
      </c>
      <c r="E326" t="inlineStr">
        <is>
          <t>Cái</t>
        </is>
      </c>
      <c r="F326" t="inlineStr">
        <is>
          <t>-</t>
        </is>
      </c>
      <c r="G326" t="inlineStr">
        <is>
          <t>Phát sinh từ BOQ (chưa có trong CSDL)</t>
        </is>
      </c>
    </row>
    <row r="327">
      <c r="A327" t="n">
        <v>329</v>
      </c>
      <c r="B327" t="inlineStr">
        <is>
          <t>MAT-THUONG_MAI-HE_THONG_ONG_THONG_CAP_GIO_TUO_6B58</t>
        </is>
      </c>
      <c r="C327" t="inlineStr">
        <is>
          <t>THUONG_MAI</t>
        </is>
      </c>
      <c r="D327" t="inlineStr">
        <is>
          <t>Hệ thống ống thông cấp gió tươi, gió bù, box miệng gió Lớp chống cháy EI120</t>
        </is>
      </c>
      <c r="E327" t="inlineStr">
        <is>
          <t>m2</t>
        </is>
      </c>
      <c r="F327" t="inlineStr">
        <is>
          <t>-</t>
        </is>
      </c>
      <c r="G327" t="inlineStr">
        <is>
          <t>Phát sinh từ BOQ (chưa có trong CSDL)</t>
        </is>
      </c>
    </row>
    <row r="328">
      <c r="A328" t="n">
        <v>330</v>
      </c>
      <c r="B328" t="inlineStr">
        <is>
          <t>MAT-BOX-HE_THONG_ONG_THONG_C_6B58</t>
        </is>
      </c>
      <c r="C328" t="inlineStr">
        <is>
          <t>THUONG_MAI</t>
        </is>
      </c>
      <c r="D328" t="inlineStr">
        <is>
          <t>Box phụ kiện -</t>
        </is>
      </c>
      <c r="E328" t="inlineStr">
        <is>
          <t>Cái</t>
        </is>
      </c>
      <c r="F328" t="inlineStr">
        <is>
          <t>-</t>
        </is>
      </c>
      <c r="G328" t="inlineStr">
        <is>
          <t>Phát sinh từ BOQ (chưa có trong CSDL)</t>
        </is>
      </c>
    </row>
    <row r="329">
      <c r="A329" t="n">
        <v>331</v>
      </c>
      <c r="B329" t="inlineStr">
        <is>
          <t>MAT-THUONG_MAI-HE_THONG_ONG_THONG_CAP_GIO_TUO_D3FF</t>
        </is>
      </c>
      <c r="C329" t="inlineStr">
        <is>
          <t>THUONG_MAI</t>
        </is>
      </c>
      <c r="D329" t="inlineStr">
        <is>
          <t>Hệ thống ống thông cấp gió tươi, gió bù, box miệng gió Vật tư phụ, phụ kiện</t>
        </is>
      </c>
      <c r="E329" t="inlineStr">
        <is>
          <t>Lô</t>
        </is>
      </c>
      <c r="F329" t="inlineStr">
        <is>
          <t>-</t>
        </is>
      </c>
      <c r="G329" t="inlineStr">
        <is>
          <t>Phát sinh từ BOQ (chưa có trong CSDL)</t>
        </is>
      </c>
    </row>
    <row r="330">
      <c r="A330" t="n">
        <v>332</v>
      </c>
      <c r="B330" t="inlineStr">
        <is>
          <t>MAT-BOX-HE_THONG_ONG_THONG_C_D3FF</t>
        </is>
      </c>
      <c r="C330" t="inlineStr">
        <is>
          <t>THUONG_MAI</t>
        </is>
      </c>
      <c r="D330" t="inlineStr">
        <is>
          <t>Box phụ kiện -</t>
        </is>
      </c>
      <c r="E330" t="inlineStr">
        <is>
          <t>Cái</t>
        </is>
      </c>
      <c r="F330" t="inlineStr">
        <is>
          <t>-</t>
        </is>
      </c>
      <c r="G330" t="inlineStr">
        <is>
          <t>Phát sinh từ BOQ (chưa có trong CSDL)</t>
        </is>
      </c>
    </row>
    <row r="331">
      <c r="A331" t="n">
        <v>333</v>
      </c>
      <c r="B331" t="inlineStr">
        <is>
          <t>MAT-THUONG_MAI-HE_THONG_HUT_GIO_THAI_HUT_GIO_B0A9</t>
        </is>
      </c>
      <c r="C331" t="inlineStr">
        <is>
          <t>THUONG_MAI</t>
        </is>
      </c>
      <c r="D331" t="inlineStr">
        <is>
          <t>Hệ thống hút gió thải, hút gió bếp Quạt hướng trục EAF-B2-Z2-03 260 l/s 200Pa</t>
        </is>
      </c>
      <c r="E331" t="inlineStr">
        <is>
          <t>Bộ</t>
        </is>
      </c>
      <c r="F331" t="inlineStr">
        <is>
          <t>-</t>
        </is>
      </c>
      <c r="G331" t="inlineStr">
        <is>
          <t>Phát sinh từ BOQ (chưa có trong CSDL)</t>
        </is>
      </c>
    </row>
    <row r="332">
      <c r="A332" t="n">
        <v>334</v>
      </c>
      <c r="B332" t="inlineStr">
        <is>
          <t>MAT-THUONG_MAI-HE_THONG_HUT_GIO_THAI_HUT_GIO_065B</t>
        </is>
      </c>
      <c r="C332" t="inlineStr">
        <is>
          <t>THUONG_MAI</t>
        </is>
      </c>
      <c r="D332" t="inlineStr">
        <is>
          <t>Hệ thống hút gió thải, hút gió bếp Quạt hướng trục EAF-B2-Z2-04 600 l/s 200Pa</t>
        </is>
      </c>
      <c r="E332" t="inlineStr">
        <is>
          <t>Bộ</t>
        </is>
      </c>
      <c r="F332" t="inlineStr">
        <is>
          <t>-</t>
        </is>
      </c>
      <c r="G332" t="inlineStr">
        <is>
          <t>Phát sinh từ BOQ (chưa có trong CSDL)</t>
        </is>
      </c>
    </row>
    <row r="333">
      <c r="A333" t="n">
        <v>335</v>
      </c>
      <c r="B333" t="inlineStr">
        <is>
          <t>MAT-THUONG_MAI-HE_THONG_HUT_GIO_THAI_HUT_GIO_709C</t>
        </is>
      </c>
      <c r="C333" t="inlineStr">
        <is>
          <t>THUONG_MAI</t>
        </is>
      </c>
      <c r="D333" t="inlineStr">
        <is>
          <t>Hệ thống hút gió thải, hút gió bếp Quạt hướng trục EAF-B2-Z2-06 320 l/s 200Pa</t>
        </is>
      </c>
      <c r="E333" t="inlineStr">
        <is>
          <t>Bộ</t>
        </is>
      </c>
      <c r="F333" t="inlineStr">
        <is>
          <t>-</t>
        </is>
      </c>
      <c r="G333" t="inlineStr">
        <is>
          <t>Phát sinh từ BOQ (chưa có trong CSDL)</t>
        </is>
      </c>
    </row>
    <row r="334">
      <c r="A334" t="n">
        <v>336</v>
      </c>
      <c r="B334" t="inlineStr">
        <is>
          <t>MAT-THUONG_MAI-HE_THONG_HUT_GIO_THAI_HUT_GIO_E019</t>
        </is>
      </c>
      <c r="C334" t="inlineStr">
        <is>
          <t>THUONG_MAI</t>
        </is>
      </c>
      <c r="D334" t="inlineStr">
        <is>
          <t>Hệ thống hút gió thải, hút gió bếp Quạt hướng trục EAF-B1-Z1-03 6670 l/s 350Pa</t>
        </is>
      </c>
      <c r="E334" t="inlineStr">
        <is>
          <t>Bộ</t>
        </is>
      </c>
      <c r="F334" t="inlineStr">
        <is>
          <t>-</t>
        </is>
      </c>
      <c r="G334" t="inlineStr">
        <is>
          <t>Phát sinh từ BOQ (chưa có trong CSDL)</t>
        </is>
      </c>
    </row>
    <row r="335">
      <c r="A335" t="n">
        <v>337</v>
      </c>
      <c r="B335" t="inlineStr">
        <is>
          <t>MAT-THUONG_MAI-HE_THONG_HUT_GIO_THAI_HUT_GIO_3D6A</t>
        </is>
      </c>
      <c r="C335" t="inlineStr">
        <is>
          <t>THUONG_MAI</t>
        </is>
      </c>
      <c r="D335" t="inlineStr">
        <is>
          <t>Hệ thống hút gió thải, hút gió bếp Quạt hướng trục EAF-B1-Z1-04 4690 l/s 400Pa</t>
        </is>
      </c>
      <c r="E335" t="inlineStr">
        <is>
          <t>Bộ</t>
        </is>
      </c>
      <c r="F335" t="inlineStr">
        <is>
          <t>-</t>
        </is>
      </c>
      <c r="G335" t="inlineStr">
        <is>
          <t>Phát sinh từ BOQ (chưa có trong CSDL)</t>
        </is>
      </c>
    </row>
    <row r="336">
      <c r="A336" t="n">
        <v>338</v>
      </c>
      <c r="B336" t="inlineStr">
        <is>
          <t>MAT-THUONG_MAI-HE_THONG_HUT_GIO_THAI_HUT_GIO_5D2C</t>
        </is>
      </c>
      <c r="C336" t="inlineStr">
        <is>
          <t>THUONG_MAI</t>
        </is>
      </c>
      <c r="D336" t="inlineStr">
        <is>
          <t>Hệ thống hút gió thải, hút gió bếp Quạt hướng trục EAF-A1.3-10F-01~02 130 l/s @ 350 Pa</t>
        </is>
      </c>
      <c r="E336" t="inlineStr">
        <is>
          <t>Cái</t>
        </is>
      </c>
      <c r="F336" t="inlineStr">
        <is>
          <t>-</t>
        </is>
      </c>
      <c r="G336" t="inlineStr">
        <is>
          <t>Phát sinh từ BOQ (chưa có trong CSDL)</t>
        </is>
      </c>
    </row>
    <row r="337">
      <c r="A337" t="n">
        <v>339</v>
      </c>
      <c r="B337" t="inlineStr">
        <is>
          <t>MAT-THUONG_MAI-HE_THONG_HUT_GIO_THAI_HUT_GIO_FCCB</t>
        </is>
      </c>
      <c r="C337" t="inlineStr">
        <is>
          <t>THUONG_MAI</t>
        </is>
      </c>
      <c r="D337" t="inlineStr">
        <is>
          <t>Hệ thống hút gió thải, hút gió bếp Quạt hướng trục EAF-A1.3-10F-03~04 140 l/s @ 350 Pa</t>
        </is>
      </c>
      <c r="E337" t="inlineStr">
        <is>
          <t>Cái</t>
        </is>
      </c>
      <c r="F337" t="inlineStr">
        <is>
          <t>-</t>
        </is>
      </c>
      <c r="G337" t="inlineStr">
        <is>
          <t>Phát sinh từ BOQ (chưa có trong CSDL)</t>
        </is>
      </c>
    </row>
    <row r="338">
      <c r="A338" t="n">
        <v>340</v>
      </c>
      <c r="B338" t="inlineStr">
        <is>
          <t>MAT-THUONG_MAI-HE_THONG_HUT_GIO_THAI_HUT_GIO_F554</t>
        </is>
      </c>
      <c r="C338" t="inlineStr">
        <is>
          <t>THUONG_MAI</t>
        </is>
      </c>
      <c r="D338" t="inlineStr">
        <is>
          <t>Hệ thống hút gió thải, hút gió bếp Quạt hướng trục EAF-A1.3-10F-05~06 3210 l/s @ 450 Pa</t>
        </is>
      </c>
      <c r="E338" t="inlineStr">
        <is>
          <t>Cái</t>
        </is>
      </c>
      <c r="F338" t="inlineStr">
        <is>
          <t>-</t>
        </is>
      </c>
      <c r="G338" t="inlineStr">
        <is>
          <t>Phát sinh từ BOQ (chưa có trong CSDL)</t>
        </is>
      </c>
    </row>
    <row r="339">
      <c r="A339" t="n">
        <v>341</v>
      </c>
      <c r="B339" t="inlineStr">
        <is>
          <t>MAT-THUONG_MAI-HE_THONG_HUT_GIO_THAI_HUT_GIO_9450</t>
        </is>
      </c>
      <c r="C339" t="inlineStr">
        <is>
          <t>THUONG_MAI</t>
        </is>
      </c>
      <c r="D339" t="inlineStr">
        <is>
          <t>Hệ thống hút gió thải, hút gió bếp Quạt hướng trục KEAF-A1.3-10F-01~02 3900 l/s @ 500 Pa</t>
        </is>
      </c>
      <c r="E339" t="inlineStr">
        <is>
          <t>Cái</t>
        </is>
      </c>
      <c r="F339" t="inlineStr">
        <is>
          <t>-</t>
        </is>
      </c>
      <c r="G339" t="inlineStr">
        <is>
          <t>Phát sinh từ BOQ (chưa có trong CSDL)</t>
        </is>
      </c>
    </row>
    <row r="340">
      <c r="A340" t="n">
        <v>342</v>
      </c>
      <c r="B340" t="inlineStr">
        <is>
          <t>MAT-THUONG_MAI-HE_THONG_HUT_GIO_THAI_HUT_GIO_E7E7</t>
        </is>
      </c>
      <c r="C340" t="inlineStr">
        <is>
          <t>THUONG_MAI</t>
        </is>
      </c>
      <c r="D340" t="inlineStr">
        <is>
          <t>Hệ thống hút gió thải, hút gió bếp Quạt hướng trục EAF-A1.3-10F-01~02 150 l/s @ 350 Pa</t>
        </is>
      </c>
      <c r="E340" t="inlineStr">
        <is>
          <t>Cái</t>
        </is>
      </c>
      <c r="F340" t="inlineStr">
        <is>
          <t>-</t>
        </is>
      </c>
      <c r="G340" t="inlineStr">
        <is>
          <t>Phát sinh từ BOQ (chưa có trong CSDL)</t>
        </is>
      </c>
    </row>
    <row r="341">
      <c r="A341" t="n">
        <v>343</v>
      </c>
      <c r="B341" t="inlineStr">
        <is>
          <t>MAT-THUONG_MAI-HE_THONG_HUT_GIO_THAI_HUT_GIO_A302</t>
        </is>
      </c>
      <c r="C341" t="inlineStr">
        <is>
          <t>THUONG_MAI</t>
        </is>
      </c>
      <c r="D341" t="inlineStr">
        <is>
          <t>Hệ thống hút gió thải, hút gió bếp Quạt hướng trục EAF-A1.2-12F-03, 04 180 l/s @ 350 Pa</t>
        </is>
      </c>
      <c r="E341" t="inlineStr">
        <is>
          <t>Cái</t>
        </is>
      </c>
      <c r="F341" t="inlineStr">
        <is>
          <t>-</t>
        </is>
      </c>
      <c r="G341" t="inlineStr">
        <is>
          <t>Phát sinh từ BOQ (chưa có trong CSDL)</t>
        </is>
      </c>
    </row>
    <row r="342">
      <c r="A342" t="n">
        <v>344</v>
      </c>
      <c r="B342" t="inlineStr">
        <is>
          <t>MAT-THUONG_MAI-HE_THONG_HUT_GIO_THAI_HUT_GIO_C3B3</t>
        </is>
      </c>
      <c r="C342" t="inlineStr">
        <is>
          <t>THUONG_MAI</t>
        </is>
      </c>
      <c r="D342" t="inlineStr">
        <is>
          <t>Hệ thống hút gió thải, hút gió bếp Quạt hướng trục EAF-A1.2-12F-05~06 3300 l/s @ 450 Pa</t>
        </is>
      </c>
      <c r="E342" t="inlineStr">
        <is>
          <t>Cái</t>
        </is>
      </c>
      <c r="F342" t="inlineStr">
        <is>
          <t>-</t>
        </is>
      </c>
      <c r="G342" t="inlineStr">
        <is>
          <t>Phát sinh từ BOQ (chưa có trong CSDL)</t>
        </is>
      </c>
    </row>
    <row r="343">
      <c r="A343" t="n">
        <v>345</v>
      </c>
      <c r="B343" t="inlineStr">
        <is>
          <t>MAT-THUONG_MAI-HE_THONG_HUT_GIO_THAI_HUT_GIO_A23D</t>
        </is>
      </c>
      <c r="C343" t="inlineStr">
        <is>
          <t>THUONG_MAI</t>
        </is>
      </c>
      <c r="D343" t="inlineStr">
        <is>
          <t>Hệ thống hút gió thải, hút gió bếp Quạt hướng trục KEAF-A1.2-12F-01~02 4800 l/s @ 500 Pa</t>
        </is>
      </c>
      <c r="E343" t="inlineStr">
        <is>
          <t>Cái</t>
        </is>
      </c>
      <c r="F343" t="inlineStr">
        <is>
          <t>-</t>
        </is>
      </c>
      <c r="G343" t="inlineStr">
        <is>
          <t>Phát sinh từ BOQ (chưa có trong CSDL)</t>
        </is>
      </c>
    </row>
    <row r="344">
      <c r="A344" t="n">
        <v>346</v>
      </c>
      <c r="B344" t="inlineStr">
        <is>
          <t>MAT-THUONG_MAI-HE_THONG_HUT_GIO_THAI_HUT_GIO_97DE</t>
        </is>
      </c>
      <c r="C344" t="inlineStr">
        <is>
          <t>THUONG_MAI</t>
        </is>
      </c>
      <c r="D344" t="inlineStr">
        <is>
          <t>Hệ thống hút gió thải, hút gió bếp Quạt hướng trục EAF-A1.1-RF-01, 240 l/s @ 350 Pa</t>
        </is>
      </c>
      <c r="E344" t="inlineStr">
        <is>
          <t>Cái</t>
        </is>
      </c>
      <c r="F344" t="inlineStr">
        <is>
          <t>-</t>
        </is>
      </c>
      <c r="G344" t="inlineStr">
        <is>
          <t>Phát sinh từ BOQ (chưa có trong CSDL)</t>
        </is>
      </c>
    </row>
    <row r="345">
      <c r="A345" t="n">
        <v>347</v>
      </c>
      <c r="B345" t="inlineStr">
        <is>
          <t>MAT-THUONG_MAI-HE_THONG_HUT_GIO_THAI_HUT_GIO_3FA4</t>
        </is>
      </c>
      <c r="C345" t="inlineStr">
        <is>
          <t>THUONG_MAI</t>
        </is>
      </c>
      <c r="D345" t="inlineStr">
        <is>
          <t>Hệ thống hút gió thải, hút gió bếp Quạt hướng trục EAF-A1.1-RF-03, 04 180 l/s @ 350 Pa</t>
        </is>
      </c>
      <c r="E345" t="inlineStr">
        <is>
          <t>Cái</t>
        </is>
      </c>
      <c r="F345" t="inlineStr">
        <is>
          <t>-</t>
        </is>
      </c>
      <c r="G345" t="inlineStr">
        <is>
          <t>Phát sinh từ BOQ (chưa có trong CSDL)</t>
        </is>
      </c>
    </row>
    <row r="346">
      <c r="A346" t="n">
        <v>348</v>
      </c>
      <c r="B346" t="inlineStr">
        <is>
          <t>MAT-THUONG_MAI-HE_THONG_HUT_GIO_THAI_HUT_GIO_2776</t>
        </is>
      </c>
      <c r="C346" t="inlineStr">
        <is>
          <t>THUONG_MAI</t>
        </is>
      </c>
      <c r="D346" t="inlineStr">
        <is>
          <t>Hệ thống hút gió thải, hút gió bếp Quạt hướng trục EAF-A1.1-RF-05~06 2363 l/s @ 400 Pa</t>
        </is>
      </c>
      <c r="E346" t="inlineStr">
        <is>
          <t>Cái</t>
        </is>
      </c>
      <c r="F346" t="inlineStr">
        <is>
          <t>-</t>
        </is>
      </c>
      <c r="G346" t="inlineStr">
        <is>
          <t>Phát sinh từ BOQ (chưa có trong CSDL)</t>
        </is>
      </c>
    </row>
    <row r="347">
      <c r="A347" t="n">
        <v>349</v>
      </c>
      <c r="B347" t="inlineStr">
        <is>
          <t>MAT-THUONG_MAI-HE_THONG_HUT_GIO_THAI_HUT_GIO_31F6</t>
        </is>
      </c>
      <c r="C347" t="inlineStr">
        <is>
          <t>THUONG_MAI</t>
        </is>
      </c>
      <c r="D347" t="inlineStr">
        <is>
          <t>Hệ thống hút gió thải, hút gió bếp Quạt hướng trục KEAF-A1.1-RF-01~02 3450 l/s @ 450 Pa</t>
        </is>
      </c>
      <c r="E347" t="inlineStr">
        <is>
          <t>Cái</t>
        </is>
      </c>
      <c r="F347" t="inlineStr">
        <is>
          <t>-</t>
        </is>
      </c>
      <c r="G347" t="inlineStr">
        <is>
          <t>Phát sinh từ BOQ (chưa có trong CSDL)</t>
        </is>
      </c>
    </row>
    <row r="348">
      <c r="A348" t="n">
        <v>350</v>
      </c>
      <c r="B348" t="inlineStr">
        <is>
          <t>MAT-THUONG_MAI-HE_THONG_HUT_GIO_THAI_HUT_GIO_964E</t>
        </is>
      </c>
      <c r="C348" t="inlineStr">
        <is>
          <t>THUONG_MAI</t>
        </is>
      </c>
      <c r="D348" t="inlineStr">
        <is>
          <t>Hệ thống hút gió thải, hút gió bếp Quạt gắn trần EAF-A1.1-1F.01~04, EAF-A1.2-1F.01~08, EAF-A1.3-1F.01~04 35l/s @ 75Pa</t>
        </is>
      </c>
      <c r="E348" t="inlineStr">
        <is>
          <t>Cái</t>
        </is>
      </c>
      <c r="F348" t="inlineStr">
        <is>
          <t>-</t>
        </is>
      </c>
      <c r="G348" t="inlineStr">
        <is>
          <t>Phát sinh từ BOQ (chưa có trong CSDL)</t>
        </is>
      </c>
    </row>
    <row r="349">
      <c r="A349" t="n">
        <v>351</v>
      </c>
      <c r="B349" t="inlineStr">
        <is>
          <t>MAT-THUONG_MAI-HE_THONG_HUT_GIO_THAI_HUT_GIO_AAC6</t>
        </is>
      </c>
      <c r="C349" t="inlineStr">
        <is>
          <t>THUONG_MAI</t>
        </is>
      </c>
      <c r="D349" t="inlineStr">
        <is>
          <t>Hệ thống hút gió thải, hút gió bếp Quạt gắn trần EAF-A1.3-1F.05 140l/s @ 150Pa</t>
        </is>
      </c>
      <c r="E349" t="inlineStr">
        <is>
          <t>Cái</t>
        </is>
      </c>
      <c r="F349" t="inlineStr">
        <is>
          <t>-</t>
        </is>
      </c>
      <c r="G349" t="inlineStr">
        <is>
          <t>Phát sinh từ BOQ (chưa có trong CSDL)</t>
        </is>
      </c>
    </row>
    <row r="350">
      <c r="A350" t="n">
        <v>352</v>
      </c>
      <c r="B350" t="inlineStr">
        <is>
          <t>MAT-THUONG_MAI-HE_THONG_HUT_GIO_THAI_HUT_GIO_61B8</t>
        </is>
      </c>
      <c r="C350" t="inlineStr">
        <is>
          <t>THUONG_MAI</t>
        </is>
      </c>
      <c r="D350" t="inlineStr">
        <is>
          <t>Hệ thống hút gió thải, hút gió bếp Quạt gắn trần EAF-A1.1-2F.01~09, EAF-A1.2-1F.01~13, EAF-A1.3-1F.01~08 35l/s @ 75Pa</t>
        </is>
      </c>
      <c r="E350" t="inlineStr">
        <is>
          <t>Cái</t>
        </is>
      </c>
      <c r="F350" t="inlineStr">
        <is>
          <t>-</t>
        </is>
      </c>
      <c r="G350" t="inlineStr">
        <is>
          <t>Phát sinh từ BOQ (chưa có trong CSDL)</t>
        </is>
      </c>
    </row>
    <row r="351">
      <c r="A351" t="n">
        <v>353</v>
      </c>
      <c r="B351" t="inlineStr">
        <is>
          <t>MAT-THUONG_MAI-HE_THONG_HUT_GIO_THAI_HUT_GIO_087D</t>
        </is>
      </c>
      <c r="C351" t="inlineStr">
        <is>
          <t>THUONG_MAI</t>
        </is>
      </c>
      <c r="D351" t="inlineStr">
        <is>
          <t>Hệ thống hút gió thải, hút gió bếp Quạt hướng trục EAF-A1.1-2F-08 140 l/s @ 200 Pa</t>
        </is>
      </c>
      <c r="E351" t="inlineStr">
        <is>
          <t>Cái</t>
        </is>
      </c>
      <c r="F351" t="inlineStr">
        <is>
          <t>-</t>
        </is>
      </c>
      <c r="G351" t="inlineStr">
        <is>
          <t>Phát sinh từ BOQ (chưa có trong CSDL)</t>
        </is>
      </c>
    </row>
    <row r="352">
      <c r="A352" t="n">
        <v>354</v>
      </c>
      <c r="B352" t="inlineStr">
        <is>
          <t>MAT-THUONG_MAI-HE_THONG_HUT_GIO_THAI_HUT_GIO_0ACC</t>
        </is>
      </c>
      <c r="C352" t="inlineStr">
        <is>
          <t>THUONG_MAI</t>
        </is>
      </c>
      <c r="D352" t="inlineStr">
        <is>
          <t>Hệ thống hút gió thải, hút gió bếp Quạt hướng trục EAF-A1.1-2F-09 350 l/s @ 250 Pa</t>
        </is>
      </c>
      <c r="E352" t="inlineStr">
        <is>
          <t>Cái</t>
        </is>
      </c>
      <c r="F352" t="inlineStr">
        <is>
          <t>-</t>
        </is>
      </c>
      <c r="G352" t="inlineStr">
        <is>
          <t>Phát sinh từ BOQ (chưa có trong CSDL)</t>
        </is>
      </c>
    </row>
    <row r="353">
      <c r="A353" t="n">
        <v>355</v>
      </c>
      <c r="B353" t="inlineStr">
        <is>
          <t>MAT-THUONG_MAI-HE_THONG_HUT_GIO_THAI_HUT_GIO_FEC0</t>
        </is>
      </c>
      <c r="C353" t="inlineStr">
        <is>
          <t>THUONG_MAI</t>
        </is>
      </c>
      <c r="D353" t="inlineStr">
        <is>
          <t>Hệ thống hút gió thải, hút gió bếp Quạt hướng trục EAF-A1.1-2F-07 245 l/s @ 75 Pa</t>
        </is>
      </c>
      <c r="E353" t="inlineStr">
        <is>
          <t>Cái</t>
        </is>
      </c>
      <c r="F353" t="inlineStr">
        <is>
          <t>-</t>
        </is>
      </c>
      <c r="G353" t="inlineStr">
        <is>
          <t>Phát sinh từ BOQ (chưa có trong CSDL)</t>
        </is>
      </c>
    </row>
    <row r="354">
      <c r="A354" t="n">
        <v>356</v>
      </c>
      <c r="B354" t="inlineStr">
        <is>
          <t>MAT-BOX-HE_THONG_HUT_GIO_THA_57D5</t>
        </is>
      </c>
      <c r="C354" t="inlineStr">
        <is>
          <t>THUONG_MAI</t>
        </is>
      </c>
      <c r="D354" t="inlineStr">
        <is>
          <t>Box phụ kiện 150x150</t>
        </is>
      </c>
      <c r="E354" t="inlineStr">
        <is>
          <t>Cái</t>
        </is>
      </c>
      <c r="F354" t="inlineStr">
        <is>
          <t>-</t>
        </is>
      </c>
      <c r="G354" t="inlineStr">
        <is>
          <t>Phát sinh từ BOQ (chưa có trong CSDL)</t>
        </is>
      </c>
    </row>
    <row r="355">
      <c r="A355" t="n">
        <v>357</v>
      </c>
      <c r="B355" t="inlineStr">
        <is>
          <t>MAT-BOX-HE_THONG_HUT_GIO_THA_0AC1</t>
        </is>
      </c>
      <c r="C355" t="inlineStr">
        <is>
          <t>THUONG_MAI</t>
        </is>
      </c>
      <c r="D355" t="inlineStr">
        <is>
          <t>Box phụ kiện 300x300</t>
        </is>
      </c>
      <c r="E355" t="inlineStr">
        <is>
          <t>Cái</t>
        </is>
      </c>
      <c r="F355" t="inlineStr">
        <is>
          <t>-</t>
        </is>
      </c>
      <c r="G355" t="inlineStr">
        <is>
          <t>Phát sinh từ BOQ (chưa có trong CSDL)</t>
        </is>
      </c>
    </row>
    <row r="356">
      <c r="A356" t="n">
        <v>358</v>
      </c>
      <c r="B356" t="inlineStr">
        <is>
          <t>MAT-BOX-HE_THONG_HUT_GIO_THA_0380</t>
        </is>
      </c>
      <c r="C356" t="inlineStr">
        <is>
          <t>THUONG_MAI</t>
        </is>
      </c>
      <c r="D356" t="inlineStr">
        <is>
          <t>Box phụ kiện 400x300</t>
        </is>
      </c>
      <c r="E356" t="inlineStr">
        <is>
          <t>Cái</t>
        </is>
      </c>
      <c r="F356" t="inlineStr">
        <is>
          <t>-</t>
        </is>
      </c>
      <c r="G356" t="inlineStr">
        <is>
          <t>Phát sinh từ BOQ (chưa có trong CSDL)</t>
        </is>
      </c>
    </row>
    <row r="357">
      <c r="A357" t="n">
        <v>359</v>
      </c>
      <c r="B357" t="inlineStr">
        <is>
          <t>MAT-BOX-HE_THONG_HUT_GIO_THA_D0F5</t>
        </is>
      </c>
      <c r="C357" t="inlineStr">
        <is>
          <t>THUONG_MAI</t>
        </is>
      </c>
      <c r="D357" t="inlineStr">
        <is>
          <t>Box phụ kiện 1200x800</t>
        </is>
      </c>
      <c r="E357" t="inlineStr">
        <is>
          <t>Cái</t>
        </is>
      </c>
      <c r="F357" t="inlineStr">
        <is>
          <t>-</t>
        </is>
      </c>
      <c r="G357" t="inlineStr">
        <is>
          <t>Phát sinh từ BOQ (chưa có trong CSDL)</t>
        </is>
      </c>
    </row>
    <row r="358">
      <c r="A358" t="n">
        <v>360</v>
      </c>
      <c r="B358" t="inlineStr">
        <is>
          <t>MAT-BOX-HE_THONG_HUT_GIO_THA_F5F1</t>
        </is>
      </c>
      <c r="C358" t="inlineStr">
        <is>
          <t>THUONG_MAI</t>
        </is>
      </c>
      <c r="D358" t="inlineStr">
        <is>
          <t>Box phụ kiện 1000x400</t>
        </is>
      </c>
      <c r="E358" t="inlineStr">
        <is>
          <t>Cái</t>
        </is>
      </c>
      <c r="F358" t="inlineStr">
        <is>
          <t>-</t>
        </is>
      </c>
      <c r="G358" t="inlineStr">
        <is>
          <t>Phát sinh từ BOQ (chưa có trong CSDL)</t>
        </is>
      </c>
    </row>
    <row r="359">
      <c r="A359" t="n">
        <v>361</v>
      </c>
      <c r="B359" t="inlineStr">
        <is>
          <t>MAT-BOX-HE_THONG_HUT_GIO_THA_A184</t>
        </is>
      </c>
      <c r="C359" t="inlineStr">
        <is>
          <t>THUONG_MAI</t>
        </is>
      </c>
      <c r="D359" t="inlineStr">
        <is>
          <t>Box phụ kiện 600x400</t>
        </is>
      </c>
      <c r="E359" t="inlineStr">
        <is>
          <t>Cái</t>
        </is>
      </c>
      <c r="F359" t="inlineStr">
        <is>
          <t>-</t>
        </is>
      </c>
      <c r="G359" t="inlineStr">
        <is>
          <t>Phát sinh từ BOQ (chưa có trong CSDL)</t>
        </is>
      </c>
    </row>
    <row r="360">
      <c r="A360" t="n">
        <v>362</v>
      </c>
      <c r="B360" t="inlineStr">
        <is>
          <t>MAT-BOX-HE_THONG_HUT_GIO_THA_ADC8</t>
        </is>
      </c>
      <c r="C360" t="inlineStr">
        <is>
          <t>THUONG_MAI</t>
        </is>
      </c>
      <c r="D360" t="inlineStr">
        <is>
          <t>Box phụ kiện 300x300</t>
        </is>
      </c>
      <c r="E360" t="inlineStr">
        <is>
          <t>Cái</t>
        </is>
      </c>
      <c r="F360" t="inlineStr">
        <is>
          <t>-</t>
        </is>
      </c>
      <c r="G360" t="inlineStr">
        <is>
          <t>Phát sinh từ BOQ (chưa có trong CSDL)</t>
        </is>
      </c>
    </row>
    <row r="361">
      <c r="A361" t="n">
        <v>363</v>
      </c>
      <c r="B361" t="inlineStr">
        <is>
          <t>FLEX_DUCT_D100_INSULATED</t>
        </is>
      </c>
      <c r="C361" t="inlineStr">
        <is>
          <t>ONG_MEM</t>
        </is>
      </c>
      <c r="D361" t="inlineStr">
        <is>
          <t>Hệ thống ống thông gió hút gió thải Ống gió mềm D100 không cách nhiệt</t>
        </is>
      </c>
      <c r="E361" t="inlineStr">
        <is>
          <t>m</t>
        </is>
      </c>
      <c r="F361" t="inlineStr">
        <is>
          <t>-</t>
        </is>
      </c>
      <c r="G361" t="inlineStr">
        <is>
          <t>Phát sinh từ BOQ (chưa có trong CSDL)</t>
        </is>
      </c>
    </row>
    <row r="362">
      <c r="A362" t="n">
        <v>364</v>
      </c>
      <c r="B362" t="inlineStr">
        <is>
          <t>FLEX_DUCT_D150_INSULATED</t>
        </is>
      </c>
      <c r="C362" t="inlineStr">
        <is>
          <t>ONG_MEM</t>
        </is>
      </c>
      <c r="D362" t="inlineStr">
        <is>
          <t>Hệ thống ống thông gió hút gió thải Ống gió mềm D150 không cách nhiệt</t>
        </is>
      </c>
      <c r="E362" t="inlineStr">
        <is>
          <t>m</t>
        </is>
      </c>
      <c r="F362" t="inlineStr">
        <is>
          <t>-</t>
        </is>
      </c>
      <c r="G362" t="inlineStr">
        <is>
          <t>Phát sinh từ BOQ (chưa có trong CSDL)</t>
        </is>
      </c>
    </row>
    <row r="363">
      <c r="A363" t="n">
        <v>365</v>
      </c>
      <c r="B363" t="inlineStr">
        <is>
          <t>MAT-THUONG_MAI-ONG_GIO_MEM_D200_KHONG_CACH_NH_5D81</t>
        </is>
      </c>
      <c r="C363" t="inlineStr">
        <is>
          <t>THUONG_MAI</t>
        </is>
      </c>
      <c r="D363" t="inlineStr">
        <is>
          <t>Ống gió mềm D200 không cách nhiệt Vật tư phụ, phụ kiện</t>
        </is>
      </c>
      <c r="E363" t="inlineStr">
        <is>
          <t>Lô</t>
        </is>
      </c>
      <c r="F363" t="inlineStr">
        <is>
          <t>-</t>
        </is>
      </c>
      <c r="G363" t="inlineStr">
        <is>
          <t>Phát sinh từ BOQ (chưa có trong CSDL)</t>
        </is>
      </c>
    </row>
    <row r="364">
      <c r="A364" t="n">
        <v>366</v>
      </c>
      <c r="B364" t="inlineStr">
        <is>
          <t>MAT-THUONG_MAI-HE_THONG_ONG_THONG_GIO_HUT_BEP_1F4C</t>
        </is>
      </c>
      <c r="C364" t="inlineStr">
        <is>
          <t>THUONG_MAI</t>
        </is>
      </c>
      <c r="D364" t="inlineStr">
        <is>
          <t>Hệ thống ống thông gió hút bếp Vật tư phụ, phụ kiện</t>
        </is>
      </c>
      <c r="E364" t="inlineStr">
        <is>
          <t>Lô</t>
        </is>
      </c>
      <c r="F364" t="inlineStr">
        <is>
          <t>-</t>
        </is>
      </c>
      <c r="G364" t="inlineStr">
        <is>
          <t>Phát sinh từ BOQ (chưa có trong CSDL)</t>
        </is>
      </c>
    </row>
    <row r="365">
      <c r="A365" t="n">
        <v>367</v>
      </c>
      <c r="B365" t="inlineStr">
        <is>
          <t>MAT-THUONG_MAI-PHAN_CHUNG_CAM_BIEN_CHAT_LUONG_4BB4</t>
        </is>
      </c>
      <c r="C365" t="inlineStr">
        <is>
          <t>THUONG_MAI</t>
        </is>
      </c>
      <c r="D365" t="inlineStr">
        <is>
          <t>Phần chung Cảm biến chất lượng không khí (CO)</t>
        </is>
      </c>
      <c r="E365" t="inlineStr">
        <is>
          <t>Cái</t>
        </is>
      </c>
      <c r="F365" t="inlineStr">
        <is>
          <t>-</t>
        </is>
      </c>
      <c r="G365" t="inlineStr">
        <is>
          <t>Phát sinh từ BOQ (chưa có trong CSDL)</t>
        </is>
      </c>
    </row>
    <row r="366">
      <c r="A366" t="n">
        <v>368</v>
      </c>
      <c r="B366" t="inlineStr">
        <is>
          <t>MAT-THUONG_MAI-PHAN_CHUNG_CAM_BIEN_CHENH_AP</t>
        </is>
      </c>
      <c r="C366" t="inlineStr">
        <is>
          <t>THUONG_MAI</t>
        </is>
      </c>
      <c r="D366" t="inlineStr">
        <is>
          <t>Phần chung Cảm biến chênh áp</t>
        </is>
      </c>
      <c r="E366" t="inlineStr">
        <is>
          <t>Cái</t>
        </is>
      </c>
      <c r="F366" t="inlineStr">
        <is>
          <t>-</t>
        </is>
      </c>
      <c r="G366" t="inlineStr">
        <is>
          <t>Phát sinh từ BOQ (chưa có trong CSDL)</t>
        </is>
      </c>
    </row>
    <row r="367">
      <c r="A367" t="n">
        <v>369</v>
      </c>
      <c r="B367" t="inlineStr">
        <is>
          <t>MAT-THUONG_MAI-PHAN_CHUNG_CAM_BIEN_KHOI</t>
        </is>
      </c>
      <c r="C367" t="inlineStr">
        <is>
          <t>THUONG_MAI</t>
        </is>
      </c>
      <c r="D367" t="inlineStr">
        <is>
          <t>Phần chung Cảm biến khói</t>
        </is>
      </c>
      <c r="E367" t="inlineStr">
        <is>
          <t>Cái</t>
        </is>
      </c>
      <c r="F367" t="inlineStr">
        <is>
          <t>-</t>
        </is>
      </c>
      <c r="G367" t="inlineStr">
        <is>
          <t>Phát sinh từ BOQ (chưa có trong CSDL)</t>
        </is>
      </c>
    </row>
    <row r="368">
      <c r="A368" t="n">
        <v>370</v>
      </c>
      <c r="B368" t="inlineStr">
        <is>
          <t>MAT-THUONG_MAI-PHAN_CHUNG_CAM_BIEN_NHIET</t>
        </is>
      </c>
      <c r="C368" t="inlineStr">
        <is>
          <t>THUONG_MAI</t>
        </is>
      </c>
      <c r="D368" t="inlineStr">
        <is>
          <t>Phần chung Cảm biến nhiệt</t>
        </is>
      </c>
      <c r="E368" t="inlineStr">
        <is>
          <t>Cái</t>
        </is>
      </c>
      <c r="F368" t="inlineStr">
        <is>
          <t>-</t>
        </is>
      </c>
      <c r="G368" t="inlineStr">
        <is>
          <t>Phát sinh từ BOQ (chưa có trong CSDL)</t>
        </is>
      </c>
    </row>
    <row r="369">
      <c r="A369" t="n">
        <v>371</v>
      </c>
      <c r="B369" t="inlineStr">
        <is>
          <t>MAT-THUONG_MAI-PHAN_CHUNG_VAT_TU_PHU_PHU_KIEN</t>
        </is>
      </c>
      <c r="C369" t="inlineStr">
        <is>
          <t>THUONG_MAI</t>
        </is>
      </c>
      <c r="D369" t="inlineStr">
        <is>
          <t>Phần chung Vật tư phụ, phụ kiện</t>
        </is>
      </c>
      <c r="E369" t="inlineStr">
        <is>
          <t>Lô</t>
        </is>
      </c>
      <c r="F369" t="inlineStr">
        <is>
          <t>-</t>
        </is>
      </c>
      <c r="G369" t="inlineStr">
        <is>
          <t>Phát sinh từ BOQ (chưa có trong CSDL)</t>
        </is>
      </c>
    </row>
    <row r="370">
      <c r="A370" t="n">
        <v>372</v>
      </c>
      <c r="B370" t="inlineStr">
        <is>
          <t>MAT-THUONG_MAI-DAN_NONG_ODU_A1_1_CR_14KW</t>
        </is>
      </c>
      <c r="C370" t="inlineStr">
        <is>
          <t>THUONG_MAI</t>
        </is>
      </c>
      <c r="D370" t="inlineStr">
        <is>
          <t>DÀN NÓNG ODU-A1.1-CR 14kW</t>
        </is>
      </c>
      <c r="E370" t="inlineStr">
        <is>
          <t>Bộ</t>
        </is>
      </c>
      <c r="F370" t="inlineStr">
        <is>
          <t>-</t>
        </is>
      </c>
      <c r="G370" t="inlineStr">
        <is>
          <t>Phát sinh từ BOQ (chưa có trong CSDL)</t>
        </is>
      </c>
    </row>
    <row r="371">
      <c r="A371" t="n">
        <v>373</v>
      </c>
      <c r="B371" t="inlineStr">
        <is>
          <t>MAT-THUONG_MAI-DAN_NONG_ODU_A1_1_0101_33_5KW</t>
        </is>
      </c>
      <c r="C371" t="inlineStr">
        <is>
          <t>THUONG_MAI</t>
        </is>
      </c>
      <c r="D371" t="inlineStr">
        <is>
          <t>DÀN NÓNG ODU-A1.1-0101 33.5kW</t>
        </is>
      </c>
      <c r="E371" t="inlineStr">
        <is>
          <t>Bộ</t>
        </is>
      </c>
      <c r="F371" t="inlineStr">
        <is>
          <t>-</t>
        </is>
      </c>
      <c r="G371" t="inlineStr">
        <is>
          <t>Phát sinh từ BOQ (chưa có trong CSDL)</t>
        </is>
      </c>
    </row>
    <row r="372">
      <c r="A372" t="n">
        <v>374</v>
      </c>
      <c r="B372" t="inlineStr">
        <is>
          <t>MAT-THUONG_MAI-DAN_NONG_ODU_A1_1_0102_22_4KW</t>
        </is>
      </c>
      <c r="C372" t="inlineStr">
        <is>
          <t>THUONG_MAI</t>
        </is>
      </c>
      <c r="D372" t="inlineStr">
        <is>
          <t>DÀN NÓNG ODU-A1.1-0102 22.4kW</t>
        </is>
      </c>
      <c r="E372" t="inlineStr">
        <is>
          <t>Bộ</t>
        </is>
      </c>
      <c r="F372" t="inlineStr">
        <is>
          <t>-</t>
        </is>
      </c>
      <c r="G372" t="inlineStr">
        <is>
          <t>Phát sinh từ BOQ (chưa có trong CSDL)</t>
        </is>
      </c>
    </row>
    <row r="373">
      <c r="A373" t="n">
        <v>375</v>
      </c>
      <c r="B373" t="inlineStr">
        <is>
          <t>MAT-THUONG_MAI-DAN_NONG_ODU_A1_1_0103_50KW</t>
        </is>
      </c>
      <c r="C373" t="inlineStr">
        <is>
          <t>THUONG_MAI</t>
        </is>
      </c>
      <c r="D373" t="inlineStr">
        <is>
          <t>DÀN NÓNG ODU-A1.1-0103 50kW</t>
        </is>
      </c>
      <c r="E373" t="inlineStr">
        <is>
          <t>Bộ</t>
        </is>
      </c>
      <c r="F373" t="inlineStr">
        <is>
          <t>-</t>
        </is>
      </c>
      <c r="G373" t="inlineStr">
        <is>
          <t>Phát sinh từ BOQ (chưa có trong CSDL)</t>
        </is>
      </c>
    </row>
    <row r="374">
      <c r="A374" t="n">
        <v>376</v>
      </c>
      <c r="B374" t="inlineStr">
        <is>
          <t>MAT-THUONG_MAI-DAN_NONG_ODU_A1_1_0201_33_5KW</t>
        </is>
      </c>
      <c r="C374" t="inlineStr">
        <is>
          <t>THUONG_MAI</t>
        </is>
      </c>
      <c r="D374" t="inlineStr">
        <is>
          <t>DÀN NÓNG ODU-A1.1-0201 33.5kW</t>
        </is>
      </c>
      <c r="E374" t="inlineStr">
        <is>
          <t>Bộ</t>
        </is>
      </c>
      <c r="F374" t="inlineStr">
        <is>
          <t>-</t>
        </is>
      </c>
      <c r="G374" t="inlineStr">
        <is>
          <t>Phát sinh từ BOQ (chưa có trong CSDL)</t>
        </is>
      </c>
    </row>
    <row r="375">
      <c r="A375" t="n">
        <v>377</v>
      </c>
      <c r="B375" t="inlineStr">
        <is>
          <t>MAT-THUONG_MAI-DAN_NONG_ODU_A1_1_0202_28KW</t>
        </is>
      </c>
      <c r="C375" t="inlineStr">
        <is>
          <t>THUONG_MAI</t>
        </is>
      </c>
      <c r="D375" t="inlineStr">
        <is>
          <t>DÀN NÓNG ODU-A1.1-0202 28kW</t>
        </is>
      </c>
      <c r="E375" t="inlineStr">
        <is>
          <t>Bộ</t>
        </is>
      </c>
      <c r="F375" t="inlineStr">
        <is>
          <t>-</t>
        </is>
      </c>
      <c r="G375" t="inlineStr">
        <is>
          <t>Phát sinh từ BOQ (chưa có trong CSDL)</t>
        </is>
      </c>
    </row>
    <row r="376">
      <c r="A376" t="n">
        <v>378</v>
      </c>
      <c r="B376" t="inlineStr">
        <is>
          <t>MAT-THUONG_MAI-DAN_NONG_ODU_A1_1_0203_28KW</t>
        </is>
      </c>
      <c r="C376" t="inlineStr">
        <is>
          <t>THUONG_MAI</t>
        </is>
      </c>
      <c r="D376" t="inlineStr">
        <is>
          <t>DÀN NÓNG ODU-A1.1-0203 28kW</t>
        </is>
      </c>
      <c r="E376" t="inlineStr">
        <is>
          <t>Bộ</t>
        </is>
      </c>
      <c r="F376" t="inlineStr">
        <is>
          <t>-</t>
        </is>
      </c>
      <c r="G376" t="inlineStr">
        <is>
          <t>Phát sinh từ BOQ (chưa có trong CSDL)</t>
        </is>
      </c>
    </row>
    <row r="377">
      <c r="A377" t="n">
        <v>379</v>
      </c>
      <c r="B377" t="inlineStr">
        <is>
          <t>MAT-THUONG_MAI-DAN_NONG_ODU_A1_1_0205A_22_4KW</t>
        </is>
      </c>
      <c r="C377" t="inlineStr">
        <is>
          <t>THUONG_MAI</t>
        </is>
      </c>
      <c r="D377" t="inlineStr">
        <is>
          <t>DÀN NÓNG ODU-A1.1-0205A 22.4kW</t>
        </is>
      </c>
      <c r="E377" t="inlineStr">
        <is>
          <t>Bộ</t>
        </is>
      </c>
      <c r="F377" t="inlineStr">
        <is>
          <t>-</t>
        </is>
      </c>
      <c r="G377" t="inlineStr">
        <is>
          <t>Phát sinh từ BOQ (chưa có trong CSDL)</t>
        </is>
      </c>
    </row>
    <row r="378">
      <c r="A378" t="n">
        <v>380</v>
      </c>
      <c r="B378" t="inlineStr">
        <is>
          <t>MAT-THUONG_MAI-DAN_NONG_ODU_A1_2_0105A2_28KW</t>
        </is>
      </c>
      <c r="C378" t="inlineStr">
        <is>
          <t>THUONG_MAI</t>
        </is>
      </c>
      <c r="D378" t="inlineStr">
        <is>
          <t>DÀN NÓNG ODU-A1.2-0105A2 28kW</t>
        </is>
      </c>
      <c r="E378" t="inlineStr">
        <is>
          <t>Bộ</t>
        </is>
      </c>
      <c r="F378" t="inlineStr">
        <is>
          <t>-</t>
        </is>
      </c>
      <c r="G378" t="inlineStr">
        <is>
          <t>Phát sinh từ BOQ (chưa có trong CSDL)</t>
        </is>
      </c>
    </row>
    <row r="379">
      <c r="A379" t="n">
        <v>381</v>
      </c>
      <c r="B379" t="inlineStr">
        <is>
          <t>MAT-THUONG_MAI-DAN_NONG_ODU_A1_2_0105_50KW</t>
        </is>
      </c>
      <c r="C379" t="inlineStr">
        <is>
          <t>THUONG_MAI</t>
        </is>
      </c>
      <c r="D379" t="inlineStr">
        <is>
          <t>DÀN NÓNG ODU-A1.2-0105 50kW</t>
        </is>
      </c>
      <c r="E379" t="inlineStr">
        <is>
          <t>Bộ</t>
        </is>
      </c>
      <c r="F379" t="inlineStr">
        <is>
          <t>-</t>
        </is>
      </c>
      <c r="G379" t="inlineStr">
        <is>
          <t>Phát sinh từ BOQ (chưa có trong CSDL)</t>
        </is>
      </c>
    </row>
    <row r="380">
      <c r="A380" t="n">
        <v>382</v>
      </c>
      <c r="B380" t="inlineStr">
        <is>
          <t>MAT-THUONG_MAI-DAN_NONG_ODU_A1_1_0206_14KW</t>
        </is>
      </c>
      <c r="C380" t="inlineStr">
        <is>
          <t>THUONG_MAI</t>
        </is>
      </c>
      <c r="D380" t="inlineStr">
        <is>
          <t>DÀN NÓNG ODU-A1.1-0206 14kW</t>
        </is>
      </c>
      <c r="E380" t="inlineStr">
        <is>
          <t>Bộ</t>
        </is>
      </c>
      <c r="F380" t="inlineStr">
        <is>
          <t>-</t>
        </is>
      </c>
      <c r="G380" t="inlineStr">
        <is>
          <t>Phát sinh từ BOQ (chưa có trong CSDL)</t>
        </is>
      </c>
    </row>
    <row r="381">
      <c r="A381" t="n">
        <v>383</v>
      </c>
      <c r="B381" t="inlineStr">
        <is>
          <t>MAT-THUONG_MAI-DAN_NONG_ODU_A1_1_0208A_11_2KW</t>
        </is>
      </c>
      <c r="C381" t="inlineStr">
        <is>
          <t>THUONG_MAI</t>
        </is>
      </c>
      <c r="D381" t="inlineStr">
        <is>
          <t>DÀN NÓNG ODU-A1.1-0208A 11.2kW</t>
        </is>
      </c>
      <c r="E381" t="inlineStr">
        <is>
          <t>Bộ</t>
        </is>
      </c>
      <c r="F381" t="inlineStr">
        <is>
          <t>-</t>
        </is>
      </c>
      <c r="G381" t="inlineStr">
        <is>
          <t>Phát sinh từ BOQ (chưa có trong CSDL)</t>
        </is>
      </c>
    </row>
    <row r="382">
      <c r="A382" t="n">
        <v>384</v>
      </c>
      <c r="B382" t="inlineStr">
        <is>
          <t>MAT-THUONG_MAI-DAN_NONG_ODU_A1_1_0208_11_2KW</t>
        </is>
      </c>
      <c r="C382" t="inlineStr">
        <is>
          <t>THUONG_MAI</t>
        </is>
      </c>
      <c r="D382" t="inlineStr">
        <is>
          <t>DÀN NÓNG ODU-A1.1-0208 11.2kW</t>
        </is>
      </c>
      <c r="E382" t="inlineStr">
        <is>
          <t>Bộ</t>
        </is>
      </c>
      <c r="F382" t="inlineStr">
        <is>
          <t>-</t>
        </is>
      </c>
      <c r="G382" t="inlineStr">
        <is>
          <t>Phát sinh từ BOQ (chưa có trong CSDL)</t>
        </is>
      </c>
    </row>
    <row r="383">
      <c r="A383" t="n">
        <v>385</v>
      </c>
      <c r="B383" t="inlineStr">
        <is>
          <t>MAT-THUONG_MAI-DAN_NONG_ODU_A1_1_0209_16KW</t>
        </is>
      </c>
      <c r="C383" t="inlineStr">
        <is>
          <t>THUONG_MAI</t>
        </is>
      </c>
      <c r="D383" t="inlineStr">
        <is>
          <t>DÀN NÓNG ODU-A1.1-0209 16kW</t>
        </is>
      </c>
      <c r="E383" t="inlineStr">
        <is>
          <t>Bộ</t>
        </is>
      </c>
      <c r="F383" t="inlineStr">
        <is>
          <t>-</t>
        </is>
      </c>
      <c r="G383" t="inlineStr">
        <is>
          <t>Phát sinh từ BOQ (chưa có trong CSDL)</t>
        </is>
      </c>
    </row>
    <row r="384">
      <c r="A384" t="n">
        <v>386</v>
      </c>
      <c r="B384" t="inlineStr">
        <is>
          <t>MAT-THUONG_MAI-DAN_NONG_ODU_A1_2_CR_16KW</t>
        </is>
      </c>
      <c r="C384" t="inlineStr">
        <is>
          <t>THUONG_MAI</t>
        </is>
      </c>
      <c r="D384" t="inlineStr">
        <is>
          <t>DÀN NÓNG ODU-A1.2-CR 16kW</t>
        </is>
      </c>
      <c r="E384" t="inlineStr">
        <is>
          <t>Bộ</t>
        </is>
      </c>
      <c r="F384" t="inlineStr">
        <is>
          <t>-</t>
        </is>
      </c>
      <c r="G384" t="inlineStr">
        <is>
          <t>Phát sinh từ BOQ (chưa có trong CSDL)</t>
        </is>
      </c>
    </row>
    <row r="385">
      <c r="A385" t="n">
        <v>387</v>
      </c>
      <c r="B385" t="inlineStr">
        <is>
          <t>MAT-THUONG_MAI-DAN_NONG_ODU_A1_2_0101_33_5KW</t>
        </is>
      </c>
      <c r="C385" t="inlineStr">
        <is>
          <t>THUONG_MAI</t>
        </is>
      </c>
      <c r="D385" t="inlineStr">
        <is>
          <t>DÀN NÓNG ODU-A1.2-0101 33.5kW</t>
        </is>
      </c>
      <c r="E385" t="inlineStr">
        <is>
          <t>Bộ</t>
        </is>
      </c>
      <c r="F385" t="inlineStr">
        <is>
          <t>-</t>
        </is>
      </c>
      <c r="G385" t="inlineStr">
        <is>
          <t>Phát sinh từ BOQ (chưa có trong CSDL)</t>
        </is>
      </c>
    </row>
    <row r="386">
      <c r="A386" t="n">
        <v>388</v>
      </c>
      <c r="B386" t="inlineStr">
        <is>
          <t>MAT-THUONG_MAI-DAN_NONG_ODU_A1_2_0102_33_5KW</t>
        </is>
      </c>
      <c r="C386" t="inlineStr">
        <is>
          <t>THUONG_MAI</t>
        </is>
      </c>
      <c r="D386" t="inlineStr">
        <is>
          <t>DÀN NÓNG ODU-A1.2-0102 33.5kW</t>
        </is>
      </c>
      <c r="E386" t="inlineStr">
        <is>
          <t>Bộ</t>
        </is>
      </c>
      <c r="F386" t="inlineStr">
        <is>
          <t>-</t>
        </is>
      </c>
      <c r="G386" t="inlineStr">
        <is>
          <t>Phát sinh từ BOQ (chưa có trong CSDL)</t>
        </is>
      </c>
    </row>
    <row r="387">
      <c r="A387" t="n">
        <v>389</v>
      </c>
      <c r="B387" t="inlineStr">
        <is>
          <t>MAT-THUONG_MAI-DAN_NONG_ODU_A1_2_0103_33_5KW</t>
        </is>
      </c>
      <c r="C387" t="inlineStr">
        <is>
          <t>THUONG_MAI</t>
        </is>
      </c>
      <c r="D387" t="inlineStr">
        <is>
          <t>DÀN NÓNG ODU-A1.2-0103 33.5kW</t>
        </is>
      </c>
      <c r="E387" t="inlineStr">
        <is>
          <t>Bộ</t>
        </is>
      </c>
      <c r="F387" t="inlineStr">
        <is>
          <t>-</t>
        </is>
      </c>
      <c r="G387" t="inlineStr">
        <is>
          <t>Phát sinh từ BOQ (chưa có trong CSDL)</t>
        </is>
      </c>
    </row>
    <row r="388">
      <c r="A388" t="n">
        <v>390</v>
      </c>
      <c r="B388" t="inlineStr">
        <is>
          <t>MAT-THUONG_MAI-DAN_NONG_ODU_A1_2_0106_28KW</t>
        </is>
      </c>
      <c r="C388" t="inlineStr">
        <is>
          <t>THUONG_MAI</t>
        </is>
      </c>
      <c r="D388" t="inlineStr">
        <is>
          <t>DÀN NÓNG ODU-A1.2-0106 28kW</t>
        </is>
      </c>
      <c r="E388" t="inlineStr">
        <is>
          <t>Bộ</t>
        </is>
      </c>
      <c r="F388" t="inlineStr">
        <is>
          <t>-</t>
        </is>
      </c>
      <c r="G388" t="inlineStr">
        <is>
          <t>Phát sinh từ BOQ (chưa có trong CSDL)</t>
        </is>
      </c>
    </row>
    <row r="389">
      <c r="A389" t="n">
        <v>391</v>
      </c>
      <c r="B389" t="inlineStr">
        <is>
          <t>MAT-THUONG_MAI-DAN_NONG_ODU_A1_2_0108A_22_4KW</t>
        </is>
      </c>
      <c r="C389" t="inlineStr">
        <is>
          <t>THUONG_MAI</t>
        </is>
      </c>
      <c r="D389" t="inlineStr">
        <is>
          <t>DÀN NÓNG ODU-A1.2-0108A 22.4kW</t>
        </is>
      </c>
      <c r="E389" t="inlineStr">
        <is>
          <t>Bộ</t>
        </is>
      </c>
      <c r="F389" t="inlineStr">
        <is>
          <t>-</t>
        </is>
      </c>
      <c r="G389" t="inlineStr">
        <is>
          <t>Phát sinh từ BOQ (chưa có trong CSDL)</t>
        </is>
      </c>
    </row>
    <row r="390">
      <c r="A390" t="n">
        <v>392</v>
      </c>
      <c r="B390" t="inlineStr">
        <is>
          <t>MAT-THUONG_MAI-DAN_NONG_ODU_A1_2_0201_28KW</t>
        </is>
      </c>
      <c r="C390" t="inlineStr">
        <is>
          <t>THUONG_MAI</t>
        </is>
      </c>
      <c r="D390" t="inlineStr">
        <is>
          <t>DÀN NÓNG ODU-A1.2-0201 28kW</t>
        </is>
      </c>
      <c r="E390" t="inlineStr">
        <is>
          <t>Bộ</t>
        </is>
      </c>
      <c r="F390" t="inlineStr">
        <is>
          <t>-</t>
        </is>
      </c>
      <c r="G390" t="inlineStr">
        <is>
          <t>Phát sinh từ BOQ (chưa có trong CSDL)</t>
        </is>
      </c>
    </row>
    <row r="391">
      <c r="A391" t="n">
        <v>393</v>
      </c>
      <c r="B391" t="inlineStr">
        <is>
          <t>MAT-THUONG_MAI-DAN_NONG_ODU_A1_2_0202_33_5KW</t>
        </is>
      </c>
      <c r="C391" t="inlineStr">
        <is>
          <t>THUONG_MAI</t>
        </is>
      </c>
      <c r="D391" t="inlineStr">
        <is>
          <t>DÀN NÓNG ODU-A1.2-0202 33.5kW</t>
        </is>
      </c>
      <c r="E391" t="inlineStr">
        <is>
          <t>Bộ</t>
        </is>
      </c>
      <c r="F391" t="inlineStr">
        <is>
          <t>-</t>
        </is>
      </c>
      <c r="G391" t="inlineStr">
        <is>
          <t>Phát sinh từ BOQ (chưa có trong CSDL)</t>
        </is>
      </c>
    </row>
    <row r="392">
      <c r="A392" t="n">
        <v>394</v>
      </c>
      <c r="B392" t="inlineStr">
        <is>
          <t>MAT-THUONG_MAI-DAN_NONG_ODU_A1_2_0203_33_5KW</t>
        </is>
      </c>
      <c r="C392" t="inlineStr">
        <is>
          <t>THUONG_MAI</t>
        </is>
      </c>
      <c r="D392" t="inlineStr">
        <is>
          <t>DÀN NÓNG ODU-A1.2-0203 33.5kW</t>
        </is>
      </c>
      <c r="E392" t="inlineStr">
        <is>
          <t>Bộ</t>
        </is>
      </c>
      <c r="F392" t="inlineStr">
        <is>
          <t>-</t>
        </is>
      </c>
      <c r="G392" t="inlineStr">
        <is>
          <t>Phát sinh từ BOQ (chưa có trong CSDL)</t>
        </is>
      </c>
    </row>
    <row r="393">
      <c r="A393" t="n">
        <v>395</v>
      </c>
      <c r="B393" t="inlineStr">
        <is>
          <t>MAT-THUONG_MAI-DAN_NONG_ODU_A1_2_0205A_33_5KW</t>
        </is>
      </c>
      <c r="C393" t="inlineStr">
        <is>
          <t>THUONG_MAI</t>
        </is>
      </c>
      <c r="D393" t="inlineStr">
        <is>
          <t>DÀN NÓNG ODU-A1.2-0205A 33.5kW</t>
        </is>
      </c>
      <c r="E393" t="inlineStr">
        <is>
          <t>Bộ</t>
        </is>
      </c>
      <c r="F393" t="inlineStr">
        <is>
          <t>-</t>
        </is>
      </c>
      <c r="G393" t="inlineStr">
        <is>
          <t>Phát sinh từ BOQ (chưa có trong CSDL)</t>
        </is>
      </c>
    </row>
    <row r="394">
      <c r="A394" t="n">
        <v>396</v>
      </c>
      <c r="B394" t="inlineStr">
        <is>
          <t>MAT-THUONG_MAI-DAN_NONG_ODU_A1_2_0205_28KW</t>
        </is>
      </c>
      <c r="C394" t="inlineStr">
        <is>
          <t>THUONG_MAI</t>
        </is>
      </c>
      <c r="D394" t="inlineStr">
        <is>
          <t>DÀN NÓNG ODU-A1.2-0205 28kW</t>
        </is>
      </c>
      <c r="E394" t="inlineStr">
        <is>
          <t>Bộ</t>
        </is>
      </c>
      <c r="F394" t="inlineStr">
        <is>
          <t>-</t>
        </is>
      </c>
      <c r="G394" t="inlineStr">
        <is>
          <t>Phát sinh từ BOQ (chưa có trong CSDL)</t>
        </is>
      </c>
    </row>
    <row r="395">
      <c r="A395" t="n">
        <v>397</v>
      </c>
      <c r="B395" t="inlineStr">
        <is>
          <t>MAT-THUONG_MAI-DAN_NONG_ODU_A1_2_0206_20KW</t>
        </is>
      </c>
      <c r="C395" t="inlineStr">
        <is>
          <t>THUONG_MAI</t>
        </is>
      </c>
      <c r="D395" t="inlineStr">
        <is>
          <t>DÀN NÓNG ODU-A1.2-0206 20kW</t>
        </is>
      </c>
      <c r="E395" t="inlineStr">
        <is>
          <t>Bộ</t>
        </is>
      </c>
      <c r="F395" t="inlineStr">
        <is>
          <t>-</t>
        </is>
      </c>
      <c r="G395" t="inlineStr">
        <is>
          <t>Phát sinh từ BOQ (chưa có trong CSDL)</t>
        </is>
      </c>
    </row>
    <row r="396">
      <c r="A396" t="n">
        <v>398</v>
      </c>
      <c r="B396" t="inlineStr">
        <is>
          <t>MAT-THUONG_MAI-DAN_NONG_ODU_A1_2_0208A_14KW</t>
        </is>
      </c>
      <c r="C396" t="inlineStr">
        <is>
          <t>THUONG_MAI</t>
        </is>
      </c>
      <c r="D396" t="inlineStr">
        <is>
          <t>DÀN NÓNG ODU-A1.2-0208A 14kW</t>
        </is>
      </c>
      <c r="E396" t="inlineStr">
        <is>
          <t>Bộ</t>
        </is>
      </c>
      <c r="F396" t="inlineStr">
        <is>
          <t>-</t>
        </is>
      </c>
      <c r="G396" t="inlineStr">
        <is>
          <t>Phát sinh từ BOQ (chưa có trong CSDL)</t>
        </is>
      </c>
    </row>
    <row r="397">
      <c r="A397" t="n">
        <v>399</v>
      </c>
      <c r="B397" t="inlineStr">
        <is>
          <t>MAT-THUONG_MAI-DAN_NONG_ODU_A1_2_0208_14KW</t>
        </is>
      </c>
      <c r="C397" t="inlineStr">
        <is>
          <t>THUONG_MAI</t>
        </is>
      </c>
      <c r="D397" t="inlineStr">
        <is>
          <t>DÀN NÓNG ODU-A1.2-0208 14kW</t>
        </is>
      </c>
      <c r="E397" t="inlineStr">
        <is>
          <t>Bộ</t>
        </is>
      </c>
      <c r="F397" t="inlineStr">
        <is>
          <t>-</t>
        </is>
      </c>
      <c r="G397" t="inlineStr">
        <is>
          <t>Phát sinh từ BOQ (chưa có trong CSDL)</t>
        </is>
      </c>
    </row>
    <row r="398">
      <c r="A398" t="n">
        <v>400</v>
      </c>
      <c r="B398" t="inlineStr">
        <is>
          <t>MAT-THUONG_MAI-DAN_NONG_ODU_A1_2_0209_14KW</t>
        </is>
      </c>
      <c r="C398" t="inlineStr">
        <is>
          <t>THUONG_MAI</t>
        </is>
      </c>
      <c r="D398" t="inlineStr">
        <is>
          <t>DÀN NÓNG ODU-A1.2-0209 14kW</t>
        </is>
      </c>
      <c r="E398" t="inlineStr">
        <is>
          <t>Bộ</t>
        </is>
      </c>
      <c r="F398" t="inlineStr">
        <is>
          <t>-</t>
        </is>
      </c>
      <c r="G398" t="inlineStr">
        <is>
          <t>Phát sinh từ BOQ (chưa có trong CSDL)</t>
        </is>
      </c>
    </row>
    <row r="399">
      <c r="A399" t="n">
        <v>401</v>
      </c>
      <c r="B399" t="inlineStr">
        <is>
          <t>MAT-THUONG_MAI-DAN_NONG_ODU_A1_2_0210_11_2KW</t>
        </is>
      </c>
      <c r="C399" t="inlineStr">
        <is>
          <t>THUONG_MAI</t>
        </is>
      </c>
      <c r="D399" t="inlineStr">
        <is>
          <t>DÀN NÓNG ODU-A1.2-0210 11.2kW</t>
        </is>
      </c>
      <c r="E399" t="inlineStr">
        <is>
          <t>Bộ</t>
        </is>
      </c>
      <c r="F399" t="inlineStr">
        <is>
          <t>-</t>
        </is>
      </c>
      <c r="G399" t="inlineStr">
        <is>
          <t>Phát sinh từ BOQ (chưa có trong CSDL)</t>
        </is>
      </c>
    </row>
    <row r="400">
      <c r="A400" t="n">
        <v>402</v>
      </c>
      <c r="B400" t="inlineStr">
        <is>
          <t>MAT-THUONG_MAI-DAN_NONG_ODU_A1_2_0211_14KW</t>
        </is>
      </c>
      <c r="C400" t="inlineStr">
        <is>
          <t>THUONG_MAI</t>
        </is>
      </c>
      <c r="D400" t="inlineStr">
        <is>
          <t>DÀN NÓNG ODU-A1.2-0211 14kW</t>
        </is>
      </c>
      <c r="E400" t="inlineStr">
        <is>
          <t>Bộ</t>
        </is>
      </c>
      <c r="F400" t="inlineStr">
        <is>
          <t>-</t>
        </is>
      </c>
      <c r="G400" t="inlineStr">
        <is>
          <t>Phát sinh từ BOQ (chưa có trong CSDL)</t>
        </is>
      </c>
    </row>
    <row r="401">
      <c r="A401" t="n">
        <v>403</v>
      </c>
      <c r="B401" t="inlineStr">
        <is>
          <t>MAT-THUONG_MAI-DAN_NONG_ODU_A1_2_0212_16KW</t>
        </is>
      </c>
      <c r="C401" t="inlineStr">
        <is>
          <t>THUONG_MAI</t>
        </is>
      </c>
      <c r="D401" t="inlineStr">
        <is>
          <t>DÀN NÓNG ODU-A1.2-0212 16kW</t>
        </is>
      </c>
      <c r="E401" t="inlineStr">
        <is>
          <t>Bộ</t>
        </is>
      </c>
      <c r="F401" t="inlineStr">
        <is>
          <t>-</t>
        </is>
      </c>
      <c r="G401" t="inlineStr">
        <is>
          <t>Phát sinh từ BOQ (chưa có trong CSDL)</t>
        </is>
      </c>
    </row>
    <row r="402">
      <c r="A402" t="n">
        <v>404</v>
      </c>
      <c r="B402" t="inlineStr">
        <is>
          <t>MAT-THUONG_MAI-DAN_NONG_ODU_A1_3_CR_16</t>
        </is>
      </c>
      <c r="C402" t="inlineStr">
        <is>
          <t>THUONG_MAI</t>
        </is>
      </c>
      <c r="D402" t="inlineStr">
        <is>
          <t>DÀN NÓNG ODU-A1.3-CR 16</t>
        </is>
      </c>
      <c r="E402" t="inlineStr">
        <is>
          <t>Bộ</t>
        </is>
      </c>
      <c r="F402" t="inlineStr">
        <is>
          <t>-</t>
        </is>
      </c>
      <c r="G402" t="inlineStr">
        <is>
          <t>Phát sinh từ BOQ (chưa có trong CSDL)</t>
        </is>
      </c>
    </row>
    <row r="403">
      <c r="A403" t="n">
        <v>405</v>
      </c>
      <c r="B403" t="inlineStr">
        <is>
          <t>MAT-THUONG_MAI-DAN_NONG_ODU_A1_3_0101_56KW</t>
        </is>
      </c>
      <c r="C403" t="inlineStr">
        <is>
          <t>THUONG_MAI</t>
        </is>
      </c>
      <c r="D403" t="inlineStr">
        <is>
          <t>DÀN NÓNG ODU-A1.3-0101 56kW</t>
        </is>
      </c>
      <c r="E403" t="inlineStr">
        <is>
          <t>Bộ</t>
        </is>
      </c>
      <c r="F403" t="inlineStr">
        <is>
          <t>-</t>
        </is>
      </c>
      <c r="G403" t="inlineStr">
        <is>
          <t>Phát sinh từ BOQ (chưa có trong CSDL)</t>
        </is>
      </c>
    </row>
    <row r="404">
      <c r="A404" t="n">
        <v>406</v>
      </c>
      <c r="B404" t="inlineStr">
        <is>
          <t>MAT-THUONG_MAI-DAN_NONG_ODU_A1_3_0102_50KW</t>
        </is>
      </c>
      <c r="C404" t="inlineStr">
        <is>
          <t>THUONG_MAI</t>
        </is>
      </c>
      <c r="D404" t="inlineStr">
        <is>
          <t>DÀN NÓNG ODU-A1.3-0102 50kW</t>
        </is>
      </c>
      <c r="E404" t="inlineStr">
        <is>
          <t>Bộ</t>
        </is>
      </c>
      <c r="F404" t="inlineStr">
        <is>
          <t>-</t>
        </is>
      </c>
      <c r="G404" t="inlineStr">
        <is>
          <t>Phát sinh từ BOQ (chưa có trong CSDL)</t>
        </is>
      </c>
    </row>
    <row r="405">
      <c r="A405" t="n">
        <v>407</v>
      </c>
      <c r="B405" t="inlineStr">
        <is>
          <t>MAT-THUONG_MAI-DAN_NONG_ODU_A1_3_0103_33_5KW</t>
        </is>
      </c>
      <c r="C405" t="inlineStr">
        <is>
          <t>THUONG_MAI</t>
        </is>
      </c>
      <c r="D405" t="inlineStr">
        <is>
          <t>DÀN NÓNG ODU-A1.3-0103 33.5kW</t>
        </is>
      </c>
      <c r="E405" t="inlineStr">
        <is>
          <t>Bộ</t>
        </is>
      </c>
      <c r="F405" t="inlineStr">
        <is>
          <t>-</t>
        </is>
      </c>
      <c r="G405" t="inlineStr">
        <is>
          <t>Phát sinh từ BOQ (chưa có trong CSDL)</t>
        </is>
      </c>
    </row>
    <row r="406">
      <c r="A406" t="n">
        <v>408</v>
      </c>
      <c r="B406" t="inlineStr">
        <is>
          <t>MAT-THUONG_MAI-DAN_NONG_ODU_A1_3_0105A_40KW</t>
        </is>
      </c>
      <c r="C406" t="inlineStr">
        <is>
          <t>THUONG_MAI</t>
        </is>
      </c>
      <c r="D406" t="inlineStr">
        <is>
          <t>DÀN NÓNG ODU-A1.3-0105A 40kW</t>
        </is>
      </c>
      <c r="E406" t="inlineStr">
        <is>
          <t>Bộ</t>
        </is>
      </c>
      <c r="F406" t="inlineStr">
        <is>
          <t>-</t>
        </is>
      </c>
      <c r="G406" t="inlineStr">
        <is>
          <t>Phát sinh từ BOQ (chưa có trong CSDL)</t>
        </is>
      </c>
    </row>
    <row r="407">
      <c r="A407" t="n">
        <v>409</v>
      </c>
      <c r="B407" t="inlineStr">
        <is>
          <t>MAT-THUONG_MAI-DAN_NONG_ODU_A1_3_0105_45KW</t>
        </is>
      </c>
      <c r="C407" t="inlineStr">
        <is>
          <t>THUONG_MAI</t>
        </is>
      </c>
      <c r="D407" t="inlineStr">
        <is>
          <t>DÀN NÓNG ODU-A1.3-0105 45kW</t>
        </is>
      </c>
      <c r="E407" t="inlineStr">
        <is>
          <t>Bộ</t>
        </is>
      </c>
      <c r="F407" t="inlineStr">
        <is>
          <t>-</t>
        </is>
      </c>
      <c r="G407" t="inlineStr">
        <is>
          <t>Phát sinh từ BOQ (chưa có trong CSDL)</t>
        </is>
      </c>
    </row>
    <row r="408">
      <c r="A408" t="n">
        <v>410</v>
      </c>
      <c r="B408" t="inlineStr">
        <is>
          <t>MAT-THUONG_MAI-DAN_NONG_ODU_A1_3_0201_50KW</t>
        </is>
      </c>
      <c r="C408" t="inlineStr">
        <is>
          <t>THUONG_MAI</t>
        </is>
      </c>
      <c r="D408" t="inlineStr">
        <is>
          <t>DÀN NÓNG ODU-A1.3-0201 50kW</t>
        </is>
      </c>
      <c r="E408" t="inlineStr">
        <is>
          <t>Bộ</t>
        </is>
      </c>
      <c r="F408" t="inlineStr">
        <is>
          <t>-</t>
        </is>
      </c>
      <c r="G408" t="inlineStr">
        <is>
          <t>Phát sinh từ BOQ (chưa có trong CSDL)</t>
        </is>
      </c>
    </row>
    <row r="409">
      <c r="A409" t="n">
        <v>411</v>
      </c>
      <c r="B409" t="inlineStr">
        <is>
          <t>MAT-THUONG_MAI-DAN_NONG_ODU_A1_3_0202_33_5KW</t>
        </is>
      </c>
      <c r="C409" t="inlineStr">
        <is>
          <t>THUONG_MAI</t>
        </is>
      </c>
      <c r="D409" t="inlineStr">
        <is>
          <t>DÀN NÓNG ODU-A1.3-0202 33.5kW</t>
        </is>
      </c>
      <c r="E409" t="inlineStr">
        <is>
          <t>Bộ</t>
        </is>
      </c>
      <c r="F409" t="inlineStr">
        <is>
          <t>-</t>
        </is>
      </c>
      <c r="G409" t="inlineStr">
        <is>
          <t>Phát sinh từ BOQ (chưa có trong CSDL)</t>
        </is>
      </c>
    </row>
    <row r="410">
      <c r="A410" t="n">
        <v>412</v>
      </c>
      <c r="B410" t="inlineStr">
        <is>
          <t>MAT-THUONG_MAI-DAN_NONG_ODU_A1_3_0203_50KW</t>
        </is>
      </c>
      <c r="C410" t="inlineStr">
        <is>
          <t>THUONG_MAI</t>
        </is>
      </c>
      <c r="D410" t="inlineStr">
        <is>
          <t>DÀN NÓNG ODU-A1.3-0203 50kW</t>
        </is>
      </c>
      <c r="E410" t="inlineStr">
        <is>
          <t>Bộ</t>
        </is>
      </c>
      <c r="F410" t="inlineStr">
        <is>
          <t>-</t>
        </is>
      </c>
      <c r="G410" t="inlineStr">
        <is>
          <t>Phát sinh từ BOQ (chưa có trong CSDL)</t>
        </is>
      </c>
    </row>
    <row r="411">
      <c r="A411" t="n">
        <v>413</v>
      </c>
      <c r="B411" t="inlineStr">
        <is>
          <t>MAT-THUONG_MAI-DAN_NONG_ODU_A1_3_0205A_33_5KW</t>
        </is>
      </c>
      <c r="C411" t="inlineStr">
        <is>
          <t>THUONG_MAI</t>
        </is>
      </c>
      <c r="D411" t="inlineStr">
        <is>
          <t>DÀN NÓNG ODU-A1.3-0205A 33.5kW</t>
        </is>
      </c>
      <c r="E411" t="inlineStr">
        <is>
          <t>Bộ</t>
        </is>
      </c>
      <c r="F411" t="inlineStr">
        <is>
          <t>-</t>
        </is>
      </c>
      <c r="G411" t="inlineStr">
        <is>
          <t>Phát sinh từ BOQ (chưa có trong CSDL)</t>
        </is>
      </c>
    </row>
    <row r="412">
      <c r="A412" t="n">
        <v>414</v>
      </c>
      <c r="B412" t="inlineStr">
        <is>
          <t>MAT-THUONG_MAI-DAN_NONG_ODU_A1_3_0205_16KW</t>
        </is>
      </c>
      <c r="C412" t="inlineStr">
        <is>
          <t>THUONG_MAI</t>
        </is>
      </c>
      <c r="D412" t="inlineStr">
        <is>
          <t>DÀN NÓNG ODU-A1.3-0205 16kW</t>
        </is>
      </c>
      <c r="E412" t="inlineStr">
        <is>
          <t>Bộ</t>
        </is>
      </c>
      <c r="F412" t="inlineStr">
        <is>
          <t>-</t>
        </is>
      </c>
      <c r="G412" t="inlineStr">
        <is>
          <t>Phát sinh từ BOQ (chưa có trong CSDL)</t>
        </is>
      </c>
    </row>
    <row r="413">
      <c r="A413" t="n">
        <v>415</v>
      </c>
      <c r="B413" t="inlineStr">
        <is>
          <t>MAT-THUONG_MAI-DAN_NONG_ODU_A1_3_0206_11_2KW</t>
        </is>
      </c>
      <c r="C413" t="inlineStr">
        <is>
          <t>THUONG_MAI</t>
        </is>
      </c>
      <c r="D413" t="inlineStr">
        <is>
          <t>DÀN NÓNG ODU-A1.3-0206 11.2kW</t>
        </is>
      </c>
      <c r="E413" t="inlineStr">
        <is>
          <t>Bộ</t>
        </is>
      </c>
      <c r="F413" t="inlineStr">
        <is>
          <t>-</t>
        </is>
      </c>
      <c r="G413" t="inlineStr">
        <is>
          <t>Phát sinh từ BOQ (chưa có trong CSDL)</t>
        </is>
      </c>
    </row>
    <row r="414">
      <c r="A414" t="n">
        <v>416</v>
      </c>
      <c r="B414" t="inlineStr">
        <is>
          <t>MAT-THUONG_MAI-DAN_NONG_ODU_A1_3_0208A_14KW</t>
        </is>
      </c>
      <c r="C414" t="inlineStr">
        <is>
          <t>THUONG_MAI</t>
        </is>
      </c>
      <c r="D414" t="inlineStr">
        <is>
          <t>DÀN NÓNG ODU-A1.3-0208A 14kW</t>
        </is>
      </c>
      <c r="E414" t="inlineStr">
        <is>
          <t>Bộ</t>
        </is>
      </c>
      <c r="F414" t="inlineStr">
        <is>
          <t>-</t>
        </is>
      </c>
      <c r="G414" t="inlineStr">
        <is>
          <t>Phát sinh từ BOQ (chưa có trong CSDL)</t>
        </is>
      </c>
    </row>
    <row r="415">
      <c r="A415" t="n">
        <v>417</v>
      </c>
      <c r="B415" t="inlineStr">
        <is>
          <t>MAT-THUONG_MAI-DAN_NONG_VAT_TU_PHU_PHU_KIEN</t>
        </is>
      </c>
      <c r="C415" t="inlineStr">
        <is>
          <t>THUONG_MAI</t>
        </is>
      </c>
      <c r="D415" t="inlineStr">
        <is>
          <t>DÀN NÓNG Vật tư phụ, phụ kiện</t>
        </is>
      </c>
      <c r="E415" t="inlineStr">
        <is>
          <t>Lô</t>
        </is>
      </c>
      <c r="F415" t="inlineStr">
        <is>
          <t>-</t>
        </is>
      </c>
      <c r="G415" t="inlineStr">
        <is>
          <t>Phát sinh từ BOQ (chưa có trong CSDL)</t>
        </is>
      </c>
    </row>
    <row r="416">
      <c r="A416" t="n">
        <v>418</v>
      </c>
      <c r="B416" t="inlineStr">
        <is>
          <t>MAT-THUONG_MAI-DAN_LANH_IDU_A1_1_1F_01_03_11_2KW</t>
        </is>
      </c>
      <c r="C416" t="inlineStr">
        <is>
          <t>THUONG_MAI</t>
        </is>
      </c>
      <c r="D416" t="inlineStr">
        <is>
          <t>DÀN LẠNH IDU-A1.1-1F-01~03 11.2kW</t>
        </is>
      </c>
      <c r="E416" t="inlineStr">
        <is>
          <t>Bộ</t>
        </is>
      </c>
      <c r="F416" t="inlineStr">
        <is>
          <t>-</t>
        </is>
      </c>
      <c r="G416" t="inlineStr">
        <is>
          <t>Phát sinh từ BOQ (chưa có trong CSDL)</t>
        </is>
      </c>
    </row>
    <row r="417">
      <c r="A417" t="n">
        <v>419</v>
      </c>
      <c r="B417" t="inlineStr">
        <is>
          <t>MAT-THUONG_MAI-DAN_LANH_IDU_A1_1_1F_04_11_2KW</t>
        </is>
      </c>
      <c r="C417" t="inlineStr">
        <is>
          <t>THUONG_MAI</t>
        </is>
      </c>
      <c r="D417" t="inlineStr">
        <is>
          <t>DÀN LẠNH IDU-A1.1-1F-04 11.2kW</t>
        </is>
      </c>
      <c r="E417" t="inlineStr">
        <is>
          <t>Bộ</t>
        </is>
      </c>
      <c r="F417" t="inlineStr">
        <is>
          <t>-</t>
        </is>
      </c>
      <c r="G417" t="inlineStr">
        <is>
          <t>Phát sinh từ BOQ (chưa có trong CSDL)</t>
        </is>
      </c>
    </row>
    <row r="418">
      <c r="A418" t="n">
        <v>420</v>
      </c>
      <c r="B418" t="inlineStr">
        <is>
          <t>MAT-THUONG_MAI-DAN_LANH_IDU_A1_1_1F_05_7_1KW</t>
        </is>
      </c>
      <c r="C418" t="inlineStr">
        <is>
          <t>THUONG_MAI</t>
        </is>
      </c>
      <c r="D418" t="inlineStr">
        <is>
          <t>DÀN LẠNH IDU-A1.1-1F-05 7.1kW</t>
        </is>
      </c>
      <c r="E418" t="inlineStr">
        <is>
          <t>Bộ</t>
        </is>
      </c>
      <c r="F418" t="inlineStr">
        <is>
          <t>-</t>
        </is>
      </c>
      <c r="G418" t="inlineStr">
        <is>
          <t>Phát sinh từ BOQ (chưa có trong CSDL)</t>
        </is>
      </c>
    </row>
    <row r="419">
      <c r="A419" t="n">
        <v>421</v>
      </c>
      <c r="B419" t="inlineStr">
        <is>
          <t>MAT-THUONG_MAI-DAN_LANH_IDU_A1_1_1F_06_14KW</t>
        </is>
      </c>
      <c r="C419" t="inlineStr">
        <is>
          <t>THUONG_MAI</t>
        </is>
      </c>
      <c r="D419" t="inlineStr">
        <is>
          <t>DÀN LẠNH IDU-A1.1-1F-06 14kW</t>
        </is>
      </c>
      <c r="E419" t="inlineStr">
        <is>
          <t>Bộ</t>
        </is>
      </c>
      <c r="F419" t="inlineStr">
        <is>
          <t>-</t>
        </is>
      </c>
      <c r="G419" t="inlineStr">
        <is>
          <t>Phát sinh từ BOQ (chưa có trong CSDL)</t>
        </is>
      </c>
    </row>
    <row r="420">
      <c r="A420" t="n">
        <v>422</v>
      </c>
      <c r="B420" t="inlineStr">
        <is>
          <t>MAT-THUONG_MAI-DAN_LANH_IDU_A1_1_1F_07_09_11_2KW</t>
        </is>
      </c>
      <c r="C420" t="inlineStr">
        <is>
          <t>THUONG_MAI</t>
        </is>
      </c>
      <c r="D420" t="inlineStr">
        <is>
          <t>DÀN LẠNH IDU-A1.1-1F-07~09 11.2kW</t>
        </is>
      </c>
      <c r="E420" t="inlineStr">
        <is>
          <t>Bộ</t>
        </is>
      </c>
      <c r="F420" t="inlineStr">
        <is>
          <t>-</t>
        </is>
      </c>
      <c r="G420" t="inlineStr">
        <is>
          <t>Phát sinh từ BOQ (chưa có trong CSDL)</t>
        </is>
      </c>
    </row>
    <row r="421">
      <c r="A421" t="n">
        <v>423</v>
      </c>
      <c r="B421" t="inlineStr">
        <is>
          <t>MAT-THUONG_MAI-DAN_LANH_IDU_A1_1_1F_10_11_5_6KW</t>
        </is>
      </c>
      <c r="C421" t="inlineStr">
        <is>
          <t>THUONG_MAI</t>
        </is>
      </c>
      <c r="D421" t="inlineStr">
        <is>
          <t>DÀN LẠNH IDU-A1.1-1F-10, 11 5.6kW</t>
        </is>
      </c>
      <c r="E421" t="inlineStr">
        <is>
          <t>Bộ</t>
        </is>
      </c>
      <c r="F421" t="inlineStr">
        <is>
          <t>-</t>
        </is>
      </c>
      <c r="G421" t="inlineStr">
        <is>
          <t>Phát sinh từ BOQ (chưa có trong CSDL)</t>
        </is>
      </c>
    </row>
    <row r="422">
      <c r="A422" t="n">
        <v>424</v>
      </c>
      <c r="B422" t="inlineStr">
        <is>
          <t>MAT-THUONG_MAI-DAN_LANH_IDU_A1_1_2F_01_11_2KW</t>
        </is>
      </c>
      <c r="C422" t="inlineStr">
        <is>
          <t>THUONG_MAI</t>
        </is>
      </c>
      <c r="D422" t="inlineStr">
        <is>
          <t>DÀN LẠNH IDU-A1.1-2F-01 11.2kW</t>
        </is>
      </c>
      <c r="E422" t="inlineStr">
        <is>
          <t>Bộ</t>
        </is>
      </c>
      <c r="F422" t="inlineStr">
        <is>
          <t>-</t>
        </is>
      </c>
      <c r="G422" t="inlineStr">
        <is>
          <t>Phát sinh từ BOQ (chưa có trong CSDL)</t>
        </is>
      </c>
    </row>
    <row r="423">
      <c r="A423" t="n">
        <v>425</v>
      </c>
      <c r="B423" t="inlineStr">
        <is>
          <t>MAT-THUONG_MAI-DAN_LANH_IDU_A1_1_2F_02_03_9KW</t>
        </is>
      </c>
      <c r="C423" t="inlineStr">
        <is>
          <t>THUONG_MAI</t>
        </is>
      </c>
      <c r="D423" t="inlineStr">
        <is>
          <t>DÀN LẠNH IDU-A1.1-2F-02, 03 9kW</t>
        </is>
      </c>
      <c r="E423" t="inlineStr">
        <is>
          <t>Bộ</t>
        </is>
      </c>
      <c r="F423" t="inlineStr">
        <is>
          <t>-</t>
        </is>
      </c>
      <c r="G423" t="inlineStr">
        <is>
          <t>Phát sinh từ BOQ (chưa có trong CSDL)</t>
        </is>
      </c>
    </row>
    <row r="424">
      <c r="A424" t="n">
        <v>426</v>
      </c>
      <c r="B424" t="inlineStr">
        <is>
          <t>MAT-THUONG_MAI-DAN_LANH_IDU_A1_1_2F_04_05_11_2KW</t>
        </is>
      </c>
      <c r="C424" t="inlineStr">
        <is>
          <t>THUONG_MAI</t>
        </is>
      </c>
      <c r="D424" t="inlineStr">
        <is>
          <t>DÀN LẠNH IDU-A1.1-2F-04, 05 11.2kW</t>
        </is>
      </c>
      <c r="E424" t="inlineStr">
        <is>
          <t>Bộ</t>
        </is>
      </c>
      <c r="F424" t="inlineStr">
        <is>
          <t>-</t>
        </is>
      </c>
      <c r="G424" t="inlineStr">
        <is>
          <t>Phát sinh từ BOQ (chưa có trong CSDL)</t>
        </is>
      </c>
    </row>
    <row r="425">
      <c r="A425" t="n">
        <v>427</v>
      </c>
      <c r="B425" t="inlineStr">
        <is>
          <t>MAT-THUONG_MAI-DAN_LANH_IDU_A1_1_2F_06_07_11_2KW</t>
        </is>
      </c>
      <c r="C425" t="inlineStr">
        <is>
          <t>THUONG_MAI</t>
        </is>
      </c>
      <c r="D425" t="inlineStr">
        <is>
          <t>DÀN LẠNH IDU-A1.1-2F-06, 07 11.2kW</t>
        </is>
      </c>
      <c r="E425" t="inlineStr">
        <is>
          <t>Bộ</t>
        </is>
      </c>
      <c r="F425" t="inlineStr">
        <is>
          <t>-</t>
        </is>
      </c>
      <c r="G425" t="inlineStr">
        <is>
          <t>Phát sinh từ BOQ (chưa có trong CSDL)</t>
        </is>
      </c>
    </row>
    <row r="426">
      <c r="A426" t="n">
        <v>428</v>
      </c>
      <c r="B426" t="inlineStr">
        <is>
          <t>MAT-THUONG_MAI-DAN_LANH_IDU_A1_1_2F_08_09_9KW</t>
        </is>
      </c>
      <c r="C426" t="inlineStr">
        <is>
          <t>THUONG_MAI</t>
        </is>
      </c>
      <c r="D426" t="inlineStr">
        <is>
          <t>DÀN LẠNH IDU-A1.1-2F-08, 09 9kW</t>
        </is>
      </c>
      <c r="E426" t="inlineStr">
        <is>
          <t>Bộ</t>
        </is>
      </c>
      <c r="F426" t="inlineStr">
        <is>
          <t>-</t>
        </is>
      </c>
      <c r="G426" t="inlineStr">
        <is>
          <t>Phát sinh từ BOQ (chưa có trong CSDL)</t>
        </is>
      </c>
    </row>
    <row r="427">
      <c r="A427" t="n">
        <v>429</v>
      </c>
      <c r="B427" t="inlineStr">
        <is>
          <t>MAT-THUONG_MAI-DAN_LANH_IDU_A1_1_2F_10_11_4_5KW</t>
        </is>
      </c>
      <c r="C427" t="inlineStr">
        <is>
          <t>THUONG_MAI</t>
        </is>
      </c>
      <c r="D427" t="inlineStr">
        <is>
          <t>DÀN LẠNH IDU-A1.1-2F-10, 11 4.5kW</t>
        </is>
      </c>
      <c r="E427" t="inlineStr">
        <is>
          <t>Bộ</t>
        </is>
      </c>
      <c r="F427" t="inlineStr">
        <is>
          <t>-</t>
        </is>
      </c>
      <c r="G427" t="inlineStr">
        <is>
          <t>Phát sinh từ BOQ (chưa có trong CSDL)</t>
        </is>
      </c>
    </row>
    <row r="428">
      <c r="A428" t="n">
        <v>430</v>
      </c>
      <c r="B428" t="inlineStr">
        <is>
          <t>MAT-THUONG_MAI-DAN_LANH_IDU_A1_1_2F_12_13_5_6KW</t>
        </is>
      </c>
      <c r="C428" t="inlineStr">
        <is>
          <t>THUONG_MAI</t>
        </is>
      </c>
      <c r="D428" t="inlineStr">
        <is>
          <t>DÀN LẠNH IDU-A1.1-2F-12, 13 5.6kW</t>
        </is>
      </c>
      <c r="E428" t="inlineStr">
        <is>
          <t>Bộ</t>
        </is>
      </c>
      <c r="F428" t="inlineStr">
        <is>
          <t>-</t>
        </is>
      </c>
      <c r="G428" t="inlineStr">
        <is>
          <t>Phát sinh từ BOQ (chưa có trong CSDL)</t>
        </is>
      </c>
    </row>
    <row r="429">
      <c r="A429" t="n">
        <v>431</v>
      </c>
      <c r="B429" t="inlineStr">
        <is>
          <t>MAT-THUONG_MAI-DAN_LANH_IDU_A1_1_2F_14_15_4_5KW</t>
        </is>
      </c>
      <c r="C429" t="inlineStr">
        <is>
          <t>THUONG_MAI</t>
        </is>
      </c>
      <c r="D429" t="inlineStr">
        <is>
          <t>DÀN LẠNH IDU-A1.1-2F-14, 15 4.5kW</t>
        </is>
      </c>
      <c r="E429" t="inlineStr">
        <is>
          <t>Bộ</t>
        </is>
      </c>
      <c r="F429" t="inlineStr">
        <is>
          <t>-</t>
        </is>
      </c>
      <c r="G429" t="inlineStr">
        <is>
          <t>Phát sinh từ BOQ (chưa có trong CSDL)</t>
        </is>
      </c>
    </row>
    <row r="430">
      <c r="A430" t="n">
        <v>432</v>
      </c>
      <c r="B430" t="inlineStr">
        <is>
          <t>MAT-THUONG_MAI-DAN_LANH_IDU_A1_1_2F_16_17_4_5KW</t>
        </is>
      </c>
      <c r="C430" t="inlineStr">
        <is>
          <t>THUONG_MAI</t>
        </is>
      </c>
      <c r="D430" t="inlineStr">
        <is>
          <t>DÀN LẠNH IDU-A1.1-2F-16, 17 4.5kW</t>
        </is>
      </c>
      <c r="E430" t="inlineStr">
        <is>
          <t>Bộ</t>
        </is>
      </c>
      <c r="F430" t="inlineStr">
        <is>
          <t>-</t>
        </is>
      </c>
      <c r="G430" t="inlineStr">
        <is>
          <t>Phát sinh từ BOQ (chưa có trong CSDL)</t>
        </is>
      </c>
    </row>
    <row r="431">
      <c r="A431" t="n">
        <v>433</v>
      </c>
      <c r="B431" t="inlineStr">
        <is>
          <t>MAT-THUONG_MAI-DAN_LANH_IDU_A1_1_2F_18_19_7_1KW</t>
        </is>
      </c>
      <c r="C431" t="inlineStr">
        <is>
          <t>THUONG_MAI</t>
        </is>
      </c>
      <c r="D431" t="inlineStr">
        <is>
          <t>DÀN LẠNH IDU-A1.1-2F-18, 19 7.1kW</t>
        </is>
      </c>
      <c r="E431" t="inlineStr">
        <is>
          <t>Bộ</t>
        </is>
      </c>
      <c r="F431" t="inlineStr">
        <is>
          <t>-</t>
        </is>
      </c>
      <c r="G431" t="inlineStr">
        <is>
          <t>Phát sinh từ BOQ (chưa có trong CSDL)</t>
        </is>
      </c>
    </row>
    <row r="432">
      <c r="A432" t="n">
        <v>434</v>
      </c>
      <c r="B432" t="inlineStr">
        <is>
          <t>MAT-THUONG_MAI-DAN_LANH_IDU_A1_2_1F_01_02_14KW</t>
        </is>
      </c>
      <c r="C432" t="inlineStr">
        <is>
          <t>THUONG_MAI</t>
        </is>
      </c>
      <c r="D432" t="inlineStr">
        <is>
          <t>DÀN LẠNH IDU-A1.2-1F-01, 02 14kW</t>
        </is>
      </c>
      <c r="E432" t="inlineStr">
        <is>
          <t>Bộ</t>
        </is>
      </c>
      <c r="F432" t="inlineStr">
        <is>
          <t>-</t>
        </is>
      </c>
      <c r="G432" t="inlineStr">
        <is>
          <t>Phát sinh từ BOQ (chưa có trong CSDL)</t>
        </is>
      </c>
    </row>
    <row r="433">
      <c r="A433" t="n">
        <v>435</v>
      </c>
      <c r="B433" t="inlineStr">
        <is>
          <t>MAT-THUONG_MAI-DAN_LANH_IDU_A1_2_1F_03_14KW</t>
        </is>
      </c>
      <c r="C433" t="inlineStr">
        <is>
          <t>THUONG_MAI</t>
        </is>
      </c>
      <c r="D433" t="inlineStr">
        <is>
          <t>DÀN LẠNH IDU-A1.2-1F-03 14kW</t>
        </is>
      </c>
      <c r="E433" t="inlineStr">
        <is>
          <t>Bộ</t>
        </is>
      </c>
      <c r="F433" t="inlineStr">
        <is>
          <t>-</t>
        </is>
      </c>
      <c r="G433" t="inlineStr">
        <is>
          <t>Phát sinh từ BOQ (chưa có trong CSDL)</t>
        </is>
      </c>
    </row>
    <row r="434">
      <c r="A434" t="n">
        <v>436</v>
      </c>
      <c r="B434" t="inlineStr">
        <is>
          <t>MAT-THUONG_MAI-DAN_LANH_IDU_A1_2_1F_04_05_9KW</t>
        </is>
      </c>
      <c r="C434" t="inlineStr">
        <is>
          <t>THUONG_MAI</t>
        </is>
      </c>
      <c r="D434" t="inlineStr">
        <is>
          <t>DÀN LẠNH IDU-A1.2-1F-04, 05 9kW</t>
        </is>
      </c>
      <c r="E434" t="inlineStr">
        <is>
          <t>Bộ</t>
        </is>
      </c>
      <c r="F434" t="inlineStr">
        <is>
          <t>-</t>
        </is>
      </c>
      <c r="G434" t="inlineStr">
        <is>
          <t>Phát sinh từ BOQ (chưa có trong CSDL)</t>
        </is>
      </c>
    </row>
    <row r="435">
      <c r="A435" t="n">
        <v>437</v>
      </c>
      <c r="B435" t="inlineStr">
        <is>
          <t>MAT-THUONG_MAI-DAN_LANH_IDU_A1_2_1F_06_07_14KW</t>
        </is>
      </c>
      <c r="C435" t="inlineStr">
        <is>
          <t>THUONG_MAI</t>
        </is>
      </c>
      <c r="D435" t="inlineStr">
        <is>
          <t>DÀN LẠNH IDU-A1.2-1F-06, 07 14kW</t>
        </is>
      </c>
      <c r="E435" t="inlineStr">
        <is>
          <t>Bộ</t>
        </is>
      </c>
      <c r="F435" t="inlineStr">
        <is>
          <t>-</t>
        </is>
      </c>
      <c r="G435" t="inlineStr">
        <is>
          <t>Phát sinh từ BOQ (chưa có trong CSDL)</t>
        </is>
      </c>
    </row>
    <row r="436">
      <c r="A436" t="n">
        <v>438</v>
      </c>
      <c r="B436" t="inlineStr">
        <is>
          <t>MAT-THUONG_MAI-DAN_LANH_IDU_A1_2_1F_08_09_11_2KW</t>
        </is>
      </c>
      <c r="C436" t="inlineStr">
        <is>
          <t>THUONG_MAI</t>
        </is>
      </c>
      <c r="D436" t="inlineStr">
        <is>
          <t>DÀN LẠNH IDU-A1.2-1F-08, 09 11.2kW</t>
        </is>
      </c>
      <c r="E436" t="inlineStr">
        <is>
          <t>Bộ</t>
        </is>
      </c>
      <c r="F436" t="inlineStr">
        <is>
          <t>-</t>
        </is>
      </c>
      <c r="G436" t="inlineStr">
        <is>
          <t>Phát sinh từ BOQ (chưa có trong CSDL)</t>
        </is>
      </c>
    </row>
    <row r="437">
      <c r="A437" t="n">
        <v>439</v>
      </c>
      <c r="B437" t="inlineStr">
        <is>
          <t>MAT-THUONG_MAI-DAN_LANH_IDU_A1_2_1F_10_11_11_2KW</t>
        </is>
      </c>
      <c r="C437" t="inlineStr">
        <is>
          <t>THUONG_MAI</t>
        </is>
      </c>
      <c r="D437" t="inlineStr">
        <is>
          <t>DÀN LẠNH IDU-A1.2-1F-10, 11 11.2kW</t>
        </is>
      </c>
      <c r="E437" t="inlineStr">
        <is>
          <t>Bộ</t>
        </is>
      </c>
      <c r="F437" t="inlineStr">
        <is>
          <t>-</t>
        </is>
      </c>
      <c r="G437" t="inlineStr">
        <is>
          <t>Phát sinh từ BOQ (chưa có trong CSDL)</t>
        </is>
      </c>
    </row>
    <row r="438">
      <c r="A438" t="n">
        <v>440</v>
      </c>
      <c r="B438" t="inlineStr">
        <is>
          <t>MAT-THUONG_MAI-DAN_LANH_IDU_A1_2_1F_12_13_7_1KW</t>
        </is>
      </c>
      <c r="C438" t="inlineStr">
        <is>
          <t>THUONG_MAI</t>
        </is>
      </c>
      <c r="D438" t="inlineStr">
        <is>
          <t>DÀN LẠNH IDU-A1.2-1F-12, 13 7.1kW</t>
        </is>
      </c>
      <c r="E438" t="inlineStr">
        <is>
          <t>Bộ</t>
        </is>
      </c>
      <c r="F438" t="inlineStr">
        <is>
          <t>-</t>
        </is>
      </c>
      <c r="G438" t="inlineStr">
        <is>
          <t>Phát sinh từ BOQ (chưa có trong CSDL)</t>
        </is>
      </c>
    </row>
    <row r="439">
      <c r="A439" t="n">
        <v>441</v>
      </c>
      <c r="B439" t="inlineStr">
        <is>
          <t>MAT-THUONG_MAI-DAN_LANH_IDU_A1_2_1F_14_15_11_2KW</t>
        </is>
      </c>
      <c r="C439" t="inlineStr">
        <is>
          <t>THUONG_MAI</t>
        </is>
      </c>
      <c r="D439" t="inlineStr">
        <is>
          <t>DÀN LẠNH IDU-A1.2-1F-14, 15 11.2kW</t>
        </is>
      </c>
      <c r="E439" t="inlineStr">
        <is>
          <t>Bộ</t>
        </is>
      </c>
      <c r="F439" t="inlineStr">
        <is>
          <t>-</t>
        </is>
      </c>
      <c r="G439" t="inlineStr">
        <is>
          <t>Phát sinh từ BOQ (chưa có trong CSDL)</t>
        </is>
      </c>
    </row>
    <row r="440">
      <c r="A440" t="n">
        <v>442</v>
      </c>
      <c r="B440" t="inlineStr">
        <is>
          <t>MAT-THUONG_MAI-DAN_LANH_IDU_A1_2_1F_16_17_9KW</t>
        </is>
      </c>
      <c r="C440" t="inlineStr">
        <is>
          <t>THUONG_MAI</t>
        </is>
      </c>
      <c r="D440" t="inlineStr">
        <is>
          <t>DÀN LẠNH IDU-A1.2-1F-16, 17 9kW</t>
        </is>
      </c>
      <c r="E440" t="inlineStr">
        <is>
          <t>Bộ</t>
        </is>
      </c>
      <c r="F440" t="inlineStr">
        <is>
          <t>-</t>
        </is>
      </c>
      <c r="G440" t="inlineStr">
        <is>
          <t>Phát sinh từ BOQ (chưa có trong CSDL)</t>
        </is>
      </c>
    </row>
    <row r="441">
      <c r="A441" t="n">
        <v>443</v>
      </c>
      <c r="B441" t="inlineStr">
        <is>
          <t>MAT-THUONG_MAI-DAN_LANH_IDU_A1_2_2F_01_02_11_2KW</t>
        </is>
      </c>
      <c r="C441" t="inlineStr">
        <is>
          <t>THUONG_MAI</t>
        </is>
      </c>
      <c r="D441" t="inlineStr">
        <is>
          <t>DÀN LẠNH IDU-A1.2-2F-01, 02 11.2kW</t>
        </is>
      </c>
      <c r="E441" t="inlineStr">
        <is>
          <t>Bộ</t>
        </is>
      </c>
      <c r="F441" t="inlineStr">
        <is>
          <t>-</t>
        </is>
      </c>
      <c r="G441" t="inlineStr">
        <is>
          <t>Phát sinh từ BOQ (chưa có trong CSDL)</t>
        </is>
      </c>
    </row>
    <row r="442">
      <c r="A442" t="n">
        <v>444</v>
      </c>
      <c r="B442" t="inlineStr">
        <is>
          <t>MAT-THUONG_MAI-DAN_LANH_IDU_A1_2_2F_03_04_11_2KW</t>
        </is>
      </c>
      <c r="C442" t="inlineStr">
        <is>
          <t>THUONG_MAI</t>
        </is>
      </c>
      <c r="D442" t="inlineStr">
        <is>
          <t>DÀN LẠNH IDU-A1.2-2F-03, 04 11.2kW</t>
        </is>
      </c>
      <c r="E442" t="inlineStr">
        <is>
          <t>Bộ</t>
        </is>
      </c>
      <c r="F442" t="inlineStr">
        <is>
          <t>-</t>
        </is>
      </c>
      <c r="G442" t="inlineStr">
        <is>
          <t>Phát sinh từ BOQ (chưa có trong CSDL)</t>
        </is>
      </c>
    </row>
    <row r="443">
      <c r="A443" t="n">
        <v>445</v>
      </c>
      <c r="B443" t="inlineStr">
        <is>
          <t>MAT-THUONG_MAI-DAN_LANH_IDU_A1_2_2F_05_9KW</t>
        </is>
      </c>
      <c r="C443" t="inlineStr">
        <is>
          <t>THUONG_MAI</t>
        </is>
      </c>
      <c r="D443" t="inlineStr">
        <is>
          <t>DÀN LẠNH IDU-A1.2-2F-05 9kW</t>
        </is>
      </c>
      <c r="E443" t="inlineStr">
        <is>
          <t>Bộ</t>
        </is>
      </c>
      <c r="F443" t="inlineStr">
        <is>
          <t>-</t>
        </is>
      </c>
      <c r="G443" t="inlineStr">
        <is>
          <t>Phát sinh từ BOQ (chưa có trong CSDL)</t>
        </is>
      </c>
    </row>
    <row r="444">
      <c r="A444" t="n">
        <v>446</v>
      </c>
      <c r="B444" t="inlineStr">
        <is>
          <t>MAT-THUONG_MAI-DAN_LANH_IDU_A1_2_2F_06_07_14KW</t>
        </is>
      </c>
      <c r="C444" t="inlineStr">
        <is>
          <t>THUONG_MAI</t>
        </is>
      </c>
      <c r="D444" t="inlineStr">
        <is>
          <t>DÀN LẠNH IDU-A1.2-2F-06, 07 14kW</t>
        </is>
      </c>
      <c r="E444" t="inlineStr">
        <is>
          <t>Bộ</t>
        </is>
      </c>
      <c r="F444" t="inlineStr">
        <is>
          <t>-</t>
        </is>
      </c>
      <c r="G444" t="inlineStr">
        <is>
          <t>Phát sinh từ BOQ (chưa có trong CSDL)</t>
        </is>
      </c>
    </row>
    <row r="445">
      <c r="A445" t="n">
        <v>447</v>
      </c>
      <c r="B445" t="inlineStr">
        <is>
          <t>MAT-THUONG_MAI-DAN_LANH_IDU_A1_2_2F_08_09_14KW</t>
        </is>
      </c>
      <c r="C445" t="inlineStr">
        <is>
          <t>THUONG_MAI</t>
        </is>
      </c>
      <c r="D445" t="inlineStr">
        <is>
          <t>DÀN LẠNH IDU-A1.2-2F-08, 09 14kW</t>
        </is>
      </c>
      <c r="E445" t="inlineStr">
        <is>
          <t>Bộ</t>
        </is>
      </c>
      <c r="F445" t="inlineStr">
        <is>
          <t>-</t>
        </is>
      </c>
      <c r="G445" t="inlineStr">
        <is>
          <t>Phát sinh từ BOQ (chưa có trong CSDL)</t>
        </is>
      </c>
    </row>
    <row r="446">
      <c r="A446" t="n">
        <v>448</v>
      </c>
      <c r="B446" t="inlineStr">
        <is>
          <t>MAT-THUONG_MAI-DAN_LANH_IDU_A1_2_2F_10_11_12_5F74</t>
        </is>
      </c>
      <c r="C446" t="inlineStr">
        <is>
          <t>THUONG_MAI</t>
        </is>
      </c>
      <c r="D446" t="inlineStr">
        <is>
          <t>DÀN LẠNH IDU-A1.2-2F-10, 11, 12 11.2kW</t>
        </is>
      </c>
      <c r="E446" t="inlineStr">
        <is>
          <t>Bộ</t>
        </is>
      </c>
      <c r="F446" t="inlineStr">
        <is>
          <t>-</t>
        </is>
      </c>
      <c r="G446" t="inlineStr">
        <is>
          <t>Phát sinh từ BOQ (chưa có trong CSDL)</t>
        </is>
      </c>
    </row>
    <row r="447">
      <c r="A447" t="n">
        <v>449</v>
      </c>
      <c r="B447" t="inlineStr">
        <is>
          <t>MAT-THUONG_MAI-DAN_LANH_IDU_A1_2_2F_13_9KW</t>
        </is>
      </c>
      <c r="C447" t="inlineStr">
        <is>
          <t>THUONG_MAI</t>
        </is>
      </c>
      <c r="D447" t="inlineStr">
        <is>
          <t>DÀN LẠNH IDU-A1.2-2F-13 9kW</t>
        </is>
      </c>
      <c r="E447" t="inlineStr">
        <is>
          <t>Bộ</t>
        </is>
      </c>
      <c r="F447" t="inlineStr">
        <is>
          <t>-</t>
        </is>
      </c>
      <c r="G447" t="inlineStr">
        <is>
          <t>Phát sinh từ BOQ (chưa có trong CSDL)</t>
        </is>
      </c>
    </row>
    <row r="448">
      <c r="A448" t="n">
        <v>450</v>
      </c>
      <c r="B448" t="inlineStr">
        <is>
          <t>MAT-THUONG_MAI-DAN_LANH_IDU_A1_2_2F_14_7_1KW</t>
        </is>
      </c>
      <c r="C448" t="inlineStr">
        <is>
          <t>THUONG_MAI</t>
        </is>
      </c>
      <c r="D448" t="inlineStr">
        <is>
          <t>DÀN LẠNH IDU-A1.2-2F-14 7.1kW</t>
        </is>
      </c>
      <c r="E448" t="inlineStr">
        <is>
          <t>Bộ</t>
        </is>
      </c>
      <c r="F448" t="inlineStr">
        <is>
          <t>-</t>
        </is>
      </c>
      <c r="G448" t="inlineStr">
        <is>
          <t>Phát sinh từ BOQ (chưa có trong CSDL)</t>
        </is>
      </c>
    </row>
    <row r="449">
      <c r="A449" t="n">
        <v>451</v>
      </c>
      <c r="B449" t="inlineStr">
        <is>
          <t>MAT-THUONG_MAI-DAN_LANH_IDU_A1_2_2F_15_16_5_6KW</t>
        </is>
      </c>
      <c r="C449" t="inlineStr">
        <is>
          <t>THUONG_MAI</t>
        </is>
      </c>
      <c r="D449" t="inlineStr">
        <is>
          <t>DÀN LẠNH IDU-A1.2-2F-15, 16 5.6kW</t>
        </is>
      </c>
      <c r="E449" t="inlineStr">
        <is>
          <t>Bộ</t>
        </is>
      </c>
      <c r="F449" t="inlineStr">
        <is>
          <t>-</t>
        </is>
      </c>
      <c r="G449" t="inlineStr">
        <is>
          <t>Phát sinh từ BOQ (chưa có trong CSDL)</t>
        </is>
      </c>
    </row>
    <row r="450">
      <c r="A450" t="n">
        <v>452</v>
      </c>
      <c r="B450" t="inlineStr">
        <is>
          <t>MAT-THUONG_MAI-DAN_LANH_IDU_A1_2_2F_17_18_5_6KW</t>
        </is>
      </c>
      <c r="C450" t="inlineStr">
        <is>
          <t>THUONG_MAI</t>
        </is>
      </c>
      <c r="D450" t="inlineStr">
        <is>
          <t>DÀN LẠNH IDU-A1.2-2F-17, 18 5.6kW</t>
        </is>
      </c>
      <c r="E450" t="inlineStr">
        <is>
          <t>Bộ</t>
        </is>
      </c>
      <c r="F450" t="inlineStr">
        <is>
          <t>-</t>
        </is>
      </c>
      <c r="G450" t="inlineStr">
        <is>
          <t>Phát sinh từ BOQ (chưa có trong CSDL)</t>
        </is>
      </c>
    </row>
    <row r="451">
      <c r="A451" t="n">
        <v>453</v>
      </c>
      <c r="B451" t="inlineStr">
        <is>
          <t>MAT-THUONG_MAI-DAN_LANH_IDU_A1_2_2F_19_20_5_6KW</t>
        </is>
      </c>
      <c r="C451" t="inlineStr">
        <is>
          <t>THUONG_MAI</t>
        </is>
      </c>
      <c r="D451" t="inlineStr">
        <is>
          <t>DÀN LẠNH IDU-A1.2-2F-19, 20 5.6kW</t>
        </is>
      </c>
      <c r="E451" t="inlineStr">
        <is>
          <t>Bộ</t>
        </is>
      </c>
      <c r="F451" t="inlineStr">
        <is>
          <t>-</t>
        </is>
      </c>
      <c r="G451" t="inlineStr">
        <is>
          <t>Phát sinh từ BOQ (chưa có trong CSDL)</t>
        </is>
      </c>
    </row>
    <row r="452">
      <c r="A452" t="n">
        <v>454</v>
      </c>
      <c r="B452" t="inlineStr">
        <is>
          <t>MAT-THUONG_MAI-DAN_LANH_IDU_A1_2_2F_21_22_4_5KW</t>
        </is>
      </c>
      <c r="C452" t="inlineStr">
        <is>
          <t>THUONG_MAI</t>
        </is>
      </c>
      <c r="D452" t="inlineStr">
        <is>
          <t>DÀN LẠNH IDU-A1.2-2F-21, 22 4.5kW</t>
        </is>
      </c>
      <c r="E452" t="inlineStr">
        <is>
          <t>Bộ</t>
        </is>
      </c>
      <c r="F452" t="inlineStr">
        <is>
          <t>-</t>
        </is>
      </c>
      <c r="G452" t="inlineStr">
        <is>
          <t>Phát sinh từ BOQ (chưa có trong CSDL)</t>
        </is>
      </c>
    </row>
    <row r="453">
      <c r="A453" t="n">
        <v>455</v>
      </c>
      <c r="B453" t="inlineStr">
        <is>
          <t>MAT-THUONG_MAI-DAN_LANH_IDU_A1_2_2F_23_24_5_6KW</t>
        </is>
      </c>
      <c r="C453" t="inlineStr">
        <is>
          <t>THUONG_MAI</t>
        </is>
      </c>
      <c r="D453" t="inlineStr">
        <is>
          <t>DÀN LẠNH IDU-A1.2-2F-23, 24 5.6kW</t>
        </is>
      </c>
      <c r="E453" t="inlineStr">
        <is>
          <t>Bộ</t>
        </is>
      </c>
      <c r="F453" t="inlineStr">
        <is>
          <t>-</t>
        </is>
      </c>
      <c r="G453" t="inlineStr">
        <is>
          <t>Phát sinh từ BOQ (chưa có trong CSDL)</t>
        </is>
      </c>
    </row>
    <row r="454">
      <c r="A454" t="n">
        <v>456</v>
      </c>
      <c r="B454" t="inlineStr">
        <is>
          <t>MAT-THUONG_MAI-DAN_LANH_IDU_A1_2_2F_25_26_7_1KW</t>
        </is>
      </c>
      <c r="C454" t="inlineStr">
        <is>
          <t>THUONG_MAI</t>
        </is>
      </c>
      <c r="D454" t="inlineStr">
        <is>
          <t>DÀN LẠNH IDU-A1.2-2F-25, 26 7.1kW</t>
        </is>
      </c>
      <c r="E454" t="inlineStr">
        <is>
          <t>Bộ</t>
        </is>
      </c>
      <c r="F454" t="inlineStr">
        <is>
          <t>-</t>
        </is>
      </c>
      <c r="G454" t="inlineStr">
        <is>
          <t>Phát sinh từ BOQ (chưa có trong CSDL)</t>
        </is>
      </c>
    </row>
    <row r="455">
      <c r="A455" t="n">
        <v>457</v>
      </c>
      <c r="B455" t="inlineStr">
        <is>
          <t>MAT-THUONG_MAI-DAN_LANH_IDU_A1_3_1F_01_04_14KW</t>
        </is>
      </c>
      <c r="C455" t="inlineStr">
        <is>
          <t>THUONG_MAI</t>
        </is>
      </c>
      <c r="D455" t="inlineStr">
        <is>
          <t>DÀN LẠNH IDU-A1.3-1F-01~04 14kW</t>
        </is>
      </c>
      <c r="E455" t="inlineStr">
        <is>
          <t>Bộ</t>
        </is>
      </c>
      <c r="F455" t="inlineStr">
        <is>
          <t>-</t>
        </is>
      </c>
      <c r="G455" t="inlineStr">
        <is>
          <t>Phát sinh từ BOQ (chưa có trong CSDL)</t>
        </is>
      </c>
    </row>
    <row r="456">
      <c r="A456" t="n">
        <v>458</v>
      </c>
      <c r="B456" t="inlineStr">
        <is>
          <t>MAT-THUONG_MAI-DAN_LANH_IDU_A1_3_1F_05_08_11_2KW</t>
        </is>
      </c>
      <c r="C456" t="inlineStr">
        <is>
          <t>THUONG_MAI</t>
        </is>
      </c>
      <c r="D456" t="inlineStr">
        <is>
          <t>DÀN LẠNH IDU-A1.3-1F-05~08 11.2kW</t>
        </is>
      </c>
      <c r="E456" t="inlineStr">
        <is>
          <t>Bộ</t>
        </is>
      </c>
      <c r="F456" t="inlineStr">
        <is>
          <t>-</t>
        </is>
      </c>
      <c r="G456" t="inlineStr">
        <is>
          <t>Phát sinh từ BOQ (chưa có trong CSDL)</t>
        </is>
      </c>
    </row>
    <row r="457">
      <c r="A457" t="n">
        <v>459</v>
      </c>
      <c r="B457" t="inlineStr">
        <is>
          <t>MAT-THUONG_MAI-DAN_LANH_IDU_A1_3_1F_09_10_14KW</t>
        </is>
      </c>
      <c r="C457" t="inlineStr">
        <is>
          <t>THUONG_MAI</t>
        </is>
      </c>
      <c r="D457" t="inlineStr">
        <is>
          <t>DÀN LẠNH IDU-A1.3-1F-09, 10 14kW</t>
        </is>
      </c>
      <c r="E457" t="inlineStr">
        <is>
          <t>Bộ</t>
        </is>
      </c>
      <c r="F457" t="inlineStr">
        <is>
          <t>-</t>
        </is>
      </c>
      <c r="G457" t="inlineStr">
        <is>
          <t>Phát sinh từ BOQ (chưa có trong CSDL)</t>
        </is>
      </c>
    </row>
    <row r="458">
      <c r="A458" t="n">
        <v>460</v>
      </c>
      <c r="B458" t="inlineStr">
        <is>
          <t>MAT-THUONG_MAI-DAN_LANH_IDU_A1_3_1F_05A_11_12_1660</t>
        </is>
      </c>
      <c r="C458" t="inlineStr">
        <is>
          <t>THUONG_MAI</t>
        </is>
      </c>
      <c r="D458" t="inlineStr">
        <is>
          <t>DÀN LẠNH IDU-A1.3-1F-05A-11, 12 11.2kW</t>
        </is>
      </c>
      <c r="E458" t="inlineStr">
        <is>
          <t>Bộ</t>
        </is>
      </c>
      <c r="F458" t="inlineStr">
        <is>
          <t>-</t>
        </is>
      </c>
      <c r="G458" t="inlineStr">
        <is>
          <t>Phát sinh từ BOQ (chưa có trong CSDL)</t>
        </is>
      </c>
    </row>
    <row r="459">
      <c r="A459" t="n">
        <v>461</v>
      </c>
      <c r="B459" t="inlineStr">
        <is>
          <t>MAT-THUONG_MAI-DAN_LANH_IDU_A1_3_1F_05A_13_14KW</t>
        </is>
      </c>
      <c r="C459" t="inlineStr">
        <is>
          <t>THUONG_MAI</t>
        </is>
      </c>
      <c r="D459" t="inlineStr">
        <is>
          <t>DÀN LẠNH IDU-A1.3-1F-05A-13 14kW</t>
        </is>
      </c>
      <c r="E459" t="inlineStr">
        <is>
          <t>Bộ</t>
        </is>
      </c>
      <c r="F459" t="inlineStr">
        <is>
          <t>-</t>
        </is>
      </c>
      <c r="G459" t="inlineStr">
        <is>
          <t>Phát sinh từ BOQ (chưa có trong CSDL)</t>
        </is>
      </c>
    </row>
    <row r="460">
      <c r="A460" t="n">
        <v>462</v>
      </c>
      <c r="B460" t="inlineStr">
        <is>
          <t>MAT-THUONG_MAI-DAN_LANH_IDU_A1_3_1F_14_11_2KW</t>
        </is>
      </c>
      <c r="C460" t="inlineStr">
        <is>
          <t>THUONG_MAI</t>
        </is>
      </c>
      <c r="D460" t="inlineStr">
        <is>
          <t>DÀN LẠNH IDU-A1.3-1F-14 11.2kW</t>
        </is>
      </c>
      <c r="E460" t="inlineStr">
        <is>
          <t>Bộ</t>
        </is>
      </c>
      <c r="F460" t="inlineStr">
        <is>
          <t>-</t>
        </is>
      </c>
      <c r="G460" t="inlineStr">
        <is>
          <t>Phát sinh từ BOQ (chưa có trong CSDL)</t>
        </is>
      </c>
    </row>
    <row r="461">
      <c r="A461" t="n">
        <v>463</v>
      </c>
      <c r="B461" t="inlineStr">
        <is>
          <t>MAT-THUONG_MAI-DAN_LANH_IDU_A1_3_1F_15_16_14KW</t>
        </is>
      </c>
      <c r="C461" t="inlineStr">
        <is>
          <t>THUONG_MAI</t>
        </is>
      </c>
      <c r="D461" t="inlineStr">
        <is>
          <t>DÀN LẠNH IDU-A1.3-1F-15, 16 14kW</t>
        </is>
      </c>
      <c r="E461" t="inlineStr">
        <is>
          <t>Bộ</t>
        </is>
      </c>
      <c r="F461" t="inlineStr">
        <is>
          <t>-</t>
        </is>
      </c>
      <c r="G461" t="inlineStr">
        <is>
          <t>Phát sinh từ BOQ (chưa có trong CSDL)</t>
        </is>
      </c>
    </row>
    <row r="462">
      <c r="A462" t="n">
        <v>464</v>
      </c>
      <c r="B462" t="inlineStr">
        <is>
          <t>MAT-THUONG_MAI-DAN_LANH_IDU_A1_3_1F_17_18_7_1KW</t>
        </is>
      </c>
      <c r="C462" t="inlineStr">
        <is>
          <t>THUONG_MAI</t>
        </is>
      </c>
      <c r="D462" t="inlineStr">
        <is>
          <t>DÀN LẠNH IDU-A1.3-1F-17, 18 7.1kW</t>
        </is>
      </c>
      <c r="E462" t="inlineStr">
        <is>
          <t>Bộ</t>
        </is>
      </c>
      <c r="F462" t="inlineStr">
        <is>
          <t>-</t>
        </is>
      </c>
      <c r="G462" t="inlineStr">
        <is>
          <t>Phát sinh từ BOQ (chưa có trong CSDL)</t>
        </is>
      </c>
    </row>
    <row r="463">
      <c r="A463" t="n">
        <v>465</v>
      </c>
      <c r="B463" t="inlineStr">
        <is>
          <t>MAT-THUONG_MAI-DAN_LANH_IDU_A1_3_2F_01_04_11_2KW</t>
        </is>
      </c>
      <c r="C463" t="inlineStr">
        <is>
          <t>THUONG_MAI</t>
        </is>
      </c>
      <c r="D463" t="inlineStr">
        <is>
          <t>DÀN LẠNH IDU-A1.3-2F-01~04 11.2kW</t>
        </is>
      </c>
      <c r="E463" t="inlineStr">
        <is>
          <t>Bộ</t>
        </is>
      </c>
      <c r="F463" t="inlineStr">
        <is>
          <t>-</t>
        </is>
      </c>
      <c r="G463" t="inlineStr">
        <is>
          <t>Phát sinh từ BOQ (chưa có trong CSDL)</t>
        </is>
      </c>
    </row>
    <row r="464">
      <c r="A464" t="n">
        <v>466</v>
      </c>
      <c r="B464" t="inlineStr">
        <is>
          <t>MAT-THUONG_MAI-DAN_LANH_IDU_A1_3_2F_05_06_07_9KW</t>
        </is>
      </c>
      <c r="C464" t="inlineStr">
        <is>
          <t>THUONG_MAI</t>
        </is>
      </c>
      <c r="D464" t="inlineStr">
        <is>
          <t>DÀN LẠNH IDU-A1.3-2F-05, 06, 07 9kW</t>
        </is>
      </c>
      <c r="E464" t="inlineStr">
        <is>
          <t>Bộ</t>
        </is>
      </c>
      <c r="F464" t="inlineStr">
        <is>
          <t>-</t>
        </is>
      </c>
      <c r="G464" t="inlineStr">
        <is>
          <t>Phát sinh từ BOQ (chưa có trong CSDL)</t>
        </is>
      </c>
    </row>
    <row r="465">
      <c r="A465" t="n">
        <v>467</v>
      </c>
      <c r="B465" t="inlineStr">
        <is>
          <t>MAT-THUONG_MAI-DAN_LANH_IDU_A1_3_2F_08_11_11_2KW</t>
        </is>
      </c>
      <c r="C465" t="inlineStr">
        <is>
          <t>THUONG_MAI</t>
        </is>
      </c>
      <c r="D465" t="inlineStr">
        <is>
          <t>DÀN LẠNH IDU-A1.3-2F-08~11 11.2kW</t>
        </is>
      </c>
      <c r="E465" t="inlineStr">
        <is>
          <t>Bộ</t>
        </is>
      </c>
      <c r="F465" t="inlineStr">
        <is>
          <t>-</t>
        </is>
      </c>
      <c r="G465" t="inlineStr">
        <is>
          <t>Phát sinh từ BOQ (chưa có trong CSDL)</t>
        </is>
      </c>
    </row>
    <row r="466">
      <c r="A466" t="n">
        <v>468</v>
      </c>
      <c r="B466" t="inlineStr">
        <is>
          <t>MAT-THUONG_MAI-DAN_LANH_IDU_A1_3_2F_12_13_14KW</t>
        </is>
      </c>
      <c r="C466" t="inlineStr">
        <is>
          <t>THUONG_MAI</t>
        </is>
      </c>
      <c r="D466" t="inlineStr">
        <is>
          <t>DÀN LẠNH IDU-A1.3-2F-12, 13 14kW</t>
        </is>
      </c>
      <c r="E466" t="inlineStr">
        <is>
          <t>Bộ</t>
        </is>
      </c>
      <c r="F466" t="inlineStr">
        <is>
          <t>-</t>
        </is>
      </c>
      <c r="G466" t="inlineStr">
        <is>
          <t>Phát sinh từ BOQ (chưa có trong CSDL)</t>
        </is>
      </c>
    </row>
    <row r="467">
      <c r="A467" t="n">
        <v>469</v>
      </c>
      <c r="B467" t="inlineStr">
        <is>
          <t>MAT-THUONG_MAI-DAN_LANH_IDU_A1_3_2F_14_15_7_1KW</t>
        </is>
      </c>
      <c r="C467" t="inlineStr">
        <is>
          <t>THUONG_MAI</t>
        </is>
      </c>
      <c r="D467" t="inlineStr">
        <is>
          <t>DÀN LẠNH IDU-A1.3-2F-14, 15 7.1kW</t>
        </is>
      </c>
      <c r="E467" t="inlineStr">
        <is>
          <t>Bộ</t>
        </is>
      </c>
      <c r="F467" t="inlineStr">
        <is>
          <t>-</t>
        </is>
      </c>
      <c r="G467" t="inlineStr">
        <is>
          <t>Phát sinh từ BOQ (chưa có trong CSDL)</t>
        </is>
      </c>
    </row>
    <row r="468">
      <c r="A468" t="n">
        <v>470</v>
      </c>
      <c r="B468" t="inlineStr">
        <is>
          <t>MAT-THUONG_MAI-DAN_LANH_IDU_A1_3_2F_16_17_4_5KW</t>
        </is>
      </c>
      <c r="C468" t="inlineStr">
        <is>
          <t>THUONG_MAI</t>
        </is>
      </c>
      <c r="D468" t="inlineStr">
        <is>
          <t>DÀN LẠNH IDU-A1.3-2F-16, 17 4.5kW</t>
        </is>
      </c>
      <c r="E468" t="inlineStr">
        <is>
          <t>Bộ</t>
        </is>
      </c>
      <c r="F468" t="inlineStr">
        <is>
          <t>-</t>
        </is>
      </c>
      <c r="G468" t="inlineStr">
        <is>
          <t>Phát sinh từ BOQ (chưa có trong CSDL)</t>
        </is>
      </c>
    </row>
    <row r="469">
      <c r="A469" t="n">
        <v>471</v>
      </c>
      <c r="B469" t="inlineStr">
        <is>
          <t>MAT-THUONG_MAI-DAN_LANH_IDU_A1_3_2F_18_19_5_6KW</t>
        </is>
      </c>
      <c r="C469" t="inlineStr">
        <is>
          <t>THUONG_MAI</t>
        </is>
      </c>
      <c r="D469" t="inlineStr">
        <is>
          <t>DÀN LẠNH IDU-A1.3-2F-18, 19 5.6kW</t>
        </is>
      </c>
      <c r="E469" t="inlineStr">
        <is>
          <t>Bộ</t>
        </is>
      </c>
      <c r="F469" t="inlineStr">
        <is>
          <t>-</t>
        </is>
      </c>
      <c r="G469" t="inlineStr">
        <is>
          <t>Phát sinh từ BOQ (chưa có trong CSDL)</t>
        </is>
      </c>
    </row>
    <row r="470">
      <c r="A470" t="n">
        <v>472</v>
      </c>
      <c r="B470" t="inlineStr">
        <is>
          <t>MAT-THUONG_MAI-DAN_LANH_DIEU_KHIEN_NHIET_DO_CO_DAY</t>
        </is>
      </c>
      <c r="C470" t="inlineStr">
        <is>
          <t>THUONG_MAI</t>
        </is>
      </c>
      <c r="D470" t="inlineStr">
        <is>
          <t>DÀN LẠNH Điều khiển nhiệt độ (có dây)</t>
        </is>
      </c>
      <c r="E470" t="inlineStr">
        <is>
          <t>Bộ</t>
        </is>
      </c>
      <c r="F470" t="inlineStr">
        <is>
          <t>-</t>
        </is>
      </c>
      <c r="G470" t="inlineStr">
        <is>
          <t>Phát sinh từ BOQ (chưa có trong CSDL)</t>
        </is>
      </c>
    </row>
    <row r="471">
      <c r="A471" t="n">
        <v>473</v>
      </c>
      <c r="B471" t="inlineStr">
        <is>
          <t>MAT-THUONG_MAI-DAN_LANH_VAT_TU_PHU_PHU_KIEN</t>
        </is>
      </c>
      <c r="C471" t="inlineStr">
        <is>
          <t>THUONG_MAI</t>
        </is>
      </c>
      <c r="D471" t="inlineStr">
        <is>
          <t>DÀN LẠNH Vật tư phụ, phụ kiện</t>
        </is>
      </c>
      <c r="E471" t="inlineStr">
        <is>
          <t>Lô</t>
        </is>
      </c>
      <c r="F471" t="inlineStr">
        <is>
          <t>-</t>
        </is>
      </c>
      <c r="G471" t="inlineStr">
        <is>
          <t>Phát sinh từ BOQ (chưa có trong CSDL)</t>
        </is>
      </c>
    </row>
    <row r="472">
      <c r="A472" t="n">
        <v>474</v>
      </c>
      <c r="B472" t="inlineStr">
        <is>
          <t>MAT-THUONG_MAI-MAY_LANH_CUC_BO_ODU_B1_Z2_01_0_187F</t>
        </is>
      </c>
      <c r="C472" t="inlineStr">
        <is>
          <t>THUONG_MAI</t>
        </is>
      </c>
      <c r="D472" t="inlineStr">
        <is>
          <t>MÁY LẠNH CỤC BỘ ODU-B1-Z2-01,02 7.1 KW</t>
        </is>
      </c>
      <c r="E472" t="inlineStr">
        <is>
          <t>Bộ</t>
        </is>
      </c>
      <c r="F472" t="inlineStr">
        <is>
          <t>-</t>
        </is>
      </c>
      <c r="G472" t="inlineStr">
        <is>
          <t>Phát sinh từ BOQ (chưa có trong CSDL)</t>
        </is>
      </c>
    </row>
    <row r="473">
      <c r="A473" t="n">
        <v>475</v>
      </c>
      <c r="B473" t="inlineStr">
        <is>
          <t>MAT-THUONG_MAI-MAY_LANH_CUC_BO_ODU_B1_Z2_03_0_3E9C</t>
        </is>
      </c>
      <c r="C473" t="inlineStr">
        <is>
          <t>THUONG_MAI</t>
        </is>
      </c>
      <c r="D473" t="inlineStr">
        <is>
          <t>MÁY LẠNH CỤC BỘ ODU-B1-Z2-03,04  14 KW</t>
        </is>
      </c>
      <c r="E473" t="inlineStr">
        <is>
          <t>Bộ</t>
        </is>
      </c>
      <c r="F473" t="inlineStr">
        <is>
          <t>-</t>
        </is>
      </c>
      <c r="G473" t="inlineStr">
        <is>
          <t>Phát sinh từ BOQ (chưa có trong CSDL)</t>
        </is>
      </c>
    </row>
    <row r="474">
      <c r="A474" t="n">
        <v>476</v>
      </c>
      <c r="B474" t="inlineStr">
        <is>
          <t>MAT-THUONG_MAI-MAY_LANH_CUC_BO_ODU_B1_Z2_05_0_E303</t>
        </is>
      </c>
      <c r="C474" t="inlineStr">
        <is>
          <t>THUONG_MAI</t>
        </is>
      </c>
      <c r="D474" t="inlineStr">
        <is>
          <t>MÁY LẠNH CỤC BỘ ODU-B1-Z2-05,06 7.1 KW</t>
        </is>
      </c>
      <c r="E474" t="inlineStr">
        <is>
          <t>Bộ</t>
        </is>
      </c>
      <c r="F474" t="inlineStr">
        <is>
          <t>-</t>
        </is>
      </c>
      <c r="G474" t="inlineStr">
        <is>
          <t>Phát sinh từ BOQ (chưa có trong CSDL)</t>
        </is>
      </c>
    </row>
    <row r="475">
      <c r="A475" t="n">
        <v>477</v>
      </c>
      <c r="B475" t="inlineStr">
        <is>
          <t>MAT-THUONG_MAI-MAY_LANH_CUC_BO_ODU_B1_Z2_07_0_9F23</t>
        </is>
      </c>
      <c r="C475" t="inlineStr">
        <is>
          <t>THUONG_MAI</t>
        </is>
      </c>
      <c r="D475" t="inlineStr">
        <is>
          <t>MÁY LẠNH CỤC BỘ ODU-B1-Z2-07,08 7.1 KW</t>
        </is>
      </c>
      <c r="E475" t="inlineStr">
        <is>
          <t>Bộ</t>
        </is>
      </c>
      <c r="F475" t="inlineStr">
        <is>
          <t>-</t>
        </is>
      </c>
      <c r="G475" t="inlineStr">
        <is>
          <t>Phát sinh từ BOQ (chưa có trong CSDL)</t>
        </is>
      </c>
    </row>
    <row r="476">
      <c r="A476" t="n">
        <v>478</v>
      </c>
      <c r="B476" t="inlineStr">
        <is>
          <t>MAT-THUONG_MAI-MAY_LANH_CUC_BO_ACU_B1_Z2_01_02</t>
        </is>
      </c>
      <c r="C476" t="inlineStr">
        <is>
          <t>THUONG_MAI</t>
        </is>
      </c>
      <c r="D476" t="inlineStr">
        <is>
          <t>MÁY LẠNH CỤC BỘ ACU-B1-Z2-01,02</t>
        </is>
      </c>
      <c r="E476" t="inlineStr">
        <is>
          <t>Bộ</t>
        </is>
      </c>
      <c r="F476" t="inlineStr">
        <is>
          <t>-</t>
        </is>
      </c>
      <c r="G476" t="inlineStr">
        <is>
          <t>Phát sinh từ BOQ (chưa có trong CSDL)</t>
        </is>
      </c>
    </row>
    <row r="477">
      <c r="A477" t="n">
        <v>479</v>
      </c>
      <c r="B477" t="inlineStr">
        <is>
          <t>MAT-THUONG_MAI-MAY_LANH_CUC_BO_ACU_B1_Z2_03_04</t>
        </is>
      </c>
      <c r="C477" t="inlineStr">
        <is>
          <t>THUONG_MAI</t>
        </is>
      </c>
      <c r="D477" t="inlineStr">
        <is>
          <t>MÁY LẠNH CỤC BỘ ACU-B1-Z2-03,04</t>
        </is>
      </c>
      <c r="E477" t="inlineStr">
        <is>
          <t>Bộ</t>
        </is>
      </c>
      <c r="F477" t="inlineStr">
        <is>
          <t>-</t>
        </is>
      </c>
      <c r="G477" t="inlineStr">
        <is>
          <t>Phát sinh từ BOQ (chưa có trong CSDL)</t>
        </is>
      </c>
    </row>
    <row r="478">
      <c r="A478" t="n">
        <v>480</v>
      </c>
      <c r="B478" t="inlineStr">
        <is>
          <t>MAT-THUONG_MAI-MAY_LANH_CUC_BO_ACU_B1_Z2_05_06</t>
        </is>
      </c>
      <c r="C478" t="inlineStr">
        <is>
          <t>THUONG_MAI</t>
        </is>
      </c>
      <c r="D478" t="inlineStr">
        <is>
          <t>MÁY LẠNH CỤC BỘ ACU-B1-Z2-05,06</t>
        </is>
      </c>
      <c r="E478" t="inlineStr">
        <is>
          <t>Bộ</t>
        </is>
      </c>
      <c r="F478" t="inlineStr">
        <is>
          <t>-</t>
        </is>
      </c>
      <c r="G478" t="inlineStr">
        <is>
          <t>Phát sinh từ BOQ (chưa có trong CSDL)</t>
        </is>
      </c>
    </row>
    <row r="479">
      <c r="A479" t="n">
        <v>481</v>
      </c>
      <c r="B479" t="inlineStr">
        <is>
          <t>MAT-THUONG_MAI-MAY_LANH_CUC_BO_ACU_B1_Z2_07_08</t>
        </is>
      </c>
      <c r="C479" t="inlineStr">
        <is>
          <t>THUONG_MAI</t>
        </is>
      </c>
      <c r="D479" t="inlineStr">
        <is>
          <t>MÁY LẠNH CỤC BỘ ACU-B1-Z2-07,08</t>
        </is>
      </c>
      <c r="E479" t="inlineStr">
        <is>
          <t>Bộ</t>
        </is>
      </c>
      <c r="F479" t="inlineStr">
        <is>
          <t>-</t>
        </is>
      </c>
      <c r="G479" t="inlineStr">
        <is>
          <t>Phát sinh từ BOQ (chưa có trong CSDL)</t>
        </is>
      </c>
    </row>
    <row r="480">
      <c r="A480" t="n">
        <v>482</v>
      </c>
      <c r="B480" t="inlineStr">
        <is>
          <t>MAT-THUONG_MAI-MAY_LANH_CUC_BO_VAT_TU_PHU_PHU_KIEN</t>
        </is>
      </c>
      <c r="C480" t="inlineStr">
        <is>
          <t>THUONG_MAI</t>
        </is>
      </c>
      <c r="D480" t="inlineStr">
        <is>
          <t>MÁY LẠNH CỤC BỘ Vật tư phụ, phụ kiện</t>
        </is>
      </c>
      <c r="E480" t="inlineStr">
        <is>
          <t>Lô</t>
        </is>
      </c>
      <c r="F480" t="inlineStr">
        <is>
          <t>-</t>
        </is>
      </c>
      <c r="G480" t="inlineStr">
        <is>
          <t>Phát sinh từ BOQ (chưa có trong CSDL)</t>
        </is>
      </c>
    </row>
    <row r="481">
      <c r="A481" t="n">
        <v>483</v>
      </c>
      <c r="B481" t="inlineStr">
        <is>
          <t>MAT-BOX-MIENG_GIO_BOX_GIO_CA_B991</t>
        </is>
      </c>
      <c r="C481" t="inlineStr">
        <is>
          <t>THUONG_MAI</t>
        </is>
      </c>
      <c r="D481" t="inlineStr">
        <is>
          <t>Box phụ kiện -</t>
        </is>
      </c>
      <c r="E481" t="inlineStr">
        <is>
          <t>Cái</t>
        </is>
      </c>
      <c r="F481" t="inlineStr">
        <is>
          <t>-</t>
        </is>
      </c>
      <c r="G481" t="inlineStr">
        <is>
          <t>Phát sinh từ BOQ (chưa có trong CSDL)</t>
        </is>
      </c>
    </row>
    <row r="482">
      <c r="A482" t="n">
        <v>484</v>
      </c>
      <c r="B482" t="inlineStr">
        <is>
          <t>MAT-BOX-MIENG_GIO_BOX_GIO_CA_2E17</t>
        </is>
      </c>
      <c r="C482" t="inlineStr">
        <is>
          <t>THUONG_MAI</t>
        </is>
      </c>
      <c r="D482" t="inlineStr">
        <is>
          <t>Box phụ kiện -</t>
        </is>
      </c>
      <c r="E482" t="inlineStr">
        <is>
          <t>Cái</t>
        </is>
      </c>
      <c r="F482" t="inlineStr">
        <is>
          <t>-</t>
        </is>
      </c>
      <c r="G482" t="inlineStr">
        <is>
          <t>Phát sinh từ BOQ (chưa có trong CSDL)</t>
        </is>
      </c>
    </row>
    <row r="483">
      <c r="A483" t="n">
        <v>485</v>
      </c>
      <c r="B483" t="inlineStr">
        <is>
          <t>MAT-BOX-MIENG_GIO_BOX_GIO_CA_6D80</t>
        </is>
      </c>
      <c r="C483" t="inlineStr">
        <is>
          <t>THUONG_MAI</t>
        </is>
      </c>
      <c r="D483" t="inlineStr">
        <is>
          <t>Box phụ kiện -</t>
        </is>
      </c>
      <c r="E483" t="inlineStr">
        <is>
          <t>Cái</t>
        </is>
      </c>
      <c r="F483" t="inlineStr">
        <is>
          <t>-</t>
        </is>
      </c>
      <c r="G483" t="inlineStr">
        <is>
          <t>Phát sinh từ BOQ (chưa có trong CSDL)</t>
        </is>
      </c>
    </row>
    <row r="484">
      <c r="A484" t="n">
        <v>486</v>
      </c>
      <c r="B484" t="inlineStr">
        <is>
          <t>MAT-BOX-MIENG_GIO_BOX_GIO_CA_A68B</t>
        </is>
      </c>
      <c r="C484" t="inlineStr">
        <is>
          <t>THUONG_MAI</t>
        </is>
      </c>
      <c r="D484" t="inlineStr">
        <is>
          <t>Box phụ kiện -</t>
        </is>
      </c>
      <c r="E484" t="inlineStr">
        <is>
          <t>Cái</t>
        </is>
      </c>
      <c r="F484" t="inlineStr">
        <is>
          <t>-</t>
        </is>
      </c>
      <c r="G484" t="inlineStr">
        <is>
          <t>Phát sinh từ BOQ (chưa có trong CSDL)</t>
        </is>
      </c>
    </row>
    <row r="485">
      <c r="A485" t="n">
        <v>487</v>
      </c>
      <c r="B485" t="inlineStr">
        <is>
          <t>MAT-BOX-MIENG_GIO_BOX_GIO_CA_052A</t>
        </is>
      </c>
      <c r="C485" t="inlineStr">
        <is>
          <t>THUONG_MAI</t>
        </is>
      </c>
      <c r="D485" t="inlineStr">
        <is>
          <t>Box phụ kiện -</t>
        </is>
      </c>
      <c r="E485" t="inlineStr">
        <is>
          <t>Cái</t>
        </is>
      </c>
      <c r="F485" t="inlineStr">
        <is>
          <t>-</t>
        </is>
      </c>
      <c r="G485" t="inlineStr">
        <is>
          <t>Phát sinh từ BOQ (chưa có trong CSDL)</t>
        </is>
      </c>
    </row>
    <row r="486">
      <c r="A486" t="n">
        <v>488</v>
      </c>
      <c r="B486" t="inlineStr">
        <is>
          <t>MAT-BOX-MIENG_GIO_BOX_GIO_CA_3AC7</t>
        </is>
      </c>
      <c r="C486" t="inlineStr">
        <is>
          <t>THUONG_MAI</t>
        </is>
      </c>
      <c r="D486" t="inlineStr">
        <is>
          <t>Box phụ kiện -</t>
        </is>
      </c>
      <c r="E486" t="inlineStr">
        <is>
          <t>Cái</t>
        </is>
      </c>
      <c r="F486" t="inlineStr">
        <is>
          <t>-</t>
        </is>
      </c>
      <c r="G486" t="inlineStr">
        <is>
          <t>Phát sinh từ BOQ (chưa có trong CSDL)</t>
        </is>
      </c>
    </row>
    <row r="487">
      <c r="A487" t="n">
        <v>489</v>
      </c>
      <c r="B487" t="inlineStr">
        <is>
          <t>MAT-BOX-MIENG_GIO_CAP_SAG600_BACF</t>
        </is>
      </c>
      <c r="C487" t="inlineStr">
        <is>
          <t>THUONG_MAI</t>
        </is>
      </c>
      <c r="D487" t="inlineStr">
        <is>
          <t>Box phụ kiện 600x600</t>
        </is>
      </c>
      <c r="E487" t="inlineStr">
        <is>
          <t>Cái</t>
        </is>
      </c>
      <c r="F487" t="inlineStr">
        <is>
          <t>-</t>
        </is>
      </c>
      <c r="G487" t="inlineStr">
        <is>
          <t>Phát sinh từ BOQ (chưa có trong CSDL)</t>
        </is>
      </c>
    </row>
    <row r="488">
      <c r="A488" t="n">
        <v>490</v>
      </c>
      <c r="B488" t="inlineStr">
        <is>
          <t>MAT-BOX-MIENG_GIO_HOI_RAG600_7262</t>
        </is>
      </c>
      <c r="C488" t="inlineStr">
        <is>
          <t>THUONG_MAI</t>
        </is>
      </c>
      <c r="D488" t="inlineStr">
        <is>
          <t>Box phụ kiện 600x600</t>
        </is>
      </c>
      <c r="E488" t="inlineStr">
        <is>
          <t>Cái</t>
        </is>
      </c>
      <c r="F488" t="inlineStr">
        <is>
          <t>-</t>
        </is>
      </c>
      <c r="G488" t="inlineStr">
        <is>
          <t>Phát sinh từ BOQ (chưa có trong CSDL)</t>
        </is>
      </c>
    </row>
    <row r="489">
      <c r="A489" t="n">
        <v>491</v>
      </c>
      <c r="B489" t="inlineStr">
        <is>
          <t>MAT-THUONG_MAI-MIENG_GIO_VAT_TU_PHU_PHU_KIEN</t>
        </is>
      </c>
      <c r="C489" t="inlineStr">
        <is>
          <t>THUONG_MAI</t>
        </is>
      </c>
      <c r="D489" t="inlineStr">
        <is>
          <t>MIỆNG GIÓ Vật tư phụ, phụ kiện</t>
        </is>
      </c>
      <c r="E489" t="inlineStr">
        <is>
          <t>Lô</t>
        </is>
      </c>
      <c r="F489" t="inlineStr">
        <is>
          <t>-</t>
        </is>
      </c>
      <c r="G489" t="inlineStr">
        <is>
          <t>Phát sinh từ BOQ (chưa có trong CSDL)</t>
        </is>
      </c>
    </row>
    <row r="490">
      <c r="A490" t="n">
        <v>492</v>
      </c>
      <c r="B490" t="inlineStr">
        <is>
          <t>FLEX_DUCT_D400_INSULATED</t>
        </is>
      </c>
      <c r="C490" t="inlineStr">
        <is>
          <t>ONG_MEM</t>
        </is>
      </c>
      <c r="D490" t="inlineStr">
        <is>
          <t>ỐNG GIÓ LẠNH Ống gió mềm D400 cách nhiệt dày 25mm</t>
        </is>
      </c>
      <c r="E490" t="inlineStr">
        <is>
          <t>m</t>
        </is>
      </c>
      <c r="F490" t="inlineStr">
        <is>
          <t>-</t>
        </is>
      </c>
      <c r="G490" t="inlineStr">
        <is>
          <t>Phát sinh từ BOQ (chưa có trong CSDL)</t>
        </is>
      </c>
    </row>
    <row r="491">
      <c r="A491" t="n">
        <v>493</v>
      </c>
      <c r="B491" t="inlineStr">
        <is>
          <t>FLEX_DUCT_D350_INSULATED</t>
        </is>
      </c>
      <c r="C491" t="inlineStr">
        <is>
          <t>ONG_MEM</t>
        </is>
      </c>
      <c r="D491" t="inlineStr">
        <is>
          <t>ỐNG GIÓ LẠNH Ống gió mềm D350 cách nhiệt dày 25mm</t>
        </is>
      </c>
      <c r="E491" t="inlineStr">
        <is>
          <t>m</t>
        </is>
      </c>
      <c r="F491" t="inlineStr">
        <is>
          <t>-</t>
        </is>
      </c>
      <c r="G491" t="inlineStr">
        <is>
          <t>Phát sinh từ BOQ (chưa có trong CSDL)</t>
        </is>
      </c>
    </row>
    <row r="492">
      <c r="A492" t="n">
        <v>494</v>
      </c>
      <c r="B492" t="inlineStr">
        <is>
          <t>FLEX_DUCT_D300_INSULATED</t>
        </is>
      </c>
      <c r="C492" t="inlineStr">
        <is>
          <t>ONG_MEM</t>
        </is>
      </c>
      <c r="D492" t="inlineStr">
        <is>
          <t>ỐNG GIÓ LẠNH Ống gió mềm D300 cách nhiệt dày 25mm</t>
        </is>
      </c>
      <c r="E492" t="inlineStr">
        <is>
          <t>m</t>
        </is>
      </c>
      <c r="F492" t="inlineStr">
        <is>
          <t>-</t>
        </is>
      </c>
      <c r="G492" t="inlineStr">
        <is>
          <t>Phát sinh từ BOQ (chưa có trong CSDL)</t>
        </is>
      </c>
    </row>
    <row r="493">
      <c r="A493" t="n">
        <v>495</v>
      </c>
      <c r="B493" t="inlineStr">
        <is>
          <t>FLEX_DUCT_D250_INSULATED</t>
        </is>
      </c>
      <c r="C493" t="inlineStr">
        <is>
          <t>ONG_MEM</t>
        </is>
      </c>
      <c r="D493" t="inlineStr">
        <is>
          <t>ỐNG GIÓ LẠNH Ống gió mềm D250 cách nhiệt dày 25mm</t>
        </is>
      </c>
      <c r="E493" t="inlineStr">
        <is>
          <t>m</t>
        </is>
      </c>
      <c r="F493" t="inlineStr">
        <is>
          <t>-</t>
        </is>
      </c>
      <c r="G493" t="inlineStr">
        <is>
          <t>Phát sinh từ BOQ (chưa có trong CSDL)</t>
        </is>
      </c>
    </row>
    <row r="494">
      <c r="A494" t="n">
        <v>496</v>
      </c>
      <c r="B494" t="inlineStr">
        <is>
          <t>MAT-THUONG_MAI-ONG_GIO_LANH_VAT_TU_PHU_PHU_KIEN</t>
        </is>
      </c>
      <c r="C494" t="inlineStr">
        <is>
          <t>THUONG_MAI</t>
        </is>
      </c>
      <c r="D494" t="inlineStr">
        <is>
          <t>ỐNG GIÓ LẠNH Vật tư phụ, phụ kiện</t>
        </is>
      </c>
      <c r="E494" t="inlineStr">
        <is>
          <t>Lô</t>
        </is>
      </c>
      <c r="F494" t="inlineStr">
        <is>
          <t>-</t>
        </is>
      </c>
      <c r="G494" t="inlineStr">
        <is>
          <t>Phát sinh từ BOQ (chưa có trong CSDL)</t>
        </is>
      </c>
    </row>
    <row r="495">
      <c r="A495" t="n">
        <v>497</v>
      </c>
      <c r="B495" t="inlineStr">
        <is>
          <t>MAT-THUONG_MAI-CACH_NHIET_ONG_DONG_D28_6_BO_C_A499</t>
        </is>
      </c>
      <c r="C495" t="inlineStr">
        <is>
          <t>THUONG_MAI</t>
        </is>
      </c>
      <c r="D495" t="inlineStr">
        <is>
          <t>Cách nhiệt ông đồng D28,6 Bộ chia gas</t>
        </is>
      </c>
      <c r="E495" t="inlineStr">
        <is>
          <t>Bộ</t>
        </is>
      </c>
      <c r="F495" t="inlineStr">
        <is>
          <t>-</t>
        </is>
      </c>
      <c r="G495" t="inlineStr">
        <is>
          <t>Phát sinh từ BOQ (chưa có trong CSDL)</t>
        </is>
      </c>
    </row>
    <row r="496">
      <c r="A496" t="n">
        <v>498</v>
      </c>
      <c r="B496" t="inlineStr">
        <is>
          <t>MAT-THUONG_MAI-CACH_NHIET_ONG_DONG_D28_6_NAP_E095</t>
        </is>
      </c>
      <c r="C496" t="inlineStr">
        <is>
          <t>THUONG_MAI</t>
        </is>
      </c>
      <c r="D496" t="inlineStr">
        <is>
          <t>Cách nhiệt ông đồng D28,6 Nap ga bổ sung</t>
        </is>
      </c>
      <c r="E496" t="inlineStr">
        <is>
          <t>Lô</t>
        </is>
      </c>
      <c r="F496" t="inlineStr">
        <is>
          <t>-</t>
        </is>
      </c>
      <c r="G496" t="inlineStr">
        <is>
          <t>Phát sinh từ BOQ (chưa có trong CSDL)</t>
        </is>
      </c>
    </row>
    <row r="497">
      <c r="A497" t="n">
        <v>499</v>
      </c>
      <c r="B497" t="inlineStr">
        <is>
          <t>MAT-THUONG_MAI-CACH_NHIET_ONG_DONG_D28_6_VAT_1DE1</t>
        </is>
      </c>
      <c r="C497" t="inlineStr">
        <is>
          <t>THUONG_MAI</t>
        </is>
      </c>
      <c r="D497" t="inlineStr">
        <is>
          <t>Cách nhiệt ông đồng D28,6 Vật tư phụ, phụ kiện</t>
        </is>
      </c>
      <c r="E497" t="inlineStr">
        <is>
          <t>Lô</t>
        </is>
      </c>
      <c r="F497" t="inlineStr">
        <is>
          <t>-</t>
        </is>
      </c>
      <c r="G497" t="inlineStr">
        <is>
          <t>Phát sinh từ BOQ (chưa có trong CSDL)</t>
        </is>
      </c>
    </row>
    <row r="498">
      <c r="A498" t="n">
        <v>500</v>
      </c>
      <c r="B498" t="inlineStr">
        <is>
          <t>MAT-THUONG_MAI-NUOC_NGUNG_ONG_UPVC_D27</t>
        </is>
      </c>
      <c r="C498" t="inlineStr">
        <is>
          <t>THUONG_MAI</t>
        </is>
      </c>
      <c r="D498" t="inlineStr">
        <is>
          <t>NƯỚC NGƯNG Ống uPVC D27</t>
        </is>
      </c>
      <c r="E498" t="inlineStr">
        <is>
          <t>m</t>
        </is>
      </c>
      <c r="F498" t="inlineStr">
        <is>
          <t>-</t>
        </is>
      </c>
      <c r="G498" t="inlineStr">
        <is>
          <t>Phát sinh từ BOQ (chưa có trong CSDL)</t>
        </is>
      </c>
    </row>
    <row r="499">
      <c r="A499" t="n">
        <v>501</v>
      </c>
      <c r="B499" t="inlineStr">
        <is>
          <t>MAT-THUONG_MAI-NUOC_NGUNG_ONG_UPVC_D34</t>
        </is>
      </c>
      <c r="C499" t="inlineStr">
        <is>
          <t>THUONG_MAI</t>
        </is>
      </c>
      <c r="D499" t="inlineStr">
        <is>
          <t>NƯỚC NGƯNG Ống uPVC D34</t>
        </is>
      </c>
      <c r="E499" t="inlineStr">
        <is>
          <t>m</t>
        </is>
      </c>
      <c r="F499" t="inlineStr">
        <is>
          <t>-</t>
        </is>
      </c>
      <c r="G499" t="inlineStr">
        <is>
          <t>Phát sinh từ BOQ (chưa có trong CSDL)</t>
        </is>
      </c>
    </row>
    <row r="500">
      <c r="A500" t="n">
        <v>502</v>
      </c>
      <c r="B500" t="inlineStr">
        <is>
          <t>MAT-THUONG_MAI-NUOC_NGUNG_ONG_UPVC_D42</t>
        </is>
      </c>
      <c r="C500" t="inlineStr">
        <is>
          <t>THUONG_MAI</t>
        </is>
      </c>
      <c r="D500" t="inlineStr">
        <is>
          <t>NƯỚC NGƯNG Ống uPVC D42</t>
        </is>
      </c>
      <c r="E500" t="inlineStr">
        <is>
          <t>m</t>
        </is>
      </c>
      <c r="F500" t="inlineStr">
        <is>
          <t>-</t>
        </is>
      </c>
      <c r="G500" t="inlineStr">
        <is>
          <t>Phát sinh từ BOQ (chưa có trong CSDL)</t>
        </is>
      </c>
    </row>
    <row r="501">
      <c r="A501" t="n">
        <v>503</v>
      </c>
      <c r="B501" t="inlineStr">
        <is>
          <t>MAT-THUONG_MAI-NUOC_NGUNG_ONG_UPVC_D60</t>
        </is>
      </c>
      <c r="C501" t="inlineStr">
        <is>
          <t>THUONG_MAI</t>
        </is>
      </c>
      <c r="D501" t="inlineStr">
        <is>
          <t>NƯỚC NGƯNG Ống uPVC D60</t>
        </is>
      </c>
      <c r="E501" t="inlineStr">
        <is>
          <t>m</t>
        </is>
      </c>
      <c r="F501" t="inlineStr">
        <is>
          <t>-</t>
        </is>
      </c>
      <c r="G501" t="inlineStr">
        <is>
          <t>Phát sinh từ BOQ (chưa có trong CSDL)</t>
        </is>
      </c>
    </row>
    <row r="502">
      <c r="A502" t="n">
        <v>504</v>
      </c>
      <c r="B502" t="inlineStr">
        <is>
          <t>MAT-THUONG_MAI-NUOC_NGUNG_CACH_NHIET_ONG_UPVC_D27</t>
        </is>
      </c>
      <c r="C502" t="inlineStr">
        <is>
          <t>THUONG_MAI</t>
        </is>
      </c>
      <c r="D502" t="inlineStr">
        <is>
          <t>NƯỚC NGƯNG Cách nhiệt ống uPVC D27</t>
        </is>
      </c>
      <c r="E502" t="inlineStr">
        <is>
          <t>m</t>
        </is>
      </c>
      <c r="F502" t="inlineStr">
        <is>
          <t>-</t>
        </is>
      </c>
      <c r="G502" t="inlineStr">
        <is>
          <t>Phát sinh từ BOQ (chưa có trong CSDL)</t>
        </is>
      </c>
    </row>
    <row r="503">
      <c r="A503" t="n">
        <v>505</v>
      </c>
      <c r="B503" t="inlineStr">
        <is>
          <t>MAT-THUONG_MAI-NUOC_NGUNG_CACH_NHIET_ONG_UPVC_D34</t>
        </is>
      </c>
      <c r="C503" t="inlineStr">
        <is>
          <t>THUONG_MAI</t>
        </is>
      </c>
      <c r="D503" t="inlineStr">
        <is>
          <t>NƯỚC NGƯNG Cách nhiệt ống uPVC D34</t>
        </is>
      </c>
      <c r="E503" t="inlineStr">
        <is>
          <t>m</t>
        </is>
      </c>
      <c r="F503" t="inlineStr">
        <is>
          <t>-</t>
        </is>
      </c>
      <c r="G503" t="inlineStr">
        <is>
          <t>Phát sinh từ BOQ (chưa có trong CSDL)</t>
        </is>
      </c>
    </row>
    <row r="504">
      <c r="A504" t="n">
        <v>506</v>
      </c>
      <c r="B504" t="inlineStr">
        <is>
          <t>MAT-THUONG_MAI-NUOC_NGUNG_CACH_NHIET_ONG_UPVC_D42</t>
        </is>
      </c>
      <c r="C504" t="inlineStr">
        <is>
          <t>THUONG_MAI</t>
        </is>
      </c>
      <c r="D504" t="inlineStr">
        <is>
          <t>NƯỚC NGƯNG Cách nhiệt ống uPVC D42</t>
        </is>
      </c>
      <c r="E504" t="inlineStr">
        <is>
          <t>m</t>
        </is>
      </c>
      <c r="F504" t="inlineStr">
        <is>
          <t>-</t>
        </is>
      </c>
      <c r="G504" t="inlineStr">
        <is>
          <t>Phát sinh từ BOQ (chưa có trong CSDL)</t>
        </is>
      </c>
    </row>
    <row r="505">
      <c r="A505" t="n">
        <v>507</v>
      </c>
      <c r="B505" t="inlineStr">
        <is>
          <t>MAT-THUONG_MAI-NUOC_NGUNG_CACH_NHIET_ONG_UPVC_D60</t>
        </is>
      </c>
      <c r="C505" t="inlineStr">
        <is>
          <t>THUONG_MAI</t>
        </is>
      </c>
      <c r="D505" t="inlineStr">
        <is>
          <t>NƯỚC NGƯNG Cách nhiệt ống uPVC D60</t>
        </is>
      </c>
      <c r="E505" t="inlineStr">
        <is>
          <t>m</t>
        </is>
      </c>
      <c r="F505" t="inlineStr">
        <is>
          <t>-</t>
        </is>
      </c>
      <c r="G505" t="inlineStr">
        <is>
          <t>Phát sinh từ BOQ (chưa có trong CSDL)</t>
        </is>
      </c>
    </row>
    <row r="506">
      <c r="A506" t="n">
        <v>508</v>
      </c>
      <c r="B506" t="inlineStr">
        <is>
          <t>MAT-THUONG_MAI-NUOC_NGUNG_VAT_TU_PHU_PHU_KIEN</t>
        </is>
      </c>
      <c r="C506" t="inlineStr">
        <is>
          <t>THUONG_MAI</t>
        </is>
      </c>
      <c r="D506" t="inlineStr">
        <is>
          <t>NƯỚC NGƯNG Vật tư phụ, phụ kiện</t>
        </is>
      </c>
      <c r="E506" t="inlineStr">
        <is>
          <t>Lô</t>
        </is>
      </c>
      <c r="F506" t="inlineStr">
        <is>
          <t>-</t>
        </is>
      </c>
      <c r="G506" t="inlineStr">
        <is>
          <t>Phát sinh từ BOQ (chưa có trong CSDL)</t>
        </is>
      </c>
    </row>
    <row r="507">
      <c r="A507" t="n">
        <v>509</v>
      </c>
      <c r="B507" t="inlineStr">
        <is>
          <t>MAT-STEEL-PN-1.50</t>
        </is>
      </c>
      <c r="C507" t="inlineStr">
        <is>
          <t>TÔN_CUỘN_MẠ_KẼM</t>
        </is>
      </c>
      <c r="D507" t="inlineStr">
        <is>
          <t>Tôn mạ kẽm PN (1.50mm) - Định mức mét dài</t>
        </is>
      </c>
      <c r="E507" t="inlineStr">
        <is>
          <t>kg</t>
        </is>
      </c>
      <c r="F507" t="inlineStr">
        <is>
          <t>-</t>
        </is>
      </c>
      <c r="G507" t="inlineStr">
        <is>
          <t>Phát sinh từ BOQ (chưa có trong CSDL)</t>
        </is>
      </c>
    </row>
    <row r="508">
      <c r="A508" t="n">
        <v>510</v>
      </c>
      <c r="B508" t="inlineStr">
        <is>
          <t>MAT-THUONG_MAI-MANG_TON_ZAM_DI_ONG_DONG_NGOAI_9BD8</t>
        </is>
      </c>
      <c r="C508" t="inlineStr">
        <is>
          <t>THUONG_MAI</t>
        </is>
      </c>
      <c r="D508" t="inlineStr">
        <is>
          <t>MÁNG TÔN ZAM (ĐI ỐNG ĐỒNG NGOÀI TRỜI), KÈM NẮP Vật tư phụ, phụ kiện</t>
        </is>
      </c>
      <c r="E508" t="inlineStr">
        <is>
          <t>Lô</t>
        </is>
      </c>
      <c r="F508" t="inlineStr">
        <is>
          <t>-</t>
        </is>
      </c>
      <c r="G508" t="inlineStr">
        <is>
          <t>Phát sinh từ BOQ (chưa có trong CSDL)</t>
        </is>
      </c>
    </row>
    <row r="509">
      <c r="A509" t="n">
        <v>511</v>
      </c>
      <c r="B509" t="inlineStr">
        <is>
          <t>MAT-THUONG_MAI-A1_1_DAN_NONG</t>
        </is>
      </c>
      <c r="C509" t="inlineStr">
        <is>
          <t>THUONG_MAI</t>
        </is>
      </c>
      <c r="D509" t="inlineStr">
        <is>
          <t>A1.1 Dàn nóng</t>
        </is>
      </c>
      <c r="E509" t="inlineStr">
        <is>
          <t>Bộ</t>
        </is>
      </c>
      <c r="F509" t="inlineStr">
        <is>
          <t>-</t>
        </is>
      </c>
      <c r="G509" t="inlineStr">
        <is>
          <t>Phát sinh từ BOQ (chưa có trong CSDL)</t>
        </is>
      </c>
    </row>
    <row r="510">
      <c r="A510" t="n">
        <v>512</v>
      </c>
      <c r="B510" t="inlineStr">
        <is>
          <t>MAT-THUONG_MAI-A1_1_DAN_LANH</t>
        </is>
      </c>
      <c r="C510" t="inlineStr">
        <is>
          <t>THUONG_MAI</t>
        </is>
      </c>
      <c r="D510" t="inlineStr">
        <is>
          <t>A1.1 Dàn lạnh</t>
        </is>
      </c>
      <c r="E510" t="inlineStr">
        <is>
          <t>Bộ</t>
        </is>
      </c>
      <c r="F510" t="inlineStr">
        <is>
          <t>-</t>
        </is>
      </c>
      <c r="G510" t="inlineStr">
        <is>
          <t>Phát sinh từ BOQ (chưa có trong CSDL)</t>
        </is>
      </c>
    </row>
    <row r="511">
      <c r="A511" t="n">
        <v>513</v>
      </c>
      <c r="B511" t="inlineStr">
        <is>
          <t>MAT-THUONG_MAI-A1_2_DAN_NONG</t>
        </is>
      </c>
      <c r="C511" t="inlineStr">
        <is>
          <t>THUONG_MAI</t>
        </is>
      </c>
      <c r="D511" t="inlineStr">
        <is>
          <t>A1.2 Dàn nóng</t>
        </is>
      </c>
      <c r="E511" t="inlineStr">
        <is>
          <t>Bộ</t>
        </is>
      </c>
      <c r="F511" t="inlineStr">
        <is>
          <t>-</t>
        </is>
      </c>
      <c r="G511" t="inlineStr">
        <is>
          <t>Phát sinh từ BOQ (chưa có trong CSDL)</t>
        </is>
      </c>
    </row>
    <row r="512">
      <c r="A512" t="n">
        <v>514</v>
      </c>
      <c r="B512" t="inlineStr">
        <is>
          <t>MAT-THUONG_MAI-A1_2_DAN_LANH</t>
        </is>
      </c>
      <c r="C512" t="inlineStr">
        <is>
          <t>THUONG_MAI</t>
        </is>
      </c>
      <c r="D512" t="inlineStr">
        <is>
          <t>A1.2 Dàn lạnh</t>
        </is>
      </c>
      <c r="E512" t="inlineStr">
        <is>
          <t>Bộ</t>
        </is>
      </c>
      <c r="F512" t="inlineStr">
        <is>
          <t>-</t>
        </is>
      </c>
      <c r="G512" t="inlineStr">
        <is>
          <t>Phát sinh từ BOQ (chưa có trong CSDL)</t>
        </is>
      </c>
    </row>
    <row r="513">
      <c r="A513" t="n">
        <v>515</v>
      </c>
      <c r="B513" t="inlineStr">
        <is>
          <t>MAT-THUONG_MAI-A1_3_DAN_NONG</t>
        </is>
      </c>
      <c r="C513" t="inlineStr">
        <is>
          <t>THUONG_MAI</t>
        </is>
      </c>
      <c r="D513" t="inlineStr">
        <is>
          <t>A1.3 Dàn nóng</t>
        </is>
      </c>
      <c r="E513" t="inlineStr">
        <is>
          <t>Bộ</t>
        </is>
      </c>
      <c r="F513" t="inlineStr">
        <is>
          <t>-</t>
        </is>
      </c>
      <c r="G513" t="inlineStr">
        <is>
          <t>Phát sinh từ BOQ (chưa có trong CSDL)</t>
        </is>
      </c>
    </row>
    <row r="514">
      <c r="A514" t="n">
        <v>516</v>
      </c>
      <c r="B514" t="inlineStr">
        <is>
          <t>MAT-THUONG_MAI-A1_3_DAN_LANH</t>
        </is>
      </c>
      <c r="C514" t="inlineStr">
        <is>
          <t>THUONG_MAI</t>
        </is>
      </c>
      <c r="D514" t="inlineStr">
        <is>
          <t>A1.3 Dàn lạnh</t>
        </is>
      </c>
      <c r="E514" t="inlineStr">
        <is>
          <t>Bộ</t>
        </is>
      </c>
      <c r="F514" t="inlineStr">
        <is>
          <t>-</t>
        </is>
      </c>
      <c r="G514" t="inlineStr">
        <is>
          <t>Phát sinh từ BOQ (chưa có trong CSDL)</t>
        </is>
      </c>
    </row>
    <row r="515">
      <c r="A515" t="n">
        <v>517</v>
      </c>
      <c r="B515" t="inlineStr">
        <is>
          <t>MAT-BOX-MIENG_GIO_CHO_CAP_NH_DA3E</t>
        </is>
      </c>
      <c r="C515" t="inlineStr">
        <is>
          <t>THUONG_MAI</t>
        </is>
      </c>
      <c r="D515" t="inlineStr">
        <is>
          <t>Box phụ kiện -</t>
        </is>
      </c>
      <c r="E515" t="inlineStr">
        <is>
          <t>Cái</t>
        </is>
      </c>
      <c r="F515" t="inlineStr">
        <is>
          <t>-</t>
        </is>
      </c>
      <c r="G515" t="inlineStr">
        <is>
          <t>Phát sinh từ BOQ (chưa có trong CSDL)</t>
        </is>
      </c>
    </row>
    <row r="516">
      <c r="A516" t="n">
        <v>518</v>
      </c>
      <c r="B516" t="inlineStr">
        <is>
          <t>MAT-BOX-MIENG_GIO_CHO_CAP_NH_FBD0</t>
        </is>
      </c>
      <c r="C516" t="inlineStr">
        <is>
          <t>THUONG_MAI</t>
        </is>
      </c>
      <c r="D516" t="inlineStr">
        <is>
          <t>Box phụ kiện -</t>
        </is>
      </c>
      <c r="E516" t="inlineStr">
        <is>
          <t>Cái</t>
        </is>
      </c>
      <c r="F516" t="inlineStr">
        <is>
          <t>-</t>
        </is>
      </c>
      <c r="G516" t="inlineStr">
        <is>
          <t>Phát sinh từ BOQ (chưa có trong CSDL)</t>
        </is>
      </c>
    </row>
    <row r="517">
      <c r="A517" t="n">
        <v>519</v>
      </c>
      <c r="B517" t="inlineStr">
        <is>
          <t>MAT-BOX-MIENG_GIO_CHO_CAP_NH_3914</t>
        </is>
      </c>
      <c r="C517" t="inlineStr">
        <is>
          <t>THUONG_MAI</t>
        </is>
      </c>
      <c r="D517" t="inlineStr">
        <is>
          <t>Box phụ kiện -</t>
        </is>
      </c>
      <c r="E517" t="inlineStr">
        <is>
          <t>Cái</t>
        </is>
      </c>
      <c r="F517" t="inlineStr">
        <is>
          <t>-</t>
        </is>
      </c>
      <c r="G517" t="inlineStr">
        <is>
          <t>Phát sinh từ BOQ (chưa có trong CSDL)</t>
        </is>
      </c>
    </row>
    <row r="518">
      <c r="A518" t="n">
        <v>520</v>
      </c>
      <c r="B518" t="inlineStr">
        <is>
          <t>MAT-BOX-MIENG_GIO_CHO_CAP_NH_87A5</t>
        </is>
      </c>
      <c r="C518" t="inlineStr">
        <is>
          <t>THUONG_MAI</t>
        </is>
      </c>
      <c r="D518" t="inlineStr">
        <is>
          <t>Box phụ kiện -</t>
        </is>
      </c>
      <c r="E518" t="inlineStr">
        <is>
          <t>Cái</t>
        </is>
      </c>
      <c r="F518" t="inlineStr">
        <is>
          <t>-</t>
        </is>
      </c>
      <c r="G518" t="inlineStr">
        <is>
          <t>Phát sinh từ BOQ (chưa có trong CSDL)</t>
        </is>
      </c>
    </row>
    <row r="519">
      <c r="A519" t="n">
        <v>521</v>
      </c>
      <c r="B519" t="inlineStr">
        <is>
          <t>MAT-BOX-MIENG_GIO_CHO_CAP_NH_34FC</t>
        </is>
      </c>
      <c r="C519" t="inlineStr">
        <is>
          <t>THUONG_MAI</t>
        </is>
      </c>
      <c r="D519" t="inlineStr">
        <is>
          <t>Box phụ kiện -</t>
        </is>
      </c>
      <c r="E519" t="inlineStr">
        <is>
          <t>Cái</t>
        </is>
      </c>
      <c r="F519" t="inlineStr">
        <is>
          <t>-</t>
        </is>
      </c>
      <c r="G519" t="inlineStr">
        <is>
          <t>Phát sinh từ BOQ (chưa có trong CSDL)</t>
        </is>
      </c>
    </row>
    <row r="520">
      <c r="A520" t="n">
        <v>522</v>
      </c>
      <c r="B520" t="inlineStr">
        <is>
          <t>MAT-BOX-MIENG_GIO_CHO_CAP_NH_7090</t>
        </is>
      </c>
      <c r="C520" t="inlineStr">
        <is>
          <t>THUONG_MAI</t>
        </is>
      </c>
      <c r="D520" t="inlineStr">
        <is>
          <t>Box phụ kiện -</t>
        </is>
      </c>
      <c r="E520" t="inlineStr">
        <is>
          <t>Cái</t>
        </is>
      </c>
      <c r="F520" t="inlineStr">
        <is>
          <t>-</t>
        </is>
      </c>
      <c r="G520" t="inlineStr">
        <is>
          <t>Phát sinh từ BOQ (chưa có trong CSDL)</t>
        </is>
      </c>
    </row>
    <row r="521">
      <c r="A521" t="n">
        <v>523</v>
      </c>
      <c r="B521" t="inlineStr">
        <is>
          <t>MAT-BOX-MIENG_GIO_CHO_CAP_NH_0FBB</t>
        </is>
      </c>
      <c r="C521" t="inlineStr">
        <is>
          <t>THUONG_MAI</t>
        </is>
      </c>
      <c r="D521" t="inlineStr">
        <is>
          <t>Box phụ kiện -</t>
        </is>
      </c>
      <c r="E521" t="inlineStr">
        <is>
          <t>Cái</t>
        </is>
      </c>
      <c r="F521" t="inlineStr">
        <is>
          <t>-</t>
        </is>
      </c>
      <c r="G521" t="inlineStr">
        <is>
          <t>Phát sinh từ BOQ (chưa có trong CSDL)</t>
        </is>
      </c>
    </row>
    <row r="522">
      <c r="A522" t="n">
        <v>524</v>
      </c>
      <c r="B522" t="inlineStr">
        <is>
          <t>MAT-THUONG_MAI-MIENG_GIO_CAP_HOI_CHO_MAY_LANH_A4B2</t>
        </is>
      </c>
      <c r="C522" t="inlineStr">
        <is>
          <t>THUONG_MAI</t>
        </is>
      </c>
      <c r="D522" t="inlineStr">
        <is>
          <t>Miệng gió cấp,hồi cho máy lạnh Vật tư phụ, phụ kiện</t>
        </is>
      </c>
      <c r="E522" t="inlineStr">
        <is>
          <t>Lô</t>
        </is>
      </c>
      <c r="F522" t="inlineStr">
        <is>
          <t>-</t>
        </is>
      </c>
      <c r="G522" t="inlineStr">
        <is>
          <t>Phát sinh từ BOQ (chưa có trong CSDL)</t>
        </is>
      </c>
    </row>
    <row r="523">
      <c r="A523" t="n">
        <v>525</v>
      </c>
      <c r="B523" t="inlineStr">
        <is>
          <t>MAT-BOX-ONG_GIO_LANH_BOX_MIE_8C68</t>
        </is>
      </c>
      <c r="C523" t="inlineStr">
        <is>
          <t>THUONG_MAI</t>
        </is>
      </c>
      <c r="D523" t="inlineStr">
        <is>
          <t>Box phụ kiện 0.58mm</t>
        </is>
      </c>
      <c r="E523" t="inlineStr">
        <is>
          <t>Cái</t>
        </is>
      </c>
      <c r="F523" t="inlineStr">
        <is>
          <t>-</t>
        </is>
      </c>
      <c r="G523" t="inlineStr">
        <is>
          <t>Phát sinh từ BOQ (chưa có trong CSDL)</t>
        </is>
      </c>
    </row>
    <row r="524">
      <c r="A524" t="n">
        <v>526</v>
      </c>
      <c r="B524" t="inlineStr">
        <is>
          <t>MAT-BOX-ONG_GIO_LANH_BOX_MIE_88E9</t>
        </is>
      </c>
      <c r="C524" t="inlineStr">
        <is>
          <t>THUONG_MAI</t>
        </is>
      </c>
      <c r="D524" t="inlineStr">
        <is>
          <t>Box phụ kiện 0.75mm</t>
        </is>
      </c>
      <c r="E524" t="inlineStr">
        <is>
          <t>Cái</t>
        </is>
      </c>
      <c r="F524" t="inlineStr">
        <is>
          <t>-</t>
        </is>
      </c>
      <c r="G524" t="inlineStr">
        <is>
          <t>Phát sinh từ BOQ (chưa có trong CSDL)</t>
        </is>
      </c>
    </row>
    <row r="525">
      <c r="A525" t="n">
        <v>527</v>
      </c>
      <c r="B525" t="inlineStr">
        <is>
          <t>MAT-BOX-ONG_GIO_LANH_BOX_MIE_1FDC</t>
        </is>
      </c>
      <c r="C525" t="inlineStr">
        <is>
          <t>THUONG_MAI</t>
        </is>
      </c>
      <c r="D525" t="inlineStr">
        <is>
          <t>Box phụ kiện -</t>
        </is>
      </c>
      <c r="E525" t="inlineStr">
        <is>
          <t>Cái</t>
        </is>
      </c>
      <c r="F525" t="inlineStr">
        <is>
          <t>-</t>
        </is>
      </c>
      <c r="G525" t="inlineStr">
        <is>
          <t>Phát sinh từ BOQ (chưa có trong CSDL)</t>
        </is>
      </c>
    </row>
    <row r="526">
      <c r="A526" t="n">
        <v>528</v>
      </c>
      <c r="B526" t="inlineStr">
        <is>
          <t>MAT-BOX-ONG_GIO_LANH_BOX_MIE_EF26</t>
        </is>
      </c>
      <c r="C526" t="inlineStr">
        <is>
          <t>THUONG_MAI</t>
        </is>
      </c>
      <c r="D526" t="inlineStr">
        <is>
          <t>Box phụ kiện -</t>
        </is>
      </c>
      <c r="E526" t="inlineStr">
        <is>
          <t>Cái</t>
        </is>
      </c>
      <c r="F526" t="inlineStr">
        <is>
          <t>-</t>
        </is>
      </c>
      <c r="G526" t="inlineStr">
        <is>
          <t>Phát sinh từ BOQ (chưa có trong CSDL)</t>
        </is>
      </c>
    </row>
    <row r="527">
      <c r="A527" t="n">
        <v>529</v>
      </c>
      <c r="B527" t="inlineStr">
        <is>
          <t>MAT-BOX-ONG_GIO_LANH_BOX_MIE_3A3C</t>
        </is>
      </c>
      <c r="C527" t="inlineStr">
        <is>
          <t>THUONG_MAI</t>
        </is>
      </c>
      <c r="D527" t="inlineStr">
        <is>
          <t>Box phụ kiện -</t>
        </is>
      </c>
      <c r="E527" t="inlineStr">
        <is>
          <t>Cái</t>
        </is>
      </c>
      <c r="F527" t="inlineStr">
        <is>
          <t>-</t>
        </is>
      </c>
      <c r="G527" t="inlineStr">
        <is>
          <t>Phát sinh từ BOQ (chưa có trong CSDL)</t>
        </is>
      </c>
    </row>
    <row r="528">
      <c r="A528" t="n">
        <v>530</v>
      </c>
      <c r="B528" t="inlineStr">
        <is>
          <t>FLEX_DUCT_D200_INSULATED</t>
        </is>
      </c>
      <c r="C528" t="inlineStr">
        <is>
          <t>ONG_MEM</t>
        </is>
      </c>
      <c r="D528" t="inlineStr">
        <is>
          <t>ỐNG GIÓ LẠNH, BOX MIỆNG GIÓ Ống gió mềm D200 cách nhiệt dày 25mm</t>
        </is>
      </c>
      <c r="E528" t="inlineStr">
        <is>
          <t>m</t>
        </is>
      </c>
      <c r="F528" t="inlineStr">
        <is>
          <t>-</t>
        </is>
      </c>
      <c r="G528" t="inlineStr">
        <is>
          <t>Phát sinh từ BOQ (chưa có trong CSDL)</t>
        </is>
      </c>
    </row>
    <row r="529">
      <c r="A529" t="n">
        <v>531</v>
      </c>
      <c r="B529" t="inlineStr">
        <is>
          <t>MAT-BOX-ONG_GIO_LANH_BOX_MIE_B255</t>
        </is>
      </c>
      <c r="C529" t="inlineStr">
        <is>
          <t>THUONG_MAI</t>
        </is>
      </c>
      <c r="D529" t="inlineStr">
        <is>
          <t>Box phụ kiện -</t>
        </is>
      </c>
      <c r="E529" t="inlineStr">
        <is>
          <t>Cái</t>
        </is>
      </c>
      <c r="F529" t="inlineStr">
        <is>
          <t>-</t>
        </is>
      </c>
      <c r="G529" t="inlineStr">
        <is>
          <t>Phát sinh từ BOQ (chưa có trong CSDL)</t>
        </is>
      </c>
    </row>
    <row r="530">
      <c r="A530" t="n">
        <v>532</v>
      </c>
      <c r="B530" t="inlineStr">
        <is>
          <t>MAT-THUONG_MAI-ONG_GIO_LANH_BOX_MIENG_GIO_VAT_B1A1</t>
        </is>
      </c>
      <c r="C530" t="inlineStr">
        <is>
          <t>THUONG_MAI</t>
        </is>
      </c>
      <c r="D530" t="inlineStr">
        <is>
          <t>ỐNG GIÓ LẠNH, BOX MIỆNG GIÓ Vật tư phụ, phụ kiện</t>
        </is>
      </c>
      <c r="E530" t="inlineStr">
        <is>
          <t>Lô</t>
        </is>
      </c>
      <c r="F530" t="inlineStr">
        <is>
          <t>-</t>
        </is>
      </c>
      <c r="G530" t="inlineStr">
        <is>
          <t>Phát sinh từ BOQ (chưa có trong CSDL)</t>
        </is>
      </c>
    </row>
    <row r="531">
      <c r="A531" t="n">
        <v>533</v>
      </c>
      <c r="B531" t="inlineStr">
        <is>
          <t>MAT-BOX-ONG_GIO_LANH_BOX_MIE_B1A1</t>
        </is>
      </c>
      <c r="C531" t="inlineStr">
        <is>
          <t>THUONG_MAI</t>
        </is>
      </c>
      <c r="D531" t="inlineStr">
        <is>
          <t>Box phụ kiện -</t>
        </is>
      </c>
      <c r="E531" t="inlineStr">
        <is>
          <t>Cái</t>
        </is>
      </c>
      <c r="F531" t="inlineStr">
        <is>
          <t>-</t>
        </is>
      </c>
      <c r="G531" t="inlineStr">
        <is>
          <t>Phát sinh từ BOQ (chưa có trong CSDL)</t>
        </is>
      </c>
    </row>
    <row r="532">
      <c r="A532" t="n">
        <v>534</v>
      </c>
      <c r="B532" t="inlineStr">
        <is>
          <t>MAT-THUONG_MAI-ONG_DONG_D6_4</t>
        </is>
      </c>
      <c r="C532" t="inlineStr">
        <is>
          <t>THUONG_MAI</t>
        </is>
      </c>
      <c r="D532" t="inlineStr">
        <is>
          <t>Ống đồng D6.4</t>
        </is>
      </c>
      <c r="E532" t="inlineStr">
        <is>
          <t>m</t>
        </is>
      </c>
      <c r="F532" t="inlineStr">
        <is>
          <t>-</t>
        </is>
      </c>
      <c r="G532" t="inlineStr">
        <is>
          <t>Phát sinh từ BOQ (chưa có trong CSDL)</t>
        </is>
      </c>
    </row>
    <row r="533">
      <c r="A533" t="n">
        <v>535</v>
      </c>
      <c r="B533" t="inlineStr">
        <is>
          <t>MAT-THUONG_MAI-ONG_DONG_D9_5</t>
        </is>
      </c>
      <c r="C533" t="inlineStr">
        <is>
          <t>THUONG_MAI</t>
        </is>
      </c>
      <c r="D533" t="inlineStr">
        <is>
          <t>Ống đồng D9.5</t>
        </is>
      </c>
      <c r="E533" t="inlineStr">
        <is>
          <t>m</t>
        </is>
      </c>
      <c r="F533" t="inlineStr">
        <is>
          <t>-</t>
        </is>
      </c>
      <c r="G533" t="inlineStr">
        <is>
          <t>Phát sinh từ BOQ (chưa có trong CSDL)</t>
        </is>
      </c>
    </row>
    <row r="534">
      <c r="A534" t="n">
        <v>536</v>
      </c>
      <c r="B534" t="inlineStr">
        <is>
          <t>MAT-THUONG_MAI-ONG_DONG_D12_7</t>
        </is>
      </c>
      <c r="C534" t="inlineStr">
        <is>
          <t>THUONG_MAI</t>
        </is>
      </c>
      <c r="D534" t="inlineStr">
        <is>
          <t>Ống đồng D12.7</t>
        </is>
      </c>
      <c r="E534" t="inlineStr">
        <is>
          <t>m</t>
        </is>
      </c>
      <c r="F534" t="inlineStr">
        <is>
          <t>-</t>
        </is>
      </c>
      <c r="G534" t="inlineStr">
        <is>
          <t>Phát sinh từ BOQ (chưa có trong CSDL)</t>
        </is>
      </c>
    </row>
    <row r="535">
      <c r="A535" t="n">
        <v>537</v>
      </c>
      <c r="B535" t="inlineStr">
        <is>
          <t>MAT-THUONG_MAI-ONG_DONG_D15_9</t>
        </is>
      </c>
      <c r="C535" t="inlineStr">
        <is>
          <t>THUONG_MAI</t>
        </is>
      </c>
      <c r="D535" t="inlineStr">
        <is>
          <t>Ống đồng D15.9</t>
        </is>
      </c>
      <c r="E535" t="inlineStr">
        <is>
          <t>m</t>
        </is>
      </c>
      <c r="F535" t="inlineStr">
        <is>
          <t>-</t>
        </is>
      </c>
      <c r="G535" t="inlineStr">
        <is>
          <t>Phát sinh từ BOQ (chưa có trong CSDL)</t>
        </is>
      </c>
    </row>
    <row r="536">
      <c r="A536" t="n">
        <v>538</v>
      </c>
      <c r="B536" t="inlineStr">
        <is>
          <t>MAT-THUONG_MAI-ONG_DONG_D19_1</t>
        </is>
      </c>
      <c r="C536" t="inlineStr">
        <is>
          <t>THUONG_MAI</t>
        </is>
      </c>
      <c r="D536" t="inlineStr">
        <is>
          <t>Ống đồng D19,1</t>
        </is>
      </c>
      <c r="E536" t="inlineStr">
        <is>
          <t>m</t>
        </is>
      </c>
      <c r="F536" t="inlineStr">
        <is>
          <t>-</t>
        </is>
      </c>
      <c r="G536" t="inlineStr">
        <is>
          <t>Phát sinh từ BOQ (chưa có trong CSDL)</t>
        </is>
      </c>
    </row>
    <row r="537">
      <c r="A537" t="n">
        <v>539</v>
      </c>
      <c r="B537" t="inlineStr">
        <is>
          <t>MAT-THUONG_MAI-ONG_DONG_CACH_NHIET_ONG_DONG_D6_4</t>
        </is>
      </c>
      <c r="C537" t="inlineStr">
        <is>
          <t>THUONG_MAI</t>
        </is>
      </c>
      <c r="D537" t="inlineStr">
        <is>
          <t>ỐNG ĐỒNG Cách nhiệt ông đồng D6.4</t>
        </is>
      </c>
      <c r="E537" t="inlineStr">
        <is>
          <t>m</t>
        </is>
      </c>
      <c r="F537" t="inlineStr">
        <is>
          <t>-</t>
        </is>
      </c>
      <c r="G537" t="inlineStr">
        <is>
          <t>Phát sinh từ BOQ (chưa có trong CSDL)</t>
        </is>
      </c>
    </row>
    <row r="538">
      <c r="A538" t="n">
        <v>540</v>
      </c>
      <c r="B538" t="inlineStr">
        <is>
          <t>MAT-THUONG_MAI-ONG_DONG_CACH_NHIET_ONG_DONG_D9_5</t>
        </is>
      </c>
      <c r="C538" t="inlineStr">
        <is>
          <t>THUONG_MAI</t>
        </is>
      </c>
      <c r="D538" t="inlineStr">
        <is>
          <t>ỐNG ĐỒNG Cách nhiệt ông đồng D9.5</t>
        </is>
      </c>
      <c r="E538" t="inlineStr">
        <is>
          <t>m</t>
        </is>
      </c>
      <c r="F538" t="inlineStr">
        <is>
          <t>-</t>
        </is>
      </c>
      <c r="G538" t="inlineStr">
        <is>
          <t>Phát sinh từ BOQ (chưa có trong CSDL)</t>
        </is>
      </c>
    </row>
    <row r="539">
      <c r="A539" t="n">
        <v>541</v>
      </c>
      <c r="B539" t="inlineStr">
        <is>
          <t>MAT-THUONG_MAI-ONG_DONG_CACH_NHIET_ONG_DONG_D12_7</t>
        </is>
      </c>
      <c r="C539" t="inlineStr">
        <is>
          <t>THUONG_MAI</t>
        </is>
      </c>
      <c r="D539" t="inlineStr">
        <is>
          <t>ỐNG ĐỒNG Cách nhiệt ông đồng D12.7</t>
        </is>
      </c>
      <c r="E539" t="inlineStr">
        <is>
          <t>m</t>
        </is>
      </c>
      <c r="F539" t="inlineStr">
        <is>
          <t>-</t>
        </is>
      </c>
      <c r="G539" t="inlineStr">
        <is>
          <t>Phát sinh từ BOQ (chưa có trong CSDL)</t>
        </is>
      </c>
    </row>
    <row r="540">
      <c r="A540" t="n">
        <v>542</v>
      </c>
      <c r="B540" t="inlineStr">
        <is>
          <t>MAT-THUONG_MAI-ONG_DONG_CACH_NHIET_ONG_DONG_D15_9</t>
        </is>
      </c>
      <c r="C540" t="inlineStr">
        <is>
          <t>THUONG_MAI</t>
        </is>
      </c>
      <c r="D540" t="inlineStr">
        <is>
          <t>ỐNG ĐỒNG Cách nhiệt ông đồng D15.9</t>
        </is>
      </c>
      <c r="E540" t="inlineStr">
        <is>
          <t>m</t>
        </is>
      </c>
      <c r="F540" t="inlineStr">
        <is>
          <t>-</t>
        </is>
      </c>
      <c r="G540" t="inlineStr">
        <is>
          <t>Phát sinh từ BOQ (chưa có trong CSDL)</t>
        </is>
      </c>
    </row>
    <row r="541">
      <c r="A541" t="n">
        <v>543</v>
      </c>
      <c r="B541" t="inlineStr">
        <is>
          <t>MAT-THUONG_MAI-ONG_DONG_CACH_NHIET_ONG_DONG_D19_1</t>
        </is>
      </c>
      <c r="C541" t="inlineStr">
        <is>
          <t>THUONG_MAI</t>
        </is>
      </c>
      <c r="D541" t="inlineStr">
        <is>
          <t>ỐNG ĐỒNG Cách nhiệt ông đồng D19,1</t>
        </is>
      </c>
      <c r="E541" t="inlineStr">
        <is>
          <t>m</t>
        </is>
      </c>
      <c r="F541" t="inlineStr">
        <is>
          <t>-</t>
        </is>
      </c>
      <c r="G541" t="inlineStr">
        <is>
          <t>Phát sinh từ BOQ (chưa có trong CSDL)</t>
        </is>
      </c>
    </row>
    <row r="542">
      <c r="A542" t="n">
        <v>544</v>
      </c>
      <c r="B542" t="inlineStr">
        <is>
          <t>MAT-THUONG_MAI-ONG_DONG_BO_CHIA_GAS</t>
        </is>
      </c>
      <c r="C542" t="inlineStr">
        <is>
          <t>THUONG_MAI</t>
        </is>
      </c>
      <c r="D542" t="inlineStr">
        <is>
          <t>ỐNG ĐỒNG Bộ chia gas</t>
        </is>
      </c>
      <c r="E542" t="inlineStr">
        <is>
          <t>Bộ</t>
        </is>
      </c>
      <c r="F542" t="inlineStr">
        <is>
          <t>-</t>
        </is>
      </c>
      <c r="G542" t="inlineStr">
        <is>
          <t>Phát sinh từ BOQ (chưa có trong CSDL)</t>
        </is>
      </c>
    </row>
    <row r="543">
      <c r="A543" t="n">
        <v>545</v>
      </c>
      <c r="B543" t="inlineStr">
        <is>
          <t>MAT-THUONG_MAI-ONG_DONG_NAP_GA_BO_SUNG</t>
        </is>
      </c>
      <c r="C543" t="inlineStr">
        <is>
          <t>THUONG_MAI</t>
        </is>
      </c>
      <c r="D543" t="inlineStr">
        <is>
          <t>ỐNG ĐỒNG Nap ga bổ sung</t>
        </is>
      </c>
      <c r="E543" t="inlineStr">
        <is>
          <t>Lô</t>
        </is>
      </c>
      <c r="F543" t="inlineStr">
        <is>
          <t>-</t>
        </is>
      </c>
      <c r="G543" t="inlineStr">
        <is>
          <t>Phát sinh từ BOQ (chưa có trong CSDL)</t>
        </is>
      </c>
    </row>
    <row r="544">
      <c r="A544" t="n">
        <v>546</v>
      </c>
      <c r="B544" t="inlineStr">
        <is>
          <t>MAT-THUONG_MAI-ONG_DONG_VAT_TU_PHU_PHU_KIEN</t>
        </is>
      </c>
      <c r="C544" t="inlineStr">
        <is>
          <t>THUONG_MAI</t>
        </is>
      </c>
      <c r="D544" t="inlineStr">
        <is>
          <t>ỐNG ĐỒNG Vật tư phụ, phụ kiện</t>
        </is>
      </c>
      <c r="E544" t="inlineStr">
        <is>
          <t>Lô</t>
        </is>
      </c>
      <c r="F544" t="inlineStr">
        <is>
          <t>-</t>
        </is>
      </c>
      <c r="G544" t="inlineStr">
        <is>
          <t>Phát sinh từ BOQ (chưa có trong CSDL)</t>
        </is>
      </c>
    </row>
    <row r="545">
      <c r="A545" t="n">
        <v>547</v>
      </c>
      <c r="B545" t="inlineStr">
        <is>
          <t>MAT-THUONG_MAI-CHI_PHI_CHUNG_KIEM_TRA_NGHIEM_FCB5</t>
        </is>
      </c>
      <c r="C545" t="inlineStr">
        <is>
          <t>THUONG_MAI</t>
        </is>
      </c>
      <c r="D545" t="inlineStr">
        <is>
          <t>CHI PHÍ CHUNG Kiểm tra, nghiệm thu và bàn giao hệ thống</t>
        </is>
      </c>
      <c r="E545" t="inlineStr">
        <is>
          <t>Lô</t>
        </is>
      </c>
      <c r="F545" t="inlineStr">
        <is>
          <t>-</t>
        </is>
      </c>
      <c r="G545" t="inlineStr">
        <is>
          <t>Phát sinh từ BOQ (chưa có trong CSDL)</t>
        </is>
      </c>
    </row>
    <row r="546">
      <c r="A546" t="n">
        <v>548</v>
      </c>
      <c r="B546" t="inlineStr">
        <is>
          <t>MAT-THUONG_MAI-CHI_PHI_CHUNG_CHI_PHI_CAT_DUC_7600</t>
        </is>
      </c>
      <c r="C546" t="inlineStr">
        <is>
          <t>THUONG_MAI</t>
        </is>
      </c>
      <c r="D546" t="inlineStr">
        <is>
          <t>CHI PHÍ CHUNG Chi phí cắt đục, đóng lưới trám trét tường</t>
        </is>
      </c>
      <c r="E546" t="inlineStr">
        <is>
          <t>Lô</t>
        </is>
      </c>
      <c r="F546" t="inlineStr">
        <is>
          <t>-</t>
        </is>
      </c>
      <c r="G546" t="inlineStr">
        <is>
          <t>Phát sinh từ BOQ (chưa có trong CSDL)</t>
        </is>
      </c>
    </row>
    <row r="547">
      <c r="A547" t="n">
        <v>549</v>
      </c>
      <c r="B547" t="inlineStr">
        <is>
          <t>MAT-LUOI-CHI_PHI_CHUNG_CHI_PH_7600</t>
        </is>
      </c>
      <c r="C547" t="inlineStr">
        <is>
          <t>THUONG_MAI</t>
        </is>
      </c>
      <c r="D547" t="inlineStr">
        <is>
          <t>Lưới bảo vệ -</t>
        </is>
      </c>
      <c r="E547" t="inlineStr">
        <is>
          <t>Cái</t>
        </is>
      </c>
      <c r="F547" t="inlineStr">
        <is>
          <t>-</t>
        </is>
      </c>
      <c r="G547" t="inlineStr">
        <is>
          <t>Phát sinh từ BOQ (chưa có trong CSDL)</t>
        </is>
      </c>
    </row>
    <row r="548">
      <c r="A548" t="n">
        <v>550</v>
      </c>
      <c r="B548" t="inlineStr">
        <is>
          <t>MAT-THUONG_MAI-CHI_PHI_CHUNG_CHI_PHI_CHONG_CH_147A</t>
        </is>
      </c>
      <c r="C548" t="inlineStr">
        <is>
          <t>THUONG_MAI</t>
        </is>
      </c>
      <c r="D548" t="inlineStr">
        <is>
          <t>CHI PHÍ CHUNG Chi phí chống cháy lan</t>
        </is>
      </c>
      <c r="E548" t="inlineStr">
        <is>
          <t>Lô</t>
        </is>
      </c>
      <c r="F548" t="inlineStr">
        <is>
          <t>-</t>
        </is>
      </c>
      <c r="G548" t="inlineStr">
        <is>
          <t>Phát sinh từ BOQ (chưa có trong CSDL)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51"/>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389" t="inlineStr">
        <is>
          <t>STT</t>
        </is>
      </c>
      <c r="B1" s="389" t="inlineStr">
        <is>
          <t>MAT_ID</t>
        </is>
      </c>
      <c r="C1" s="389" t="inlineStr">
        <is>
          <t>TÊN VẬT TƯ</t>
        </is>
      </c>
      <c r="D1" s="389" t="inlineStr">
        <is>
          <t>PHÂN LOẠI</t>
        </is>
      </c>
      <c r="E1" s="389" t="inlineStr">
        <is>
          <t>ĐƠN GIÁ GỐC (VNĐ)</t>
        </is>
      </c>
    </row>
    <row r="2">
      <c r="A2" t="n">
        <v>1</v>
      </c>
      <c r="B2" t="inlineStr">
        <is>
          <t>MAT-STEEL-DONGBU-0.50</t>
        </is>
      </c>
      <c r="C2" t="inlineStr">
        <is>
          <t>TÔN DONGBU 0.50mm</t>
        </is>
      </c>
      <c r="D2" t="inlineStr">
        <is>
          <t>TÔN_CUỘN_MẠ_KẼM</t>
        </is>
      </c>
      <c r="E2" s="390" t="n">
        <v>26000</v>
      </c>
    </row>
    <row r="3">
      <c r="A3" t="n">
        <v>2</v>
      </c>
      <c r="B3" t="inlineStr">
        <is>
          <t>MAT-STEEL-DONGBU-0.60</t>
        </is>
      </c>
      <c r="C3" t="inlineStr">
        <is>
          <t>TÔN DONGBU 0.60mm</t>
        </is>
      </c>
      <c r="D3" t="inlineStr">
        <is>
          <t>TÔN_CUỘN_MẠ_KẼM</t>
        </is>
      </c>
      <c r="E3" s="390" t="n">
        <v>26000</v>
      </c>
    </row>
    <row r="4">
      <c r="A4" t="n">
        <v>3</v>
      </c>
      <c r="B4" t="inlineStr">
        <is>
          <t>MAT-STEEL-DONGBU-0.80</t>
        </is>
      </c>
      <c r="C4" t="inlineStr">
        <is>
          <t>TÔN DONGBU 0.80mm</t>
        </is>
      </c>
      <c r="D4" t="inlineStr">
        <is>
          <t>TÔN_CUỘN_MẠ_KẼM</t>
        </is>
      </c>
      <c r="E4" s="390" t="n">
        <v>26000</v>
      </c>
    </row>
    <row r="5">
      <c r="A5" t="n">
        <v>4</v>
      </c>
      <c r="B5" t="inlineStr">
        <is>
          <t>MAT-STEEL-DONGBU-1.00</t>
        </is>
      </c>
      <c r="C5" t="inlineStr">
        <is>
          <t>TÔN DONGBU 1.00mm</t>
        </is>
      </c>
      <c r="D5" t="inlineStr">
        <is>
          <t>TÔN_CUỘN_MẠ_KẼM</t>
        </is>
      </c>
      <c r="E5" s="390" t="n">
        <v>26000</v>
      </c>
    </row>
    <row r="6">
      <c r="A6" t="n">
        <v>5</v>
      </c>
      <c r="B6" t="inlineStr">
        <is>
          <t>MAT-STEEL-DONGBU-1.20</t>
        </is>
      </c>
      <c r="C6" t="inlineStr">
        <is>
          <t>TÔN DONGBU 1.20mm</t>
        </is>
      </c>
      <c r="D6" t="inlineStr">
        <is>
          <t>TÔN_CUỘN_MẠ_KẼM</t>
        </is>
      </c>
      <c r="E6" s="390" t="n">
        <v>26000</v>
      </c>
    </row>
    <row r="7">
      <c r="A7" t="n">
        <v>6</v>
      </c>
      <c r="B7" t="inlineStr">
        <is>
          <t>MAT-STEEL-DONGBU-1.50</t>
        </is>
      </c>
      <c r="C7" t="inlineStr">
        <is>
          <t>TÔN DONGBU 1.50mm</t>
        </is>
      </c>
      <c r="D7" t="inlineStr">
        <is>
          <t>TÔN_CUỘN_MẠ_KẼM</t>
        </is>
      </c>
      <c r="E7" s="390" t="n">
        <v>26000</v>
      </c>
    </row>
    <row r="8">
      <c r="A8" t="n">
        <v>7</v>
      </c>
      <c r="B8" t="inlineStr">
        <is>
          <t>MAT-STEEL-DONGBU-2.00</t>
        </is>
      </c>
      <c r="C8" t="inlineStr">
        <is>
          <t>TÔN DONGBU 2.00mm</t>
        </is>
      </c>
      <c r="D8" t="inlineStr">
        <is>
          <t>TÔN_CUỘN_MẠ_KẼM</t>
        </is>
      </c>
      <c r="E8" s="390" t="n">
        <v>26000</v>
      </c>
    </row>
    <row r="9">
      <c r="A9" t="n">
        <v>8</v>
      </c>
      <c r="B9" t="inlineStr">
        <is>
          <t>MAT-STEEL-VNSTEEL-0.35</t>
        </is>
      </c>
      <c r="C9" t="inlineStr">
        <is>
          <t>TÔN THĂNG LONG VNSTEEL 0.35mm</t>
        </is>
      </c>
      <c r="D9" t="inlineStr">
        <is>
          <t>TÔN_CUỘN_MẠ_KẼM</t>
        </is>
      </c>
      <c r="E9" s="390" t="n">
        <v>23800</v>
      </c>
    </row>
    <row r="10">
      <c r="A10" t="n">
        <v>9</v>
      </c>
      <c r="B10" t="inlineStr">
        <is>
          <t>MAT-STEEL-VNSTEEL-0.40</t>
        </is>
      </c>
      <c r="C10" t="inlineStr">
        <is>
          <t>TÔN THĂNG LONG VNSTEEL 0.40mm</t>
        </is>
      </c>
      <c r="D10" t="inlineStr">
        <is>
          <t>TÔN_CUỘN_MẠ_KẼM</t>
        </is>
      </c>
      <c r="E10" s="390" t="n">
        <v>23550</v>
      </c>
    </row>
    <row r="11">
      <c r="A11" t="n">
        <v>10</v>
      </c>
      <c r="B11" t="inlineStr">
        <is>
          <t>MAT-STEEL-VNSTEEL-0.42</t>
        </is>
      </c>
      <c r="C11" t="inlineStr">
        <is>
          <t>TÔN THĂNG LONG VNSTEEL 0.42mm</t>
        </is>
      </c>
      <c r="D11" t="inlineStr">
        <is>
          <t>TÔN_CUỘN_MẠ_KẼM</t>
        </is>
      </c>
      <c r="E11" s="390" t="n">
        <v>23400</v>
      </c>
    </row>
    <row r="12">
      <c r="A12" t="n">
        <v>11</v>
      </c>
      <c r="B12" t="inlineStr">
        <is>
          <t>MAT-STEEL-VNSTEEL-0.47</t>
        </is>
      </c>
      <c r="C12" t="inlineStr">
        <is>
          <t>TÔN THĂNG LONG VNSTEEL 0.47mm</t>
        </is>
      </c>
      <c r="D12" t="inlineStr">
        <is>
          <t>TÔN_CUỘN_MẠ_KẼM</t>
        </is>
      </c>
      <c r="E12" s="390" t="n">
        <v>23200</v>
      </c>
    </row>
    <row r="13">
      <c r="A13" t="n">
        <v>12</v>
      </c>
      <c r="B13" t="inlineStr">
        <is>
          <t>MAT-STEEL-VNSTEEL-0.50</t>
        </is>
      </c>
      <c r="C13" t="inlineStr">
        <is>
          <t>TÔN THĂNG LONG VNSTEEL 0.50mm</t>
        </is>
      </c>
      <c r="D13" t="inlineStr">
        <is>
          <t>TÔN_CUỘN_MẠ_KẼM</t>
        </is>
      </c>
      <c r="E13" s="390" t="n">
        <v>23200</v>
      </c>
    </row>
    <row r="14">
      <c r="A14" t="n">
        <v>13</v>
      </c>
      <c r="B14" t="inlineStr">
        <is>
          <t>MAT-STEEL-VNSTEEL-0.55</t>
        </is>
      </c>
      <c r="C14" t="inlineStr">
        <is>
          <t>TÔN THĂNG LONG VNSTEEL 0.55mm</t>
        </is>
      </c>
      <c r="D14" t="inlineStr">
        <is>
          <t>TÔN_CUỘN_MẠ_KẼM</t>
        </is>
      </c>
      <c r="E14" s="390" t="n">
        <v>23000</v>
      </c>
    </row>
    <row r="15">
      <c r="A15" t="n">
        <v>14</v>
      </c>
      <c r="B15" t="inlineStr">
        <is>
          <t>MAT-STEEL-VNSTEEL-0.58</t>
        </is>
      </c>
      <c r="C15" t="inlineStr">
        <is>
          <t>TÔN THĂNG LONG VNSTEEL 0.58mm</t>
        </is>
      </c>
      <c r="D15" t="inlineStr">
        <is>
          <t>TÔN_CUỘN_MẠ_KẼM</t>
        </is>
      </c>
      <c r="E15" s="390" t="n">
        <v>23000</v>
      </c>
    </row>
    <row r="16">
      <c r="A16" t="n">
        <v>15</v>
      </c>
      <c r="B16" t="inlineStr">
        <is>
          <t>MAT-STEEL-VNSTEEL-0.60</t>
        </is>
      </c>
      <c r="C16" t="inlineStr">
        <is>
          <t>TÔN THĂNG LONG VNSTEEL 0.60mm</t>
        </is>
      </c>
      <c r="D16" t="inlineStr">
        <is>
          <t>TÔN_CUỘN_MẠ_KẼM</t>
        </is>
      </c>
      <c r="E16" s="390" t="n">
        <v>22850</v>
      </c>
    </row>
    <row r="17">
      <c r="A17" t="n">
        <v>16</v>
      </c>
      <c r="B17" t="inlineStr">
        <is>
          <t>MAT-STEEL-VNSTEEL-0.64</t>
        </is>
      </c>
      <c r="C17" t="inlineStr">
        <is>
          <t>TÔN THĂNG LONG VNSTEEL 0.64mm</t>
        </is>
      </c>
      <c r="D17" t="inlineStr">
        <is>
          <t>TÔN_CUỘN_MẠ_KẼM</t>
        </is>
      </c>
      <c r="E17" s="390" t="n">
        <v>22800</v>
      </c>
    </row>
    <row r="18">
      <c r="A18" t="n">
        <v>17</v>
      </c>
      <c r="B18" t="inlineStr">
        <is>
          <t>MAT-STEEL-VNSTEEL-0.70</t>
        </is>
      </c>
      <c r="C18" t="inlineStr">
        <is>
          <t>TÔN THĂNG LONG VNSTEEL 0.70mm</t>
        </is>
      </c>
      <c r="D18" t="inlineStr">
        <is>
          <t>TÔN_CUỘN_MẠ_KẼM</t>
        </is>
      </c>
      <c r="E18" s="390" t="n">
        <v>22700</v>
      </c>
    </row>
    <row r="19">
      <c r="A19" t="n">
        <v>18</v>
      </c>
      <c r="B19" t="inlineStr">
        <is>
          <t>MAT-STEEL-VNSTEEL-0.75</t>
        </is>
      </c>
      <c r="C19" t="inlineStr">
        <is>
          <t>TÔN THĂNG LONG VNSTEEL 0.75mm</t>
        </is>
      </c>
      <c r="D19" t="inlineStr">
        <is>
          <t>TÔN_CUỘN_MẠ_KẼM</t>
        </is>
      </c>
      <c r="E19" s="390" t="n">
        <v>22600</v>
      </c>
    </row>
    <row r="20">
      <c r="A20" t="n">
        <v>19</v>
      </c>
      <c r="B20" t="inlineStr">
        <is>
          <t>MAT-STEEL-VNSTEEL-0.95</t>
        </is>
      </c>
      <c r="C20" t="inlineStr">
        <is>
          <t>TÔN THĂNG LONG VNSTEEL 0.95mm</t>
        </is>
      </c>
      <c r="D20" t="inlineStr">
        <is>
          <t>TÔN_CUỘN_MẠ_KẼM</t>
        </is>
      </c>
      <c r="E20" s="390" t="n">
        <v>22500</v>
      </c>
    </row>
    <row r="21">
      <c r="A21" t="n">
        <v>20</v>
      </c>
      <c r="B21" t="inlineStr">
        <is>
          <t>MAT-STEEL-VNSTEEL-1.15</t>
        </is>
      </c>
      <c r="C21" t="inlineStr">
        <is>
          <t>TÔN THĂNG LONG VNSTEEL 1.15mm</t>
        </is>
      </c>
      <c r="D21" t="inlineStr">
        <is>
          <t>TÔN_CUỘN_MẠ_KẼM</t>
        </is>
      </c>
      <c r="E21" s="390" t="n">
        <v>22400</v>
      </c>
    </row>
    <row r="22">
      <c r="A22" t="n">
        <v>21</v>
      </c>
      <c r="B22" t="inlineStr">
        <is>
          <t>MAT-STEEL-VNSTEEL-1.20</t>
        </is>
      </c>
      <c r="C22" t="inlineStr">
        <is>
          <t>TÔN THĂNG LONG VNSTEEL 1.20mm</t>
        </is>
      </c>
      <c r="D22" t="inlineStr">
        <is>
          <t>TÔN_CUỘN_MẠ_KẼM</t>
        </is>
      </c>
      <c r="E22" s="390" t="n">
        <v>22400</v>
      </c>
    </row>
    <row r="23">
      <c r="A23" t="n">
        <v>22</v>
      </c>
      <c r="B23" t="inlineStr">
        <is>
          <t>MAT-STEEL-PN-0.48</t>
        </is>
      </c>
      <c r="C23" t="inlineStr">
        <is>
          <t>TÔN PHƯƠNG NAM 0.48mm</t>
        </is>
      </c>
      <c r="D23" t="inlineStr">
        <is>
          <t>TÔN_CUỘN_MẠ_KẼM</t>
        </is>
      </c>
      <c r="E23" s="390" t="n">
        <v>23664.19</v>
      </c>
    </row>
    <row r="24">
      <c r="A24" t="n">
        <v>23</v>
      </c>
      <c r="B24" t="inlineStr">
        <is>
          <t>MAT-STEEL-PN-0.58</t>
        </is>
      </c>
      <c r="C24" t="inlineStr">
        <is>
          <t>TÔN PHƯƠNG NAM 0.58mm</t>
        </is>
      </c>
      <c r="D24" t="inlineStr">
        <is>
          <t>TÔN_CUỘN_MẠ_KẼM</t>
        </is>
      </c>
      <c r="E24" s="390" t="n">
        <v>21597.48</v>
      </c>
    </row>
    <row r="25">
      <c r="A25" t="n">
        <v>24</v>
      </c>
      <c r="B25" t="inlineStr">
        <is>
          <t>MAT-STEEL-PN-0.75</t>
        </is>
      </c>
      <c r="C25" t="inlineStr">
        <is>
          <t>TÔN PHƯƠNG NAM 0.75mm</t>
        </is>
      </c>
      <c r="D25" t="inlineStr">
        <is>
          <t>TÔN_CUỘN_MẠ_KẼM</t>
        </is>
      </c>
      <c r="E25" s="390" t="n">
        <v>21941</v>
      </c>
    </row>
    <row r="26">
      <c r="A26" t="n">
        <v>25</v>
      </c>
      <c r="B26" t="inlineStr">
        <is>
          <t>MAT-STEEL-PN-0.95</t>
        </is>
      </c>
      <c r="C26" t="inlineStr">
        <is>
          <t>TÔN PHƯƠNG NAM 0.95mm</t>
        </is>
      </c>
      <c r="D26" t="inlineStr">
        <is>
          <t>TÔN_CUỘN_MẠ_KẼM</t>
        </is>
      </c>
      <c r="E26" s="390" t="n">
        <v>20897.59</v>
      </c>
    </row>
    <row r="27">
      <c r="A27" t="n">
        <v>26</v>
      </c>
      <c r="B27" t="inlineStr">
        <is>
          <t>MAT-STEEL-PN-1.15</t>
        </is>
      </c>
      <c r="C27" t="inlineStr">
        <is>
          <t>TÔN PHƯƠNG NAM 1.15mm</t>
        </is>
      </c>
      <c r="D27" t="inlineStr">
        <is>
          <t>TÔN_CUỘN_MẠ_KẼM</t>
        </is>
      </c>
      <c r="E27" s="390" t="n">
        <v>20586.39</v>
      </c>
    </row>
    <row r="28">
      <c r="A28" t="n">
        <v>27</v>
      </c>
      <c r="B28" t="inlineStr">
        <is>
          <t>MAT-STEEL-PN-1.38</t>
        </is>
      </c>
      <c r="C28" t="inlineStr">
        <is>
          <t>TÔN PHƯƠNG NAM 1.38mm</t>
        </is>
      </c>
      <c r="D28" t="inlineStr">
        <is>
          <t>TÔN_CUỘN_MẠ_KẼM</t>
        </is>
      </c>
      <c r="E28" s="390" t="n">
        <v>21923.75</v>
      </c>
    </row>
    <row r="29">
      <c r="A29" t="n">
        <v>28</v>
      </c>
      <c r="B29" t="inlineStr">
        <is>
          <t>MAT-STEEL-PN-1.48</t>
        </is>
      </c>
      <c r="C29" t="inlineStr">
        <is>
          <t>TÔN PHƯƠNG NAM 1.48mm</t>
        </is>
      </c>
      <c r="D29" t="inlineStr">
        <is>
          <t>TÔN_CUỘN_MẠ_KẼM</t>
        </is>
      </c>
      <c r="E29" s="390" t="n">
        <v>20442.42</v>
      </c>
    </row>
    <row r="30">
      <c r="A30" t="n">
        <v>29</v>
      </c>
      <c r="B30" t="inlineStr">
        <is>
          <t>MAT-STEEL-HOASEN-0.48</t>
        </is>
      </c>
      <c r="C30" t="inlineStr">
        <is>
          <t>TÔN HOA SEN 0.48mm</t>
        </is>
      </c>
      <c r="D30" t="inlineStr">
        <is>
          <t>TÔN_CUỘN_MẠ_KẼM</t>
        </is>
      </c>
      <c r="E30" s="390" t="n">
        <v>22115.98</v>
      </c>
    </row>
    <row r="31">
      <c r="A31" t="n">
        <v>30</v>
      </c>
      <c r="B31" t="inlineStr">
        <is>
          <t>MAT-STEEL-HOASEN-0.58</t>
        </is>
      </c>
      <c r="C31" t="inlineStr">
        <is>
          <t>TÔN HOA SEN 0.58mm</t>
        </is>
      </c>
      <c r="D31" t="inlineStr">
        <is>
          <t>TÔN_CUỘN_MẠ_KẼM</t>
        </is>
      </c>
      <c r="E31" s="390" t="n">
        <v>20865.36</v>
      </c>
    </row>
    <row r="32">
      <c r="A32" t="n">
        <v>31</v>
      </c>
      <c r="B32" t="inlineStr">
        <is>
          <t>MAT-STEEL-HOASEN-0.75</t>
        </is>
      </c>
      <c r="C32" t="inlineStr">
        <is>
          <t>TÔN HOA SEN 0.75mm</t>
        </is>
      </c>
      <c r="D32" t="inlineStr">
        <is>
          <t>TÔN_CUỘN_MẠ_KẼM</t>
        </is>
      </c>
      <c r="E32" s="390" t="n">
        <v>20460.34</v>
      </c>
    </row>
    <row r="33">
      <c r="A33" t="n">
        <v>32</v>
      </c>
      <c r="B33" t="inlineStr">
        <is>
          <t>MAT-STEEL-HOASEN-0.95</t>
        </is>
      </c>
      <c r="C33" t="inlineStr">
        <is>
          <t>TÔN HOA SEN 0.95mm</t>
        </is>
      </c>
      <c r="D33" t="inlineStr">
        <is>
          <t>TÔN_CUỘN_MẠ_KẼM</t>
        </is>
      </c>
      <c r="E33" s="390" t="n">
        <v>20003.58</v>
      </c>
    </row>
    <row r="34">
      <c r="A34" t="n">
        <v>33</v>
      </c>
      <c r="B34" t="inlineStr">
        <is>
          <t>MAT-STEEL-HOASEN-1.15</t>
        </is>
      </c>
      <c r="C34" t="inlineStr">
        <is>
          <t>TÔN HOA SEN 1.15mm</t>
        </is>
      </c>
      <c r="D34" t="inlineStr">
        <is>
          <t>TÔN_CUỘN_MẠ_KẼM</t>
        </is>
      </c>
      <c r="E34" s="390" t="n">
        <v>19764.78</v>
      </c>
    </row>
    <row r="35">
      <c r="A35" t="n">
        <v>34</v>
      </c>
      <c r="B35" t="inlineStr">
        <is>
          <t>MAT-STEEL-HOASEN-1.50</t>
        </is>
      </c>
      <c r="C35" t="inlineStr">
        <is>
          <t>TÔN HOA SEN 1.50mm</t>
        </is>
      </c>
      <c r="D35" t="inlineStr">
        <is>
          <t>TÔN_CUỘN_MẠ_KẼM</t>
        </is>
      </c>
      <c r="E35" s="390" t="n">
        <v>18966.74</v>
      </c>
    </row>
    <row r="36">
      <c r="A36" t="n">
        <v>35</v>
      </c>
      <c r="B36" t="inlineStr">
        <is>
          <t>MAT-STEEL-BLUESCOPE-0.47</t>
        </is>
      </c>
      <c r="C36" t="inlineStr">
        <is>
          <t>TÔN BLUESCOPE 0.47mm</t>
        </is>
      </c>
      <c r="D36" t="inlineStr">
        <is>
          <t>TÔN_CUỘN_MẠ_KẼM</t>
        </is>
      </c>
      <c r="E36" s="390" t="n">
        <v>19714.63</v>
      </c>
    </row>
    <row r="37">
      <c r="A37" t="n">
        <v>36</v>
      </c>
      <c r="B37" t="inlineStr">
        <is>
          <t>MAT-STEEL-BLUESCOPE-0.57</t>
        </is>
      </c>
      <c r="C37" t="inlineStr">
        <is>
          <t>TÔN BLUESCOPE 0.57mm</t>
        </is>
      </c>
      <c r="D37" t="inlineStr">
        <is>
          <t>TÔN_CUỘN_MẠ_KẼM</t>
        </is>
      </c>
      <c r="E37" s="390" t="n">
        <v>20319.42</v>
      </c>
    </row>
    <row r="38">
      <c r="A38" t="n">
        <v>37</v>
      </c>
      <c r="B38" t="inlineStr">
        <is>
          <t>MAT-STEEL-BLUESCOPE-0.77</t>
        </is>
      </c>
      <c r="C38" t="inlineStr">
        <is>
          <t>TÔN BLUESCOPE 0.77mm</t>
        </is>
      </c>
      <c r="D38" t="inlineStr">
        <is>
          <t>TÔN_CUỘN_MẠ_KẼM</t>
        </is>
      </c>
      <c r="E38" s="390" t="n">
        <v>19926.31</v>
      </c>
    </row>
    <row r="39">
      <c r="A39" t="n">
        <v>38</v>
      </c>
      <c r="B39" t="inlineStr">
        <is>
          <t>MAT-STEEL-BLUESCOPE-0.95</t>
        </is>
      </c>
      <c r="C39" t="inlineStr">
        <is>
          <t>TÔN BLUESCOPE 0.95mm</t>
        </is>
      </c>
      <c r="D39" t="inlineStr">
        <is>
          <t>TÔN_CUỘN_MẠ_KẼM</t>
        </is>
      </c>
      <c r="E39" s="390" t="n">
        <v>20013.74</v>
      </c>
    </row>
    <row r="40">
      <c r="A40" t="n">
        <v>39</v>
      </c>
      <c r="B40" t="inlineStr">
        <is>
          <t>MAT-STEEL-BLUESCOPE-1.15</t>
        </is>
      </c>
      <c r="C40" t="inlineStr">
        <is>
          <t>TÔN BLUESCOPE 1.15mm</t>
        </is>
      </c>
      <c r="D40" t="inlineStr">
        <is>
          <t>TÔN_CUỘN_MẠ_KẼM</t>
        </is>
      </c>
      <c r="E40" s="390" t="n">
        <v>19973.75</v>
      </c>
    </row>
    <row r="41">
      <c r="A41" t="n">
        <v>40</v>
      </c>
      <c r="B41" t="inlineStr">
        <is>
          <t>MAT-INOX-SUS304-0-5</t>
        </is>
      </c>
      <c r="C41" t="inlineStr">
        <is>
          <t>Inox Sus304-0.5</t>
        </is>
      </c>
      <c r="D41" t="inlineStr">
        <is>
          <t>INOX</t>
        </is>
      </c>
      <c r="E41" s="390" t="n">
        <v>78000</v>
      </c>
    </row>
    <row r="42">
      <c r="A42" t="n">
        <v>41</v>
      </c>
      <c r="B42" t="inlineStr">
        <is>
          <t>MAT-INOX-SUS304-0-6</t>
        </is>
      </c>
      <c r="C42" t="inlineStr">
        <is>
          <t>Inox Sus304-0.6</t>
        </is>
      </c>
      <c r="D42" t="inlineStr">
        <is>
          <t>INOX</t>
        </is>
      </c>
      <c r="E42" s="390" t="n">
        <v>78000</v>
      </c>
    </row>
    <row r="43">
      <c r="A43" t="n">
        <v>42</v>
      </c>
      <c r="B43" t="inlineStr">
        <is>
          <t>MAT-INOX-SUS304-0-7</t>
        </is>
      </c>
      <c r="C43" t="inlineStr">
        <is>
          <t>Inox Sus304-0.7</t>
        </is>
      </c>
      <c r="D43" t="inlineStr">
        <is>
          <t>INOX</t>
        </is>
      </c>
      <c r="E43" s="390" t="n">
        <v>78000</v>
      </c>
    </row>
    <row r="44">
      <c r="A44" t="n">
        <v>43</v>
      </c>
      <c r="B44" t="inlineStr">
        <is>
          <t>MAT-INOX-SUS304-0-8</t>
        </is>
      </c>
      <c r="C44" t="inlineStr">
        <is>
          <t>Inox Sus304-0.8</t>
        </is>
      </c>
      <c r="D44" t="inlineStr">
        <is>
          <t>INOX</t>
        </is>
      </c>
      <c r="E44" s="390" t="n">
        <v>78000</v>
      </c>
    </row>
    <row r="45">
      <c r="A45" t="n">
        <v>44</v>
      </c>
      <c r="B45" t="inlineStr">
        <is>
          <t>MAT-INOX-SUS304-0-9</t>
        </is>
      </c>
      <c r="C45" t="inlineStr">
        <is>
          <t>Inox Sus304-0.9</t>
        </is>
      </c>
      <c r="D45" t="inlineStr">
        <is>
          <t>INOX</t>
        </is>
      </c>
      <c r="E45" s="390" t="n">
        <v>78000</v>
      </c>
    </row>
    <row r="46">
      <c r="A46" t="n">
        <v>45</v>
      </c>
      <c r="B46" t="inlineStr">
        <is>
          <t>MAT-INOX-SUS304-1-0</t>
        </is>
      </c>
      <c r="C46" t="inlineStr">
        <is>
          <t>Inox Sus304-1,0</t>
        </is>
      </c>
      <c r="D46" t="inlineStr">
        <is>
          <t>INOX</t>
        </is>
      </c>
      <c r="E46" s="390" t="n">
        <v>78000</v>
      </c>
    </row>
    <row r="47">
      <c r="A47" t="n">
        <v>46</v>
      </c>
      <c r="B47" t="inlineStr">
        <is>
          <t>MAT-INOX-SUS304-1-2</t>
        </is>
      </c>
      <c r="C47" t="inlineStr">
        <is>
          <t>Inox Sus304-1,2</t>
        </is>
      </c>
      <c r="D47" t="inlineStr">
        <is>
          <t>INOX</t>
        </is>
      </c>
      <c r="E47" s="390" t="n">
        <v>78000</v>
      </c>
    </row>
    <row r="48">
      <c r="A48" t="n">
        <v>47</v>
      </c>
      <c r="B48" t="inlineStr">
        <is>
          <t>MAT-INOX-SUS430-0-5</t>
        </is>
      </c>
      <c r="C48" t="inlineStr">
        <is>
          <t>Inox Sus430-0.5</t>
        </is>
      </c>
      <c r="D48" t="inlineStr">
        <is>
          <t>INOX</t>
        </is>
      </c>
      <c r="E48" s="390" t="n">
        <v>45000</v>
      </c>
    </row>
    <row r="49">
      <c r="A49" t="n">
        <v>48</v>
      </c>
      <c r="B49" t="inlineStr">
        <is>
          <t>MAT-INOX-SUS430-0-6</t>
        </is>
      </c>
      <c r="C49" t="inlineStr">
        <is>
          <t>Inox Sus430-0.6</t>
        </is>
      </c>
      <c r="D49" t="inlineStr">
        <is>
          <t>INOX</t>
        </is>
      </c>
      <c r="E49" s="390" t="n">
        <v>45000</v>
      </c>
    </row>
    <row r="50">
      <c r="A50" t="n">
        <v>49</v>
      </c>
      <c r="B50" t="inlineStr">
        <is>
          <t>MAT-INOX-SUS430-0-7</t>
        </is>
      </c>
      <c r="C50" t="inlineStr">
        <is>
          <t>Inox Sus430-0.7</t>
        </is>
      </c>
      <c r="D50" t="inlineStr">
        <is>
          <t>INOX</t>
        </is>
      </c>
      <c r="E50" s="390" t="n">
        <v>45000</v>
      </c>
    </row>
    <row r="51">
      <c r="A51" t="n">
        <v>50</v>
      </c>
      <c r="B51" t="inlineStr">
        <is>
          <t>MAT-INOX-SUS430-0-8</t>
        </is>
      </c>
      <c r="C51" t="inlineStr">
        <is>
          <t>Inox Sus430-0.8</t>
        </is>
      </c>
      <c r="D51" t="inlineStr">
        <is>
          <t>INOX</t>
        </is>
      </c>
      <c r="E51" s="390" t="n">
        <v>45000</v>
      </c>
    </row>
    <row r="52">
      <c r="A52" t="n">
        <v>51</v>
      </c>
      <c r="B52" t="inlineStr">
        <is>
          <t>MAT-INOX-SUS430-0-9</t>
        </is>
      </c>
      <c r="C52" t="inlineStr">
        <is>
          <t>Inox Sus430-0.9</t>
        </is>
      </c>
      <c r="D52" t="inlineStr">
        <is>
          <t>INOX</t>
        </is>
      </c>
      <c r="E52" s="390" t="n">
        <v>45000</v>
      </c>
    </row>
    <row r="53">
      <c r="A53" t="n">
        <v>52</v>
      </c>
      <c r="B53" t="inlineStr">
        <is>
          <t>MAT-INOX-SUS430-1-0</t>
        </is>
      </c>
      <c r="C53" t="inlineStr">
        <is>
          <t>Inox Sus430-1,0</t>
        </is>
      </c>
      <c r="D53" t="inlineStr">
        <is>
          <t>INOX</t>
        </is>
      </c>
      <c r="E53" s="390" t="n">
        <v>45000</v>
      </c>
    </row>
    <row r="54">
      <c r="A54" t="n">
        <v>53</v>
      </c>
      <c r="B54" t="inlineStr">
        <is>
          <t>MAT-INOX-SUS430-1-1</t>
        </is>
      </c>
      <c r="C54" t="inlineStr">
        <is>
          <t>Inox Sus430-1,1</t>
        </is>
      </c>
      <c r="D54" t="inlineStr">
        <is>
          <t>INOX</t>
        </is>
      </c>
      <c r="E54" s="390" t="n">
        <v>45000</v>
      </c>
    </row>
    <row r="55">
      <c r="A55" t="n">
        <v>54</v>
      </c>
      <c r="B55" t="inlineStr">
        <is>
          <t>MAT-INOX-SUS430-1-2</t>
        </is>
      </c>
      <c r="C55" t="inlineStr">
        <is>
          <t>Inox Sus430-1,2</t>
        </is>
      </c>
      <c r="D55" t="inlineStr">
        <is>
          <t>INOX</t>
        </is>
      </c>
      <c r="E55" s="390" t="n">
        <v>45000</v>
      </c>
    </row>
    <row r="56">
      <c r="A56" t="n">
        <v>55</v>
      </c>
      <c r="B56" t="inlineStr">
        <is>
          <t>MAT-INOX-SUS201-0-4</t>
        </is>
      </c>
      <c r="C56" t="inlineStr">
        <is>
          <t>Inox Sus201-0.4</t>
        </is>
      </c>
      <c r="D56" t="inlineStr">
        <is>
          <t>INOX</t>
        </is>
      </c>
      <c r="E56" s="390" t="n">
        <v>48000</v>
      </c>
    </row>
    <row r="57">
      <c r="A57" t="n">
        <v>56</v>
      </c>
      <c r="B57" t="inlineStr">
        <is>
          <t>MAT-INOX-SUS201-0-5</t>
        </is>
      </c>
      <c r="C57" t="inlineStr">
        <is>
          <t>Inox Sus201-0.5</t>
        </is>
      </c>
      <c r="D57" t="inlineStr">
        <is>
          <t>INOX</t>
        </is>
      </c>
      <c r="E57" s="390" t="n">
        <v>48000</v>
      </c>
    </row>
    <row r="58">
      <c r="A58" t="n">
        <v>57</v>
      </c>
      <c r="B58" t="inlineStr">
        <is>
          <t>MAT-INOX-SUS201-0-6</t>
        </is>
      </c>
      <c r="C58" t="inlineStr">
        <is>
          <t>Inox Sus201-0.6</t>
        </is>
      </c>
      <c r="D58" t="inlineStr">
        <is>
          <t>INOX</t>
        </is>
      </c>
      <c r="E58" s="390" t="n">
        <v>48000</v>
      </c>
    </row>
    <row r="59">
      <c r="A59" t="n">
        <v>58</v>
      </c>
      <c r="B59" t="inlineStr">
        <is>
          <t>MAT-INOX-SUS201-0-7</t>
        </is>
      </c>
      <c r="C59" t="inlineStr">
        <is>
          <t>Inox Sus201-0.7</t>
        </is>
      </c>
      <c r="D59" t="inlineStr">
        <is>
          <t>INOX</t>
        </is>
      </c>
      <c r="E59" s="390" t="n">
        <v>48000</v>
      </c>
    </row>
    <row r="60">
      <c r="A60" t="n">
        <v>59</v>
      </c>
      <c r="B60" t="inlineStr">
        <is>
          <t>MAT-INOX-SUS201-0-8</t>
        </is>
      </c>
      <c r="C60" t="inlineStr">
        <is>
          <t>Inox Sus201-0.8</t>
        </is>
      </c>
      <c r="D60" t="inlineStr">
        <is>
          <t>INOX</t>
        </is>
      </c>
      <c r="E60" s="390" t="n">
        <v>48000</v>
      </c>
    </row>
    <row r="61">
      <c r="A61" t="n">
        <v>60</v>
      </c>
      <c r="B61" t="inlineStr">
        <is>
          <t>MAT-DAMPER-TRUC-SUS-201-D10</t>
        </is>
      </c>
      <c r="C61" t="inlineStr">
        <is>
          <t>Trục Sus 201 D10</t>
        </is>
      </c>
      <c r="D61" t="inlineStr">
        <is>
          <t>PHỤ_KIỆN_VAN</t>
        </is>
      </c>
      <c r="E61" s="390" t="n">
        <v>50000</v>
      </c>
    </row>
    <row r="62">
      <c r="A62" t="n">
        <v>61</v>
      </c>
      <c r="B62" t="inlineStr">
        <is>
          <t>MAT-DAMPER-TRUC-SUS-201-D12</t>
        </is>
      </c>
      <c r="C62" t="inlineStr">
        <is>
          <t>Trục Sus 201 D12</t>
        </is>
      </c>
      <c r="D62" t="inlineStr">
        <is>
          <t>PHỤ_KIỆN_VAN</t>
        </is>
      </c>
      <c r="E62" s="390" t="n">
        <v>72000</v>
      </c>
    </row>
    <row r="63">
      <c r="A63" t="n">
        <v>62</v>
      </c>
      <c r="B63" t="inlineStr">
        <is>
          <t>MAT-DAMPER-TRUC-SUS-201-D14</t>
        </is>
      </c>
      <c r="C63" t="inlineStr">
        <is>
          <t>Trục Sus 201 D14</t>
        </is>
      </c>
      <c r="D63" t="inlineStr">
        <is>
          <t>PHỤ_KIỆN_VAN</t>
        </is>
      </c>
      <c r="E63" s="390" t="n">
        <v>98000</v>
      </c>
    </row>
    <row r="64">
      <c r="A64" t="n">
        <v>63</v>
      </c>
      <c r="B64" t="inlineStr">
        <is>
          <t>MAT-DAMPER-BAC-DONG-D10</t>
        </is>
      </c>
      <c r="C64" t="inlineStr">
        <is>
          <t>Bạc đồng D10</t>
        </is>
      </c>
      <c r="D64" t="inlineStr">
        <is>
          <t>PHỤ_KIỆN_VAN</t>
        </is>
      </c>
      <c r="E64" s="390" t="n">
        <v>6000</v>
      </c>
    </row>
    <row r="65">
      <c r="A65" t="n">
        <v>64</v>
      </c>
      <c r="B65" t="inlineStr">
        <is>
          <t>MAT-DAMPER-BAC-DONG-D12</t>
        </is>
      </c>
      <c r="C65" t="inlineStr">
        <is>
          <t>Bạc đồng D12</t>
        </is>
      </c>
      <c r="D65" t="inlineStr">
        <is>
          <t>PHỤ_KIỆN_VAN</t>
        </is>
      </c>
      <c r="E65" s="390" t="n">
        <v>8000</v>
      </c>
    </row>
    <row r="66">
      <c r="A66" t="n">
        <v>65</v>
      </c>
      <c r="B66" t="inlineStr">
        <is>
          <t>MAT-DAMPER-BAC-DONG-D14</t>
        </is>
      </c>
      <c r="C66" t="inlineStr">
        <is>
          <t>Bạc đồng D14</t>
        </is>
      </c>
      <c r="D66" t="inlineStr">
        <is>
          <t>PHỤ_KIỆN_VAN</t>
        </is>
      </c>
      <c r="E66" s="390" t="n">
        <v>10000</v>
      </c>
    </row>
    <row r="67">
      <c r="A67" t="n">
        <v>66</v>
      </c>
      <c r="B67" t="inlineStr">
        <is>
          <t>MAT-DAMPER-TAY-GAT-1-1M2</t>
        </is>
      </c>
      <c r="C67" t="inlineStr">
        <is>
          <t>Tay gạt 1 &gt;1m2</t>
        </is>
      </c>
      <c r="D67" t="inlineStr">
        <is>
          <t>PHỤ_KIỆN_VAN</t>
        </is>
      </c>
      <c r="E67" s="390" t="n">
        <v>100000</v>
      </c>
    </row>
    <row r="68">
      <c r="A68" t="n">
        <v>67</v>
      </c>
      <c r="B68" t="inlineStr">
        <is>
          <t>MAT-DAMPER-GIANG-TAY-GAT-1</t>
        </is>
      </c>
      <c r="C68" t="inlineStr">
        <is>
          <t>Giằng tay gạt 1</t>
        </is>
      </c>
      <c r="D68" t="inlineStr">
        <is>
          <t>PHỤ_KIỆN_VAN</t>
        </is>
      </c>
      <c r="E68" s="390" t="n">
        <v>20000</v>
      </c>
    </row>
    <row r="69">
      <c r="A69" t="n">
        <v>68</v>
      </c>
      <c r="B69" t="inlineStr">
        <is>
          <t>MAT-DAMPER-GIANG-TAY-GAT-2</t>
        </is>
      </c>
      <c r="C69" t="inlineStr">
        <is>
          <t>Giằng tay gạt 2</t>
        </is>
      </c>
      <c r="D69" t="inlineStr">
        <is>
          <t>PHỤ_KIỆN_VAN</t>
        </is>
      </c>
      <c r="E69" s="390" t="n">
        <v>25000</v>
      </c>
    </row>
    <row r="70">
      <c r="A70" t="n">
        <v>69</v>
      </c>
      <c r="B70" t="inlineStr">
        <is>
          <t>MAT-DAMPER-CAU-CHI-1-400X400</t>
        </is>
      </c>
      <c r="C70" t="inlineStr">
        <is>
          <t>Cầu chì 1 &lt;400x400</t>
        </is>
      </c>
      <c r="D70" t="inlineStr">
        <is>
          <t>PHỤ_KIỆN_VAN</t>
        </is>
      </c>
      <c r="E70" s="390" t="n">
        <v>220000</v>
      </c>
    </row>
    <row r="71">
      <c r="A71" t="n">
        <v>70</v>
      </c>
      <c r="B71" t="inlineStr">
        <is>
          <t>MAT-DAMPER-CAU-CHI-2-400X400</t>
        </is>
      </c>
      <c r="C71" t="inlineStr">
        <is>
          <t>Cầu chì 2&gt;400x400</t>
        </is>
      </c>
      <c r="D71" t="inlineStr">
        <is>
          <t>PHỤ_KIỆN_VAN</t>
        </is>
      </c>
      <c r="E71" s="390" t="n">
        <v>300000</v>
      </c>
    </row>
    <row r="72">
      <c r="A72" t="n">
        <v>71</v>
      </c>
      <c r="B72" t="inlineStr">
        <is>
          <t>MAT-DAMPER-TRUC-VIT-1</t>
        </is>
      </c>
      <c r="C72" t="inlineStr">
        <is>
          <t>Trục vít 1</t>
        </is>
      </c>
      <c r="D72" t="inlineStr">
        <is>
          <t>PHỤ_KIỆN_VAN</t>
        </is>
      </c>
      <c r="E72" s="390" t="n">
        <v>100000</v>
      </c>
    </row>
    <row r="73">
      <c r="A73" t="n">
        <v>72</v>
      </c>
      <c r="B73" t="inlineStr">
        <is>
          <t>MAT-DAMPER-BAC-DONG-8</t>
        </is>
      </c>
      <c r="C73" t="inlineStr">
        <is>
          <t>Bạc đồng 8</t>
        </is>
      </c>
      <c r="D73" t="inlineStr">
        <is>
          <t>PHỤ_KIỆN_VAN</t>
        </is>
      </c>
      <c r="E73" s="390" t="n">
        <v>4000</v>
      </c>
    </row>
    <row r="74">
      <c r="A74" t="n">
        <v>73</v>
      </c>
      <c r="B74" t="inlineStr">
        <is>
          <t>MAT-DAMPER-BANH-RANG-VAN-NHOM</t>
        </is>
      </c>
      <c r="C74" t="inlineStr">
        <is>
          <t>Bánh răng van nhôm</t>
        </is>
      </c>
      <c r="D74" t="inlineStr">
        <is>
          <t>PHỤ_KIỆN_VAN</t>
        </is>
      </c>
      <c r="E74" s="390" t="n">
        <v>35000</v>
      </c>
    </row>
    <row r="75">
      <c r="A75" t="n">
        <v>74</v>
      </c>
      <c r="B75" t="inlineStr">
        <is>
          <t>MAT-DAMPER-TAY-VAN-NHUA-1M2</t>
        </is>
      </c>
      <c r="C75" t="inlineStr">
        <is>
          <t>Tay van nhựa &gt;1m2</t>
        </is>
      </c>
      <c r="D75" t="inlineStr">
        <is>
          <t>PHỤ_KIỆN_VAN</t>
        </is>
      </c>
      <c r="E75" s="390" t="n">
        <v>165000</v>
      </c>
    </row>
    <row r="76">
      <c r="A76" t="n">
        <v>75</v>
      </c>
      <c r="B76" t="inlineStr">
        <is>
          <t>MAT-DAMPER-TAY-VAN-INOX-1M2</t>
        </is>
      </c>
      <c r="C76" t="inlineStr">
        <is>
          <t>Tay van Inox &gt;1m2</t>
        </is>
      </c>
      <c r="D76" t="inlineStr">
        <is>
          <t>PHỤ_KIỆN_VAN</t>
        </is>
      </c>
      <c r="E76" s="390" t="n">
        <v>195000</v>
      </c>
    </row>
    <row r="77">
      <c r="A77" t="n">
        <v>76</v>
      </c>
      <c r="B77" t="inlineStr">
        <is>
          <t>MAT-DAMPER-TAY-VAN-NHOM</t>
        </is>
      </c>
      <c r="C77" t="inlineStr">
        <is>
          <t>Tay van nhôm</t>
        </is>
      </c>
      <c r="D77" t="inlineStr">
        <is>
          <t>PHỤ_KIỆN_VAN</t>
        </is>
      </c>
      <c r="E77" s="390" t="n">
        <v>260000</v>
      </c>
    </row>
    <row r="78">
      <c r="A78" t="n">
        <v>77</v>
      </c>
      <c r="B78" t="inlineStr">
        <is>
          <t>MAT-DAMPER-GIOANG-CAO-SU-VAN-NHOM</t>
        </is>
      </c>
      <c r="C78" t="inlineStr">
        <is>
          <t>Gioăng cao su van nhôm</t>
        </is>
      </c>
      <c r="D78" t="inlineStr">
        <is>
          <t>PHỤ_KIỆN_VAN</t>
        </is>
      </c>
      <c r="E78" s="390" t="n">
        <v>6500</v>
      </c>
    </row>
    <row r="79">
      <c r="A79" t="n">
        <v>78</v>
      </c>
      <c r="B79" t="inlineStr">
        <is>
          <t>MAT-DAMPER-TAY-GAT-NHO</t>
        </is>
      </c>
      <c r="C79" t="inlineStr">
        <is>
          <t>Tay gạt nhỏ</t>
        </is>
      </c>
      <c r="D79" t="inlineStr">
        <is>
          <t>PHỤ_KIỆN_VAN</t>
        </is>
      </c>
      <c r="E79" s="390" t="n">
        <v>50000</v>
      </c>
    </row>
    <row r="80">
      <c r="A80" t="n">
        <v>79</v>
      </c>
      <c r="B80" t="inlineStr">
        <is>
          <t>MAT-DAMPER-TAY-GAT-TRUNG-BINH</t>
        </is>
      </c>
      <c r="C80" t="inlineStr">
        <is>
          <t>Tay gạt trung bình</t>
        </is>
      </c>
      <c r="D80" t="inlineStr">
        <is>
          <t>PHỤ_KIỆN_VAN</t>
        </is>
      </c>
      <c r="E80" s="390" t="n">
        <v>75000</v>
      </c>
    </row>
    <row r="81">
      <c r="A81" t="n">
        <v>80</v>
      </c>
      <c r="B81" t="inlineStr">
        <is>
          <t>MAT-DAMPER-MOTOR-NENUTEC-THUY-SY-300X300</t>
        </is>
      </c>
      <c r="C81" t="inlineStr">
        <is>
          <t>Motor NENUTEC - THỤY SỸ &gt;300x300</t>
        </is>
      </c>
      <c r="D81" t="inlineStr">
        <is>
          <t>PHỤ_KIỆN_VAN</t>
        </is>
      </c>
      <c r="E81" s="390" t="n">
        <v>1950000</v>
      </c>
    </row>
    <row r="82">
      <c r="A82" t="n">
        <v>81</v>
      </c>
      <c r="B82" t="inlineStr">
        <is>
          <t>MAT-DAMPER-MOTOR-NENUTEC-THUY-SY-1M2</t>
        </is>
      </c>
      <c r="C82" t="inlineStr">
        <is>
          <t>Motor NENUTEC - THỤY SỸ &gt;1m2</t>
        </is>
      </c>
      <c r="D82" t="inlineStr">
        <is>
          <t>PHỤ_KIỆN_VAN</t>
        </is>
      </c>
      <c r="E82" s="390" t="n">
        <v>2200000</v>
      </c>
    </row>
    <row r="83">
      <c r="A83" t="n">
        <v>82</v>
      </c>
      <c r="B83" t="inlineStr">
        <is>
          <t>MAT-DAMPER-MOTOR-VAN-DAP-LUA-CAM-BIEN</t>
        </is>
      </c>
      <c r="C83" t="inlineStr">
        <is>
          <t>Motor van dập lửa + cảm biến</t>
        </is>
      </c>
      <c r="D83" t="inlineStr">
        <is>
          <t>PHỤ_KIỆN_VAN</t>
        </is>
      </c>
      <c r="E83" s="390" t="n">
        <v>4200000</v>
      </c>
    </row>
    <row r="84">
      <c r="A84" t="n">
        <v>83</v>
      </c>
      <c r="B84" t="inlineStr">
        <is>
          <t>MAT-DAMPER-MOTOR-VAN-AP-SUAT</t>
        </is>
      </c>
      <c r="C84" t="inlineStr">
        <is>
          <t>Motor van áp suất</t>
        </is>
      </c>
      <c r="D84" t="inlineStr">
        <is>
          <t>PHỤ_KIỆN_VAN</t>
        </is>
      </c>
      <c r="E84" s="390" t="n">
        <v>4200000</v>
      </c>
    </row>
    <row r="85">
      <c r="A85" t="n">
        <v>84</v>
      </c>
      <c r="B85" t="inlineStr">
        <is>
          <t>MAT-DAMPER-CAU-CHI-TRUNG-QUOC</t>
        </is>
      </c>
      <c r="C85" t="inlineStr">
        <is>
          <t>Cầu chì Trung Quốc</t>
        </is>
      </c>
      <c r="D85" t="inlineStr">
        <is>
          <t>PHỤ_KIỆN_VAN</t>
        </is>
      </c>
      <c r="E85" s="390" t="n">
        <v>65000</v>
      </c>
    </row>
    <row r="86">
      <c r="A86" t="n">
        <v>85</v>
      </c>
      <c r="B86" t="inlineStr">
        <is>
          <t>MAT-DAMPER-CAU-CHI-USA-1-400X400</t>
        </is>
      </c>
      <c r="C86" t="inlineStr">
        <is>
          <t>Cầu chì USA -1 (&lt;400x400)</t>
        </is>
      </c>
      <c r="D86" t="inlineStr">
        <is>
          <t>PHỤ_KIỆN_VAN</t>
        </is>
      </c>
      <c r="E86" s="390" t="n">
        <v>105000</v>
      </c>
    </row>
    <row r="87">
      <c r="A87" t="n">
        <v>86</v>
      </c>
      <c r="B87" t="inlineStr">
        <is>
          <t>MAT-DAMPER-CAU-CHI-USA-2-400X400</t>
        </is>
      </c>
      <c r="C87" t="inlineStr">
        <is>
          <t>Cầu chì USA-2 (&gt;400x400)</t>
        </is>
      </c>
      <c r="D87" t="inlineStr">
        <is>
          <t>PHỤ_KIỆN_VAN</t>
        </is>
      </c>
      <c r="E87" s="390" t="n">
        <v>126000</v>
      </c>
    </row>
    <row r="88">
      <c r="A88" t="n">
        <v>87</v>
      </c>
      <c r="B88" t="inlineStr">
        <is>
          <t>MAT-FLANGE-L-30X30X2-CT38-L-6-M</t>
        </is>
      </c>
      <c r="C88" t="inlineStr">
        <is>
          <t>L 30x30x2 CT38 L = 6 m</t>
        </is>
      </c>
      <c r="D88" t="inlineStr">
        <is>
          <t>THÉP_BÍCH_GÓC</t>
        </is>
      </c>
      <c r="E88" s="390" t="n">
        <v>30000</v>
      </c>
    </row>
    <row r="89">
      <c r="A89" t="n">
        <v>88</v>
      </c>
      <c r="B89" t="inlineStr">
        <is>
          <t>MAT-FLANGE-L-30X30X3-CT38-L-6-M</t>
        </is>
      </c>
      <c r="C89" t="inlineStr">
        <is>
          <t>L 30x30x3 CT38 L = 6 m</t>
        </is>
      </c>
      <c r="D89" t="inlineStr">
        <is>
          <t>THÉP_BÍCH_GÓC</t>
        </is>
      </c>
      <c r="E89" s="390" t="n">
        <v>35000</v>
      </c>
    </row>
    <row r="90">
      <c r="A90" t="n">
        <v>89</v>
      </c>
      <c r="B90" t="inlineStr">
        <is>
          <t>MAT-FLANGE-L-40X40X4-CT39-L-6-M</t>
        </is>
      </c>
      <c r="C90" t="inlineStr">
        <is>
          <t>L 40x40x4 CT39 L = 6 m</t>
        </is>
      </c>
      <c r="D90" t="inlineStr">
        <is>
          <t>THÉP_BÍCH_GÓC</t>
        </is>
      </c>
      <c r="E90" s="390" t="n">
        <v>45000</v>
      </c>
    </row>
    <row r="91">
      <c r="A91" t="n">
        <v>90</v>
      </c>
      <c r="B91" t="inlineStr">
        <is>
          <t>MAT-FLANGE-L-50X50X4-CT40-L-6-M</t>
        </is>
      </c>
      <c r="C91" t="inlineStr">
        <is>
          <t>L 50x50x4 CT40 L = 6 m</t>
        </is>
      </c>
      <c r="D91" t="inlineStr">
        <is>
          <t>THÉP_BÍCH_GÓC</t>
        </is>
      </c>
      <c r="E91" s="390" t="n">
        <v>55000</v>
      </c>
    </row>
    <row r="92">
      <c r="A92" t="n">
        <v>91</v>
      </c>
      <c r="B92" t="inlineStr">
        <is>
          <t>MAT-INSUL-LUOI-NHUA</t>
        </is>
      </c>
      <c r="C92" t="inlineStr">
        <is>
          <t>Lưới nhựa</t>
        </is>
      </c>
      <c r="D92" t="inlineStr">
        <is>
          <t>VẬT_LIỆU_TIÊU_ÂM</t>
        </is>
      </c>
      <c r="E92" s="390" t="n">
        <v>25000</v>
      </c>
    </row>
    <row r="93">
      <c r="A93" t="n">
        <v>92</v>
      </c>
      <c r="B93" t="inlineStr">
        <is>
          <t>MAT-INSUL-MOTOR-NENUTEC-THUY-SY-300X300</t>
        </is>
      </c>
      <c r="C93" t="inlineStr">
        <is>
          <t>Motor NENUTEC - THỤY SỸ &gt;300x300</t>
        </is>
      </c>
      <c r="D93" t="inlineStr">
        <is>
          <t>VẬT_LIỆU_TIÊU_ÂM</t>
        </is>
      </c>
      <c r="E93" s="390" t="n">
        <v>1950000</v>
      </c>
    </row>
    <row r="94">
      <c r="A94" t="n">
        <v>93</v>
      </c>
      <c r="B94" t="inlineStr">
        <is>
          <t>MAT-INSUL-MOTOR-NENUTEC-THUY-SY-1M2</t>
        </is>
      </c>
      <c r="C94" t="inlineStr">
        <is>
          <t>Motor NENUTEC - THỤY SỸ &gt;1m2</t>
        </is>
      </c>
      <c r="D94" t="inlineStr">
        <is>
          <t>VẬT_LIỆU_TIÊU_ÂM</t>
        </is>
      </c>
      <c r="E94" s="390" t="n">
        <v>2200000</v>
      </c>
    </row>
    <row r="95">
      <c r="A95" t="n">
        <v>94</v>
      </c>
      <c r="B95" t="inlineStr">
        <is>
          <t>MAT-INSUL-MOTOR-VAN-DAP-LUA-CAM-BIEN</t>
        </is>
      </c>
      <c r="C95" t="inlineStr">
        <is>
          <t>Motor van dập lửa + cảm biến</t>
        </is>
      </c>
      <c r="D95" t="inlineStr">
        <is>
          <t>VẬT_LIỆU_TIÊU_ÂM</t>
        </is>
      </c>
      <c r="E95" s="390" t="n">
        <v>4200000</v>
      </c>
    </row>
    <row r="96">
      <c r="A96" t="n">
        <v>95</v>
      </c>
      <c r="B96" t="inlineStr">
        <is>
          <t>MAT-INSUL-MOTOR-VAN-AP-SUAT</t>
        </is>
      </c>
      <c r="C96" t="inlineStr">
        <is>
          <t>Motor van áp suất</t>
        </is>
      </c>
      <c r="D96" t="inlineStr">
        <is>
          <t>VẬT_LIỆU_TIÊU_ÂM</t>
        </is>
      </c>
      <c r="E96" s="390" t="n">
        <v>4200000</v>
      </c>
    </row>
    <row r="97">
      <c r="A97" t="n">
        <v>96</v>
      </c>
      <c r="B97" t="inlineStr">
        <is>
          <t>MAT-ALU-NAN-BD</t>
        </is>
      </c>
      <c r="C97" t="inlineStr">
        <is>
          <t>Nhôm định hình NAN BD</t>
        </is>
      </c>
      <c r="D97" t="inlineStr">
        <is>
          <t>NHÔM_ĐỊNH_HÌNH</t>
        </is>
      </c>
      <c r="E97" s="390" t="n">
        <v>126000</v>
      </c>
    </row>
    <row r="98">
      <c r="A98" t="n">
        <v>97</v>
      </c>
      <c r="B98" t="inlineStr">
        <is>
          <t>MAT-ALU-NAN-T</t>
        </is>
      </c>
      <c r="C98" t="inlineStr">
        <is>
          <t>Nhôm định hình NAN T</t>
        </is>
      </c>
      <c r="D98" t="inlineStr">
        <is>
          <t>NHÔM_ĐỊNH_HÌNH</t>
        </is>
      </c>
      <c r="E98" s="390" t="n">
        <v>126000</v>
      </c>
    </row>
    <row r="99">
      <c r="A99" t="n">
        <v>98</v>
      </c>
      <c r="B99" t="inlineStr">
        <is>
          <t>MAT-ALU-KHUNG-BD</t>
        </is>
      </c>
      <c r="C99" t="inlineStr">
        <is>
          <t>Nhôm định hình KHUNG BD</t>
        </is>
      </c>
      <c r="D99" t="inlineStr">
        <is>
          <t>NHÔM_ĐỊNH_HÌNH</t>
        </is>
      </c>
      <c r="E99" s="390" t="n">
        <v>126000</v>
      </c>
    </row>
    <row r="100">
      <c r="A100" t="n">
        <v>99</v>
      </c>
      <c r="B100" t="inlineStr">
        <is>
          <t>MAT-ALU-KHUNG-BD-Z-MONG</t>
        </is>
      </c>
      <c r="C100" t="inlineStr">
        <is>
          <t>Nhôm định hình KHUNG BD+ Z MỎNG</t>
        </is>
      </c>
      <c r="D100" t="inlineStr">
        <is>
          <t>NHÔM_ĐỊNH_HÌNH</t>
        </is>
      </c>
      <c r="E100" s="390" t="n">
        <v>126000</v>
      </c>
    </row>
    <row r="101">
      <c r="A101" t="n">
        <v>100</v>
      </c>
      <c r="B101" t="inlineStr">
        <is>
          <t>MAT-ALU-NAN-Z-DAY</t>
        </is>
      </c>
      <c r="C101" t="inlineStr">
        <is>
          <t>Nhôm định hình NAN Z DÀY</t>
        </is>
      </c>
      <c r="D101" t="inlineStr">
        <is>
          <t>NHÔM_ĐỊNH_HÌNH</t>
        </is>
      </c>
      <c r="E101" s="390" t="n">
        <v>126000</v>
      </c>
    </row>
    <row r="102">
      <c r="A102" t="n">
        <v>101</v>
      </c>
      <c r="B102" t="inlineStr">
        <is>
          <t>MAT-ALU-NAN-Z-MONG</t>
        </is>
      </c>
      <c r="C102" t="inlineStr">
        <is>
          <t>Nhôm định hình NAN Z MỎNG</t>
        </is>
      </c>
      <c r="D102" t="inlineStr">
        <is>
          <t>NHÔM_ĐỊNH_HÌNH</t>
        </is>
      </c>
      <c r="E102" s="390" t="n">
        <v>126000</v>
      </c>
    </row>
    <row r="103">
      <c r="A103" t="n">
        <v>102</v>
      </c>
      <c r="B103" t="inlineStr">
        <is>
          <t>MAT-ALU-KHUNG-Z-2-LOP</t>
        </is>
      </c>
      <c r="C103" t="inlineStr">
        <is>
          <t>Nhôm định hình KHUNG Z+2 LỚP</t>
        </is>
      </c>
      <c r="D103" t="inlineStr">
        <is>
          <t>NHÔM_ĐỊNH_HÌNH</t>
        </is>
      </c>
      <c r="E103" s="390" t="n">
        <v>126000</v>
      </c>
    </row>
    <row r="104">
      <c r="A104" t="n">
        <v>103</v>
      </c>
      <c r="B104" t="inlineStr">
        <is>
          <t>MAT-ALU-NAN-OBD</t>
        </is>
      </c>
      <c r="C104" t="inlineStr">
        <is>
          <t>Nhôm định hình NAN OBD</t>
        </is>
      </c>
      <c r="D104" t="inlineStr">
        <is>
          <t>NHÔM_ĐỊNH_HÌNH</t>
        </is>
      </c>
      <c r="E104" s="390" t="n">
        <v>133000</v>
      </c>
    </row>
    <row r="105">
      <c r="A105" t="n">
        <v>104</v>
      </c>
      <c r="B105" t="inlineStr">
        <is>
          <t>MAT-ALU-KHUNG-OBD</t>
        </is>
      </c>
      <c r="C105" t="inlineStr">
        <is>
          <t>Nhôm định hình KHUNG OBD</t>
        </is>
      </c>
      <c r="D105" t="inlineStr">
        <is>
          <t>NHÔM_ĐỊNH_HÌNH</t>
        </is>
      </c>
      <c r="E105" s="390" t="n">
        <v>133000</v>
      </c>
    </row>
    <row r="106">
      <c r="A106" t="n">
        <v>105</v>
      </c>
      <c r="B106" t="inlineStr">
        <is>
          <t>MAT-ALU-NAN-BD-EUS02</t>
        </is>
      </c>
      <c r="C106" t="inlineStr">
        <is>
          <t>Nhôm định hình NAN BD EUS 02</t>
        </is>
      </c>
      <c r="D106" t="inlineStr">
        <is>
          <t>NHÔM_ĐỊNH_HÌNH</t>
        </is>
      </c>
      <c r="E106" s="390" t="n">
        <v>120000</v>
      </c>
    </row>
    <row r="107">
      <c r="A107" t="n">
        <v>106</v>
      </c>
      <c r="B107" t="inlineStr">
        <is>
          <t>MAT-ALU-KHUNG-BD-EUS01</t>
        </is>
      </c>
      <c r="C107" t="inlineStr">
        <is>
          <t>Nhôm định hình KHUNG BD EUS 01</t>
        </is>
      </c>
      <c r="D107" t="inlineStr">
        <is>
          <t>NHÔM_ĐỊNH_HÌNH</t>
        </is>
      </c>
      <c r="E107" s="390" t="n">
        <v>120000</v>
      </c>
    </row>
    <row r="108">
      <c r="A108" t="n">
        <v>107</v>
      </c>
      <c r="B108" t="inlineStr">
        <is>
          <t>MAT-ALU-NAN-Z-EUS05</t>
        </is>
      </c>
      <c r="C108" t="inlineStr">
        <is>
          <t>Nhôm định hình NAN Z EUS 05</t>
        </is>
      </c>
      <c r="D108" t="inlineStr">
        <is>
          <t>NHÔM_ĐỊNH_HÌNH</t>
        </is>
      </c>
      <c r="E108" s="390" t="n">
        <v>120000</v>
      </c>
    </row>
    <row r="109">
      <c r="A109" t="n">
        <v>108</v>
      </c>
      <c r="B109" t="inlineStr">
        <is>
          <t>MAT-ALU-KHUNG-Z-EUS03</t>
        </is>
      </c>
      <c r="C109" t="inlineStr">
        <is>
          <t>Nhôm định hình KHUNG Z EUS 03</t>
        </is>
      </c>
      <c r="D109" t="inlineStr">
        <is>
          <t>NHÔM_ĐỊNH_HÌNH</t>
        </is>
      </c>
      <c r="E109" s="390" t="n">
        <v>120000</v>
      </c>
    </row>
    <row r="110">
      <c r="A110" t="n">
        <v>109</v>
      </c>
      <c r="B110" t="inlineStr">
        <is>
          <t>MAT-ALU-NAN-OBD-EUS20</t>
        </is>
      </c>
      <c r="C110" t="inlineStr">
        <is>
          <t>Nhôm định hình NAN OBD EUS 20</t>
        </is>
      </c>
      <c r="D110" t="inlineStr">
        <is>
          <t>NHÔM_ĐỊNH_HÌNH</t>
        </is>
      </c>
      <c r="E110" s="390" t="n">
        <v>130000</v>
      </c>
    </row>
    <row r="111">
      <c r="A111" t="n">
        <v>110</v>
      </c>
      <c r="B111" t="inlineStr">
        <is>
          <t>MAT-ALU-KHUNG-OBD-EUS10</t>
        </is>
      </c>
      <c r="C111" t="inlineStr">
        <is>
          <t>Nhôm định hình KHUNG OBD EUS 10</t>
        </is>
      </c>
      <c r="D111" t="inlineStr">
        <is>
          <t>NHÔM_ĐỊNH_HÌNH</t>
        </is>
      </c>
      <c r="E111" s="390" t="n">
        <v>130000</v>
      </c>
    </row>
    <row r="112">
      <c r="A112" t="n">
        <v>111</v>
      </c>
      <c r="B112" t="inlineStr">
        <is>
          <t>MAT-PAINT-POWDER</t>
        </is>
      </c>
      <c r="C112" t="inlineStr">
        <is>
          <t>Sơn tĩnh điện tiêu chuẩn Polyester</t>
        </is>
      </c>
      <c r="D112" t="inlineStr">
        <is>
          <t>SƠN_TĨNH_ĐIỆN</t>
        </is>
      </c>
      <c r="E112" s="390" t="n">
        <v>75000</v>
      </c>
    </row>
    <row r="113">
      <c r="A113" t="n">
        <v>112</v>
      </c>
      <c r="B113" t="inlineStr">
        <is>
          <t>MAT-DOOR-ACCESSORY</t>
        </is>
      </c>
      <c r="C113" t="inlineStr">
        <is>
          <t>Phụ kiện lắp ghép / Ke góc cửa gió</t>
        </is>
      </c>
      <c r="D113" t="inlineStr">
        <is>
          <t>PHỤ_KIỆN_CỬA</t>
        </is>
      </c>
      <c r="E113" s="390" t="n">
        <v>15000</v>
      </c>
    </row>
    <row r="114">
      <c r="A114" t="n">
        <v>113</v>
      </c>
      <c r="B114" t="inlineStr">
        <is>
          <t>MAT-ACTUATOR-NACA-2-05</t>
        </is>
      </c>
      <c r="C114" t="inlineStr">
        <is>
          <t>Model: NACA 2-05  ( 220VAC, On/Off )</t>
        </is>
      </c>
      <c r="D114" t="inlineStr">
        <is>
          <t>ĐỘNG_CƠ_VÀ_CẢM_BIẾN</t>
        </is>
      </c>
      <c r="E114" s="390" t="n">
        <v>1250000</v>
      </c>
    </row>
    <row r="115">
      <c r="A115" t="n">
        <v>114</v>
      </c>
      <c r="B115" t="inlineStr">
        <is>
          <t>MAT-ACTUATOR-NACA-2-10</t>
        </is>
      </c>
      <c r="C115" t="inlineStr">
        <is>
          <t>Model: NACA 2-10   ( 220VAC, On/Off )</t>
        </is>
      </c>
      <c r="D115" t="inlineStr">
        <is>
          <t>ĐỘNG_CƠ_VÀ_CẢM_BIẾN</t>
        </is>
      </c>
      <c r="E115" s="390" t="n">
        <v>1732500</v>
      </c>
    </row>
    <row r="116">
      <c r="A116" t="n">
        <v>115</v>
      </c>
      <c r="B116" t="inlineStr">
        <is>
          <t>MAT-ACTUATOR-NACA-2-20</t>
        </is>
      </c>
      <c r="C116" t="inlineStr">
        <is>
          <t>Model: NACA 2-20   ( 220VAC, On/Off )</t>
        </is>
      </c>
      <c r="D116" t="inlineStr">
        <is>
          <t>ĐỘNG_CƠ_VÀ_CẢM_BIẾN</t>
        </is>
      </c>
      <c r="E116" s="390" t="n">
        <v>2016000</v>
      </c>
    </row>
    <row r="117">
      <c r="A117" t="n">
        <v>116</v>
      </c>
      <c r="B117" t="inlineStr">
        <is>
          <t>MAT-ACTUATOR-NACA-2-40</t>
        </is>
      </c>
      <c r="C117" t="inlineStr">
        <is>
          <t>Model: NACA 2-40   ( 220VAC, On/Off )</t>
        </is>
      </c>
      <c r="D117" t="inlineStr">
        <is>
          <t>ĐỘNG_CƠ_VÀ_CẢM_BIẾN</t>
        </is>
      </c>
      <c r="E117" s="390" t="n">
        <v>3549000</v>
      </c>
    </row>
    <row r="118">
      <c r="A118" t="n">
        <v>117</v>
      </c>
      <c r="B118" t="inlineStr">
        <is>
          <t>MAT-ACTUATOR-NTC-831</t>
        </is>
      </c>
      <c r="C118" t="inlineStr">
        <is>
          <t>Model: NTC 831</t>
        </is>
      </c>
      <c r="D118" t="inlineStr">
        <is>
          <t>ĐỘNG_CƠ_VÀ_CẢM_BIẾN</t>
        </is>
      </c>
      <c r="E118" s="390" t="n">
        <v>800000</v>
      </c>
    </row>
    <row r="119">
      <c r="A119" t="n">
        <v>118</v>
      </c>
      <c r="B119" t="inlineStr">
        <is>
          <t>MAT-ACTUATOR-NACM-1-2-05</t>
        </is>
      </c>
      <c r="C119" t="inlineStr">
        <is>
          <t>Model: NACM 1.2-05  ( Modulating )</t>
        </is>
      </c>
      <c r="D119" t="inlineStr">
        <is>
          <t>ĐỘNG_CƠ_VÀ_CẢM_BIẾN</t>
        </is>
      </c>
      <c r="E119" s="390" t="n">
        <v>1785000</v>
      </c>
    </row>
    <row r="120">
      <c r="A120" t="n">
        <v>119</v>
      </c>
      <c r="B120" t="inlineStr">
        <is>
          <t>MAT-ACTUATOR-NACM-1-1-10</t>
        </is>
      </c>
      <c r="C120" t="inlineStr">
        <is>
          <t>Model: NACM 1.1-10  ( Modulating )</t>
        </is>
      </c>
      <c r="D120" t="inlineStr">
        <is>
          <t>ĐỘNG_CƠ_VÀ_CẢM_BIẾN</t>
        </is>
      </c>
      <c r="E120" s="390" t="n">
        <v>2226000</v>
      </c>
    </row>
    <row r="121">
      <c r="A121" t="n">
        <v>120</v>
      </c>
      <c r="B121" t="inlineStr">
        <is>
          <t>MAT-ACTUATOR-NACM-1-1-20</t>
        </is>
      </c>
      <c r="C121" t="inlineStr">
        <is>
          <t>Model: NACM 1.1-20  ( Modulating )</t>
        </is>
      </c>
      <c r="D121" t="inlineStr">
        <is>
          <t>ĐỘNG_CƠ_VÀ_CẢM_BIẾN</t>
        </is>
      </c>
      <c r="E121" s="390" t="n">
        <v>3087000</v>
      </c>
    </row>
    <row r="122">
      <c r="A122" t="n">
        <v>121</v>
      </c>
      <c r="B122" t="inlineStr">
        <is>
          <t>MAT-ACTUATOR-NACM-1-1-40</t>
        </is>
      </c>
      <c r="C122" t="inlineStr">
        <is>
          <t>Model: NACM 1.1-40  ( Modulating )</t>
        </is>
      </c>
      <c r="D122" t="inlineStr">
        <is>
          <t>ĐỘNG_CƠ_VÀ_CẢM_BIẾN</t>
        </is>
      </c>
      <c r="E122" s="390" t="n">
        <v>4515000</v>
      </c>
    </row>
    <row r="123">
      <c r="A123" t="n">
        <v>122</v>
      </c>
      <c r="B123" t="inlineStr">
        <is>
          <t>MAT-ACTUATOR-MODEL-NPG-1-DIEU-KHI</t>
        </is>
      </c>
      <c r="C123" t="inlineStr">
        <is>
          <t>Model: NPG-1 ( Điều khiển cửa gió theo % đóng mở )</t>
        </is>
      </c>
      <c r="D123" t="inlineStr">
        <is>
          <t>ĐỘNG_CƠ_VÀ_CẢM_BIẾN</t>
        </is>
      </c>
      <c r="E123" s="390" t="n">
        <v>1260000</v>
      </c>
    </row>
    <row r="124">
      <c r="A124" t="n">
        <v>123</v>
      </c>
      <c r="B124" t="inlineStr">
        <is>
          <t>MAT-ACTUATOR-MODEL-NTC-843-DIEU-K</t>
        </is>
      </c>
      <c r="C124" t="inlineStr">
        <is>
          <t>Model: NTC-843 ( Điều khiển cửa gió theo nhiệt độ phòng )</t>
        </is>
      </c>
      <c r="D124" t="inlineStr">
        <is>
          <t>ĐỘNG_CƠ_VÀ_CẢM_BIẾN</t>
        </is>
      </c>
      <c r="E124" s="390" t="n">
        <v>1512000</v>
      </c>
    </row>
    <row r="125">
      <c r="A125" t="n">
        <v>124</v>
      </c>
      <c r="B125" t="inlineStr">
        <is>
          <t>MAT-ACTUATOR-SAFA-1-05S</t>
        </is>
      </c>
      <c r="C125" t="inlineStr">
        <is>
          <t>SAFA - 1 - 05S ( 24VAC/DC ) - Không có cảm biến</t>
        </is>
      </c>
      <c r="D125" t="inlineStr">
        <is>
          <t>ĐỘNG_CƠ_VÀ_CẢM_BIẾN</t>
        </is>
      </c>
      <c r="E125" s="390" t="n">
        <v>3108000</v>
      </c>
    </row>
    <row r="126">
      <c r="A126" t="n">
        <v>125</v>
      </c>
      <c r="B126" t="inlineStr">
        <is>
          <t>MAT-ACTUATOR-SAFA-1-08S</t>
        </is>
      </c>
      <c r="C126" t="inlineStr">
        <is>
          <t>SAFA - 1 - 08S ( 24VAC/DC )  - Không có cảm biến</t>
        </is>
      </c>
      <c r="D126" t="inlineStr">
        <is>
          <t>ĐỘNG_CƠ_VÀ_CẢM_BIẾN</t>
        </is>
      </c>
      <c r="E126" s="390" t="n">
        <v>3507000</v>
      </c>
    </row>
    <row r="127">
      <c r="A127" t="n">
        <v>126</v>
      </c>
      <c r="B127" t="inlineStr">
        <is>
          <t>MAT-ACTUATOR-SAFA-2-05S</t>
        </is>
      </c>
      <c r="C127" t="inlineStr">
        <is>
          <t>SAFA - 2 - 05S ( 220VAC  )  - Không có cảm biến</t>
        </is>
      </c>
      <c r="D127" t="inlineStr">
        <is>
          <t>ĐỘNG_CƠ_VÀ_CẢM_BIẾN</t>
        </is>
      </c>
      <c r="E127" s="390" t="n">
        <v>3255000</v>
      </c>
    </row>
    <row r="128">
      <c r="A128" t="n">
        <v>127</v>
      </c>
      <c r="B128" t="inlineStr">
        <is>
          <t>MAT-ACTUATOR-SAFA-2-08S</t>
        </is>
      </c>
      <c r="C128" t="inlineStr">
        <is>
          <t>SAFA - 2 - 08S ( 220VAC  )  - Không có cảm biến</t>
        </is>
      </c>
      <c r="D128" t="inlineStr">
        <is>
          <t>ĐỘNG_CƠ_VÀ_CẢM_BIẾN</t>
        </is>
      </c>
      <c r="E128" s="390" t="n">
        <v>3696000</v>
      </c>
    </row>
    <row r="129">
      <c r="A129" t="n">
        <v>128</v>
      </c>
      <c r="B129" t="inlineStr">
        <is>
          <t>MAT-ACTUATOR-CAM-BIEN-NHIET-BANG-</t>
        </is>
      </c>
      <c r="C129" t="inlineStr">
        <is>
          <t>Cảm biến nhiệt bằng điện gắn với Motor dùng cho fire damper</t>
        </is>
      </c>
      <c r="D129" t="inlineStr">
        <is>
          <t>ĐỘNG_CƠ_VÀ_CẢM_BIẾN</t>
        </is>
      </c>
      <c r="E129" s="390" t="n">
        <v>300000</v>
      </c>
    </row>
    <row r="130">
      <c r="A130" t="n">
        <v>129</v>
      </c>
      <c r="B130" t="inlineStr">
        <is>
          <t>MAT-ACTUATOR-MODEL-B</t>
        </is>
      </c>
      <c r="C130" t="inlineStr">
        <is>
          <t>Model: B (165ºF) ( Loại nhỏ )</t>
        </is>
      </c>
      <c r="D130" t="inlineStr">
        <is>
          <t>ĐỘNG_CƠ_VÀ_CẢM_BIẾN</t>
        </is>
      </c>
      <c r="E130" s="390" t="n">
        <v>70000</v>
      </c>
    </row>
    <row r="131">
      <c r="A131" t="n">
        <v>130</v>
      </c>
      <c r="B131" t="inlineStr">
        <is>
          <t>MAT-ACTUATOR-MODEL-A</t>
        </is>
      </c>
      <c r="C131" t="inlineStr">
        <is>
          <t>Model: A (165ºF) ( Loại lớn )</t>
        </is>
      </c>
      <c r="D131" t="inlineStr">
        <is>
          <t>ĐỘNG_CƠ_VÀ_CẢM_BIẾN</t>
        </is>
      </c>
      <c r="E131" s="390" t="n">
        <v>80000</v>
      </c>
    </row>
    <row r="132">
      <c r="A132" t="n">
        <v>131</v>
      </c>
      <c r="B132" t="inlineStr">
        <is>
          <t>MAT-INSUL-BONG-THUY-TINH-KHONG-MAT-12</t>
        </is>
      </c>
      <c r="C132" t="inlineStr">
        <is>
          <t>Bông thuỷ tinh không mặt bạc T12 D50 - Chiều dày 50mm, khổ rộng 1,2m dài 30m. Tổng 36m2/cuộn. Tỷ trọng 12kg/m3</t>
        </is>
      </c>
      <c r="D132" t="inlineStr">
        <is>
          <t>VẬT_LIỆU_TIÊU_ÂM</t>
        </is>
      </c>
      <c r="E132" s="390" t="n">
        <v>13000</v>
      </c>
    </row>
    <row r="133">
      <c r="A133" t="n">
        <v>132</v>
      </c>
      <c r="B133" t="inlineStr">
        <is>
          <t>MAT-INSUL-BONG-THUY-TINH-CO-BAC-T12-13</t>
        </is>
      </c>
      <c r="C133" t="inlineStr">
        <is>
          <t>Bông thuỷ tinh có bạc T12 D50 - Chiều dày 50mm, khổ rộng 1,2m dài 30m. Tổng 36m2/cuộn. Tỷ trọng 12kg/m3</t>
        </is>
      </c>
      <c r="D133" t="inlineStr">
        <is>
          <t>VẬT_LIỆU_TIÊU_ÂM</t>
        </is>
      </c>
      <c r="E133" s="390" t="n">
        <v>18500</v>
      </c>
    </row>
    <row r="134">
      <c r="A134" t="n">
        <v>133</v>
      </c>
      <c r="B134" t="inlineStr">
        <is>
          <t>MAT-INSUL-BONG-THUY-TINH-KHONG-MAT-14</t>
        </is>
      </c>
      <c r="C134" t="inlineStr">
        <is>
          <t>Bông thuỷ tinh không mặt bạc T24 D50 - Chiều dày 50mm, khổ rộng 1,2m dài 20m. Tổng 24m2/cuộn. Tỷ trọng 24kg/m3</t>
        </is>
      </c>
      <c r="D134" t="inlineStr">
        <is>
          <t>VẬT_LIỆU_TIÊU_ÂM</t>
        </is>
      </c>
      <c r="E134" s="390" t="n">
        <v>24000</v>
      </c>
    </row>
    <row r="135">
      <c r="A135" t="n">
        <v>134</v>
      </c>
      <c r="B135" t="inlineStr">
        <is>
          <t>MAT-INSUL-BONG-THUY-TINH-CO-BAC-T24-15</t>
        </is>
      </c>
      <c r="C135" t="inlineStr">
        <is>
          <t>Bông thuỷ tinh có bạc T24 D50 - Chiều dày 50mm, khổ rộng 1,2m dài 20m. Tổng 24m2/cuộn. Tỷ trọng 24kg/m3</t>
        </is>
      </c>
      <c r="D135" t="inlineStr">
        <is>
          <t>VẬT_LIỆU_TIÊU_ÂM</t>
        </is>
      </c>
      <c r="E135" s="390" t="n">
        <v>28000</v>
      </c>
    </row>
    <row r="136">
      <c r="A136" t="n">
        <v>135</v>
      </c>
      <c r="B136" t="inlineStr">
        <is>
          <t>MAT-INSUL-BONG-THUY-TINH-KHONG-MAT-16</t>
        </is>
      </c>
      <c r="C136" t="inlineStr">
        <is>
          <t>Bông thuỷ tinh không mặt bạc T32 D50 - Chiều dày 50mm, khổ rộng 1,2m dài 15m. Tổng 18m2/cuộn. Tỷ trọng 32kg/m3</t>
        </is>
      </c>
      <c r="D136" t="inlineStr">
        <is>
          <t>VẬT_LIỆU_TIÊU_ÂM</t>
        </is>
      </c>
      <c r="E136" s="390" t="n">
        <v>32000</v>
      </c>
    </row>
    <row r="137">
      <c r="A137" t="n">
        <v>136</v>
      </c>
      <c r="B137" t="inlineStr">
        <is>
          <t>MAT-INSUL-BONG-THUY-TINH-CO-MAT-BAC-17</t>
        </is>
      </c>
      <c r="C137" t="inlineStr">
        <is>
          <t>Bông thuỷ tinh có mặt bạc T32 D50 - Chiều dày 50mm, khổ rộng 1,2m dài 15m. Tổng 18m2/cuộn. Tỷ trọng 32kg/m3</t>
        </is>
      </c>
      <c r="D137" t="inlineStr">
        <is>
          <t>VẬT_LIỆU_TIÊU_ÂM</t>
        </is>
      </c>
      <c r="E137" s="390" t="n">
        <v>37000</v>
      </c>
    </row>
    <row r="138">
      <c r="A138" t="n">
        <v>137</v>
      </c>
      <c r="B138" t="inlineStr">
        <is>
          <t>MAT-INSUL-BONG-KHOANG-TAM-T40-19</t>
        </is>
      </c>
      <c r="C138" t="inlineStr">
        <is>
          <t>Bông khoáng tấm T40 - Kích thước tấm: 50 x 600 x 1200mm - 1 Kiện gồm 06 tấm, tỷ trọng 40kg/m3</t>
        </is>
      </c>
      <c r="D138" t="inlineStr">
        <is>
          <t>VẬT_LIỆU_TIÊU_ÂM</t>
        </is>
      </c>
      <c r="E138" s="390" t="n">
        <v>215000</v>
      </c>
    </row>
    <row r="139">
      <c r="A139" t="n">
        <v>138</v>
      </c>
      <c r="B139" t="inlineStr">
        <is>
          <t>MAT-INSUL-BONG-KHOANG-TAM-T50-20</t>
        </is>
      </c>
      <c r="C139" t="inlineStr">
        <is>
          <t>Bông khoáng tấm T50 - Kích thước tấm: 50 x 600 x 1200mm - 1 Kiện gồm 06 tấm, tỷ trọng 50kg/m3</t>
        </is>
      </c>
      <c r="D139" t="inlineStr">
        <is>
          <t>VẬT_LIỆU_TIÊU_ÂM</t>
        </is>
      </c>
      <c r="E139" s="390" t="n">
        <v>240000</v>
      </c>
    </row>
    <row r="140">
      <c r="A140" t="n">
        <v>139</v>
      </c>
      <c r="B140" t="inlineStr">
        <is>
          <t>MAT-INSUL-BONG-KHOANG-T60-D50-21</t>
        </is>
      </c>
      <c r="C140" t="inlineStr">
        <is>
          <t>Bông khoáng T60 D50 - Kích thước tấm: 50 x 600 x 1200mm - 1 Kiện gồm 06 tấm, tỷ trọng 60kg/m3</t>
        </is>
      </c>
      <c r="D140" t="inlineStr">
        <is>
          <t>VẬT_LIỆU_TIÊU_ÂM</t>
        </is>
      </c>
      <c r="E140" s="390" t="n">
        <v>260000</v>
      </c>
    </row>
    <row r="141">
      <c r="A141" t="n">
        <v>140</v>
      </c>
      <c r="B141" t="inlineStr">
        <is>
          <t>MAT-INSUL-BONG-KHOANG-T80-D50-22</t>
        </is>
      </c>
      <c r="C141" t="inlineStr">
        <is>
          <t>Bông khoáng T80 D50 - Kích thước tấm: 50 x 600 x 1200mm - 1 Kiện gồm 06 tấm, tỷ trọng 80kg/m3</t>
        </is>
      </c>
      <c r="D141" t="inlineStr">
        <is>
          <t>VẬT_LIỆU_TIÊU_ÂM</t>
        </is>
      </c>
      <c r="E141" s="390" t="n">
        <v>340000</v>
      </c>
    </row>
    <row r="142">
      <c r="A142" t="n">
        <v>141</v>
      </c>
      <c r="B142" t="inlineStr">
        <is>
          <t>MAT-INSUL-BONG-KHOANG-T100-D50-23</t>
        </is>
      </c>
      <c r="C142" t="inlineStr">
        <is>
          <t>Bông khoáng T100 D50 - Kích thước tấm: 100 x 600 x 1200mm - 1 Kiện gồm 03 tấm, tỷ trọng 100kg/m3</t>
        </is>
      </c>
      <c r="D142" t="inlineStr">
        <is>
          <t>VẬT_LIỆU_TIÊU_ÂM</t>
        </is>
      </c>
      <c r="E142" s="390" t="n">
        <v>378000</v>
      </c>
    </row>
    <row r="143">
      <c r="A143" t="n">
        <v>142</v>
      </c>
      <c r="B143" t="inlineStr">
        <is>
          <t>MAT-INSUL-BONG-GOM-BAO-610-X7200-X-25</t>
        </is>
      </c>
      <c r="C143" t="inlineStr">
        <is>
          <t>Bông gốm bao 610 x7200 x 25mm - Bông gốm dạng bao dài 7,2m, rộng 0,61 dày 25mm , chịu nhiệt 1000 độ</t>
        </is>
      </c>
      <c r="D143" t="inlineStr">
        <is>
          <t>VẬT_LIỆU_TIÊU_ÂM</t>
        </is>
      </c>
      <c r="E143" s="390" t="n">
        <v>280000</v>
      </c>
    </row>
    <row r="144">
      <c r="A144" t="n">
        <v>143</v>
      </c>
      <c r="B144" t="inlineStr">
        <is>
          <t>MAT-INSUL-BONG-GOM-HOP-610-X7200-X-26</t>
        </is>
      </c>
      <c r="C144" t="inlineStr">
        <is>
          <t>Bông gốm hộp  610 x7200 x 25mm T96 - Bông gốm dạng bao dài 7,2m, rộng 0,61 dày 25mm , chịu nhiệt 1260 độ . 6P</t>
        </is>
      </c>
      <c r="D144" t="inlineStr">
        <is>
          <t>VẬT_LIỆU_TIÊU_ÂM</t>
        </is>
      </c>
      <c r="E144" s="390" t="n">
        <v>360000</v>
      </c>
    </row>
    <row r="145">
      <c r="A145" t="n">
        <v>144</v>
      </c>
      <c r="B145" t="inlineStr">
        <is>
          <t>MAT-INSUL-BONG-GOM-HOP-610-X7200-X-27</t>
        </is>
      </c>
      <c r="C145" t="inlineStr">
        <is>
          <t>Bông gốm hộp  610 x7200 x 25mm T128 - Bông gốm dạng bao dài 7,2m, rộng 0,61 dày 25mm , chịu nhiệt 1260 độ . 8P</t>
        </is>
      </c>
      <c r="D145" t="inlineStr">
        <is>
          <t>VẬT_LIỆU_TIÊU_ÂM</t>
        </is>
      </c>
      <c r="E145" s="390" t="n">
        <v>465000</v>
      </c>
    </row>
    <row r="146">
      <c r="A146" t="n">
        <v>145</v>
      </c>
      <c r="B146" t="inlineStr">
        <is>
          <t>MAT-INSUL-BONG-GOM-HOP-610-X7200-X-28</t>
        </is>
      </c>
      <c r="C146" t="inlineStr">
        <is>
          <t>Bông gốm hộp  610 x7200 x 25mm T128 - Bông gốm dạng bao dài 7,2m, rộng 0,61 dày 25mm , chịu nhiệt 1430 độ</t>
        </is>
      </c>
      <c r="D146" t="inlineStr">
        <is>
          <t>VẬT_LIỆU_TIÊU_ÂM</t>
        </is>
      </c>
      <c r="E146" s="390" t="n">
        <v>970000</v>
      </c>
    </row>
    <row r="147">
      <c r="A147" t="n">
        <v>146</v>
      </c>
      <c r="B147" t="inlineStr">
        <is>
          <t>MAT-INSUL-BONG-GOM-DANG-TAM-600-X-9-29</t>
        </is>
      </c>
      <c r="C147" t="inlineStr">
        <is>
          <t>Bông gốm dạng tấm 600 x 900 T340 - Hộp D25 = 4 tấm  - Hộp D50 = 2 tấm</t>
        </is>
      </c>
      <c r="D147" t="inlineStr">
        <is>
          <t>VẬT_LIỆU_TIÊU_ÂM</t>
        </is>
      </c>
      <c r="E147" s="390" t="n">
        <v>720000</v>
      </c>
    </row>
    <row r="148">
      <c r="A148" t="n">
        <v>147</v>
      </c>
      <c r="B148" t="inlineStr">
        <is>
          <t>MAT-INSUL-BONG-GOM-DANG-ROI-30</t>
        </is>
      </c>
      <c r="C148" t="inlineStr">
        <is>
          <t>Bông gốm dạng rời</t>
        </is>
      </c>
      <c r="D148" t="inlineStr">
        <is>
          <t>VẬT_LIỆU_TIÊU_ÂM</t>
        </is>
      </c>
      <c r="E148" s="390" t="n">
        <v>370000</v>
      </c>
    </row>
    <row r="149">
      <c r="A149" t="n">
        <v>148</v>
      </c>
      <c r="B149" t="inlineStr">
        <is>
          <t>MAT-INSUL-MUT-TRUNG-3CM-KICH-THUOC-32</t>
        </is>
      </c>
      <c r="C149" t="inlineStr">
        <is>
          <t>Mút trứng 3cm , kích thước tấm 1,6 x 2m</t>
        </is>
      </c>
      <c r="D149" t="inlineStr">
        <is>
          <t>VẬT_LIỆU_TIÊU_ÂM</t>
        </is>
      </c>
      <c r="E149" s="390" t="n">
        <v>260000</v>
      </c>
    </row>
    <row r="150">
      <c r="A150" t="n">
        <v>149</v>
      </c>
      <c r="B150" t="inlineStr">
        <is>
          <t>MAT-INSUL-MUT-TRUNG-5CM-KICH-THUOC-33</t>
        </is>
      </c>
      <c r="C150" t="inlineStr">
        <is>
          <t>Mút trứng 5cm , kích thước tấm 1,6 x 2m</t>
        </is>
      </c>
      <c r="D150" t="inlineStr">
        <is>
          <t>VẬT_LIỆU_TIÊU_ÂM</t>
        </is>
      </c>
      <c r="E150" s="390" t="n">
        <v>360000</v>
      </c>
    </row>
    <row r="151">
      <c r="A151" t="n">
        <v>150</v>
      </c>
      <c r="B151" t="inlineStr">
        <is>
          <t>MAT-INSUL-MUT-GAI-5CM-KICH-THUOC-TA-34</t>
        </is>
      </c>
      <c r="C151" t="inlineStr">
        <is>
          <t>Mút gai 5cm , kích thước tấm 1 x 1m</t>
        </is>
      </c>
      <c r="D151" t="inlineStr">
        <is>
          <t>VẬT_LIỆU_TIÊU_ÂM</t>
        </is>
      </c>
      <c r="E151" s="390" t="n">
        <v>330000</v>
      </c>
    </row>
    <row r="152">
      <c r="A152" t="n">
        <v>151</v>
      </c>
      <c r="B152" t="inlineStr">
        <is>
          <t>MAT-INSUL-XOP-XPS-DAY-25MM-KICH-THU-35</t>
        </is>
      </c>
      <c r="C152" t="inlineStr">
        <is>
          <t>Xốp XPS . Dày 25mm kích thước tấm 600 x 1800</t>
        </is>
      </c>
      <c r="D152" t="inlineStr">
        <is>
          <t>VẬT_LIỆU_TIÊU_ÂM</t>
        </is>
      </c>
      <c r="E152" s="390" t="n">
        <v>72000</v>
      </c>
    </row>
    <row r="153">
      <c r="A153" t="n">
        <v>152</v>
      </c>
      <c r="B153" t="inlineStr">
        <is>
          <t>MAT-INSUL-VAI-THUY-TINH-36</t>
        </is>
      </c>
      <c r="C153" t="inlineStr">
        <is>
          <t>Vải thủy tinh</t>
        </is>
      </c>
      <c r="D153" t="inlineStr">
        <is>
          <t>VẬT_LIỆU_TIÊU_ÂM</t>
        </is>
      </c>
      <c r="E153" s="390" t="n">
        <v>85000</v>
      </c>
    </row>
    <row r="154">
      <c r="A154" t="n">
        <v>153</v>
      </c>
      <c r="B154" t="inlineStr">
        <is>
          <t>MAT-INSUL-TON-LO-D6-38</t>
        </is>
      </c>
      <c r="C154" t="inlineStr">
        <is>
          <t>Tôn lỗ D6</t>
        </is>
      </c>
      <c r="D154" t="inlineStr">
        <is>
          <t>VẬT_LIỆU_TIÊU_ÂM</t>
        </is>
      </c>
      <c r="E154" s="390" t="n">
        <v>130000</v>
      </c>
    </row>
    <row r="155">
      <c r="A155" t="n">
        <v>154</v>
      </c>
      <c r="B155" t="inlineStr">
        <is>
          <t>MAT-INSUL-TON-LO-D10-40</t>
        </is>
      </c>
      <c r="C155" t="inlineStr">
        <is>
          <t>Tôn lỗ D10</t>
        </is>
      </c>
      <c r="D155" t="inlineStr">
        <is>
          <t>VẬT_LIỆU_TIÊU_ÂM</t>
        </is>
      </c>
      <c r="E155" s="390" t="n">
        <v>130000</v>
      </c>
    </row>
    <row r="156">
      <c r="A156" t="n">
        <v>155</v>
      </c>
      <c r="B156" t="inlineStr">
        <is>
          <t>CANVAS_FIRE_RESISTANT</t>
        </is>
      </c>
      <c r="C156" t="inlineStr">
        <is>
          <t>Cuộn vải bạt bọc cách nhiệt/chống cháy</t>
        </is>
      </c>
      <c r="D156" t="inlineStr">
        <is>
          <t>VẬT_TƯ_BẠT</t>
        </is>
      </c>
      <c r="E156" s="390" t="n">
        <v>57600</v>
      </c>
    </row>
    <row r="157">
      <c r="A157" t="n">
        <v>156</v>
      </c>
      <c r="B157" t="inlineStr">
        <is>
          <t>ROCKWOOL_50MM_50KG</t>
        </is>
      </c>
      <c r="C157" t="inlineStr">
        <is>
          <t>Bông Rockwool tỷ trọng 50kg/m3 dày 50mm</t>
        </is>
      </c>
      <c r="D157" t="inlineStr">
        <is>
          <t>VẬT_LIỆU_TIÊU_ÂM</t>
        </is>
      </c>
      <c r="E157" s="390" t="n">
        <v>65000</v>
      </c>
    </row>
    <row r="158">
      <c r="A158" t="n">
        <v>157</v>
      </c>
      <c r="B158" t="inlineStr">
        <is>
          <t>GLASS_CLOTH</t>
        </is>
      </c>
      <c r="C158" t="inlineStr">
        <is>
          <t>Vải thủy tinh bọc tiêu âm</t>
        </is>
      </c>
      <c r="D158" t="inlineStr">
        <is>
          <t>VẬT_LIỆU_TIÊU_ÂM</t>
        </is>
      </c>
      <c r="E158" s="390" t="n">
        <v>15000</v>
      </c>
    </row>
    <row r="159">
      <c r="A159" t="n">
        <v>158</v>
      </c>
      <c r="B159" t="inlineStr">
        <is>
          <t>PERFORATED_SHEET</t>
        </is>
      </c>
      <c r="C159" t="inlineStr">
        <is>
          <t>Tôn đục lỗ tiêu âm</t>
        </is>
      </c>
      <c r="D159" t="inlineStr">
        <is>
          <t>VẬT_LIỆU_TIÊU_ÂM</t>
        </is>
      </c>
      <c r="E159" s="390" t="n">
        <v>55000</v>
      </c>
    </row>
    <row r="160">
      <c r="A160" t="n">
        <v>159</v>
      </c>
      <c r="B160" t="inlineStr">
        <is>
          <t>SUPERLON_19MM</t>
        </is>
      </c>
      <c r="C160" t="inlineStr">
        <is>
          <t>Bảo ôn Superlon dạng tấm dày 19mm</t>
        </is>
      </c>
      <c r="D160" t="inlineStr">
        <is>
          <t>VẬT_LIỆU_BẢO_ÔN</t>
        </is>
      </c>
      <c r="E160" s="390" t="n">
        <v>220000</v>
      </c>
    </row>
    <row r="161">
      <c r="A161" t="n">
        <v>160</v>
      </c>
      <c r="B161" t="inlineStr">
        <is>
          <t>ECCENTRIC_SHAFT</t>
        </is>
      </c>
      <c r="C161" t="inlineStr">
        <is>
          <t>Cơ cấu lệch tâm / Lò xo đóng mở (NRD)</t>
        </is>
      </c>
      <c r="D161" t="inlineStr">
        <is>
          <t>PHỤ_KIỆN_VAN</t>
        </is>
      </c>
      <c r="E161" s="390" t="n">
        <v>45000</v>
      </c>
    </row>
    <row r="162">
      <c r="A162" t="n">
        <v>161</v>
      </c>
      <c r="B162" t="inlineStr">
        <is>
          <t>FLEX_DUCT_D100_NON_INSUL</t>
        </is>
      </c>
      <c r="C162" t="inlineStr">
        <is>
          <t>ống mềm D100 không bảo ôn</t>
        </is>
      </c>
      <c r="D162" t="inlineStr">
        <is>
          <t>ỐNG_GIÓ_MỀM</t>
        </is>
      </c>
      <c r="E162" s="390" t="n">
        <v>55000</v>
      </c>
    </row>
    <row r="163">
      <c r="A163" t="n">
        <v>162</v>
      </c>
      <c r="B163" t="inlineStr">
        <is>
          <t>FLEX_DUCT_D150_NON_INSUL</t>
        </is>
      </c>
      <c r="C163" t="inlineStr">
        <is>
          <t>ống mềm D150 không bảo ôn</t>
        </is>
      </c>
      <c r="D163" t="inlineStr">
        <is>
          <t>ỐNG_GIÓ_MỀM</t>
        </is>
      </c>
      <c r="E163" s="390" t="n">
        <v>70000</v>
      </c>
    </row>
    <row r="164">
      <c r="A164" t="n">
        <v>163</v>
      </c>
      <c r="B164" t="inlineStr">
        <is>
          <t>FLEX_DUCT_D200_NON_INSUL</t>
        </is>
      </c>
      <c r="C164" t="inlineStr">
        <is>
          <t>ống mềm D200 không bảo ôn</t>
        </is>
      </c>
      <c r="D164" t="inlineStr">
        <is>
          <t>ỐNG_GIÓ_MỀM</t>
        </is>
      </c>
      <c r="E164" s="390" t="n">
        <v>99500</v>
      </c>
    </row>
    <row r="165">
      <c r="A165" t="n">
        <v>164</v>
      </c>
      <c r="B165" t="inlineStr">
        <is>
          <t>FLEX_DUCT_D250_NON_INSUL</t>
        </is>
      </c>
      <c r="C165" t="inlineStr">
        <is>
          <t>ống mềm D250 không bảo ôn</t>
        </is>
      </c>
      <c r="D165" t="inlineStr">
        <is>
          <t>ỐNG_GIÓ_MỀM</t>
        </is>
      </c>
      <c r="E165" s="390" t="n">
        <v>115000</v>
      </c>
    </row>
    <row r="166">
      <c r="A166" t="n">
        <v>165</v>
      </c>
      <c r="B166" t="inlineStr">
        <is>
          <t>FLEX_DUCT_D300_NON_INSUL</t>
        </is>
      </c>
      <c r="C166" t="inlineStr">
        <is>
          <t>ống mềm D300 không bảo ôn</t>
        </is>
      </c>
      <c r="D166" t="inlineStr">
        <is>
          <t>ỐNG_GIÓ_MỀM</t>
        </is>
      </c>
      <c r="E166" s="390" t="n">
        <v>135000</v>
      </c>
    </row>
    <row r="167">
      <c r="A167" t="n">
        <v>166</v>
      </c>
      <c r="B167" t="inlineStr">
        <is>
          <t>FLEX_DUCT_D350_NON_INSUL</t>
        </is>
      </c>
      <c r="C167" t="inlineStr">
        <is>
          <t>ống mềm D350 không bảo ôn</t>
        </is>
      </c>
      <c r="D167" t="inlineStr">
        <is>
          <t>ỐNG_GIÓ_MỀM</t>
        </is>
      </c>
      <c r="E167" s="390" t="n">
        <v>195000</v>
      </c>
    </row>
    <row r="168">
      <c r="A168" t="n">
        <v>167</v>
      </c>
      <c r="B168" t="inlineStr">
        <is>
          <t>FLEX_DUCT_D100_INSUL</t>
        </is>
      </c>
      <c r="C168" t="inlineStr">
        <is>
          <t>ống mềm D100 có bảo ôn</t>
        </is>
      </c>
      <c r="D168" t="inlineStr">
        <is>
          <t>ỐNG_GIÓ_MỀM</t>
        </is>
      </c>
      <c r="E168" s="390" t="n">
        <v>130000</v>
      </c>
    </row>
    <row r="169">
      <c r="A169" t="n">
        <v>168</v>
      </c>
      <c r="B169" t="inlineStr">
        <is>
          <t>FLEX_DUCT_D150_INSUL</t>
        </is>
      </c>
      <c r="C169" t="inlineStr">
        <is>
          <t>ống mềm D150 có bảo ôn</t>
        </is>
      </c>
      <c r="D169" t="inlineStr">
        <is>
          <t>ỐNG_GIÓ_MỀM</t>
        </is>
      </c>
      <c r="E169" s="390" t="n">
        <v>165000</v>
      </c>
    </row>
    <row r="170">
      <c r="A170" t="n">
        <v>169</v>
      </c>
      <c r="B170" t="inlineStr">
        <is>
          <t>FLEX_DUCT_D200_INSUL</t>
        </is>
      </c>
      <c r="C170" t="inlineStr">
        <is>
          <t>ống mềm D200 có bảo ôn</t>
        </is>
      </c>
      <c r="D170" t="inlineStr">
        <is>
          <t>ỐNG_GIÓ_MỀM</t>
        </is>
      </c>
      <c r="E170" s="390" t="n">
        <v>190000</v>
      </c>
    </row>
    <row r="171">
      <c r="A171" t="n">
        <v>170</v>
      </c>
      <c r="B171" t="inlineStr">
        <is>
          <t>FLEX_DUCT_D250_INSUL</t>
        </is>
      </c>
      <c r="C171" t="inlineStr">
        <is>
          <t>ống mềm D250 có bảo ôn</t>
        </is>
      </c>
      <c r="D171" t="inlineStr">
        <is>
          <t>ỐNG_GIÓ_MỀM</t>
        </is>
      </c>
      <c r="E171" s="390" t="n">
        <v>245000</v>
      </c>
    </row>
    <row r="172">
      <c r="A172" t="n">
        <v>171</v>
      </c>
      <c r="B172" t="inlineStr">
        <is>
          <t>FLEX_DUCT_D300_INSUL</t>
        </is>
      </c>
      <c r="C172" t="inlineStr">
        <is>
          <t>ống mềm D300 có bảo ôn</t>
        </is>
      </c>
      <c r="D172" t="inlineStr">
        <is>
          <t>ỐNG_GIÓ_MỀM</t>
        </is>
      </c>
      <c r="E172" s="390" t="n">
        <v>245000</v>
      </c>
    </row>
    <row r="173">
      <c r="A173" t="n">
        <v>172</v>
      </c>
      <c r="B173" t="inlineStr">
        <is>
          <t>FLEX_DUCT_D350_INSUL</t>
        </is>
      </c>
      <c r="C173" t="inlineStr">
        <is>
          <t>ống mềm D350 có bảo ôn</t>
        </is>
      </c>
      <c r="D173" t="inlineStr">
        <is>
          <t>ỐNG_GIÓ_MỀM</t>
        </is>
      </c>
      <c r="E173" s="390" t="n">
        <v>280000</v>
      </c>
    </row>
    <row r="174">
      <c r="A174" t="n">
        <v>173</v>
      </c>
      <c r="B174" t="inlineStr">
        <is>
          <t>MAT-ACTUATOR-NACM-1.2-05</t>
        </is>
      </c>
      <c r="C174" t="inlineStr">
        <is>
          <t>Model: NACM 1.2-05  ( Modulating )</t>
        </is>
      </c>
      <c r="D174" t="inlineStr">
        <is>
          <t>ĐỘNG_CƠ_VÀ_CẢM_BIẾN</t>
        </is>
      </c>
      <c r="E174" s="390" t="n">
        <v>1785000</v>
      </c>
    </row>
    <row r="175">
      <c r="A175" t="n">
        <v>174</v>
      </c>
      <c r="B175" t="inlineStr">
        <is>
          <t>MAT-ACTUATOR-NACM-1.1-10</t>
        </is>
      </c>
      <c r="C175" t="inlineStr">
        <is>
          <t>Model: NACM 1.1-10  ( Modulating )</t>
        </is>
      </c>
      <c r="D175" t="inlineStr">
        <is>
          <t>ĐỘNG_CƠ_VÀ_CẢM_BIẾN</t>
        </is>
      </c>
      <c r="E175" s="390" t="n">
        <v>2226000</v>
      </c>
    </row>
    <row r="176">
      <c r="A176" t="n">
        <v>175</v>
      </c>
      <c r="B176" t="inlineStr">
        <is>
          <t>MAT-ACTUATOR-NACM-1.1-20</t>
        </is>
      </c>
      <c r="C176" t="inlineStr">
        <is>
          <t>Model: NACM 1.1-20  ( Modulating )</t>
        </is>
      </c>
      <c r="D176" t="inlineStr">
        <is>
          <t>ĐỘNG_CƠ_VÀ_CẢM_BIẾN</t>
        </is>
      </c>
      <c r="E176" s="390" t="n">
        <v>3087000</v>
      </c>
    </row>
    <row r="177">
      <c r="A177" t="n">
        <v>176</v>
      </c>
      <c r="B177" t="inlineStr">
        <is>
          <t>MAT-TRỤC-SUS-201-D10</t>
        </is>
      </c>
      <c r="C177" t="inlineStr">
        <is>
          <t>Trục Sus 201 D10</t>
        </is>
      </c>
      <c r="D177" t="inlineStr">
        <is>
          <t>PHỤ_KIỆN_VAN</t>
        </is>
      </c>
      <c r="E177" s="390" t="n">
        <v>50000</v>
      </c>
    </row>
    <row r="178">
      <c r="A178" t="n">
        <v>177</v>
      </c>
      <c r="B178" t="inlineStr">
        <is>
          <t>MAT-TRỤC-SUS-201-D12</t>
        </is>
      </c>
      <c r="C178" t="inlineStr">
        <is>
          <t>Trục Sus 201 D12</t>
        </is>
      </c>
      <c r="D178" t="inlineStr">
        <is>
          <t>PHỤ_KIỆN_VAN</t>
        </is>
      </c>
      <c r="E178" s="390" t="n">
        <v>72000</v>
      </c>
    </row>
    <row r="179">
      <c r="A179" t="n">
        <v>178</v>
      </c>
      <c r="B179" t="inlineStr">
        <is>
          <t>MAT-TRỤC-SUS-201-D14</t>
        </is>
      </c>
      <c r="C179" t="inlineStr">
        <is>
          <t>Trục Sus 201 D14</t>
        </is>
      </c>
      <c r="D179" t="inlineStr">
        <is>
          <t>PHỤ_KIỆN_VAN</t>
        </is>
      </c>
      <c r="E179" s="390" t="n">
        <v>98000</v>
      </c>
    </row>
    <row r="180">
      <c r="A180" t="n">
        <v>179</v>
      </c>
      <c r="B180" t="inlineStr">
        <is>
          <t>MAT-BẠC-ĐỒNG-D10</t>
        </is>
      </c>
      <c r="C180" t="inlineStr">
        <is>
          <t>Bạc đồng D10</t>
        </is>
      </c>
      <c r="D180" t="inlineStr">
        <is>
          <t>PHỤ_KIỆN_VAN</t>
        </is>
      </c>
      <c r="E180" s="390" t="n">
        <v>6000</v>
      </c>
    </row>
    <row r="181">
      <c r="A181" t="n">
        <v>180</v>
      </c>
      <c r="B181" t="inlineStr">
        <is>
          <t>MAT-BẠC-ĐỒNG-D12</t>
        </is>
      </c>
      <c r="C181" t="inlineStr">
        <is>
          <t>Bạc đồng D12</t>
        </is>
      </c>
      <c r="D181" t="inlineStr">
        <is>
          <t>PHỤ_KIỆN_VAN</t>
        </is>
      </c>
      <c r="E181" s="390" t="n">
        <v>8000</v>
      </c>
    </row>
    <row r="182">
      <c r="A182" t="n">
        <v>181</v>
      </c>
      <c r="B182" t="inlineStr">
        <is>
          <t>MAT-BẠC-ĐỒNG-D14</t>
        </is>
      </c>
      <c r="C182" t="inlineStr">
        <is>
          <t>Bạc đồng D14</t>
        </is>
      </c>
      <c r="D182" t="inlineStr">
        <is>
          <t>PHỤ_KIỆN_VAN</t>
        </is>
      </c>
      <c r="E182" s="390" t="n">
        <v>10000</v>
      </c>
    </row>
    <row r="183">
      <c r="A183" t="n">
        <v>182</v>
      </c>
      <c r="B183" t="inlineStr">
        <is>
          <t>MAT-TAY-GẠT-1-&gt;1M2</t>
        </is>
      </c>
      <c r="C183" t="inlineStr">
        <is>
          <t>Tay gạt 1 &gt;1m2</t>
        </is>
      </c>
      <c r="D183" t="inlineStr">
        <is>
          <t>PHỤ_KIỆN_VAN</t>
        </is>
      </c>
      <c r="E183" s="390" t="n">
        <v>100000</v>
      </c>
    </row>
    <row r="184">
      <c r="A184" t="n">
        <v>183</v>
      </c>
      <c r="B184" t="inlineStr">
        <is>
          <t>MAT-GIẰNG-TAY-GẠT-1</t>
        </is>
      </c>
      <c r="C184" t="inlineStr">
        <is>
          <t>Giằng tay gạt 1</t>
        </is>
      </c>
      <c r="D184" t="inlineStr">
        <is>
          <t>PHỤ_KIỆN_VAN</t>
        </is>
      </c>
      <c r="E184" s="390" t="n">
        <v>20000</v>
      </c>
    </row>
    <row r="185">
      <c r="A185" t="n">
        <v>184</v>
      </c>
      <c r="B185" t="inlineStr">
        <is>
          <t>MAT-STEEL-HOA_SEN-1.15</t>
        </is>
      </c>
      <c r="C185" t="inlineStr"/>
      <c r="D185" t="inlineStr">
        <is>
          <t>THUONG_MAI</t>
        </is>
      </c>
      <c r="E185" s="390" t="n">
        <v>22400</v>
      </c>
    </row>
    <row r="186">
      <c r="A186" t="n">
        <v>185</v>
      </c>
      <c r="B186" t="inlineStr">
        <is>
          <t>MAT-ACTUATOR-BELIMO-BFN24</t>
        </is>
      </c>
      <c r="C186" t="inlineStr"/>
      <c r="D186" t="inlineStr">
        <is>
          <t>THUONG_MAI</t>
        </is>
      </c>
      <c r="E186" s="390" t="n">
        <v>4200000</v>
      </c>
    </row>
    <row r="187">
      <c r="A187" t="n">
        <v>186</v>
      </c>
      <c r="B187" t="inlineStr">
        <is>
          <t>MAT-INSULATION-EI-DAMPER</t>
        </is>
      </c>
      <c r="C187" t="inlineStr"/>
      <c r="D187" t="inlineStr">
        <is>
          <t>THUONG_MAI</t>
        </is>
      </c>
      <c r="E187" s="390" t="n">
        <v>300000</v>
      </c>
    </row>
    <row r="188">
      <c r="A188" t="n">
        <v>187</v>
      </c>
      <c r="B188" t="inlineStr">
        <is>
          <t>MAT-KHAC-LUOI_BAO_VE</t>
        </is>
      </c>
      <c r="C188" t="inlineStr">
        <is>
          <t>Lưới bảo vệ</t>
        </is>
      </c>
      <c r="D188" t="inlineStr">
        <is>
          <t>THƯƠNG_MẠI_TỰ_ĐỘNG</t>
        </is>
      </c>
      <c r="E188" s="390" t="n">
        <v>165000</v>
      </c>
    </row>
    <row r="189">
      <c r="A189" t="n">
        <v>188</v>
      </c>
      <c r="B189" t="inlineStr">
        <is>
          <t>MAT-THUONG_MAI-HE_THONG_HUT_KHOI_HAM_XE_HUT_K_BDCE</t>
        </is>
      </c>
      <c r="C189" t="inlineStr">
        <is>
          <t>HỆ THỐNG HÚT KHÓI HẦM XE, HÚT KHÓI SỰ CỐ Quạt hướng trục CEF-B2-Z1-01~02 5290/9430 l/s @ 500/1350 Pa, chống cháy 300°C trong 2h,</t>
        </is>
      </c>
      <c r="D189" t="inlineStr">
        <is>
          <t>THUONG_MAI</t>
        </is>
      </c>
      <c r="E189" s="390" t="n">
        <v>0</v>
      </c>
    </row>
    <row r="190">
      <c r="A190" t="n">
        <v>189</v>
      </c>
      <c r="B190" t="inlineStr">
        <is>
          <t>MAT-THUONG_MAI-HE_THONG_HUT_KHOI_HAM_XE_HUT_K_5C8C</t>
        </is>
      </c>
      <c r="C190" t="inlineStr">
        <is>
          <t>HỆ THỐNG HÚT KHÓI HẦM XE, HÚT KHÓI SỰ CỐ Quạt hướng trục CEF-B2-Z2-01~02 5490/8910 l/s @ 600/1350 Pa, chống cháy 300°C trong 2h</t>
        </is>
      </c>
      <c r="D190" t="inlineStr">
        <is>
          <t>THUONG_MAI</t>
        </is>
      </c>
      <c r="E190" s="390" t="n">
        <v>0</v>
      </c>
    </row>
    <row r="191">
      <c r="A191" t="n">
        <v>190</v>
      </c>
      <c r="B191" t="inlineStr">
        <is>
          <t>MAT-THUONG_MAI-HE_THONG_HUT_KHOI_HAM_XE_HUT_K_85A7</t>
        </is>
      </c>
      <c r="C191" t="inlineStr">
        <is>
          <t>HỆ THỐNG HÚT KHÓI HẦM XE, HÚT KHÓI SỰ CỐ Quạt hướng trục CEF-B1-Z1-01~02 5590/8385 l/s @ 600/1350 Pa, chống cháy 300°C trong 2h</t>
        </is>
      </c>
      <c r="D191" t="inlineStr">
        <is>
          <t>THUONG_MAI</t>
        </is>
      </c>
      <c r="E191" s="390" t="n">
        <v>0</v>
      </c>
    </row>
    <row r="192">
      <c r="A192" t="n">
        <v>191</v>
      </c>
      <c r="B192" t="inlineStr">
        <is>
          <t>MAT-THUONG_MAI-HE_THONG_HUT_KHOI_HAM_XE_HUT_K_50BF</t>
        </is>
      </c>
      <c r="C192" t="inlineStr">
        <is>
          <t>HỆ THỐNG HÚT KHÓI HẦM XE, HÚT KHÓI SỰ CỐ Quạt hướng trục CEF-B1-Z2-01~02 5135/7700 l/s @ 600/1350 Pa, chống cháy 300°C trong 2h</t>
        </is>
      </c>
      <c r="D192" t="inlineStr">
        <is>
          <t>THUONG_MAI</t>
        </is>
      </c>
      <c r="E192" s="390" t="n">
        <v>0</v>
      </c>
    </row>
    <row r="193">
      <c r="A193" t="n">
        <v>192</v>
      </c>
      <c r="B193" t="inlineStr">
        <is>
          <t>MAT-THUONG_MAI-HE_THONG_HUT_KHOI_HAM_XE_HUT_K_C640</t>
        </is>
      </c>
      <c r="C193" t="inlineStr">
        <is>
          <t>HỆ THỐNG HÚT KHÓI HẦM XE, HÚT KHÓI SỰ CỐ Quạt hướng trục SEF-B1-Z2-01 4800 l/s @ 500 Pa, chống cháy 300°C trong 2h</t>
        </is>
      </c>
      <c r="D193" t="inlineStr">
        <is>
          <t>THUONG_MAI</t>
        </is>
      </c>
      <c r="E193" s="390" t="n">
        <v>0</v>
      </c>
    </row>
    <row r="194">
      <c r="A194" t="n">
        <v>193</v>
      </c>
      <c r="B194" t="inlineStr">
        <is>
          <t>MAT-THUONG_MAI-HE_THONG_HUT_KHOI_HAM_XE_HUT_K_5E99</t>
        </is>
      </c>
      <c r="C194" t="inlineStr">
        <is>
          <t>HỆ THỐNG HÚT KHÓI HẦM XE, HÚT KHÓI SỰ CỐ Quạt hướng trục SEF-A1.1-03F-01~02 7400 l/s @ 400 Pa, chống cháy 300°C trong 2h</t>
        </is>
      </c>
      <c r="D194" t="inlineStr">
        <is>
          <t>THUONG_MAI</t>
        </is>
      </c>
      <c r="E194" s="390" t="n">
        <v>0</v>
      </c>
    </row>
    <row r="195">
      <c r="A195" t="n">
        <v>194</v>
      </c>
      <c r="B195" t="inlineStr">
        <is>
          <t>MAT-THUONG_MAI-HE_THONG_HUT_KHOI_HAM_XE_HUT_K_0135</t>
        </is>
      </c>
      <c r="C195" t="inlineStr">
        <is>
          <t>HỆ THỐNG HÚT KHÓI HẦM XE, HÚT KHÓI SỰ CỐ Quạt hướng trục SEF-A1.2-03F-01~02 6700 l/s @ 500 Pa, chống cháy 300°C trong 2h</t>
        </is>
      </c>
      <c r="D195" t="inlineStr">
        <is>
          <t>THUONG_MAI</t>
        </is>
      </c>
      <c r="E195" s="390" t="n">
        <v>0</v>
      </c>
    </row>
    <row r="196">
      <c r="A196" t="n">
        <v>195</v>
      </c>
      <c r="B196" t="inlineStr">
        <is>
          <t>MAT-THUONG_MAI-HE_THONG_HUT_KHOI_HAM_XE_HUT_K_8FEB</t>
        </is>
      </c>
      <c r="C196" t="inlineStr">
        <is>
          <t>HỆ THỐNG HÚT KHÓI HẦM XE, HÚT KHÓI SỰ CỐ Quạt hướng trục SEF-A1.2-03F-03 5100 l/s @ 500 Pa, chống cháy 300°C trong 2h</t>
        </is>
      </c>
      <c r="D196" t="inlineStr">
        <is>
          <t>THUONG_MAI</t>
        </is>
      </c>
      <c r="E196" s="390" t="n">
        <v>0</v>
      </c>
    </row>
    <row r="197">
      <c r="A197" t="n">
        <v>196</v>
      </c>
      <c r="B197" t="inlineStr">
        <is>
          <t>MAT-THUONG_MAI-HE_THONG_HUT_KHOI_HAM_XE_HUT_K_5E9C</t>
        </is>
      </c>
      <c r="C197" t="inlineStr">
        <is>
          <t>HỆ THỐNG HÚT KHÓI HẦM XE, HÚT KHÓI SỰ CỐ Quạt hướng trục SEF-A1.3-03F-01~03 4800 l/s @ 500 Pa, chống cháy 300°C trong 2h</t>
        </is>
      </c>
      <c r="D197" t="inlineStr">
        <is>
          <t>THUONG_MAI</t>
        </is>
      </c>
      <c r="E197" s="390" t="n">
        <v>0</v>
      </c>
    </row>
    <row r="198">
      <c r="A198" t="n">
        <v>197</v>
      </c>
      <c r="B198" t="inlineStr">
        <is>
          <t>MAT-THUONG_MAI-HE_THONG_HUT_KHOI_HAM_XE_HUT_K_2169</t>
        </is>
      </c>
      <c r="C198" t="inlineStr">
        <is>
          <t>HỆ THỐNG HÚT KHÓI HẦM XE, HÚT KHÓI SỰ CỐ Quạt hướng trục SEF-A1.3-03F-04 4800 l/s @ 450 Pa, chống cháy 300°C trong 2h</t>
        </is>
      </c>
      <c r="D198" t="inlineStr">
        <is>
          <t>THUONG_MAI</t>
        </is>
      </c>
      <c r="E198" s="390" t="n">
        <v>0</v>
      </c>
    </row>
    <row r="199">
      <c r="A199" t="n">
        <v>198</v>
      </c>
      <c r="B199" t="inlineStr">
        <is>
          <t>MAT-THUONG_MAI-HE_THONG_HUT_KHOI_HAM_XE_HUT_K_04CF</t>
        </is>
      </c>
      <c r="C199" t="inlineStr">
        <is>
          <t>HỆ THỐNG HÚT KHÓI HẦM XE, HÚT KHÓI SỰ CỐ Quạt hướng trục SEF-A1.3-03F-05~07 4800 l/s @ 500 Pa, chống cháy 300°C trong 2h</t>
        </is>
      </c>
      <c r="D199" t="inlineStr">
        <is>
          <t>THUONG_MAI</t>
        </is>
      </c>
      <c r="E199" s="390" t="n">
        <v>0</v>
      </c>
    </row>
    <row r="200">
      <c r="A200" t="n">
        <v>199</v>
      </c>
      <c r="B200" t="inlineStr">
        <is>
          <t>MAT-THUONG_MAI-HE_THONG_HUT_KHOI_HAM_XE_HUT_K_6B0C</t>
        </is>
      </c>
      <c r="C200" t="inlineStr">
        <is>
          <t>HỆ THỐNG HÚT KHÓI HẦM XE, HÚT KHÓI SỰ CỐ Quạt hướng trục SEF-A1.3-10F-01 7100 l/s @ 600 Pa, chống cháy 300°C trong 2h</t>
        </is>
      </c>
      <c r="D200" t="inlineStr">
        <is>
          <t>THUONG_MAI</t>
        </is>
      </c>
      <c r="E200" s="390" t="n">
        <v>0</v>
      </c>
    </row>
    <row r="201">
      <c r="A201" t="n">
        <v>200</v>
      </c>
      <c r="B201" t="inlineStr">
        <is>
          <t>MAT-THUONG_MAI-HE_THONG_HUT_KHOI_HAM_XE_HUT_K_55AD</t>
        </is>
      </c>
      <c r="C201" t="inlineStr">
        <is>
          <t>HỆ THỐNG HÚT KHÓI HẦM XE, HÚT KHÓI SỰ CỐ Quạt hướng trục SEF-A1.2-12F-01 8800 l/s @ 650 Pa, chống cháy 300°C trong 2h</t>
        </is>
      </c>
      <c r="D201" t="inlineStr">
        <is>
          <t>THUONG_MAI</t>
        </is>
      </c>
      <c r="E201" s="390" t="n">
        <v>0</v>
      </c>
    </row>
    <row r="202">
      <c r="A202" t="n">
        <v>201</v>
      </c>
      <c r="B202" t="inlineStr">
        <is>
          <t>MAT-THUONG_MAI-HE_THONG_HUT_KHOI_HAM_XE_HUT_K_BF17</t>
        </is>
      </c>
      <c r="C202" t="inlineStr">
        <is>
          <t>HỆ THỐNG HÚT KHÓI HẦM XE, HÚT KHÓI SỰ CỐ Quạt hướng trục SEF-A1.1-RF-01 8100 l/s @ 650 Pa, chống cháy 300°C trong 2h</t>
        </is>
      </c>
      <c r="D202" t="inlineStr">
        <is>
          <t>THUONG_MAI</t>
        </is>
      </c>
      <c r="E202" s="390" t="n">
        <v>0</v>
      </c>
    </row>
    <row r="203">
      <c r="A203" t="n">
        <v>202</v>
      </c>
      <c r="B203" t="inlineStr">
        <is>
          <t>MAT-ACTUATOR-BELIMO-BF24</t>
        </is>
      </c>
      <c r="C203" t="inlineStr">
        <is>
          <t>Động cơ chặn lửa ON/OFF 18Nm, 24V (BELIMO BF 24 hoặc tương đương)</t>
        </is>
      </c>
      <c r="D203" t="inlineStr">
        <is>
          <t>ĐỘNG_CƠ_VÀ_CẢM_BIẾN</t>
        </is>
      </c>
      <c r="E203" s="390" t="n">
        <v>0</v>
      </c>
    </row>
    <row r="204">
      <c r="A204" t="n">
        <v>203</v>
      </c>
      <c r="B204" t="inlineStr">
        <is>
          <t>MAT-BOX-HE_THONG_HUT_KHOI_HA_8B49</t>
        </is>
      </c>
      <c r="C204" t="inlineStr">
        <is>
          <t>Box phụ kiện 600x300</t>
        </is>
      </c>
      <c r="D204" t="inlineStr">
        <is>
          <t>THUONG_MAI</t>
        </is>
      </c>
      <c r="E204" s="390" t="n">
        <v>0</v>
      </c>
    </row>
    <row r="205">
      <c r="A205" t="n">
        <v>204</v>
      </c>
      <c r="B205" t="inlineStr">
        <is>
          <t>MAT-BOX-HE_THONG_HUT_KHOI_HA_CF0E</t>
        </is>
      </c>
      <c r="C205" t="inlineStr">
        <is>
          <t>Box phụ kiện 1200x600</t>
        </is>
      </c>
      <c r="D205" t="inlineStr">
        <is>
          <t>THUONG_MAI</t>
        </is>
      </c>
      <c r="E205" s="390" t="n">
        <v>0</v>
      </c>
    </row>
    <row r="206">
      <c r="A206" t="n">
        <v>205</v>
      </c>
      <c r="B206" t="inlineStr">
        <is>
          <t>MAT-BOX-HE_THONG_HUT_KHOI_HA_FD5D</t>
        </is>
      </c>
      <c r="C206" t="inlineStr">
        <is>
          <t>Box phụ kiện -</t>
        </is>
      </c>
      <c r="D206" t="inlineStr">
        <is>
          <t>THUONG_MAI</t>
        </is>
      </c>
      <c r="E206" s="390" t="n">
        <v>0</v>
      </c>
    </row>
    <row r="207">
      <c r="A207" t="n">
        <v>206</v>
      </c>
      <c r="B207" t="inlineStr">
        <is>
          <t>MAT-THUONG_MAI-HE_THONG_HUT_KHOI_HAM_XE_HUT_K_016B</t>
        </is>
      </c>
      <c r="C207" t="inlineStr">
        <is>
          <t>HỆ THỐNG HÚT KHÓI HẦM XE, HÚT KHÓI SỰ CỐ Vật tư phụ, phụ kiện</t>
        </is>
      </c>
      <c r="D207" t="inlineStr">
        <is>
          <t>THUONG_MAI</t>
        </is>
      </c>
      <c r="E207" s="390" t="n">
        <v>0</v>
      </c>
    </row>
    <row r="208">
      <c r="A208" t="n">
        <v>207</v>
      </c>
      <c r="B208" t="inlineStr">
        <is>
          <t>MAT-BOX-ONG_THONG_GIO_VA_PHU_A849</t>
        </is>
      </c>
      <c r="C208" t="inlineStr">
        <is>
          <t>Box phụ kiện 0.75mm</t>
        </is>
      </c>
      <c r="D208" t="inlineStr">
        <is>
          <t>THUONG_MAI</t>
        </is>
      </c>
      <c r="E208" s="390" t="n">
        <v>0</v>
      </c>
    </row>
    <row r="209">
      <c r="A209" t="n">
        <v>208</v>
      </c>
      <c r="B209" t="inlineStr">
        <is>
          <t>MAT-BOX-ONG_THONG_GIO_VA_PHU_44C4</t>
        </is>
      </c>
      <c r="C209" t="inlineStr">
        <is>
          <t>Box phụ kiện 0.95mm</t>
        </is>
      </c>
      <c r="D209" t="inlineStr">
        <is>
          <t>THUONG_MAI</t>
        </is>
      </c>
      <c r="E209" s="390" t="n">
        <v>0</v>
      </c>
    </row>
    <row r="210">
      <c r="A210" t="n">
        <v>209</v>
      </c>
      <c r="B210" t="inlineStr">
        <is>
          <t>MAT-BOX-ONG_THONG_GIO_VA_PHU_46E3</t>
        </is>
      </c>
      <c r="C210" t="inlineStr">
        <is>
          <t>Box phụ kiện 1.15mm</t>
        </is>
      </c>
      <c r="D210" t="inlineStr">
        <is>
          <t>THUONG_MAI</t>
        </is>
      </c>
      <c r="E210" s="390" t="n">
        <v>0</v>
      </c>
    </row>
    <row r="211">
      <c r="A211" t="n">
        <v>210</v>
      </c>
      <c r="B211" t="inlineStr">
        <is>
          <t>MAT-BOX-ONG_THONG_GIO_VA_PHU_FCFE</t>
        </is>
      </c>
      <c r="C211" t="inlineStr">
        <is>
          <t>Box phụ kiện 1.15mm</t>
        </is>
      </c>
      <c r="D211" t="inlineStr">
        <is>
          <t>THUONG_MAI</t>
        </is>
      </c>
      <c r="E211" s="390" t="n">
        <v>0</v>
      </c>
    </row>
    <row r="212">
      <c r="A212" t="n">
        <v>211</v>
      </c>
      <c r="B212" t="inlineStr">
        <is>
          <t>MAT-THUONG_MAI-ONG_THONG_GIO_VA_PHU_KIEN_BOX_11DB</t>
        </is>
      </c>
      <c r="C212" t="inlineStr">
        <is>
          <t>Ống thông gió và phụ kiện, box miệng gió Lưới bảo vệ</t>
        </is>
      </c>
      <c r="D212" t="inlineStr">
        <is>
          <t>THUONG_MAI</t>
        </is>
      </c>
      <c r="E212" s="390" t="n">
        <v>0</v>
      </c>
    </row>
    <row r="213">
      <c r="A213" t="n">
        <v>212</v>
      </c>
      <c r="B213" t="inlineStr">
        <is>
          <t>MAT-BOX-ONG_THONG_GIO_VA_PHU_11DB</t>
        </is>
      </c>
      <c r="C213" t="inlineStr">
        <is>
          <t>Box phụ kiện -</t>
        </is>
      </c>
      <c r="D213" t="inlineStr">
        <is>
          <t>THUONG_MAI</t>
        </is>
      </c>
      <c r="E213" s="390" t="n">
        <v>0</v>
      </c>
    </row>
    <row r="214">
      <c r="A214" t="n">
        <v>213</v>
      </c>
      <c r="B214" t="inlineStr">
        <is>
          <t>MAT-LUOI-ONG_THONG_GIO_VA_PHU_11DB</t>
        </is>
      </c>
      <c r="C214" t="inlineStr">
        <is>
          <t>Lưới bảo vệ -</t>
        </is>
      </c>
      <c r="D214" t="inlineStr">
        <is>
          <t>THUONG_MAI</t>
        </is>
      </c>
      <c r="E214" s="390" t="n">
        <v>0</v>
      </c>
    </row>
    <row r="215">
      <c r="A215" t="n">
        <v>214</v>
      </c>
      <c r="B215" t="inlineStr">
        <is>
          <t>MAT-THUONG_MAI-ONG_THONG_GIO_VA_PHU_KIEN_BOX_82DE</t>
        </is>
      </c>
      <c r="C215" t="inlineStr">
        <is>
          <t>Ống thông gió và phụ kiện, box miệng gió Lớp chống cháy EI30</t>
        </is>
      </c>
      <c r="D215" t="inlineStr">
        <is>
          <t>THUONG_MAI</t>
        </is>
      </c>
      <c r="E215" s="390" t="n">
        <v>0</v>
      </c>
    </row>
    <row r="216">
      <c r="A216" t="n">
        <v>215</v>
      </c>
      <c r="B216" t="inlineStr">
        <is>
          <t>MAT-BOX-ONG_THONG_GIO_VA_PHU_82DE</t>
        </is>
      </c>
      <c r="C216" t="inlineStr">
        <is>
          <t>Box phụ kiện -</t>
        </is>
      </c>
      <c r="D216" t="inlineStr">
        <is>
          <t>THUONG_MAI</t>
        </is>
      </c>
      <c r="E216" s="390" t="n">
        <v>0</v>
      </c>
    </row>
    <row r="217">
      <c r="A217" t="n">
        <v>216</v>
      </c>
      <c r="B217" t="inlineStr">
        <is>
          <t>MAT-THUONG_MAI-ONG_THONG_GIO_VA_PHU_KIEN_BOX_E395</t>
        </is>
      </c>
      <c r="C217" t="inlineStr">
        <is>
          <t>Ống thông gió và phụ kiện, box miệng gió Lớp chống cháy EI60</t>
        </is>
      </c>
      <c r="D217" t="inlineStr">
        <is>
          <t>THUONG_MAI</t>
        </is>
      </c>
      <c r="E217" s="390" t="n">
        <v>0</v>
      </c>
    </row>
    <row r="218">
      <c r="A218" t="n">
        <v>217</v>
      </c>
      <c r="B218" t="inlineStr">
        <is>
          <t>MAT-BOX-ONG_THONG_GIO_VA_PHU_E395</t>
        </is>
      </c>
      <c r="C218" t="inlineStr">
        <is>
          <t>Box phụ kiện -</t>
        </is>
      </c>
      <c r="D218" t="inlineStr">
        <is>
          <t>THUONG_MAI</t>
        </is>
      </c>
      <c r="E218" s="390" t="n">
        <v>0</v>
      </c>
    </row>
    <row r="219">
      <c r="A219" t="n">
        <v>218</v>
      </c>
      <c r="B219" t="inlineStr">
        <is>
          <t>MAT-THUONG_MAI-ONG_THONG_GIO_VA_PHU_KIEN_BOX_A0E1</t>
        </is>
      </c>
      <c r="C219" t="inlineStr">
        <is>
          <t>Ống thông gió và phụ kiện, box miệng gió Vật tư phụ, phụ kiện</t>
        </is>
      </c>
      <c r="D219" t="inlineStr">
        <is>
          <t>THUONG_MAI</t>
        </is>
      </c>
      <c r="E219" s="390" t="n">
        <v>0</v>
      </c>
    </row>
    <row r="220">
      <c r="A220" t="n">
        <v>219</v>
      </c>
      <c r="B220" t="inlineStr">
        <is>
          <t>MAT-BOX-ONG_THONG_GIO_VA_PHU_A0E1</t>
        </is>
      </c>
      <c r="C220" t="inlineStr">
        <is>
          <t>Box phụ kiện -</t>
        </is>
      </c>
      <c r="D220" t="inlineStr">
        <is>
          <t>THUONG_MAI</t>
        </is>
      </c>
      <c r="E220" s="390" t="n">
        <v>0</v>
      </c>
    </row>
    <row r="221">
      <c r="A221" t="n">
        <v>220</v>
      </c>
      <c r="B221" t="inlineStr">
        <is>
          <t>MAT-THUONG_MAI-HE_THONG_TAO_AP_QUAT_HUONG_TRU_0E7C</t>
        </is>
      </c>
      <c r="C221" t="inlineStr">
        <is>
          <t>HỆ THỐNG TẠO ÁP Quạt hướng trục BPF-B2-Z2-01 400 l/s @ 650 Pa, chống cháy 300°C trong 2h</t>
        </is>
      </c>
      <c r="D221" t="inlineStr">
        <is>
          <t>THUONG_MAI</t>
        </is>
      </c>
      <c r="E221" s="390" t="n">
        <v>0</v>
      </c>
    </row>
    <row r="222">
      <c r="A222" t="n">
        <v>221</v>
      </c>
      <c r="B222" t="inlineStr">
        <is>
          <t>MAT-THUONG_MAI-HE_THONG_TAO_AP_QUAT_HUONG_TRU_CDC2</t>
        </is>
      </c>
      <c r="C222" t="inlineStr">
        <is>
          <t>HỆ THỐNG TẠO ÁP Quạt hướng trục BPF-B2-Z2-02 1200 l/s @ 550 Pa, chống cháy 300°C trong 2h</t>
        </is>
      </c>
      <c r="D222" t="inlineStr">
        <is>
          <t>THUONG_MAI</t>
        </is>
      </c>
      <c r="E222" s="390" t="n">
        <v>0</v>
      </c>
    </row>
    <row r="223">
      <c r="A223" t="n">
        <v>222</v>
      </c>
      <c r="B223" t="inlineStr">
        <is>
          <t>MAT-THUONG_MAI-HE_THONG_TAO_AP_QUAT_HUONG_TRU_1386</t>
        </is>
      </c>
      <c r="C223" t="inlineStr">
        <is>
          <t>HỆ THỐNG TẠO ÁP Quạt hướng trục BPF-B2-Z2-03 4200 l/s @ 400 Pa, chống cháy 300°C trong 2h</t>
        </is>
      </c>
      <c r="D223" t="inlineStr">
        <is>
          <t>THUONG_MAI</t>
        </is>
      </c>
      <c r="E223" s="390" t="n">
        <v>0</v>
      </c>
    </row>
    <row r="224">
      <c r="A224" t="n">
        <v>223</v>
      </c>
      <c r="B224" t="inlineStr">
        <is>
          <t>MAT-THUONG_MAI-HE_THONG_TAO_AP_QUAT_HUONG_TRU_68E4</t>
        </is>
      </c>
      <c r="C224" t="inlineStr">
        <is>
          <t>HỆ THỐNG TẠO ÁP Quạt hướng trục BPF-B2-Z2-04 4200 l/s @ 400 Pa, chống cháy 300°C trong 2h</t>
        </is>
      </c>
      <c r="D224" t="inlineStr">
        <is>
          <t>THUONG_MAI</t>
        </is>
      </c>
      <c r="E224" s="390" t="n">
        <v>0</v>
      </c>
    </row>
    <row r="225">
      <c r="A225" t="n">
        <v>224</v>
      </c>
      <c r="B225" t="inlineStr">
        <is>
          <t>MAT-THUONG_MAI-HE_THONG_TAO_AP_QUAT_HUONG_TRU_F6FD</t>
        </is>
      </c>
      <c r="C225" t="inlineStr">
        <is>
          <t>HỆ THỐNG TẠO ÁP Quạt hướng trục BPF-B1-Z1-01 5400 l/s @ 700 Pa, chống cháy 300°C trong 2h</t>
        </is>
      </c>
      <c r="D225" t="inlineStr">
        <is>
          <t>THUONG_MAI</t>
        </is>
      </c>
      <c r="E225" s="390" t="n">
        <v>0</v>
      </c>
    </row>
    <row r="226">
      <c r="A226" t="n">
        <v>225</v>
      </c>
      <c r="B226" t="inlineStr">
        <is>
          <t>MAT-THUONG_MAI-HE_THONG_TAO_AP_QUAT_HUONG_TRU_07AC</t>
        </is>
      </c>
      <c r="C226" t="inlineStr">
        <is>
          <t>HỆ THỐNG TẠO ÁP Quạt hướng trục BPF-B1-Z1-02 5800 l/s @ 700 Pa, chống cháy 300°C trong 2h</t>
        </is>
      </c>
      <c r="D226" t="inlineStr">
        <is>
          <t>THUONG_MAI</t>
        </is>
      </c>
      <c r="E226" s="390" t="n">
        <v>0</v>
      </c>
    </row>
    <row r="227">
      <c r="A227" t="n">
        <v>226</v>
      </c>
      <c r="B227" t="inlineStr">
        <is>
          <t>MAT-THUONG_MAI-HE_THONG_TAO_AP_QUAT_HUONG_TRU_2C9C</t>
        </is>
      </c>
      <c r="C227" t="inlineStr">
        <is>
          <t>HỆ THỐNG TẠO ÁP Quạt hướng trục BPF-B1-Z1-03 400 l/s @ 550 Pa, chống cháy 300°C trong 2h</t>
        </is>
      </c>
      <c r="D227" t="inlineStr">
        <is>
          <t>THUONG_MAI</t>
        </is>
      </c>
      <c r="E227" s="390" t="n">
        <v>0</v>
      </c>
    </row>
    <row r="228">
      <c r="A228" t="n">
        <v>227</v>
      </c>
      <c r="B228" t="inlineStr">
        <is>
          <t>MAT-THUONG_MAI-HE_THONG_TAO_AP_QUAT_HUONG_TRU_B64F</t>
        </is>
      </c>
      <c r="C228" t="inlineStr">
        <is>
          <t>HỆ THỐNG TẠO ÁP Quạt hướng trục BPF-B1-Z1-04 5400 l/s @ 450 Pa, chống cháy 300°C trong 2h</t>
        </is>
      </c>
      <c r="D228" t="inlineStr">
        <is>
          <t>THUONG_MAI</t>
        </is>
      </c>
      <c r="E228" s="390" t="n">
        <v>0</v>
      </c>
    </row>
    <row r="229">
      <c r="A229" t="n">
        <v>228</v>
      </c>
      <c r="B229" t="inlineStr">
        <is>
          <t>MAT-THUONG_MAI-HE_THONG_TAO_AP_QUAT_HUONG_TRU_8D9F</t>
        </is>
      </c>
      <c r="C229" t="inlineStr">
        <is>
          <t>HỆ THỐNG TẠO ÁP Quạt hướng trục BPF-B1-Z1-05 1100 l/s @ 500 Pa, chống cháy 300°C trong 2h</t>
        </is>
      </c>
      <c r="D229" t="inlineStr">
        <is>
          <t>THUONG_MAI</t>
        </is>
      </c>
      <c r="E229" s="390" t="n">
        <v>0</v>
      </c>
    </row>
    <row r="230">
      <c r="A230" t="n">
        <v>229</v>
      </c>
      <c r="B230" t="inlineStr">
        <is>
          <t>MAT-THUONG_MAI-HE_THONG_TAO_AP_QUAT_HUONG_TRU_8416</t>
        </is>
      </c>
      <c r="C230" t="inlineStr">
        <is>
          <t>HỆ THỐNG TẠO ÁP Quạt hướng trục BPF-B1-Z1-06 400 l/s @ 650 Pa, chống cháy 300°C trong 2h</t>
        </is>
      </c>
      <c r="D230" t="inlineStr">
        <is>
          <t>THUONG_MAI</t>
        </is>
      </c>
      <c r="E230" s="390" t="n">
        <v>0</v>
      </c>
    </row>
    <row r="231">
      <c r="A231" t="n">
        <v>230</v>
      </c>
      <c r="B231" t="inlineStr">
        <is>
          <t>MAT-THUONG_MAI-HE_THONG_TAO_AP_QUAT_HUONG_TRU_0BB2</t>
        </is>
      </c>
      <c r="C231" t="inlineStr">
        <is>
          <t>HỆ THỐNG TẠO ÁP Quạt hướng trục BPF-B1-Z2-01 400 l/s @ 400 Pa, chống cháy 300°C trong 2h</t>
        </is>
      </c>
      <c r="D231" t="inlineStr">
        <is>
          <t>THUONG_MAI</t>
        </is>
      </c>
      <c r="E231" s="390" t="n">
        <v>0</v>
      </c>
    </row>
    <row r="232">
      <c r="A232" t="n">
        <v>231</v>
      </c>
      <c r="B232" t="inlineStr">
        <is>
          <t>MAT-THUONG_MAI-HE_THONG_TAO_AP_QUAT_HUONG_TRU_72F7</t>
        </is>
      </c>
      <c r="C232" t="inlineStr">
        <is>
          <t>HỆ THỐNG TẠO ÁP Quạt hướng trục BPF-B1-Z2-02 5400 l/s @ 700 Pa, chống cháy 300°C trong 2h</t>
        </is>
      </c>
      <c r="D232" t="inlineStr">
        <is>
          <t>THUONG_MAI</t>
        </is>
      </c>
      <c r="E232" s="390" t="n">
        <v>0</v>
      </c>
    </row>
    <row r="233">
      <c r="A233" t="n">
        <v>232</v>
      </c>
      <c r="B233" t="inlineStr">
        <is>
          <t>MAT-THUONG_MAI-HE_THONG_TAO_AP_QUAT_HUONG_TRU_4A30</t>
        </is>
      </c>
      <c r="C233" t="inlineStr">
        <is>
          <t>HỆ THỐNG TẠO ÁP Quạt hướng trục BPF-B1-Z2-03 5400 l/s @ 700 Pa, chống cháy 300°C trong 2h</t>
        </is>
      </c>
      <c r="D233" t="inlineStr">
        <is>
          <t>THUONG_MAI</t>
        </is>
      </c>
      <c r="E233" s="390" t="n">
        <v>0</v>
      </c>
    </row>
    <row r="234">
      <c r="A234" t="n">
        <v>233</v>
      </c>
      <c r="B234" t="inlineStr">
        <is>
          <t>MAT-THUONG_MAI-HE_THONG_TAO_AP_QUAT_HUONG_TRU_F291</t>
        </is>
      </c>
      <c r="C234" t="inlineStr">
        <is>
          <t>HỆ THỐNG TẠO ÁP Quạt hướng trục BPF-B1-Z2-04 700 l/s @ 400 Pa, chống cháy 300°C trong 2h</t>
        </is>
      </c>
      <c r="D234" t="inlineStr">
        <is>
          <t>THUONG_MAI</t>
        </is>
      </c>
      <c r="E234" s="390" t="n">
        <v>0</v>
      </c>
    </row>
    <row r="235">
      <c r="A235" t="n">
        <v>234</v>
      </c>
      <c r="B235" t="inlineStr">
        <is>
          <t>MAT-THUONG_MAI-HE_THONG_TAO_AP_QUAT_HUONG_TRU_3FF6</t>
        </is>
      </c>
      <c r="C235" t="inlineStr">
        <is>
          <t>HỆ THỐNG TẠO ÁP Quạt hướng trục LPF-A1.12-03F-01 1900 l/s @ 400 Pa, chống cháy 300°C trong 2h</t>
        </is>
      </c>
      <c r="D235" t="inlineStr">
        <is>
          <t>THUONG_MAI</t>
        </is>
      </c>
      <c r="E235" s="390" t="n">
        <v>0</v>
      </c>
    </row>
    <row r="236">
      <c r="A236" t="n">
        <v>235</v>
      </c>
      <c r="B236" t="inlineStr">
        <is>
          <t>MAT-THUONG_MAI-HE_THONG_TAO_AP_QUAT_HUONG_TRU_3A11</t>
        </is>
      </c>
      <c r="C236" t="inlineStr">
        <is>
          <t>HỆ THỐNG TẠO ÁP Quạt hướng trục LPF-A1.23-03F-01 1900 l/s @ 450 Pa, chống cháy 300°C trong 2h</t>
        </is>
      </c>
      <c r="D236" t="inlineStr">
        <is>
          <t>THUONG_MAI</t>
        </is>
      </c>
      <c r="E236" s="390" t="n">
        <v>0</v>
      </c>
    </row>
    <row r="237">
      <c r="A237" t="n">
        <v>236</v>
      </c>
      <c r="B237" t="inlineStr">
        <is>
          <t>MAT-THUONG_MAI-HE_THONG_TAO_AP_QUAT_HUONG_TRU_D2E7</t>
        </is>
      </c>
      <c r="C237" t="inlineStr">
        <is>
          <t>HỆ THỐNG TẠO ÁP Quạt hướng trục BPF-A1.2-04F-01 9500 l/s @ 450 Pa, chống cháy 300°C trong 2h</t>
        </is>
      </c>
      <c r="D237" t="inlineStr">
        <is>
          <t>THUONG_MAI</t>
        </is>
      </c>
      <c r="E237" s="390" t="n">
        <v>0</v>
      </c>
    </row>
    <row r="238">
      <c r="A238" t="n">
        <v>237</v>
      </c>
      <c r="B238" t="inlineStr">
        <is>
          <t>MAT-THUONG_MAI-HE_THONG_TAO_AP_QUAT_HUONG_TRU_8B6B</t>
        </is>
      </c>
      <c r="C238" t="inlineStr">
        <is>
          <t>HỆ THỐNG TẠO ÁP Quạt hướng trục LPF-A1.2-04F-01 1900 l/s @ 400 Pa, chống cháy 300°C trong 2h</t>
        </is>
      </c>
      <c r="D238" t="inlineStr">
        <is>
          <t>THUONG_MAI</t>
        </is>
      </c>
      <c r="E238" s="390" t="n">
        <v>0</v>
      </c>
    </row>
    <row r="239">
      <c r="A239" t="n">
        <v>238</v>
      </c>
      <c r="B239" t="inlineStr">
        <is>
          <t>MAT-THUONG_MAI-HE_THONG_TAO_AP_QUAT_HUONG_TRU_E639</t>
        </is>
      </c>
      <c r="C239" t="inlineStr">
        <is>
          <t>HỆ THỐNG TẠO ÁP Quạt hướng trục SPF-A1.3-09F-01 4800 l/s @ 400 Pa, chống cháy 300°C trong 2h</t>
        </is>
      </c>
      <c r="D239" t="inlineStr">
        <is>
          <t>THUONG_MAI</t>
        </is>
      </c>
      <c r="E239" s="390" t="n">
        <v>0</v>
      </c>
    </row>
    <row r="240">
      <c r="A240" t="n">
        <v>239</v>
      </c>
      <c r="B240" t="inlineStr">
        <is>
          <t>MAT-THUONG_MAI-HE_THONG_TAO_AP_QUAT_HUONG_TRU_F0F2</t>
        </is>
      </c>
      <c r="C240" t="inlineStr">
        <is>
          <t>HỆ THỐNG TẠO ÁP Quạt hướng trục SPF-A1.3-10F-01 4800 l/s @ 400 Pa, chống cháy 300°C trong 2h</t>
        </is>
      </c>
      <c r="D240" t="inlineStr">
        <is>
          <t>THUONG_MAI</t>
        </is>
      </c>
      <c r="E240" s="390" t="n">
        <v>0</v>
      </c>
    </row>
    <row r="241">
      <c r="A241" t="n">
        <v>240</v>
      </c>
      <c r="B241" t="inlineStr">
        <is>
          <t>MAT-THUONG_MAI-HE_THONG_TAO_AP_QUAT_HUONG_TRU_42C5</t>
        </is>
      </c>
      <c r="C241" t="inlineStr">
        <is>
          <t>HỆ THỐNG TẠO ÁP Quạt hướng trục LPF-A1.3-10F-01~02 3000 l/s @ 350 Pa, chống cháy 300°C trong 2h</t>
        </is>
      </c>
      <c r="D241" t="inlineStr">
        <is>
          <t>THUONG_MAI</t>
        </is>
      </c>
      <c r="E241" s="390" t="n">
        <v>0</v>
      </c>
    </row>
    <row r="242">
      <c r="A242" t="n">
        <v>241</v>
      </c>
      <c r="B242" t="inlineStr">
        <is>
          <t>MAT-THUONG_MAI-HE_THONG_TAO_AP_QUAT_HUONG_TRU_498D</t>
        </is>
      </c>
      <c r="C242" t="inlineStr">
        <is>
          <t>HỆ THỐNG TẠO ÁP Quạt hướng trục BPF-A1.3-10F-01 5800 l/s @ 550 Pa, chống cháy 300°C trong 2h</t>
        </is>
      </c>
      <c r="D242" t="inlineStr">
        <is>
          <t>THUONG_MAI</t>
        </is>
      </c>
      <c r="E242" s="390" t="n">
        <v>0</v>
      </c>
    </row>
    <row r="243">
      <c r="A243" t="n">
        <v>242</v>
      </c>
      <c r="B243" t="inlineStr">
        <is>
          <t>MAT-THUONG_MAI-HE_THONG_TAO_AP_QUAT_HUONG_TRU_891C</t>
        </is>
      </c>
      <c r="C243" t="inlineStr">
        <is>
          <t>HỆ THỐNG TẠO ÁP Quạt hướng trục LPF-A1.2-11F-01~03 3500 l/s @ 400 Pa, chống cháy 300°C trong 2h</t>
        </is>
      </c>
      <c r="D243" t="inlineStr">
        <is>
          <t>THUONG_MAI</t>
        </is>
      </c>
      <c r="E243" s="390" t="n">
        <v>0</v>
      </c>
    </row>
    <row r="244">
      <c r="A244" t="n">
        <v>243</v>
      </c>
      <c r="B244" t="inlineStr">
        <is>
          <t>MAT-THUONG_MAI-HE_THONG_TAO_AP_QUAT_HUONG_TRU_1157</t>
        </is>
      </c>
      <c r="C244" t="inlineStr">
        <is>
          <t>HỆ THỐNG TẠO ÁP Quạt hướng trục SPF-A1.2-12F-01~02 3500 l/s @ 400 Pa, chống cháy 300°C trong 2h</t>
        </is>
      </c>
      <c r="D244" t="inlineStr">
        <is>
          <t>THUONG_MAI</t>
        </is>
      </c>
      <c r="E244" s="390" t="n">
        <v>0</v>
      </c>
    </row>
    <row r="245">
      <c r="A245" t="n">
        <v>244</v>
      </c>
      <c r="B245" t="inlineStr">
        <is>
          <t>MAT-THUONG_MAI-HE_THONG_TAO_AP_QUAT_HUONG_TRU_050A</t>
        </is>
      </c>
      <c r="C245" t="inlineStr">
        <is>
          <t>HỆ THỐNG TẠO ÁP Quạt hướng trục BPF-A1.2-12F-01 6100 l/s @ 600 Pa, chống cháy 300°C trong 2h</t>
        </is>
      </c>
      <c r="D245" t="inlineStr">
        <is>
          <t>THUONG_MAI</t>
        </is>
      </c>
      <c r="E245" s="390" t="n">
        <v>0</v>
      </c>
    </row>
    <row r="246">
      <c r="A246" t="n">
        <v>245</v>
      </c>
      <c r="B246" t="inlineStr">
        <is>
          <t>MAT-THUONG_MAI-HE_THONG_TAO_AP_QUAT_HUONG_TRU_50FB</t>
        </is>
      </c>
      <c r="C246" t="inlineStr">
        <is>
          <t>HỆ THỐNG TẠO ÁP Quạt hướng trục LPF-A1.1-RF-01~03 4000 l/s @ 400 Pa, chống cháy 300°C trong 2h</t>
        </is>
      </c>
      <c r="D246" t="inlineStr">
        <is>
          <t>THUONG_MAI</t>
        </is>
      </c>
      <c r="E246" s="390" t="n">
        <v>0</v>
      </c>
    </row>
    <row r="247">
      <c r="A247" t="n">
        <v>246</v>
      </c>
      <c r="B247" t="inlineStr">
        <is>
          <t>MAT-THUONG_MAI-HE_THONG_TAO_AP_QUAT_HUONG_TRU_97E6</t>
        </is>
      </c>
      <c r="C247" t="inlineStr">
        <is>
          <t>HỆ THỐNG TẠO ÁP Quạt hướng trục SPF-A1.1-RF-01~02 5300 l/s @ 450 Pa, chống cháy 300°C trong 2h</t>
        </is>
      </c>
      <c r="D247" t="inlineStr">
        <is>
          <t>THUONG_MAI</t>
        </is>
      </c>
      <c r="E247" s="390" t="n">
        <v>0</v>
      </c>
    </row>
    <row r="248">
      <c r="A248" t="n">
        <v>247</v>
      </c>
      <c r="B248" t="inlineStr">
        <is>
          <t>MAT-THUONG_MAI-HE_THONG_TAO_AP_QUAT_HUONG_TRU_E25B</t>
        </is>
      </c>
      <c r="C248" t="inlineStr">
        <is>
          <t>HỆ THỐNG TẠO ÁP Quạt hướng trục BPF-A1.1-RF-01 6100 l/s @ 600 Pa, chống cháy 300°C trong 2h</t>
        </is>
      </c>
      <c r="D248" t="inlineStr">
        <is>
          <t>THUONG_MAI</t>
        </is>
      </c>
      <c r="E248" s="390" t="n">
        <v>0</v>
      </c>
    </row>
    <row r="249">
      <c r="A249" t="n">
        <v>248</v>
      </c>
      <c r="B249" t="inlineStr">
        <is>
          <t>MAT-THUONG_MAI-HE_THONG_TAO_AP_VAT_TU_PHU_PHU_KIEN</t>
        </is>
      </c>
      <c r="C249" t="inlineStr">
        <is>
          <t>HỆ THỐNG TẠO ÁP Vật tư phụ, phụ kiện</t>
        </is>
      </c>
      <c r="D249" t="inlineStr">
        <is>
          <t>THUONG_MAI</t>
        </is>
      </c>
      <c r="E249" s="390" t="n">
        <v>0</v>
      </c>
    </row>
    <row r="250">
      <c r="A250" t="n">
        <v>249</v>
      </c>
      <c r="B250" t="inlineStr">
        <is>
          <t>MAT-BOX-HE_THONG_ONG_THONG_G_A19B</t>
        </is>
      </c>
      <c r="C250" t="inlineStr">
        <is>
          <t>Box phụ kiện 0.75mm</t>
        </is>
      </c>
      <c r="D250" t="inlineStr">
        <is>
          <t>THUONG_MAI</t>
        </is>
      </c>
      <c r="E250" s="390" t="n">
        <v>0</v>
      </c>
    </row>
    <row r="251">
      <c r="A251" t="n">
        <v>250</v>
      </c>
      <c r="B251" t="inlineStr">
        <is>
          <t>MAT-BOX-HE_THONG_ONG_THONG_G_5D3C</t>
        </is>
      </c>
      <c r="C251" t="inlineStr">
        <is>
          <t>Box phụ kiện 0.95mm</t>
        </is>
      </c>
      <c r="D251" t="inlineStr">
        <is>
          <t>THUONG_MAI</t>
        </is>
      </c>
      <c r="E251" s="390" t="n">
        <v>0</v>
      </c>
    </row>
    <row r="252">
      <c r="A252" t="n">
        <v>251</v>
      </c>
      <c r="B252" t="inlineStr">
        <is>
          <t>MAT-BOX-HE_THONG_ONG_THONG_G_8FA7</t>
        </is>
      </c>
      <c r="C252" t="inlineStr">
        <is>
          <t>Box phụ kiện 1.15mm</t>
        </is>
      </c>
      <c r="D252" t="inlineStr">
        <is>
          <t>THUONG_MAI</t>
        </is>
      </c>
      <c r="E252" s="390" t="n">
        <v>0</v>
      </c>
    </row>
    <row r="253">
      <c r="A253" t="n">
        <v>252</v>
      </c>
      <c r="B253" t="inlineStr">
        <is>
          <t>MAT-BOX-HE_THONG_ONG_THONG_G_7F99</t>
        </is>
      </c>
      <c r="C253" t="inlineStr">
        <is>
          <t>Box phụ kiện 1.15mm</t>
        </is>
      </c>
      <c r="D253" t="inlineStr">
        <is>
          <t>THUONG_MAI</t>
        </is>
      </c>
      <c r="E253" s="390" t="n">
        <v>0</v>
      </c>
    </row>
    <row r="254">
      <c r="A254" t="n">
        <v>253</v>
      </c>
      <c r="B254" t="inlineStr">
        <is>
          <t>MAT-THUONG_MAI-HE_THONG_ONG_THONG_GIO_TAO_AP_6A5C</t>
        </is>
      </c>
      <c r="C254" t="inlineStr">
        <is>
          <t>Hệ thống ống thông gió tạo áp, box miệng gió… Lưới bảo vệ</t>
        </is>
      </c>
      <c r="D254" t="inlineStr">
        <is>
          <t>THUONG_MAI</t>
        </is>
      </c>
      <c r="E254" s="390" t="n">
        <v>0</v>
      </c>
    </row>
    <row r="255">
      <c r="A255" t="n">
        <v>254</v>
      </c>
      <c r="B255" t="inlineStr">
        <is>
          <t>MAT-BOX-HE_THONG_ONG_THONG_G_6A5C</t>
        </is>
      </c>
      <c r="C255" t="inlineStr">
        <is>
          <t>Box phụ kiện -</t>
        </is>
      </c>
      <c r="D255" t="inlineStr">
        <is>
          <t>THUONG_MAI</t>
        </is>
      </c>
      <c r="E255" s="390" t="n">
        <v>0</v>
      </c>
    </row>
    <row r="256">
      <c r="A256" t="n">
        <v>255</v>
      </c>
      <c r="B256" t="inlineStr">
        <is>
          <t>MAT-LUOI-HE_THONG_ONG_THONG_G_6A5C</t>
        </is>
      </c>
      <c r="C256" t="inlineStr">
        <is>
          <t>Lưới bảo vệ -</t>
        </is>
      </c>
      <c r="D256" t="inlineStr">
        <is>
          <t>THUONG_MAI</t>
        </is>
      </c>
      <c r="E256" s="390" t="n">
        <v>0</v>
      </c>
    </row>
    <row r="257">
      <c r="A257" t="n">
        <v>256</v>
      </c>
      <c r="B257" t="inlineStr">
        <is>
          <t>MAT-THUONG_MAI-HE_THONG_ONG_THONG_GIO_TAO_AP_106E</t>
        </is>
      </c>
      <c r="C257" t="inlineStr">
        <is>
          <t>Hệ thống ống thông gió tạo áp, box miệng gió… Lớp chống cháy EI60</t>
        </is>
      </c>
      <c r="D257" t="inlineStr">
        <is>
          <t>THUONG_MAI</t>
        </is>
      </c>
      <c r="E257" s="390" t="n">
        <v>0</v>
      </c>
    </row>
    <row r="258">
      <c r="A258" t="n">
        <v>257</v>
      </c>
      <c r="B258" t="inlineStr">
        <is>
          <t>MAT-BOX-HE_THONG_ONG_THONG_G_106E</t>
        </is>
      </c>
      <c r="C258" t="inlineStr">
        <is>
          <t>Box phụ kiện -</t>
        </is>
      </c>
      <c r="D258" t="inlineStr">
        <is>
          <t>THUONG_MAI</t>
        </is>
      </c>
      <c r="E258" s="390" t="n">
        <v>0</v>
      </c>
    </row>
    <row r="259">
      <c r="A259" t="n">
        <v>258</v>
      </c>
      <c r="B259" t="inlineStr">
        <is>
          <t>MAT-THUONG_MAI-HE_THONG_ONG_THONG_GIO_TAO_AP_6252</t>
        </is>
      </c>
      <c r="C259" t="inlineStr">
        <is>
          <t>Hệ thống ống thông gió tạo áp, box miệng gió… Lớp chống cháy EI120</t>
        </is>
      </c>
      <c r="D259" t="inlineStr">
        <is>
          <t>THUONG_MAI</t>
        </is>
      </c>
      <c r="E259" s="390" t="n">
        <v>0</v>
      </c>
    </row>
    <row r="260">
      <c r="A260" t="n">
        <v>259</v>
      </c>
      <c r="B260" t="inlineStr">
        <is>
          <t>MAT-BOX-HE_THONG_ONG_THONG_G_6252</t>
        </is>
      </c>
      <c r="C260" t="inlineStr">
        <is>
          <t>Box phụ kiện -</t>
        </is>
      </c>
      <c r="D260" t="inlineStr">
        <is>
          <t>THUONG_MAI</t>
        </is>
      </c>
      <c r="E260" s="390" t="n">
        <v>0</v>
      </c>
    </row>
    <row r="261">
      <c r="A261" t="n">
        <v>260</v>
      </c>
      <c r="B261" t="inlineStr">
        <is>
          <t>MAT-THUONG_MAI-HE_THONG_ONG_THONG_GIO_TAO_AP_708B</t>
        </is>
      </c>
      <c r="C261" t="inlineStr">
        <is>
          <t>Hệ thống ống thông gió tạo áp, box miệng gió… Vật tư phụ, phụ kiện</t>
        </is>
      </c>
      <c r="D261" t="inlineStr">
        <is>
          <t>THUONG_MAI</t>
        </is>
      </c>
      <c r="E261" s="390" t="n">
        <v>0</v>
      </c>
    </row>
    <row r="262">
      <c r="A262" t="n">
        <v>261</v>
      </c>
      <c r="B262" t="inlineStr">
        <is>
          <t>MAT-BOX-HE_THONG_ONG_THONG_G_708B</t>
        </is>
      </c>
      <c r="C262" t="inlineStr">
        <is>
          <t>Box phụ kiện -</t>
        </is>
      </c>
      <c r="D262" t="inlineStr">
        <is>
          <t>THUONG_MAI</t>
        </is>
      </c>
      <c r="E262" s="390" t="n">
        <v>0</v>
      </c>
    </row>
    <row r="263">
      <c r="A263" t="n">
        <v>262</v>
      </c>
      <c r="B263" t="inlineStr">
        <is>
          <t>MAT-THUONG_MAI-HE_THONG_CAP_GIO_TUOI_GIO_BU_P_BE63</t>
        </is>
      </c>
      <c r="C263" t="inlineStr">
        <is>
          <t>HỆ THỐNG CẤP GIÓ TƯƠI, GIÓ BÙ PAU-A1.1-RF-01</t>
        </is>
      </c>
      <c r="D263" t="inlineStr">
        <is>
          <t>THUONG_MAI</t>
        </is>
      </c>
      <c r="E263" s="390" t="n">
        <v>0</v>
      </c>
    </row>
    <row r="264">
      <c r="A264" t="n">
        <v>263</v>
      </c>
      <c r="B264" t="inlineStr">
        <is>
          <t>MAT-THUONG_MAI-HE_THONG_CAP_GIO_TUOI_GIO_BU_P_05E9</t>
        </is>
      </c>
      <c r="C264" t="inlineStr">
        <is>
          <t>HỆ THỐNG CẤP GIÓ TƯƠI, GIÓ BÙ PAU-A1.2-11-01</t>
        </is>
      </c>
      <c r="D264" t="inlineStr">
        <is>
          <t>THUONG_MAI</t>
        </is>
      </c>
      <c r="E264" s="390" t="n">
        <v>0</v>
      </c>
    </row>
    <row r="265">
      <c r="A265" t="n">
        <v>264</v>
      </c>
      <c r="B265" t="inlineStr">
        <is>
          <t>MAT-THUONG_MAI-HE_THONG_CAP_GIO_TUOI_GIO_BU_P_5959</t>
        </is>
      </c>
      <c r="C265" t="inlineStr">
        <is>
          <t>HỆ THỐNG CẤP GIÓ TƯƠI, GIÓ BÙ PAU-A1.3-09-01</t>
        </is>
      </c>
      <c r="D265" t="inlineStr">
        <is>
          <t>THUONG_MAI</t>
        </is>
      </c>
      <c r="E265" s="390" t="n">
        <v>0</v>
      </c>
    </row>
    <row r="266">
      <c r="A266" t="n">
        <v>265</v>
      </c>
      <c r="B266" t="inlineStr">
        <is>
          <t>MAT-THUONG_MAI-HE_THONG_CAP_GIO_TUOI_GIO_BU_O_130A</t>
        </is>
      </c>
      <c r="C266" t="inlineStr">
        <is>
          <t>HỆ THỐNG CẤP GIÓ TƯƠI, GIÓ BÙ ODU-A1.1-RF-01</t>
        </is>
      </c>
      <c r="D266" t="inlineStr">
        <is>
          <t>THUONG_MAI</t>
        </is>
      </c>
      <c r="E266" s="390" t="n">
        <v>0</v>
      </c>
    </row>
    <row r="267">
      <c r="A267" t="n">
        <v>266</v>
      </c>
      <c r="B267" t="inlineStr">
        <is>
          <t>MAT-THUONG_MAI-HE_THONG_CAP_GIO_TUOI_GIO_BU_O_3898</t>
        </is>
      </c>
      <c r="C267" t="inlineStr">
        <is>
          <t>HỆ THỐNG CẤP GIÓ TƯƠI, GIÓ BÙ ODU-A1.2-RF-01</t>
        </is>
      </c>
      <c r="D267" t="inlineStr">
        <is>
          <t>THUONG_MAI</t>
        </is>
      </c>
      <c r="E267" s="390" t="n">
        <v>0</v>
      </c>
    </row>
    <row r="268">
      <c r="A268" t="n">
        <v>267</v>
      </c>
      <c r="B268" t="inlineStr">
        <is>
          <t>MAT-THUONG_MAI-HE_THONG_CAP_GIO_TUOI_GIO_BU_O_2798</t>
        </is>
      </c>
      <c r="C268" t="inlineStr">
        <is>
          <t>HỆ THỐNG CẤP GIÓ TƯƠI, GIÓ BÙ ODU-A1.3-RF-01</t>
        </is>
      </c>
      <c r="D268" t="inlineStr">
        <is>
          <t>THUONG_MAI</t>
        </is>
      </c>
      <c r="E268" s="390" t="n">
        <v>0</v>
      </c>
    </row>
    <row r="269">
      <c r="A269" t="n">
        <v>268</v>
      </c>
      <c r="B269" t="inlineStr">
        <is>
          <t>MAT-THUONG_MAI-HE_THONG_CAP_GIO_TUOI_GIO_BU_Q_6C8C</t>
        </is>
      </c>
      <c r="C269" t="inlineStr">
        <is>
          <t>HỆ THỐNG CẤP GIÓ TƯƠI, GIÓ BÙ Quạt hướng trục CSF-B2-Z1-01~02 5350/8020 l/s @ 550/1238 Pa, chống cháy 300°C trong 2h</t>
        </is>
      </c>
      <c r="D269" t="inlineStr">
        <is>
          <t>THUONG_MAI</t>
        </is>
      </c>
      <c r="E269" s="390" t="n">
        <v>0</v>
      </c>
    </row>
    <row r="270">
      <c r="A270" t="n">
        <v>269</v>
      </c>
      <c r="B270" t="inlineStr">
        <is>
          <t>MAT-THUONG_MAI-HE_THONG_CAP_GIO_TUOI_GIO_BU_Q_7996</t>
        </is>
      </c>
      <c r="C270" t="inlineStr">
        <is>
          <t>HỆ THỐNG CẤP GIÓ TƯƠI, GIÓ BÙ Quạt hướng trục CSF-B2-Z2-01~02 5050/7575 l/s @ 550/1238 Pa, chống cháy 300°C trong 2h</t>
        </is>
      </c>
      <c r="D270" t="inlineStr">
        <is>
          <t>THUONG_MAI</t>
        </is>
      </c>
      <c r="E270" s="390" t="n">
        <v>0</v>
      </c>
    </row>
    <row r="271">
      <c r="A271" t="n">
        <v>270</v>
      </c>
      <c r="B271" t="inlineStr">
        <is>
          <t>MAT-THUONG_MAI-HE_THONG_CAP_GIO_TUOI_GIO_BU_Q_B272</t>
        </is>
      </c>
      <c r="C271" t="inlineStr">
        <is>
          <t>HỆ THỐNG CẤP GIÓ TƯƠI, GIÓ BÙ Quạt hướng trục CSF-B1-Z1-01~02 4750/7125 l/s @ 550/1238 Pa, chống cháy 300°C trong 2h</t>
        </is>
      </c>
      <c r="D271" t="inlineStr">
        <is>
          <t>THUONG_MAI</t>
        </is>
      </c>
      <c r="E271" s="390" t="n">
        <v>0</v>
      </c>
    </row>
    <row r="272">
      <c r="A272" t="n">
        <v>271</v>
      </c>
      <c r="B272" t="inlineStr">
        <is>
          <t>MAT-THUONG_MAI-HE_THONG_CAP_GIO_TUOI_GIO_BU_Q_B62A</t>
        </is>
      </c>
      <c r="C272" t="inlineStr">
        <is>
          <t>HỆ THỐNG CẤP GIÓ TƯƠI, GIÓ BÙ Quạt hướng trục CSF-B1-Z2-01~02 4365/6550 l/s @ 550/1238 Pa, chống cháy 300°C trong 2h</t>
        </is>
      </c>
      <c r="D272" t="inlineStr">
        <is>
          <t>THUONG_MAI</t>
        </is>
      </c>
      <c r="E272" s="390" t="n">
        <v>0</v>
      </c>
    </row>
    <row r="273">
      <c r="A273" t="n">
        <v>272</v>
      </c>
      <c r="B273" t="inlineStr">
        <is>
          <t>MAT-THUONG_MAI-HE_THONG_CAP_GIO_TUOI_GIO_BU_Q_03BF</t>
        </is>
      </c>
      <c r="C273" t="inlineStr">
        <is>
          <t>HỆ THỐNG CẤP GIÓ TƯƠI, GIÓ BÙ Quạt hướng trục MAF-B1-Z2-01 2800 l/s @ 350 Pa, chống cháy 300°C trong 2h</t>
        </is>
      </c>
      <c r="D273" t="inlineStr">
        <is>
          <t>THUONG_MAI</t>
        </is>
      </c>
      <c r="E273" s="390" t="n">
        <v>0</v>
      </c>
    </row>
    <row r="274">
      <c r="A274" t="n">
        <v>273</v>
      </c>
      <c r="B274" t="inlineStr">
        <is>
          <t>MAT-THUONG_MAI-HE_THONG_CAP_GIO_TUOI_GIO_BU_Q_C4A3</t>
        </is>
      </c>
      <c r="C274" t="inlineStr">
        <is>
          <t>HỆ THỐNG CẤP GIÓ TƯƠI, GIÓ BÙ Quạt hướng trục MAF-A1.1-03F-01 3100 l/s @ 400 Pa, chống cháy 300°C trong 2h</t>
        </is>
      </c>
      <c r="D274" t="inlineStr">
        <is>
          <t>THUONG_MAI</t>
        </is>
      </c>
      <c r="E274" s="390" t="n">
        <v>0</v>
      </c>
    </row>
    <row r="275">
      <c r="A275" t="n">
        <v>274</v>
      </c>
      <c r="B275" t="inlineStr">
        <is>
          <t>MAT-THUONG_MAI-HE_THONG_CAP_GIO_TUOI_GIO_BU_Q_9F75</t>
        </is>
      </c>
      <c r="C275" t="inlineStr">
        <is>
          <t>HỆ THỐNG CẤP GIÓ TƯƠI, GIÓ BÙ Quạt hướng trục MAF-A1.3-03F-01~05 2700 l/s @ 350 Pa, chống cháy 300°C trong 2h</t>
        </is>
      </c>
      <c r="D275" t="inlineStr">
        <is>
          <t>THUONG_MAI</t>
        </is>
      </c>
      <c r="E275" s="390" t="n">
        <v>0</v>
      </c>
    </row>
    <row r="276">
      <c r="A276" t="n">
        <v>275</v>
      </c>
      <c r="B276" t="inlineStr">
        <is>
          <t>MAT-THUONG_MAI-HE_THONG_CAP_GIO_TUOI_GIO_BU_Q_4156</t>
        </is>
      </c>
      <c r="C276" t="inlineStr">
        <is>
          <t>HỆ THỐNG CẤP GIÓ TƯƠI, GIÓ BÙ Quạt hướng trục MAF-A1.3-09F-01 3700 l/s @ 500 Pa, chống cháy 300°C trong 2h</t>
        </is>
      </c>
      <c r="D276" t="inlineStr">
        <is>
          <t>THUONG_MAI</t>
        </is>
      </c>
      <c r="E276" s="390" t="n">
        <v>0</v>
      </c>
    </row>
    <row r="277">
      <c r="A277" t="n">
        <v>276</v>
      </c>
      <c r="B277" t="inlineStr">
        <is>
          <t>MAT-THUONG_MAI-HE_THONG_CAP_GIO_TUOI_GIO_BU_Q_4C20</t>
        </is>
      </c>
      <c r="C277" t="inlineStr">
        <is>
          <t>HỆ THỐNG CẤP GIÓ TƯƠI, GIÓ BÙ Quạt hướng trục MAF-A1.2-12F-01 3900 l/s @ 400 Pa, chống cháy 300°C trong 2h</t>
        </is>
      </c>
      <c r="D277" t="inlineStr">
        <is>
          <t>THUONG_MAI</t>
        </is>
      </c>
      <c r="E277" s="390" t="n">
        <v>0</v>
      </c>
    </row>
    <row r="278">
      <c r="A278" t="n">
        <v>277</v>
      </c>
      <c r="B278" t="inlineStr">
        <is>
          <t>MAT-THUONG_MAI-HE_THONG_CAP_GIO_TUOI_GIO_BU_Q_3FE6</t>
        </is>
      </c>
      <c r="C278" t="inlineStr">
        <is>
          <t>HỆ THỐNG CẤP GIÓ TƯƠI, GIÓ BÙ Quạt hướng trục MAF-A1.1-RF-01 4100 l/s @ 500 Pa, chống cháy 300°C trong 2h</t>
        </is>
      </c>
      <c r="D278" t="inlineStr">
        <is>
          <t>THUONG_MAI</t>
        </is>
      </c>
      <c r="E278" s="390" t="n">
        <v>0</v>
      </c>
    </row>
    <row r="279">
      <c r="A279" t="n">
        <v>278</v>
      </c>
      <c r="B279" t="inlineStr">
        <is>
          <t>MAT-THUONG_MAI-HE_THONG_CAP_GIO_TUOI_GIO_BU_Q_E71D</t>
        </is>
      </c>
      <c r="C279" t="inlineStr">
        <is>
          <t>HỆ THỐNG CẤP GIÓ TƯƠI, GIÓ BÙ Quạt hướng trục OAF-B2-Z2-01 1050 L/s 200Pa</t>
        </is>
      </c>
      <c r="D279" t="inlineStr">
        <is>
          <t>THUONG_MAI</t>
        </is>
      </c>
      <c r="E279" s="390" t="n">
        <v>0</v>
      </c>
    </row>
    <row r="280">
      <c r="A280" t="n">
        <v>279</v>
      </c>
      <c r="B280" t="inlineStr">
        <is>
          <t>MAT-THUONG_MAI-HE_THONG_CAP_GIO_TUOI_GIO_BU_Q_3DC8</t>
        </is>
      </c>
      <c r="C280" t="inlineStr">
        <is>
          <t>HỆ THỐNG CẤP GIÓ TƯƠI, GIÓ BÙ Quạt hướng trục OAF-A1.3-10F-01~02 3536 l/s @ 450 Pa</t>
        </is>
      </c>
      <c r="D280" t="inlineStr">
        <is>
          <t>THUONG_MAI</t>
        </is>
      </c>
      <c r="E280" s="390" t="n">
        <v>0</v>
      </c>
    </row>
    <row r="281">
      <c r="A281" t="n">
        <v>280</v>
      </c>
      <c r="B281" t="inlineStr">
        <is>
          <t>MAT-THUONG_MAI-HE_THONG_CAP_GIO_TUOI_GIO_BU_Q_9473</t>
        </is>
      </c>
      <c r="C281" t="inlineStr">
        <is>
          <t>HỆ THỐNG CẤP GIÓ TƯƠI, GIÓ BÙ Quạt hướng trục OAF-A1.2-11F-01~02 3444 l/s @ 450 Pa</t>
        </is>
      </c>
      <c r="D281" t="inlineStr">
        <is>
          <t>THUONG_MAI</t>
        </is>
      </c>
      <c r="E281" s="390" t="n">
        <v>0</v>
      </c>
    </row>
    <row r="282">
      <c r="A282" t="n">
        <v>281</v>
      </c>
      <c r="B282" t="inlineStr">
        <is>
          <t>MAT-THUONG_MAI-HE_THONG_CAP_GIO_TUOI_GIO_BU_Q_946D</t>
        </is>
      </c>
      <c r="C282" t="inlineStr">
        <is>
          <t>HỆ THỐNG CẤP GIÓ TƯƠI, GIÓ BÙ Quạt hướng trục OAF-A1.1-RF-01~02 3450 l/s @ 450 Pa</t>
        </is>
      </c>
      <c r="D282" t="inlineStr">
        <is>
          <t>THUONG_MAI</t>
        </is>
      </c>
      <c r="E282" s="390" t="n">
        <v>0</v>
      </c>
    </row>
    <row r="283">
      <c r="A283" t="n">
        <v>282</v>
      </c>
      <c r="B283" t="inlineStr">
        <is>
          <t>MAT-THUONG_MAI-HE_THONG_CAP_GIO_TUOI_GIO_BU_Q_85CA</t>
        </is>
      </c>
      <c r="C283" t="inlineStr">
        <is>
          <t>HỆ THỐNG CẤP GIÓ TƯƠI, GIÓ BÙ Quạt hướng trục OAF-A1.1-1F.01-01 187 l/s @175Pa</t>
        </is>
      </c>
      <c r="D283" t="inlineStr">
        <is>
          <t>THUONG_MAI</t>
        </is>
      </c>
      <c r="E283" s="390" t="n">
        <v>0</v>
      </c>
    </row>
    <row r="284">
      <c r="A284" t="n">
        <v>283</v>
      </c>
      <c r="B284" t="inlineStr">
        <is>
          <t>MAT-THUONG_MAI-HE_THONG_CAP_GIO_TUOI_GIO_BU_Q_4FCD</t>
        </is>
      </c>
      <c r="C284" t="inlineStr">
        <is>
          <t>HỆ THỐNG CẤP GIÓ TƯƠI, GIÓ BÙ Quạt hướng trục OAF-A1.1-1F.02-01 140 l/s @150Pa</t>
        </is>
      </c>
      <c r="D284" t="inlineStr">
        <is>
          <t>THUONG_MAI</t>
        </is>
      </c>
      <c r="E284" s="390" t="n">
        <v>0</v>
      </c>
    </row>
    <row r="285">
      <c r="A285" t="n">
        <v>284</v>
      </c>
      <c r="B285" t="inlineStr">
        <is>
          <t>MAT-THUONG_MAI-HE_THONG_CAP_GIO_TUOI_GIO_BU_Q_A8B7</t>
        </is>
      </c>
      <c r="C285" t="inlineStr">
        <is>
          <t>HỆ THỐNG CẤP GIÓ TƯƠI, GIÓ BÙ Quạt hướng trục OAF-A1.1-1F.03-01 271 l/s @175Pa</t>
        </is>
      </c>
      <c r="D285" t="inlineStr">
        <is>
          <t>THUONG_MAI</t>
        </is>
      </c>
      <c r="E285" s="390" t="n">
        <v>0</v>
      </c>
    </row>
    <row r="286">
      <c r="A286" t="n">
        <v>285</v>
      </c>
      <c r="B286" t="inlineStr">
        <is>
          <t>MAT-THUONG_MAI-HE_THONG_CAP_GIO_TUOI_GIO_BU_Q_C485</t>
        </is>
      </c>
      <c r="C286" t="inlineStr">
        <is>
          <t>HỆ THỐNG CẤP GIÓ TƯƠI, GIÓ BÙ Quạt hướng trục OAF-A1.1-1F.CR-01 188 l/s @150Pa</t>
        </is>
      </c>
      <c r="D286" t="inlineStr">
        <is>
          <t>THUONG_MAI</t>
        </is>
      </c>
      <c r="E286" s="390" t="n">
        <v>0</v>
      </c>
    </row>
    <row r="287">
      <c r="A287" t="n">
        <v>286</v>
      </c>
      <c r="B287" t="inlineStr">
        <is>
          <t>MAT-THUONG_MAI-HE_THONG_CAP_GIO_TUOI_GIO_BU_Q_9C3B</t>
        </is>
      </c>
      <c r="C287" t="inlineStr">
        <is>
          <t>HỆ THỐNG CẤP GIÓ TƯƠI, GIÓ BÙ Quạt hướng trục OAF-A1.2-1F-01-01 123 l/s @150Pa</t>
        </is>
      </c>
      <c r="D287" t="inlineStr">
        <is>
          <t>THUONG_MAI</t>
        </is>
      </c>
      <c r="E287" s="390" t="n">
        <v>0</v>
      </c>
    </row>
    <row r="288">
      <c r="A288" t="n">
        <v>287</v>
      </c>
      <c r="B288" t="inlineStr">
        <is>
          <t>MAT-THUONG_MAI-HE_THONG_CAP_GIO_TUOI_GIO_BU_Q_623C</t>
        </is>
      </c>
      <c r="C288" t="inlineStr">
        <is>
          <t>HỆ THỐNG CẤP GIÓ TƯƠI, GIÓ BÙ Quạt hướng trục OAF-A1.2-1F-02-01 193 l/s @175Pa</t>
        </is>
      </c>
      <c r="D288" t="inlineStr">
        <is>
          <t>THUONG_MAI</t>
        </is>
      </c>
      <c r="E288" s="390" t="n">
        <v>0</v>
      </c>
    </row>
    <row r="289">
      <c r="A289" t="n">
        <v>288</v>
      </c>
      <c r="B289" t="inlineStr">
        <is>
          <t>MAT-THUONG_MAI-HE_THONG_CAP_GIO_TUOI_GIO_BU_Q_05AD</t>
        </is>
      </c>
      <c r="C289" t="inlineStr">
        <is>
          <t>HỆ THỐNG CẤP GIÓ TƯƠI, GIÓ BÙ Quạt hướng trục OAF-A1.2-1F-03-01 162 l/s @150Pa</t>
        </is>
      </c>
      <c r="D289" t="inlineStr">
        <is>
          <t>THUONG_MAI</t>
        </is>
      </c>
      <c r="E289" s="390" t="n">
        <v>0</v>
      </c>
    </row>
    <row r="290">
      <c r="A290" t="n">
        <v>289</v>
      </c>
      <c r="B290" t="inlineStr">
        <is>
          <t>MAT-THUONG_MAI-HE_THONG_CAP_GIO_TUOI_GIO_BU_Q_44D2</t>
        </is>
      </c>
      <c r="C290" t="inlineStr">
        <is>
          <t>HỆ THỐNG CẤP GIÓ TƯƠI, GIÓ BÙ Quạt hướng trục OAF-A1.2-1F-05A-01 130 l/s @150Pa</t>
        </is>
      </c>
      <c r="D290" t="inlineStr">
        <is>
          <t>THUONG_MAI</t>
        </is>
      </c>
      <c r="E290" s="390" t="n">
        <v>0</v>
      </c>
    </row>
    <row r="291">
      <c r="A291" t="n">
        <v>290</v>
      </c>
      <c r="B291" t="inlineStr">
        <is>
          <t>MAT-THUONG_MAI-HE_THONG_CAP_GIO_TUOI_GIO_BU_Q_BBC1</t>
        </is>
      </c>
      <c r="C291" t="inlineStr">
        <is>
          <t>HỆ THỐNG CẤP GIÓ TƯƠI, GIÓ BÙ Quạt hướng trục OAF-A1.2-1F-06-01 138 l/s @150Pa</t>
        </is>
      </c>
      <c r="D291" t="inlineStr">
        <is>
          <t>THUONG_MAI</t>
        </is>
      </c>
      <c r="E291" s="390" t="n">
        <v>0</v>
      </c>
    </row>
    <row r="292">
      <c r="A292" t="n">
        <v>291</v>
      </c>
      <c r="B292" t="inlineStr">
        <is>
          <t>MAT-THUONG_MAI-HE_THONG_CAP_GIO_TUOI_GIO_BU_Q_11AD</t>
        </is>
      </c>
      <c r="C292" t="inlineStr">
        <is>
          <t>HỆ THỐNG CẤP GIÓ TƯƠI, GIÓ BÙ Quạt hướng trục OAF-A1.2-1F-08-01 97 l/s @150Pa</t>
        </is>
      </c>
      <c r="D292" t="inlineStr">
        <is>
          <t>THUONG_MAI</t>
        </is>
      </c>
      <c r="E292" s="390" t="n">
        <v>0</v>
      </c>
    </row>
    <row r="293">
      <c r="A293" t="n">
        <v>292</v>
      </c>
      <c r="B293" t="inlineStr">
        <is>
          <t>MAT-THUONG_MAI-HE_THONG_CAP_GIO_TUOI_GIO_BU_Q_0CDB</t>
        </is>
      </c>
      <c r="C293" t="inlineStr">
        <is>
          <t>HỆ THỐNG CẤP GIÓ TƯƠI, GIÓ BÙ Quạt hướng trục OAF-A1.2-1F-08A-01 89 l/s @150Pa</t>
        </is>
      </c>
      <c r="D293" t="inlineStr">
        <is>
          <t>THUONG_MAI</t>
        </is>
      </c>
      <c r="E293" s="390" t="n">
        <v>0</v>
      </c>
    </row>
    <row r="294">
      <c r="A294" t="n">
        <v>293</v>
      </c>
      <c r="B294" t="inlineStr">
        <is>
          <t>MAT-THUONG_MAI-HE_THONG_CAP_GIO_TUOI_GIO_BU_Q_68D7</t>
        </is>
      </c>
      <c r="C294" t="inlineStr">
        <is>
          <t>HỆ THỐNG CẤP GIÓ TƯƠI, GIÓ BÙ Quạt hướng trục OAF-A1.2-1F-CR-01 250 l/s @175Pa</t>
        </is>
      </c>
      <c r="D294" t="inlineStr">
        <is>
          <t>THUONG_MAI</t>
        </is>
      </c>
      <c r="E294" s="390" t="n">
        <v>0</v>
      </c>
    </row>
    <row r="295">
      <c r="A295" t="n">
        <v>294</v>
      </c>
      <c r="B295" t="inlineStr">
        <is>
          <t>MAT-THUONG_MAI-HE_THONG_CAP_GIO_TUOI_GIO_BU_Q_FA31</t>
        </is>
      </c>
      <c r="C295" t="inlineStr">
        <is>
          <t>HỆ THỐNG CẤP GIÓ TƯƠI, GIÓ BÙ Quạt hướng trục OAF-A1.3-1F-01-01 275 l/s @175Pa</t>
        </is>
      </c>
      <c r="D295" t="inlineStr">
        <is>
          <t>THUONG_MAI</t>
        </is>
      </c>
      <c r="E295" s="390" t="n">
        <v>0</v>
      </c>
    </row>
    <row r="296">
      <c r="A296" t="n">
        <v>295</v>
      </c>
      <c r="B296" t="inlineStr">
        <is>
          <t>MAT-THUONG_MAI-HE_THONG_CAP_GIO_TUOI_GIO_BU_Q_7797</t>
        </is>
      </c>
      <c r="C296" t="inlineStr">
        <is>
          <t>HỆ THỐNG CẤP GIÓ TƯƠI, GIÓ BÙ Quạt hướng trục OAF-A1.3-1F-02-01 262 l/s @250Pa</t>
        </is>
      </c>
      <c r="D296" t="inlineStr">
        <is>
          <t>THUONG_MAI</t>
        </is>
      </c>
      <c r="E296" s="390" t="n">
        <v>0</v>
      </c>
    </row>
    <row r="297">
      <c r="A297" t="n">
        <v>296</v>
      </c>
      <c r="B297" t="inlineStr">
        <is>
          <t>MAT-THUONG_MAI-HE_THONG_CAP_GIO_TUOI_GIO_BU_Q_E2B7</t>
        </is>
      </c>
      <c r="C297" t="inlineStr">
        <is>
          <t>HỆ THỐNG CẤP GIÓ TƯƠI, GIÓ BÙ Quạt hướng trục OAF-A1.3-1F-03-01 250 l/s @175Pa</t>
        </is>
      </c>
      <c r="D297" t="inlineStr">
        <is>
          <t>THUONG_MAI</t>
        </is>
      </c>
      <c r="E297" s="390" t="n">
        <v>0</v>
      </c>
    </row>
    <row r="298">
      <c r="A298" t="n">
        <v>297</v>
      </c>
      <c r="B298" t="inlineStr">
        <is>
          <t>MAT-THUONG_MAI-HE_THONG_CAP_GIO_TUOI_GIO_BU_Q_33EC</t>
        </is>
      </c>
      <c r="C298" t="inlineStr">
        <is>
          <t>HỆ THỐNG CẤP GIÓ TƯƠI, GIÓ BÙ Quạt hướng trục OAF-A1.3-1F-05-01 210 l/s @175Pa</t>
        </is>
      </c>
      <c r="D298" t="inlineStr">
        <is>
          <t>THUONG_MAI</t>
        </is>
      </c>
      <c r="E298" s="390" t="n">
        <v>0</v>
      </c>
    </row>
    <row r="299">
      <c r="A299" t="n">
        <v>298</v>
      </c>
      <c r="B299" t="inlineStr">
        <is>
          <t>MAT-THUONG_MAI-HE_THONG_CAP_GIO_TUOI_GIO_BU_Q_FC19</t>
        </is>
      </c>
      <c r="C299" t="inlineStr">
        <is>
          <t>HỆ THỐNG CẤP GIÓ TƯƠI, GIÓ BÙ Quạt hướng trục OAF-A1.3-1F-05A-01 264 l/s @175Pa</t>
        </is>
      </c>
      <c r="D299" t="inlineStr">
        <is>
          <t>THUONG_MAI</t>
        </is>
      </c>
      <c r="E299" s="390" t="n">
        <v>0</v>
      </c>
    </row>
    <row r="300">
      <c r="A300" t="n">
        <v>299</v>
      </c>
      <c r="B300" t="inlineStr">
        <is>
          <t>MAT-THUONG_MAI-HE_THONG_CAP_GIO_TUOI_GIO_BU_Q_7DE1</t>
        </is>
      </c>
      <c r="C300" t="inlineStr">
        <is>
          <t>HỆ THỐNG CẤP GIÓ TƯƠI, GIÓ BÙ Quạt hướng trục OAF-A1.3-1F-CR-01 188 l/s @175Pa</t>
        </is>
      </c>
      <c r="D300" t="inlineStr">
        <is>
          <t>THUONG_MAI</t>
        </is>
      </c>
      <c r="E300" s="390" t="n">
        <v>0</v>
      </c>
    </row>
    <row r="301">
      <c r="A301" t="n">
        <v>300</v>
      </c>
      <c r="B301" t="inlineStr">
        <is>
          <t>MAT-THUONG_MAI-HE_THONG_CAP_GIO_TUOI_GIO_BU_Q_E836</t>
        </is>
      </c>
      <c r="C301" t="inlineStr">
        <is>
          <t>HỆ THỐNG CẤP GIÓ TƯƠI, GIÓ BÙ Quạt hướng trục OAF-A1.1-2F-01-01 172 l/s @150Pa</t>
        </is>
      </c>
      <c r="D301" t="inlineStr">
        <is>
          <t>THUONG_MAI</t>
        </is>
      </c>
      <c r="E301" s="390" t="n">
        <v>0</v>
      </c>
    </row>
    <row r="302">
      <c r="A302" t="n">
        <v>301</v>
      </c>
      <c r="B302" t="inlineStr">
        <is>
          <t>MAT-THUONG_MAI-HE_THONG_CAP_GIO_TUOI_GIO_BU_Q_5212</t>
        </is>
      </c>
      <c r="C302" t="inlineStr">
        <is>
          <t>HỆ THỐNG CẤP GIÓ TƯƠI, GIÓ BÙ Quạt hướng trục OAF-A1.1-2F-02-01 133 l/s @150Pa</t>
        </is>
      </c>
      <c r="D302" t="inlineStr">
        <is>
          <t>THUONG_MAI</t>
        </is>
      </c>
      <c r="E302" s="390" t="n">
        <v>0</v>
      </c>
    </row>
    <row r="303">
      <c r="A303" t="n">
        <v>302</v>
      </c>
      <c r="B303" t="inlineStr">
        <is>
          <t>MAT-THUONG_MAI-HE_THONG_CAP_GIO_TUOI_GIO_BU_Q_5205</t>
        </is>
      </c>
      <c r="C303" t="inlineStr">
        <is>
          <t>HỆ THỐNG CẤP GIÓ TƯƠI, GIÓ BÙ Quạt hướng trục OAF-A1.1-2F-03-01 136 l/s @150Pa</t>
        </is>
      </c>
      <c r="D303" t="inlineStr">
        <is>
          <t>THUONG_MAI</t>
        </is>
      </c>
      <c r="E303" s="390" t="n">
        <v>0</v>
      </c>
    </row>
    <row r="304">
      <c r="A304" t="n">
        <v>303</v>
      </c>
      <c r="B304" t="inlineStr">
        <is>
          <t>MAT-THUONG_MAI-HE_THONG_CAP_GIO_TUOI_GIO_BU_Q_E33A</t>
        </is>
      </c>
      <c r="C304" t="inlineStr">
        <is>
          <t>HỆ THỐNG CẤP GIÓ TƯƠI, GIÓ BÙ Quạt hướng trục OAF-A1.1-2F-05A-01 35 l/s @75Pa</t>
        </is>
      </c>
      <c r="D304" t="inlineStr">
        <is>
          <t>THUONG_MAI</t>
        </is>
      </c>
      <c r="E304" s="390" t="n">
        <v>0</v>
      </c>
    </row>
    <row r="305">
      <c r="A305" t="n">
        <v>304</v>
      </c>
      <c r="B305" t="inlineStr">
        <is>
          <t>MAT-THUONG_MAI-HE_THONG_CAP_GIO_TUOI_GIO_BU_Q_188D</t>
        </is>
      </c>
      <c r="C305" t="inlineStr">
        <is>
          <t>HỆ THỐNG CẤP GIÓ TƯƠI, GIÓ BÙ Quạt hướng trục OAF-A1.1-2F-05-01 117 l/s @150Pa</t>
        </is>
      </c>
      <c r="D305" t="inlineStr">
        <is>
          <t>THUONG_MAI</t>
        </is>
      </c>
      <c r="E305" s="390" t="n">
        <v>0</v>
      </c>
    </row>
    <row r="306">
      <c r="A306" t="n">
        <v>305</v>
      </c>
      <c r="B306" t="inlineStr">
        <is>
          <t>MAT-THUONG_MAI-HE_THONG_CAP_GIO_TUOI_GIO_BU_Q_B9FB</t>
        </is>
      </c>
      <c r="C306" t="inlineStr">
        <is>
          <t>HỆ THỐNG CẤP GIÓ TƯƠI, GIÓ BÙ Quạt hướng trục OAF-A1.1-2F-09-01 83 l/s @150Pa</t>
        </is>
      </c>
      <c r="D306" t="inlineStr">
        <is>
          <t>THUONG_MAI</t>
        </is>
      </c>
      <c r="E306" s="390" t="n">
        <v>0</v>
      </c>
    </row>
    <row r="307">
      <c r="A307" t="n">
        <v>306</v>
      </c>
      <c r="B307" t="inlineStr">
        <is>
          <t>MAT-THUONG_MAI-HE_THONG_CAP_GIO_TUOI_GIO_BU_Q_0CBF</t>
        </is>
      </c>
      <c r="C307" t="inlineStr">
        <is>
          <t>HỆ THỐNG CẤP GIÓ TƯƠI, GIÓ BÙ Quạt hướng trục OAF-A1.2-2F-01-01 136 l/s @150Pa</t>
        </is>
      </c>
      <c r="D307" t="inlineStr">
        <is>
          <t>THUONG_MAI</t>
        </is>
      </c>
      <c r="E307" s="390" t="n">
        <v>0</v>
      </c>
    </row>
    <row r="308">
      <c r="A308" t="n">
        <v>307</v>
      </c>
      <c r="B308" t="inlineStr">
        <is>
          <t>MAT-THUONG_MAI-HE_THONG_CAP_GIO_TUOI_GIO_BU_Q_AE52</t>
        </is>
      </c>
      <c r="C308" t="inlineStr">
        <is>
          <t>HỆ THỐNG CẤP GIÓ TƯƠI, GIÓ BÙ Quạt hướng trục OAF-A1.2-2F-02-01 180 l/s @150Pa</t>
        </is>
      </c>
      <c r="D308" t="inlineStr">
        <is>
          <t>THUONG_MAI</t>
        </is>
      </c>
      <c r="E308" s="390" t="n">
        <v>0</v>
      </c>
    </row>
    <row r="309">
      <c r="A309" t="n">
        <v>308</v>
      </c>
      <c r="B309" t="inlineStr">
        <is>
          <t>MAT-THUONG_MAI-HE_THONG_CAP_GIO_TUOI_GIO_BU_Q_66E8</t>
        </is>
      </c>
      <c r="C309" t="inlineStr">
        <is>
          <t>HỆ THỐNG CẤP GIÓ TƯƠI, GIÓ BÙ Quạt hướng trục OAF-A1.2-2F-03-01 160 l/s @150Pa</t>
        </is>
      </c>
      <c r="D309" t="inlineStr">
        <is>
          <t>THUONG_MAI</t>
        </is>
      </c>
      <c r="E309" s="390" t="n">
        <v>0</v>
      </c>
    </row>
    <row r="310">
      <c r="A310" t="n">
        <v>309</v>
      </c>
      <c r="B310" t="inlineStr">
        <is>
          <t>MAT-THUONG_MAI-HE_THONG_CAP_GIO_TUOI_GIO_BU_Q_B77E</t>
        </is>
      </c>
      <c r="C310" t="inlineStr">
        <is>
          <t>HỆ THỐNG CẤP GIÓ TƯƠI, GIÓ BÙ Quạt hướng trục OAF-A1.2-2F-04-01 157 l/s @150Pa</t>
        </is>
      </c>
      <c r="D310" t="inlineStr">
        <is>
          <t>THUONG_MAI</t>
        </is>
      </c>
      <c r="E310" s="390" t="n">
        <v>0</v>
      </c>
    </row>
    <row r="311">
      <c r="A311" t="n">
        <v>310</v>
      </c>
      <c r="B311" t="inlineStr">
        <is>
          <t>MAT-THUONG_MAI-HE_THONG_CAP_GIO_TUOI_GIO_BU_Q_F8AA</t>
        </is>
      </c>
      <c r="C311" t="inlineStr">
        <is>
          <t>HỆ THỐNG CẤP GIÓ TƯƠI, GIÓ BÙ Quạt hướng trục OAF-A1.2-2F-05-01 151 l/s @150Pa</t>
        </is>
      </c>
      <c r="D311" t="inlineStr">
        <is>
          <t>THUONG_MAI</t>
        </is>
      </c>
      <c r="E311" s="390" t="n">
        <v>0</v>
      </c>
    </row>
    <row r="312">
      <c r="A312" t="n">
        <v>311</v>
      </c>
      <c r="B312" t="inlineStr">
        <is>
          <t>MAT-THUONG_MAI-HE_THONG_CAP_GIO_TUOI_GIO_BU_Q_0ECD</t>
        </is>
      </c>
      <c r="C312" t="inlineStr">
        <is>
          <t>HỆ THỐNG CẤP GIÓ TƯƠI, GIÓ BÙ Quạt hướng trục OAF-A1.2-2F-06-01 159 l/s @150Pa</t>
        </is>
      </c>
      <c r="D312" t="inlineStr">
        <is>
          <t>THUONG_MAI</t>
        </is>
      </c>
      <c r="E312" s="390" t="n">
        <v>0</v>
      </c>
    </row>
    <row r="313">
      <c r="A313" t="n">
        <v>312</v>
      </c>
      <c r="B313" t="inlineStr">
        <is>
          <t>MAT-THUONG_MAI-HE_THONG_CAP_GIO_TUOI_GIO_BU_Q_75AA</t>
        </is>
      </c>
      <c r="C313" t="inlineStr">
        <is>
          <t>HỆ THỐNG CẤP GIÓ TƯƠI, GIÓ BÙ Quạt hướng trục OAF-A1.2-2F-12-01 240 l/s @150Pa</t>
        </is>
      </c>
      <c r="D313" t="inlineStr">
        <is>
          <t>THUONG_MAI</t>
        </is>
      </c>
      <c r="E313" s="390" t="n">
        <v>0</v>
      </c>
    </row>
    <row r="314">
      <c r="A314" t="n">
        <v>313</v>
      </c>
      <c r="B314" t="inlineStr">
        <is>
          <t>MAT-THUONG_MAI-HE_THONG_CAP_GIO_TUOI_GIO_BU_Q_7686</t>
        </is>
      </c>
      <c r="C314" t="inlineStr">
        <is>
          <t>HỆ THỐNG CẤP GIÓ TƯƠI, GIÓ BÙ Quạt hướng trục OAF-A1.3-2F-01-01 164 l/s @150Pa</t>
        </is>
      </c>
      <c r="D314" t="inlineStr">
        <is>
          <t>THUONG_MAI</t>
        </is>
      </c>
      <c r="E314" s="390" t="n">
        <v>0</v>
      </c>
    </row>
    <row r="315">
      <c r="A315" t="n">
        <v>314</v>
      </c>
      <c r="B315" t="inlineStr">
        <is>
          <t>MAT-THUONG_MAI-HE_THONG_CAP_GIO_TUOI_GIO_BU_Q_8618</t>
        </is>
      </c>
      <c r="C315" t="inlineStr">
        <is>
          <t>HỆ THỐNG CẤP GIÓ TƯƠI, GIÓ BÙ Quạt hướng trục OAF-A1.3-2F-02-01 142 l/s @150Pa</t>
        </is>
      </c>
      <c r="D315" t="inlineStr">
        <is>
          <t>THUONG_MAI</t>
        </is>
      </c>
      <c r="E315" s="390" t="n">
        <v>0</v>
      </c>
    </row>
    <row r="316">
      <c r="A316" t="n">
        <v>315</v>
      </c>
      <c r="B316" t="inlineStr">
        <is>
          <t>MAT-THUONG_MAI-HE_THONG_CAP_GIO_TUOI_GIO_BU_Q_3DF1</t>
        </is>
      </c>
      <c r="C316" t="inlineStr">
        <is>
          <t>HỆ THỐNG CẤP GIÓ TƯƠI, GIÓ BÙ Quạt hướng trục OAF-A1.3-2F-03-01 268 l/s @150Pa</t>
        </is>
      </c>
      <c r="D316" t="inlineStr">
        <is>
          <t>THUONG_MAI</t>
        </is>
      </c>
      <c r="E316" s="390" t="n">
        <v>0</v>
      </c>
    </row>
    <row r="317">
      <c r="A317" t="n">
        <v>316</v>
      </c>
      <c r="B317" t="inlineStr">
        <is>
          <t>MAT-THUONG_MAI-HE_THONG_CAP_GIO_TUOI_GIO_BU_Q_ECC7</t>
        </is>
      </c>
      <c r="C317" t="inlineStr">
        <is>
          <t>HỆ THỐNG CẤP GIÓ TƯƠI, GIÓ BÙ Quạt hướng trục OAF-A1.3-2F-05A-01 167 l/s @150Pa</t>
        </is>
      </c>
      <c r="D317" t="inlineStr">
        <is>
          <t>THUONG_MAI</t>
        </is>
      </c>
      <c r="E317" s="390" t="n">
        <v>0</v>
      </c>
    </row>
    <row r="318">
      <c r="A318" t="n">
        <v>317</v>
      </c>
      <c r="B318" t="inlineStr">
        <is>
          <t>MAT-THUONG_MAI-HE_THONG_CAP_GIO_TUOI_GIO_BU_Q_836C</t>
        </is>
      </c>
      <c r="C318" t="inlineStr">
        <is>
          <t>HỆ THỐNG CẤP GIÓ TƯƠI, GIÓ BÙ Quạt hướng trục OAF-A1.3-2F-05-01 82 l/s @150Pa</t>
        </is>
      </c>
      <c r="D318" t="inlineStr">
        <is>
          <t>THUONG_MAI</t>
        </is>
      </c>
      <c r="E318" s="390" t="n">
        <v>0</v>
      </c>
    </row>
    <row r="319">
      <c r="A319" t="n">
        <v>318</v>
      </c>
      <c r="B319" t="inlineStr">
        <is>
          <t>MAT-THUONG_MAI-HE_THONG_CAP_GIO_TUOI_GIO_BU_Q_61A1</t>
        </is>
      </c>
      <c r="C319" t="inlineStr">
        <is>
          <t>HỆ THỐNG CẤP GIÓ TƯƠI, GIÓ BÙ Quạt hướng trục OAF-A1.3-2F-06-01 47 l/s @150Pa</t>
        </is>
      </c>
      <c r="D319" t="inlineStr">
        <is>
          <t>THUONG_MAI</t>
        </is>
      </c>
      <c r="E319" s="390" t="n">
        <v>0</v>
      </c>
    </row>
    <row r="320">
      <c r="A320" t="n">
        <v>319</v>
      </c>
      <c r="B320" t="inlineStr">
        <is>
          <t>MAT-THUONG_MAI-HE_THONG_CAP_GIO_TUOI_GIO_BU_Q_99F8</t>
        </is>
      </c>
      <c r="C320" t="inlineStr">
        <is>
          <t>HỆ THỐNG CẤP GIÓ TƯƠI, GIÓ BÙ Quạt hướng trục OAF-A1.3-2F-08A-01 147 l/s @150Pa</t>
        </is>
      </c>
      <c r="D320" t="inlineStr">
        <is>
          <t>THUONG_MAI</t>
        </is>
      </c>
      <c r="E320" s="390" t="n">
        <v>0</v>
      </c>
    </row>
    <row r="321">
      <c r="A321" t="n">
        <v>320</v>
      </c>
      <c r="B321" t="inlineStr">
        <is>
          <t>MAT-BOX-HE_THONG_ONG_THONG_C_2F73</t>
        </is>
      </c>
      <c r="C321" t="inlineStr">
        <is>
          <t>Box phụ kiện 0.58mm</t>
        </is>
      </c>
      <c r="D321" t="inlineStr">
        <is>
          <t>THUONG_MAI</t>
        </is>
      </c>
      <c r="E321" s="390" t="n">
        <v>0</v>
      </c>
    </row>
    <row r="322">
      <c r="A322" t="n">
        <v>321</v>
      </c>
      <c r="B322" t="inlineStr">
        <is>
          <t>MAT-BOX-HE_THONG_ONG_THONG_C_AAB8</t>
        </is>
      </c>
      <c r="C322" t="inlineStr">
        <is>
          <t>Box phụ kiện 0.75mm</t>
        </is>
      </c>
      <c r="D322" t="inlineStr">
        <is>
          <t>THUONG_MAI</t>
        </is>
      </c>
      <c r="E322" s="390" t="n">
        <v>0</v>
      </c>
    </row>
    <row r="323">
      <c r="A323" t="n">
        <v>322</v>
      </c>
      <c r="B323" t="inlineStr">
        <is>
          <t>MAT-BOX-HE_THONG_ONG_THONG_C_A0C1</t>
        </is>
      </c>
      <c r="C323" t="inlineStr">
        <is>
          <t>Box phụ kiện 0.95mm</t>
        </is>
      </c>
      <c r="D323" t="inlineStr">
        <is>
          <t>THUONG_MAI</t>
        </is>
      </c>
      <c r="E323" s="390" t="n">
        <v>0</v>
      </c>
    </row>
    <row r="324">
      <c r="A324" t="n">
        <v>323</v>
      </c>
      <c r="B324" t="inlineStr">
        <is>
          <t>MAT-BOX-HE_THONG_ONG_THONG_C_49CD</t>
        </is>
      </c>
      <c r="C324" t="inlineStr">
        <is>
          <t>Box phụ kiện 1.15mm</t>
        </is>
      </c>
      <c r="D324" t="inlineStr">
        <is>
          <t>THUONG_MAI</t>
        </is>
      </c>
      <c r="E324" s="390" t="n">
        <v>0</v>
      </c>
    </row>
    <row r="325">
      <c r="A325" t="n">
        <v>324</v>
      </c>
      <c r="B325" t="inlineStr">
        <is>
          <t>MAT-BOX-HE_THONG_ONG_THONG_C_D98A</t>
        </is>
      </c>
      <c r="C325" t="inlineStr">
        <is>
          <t>Box phụ kiện 0.75mm</t>
        </is>
      </c>
      <c r="D325" t="inlineStr">
        <is>
          <t>THUONG_MAI</t>
        </is>
      </c>
      <c r="E325" s="390" t="n">
        <v>0</v>
      </c>
    </row>
    <row r="326">
      <c r="A326" t="n">
        <v>325</v>
      </c>
      <c r="B326" t="inlineStr">
        <is>
          <t>MAT-THUONG_MAI-HE_THONG_ONG_THONG_CAP_GIO_TUO_01B5</t>
        </is>
      </c>
      <c r="C326" t="inlineStr">
        <is>
          <t>Hệ thống ống thông cấp gió tươi, gió bù, box miệng gió Lớp chống cháy EI30</t>
        </is>
      </c>
      <c r="D326" t="inlineStr">
        <is>
          <t>THUONG_MAI</t>
        </is>
      </c>
      <c r="E326" s="390" t="n">
        <v>0</v>
      </c>
    </row>
    <row r="327">
      <c r="A327" t="n">
        <v>326</v>
      </c>
      <c r="B327" t="inlineStr">
        <is>
          <t>MAT-BOX-HE_THONG_ONG_THONG_C_01B5</t>
        </is>
      </c>
      <c r="C327" t="inlineStr">
        <is>
          <t>Box phụ kiện -</t>
        </is>
      </c>
      <c r="D327" t="inlineStr">
        <is>
          <t>THUONG_MAI</t>
        </is>
      </c>
      <c r="E327" s="390" t="n">
        <v>0</v>
      </c>
    </row>
    <row r="328">
      <c r="A328" t="n">
        <v>327</v>
      </c>
      <c r="B328" t="inlineStr">
        <is>
          <t>MAT-THUONG_MAI-HE_THONG_ONG_THONG_CAP_GIO_TUO_96F1</t>
        </is>
      </c>
      <c r="C328" t="inlineStr">
        <is>
          <t>Hệ thống ống thông cấp gió tươi, gió bù, box miệng gió Lớp chống cháy EI60</t>
        </is>
      </c>
      <c r="D328" t="inlineStr">
        <is>
          <t>THUONG_MAI</t>
        </is>
      </c>
      <c r="E328" s="390" t="n">
        <v>0</v>
      </c>
    </row>
    <row r="329">
      <c r="A329" t="n">
        <v>328</v>
      </c>
      <c r="B329" t="inlineStr">
        <is>
          <t>MAT-BOX-HE_THONG_ONG_THONG_C_96F1</t>
        </is>
      </c>
      <c r="C329" t="inlineStr">
        <is>
          <t>Box phụ kiện -</t>
        </is>
      </c>
      <c r="D329" t="inlineStr">
        <is>
          <t>THUONG_MAI</t>
        </is>
      </c>
      <c r="E329" s="390" t="n">
        <v>0</v>
      </c>
    </row>
    <row r="330">
      <c r="A330" t="n">
        <v>329</v>
      </c>
      <c r="B330" t="inlineStr">
        <is>
          <t>MAT-THUONG_MAI-HE_THONG_ONG_THONG_CAP_GIO_TUO_6B58</t>
        </is>
      </c>
      <c r="C330" t="inlineStr">
        <is>
          <t>Hệ thống ống thông cấp gió tươi, gió bù, box miệng gió Lớp chống cháy EI120</t>
        </is>
      </c>
      <c r="D330" t="inlineStr">
        <is>
          <t>THUONG_MAI</t>
        </is>
      </c>
      <c r="E330" s="390" t="n">
        <v>0</v>
      </c>
    </row>
    <row r="331">
      <c r="A331" t="n">
        <v>330</v>
      </c>
      <c r="B331" t="inlineStr">
        <is>
          <t>MAT-BOX-HE_THONG_ONG_THONG_C_6B58</t>
        </is>
      </c>
      <c r="C331" t="inlineStr">
        <is>
          <t>Box phụ kiện -</t>
        </is>
      </c>
      <c r="D331" t="inlineStr">
        <is>
          <t>THUONG_MAI</t>
        </is>
      </c>
      <c r="E331" s="390" t="n">
        <v>0</v>
      </c>
    </row>
    <row r="332">
      <c r="A332" t="n">
        <v>331</v>
      </c>
      <c r="B332" t="inlineStr">
        <is>
          <t>MAT-THUONG_MAI-HE_THONG_ONG_THONG_CAP_GIO_TUO_D3FF</t>
        </is>
      </c>
      <c r="C332" t="inlineStr">
        <is>
          <t>Hệ thống ống thông cấp gió tươi, gió bù, box miệng gió Vật tư phụ, phụ kiện</t>
        </is>
      </c>
      <c r="D332" t="inlineStr">
        <is>
          <t>THUONG_MAI</t>
        </is>
      </c>
      <c r="E332" s="390" t="n">
        <v>0</v>
      </c>
    </row>
    <row r="333">
      <c r="A333" t="n">
        <v>332</v>
      </c>
      <c r="B333" t="inlineStr">
        <is>
          <t>MAT-BOX-HE_THONG_ONG_THONG_C_D3FF</t>
        </is>
      </c>
      <c r="C333" t="inlineStr">
        <is>
          <t>Box phụ kiện -</t>
        </is>
      </c>
      <c r="D333" t="inlineStr">
        <is>
          <t>THUONG_MAI</t>
        </is>
      </c>
      <c r="E333" s="390" t="n">
        <v>0</v>
      </c>
    </row>
    <row r="334">
      <c r="A334" t="n">
        <v>333</v>
      </c>
      <c r="B334" t="inlineStr">
        <is>
          <t>MAT-THUONG_MAI-HE_THONG_HUT_GIO_THAI_HUT_GIO_B0A9</t>
        </is>
      </c>
      <c r="C334" t="inlineStr">
        <is>
          <t>Hệ thống hút gió thải, hút gió bếp Quạt hướng trục EAF-B2-Z2-03 260 l/s 200Pa</t>
        </is>
      </c>
      <c r="D334" t="inlineStr">
        <is>
          <t>THUONG_MAI</t>
        </is>
      </c>
      <c r="E334" s="390" t="n">
        <v>0</v>
      </c>
    </row>
    <row r="335">
      <c r="A335" t="n">
        <v>334</v>
      </c>
      <c r="B335" t="inlineStr">
        <is>
          <t>MAT-THUONG_MAI-HE_THONG_HUT_GIO_THAI_HUT_GIO_065B</t>
        </is>
      </c>
      <c r="C335" t="inlineStr">
        <is>
          <t>Hệ thống hút gió thải, hút gió bếp Quạt hướng trục EAF-B2-Z2-04 600 l/s 200Pa</t>
        </is>
      </c>
      <c r="D335" t="inlineStr">
        <is>
          <t>THUONG_MAI</t>
        </is>
      </c>
      <c r="E335" s="390" t="n">
        <v>0</v>
      </c>
    </row>
    <row r="336">
      <c r="A336" t="n">
        <v>335</v>
      </c>
      <c r="B336" t="inlineStr">
        <is>
          <t>MAT-THUONG_MAI-HE_THONG_HUT_GIO_THAI_HUT_GIO_709C</t>
        </is>
      </c>
      <c r="C336" t="inlineStr">
        <is>
          <t>Hệ thống hút gió thải, hút gió bếp Quạt hướng trục EAF-B2-Z2-06 320 l/s 200Pa</t>
        </is>
      </c>
      <c r="D336" t="inlineStr">
        <is>
          <t>THUONG_MAI</t>
        </is>
      </c>
      <c r="E336" s="390" t="n">
        <v>0</v>
      </c>
    </row>
    <row r="337">
      <c r="A337" t="n">
        <v>336</v>
      </c>
      <c r="B337" t="inlineStr">
        <is>
          <t>MAT-THUONG_MAI-HE_THONG_HUT_GIO_THAI_HUT_GIO_E019</t>
        </is>
      </c>
      <c r="C337" t="inlineStr">
        <is>
          <t>Hệ thống hút gió thải, hút gió bếp Quạt hướng trục EAF-B1-Z1-03 6670 l/s 350Pa</t>
        </is>
      </c>
      <c r="D337" t="inlineStr">
        <is>
          <t>THUONG_MAI</t>
        </is>
      </c>
      <c r="E337" s="390" t="n">
        <v>0</v>
      </c>
    </row>
    <row r="338">
      <c r="A338" t="n">
        <v>337</v>
      </c>
      <c r="B338" t="inlineStr">
        <is>
          <t>MAT-THUONG_MAI-HE_THONG_HUT_GIO_THAI_HUT_GIO_3D6A</t>
        </is>
      </c>
      <c r="C338" t="inlineStr">
        <is>
          <t>Hệ thống hút gió thải, hút gió bếp Quạt hướng trục EAF-B1-Z1-04 4690 l/s 400Pa</t>
        </is>
      </c>
      <c r="D338" t="inlineStr">
        <is>
          <t>THUONG_MAI</t>
        </is>
      </c>
      <c r="E338" s="390" t="n">
        <v>0</v>
      </c>
    </row>
    <row r="339">
      <c r="A339" t="n">
        <v>338</v>
      </c>
      <c r="B339" t="inlineStr">
        <is>
          <t>MAT-THUONG_MAI-HE_THONG_HUT_GIO_THAI_HUT_GIO_5D2C</t>
        </is>
      </c>
      <c r="C339" t="inlineStr">
        <is>
          <t>Hệ thống hút gió thải, hút gió bếp Quạt hướng trục EAF-A1.3-10F-01~02 130 l/s @ 350 Pa</t>
        </is>
      </c>
      <c r="D339" t="inlineStr">
        <is>
          <t>THUONG_MAI</t>
        </is>
      </c>
      <c r="E339" s="390" t="n">
        <v>0</v>
      </c>
    </row>
    <row r="340">
      <c r="A340" t="n">
        <v>339</v>
      </c>
      <c r="B340" t="inlineStr">
        <is>
          <t>MAT-THUONG_MAI-HE_THONG_HUT_GIO_THAI_HUT_GIO_FCCB</t>
        </is>
      </c>
      <c r="C340" t="inlineStr">
        <is>
          <t>Hệ thống hút gió thải, hút gió bếp Quạt hướng trục EAF-A1.3-10F-03~04 140 l/s @ 350 Pa</t>
        </is>
      </c>
      <c r="D340" t="inlineStr">
        <is>
          <t>THUONG_MAI</t>
        </is>
      </c>
      <c r="E340" s="390" t="n">
        <v>0</v>
      </c>
    </row>
    <row r="341">
      <c r="A341" t="n">
        <v>340</v>
      </c>
      <c r="B341" t="inlineStr">
        <is>
          <t>MAT-THUONG_MAI-HE_THONG_HUT_GIO_THAI_HUT_GIO_F554</t>
        </is>
      </c>
      <c r="C341" t="inlineStr">
        <is>
          <t>Hệ thống hút gió thải, hút gió bếp Quạt hướng trục EAF-A1.3-10F-05~06 3210 l/s @ 450 Pa</t>
        </is>
      </c>
      <c r="D341" t="inlineStr">
        <is>
          <t>THUONG_MAI</t>
        </is>
      </c>
      <c r="E341" s="390" t="n">
        <v>0</v>
      </c>
    </row>
    <row r="342">
      <c r="A342" t="n">
        <v>341</v>
      </c>
      <c r="B342" t="inlineStr">
        <is>
          <t>MAT-THUONG_MAI-HE_THONG_HUT_GIO_THAI_HUT_GIO_9450</t>
        </is>
      </c>
      <c r="C342" t="inlineStr">
        <is>
          <t>Hệ thống hút gió thải, hút gió bếp Quạt hướng trục KEAF-A1.3-10F-01~02 3900 l/s @ 500 Pa</t>
        </is>
      </c>
      <c r="D342" t="inlineStr">
        <is>
          <t>THUONG_MAI</t>
        </is>
      </c>
      <c r="E342" s="390" t="n">
        <v>0</v>
      </c>
    </row>
    <row r="343">
      <c r="A343" t="n">
        <v>342</v>
      </c>
      <c r="B343" t="inlineStr">
        <is>
          <t>MAT-THUONG_MAI-HE_THONG_HUT_GIO_THAI_HUT_GIO_E7E7</t>
        </is>
      </c>
      <c r="C343" t="inlineStr">
        <is>
          <t>Hệ thống hút gió thải, hút gió bếp Quạt hướng trục EAF-A1.3-10F-01~02 150 l/s @ 350 Pa</t>
        </is>
      </c>
      <c r="D343" t="inlineStr">
        <is>
          <t>THUONG_MAI</t>
        </is>
      </c>
      <c r="E343" s="390" t="n">
        <v>0</v>
      </c>
    </row>
    <row r="344">
      <c r="A344" t="n">
        <v>343</v>
      </c>
      <c r="B344" t="inlineStr">
        <is>
          <t>MAT-THUONG_MAI-HE_THONG_HUT_GIO_THAI_HUT_GIO_A302</t>
        </is>
      </c>
      <c r="C344" t="inlineStr">
        <is>
          <t>Hệ thống hút gió thải, hút gió bếp Quạt hướng trục EAF-A1.2-12F-03, 04 180 l/s @ 350 Pa</t>
        </is>
      </c>
      <c r="D344" t="inlineStr">
        <is>
          <t>THUONG_MAI</t>
        </is>
      </c>
      <c r="E344" s="390" t="n">
        <v>0</v>
      </c>
    </row>
    <row r="345">
      <c r="A345" t="n">
        <v>344</v>
      </c>
      <c r="B345" t="inlineStr">
        <is>
          <t>MAT-THUONG_MAI-HE_THONG_HUT_GIO_THAI_HUT_GIO_C3B3</t>
        </is>
      </c>
      <c r="C345" t="inlineStr">
        <is>
          <t>Hệ thống hút gió thải, hút gió bếp Quạt hướng trục EAF-A1.2-12F-05~06 3300 l/s @ 450 Pa</t>
        </is>
      </c>
      <c r="D345" t="inlineStr">
        <is>
          <t>THUONG_MAI</t>
        </is>
      </c>
      <c r="E345" s="390" t="n">
        <v>0</v>
      </c>
    </row>
    <row r="346">
      <c r="A346" t="n">
        <v>345</v>
      </c>
      <c r="B346" t="inlineStr">
        <is>
          <t>MAT-THUONG_MAI-HE_THONG_HUT_GIO_THAI_HUT_GIO_A23D</t>
        </is>
      </c>
      <c r="C346" t="inlineStr">
        <is>
          <t>Hệ thống hút gió thải, hút gió bếp Quạt hướng trục KEAF-A1.2-12F-01~02 4800 l/s @ 500 Pa</t>
        </is>
      </c>
      <c r="D346" t="inlineStr">
        <is>
          <t>THUONG_MAI</t>
        </is>
      </c>
      <c r="E346" s="390" t="n">
        <v>0</v>
      </c>
    </row>
    <row r="347">
      <c r="A347" t="n">
        <v>346</v>
      </c>
      <c r="B347" t="inlineStr">
        <is>
          <t>MAT-THUONG_MAI-HE_THONG_HUT_GIO_THAI_HUT_GIO_97DE</t>
        </is>
      </c>
      <c r="C347" t="inlineStr">
        <is>
          <t>Hệ thống hút gió thải, hút gió bếp Quạt hướng trục EAF-A1.1-RF-01, 240 l/s @ 350 Pa</t>
        </is>
      </c>
      <c r="D347" t="inlineStr">
        <is>
          <t>THUONG_MAI</t>
        </is>
      </c>
      <c r="E347" s="390" t="n">
        <v>0</v>
      </c>
    </row>
    <row r="348">
      <c r="A348" t="n">
        <v>347</v>
      </c>
      <c r="B348" t="inlineStr">
        <is>
          <t>MAT-THUONG_MAI-HE_THONG_HUT_GIO_THAI_HUT_GIO_3FA4</t>
        </is>
      </c>
      <c r="C348" t="inlineStr">
        <is>
          <t>Hệ thống hút gió thải, hút gió bếp Quạt hướng trục EAF-A1.1-RF-03, 04 180 l/s @ 350 Pa</t>
        </is>
      </c>
      <c r="D348" t="inlineStr">
        <is>
          <t>THUONG_MAI</t>
        </is>
      </c>
      <c r="E348" s="390" t="n">
        <v>0</v>
      </c>
    </row>
    <row r="349">
      <c r="A349" t="n">
        <v>348</v>
      </c>
      <c r="B349" t="inlineStr">
        <is>
          <t>MAT-THUONG_MAI-HE_THONG_HUT_GIO_THAI_HUT_GIO_2776</t>
        </is>
      </c>
      <c r="C349" t="inlineStr">
        <is>
          <t>Hệ thống hút gió thải, hút gió bếp Quạt hướng trục EAF-A1.1-RF-05~06 2363 l/s @ 400 Pa</t>
        </is>
      </c>
      <c r="D349" t="inlineStr">
        <is>
          <t>THUONG_MAI</t>
        </is>
      </c>
      <c r="E349" s="390" t="n">
        <v>0</v>
      </c>
    </row>
    <row r="350">
      <c r="A350" t="n">
        <v>349</v>
      </c>
      <c r="B350" t="inlineStr">
        <is>
          <t>MAT-THUONG_MAI-HE_THONG_HUT_GIO_THAI_HUT_GIO_31F6</t>
        </is>
      </c>
      <c r="C350" t="inlineStr">
        <is>
          <t>Hệ thống hút gió thải, hút gió bếp Quạt hướng trục KEAF-A1.1-RF-01~02 3450 l/s @ 450 Pa</t>
        </is>
      </c>
      <c r="D350" t="inlineStr">
        <is>
          <t>THUONG_MAI</t>
        </is>
      </c>
      <c r="E350" s="390" t="n">
        <v>0</v>
      </c>
    </row>
    <row r="351">
      <c r="A351" t="n">
        <v>350</v>
      </c>
      <c r="B351" t="inlineStr">
        <is>
          <t>MAT-THUONG_MAI-HE_THONG_HUT_GIO_THAI_HUT_GIO_964E</t>
        </is>
      </c>
      <c r="C351" t="inlineStr">
        <is>
          <t>Hệ thống hút gió thải, hút gió bếp Quạt gắn trần EAF-A1.1-1F.01~04, EAF-A1.2-1F.01~08, EAF-A1.3-1F.01~04 35l/s @ 75Pa</t>
        </is>
      </c>
      <c r="D351" t="inlineStr">
        <is>
          <t>THUONG_MAI</t>
        </is>
      </c>
      <c r="E351" s="390" t="n">
        <v>0</v>
      </c>
    </row>
    <row r="352">
      <c r="A352" t="n">
        <v>351</v>
      </c>
      <c r="B352" t="inlineStr">
        <is>
          <t>MAT-THUONG_MAI-HE_THONG_HUT_GIO_THAI_HUT_GIO_AAC6</t>
        </is>
      </c>
      <c r="C352" t="inlineStr">
        <is>
          <t>Hệ thống hút gió thải, hút gió bếp Quạt gắn trần EAF-A1.3-1F.05 140l/s @ 150Pa</t>
        </is>
      </c>
      <c r="D352" t="inlineStr">
        <is>
          <t>THUONG_MAI</t>
        </is>
      </c>
      <c r="E352" s="390" t="n">
        <v>0</v>
      </c>
    </row>
    <row r="353">
      <c r="A353" t="n">
        <v>352</v>
      </c>
      <c r="B353" t="inlineStr">
        <is>
          <t>MAT-THUONG_MAI-HE_THONG_HUT_GIO_THAI_HUT_GIO_61B8</t>
        </is>
      </c>
      <c r="C353" t="inlineStr">
        <is>
          <t>Hệ thống hút gió thải, hút gió bếp Quạt gắn trần EAF-A1.1-2F.01~09, EAF-A1.2-1F.01~13, EAF-A1.3-1F.01~08 35l/s @ 75Pa</t>
        </is>
      </c>
      <c r="D353" t="inlineStr">
        <is>
          <t>THUONG_MAI</t>
        </is>
      </c>
      <c r="E353" s="390" t="n">
        <v>0</v>
      </c>
    </row>
    <row r="354">
      <c r="A354" t="n">
        <v>353</v>
      </c>
      <c r="B354" t="inlineStr">
        <is>
          <t>MAT-THUONG_MAI-HE_THONG_HUT_GIO_THAI_HUT_GIO_087D</t>
        </is>
      </c>
      <c r="C354" t="inlineStr">
        <is>
          <t>Hệ thống hút gió thải, hút gió bếp Quạt hướng trục EAF-A1.1-2F-08 140 l/s @ 200 Pa</t>
        </is>
      </c>
      <c r="D354" t="inlineStr">
        <is>
          <t>THUONG_MAI</t>
        </is>
      </c>
      <c r="E354" s="390" t="n">
        <v>0</v>
      </c>
    </row>
    <row r="355">
      <c r="A355" t="n">
        <v>354</v>
      </c>
      <c r="B355" t="inlineStr">
        <is>
          <t>MAT-THUONG_MAI-HE_THONG_HUT_GIO_THAI_HUT_GIO_0ACC</t>
        </is>
      </c>
      <c r="C355" t="inlineStr">
        <is>
          <t>Hệ thống hút gió thải, hút gió bếp Quạt hướng trục EAF-A1.1-2F-09 350 l/s @ 250 Pa</t>
        </is>
      </c>
      <c r="D355" t="inlineStr">
        <is>
          <t>THUONG_MAI</t>
        </is>
      </c>
      <c r="E355" s="390" t="n">
        <v>0</v>
      </c>
    </row>
    <row r="356">
      <c r="A356" t="n">
        <v>355</v>
      </c>
      <c r="B356" t="inlineStr">
        <is>
          <t>MAT-THUONG_MAI-HE_THONG_HUT_GIO_THAI_HUT_GIO_FEC0</t>
        </is>
      </c>
      <c r="C356" t="inlineStr">
        <is>
          <t>Hệ thống hút gió thải, hút gió bếp Quạt hướng trục EAF-A1.1-2F-07 245 l/s @ 75 Pa</t>
        </is>
      </c>
      <c r="D356" t="inlineStr">
        <is>
          <t>THUONG_MAI</t>
        </is>
      </c>
      <c r="E356" s="390" t="n">
        <v>0</v>
      </c>
    </row>
    <row r="357">
      <c r="A357" t="n">
        <v>356</v>
      </c>
      <c r="B357" t="inlineStr">
        <is>
          <t>MAT-BOX-HE_THONG_HUT_GIO_THA_57D5</t>
        </is>
      </c>
      <c r="C357" t="inlineStr">
        <is>
          <t>Box phụ kiện 150x150</t>
        </is>
      </c>
      <c r="D357" t="inlineStr">
        <is>
          <t>THUONG_MAI</t>
        </is>
      </c>
      <c r="E357" s="390" t="n">
        <v>0</v>
      </c>
    </row>
    <row r="358">
      <c r="A358" t="n">
        <v>357</v>
      </c>
      <c r="B358" t="inlineStr">
        <is>
          <t>MAT-BOX-HE_THONG_HUT_GIO_THA_0AC1</t>
        </is>
      </c>
      <c r="C358" t="inlineStr">
        <is>
          <t>Box phụ kiện 300x300</t>
        </is>
      </c>
      <c r="D358" t="inlineStr">
        <is>
          <t>THUONG_MAI</t>
        </is>
      </c>
      <c r="E358" s="390" t="n">
        <v>0</v>
      </c>
    </row>
    <row r="359">
      <c r="A359" t="n">
        <v>358</v>
      </c>
      <c r="B359" t="inlineStr">
        <is>
          <t>MAT-BOX-HE_THONG_HUT_GIO_THA_0380</t>
        </is>
      </c>
      <c r="C359" t="inlineStr">
        <is>
          <t>Box phụ kiện 400x300</t>
        </is>
      </c>
      <c r="D359" t="inlineStr">
        <is>
          <t>THUONG_MAI</t>
        </is>
      </c>
      <c r="E359" s="390" t="n">
        <v>0</v>
      </c>
    </row>
    <row r="360">
      <c r="A360" t="n">
        <v>359</v>
      </c>
      <c r="B360" t="inlineStr">
        <is>
          <t>MAT-BOX-HE_THONG_HUT_GIO_THA_D0F5</t>
        </is>
      </c>
      <c r="C360" t="inlineStr">
        <is>
          <t>Box phụ kiện 1200x800</t>
        </is>
      </c>
      <c r="D360" t="inlineStr">
        <is>
          <t>THUONG_MAI</t>
        </is>
      </c>
      <c r="E360" s="390" t="n">
        <v>0</v>
      </c>
    </row>
    <row r="361">
      <c r="A361" t="n">
        <v>360</v>
      </c>
      <c r="B361" t="inlineStr">
        <is>
          <t>MAT-BOX-HE_THONG_HUT_GIO_THA_F5F1</t>
        </is>
      </c>
      <c r="C361" t="inlineStr">
        <is>
          <t>Box phụ kiện 1000x400</t>
        </is>
      </c>
      <c r="D361" t="inlineStr">
        <is>
          <t>THUONG_MAI</t>
        </is>
      </c>
      <c r="E361" s="390" t="n">
        <v>0</v>
      </c>
    </row>
    <row r="362">
      <c r="A362" t="n">
        <v>361</v>
      </c>
      <c r="B362" t="inlineStr">
        <is>
          <t>MAT-BOX-HE_THONG_HUT_GIO_THA_A184</t>
        </is>
      </c>
      <c r="C362" t="inlineStr">
        <is>
          <t>Box phụ kiện 600x400</t>
        </is>
      </c>
      <c r="D362" t="inlineStr">
        <is>
          <t>THUONG_MAI</t>
        </is>
      </c>
      <c r="E362" s="390" t="n">
        <v>0</v>
      </c>
    </row>
    <row r="363">
      <c r="A363" t="n">
        <v>362</v>
      </c>
      <c r="B363" t="inlineStr">
        <is>
          <t>MAT-BOX-HE_THONG_HUT_GIO_THA_ADC8</t>
        </is>
      </c>
      <c r="C363" t="inlineStr">
        <is>
          <t>Box phụ kiện 300x300</t>
        </is>
      </c>
      <c r="D363" t="inlineStr">
        <is>
          <t>THUONG_MAI</t>
        </is>
      </c>
      <c r="E363" s="390" t="n">
        <v>0</v>
      </c>
    </row>
    <row r="364">
      <c r="A364" t="n">
        <v>363</v>
      </c>
      <c r="B364" t="inlineStr">
        <is>
          <t>FLEX_DUCT_D100_INSULATED</t>
        </is>
      </c>
      <c r="C364" t="inlineStr">
        <is>
          <t>Hệ thống ống thông gió hút gió thải Ống gió mềm D100 không cách nhiệt</t>
        </is>
      </c>
      <c r="D364" t="inlineStr">
        <is>
          <t>ONG_MEM</t>
        </is>
      </c>
      <c r="E364" s="390" t="n">
        <v>0</v>
      </c>
    </row>
    <row r="365">
      <c r="A365" t="n">
        <v>364</v>
      </c>
      <c r="B365" t="inlineStr">
        <is>
          <t>FLEX_DUCT_D150_INSULATED</t>
        </is>
      </c>
      <c r="C365" t="inlineStr">
        <is>
          <t>Hệ thống ống thông gió hút gió thải Ống gió mềm D150 không cách nhiệt</t>
        </is>
      </c>
      <c r="D365" t="inlineStr">
        <is>
          <t>ONG_MEM</t>
        </is>
      </c>
      <c r="E365" s="390" t="n">
        <v>0</v>
      </c>
    </row>
    <row r="366">
      <c r="A366" t="n">
        <v>365</v>
      </c>
      <c r="B366" t="inlineStr">
        <is>
          <t>MAT-THUONG_MAI-ONG_GIO_MEM_D200_KHONG_CACH_NH_5D81</t>
        </is>
      </c>
      <c r="C366" t="inlineStr">
        <is>
          <t>Ống gió mềm D200 không cách nhiệt Vật tư phụ, phụ kiện</t>
        </is>
      </c>
      <c r="D366" t="inlineStr">
        <is>
          <t>THUONG_MAI</t>
        </is>
      </c>
      <c r="E366" s="390" t="n">
        <v>0</v>
      </c>
    </row>
    <row r="367">
      <c r="A367" t="n">
        <v>366</v>
      </c>
      <c r="B367" t="inlineStr">
        <is>
          <t>MAT-THUONG_MAI-HE_THONG_ONG_THONG_GIO_HUT_BEP_1F4C</t>
        </is>
      </c>
      <c r="C367" t="inlineStr">
        <is>
          <t>Hệ thống ống thông gió hút bếp Vật tư phụ, phụ kiện</t>
        </is>
      </c>
      <c r="D367" t="inlineStr">
        <is>
          <t>THUONG_MAI</t>
        </is>
      </c>
      <c r="E367" s="390" t="n">
        <v>0</v>
      </c>
    </row>
    <row r="368">
      <c r="A368" t="n">
        <v>367</v>
      </c>
      <c r="B368" t="inlineStr">
        <is>
          <t>MAT-THUONG_MAI-PHAN_CHUNG_CAM_BIEN_CHAT_LUONG_4BB4</t>
        </is>
      </c>
      <c r="C368" t="inlineStr">
        <is>
          <t>Phần chung Cảm biến chất lượng không khí (CO)</t>
        </is>
      </c>
      <c r="D368" t="inlineStr">
        <is>
          <t>THUONG_MAI</t>
        </is>
      </c>
      <c r="E368" s="390" t="n">
        <v>0</v>
      </c>
    </row>
    <row r="369">
      <c r="A369" t="n">
        <v>368</v>
      </c>
      <c r="B369" t="inlineStr">
        <is>
          <t>MAT-THUONG_MAI-PHAN_CHUNG_CAM_BIEN_CHENH_AP</t>
        </is>
      </c>
      <c r="C369" t="inlineStr">
        <is>
          <t>Phần chung Cảm biến chênh áp</t>
        </is>
      </c>
      <c r="D369" t="inlineStr">
        <is>
          <t>THUONG_MAI</t>
        </is>
      </c>
      <c r="E369" s="390" t="n">
        <v>0</v>
      </c>
    </row>
    <row r="370">
      <c r="A370" t="n">
        <v>369</v>
      </c>
      <c r="B370" t="inlineStr">
        <is>
          <t>MAT-THUONG_MAI-PHAN_CHUNG_CAM_BIEN_KHOI</t>
        </is>
      </c>
      <c r="C370" t="inlineStr">
        <is>
          <t>Phần chung Cảm biến khói</t>
        </is>
      </c>
      <c r="D370" t="inlineStr">
        <is>
          <t>THUONG_MAI</t>
        </is>
      </c>
      <c r="E370" s="390" t="n">
        <v>0</v>
      </c>
    </row>
    <row r="371">
      <c r="A371" t="n">
        <v>370</v>
      </c>
      <c r="B371" t="inlineStr">
        <is>
          <t>MAT-THUONG_MAI-PHAN_CHUNG_CAM_BIEN_NHIET</t>
        </is>
      </c>
      <c r="C371" t="inlineStr">
        <is>
          <t>Phần chung Cảm biến nhiệt</t>
        </is>
      </c>
      <c r="D371" t="inlineStr">
        <is>
          <t>THUONG_MAI</t>
        </is>
      </c>
      <c r="E371" s="390" t="n">
        <v>0</v>
      </c>
    </row>
    <row r="372">
      <c r="A372" t="n">
        <v>371</v>
      </c>
      <c r="B372" t="inlineStr">
        <is>
          <t>MAT-THUONG_MAI-PHAN_CHUNG_VAT_TU_PHU_PHU_KIEN</t>
        </is>
      </c>
      <c r="C372" t="inlineStr">
        <is>
          <t>Phần chung Vật tư phụ, phụ kiện</t>
        </is>
      </c>
      <c r="D372" t="inlineStr">
        <is>
          <t>THUONG_MAI</t>
        </is>
      </c>
      <c r="E372" s="390" t="n">
        <v>0</v>
      </c>
    </row>
    <row r="373">
      <c r="A373" t="n">
        <v>372</v>
      </c>
      <c r="B373" t="inlineStr">
        <is>
          <t>MAT-THUONG_MAI-DAN_NONG_ODU_A1_1_CR_14KW</t>
        </is>
      </c>
      <c r="C373" t="inlineStr">
        <is>
          <t>DÀN NÓNG ODU-A1.1-CR 14kW</t>
        </is>
      </c>
      <c r="D373" t="inlineStr">
        <is>
          <t>THUONG_MAI</t>
        </is>
      </c>
      <c r="E373" s="390" t="n">
        <v>0</v>
      </c>
    </row>
    <row r="374">
      <c r="A374" t="n">
        <v>373</v>
      </c>
      <c r="B374" t="inlineStr">
        <is>
          <t>MAT-THUONG_MAI-DAN_NONG_ODU_A1_1_0101_33_5KW</t>
        </is>
      </c>
      <c r="C374" t="inlineStr">
        <is>
          <t>DÀN NÓNG ODU-A1.1-0101 33.5kW</t>
        </is>
      </c>
      <c r="D374" t="inlineStr">
        <is>
          <t>THUONG_MAI</t>
        </is>
      </c>
      <c r="E374" s="390" t="n">
        <v>0</v>
      </c>
    </row>
    <row r="375">
      <c r="A375" t="n">
        <v>374</v>
      </c>
      <c r="B375" t="inlineStr">
        <is>
          <t>MAT-THUONG_MAI-DAN_NONG_ODU_A1_1_0102_22_4KW</t>
        </is>
      </c>
      <c r="C375" t="inlineStr">
        <is>
          <t>DÀN NÓNG ODU-A1.1-0102 22.4kW</t>
        </is>
      </c>
      <c r="D375" t="inlineStr">
        <is>
          <t>THUONG_MAI</t>
        </is>
      </c>
      <c r="E375" s="390" t="n">
        <v>0</v>
      </c>
    </row>
    <row r="376">
      <c r="A376" t="n">
        <v>375</v>
      </c>
      <c r="B376" t="inlineStr">
        <is>
          <t>MAT-THUONG_MAI-DAN_NONG_ODU_A1_1_0103_50KW</t>
        </is>
      </c>
      <c r="C376" t="inlineStr">
        <is>
          <t>DÀN NÓNG ODU-A1.1-0103 50kW</t>
        </is>
      </c>
      <c r="D376" t="inlineStr">
        <is>
          <t>THUONG_MAI</t>
        </is>
      </c>
      <c r="E376" s="390" t="n">
        <v>0</v>
      </c>
    </row>
    <row r="377">
      <c r="A377" t="n">
        <v>376</v>
      </c>
      <c r="B377" t="inlineStr">
        <is>
          <t>MAT-THUONG_MAI-DAN_NONG_ODU_A1_1_0201_33_5KW</t>
        </is>
      </c>
      <c r="C377" t="inlineStr">
        <is>
          <t>DÀN NÓNG ODU-A1.1-0201 33.5kW</t>
        </is>
      </c>
      <c r="D377" t="inlineStr">
        <is>
          <t>THUONG_MAI</t>
        </is>
      </c>
      <c r="E377" s="390" t="n">
        <v>0</v>
      </c>
    </row>
    <row r="378">
      <c r="A378" t="n">
        <v>377</v>
      </c>
      <c r="B378" t="inlineStr">
        <is>
          <t>MAT-THUONG_MAI-DAN_NONG_ODU_A1_1_0202_28KW</t>
        </is>
      </c>
      <c r="C378" t="inlineStr">
        <is>
          <t>DÀN NÓNG ODU-A1.1-0202 28kW</t>
        </is>
      </c>
      <c r="D378" t="inlineStr">
        <is>
          <t>THUONG_MAI</t>
        </is>
      </c>
      <c r="E378" s="390" t="n">
        <v>0</v>
      </c>
    </row>
    <row r="379">
      <c r="A379" t="n">
        <v>378</v>
      </c>
      <c r="B379" t="inlineStr">
        <is>
          <t>MAT-THUONG_MAI-DAN_NONG_ODU_A1_1_0203_28KW</t>
        </is>
      </c>
      <c r="C379" t="inlineStr">
        <is>
          <t>DÀN NÓNG ODU-A1.1-0203 28kW</t>
        </is>
      </c>
      <c r="D379" t="inlineStr">
        <is>
          <t>THUONG_MAI</t>
        </is>
      </c>
      <c r="E379" s="390" t="n">
        <v>0</v>
      </c>
    </row>
    <row r="380">
      <c r="A380" t="n">
        <v>379</v>
      </c>
      <c r="B380" t="inlineStr">
        <is>
          <t>MAT-THUONG_MAI-DAN_NONG_ODU_A1_1_0205A_22_4KW</t>
        </is>
      </c>
      <c r="C380" t="inlineStr">
        <is>
          <t>DÀN NÓNG ODU-A1.1-0205A 22.4kW</t>
        </is>
      </c>
      <c r="D380" t="inlineStr">
        <is>
          <t>THUONG_MAI</t>
        </is>
      </c>
      <c r="E380" s="390" t="n">
        <v>0</v>
      </c>
    </row>
    <row r="381">
      <c r="A381" t="n">
        <v>380</v>
      </c>
      <c r="B381" t="inlineStr">
        <is>
          <t>MAT-THUONG_MAI-DAN_NONG_ODU_A1_2_0105A2_28KW</t>
        </is>
      </c>
      <c r="C381" t="inlineStr">
        <is>
          <t>DÀN NÓNG ODU-A1.2-0105A2 28kW</t>
        </is>
      </c>
      <c r="D381" t="inlineStr">
        <is>
          <t>THUONG_MAI</t>
        </is>
      </c>
      <c r="E381" s="390" t="n">
        <v>0</v>
      </c>
    </row>
    <row r="382">
      <c r="A382" t="n">
        <v>381</v>
      </c>
      <c r="B382" t="inlineStr">
        <is>
          <t>MAT-THUONG_MAI-DAN_NONG_ODU_A1_2_0105_50KW</t>
        </is>
      </c>
      <c r="C382" t="inlineStr">
        <is>
          <t>DÀN NÓNG ODU-A1.2-0105 50kW</t>
        </is>
      </c>
      <c r="D382" t="inlineStr">
        <is>
          <t>THUONG_MAI</t>
        </is>
      </c>
      <c r="E382" s="390" t="n">
        <v>0</v>
      </c>
    </row>
    <row r="383">
      <c r="A383" t="n">
        <v>382</v>
      </c>
      <c r="B383" t="inlineStr">
        <is>
          <t>MAT-THUONG_MAI-DAN_NONG_ODU_A1_1_0206_14KW</t>
        </is>
      </c>
      <c r="C383" t="inlineStr">
        <is>
          <t>DÀN NÓNG ODU-A1.1-0206 14kW</t>
        </is>
      </c>
      <c r="D383" t="inlineStr">
        <is>
          <t>THUONG_MAI</t>
        </is>
      </c>
      <c r="E383" s="390" t="n">
        <v>0</v>
      </c>
    </row>
    <row r="384">
      <c r="A384" t="n">
        <v>383</v>
      </c>
      <c r="B384" t="inlineStr">
        <is>
          <t>MAT-THUONG_MAI-DAN_NONG_ODU_A1_1_0208A_11_2KW</t>
        </is>
      </c>
      <c r="C384" t="inlineStr">
        <is>
          <t>DÀN NÓNG ODU-A1.1-0208A 11.2kW</t>
        </is>
      </c>
      <c r="D384" t="inlineStr">
        <is>
          <t>THUONG_MAI</t>
        </is>
      </c>
      <c r="E384" s="390" t="n">
        <v>0</v>
      </c>
    </row>
    <row r="385">
      <c r="A385" t="n">
        <v>384</v>
      </c>
      <c r="B385" t="inlineStr">
        <is>
          <t>MAT-THUONG_MAI-DAN_NONG_ODU_A1_1_0208_11_2KW</t>
        </is>
      </c>
      <c r="C385" t="inlineStr">
        <is>
          <t>DÀN NÓNG ODU-A1.1-0208 11.2kW</t>
        </is>
      </c>
      <c r="D385" t="inlineStr">
        <is>
          <t>THUONG_MAI</t>
        </is>
      </c>
      <c r="E385" s="390" t="n">
        <v>0</v>
      </c>
    </row>
    <row r="386">
      <c r="A386" t="n">
        <v>385</v>
      </c>
      <c r="B386" t="inlineStr">
        <is>
          <t>MAT-THUONG_MAI-DAN_NONG_ODU_A1_1_0209_16KW</t>
        </is>
      </c>
      <c r="C386" t="inlineStr">
        <is>
          <t>DÀN NÓNG ODU-A1.1-0209 16kW</t>
        </is>
      </c>
      <c r="D386" t="inlineStr">
        <is>
          <t>THUONG_MAI</t>
        </is>
      </c>
      <c r="E386" s="390" t="n">
        <v>0</v>
      </c>
    </row>
    <row r="387">
      <c r="A387" t="n">
        <v>386</v>
      </c>
      <c r="B387" t="inlineStr">
        <is>
          <t>MAT-THUONG_MAI-DAN_NONG_ODU_A1_2_CR_16KW</t>
        </is>
      </c>
      <c r="C387" t="inlineStr">
        <is>
          <t>DÀN NÓNG ODU-A1.2-CR 16kW</t>
        </is>
      </c>
      <c r="D387" t="inlineStr">
        <is>
          <t>THUONG_MAI</t>
        </is>
      </c>
      <c r="E387" s="390" t="n">
        <v>0</v>
      </c>
    </row>
    <row r="388">
      <c r="A388" t="n">
        <v>387</v>
      </c>
      <c r="B388" t="inlineStr">
        <is>
          <t>MAT-THUONG_MAI-DAN_NONG_ODU_A1_2_0101_33_5KW</t>
        </is>
      </c>
      <c r="C388" t="inlineStr">
        <is>
          <t>DÀN NÓNG ODU-A1.2-0101 33.5kW</t>
        </is>
      </c>
      <c r="D388" t="inlineStr">
        <is>
          <t>THUONG_MAI</t>
        </is>
      </c>
      <c r="E388" s="390" t="n">
        <v>0</v>
      </c>
    </row>
    <row r="389">
      <c r="A389" t="n">
        <v>388</v>
      </c>
      <c r="B389" t="inlineStr">
        <is>
          <t>MAT-THUONG_MAI-DAN_NONG_ODU_A1_2_0102_33_5KW</t>
        </is>
      </c>
      <c r="C389" t="inlineStr">
        <is>
          <t>DÀN NÓNG ODU-A1.2-0102 33.5kW</t>
        </is>
      </c>
      <c r="D389" t="inlineStr">
        <is>
          <t>THUONG_MAI</t>
        </is>
      </c>
      <c r="E389" s="390" t="n">
        <v>0</v>
      </c>
    </row>
    <row r="390">
      <c r="A390" t="n">
        <v>389</v>
      </c>
      <c r="B390" t="inlineStr">
        <is>
          <t>MAT-THUONG_MAI-DAN_NONG_ODU_A1_2_0103_33_5KW</t>
        </is>
      </c>
      <c r="C390" t="inlineStr">
        <is>
          <t>DÀN NÓNG ODU-A1.2-0103 33.5kW</t>
        </is>
      </c>
      <c r="D390" t="inlineStr">
        <is>
          <t>THUONG_MAI</t>
        </is>
      </c>
      <c r="E390" s="390" t="n">
        <v>0</v>
      </c>
    </row>
    <row r="391">
      <c r="A391" t="n">
        <v>390</v>
      </c>
      <c r="B391" t="inlineStr">
        <is>
          <t>MAT-THUONG_MAI-DAN_NONG_ODU_A1_2_0106_28KW</t>
        </is>
      </c>
      <c r="C391" t="inlineStr">
        <is>
          <t>DÀN NÓNG ODU-A1.2-0106 28kW</t>
        </is>
      </c>
      <c r="D391" t="inlineStr">
        <is>
          <t>THUONG_MAI</t>
        </is>
      </c>
      <c r="E391" s="390" t="n">
        <v>0</v>
      </c>
    </row>
    <row r="392">
      <c r="A392" t="n">
        <v>391</v>
      </c>
      <c r="B392" t="inlineStr">
        <is>
          <t>MAT-THUONG_MAI-DAN_NONG_ODU_A1_2_0108A_22_4KW</t>
        </is>
      </c>
      <c r="C392" t="inlineStr">
        <is>
          <t>DÀN NÓNG ODU-A1.2-0108A 22.4kW</t>
        </is>
      </c>
      <c r="D392" t="inlineStr">
        <is>
          <t>THUONG_MAI</t>
        </is>
      </c>
      <c r="E392" s="390" t="n">
        <v>0</v>
      </c>
    </row>
    <row r="393">
      <c r="A393" t="n">
        <v>392</v>
      </c>
      <c r="B393" t="inlineStr">
        <is>
          <t>MAT-THUONG_MAI-DAN_NONG_ODU_A1_2_0201_28KW</t>
        </is>
      </c>
      <c r="C393" t="inlineStr">
        <is>
          <t>DÀN NÓNG ODU-A1.2-0201 28kW</t>
        </is>
      </c>
      <c r="D393" t="inlineStr">
        <is>
          <t>THUONG_MAI</t>
        </is>
      </c>
      <c r="E393" s="390" t="n">
        <v>0</v>
      </c>
    </row>
    <row r="394">
      <c r="A394" t="n">
        <v>393</v>
      </c>
      <c r="B394" t="inlineStr">
        <is>
          <t>MAT-THUONG_MAI-DAN_NONG_ODU_A1_2_0202_33_5KW</t>
        </is>
      </c>
      <c r="C394" t="inlineStr">
        <is>
          <t>DÀN NÓNG ODU-A1.2-0202 33.5kW</t>
        </is>
      </c>
      <c r="D394" t="inlineStr">
        <is>
          <t>THUONG_MAI</t>
        </is>
      </c>
      <c r="E394" s="390" t="n">
        <v>0</v>
      </c>
    </row>
    <row r="395">
      <c r="A395" t="n">
        <v>394</v>
      </c>
      <c r="B395" t="inlineStr">
        <is>
          <t>MAT-THUONG_MAI-DAN_NONG_ODU_A1_2_0203_33_5KW</t>
        </is>
      </c>
      <c r="C395" t="inlineStr">
        <is>
          <t>DÀN NÓNG ODU-A1.2-0203 33.5kW</t>
        </is>
      </c>
      <c r="D395" t="inlineStr">
        <is>
          <t>THUONG_MAI</t>
        </is>
      </c>
      <c r="E395" s="390" t="n">
        <v>0</v>
      </c>
    </row>
    <row r="396">
      <c r="A396" t="n">
        <v>395</v>
      </c>
      <c r="B396" t="inlineStr">
        <is>
          <t>MAT-THUONG_MAI-DAN_NONG_ODU_A1_2_0205A_33_5KW</t>
        </is>
      </c>
      <c r="C396" t="inlineStr">
        <is>
          <t>DÀN NÓNG ODU-A1.2-0205A 33.5kW</t>
        </is>
      </c>
      <c r="D396" t="inlineStr">
        <is>
          <t>THUONG_MAI</t>
        </is>
      </c>
      <c r="E396" s="390" t="n">
        <v>0</v>
      </c>
    </row>
    <row r="397">
      <c r="A397" t="n">
        <v>396</v>
      </c>
      <c r="B397" t="inlineStr">
        <is>
          <t>MAT-THUONG_MAI-DAN_NONG_ODU_A1_2_0205_28KW</t>
        </is>
      </c>
      <c r="C397" t="inlineStr">
        <is>
          <t>DÀN NÓNG ODU-A1.2-0205 28kW</t>
        </is>
      </c>
      <c r="D397" t="inlineStr">
        <is>
          <t>THUONG_MAI</t>
        </is>
      </c>
      <c r="E397" s="390" t="n">
        <v>0</v>
      </c>
    </row>
    <row r="398">
      <c r="A398" t="n">
        <v>397</v>
      </c>
      <c r="B398" t="inlineStr">
        <is>
          <t>MAT-THUONG_MAI-DAN_NONG_ODU_A1_2_0206_20KW</t>
        </is>
      </c>
      <c r="C398" t="inlineStr">
        <is>
          <t>DÀN NÓNG ODU-A1.2-0206 20kW</t>
        </is>
      </c>
      <c r="D398" t="inlineStr">
        <is>
          <t>THUONG_MAI</t>
        </is>
      </c>
      <c r="E398" s="390" t="n">
        <v>0</v>
      </c>
    </row>
    <row r="399">
      <c r="A399" t="n">
        <v>398</v>
      </c>
      <c r="B399" t="inlineStr">
        <is>
          <t>MAT-THUONG_MAI-DAN_NONG_ODU_A1_2_0208A_14KW</t>
        </is>
      </c>
      <c r="C399" t="inlineStr">
        <is>
          <t>DÀN NÓNG ODU-A1.2-0208A 14kW</t>
        </is>
      </c>
      <c r="D399" t="inlineStr">
        <is>
          <t>THUONG_MAI</t>
        </is>
      </c>
      <c r="E399" s="390" t="n">
        <v>0</v>
      </c>
    </row>
    <row r="400">
      <c r="A400" t="n">
        <v>399</v>
      </c>
      <c r="B400" t="inlineStr">
        <is>
          <t>MAT-THUONG_MAI-DAN_NONG_ODU_A1_2_0208_14KW</t>
        </is>
      </c>
      <c r="C400" t="inlineStr">
        <is>
          <t>DÀN NÓNG ODU-A1.2-0208 14kW</t>
        </is>
      </c>
      <c r="D400" t="inlineStr">
        <is>
          <t>THUONG_MAI</t>
        </is>
      </c>
      <c r="E400" s="390" t="n">
        <v>0</v>
      </c>
    </row>
    <row r="401">
      <c r="A401" t="n">
        <v>400</v>
      </c>
      <c r="B401" t="inlineStr">
        <is>
          <t>MAT-THUONG_MAI-DAN_NONG_ODU_A1_2_0209_14KW</t>
        </is>
      </c>
      <c r="C401" t="inlineStr">
        <is>
          <t>DÀN NÓNG ODU-A1.2-0209 14kW</t>
        </is>
      </c>
      <c r="D401" t="inlineStr">
        <is>
          <t>THUONG_MAI</t>
        </is>
      </c>
      <c r="E401" s="390" t="n">
        <v>0</v>
      </c>
    </row>
    <row r="402">
      <c r="A402" t="n">
        <v>401</v>
      </c>
      <c r="B402" t="inlineStr">
        <is>
          <t>MAT-THUONG_MAI-DAN_NONG_ODU_A1_2_0210_11_2KW</t>
        </is>
      </c>
      <c r="C402" t="inlineStr">
        <is>
          <t>DÀN NÓNG ODU-A1.2-0210 11.2kW</t>
        </is>
      </c>
      <c r="D402" t="inlineStr">
        <is>
          <t>THUONG_MAI</t>
        </is>
      </c>
      <c r="E402" s="390" t="n">
        <v>0</v>
      </c>
    </row>
    <row r="403">
      <c r="A403" t="n">
        <v>402</v>
      </c>
      <c r="B403" t="inlineStr">
        <is>
          <t>MAT-THUONG_MAI-DAN_NONG_ODU_A1_2_0211_14KW</t>
        </is>
      </c>
      <c r="C403" t="inlineStr">
        <is>
          <t>DÀN NÓNG ODU-A1.2-0211 14kW</t>
        </is>
      </c>
      <c r="D403" t="inlineStr">
        <is>
          <t>THUONG_MAI</t>
        </is>
      </c>
      <c r="E403" s="390" t="n">
        <v>0</v>
      </c>
    </row>
    <row r="404">
      <c r="A404" t="n">
        <v>403</v>
      </c>
      <c r="B404" t="inlineStr">
        <is>
          <t>MAT-THUONG_MAI-DAN_NONG_ODU_A1_2_0212_16KW</t>
        </is>
      </c>
      <c r="C404" t="inlineStr">
        <is>
          <t>DÀN NÓNG ODU-A1.2-0212 16kW</t>
        </is>
      </c>
      <c r="D404" t="inlineStr">
        <is>
          <t>THUONG_MAI</t>
        </is>
      </c>
      <c r="E404" s="390" t="n">
        <v>0</v>
      </c>
    </row>
    <row r="405">
      <c r="A405" t="n">
        <v>404</v>
      </c>
      <c r="B405" t="inlineStr">
        <is>
          <t>MAT-THUONG_MAI-DAN_NONG_ODU_A1_3_CR_16</t>
        </is>
      </c>
      <c r="C405" t="inlineStr">
        <is>
          <t>DÀN NÓNG ODU-A1.3-CR 16</t>
        </is>
      </c>
      <c r="D405" t="inlineStr">
        <is>
          <t>THUONG_MAI</t>
        </is>
      </c>
      <c r="E405" s="390" t="n">
        <v>0</v>
      </c>
    </row>
    <row r="406">
      <c r="A406" t="n">
        <v>405</v>
      </c>
      <c r="B406" t="inlineStr">
        <is>
          <t>MAT-THUONG_MAI-DAN_NONG_ODU_A1_3_0101_56KW</t>
        </is>
      </c>
      <c r="C406" t="inlineStr">
        <is>
          <t>DÀN NÓNG ODU-A1.3-0101 56kW</t>
        </is>
      </c>
      <c r="D406" t="inlineStr">
        <is>
          <t>THUONG_MAI</t>
        </is>
      </c>
      <c r="E406" s="390" t="n">
        <v>0</v>
      </c>
    </row>
    <row r="407">
      <c r="A407" t="n">
        <v>406</v>
      </c>
      <c r="B407" t="inlineStr">
        <is>
          <t>MAT-THUONG_MAI-DAN_NONG_ODU_A1_3_0102_50KW</t>
        </is>
      </c>
      <c r="C407" t="inlineStr">
        <is>
          <t>DÀN NÓNG ODU-A1.3-0102 50kW</t>
        </is>
      </c>
      <c r="D407" t="inlineStr">
        <is>
          <t>THUONG_MAI</t>
        </is>
      </c>
      <c r="E407" s="390" t="n">
        <v>0</v>
      </c>
    </row>
    <row r="408">
      <c r="A408" t="n">
        <v>407</v>
      </c>
      <c r="B408" t="inlineStr">
        <is>
          <t>MAT-THUONG_MAI-DAN_NONG_ODU_A1_3_0103_33_5KW</t>
        </is>
      </c>
      <c r="C408" t="inlineStr">
        <is>
          <t>DÀN NÓNG ODU-A1.3-0103 33.5kW</t>
        </is>
      </c>
      <c r="D408" t="inlineStr">
        <is>
          <t>THUONG_MAI</t>
        </is>
      </c>
      <c r="E408" s="390" t="n">
        <v>0</v>
      </c>
    </row>
    <row r="409">
      <c r="A409" t="n">
        <v>408</v>
      </c>
      <c r="B409" t="inlineStr">
        <is>
          <t>MAT-THUONG_MAI-DAN_NONG_ODU_A1_3_0105A_40KW</t>
        </is>
      </c>
      <c r="C409" t="inlineStr">
        <is>
          <t>DÀN NÓNG ODU-A1.3-0105A 40kW</t>
        </is>
      </c>
      <c r="D409" t="inlineStr">
        <is>
          <t>THUONG_MAI</t>
        </is>
      </c>
      <c r="E409" s="390" t="n">
        <v>0</v>
      </c>
    </row>
    <row r="410">
      <c r="A410" t="n">
        <v>409</v>
      </c>
      <c r="B410" t="inlineStr">
        <is>
          <t>MAT-THUONG_MAI-DAN_NONG_ODU_A1_3_0105_45KW</t>
        </is>
      </c>
      <c r="C410" t="inlineStr">
        <is>
          <t>DÀN NÓNG ODU-A1.3-0105 45kW</t>
        </is>
      </c>
      <c r="D410" t="inlineStr">
        <is>
          <t>THUONG_MAI</t>
        </is>
      </c>
      <c r="E410" s="390" t="n">
        <v>0</v>
      </c>
    </row>
    <row r="411">
      <c r="A411" t="n">
        <v>410</v>
      </c>
      <c r="B411" t="inlineStr">
        <is>
          <t>MAT-THUONG_MAI-DAN_NONG_ODU_A1_3_0201_50KW</t>
        </is>
      </c>
      <c r="C411" t="inlineStr">
        <is>
          <t>DÀN NÓNG ODU-A1.3-0201 50kW</t>
        </is>
      </c>
      <c r="D411" t="inlineStr">
        <is>
          <t>THUONG_MAI</t>
        </is>
      </c>
      <c r="E411" s="390" t="n">
        <v>0</v>
      </c>
    </row>
    <row r="412">
      <c r="A412" t="n">
        <v>411</v>
      </c>
      <c r="B412" t="inlineStr">
        <is>
          <t>MAT-THUONG_MAI-DAN_NONG_ODU_A1_3_0202_33_5KW</t>
        </is>
      </c>
      <c r="C412" t="inlineStr">
        <is>
          <t>DÀN NÓNG ODU-A1.3-0202 33.5kW</t>
        </is>
      </c>
      <c r="D412" t="inlineStr">
        <is>
          <t>THUONG_MAI</t>
        </is>
      </c>
      <c r="E412" s="390" t="n">
        <v>0</v>
      </c>
    </row>
    <row r="413">
      <c r="A413" t="n">
        <v>412</v>
      </c>
      <c r="B413" t="inlineStr">
        <is>
          <t>MAT-THUONG_MAI-DAN_NONG_ODU_A1_3_0203_50KW</t>
        </is>
      </c>
      <c r="C413" t="inlineStr">
        <is>
          <t>DÀN NÓNG ODU-A1.3-0203 50kW</t>
        </is>
      </c>
      <c r="D413" t="inlineStr">
        <is>
          <t>THUONG_MAI</t>
        </is>
      </c>
      <c r="E413" s="390" t="n">
        <v>0</v>
      </c>
    </row>
    <row r="414">
      <c r="A414" t="n">
        <v>413</v>
      </c>
      <c r="B414" t="inlineStr">
        <is>
          <t>MAT-THUONG_MAI-DAN_NONG_ODU_A1_3_0205A_33_5KW</t>
        </is>
      </c>
      <c r="C414" t="inlineStr">
        <is>
          <t>DÀN NÓNG ODU-A1.3-0205A 33.5kW</t>
        </is>
      </c>
      <c r="D414" t="inlineStr">
        <is>
          <t>THUONG_MAI</t>
        </is>
      </c>
      <c r="E414" s="390" t="n">
        <v>0</v>
      </c>
    </row>
    <row r="415">
      <c r="A415" t="n">
        <v>414</v>
      </c>
      <c r="B415" t="inlineStr">
        <is>
          <t>MAT-THUONG_MAI-DAN_NONG_ODU_A1_3_0205_16KW</t>
        </is>
      </c>
      <c r="C415" t="inlineStr">
        <is>
          <t>DÀN NÓNG ODU-A1.3-0205 16kW</t>
        </is>
      </c>
      <c r="D415" t="inlineStr">
        <is>
          <t>THUONG_MAI</t>
        </is>
      </c>
      <c r="E415" s="390" t="n">
        <v>0</v>
      </c>
    </row>
    <row r="416">
      <c r="A416" t="n">
        <v>415</v>
      </c>
      <c r="B416" t="inlineStr">
        <is>
          <t>MAT-THUONG_MAI-DAN_NONG_ODU_A1_3_0206_11_2KW</t>
        </is>
      </c>
      <c r="C416" t="inlineStr">
        <is>
          <t>DÀN NÓNG ODU-A1.3-0206 11.2kW</t>
        </is>
      </c>
      <c r="D416" t="inlineStr">
        <is>
          <t>THUONG_MAI</t>
        </is>
      </c>
      <c r="E416" s="390" t="n">
        <v>0</v>
      </c>
    </row>
    <row r="417">
      <c r="A417" t="n">
        <v>416</v>
      </c>
      <c r="B417" t="inlineStr">
        <is>
          <t>MAT-THUONG_MAI-DAN_NONG_ODU_A1_3_0208A_14KW</t>
        </is>
      </c>
      <c r="C417" t="inlineStr">
        <is>
          <t>DÀN NÓNG ODU-A1.3-0208A 14kW</t>
        </is>
      </c>
      <c r="D417" t="inlineStr">
        <is>
          <t>THUONG_MAI</t>
        </is>
      </c>
      <c r="E417" s="390" t="n">
        <v>0</v>
      </c>
    </row>
    <row r="418">
      <c r="A418" t="n">
        <v>417</v>
      </c>
      <c r="B418" t="inlineStr">
        <is>
          <t>MAT-THUONG_MAI-DAN_NONG_VAT_TU_PHU_PHU_KIEN</t>
        </is>
      </c>
      <c r="C418" t="inlineStr">
        <is>
          <t>DÀN NÓNG Vật tư phụ, phụ kiện</t>
        </is>
      </c>
      <c r="D418" t="inlineStr">
        <is>
          <t>THUONG_MAI</t>
        </is>
      </c>
      <c r="E418" s="390" t="n">
        <v>0</v>
      </c>
    </row>
    <row r="419">
      <c r="A419" t="n">
        <v>418</v>
      </c>
      <c r="B419" t="inlineStr">
        <is>
          <t>MAT-THUONG_MAI-DAN_LANH_IDU_A1_1_1F_01_03_11_2KW</t>
        </is>
      </c>
      <c r="C419" t="inlineStr">
        <is>
          <t>DÀN LẠNH IDU-A1.1-1F-01~03 11.2kW</t>
        </is>
      </c>
      <c r="D419" t="inlineStr">
        <is>
          <t>THUONG_MAI</t>
        </is>
      </c>
      <c r="E419" s="390" t="n">
        <v>0</v>
      </c>
    </row>
    <row r="420">
      <c r="A420" t="n">
        <v>419</v>
      </c>
      <c r="B420" t="inlineStr">
        <is>
          <t>MAT-THUONG_MAI-DAN_LANH_IDU_A1_1_1F_04_11_2KW</t>
        </is>
      </c>
      <c r="C420" t="inlineStr">
        <is>
          <t>DÀN LẠNH IDU-A1.1-1F-04 11.2kW</t>
        </is>
      </c>
      <c r="D420" t="inlineStr">
        <is>
          <t>THUONG_MAI</t>
        </is>
      </c>
      <c r="E420" s="390" t="n">
        <v>0</v>
      </c>
    </row>
    <row r="421">
      <c r="A421" t="n">
        <v>420</v>
      </c>
      <c r="B421" t="inlineStr">
        <is>
          <t>MAT-THUONG_MAI-DAN_LANH_IDU_A1_1_1F_05_7_1KW</t>
        </is>
      </c>
      <c r="C421" t="inlineStr">
        <is>
          <t>DÀN LẠNH IDU-A1.1-1F-05 7.1kW</t>
        </is>
      </c>
      <c r="D421" t="inlineStr">
        <is>
          <t>THUONG_MAI</t>
        </is>
      </c>
      <c r="E421" s="390" t="n">
        <v>0</v>
      </c>
    </row>
    <row r="422">
      <c r="A422" t="n">
        <v>421</v>
      </c>
      <c r="B422" t="inlineStr">
        <is>
          <t>MAT-THUONG_MAI-DAN_LANH_IDU_A1_1_1F_06_14KW</t>
        </is>
      </c>
      <c r="C422" t="inlineStr">
        <is>
          <t>DÀN LẠNH IDU-A1.1-1F-06 14kW</t>
        </is>
      </c>
      <c r="D422" t="inlineStr">
        <is>
          <t>THUONG_MAI</t>
        </is>
      </c>
      <c r="E422" s="390" t="n">
        <v>0</v>
      </c>
    </row>
    <row r="423">
      <c r="A423" t="n">
        <v>422</v>
      </c>
      <c r="B423" t="inlineStr">
        <is>
          <t>MAT-THUONG_MAI-DAN_LANH_IDU_A1_1_1F_07_09_11_2KW</t>
        </is>
      </c>
      <c r="C423" t="inlineStr">
        <is>
          <t>DÀN LẠNH IDU-A1.1-1F-07~09 11.2kW</t>
        </is>
      </c>
      <c r="D423" t="inlineStr">
        <is>
          <t>THUONG_MAI</t>
        </is>
      </c>
      <c r="E423" s="390" t="n">
        <v>0</v>
      </c>
    </row>
    <row r="424">
      <c r="A424" t="n">
        <v>423</v>
      </c>
      <c r="B424" t="inlineStr">
        <is>
          <t>MAT-THUONG_MAI-DAN_LANH_IDU_A1_1_1F_10_11_5_6KW</t>
        </is>
      </c>
      <c r="C424" t="inlineStr">
        <is>
          <t>DÀN LẠNH IDU-A1.1-1F-10, 11 5.6kW</t>
        </is>
      </c>
      <c r="D424" t="inlineStr">
        <is>
          <t>THUONG_MAI</t>
        </is>
      </c>
      <c r="E424" s="390" t="n">
        <v>0</v>
      </c>
    </row>
    <row r="425">
      <c r="A425" t="n">
        <v>424</v>
      </c>
      <c r="B425" t="inlineStr">
        <is>
          <t>MAT-THUONG_MAI-DAN_LANH_IDU_A1_1_2F_01_11_2KW</t>
        </is>
      </c>
      <c r="C425" t="inlineStr">
        <is>
          <t>DÀN LẠNH IDU-A1.1-2F-01 11.2kW</t>
        </is>
      </c>
      <c r="D425" t="inlineStr">
        <is>
          <t>THUONG_MAI</t>
        </is>
      </c>
      <c r="E425" s="390" t="n">
        <v>0</v>
      </c>
    </row>
    <row r="426">
      <c r="A426" t="n">
        <v>425</v>
      </c>
      <c r="B426" t="inlineStr">
        <is>
          <t>MAT-THUONG_MAI-DAN_LANH_IDU_A1_1_2F_02_03_9KW</t>
        </is>
      </c>
      <c r="C426" t="inlineStr">
        <is>
          <t>DÀN LẠNH IDU-A1.1-2F-02, 03 9kW</t>
        </is>
      </c>
      <c r="D426" t="inlineStr">
        <is>
          <t>THUONG_MAI</t>
        </is>
      </c>
      <c r="E426" s="390" t="n">
        <v>0</v>
      </c>
    </row>
    <row r="427">
      <c r="A427" t="n">
        <v>426</v>
      </c>
      <c r="B427" t="inlineStr">
        <is>
          <t>MAT-THUONG_MAI-DAN_LANH_IDU_A1_1_2F_04_05_11_2KW</t>
        </is>
      </c>
      <c r="C427" t="inlineStr">
        <is>
          <t>DÀN LẠNH IDU-A1.1-2F-04, 05 11.2kW</t>
        </is>
      </c>
      <c r="D427" t="inlineStr">
        <is>
          <t>THUONG_MAI</t>
        </is>
      </c>
      <c r="E427" s="390" t="n">
        <v>0</v>
      </c>
    </row>
    <row r="428">
      <c r="A428" t="n">
        <v>427</v>
      </c>
      <c r="B428" t="inlineStr">
        <is>
          <t>MAT-THUONG_MAI-DAN_LANH_IDU_A1_1_2F_06_07_11_2KW</t>
        </is>
      </c>
      <c r="C428" t="inlineStr">
        <is>
          <t>DÀN LẠNH IDU-A1.1-2F-06, 07 11.2kW</t>
        </is>
      </c>
      <c r="D428" t="inlineStr">
        <is>
          <t>THUONG_MAI</t>
        </is>
      </c>
      <c r="E428" s="390" t="n">
        <v>0</v>
      </c>
    </row>
    <row r="429">
      <c r="A429" t="n">
        <v>428</v>
      </c>
      <c r="B429" t="inlineStr">
        <is>
          <t>MAT-THUONG_MAI-DAN_LANH_IDU_A1_1_2F_08_09_9KW</t>
        </is>
      </c>
      <c r="C429" t="inlineStr">
        <is>
          <t>DÀN LẠNH IDU-A1.1-2F-08, 09 9kW</t>
        </is>
      </c>
      <c r="D429" t="inlineStr">
        <is>
          <t>THUONG_MAI</t>
        </is>
      </c>
      <c r="E429" s="390" t="n">
        <v>0</v>
      </c>
    </row>
    <row r="430">
      <c r="A430" t="n">
        <v>429</v>
      </c>
      <c r="B430" t="inlineStr">
        <is>
          <t>MAT-THUONG_MAI-DAN_LANH_IDU_A1_1_2F_10_11_4_5KW</t>
        </is>
      </c>
      <c r="C430" t="inlineStr">
        <is>
          <t>DÀN LẠNH IDU-A1.1-2F-10, 11 4.5kW</t>
        </is>
      </c>
      <c r="D430" t="inlineStr">
        <is>
          <t>THUONG_MAI</t>
        </is>
      </c>
      <c r="E430" s="390" t="n">
        <v>0</v>
      </c>
    </row>
    <row r="431">
      <c r="A431" t="n">
        <v>430</v>
      </c>
      <c r="B431" t="inlineStr">
        <is>
          <t>MAT-THUONG_MAI-DAN_LANH_IDU_A1_1_2F_12_13_5_6KW</t>
        </is>
      </c>
      <c r="C431" t="inlineStr">
        <is>
          <t>DÀN LẠNH IDU-A1.1-2F-12, 13 5.6kW</t>
        </is>
      </c>
      <c r="D431" t="inlineStr">
        <is>
          <t>THUONG_MAI</t>
        </is>
      </c>
      <c r="E431" s="390" t="n">
        <v>0</v>
      </c>
    </row>
    <row r="432">
      <c r="A432" t="n">
        <v>431</v>
      </c>
      <c r="B432" t="inlineStr">
        <is>
          <t>MAT-THUONG_MAI-DAN_LANH_IDU_A1_1_2F_14_15_4_5KW</t>
        </is>
      </c>
      <c r="C432" t="inlineStr">
        <is>
          <t>DÀN LẠNH IDU-A1.1-2F-14, 15 4.5kW</t>
        </is>
      </c>
      <c r="D432" t="inlineStr">
        <is>
          <t>THUONG_MAI</t>
        </is>
      </c>
      <c r="E432" s="390" t="n">
        <v>0</v>
      </c>
    </row>
    <row r="433">
      <c r="A433" t="n">
        <v>432</v>
      </c>
      <c r="B433" t="inlineStr">
        <is>
          <t>MAT-THUONG_MAI-DAN_LANH_IDU_A1_1_2F_16_17_4_5KW</t>
        </is>
      </c>
      <c r="C433" t="inlineStr">
        <is>
          <t>DÀN LẠNH IDU-A1.1-2F-16, 17 4.5kW</t>
        </is>
      </c>
      <c r="D433" t="inlineStr">
        <is>
          <t>THUONG_MAI</t>
        </is>
      </c>
      <c r="E433" s="390" t="n">
        <v>0</v>
      </c>
    </row>
    <row r="434">
      <c r="A434" t="n">
        <v>433</v>
      </c>
      <c r="B434" t="inlineStr">
        <is>
          <t>MAT-THUONG_MAI-DAN_LANH_IDU_A1_1_2F_18_19_7_1KW</t>
        </is>
      </c>
      <c r="C434" t="inlineStr">
        <is>
          <t>DÀN LẠNH IDU-A1.1-2F-18, 19 7.1kW</t>
        </is>
      </c>
      <c r="D434" t="inlineStr">
        <is>
          <t>THUONG_MAI</t>
        </is>
      </c>
      <c r="E434" s="390" t="n">
        <v>0</v>
      </c>
    </row>
    <row r="435">
      <c r="A435" t="n">
        <v>434</v>
      </c>
      <c r="B435" t="inlineStr">
        <is>
          <t>MAT-THUONG_MAI-DAN_LANH_IDU_A1_2_1F_01_02_14KW</t>
        </is>
      </c>
      <c r="C435" t="inlineStr">
        <is>
          <t>DÀN LẠNH IDU-A1.2-1F-01, 02 14kW</t>
        </is>
      </c>
      <c r="D435" t="inlineStr">
        <is>
          <t>THUONG_MAI</t>
        </is>
      </c>
      <c r="E435" s="390" t="n">
        <v>0</v>
      </c>
    </row>
    <row r="436">
      <c r="A436" t="n">
        <v>435</v>
      </c>
      <c r="B436" t="inlineStr">
        <is>
          <t>MAT-THUONG_MAI-DAN_LANH_IDU_A1_2_1F_03_14KW</t>
        </is>
      </c>
      <c r="C436" t="inlineStr">
        <is>
          <t>DÀN LẠNH IDU-A1.2-1F-03 14kW</t>
        </is>
      </c>
      <c r="D436" t="inlineStr">
        <is>
          <t>THUONG_MAI</t>
        </is>
      </c>
      <c r="E436" s="390" t="n">
        <v>0</v>
      </c>
    </row>
    <row r="437">
      <c r="A437" t="n">
        <v>436</v>
      </c>
      <c r="B437" t="inlineStr">
        <is>
          <t>MAT-THUONG_MAI-DAN_LANH_IDU_A1_2_1F_04_05_9KW</t>
        </is>
      </c>
      <c r="C437" t="inlineStr">
        <is>
          <t>DÀN LẠNH IDU-A1.2-1F-04, 05 9kW</t>
        </is>
      </c>
      <c r="D437" t="inlineStr">
        <is>
          <t>THUONG_MAI</t>
        </is>
      </c>
      <c r="E437" s="390" t="n">
        <v>0</v>
      </c>
    </row>
    <row r="438">
      <c r="A438" t="n">
        <v>437</v>
      </c>
      <c r="B438" t="inlineStr">
        <is>
          <t>MAT-THUONG_MAI-DAN_LANH_IDU_A1_2_1F_06_07_14KW</t>
        </is>
      </c>
      <c r="C438" t="inlineStr">
        <is>
          <t>DÀN LẠNH IDU-A1.2-1F-06, 07 14kW</t>
        </is>
      </c>
      <c r="D438" t="inlineStr">
        <is>
          <t>THUONG_MAI</t>
        </is>
      </c>
      <c r="E438" s="390" t="n">
        <v>0</v>
      </c>
    </row>
    <row r="439">
      <c r="A439" t="n">
        <v>438</v>
      </c>
      <c r="B439" t="inlineStr">
        <is>
          <t>MAT-THUONG_MAI-DAN_LANH_IDU_A1_2_1F_08_09_11_2KW</t>
        </is>
      </c>
      <c r="C439" t="inlineStr">
        <is>
          <t>DÀN LẠNH IDU-A1.2-1F-08, 09 11.2kW</t>
        </is>
      </c>
      <c r="D439" t="inlineStr">
        <is>
          <t>THUONG_MAI</t>
        </is>
      </c>
      <c r="E439" s="390" t="n">
        <v>0</v>
      </c>
    </row>
    <row r="440">
      <c r="A440" t="n">
        <v>439</v>
      </c>
      <c r="B440" t="inlineStr">
        <is>
          <t>MAT-THUONG_MAI-DAN_LANH_IDU_A1_2_1F_10_11_11_2KW</t>
        </is>
      </c>
      <c r="C440" t="inlineStr">
        <is>
          <t>DÀN LẠNH IDU-A1.2-1F-10, 11 11.2kW</t>
        </is>
      </c>
      <c r="D440" t="inlineStr">
        <is>
          <t>THUONG_MAI</t>
        </is>
      </c>
      <c r="E440" s="390" t="n">
        <v>0</v>
      </c>
    </row>
    <row r="441">
      <c r="A441" t="n">
        <v>440</v>
      </c>
      <c r="B441" t="inlineStr">
        <is>
          <t>MAT-THUONG_MAI-DAN_LANH_IDU_A1_2_1F_12_13_7_1KW</t>
        </is>
      </c>
      <c r="C441" t="inlineStr">
        <is>
          <t>DÀN LẠNH IDU-A1.2-1F-12, 13 7.1kW</t>
        </is>
      </c>
      <c r="D441" t="inlineStr">
        <is>
          <t>THUONG_MAI</t>
        </is>
      </c>
      <c r="E441" s="390" t="n">
        <v>0</v>
      </c>
    </row>
    <row r="442">
      <c r="A442" t="n">
        <v>441</v>
      </c>
      <c r="B442" t="inlineStr">
        <is>
          <t>MAT-THUONG_MAI-DAN_LANH_IDU_A1_2_1F_14_15_11_2KW</t>
        </is>
      </c>
      <c r="C442" t="inlineStr">
        <is>
          <t>DÀN LẠNH IDU-A1.2-1F-14, 15 11.2kW</t>
        </is>
      </c>
      <c r="D442" t="inlineStr">
        <is>
          <t>THUONG_MAI</t>
        </is>
      </c>
      <c r="E442" s="390" t="n">
        <v>0</v>
      </c>
    </row>
    <row r="443">
      <c r="A443" t="n">
        <v>442</v>
      </c>
      <c r="B443" t="inlineStr">
        <is>
          <t>MAT-THUONG_MAI-DAN_LANH_IDU_A1_2_1F_16_17_9KW</t>
        </is>
      </c>
      <c r="C443" t="inlineStr">
        <is>
          <t>DÀN LẠNH IDU-A1.2-1F-16, 17 9kW</t>
        </is>
      </c>
      <c r="D443" t="inlineStr">
        <is>
          <t>THUONG_MAI</t>
        </is>
      </c>
      <c r="E443" s="390" t="n">
        <v>0</v>
      </c>
    </row>
    <row r="444">
      <c r="A444" t="n">
        <v>443</v>
      </c>
      <c r="B444" t="inlineStr">
        <is>
          <t>MAT-THUONG_MAI-DAN_LANH_IDU_A1_2_2F_01_02_11_2KW</t>
        </is>
      </c>
      <c r="C444" t="inlineStr">
        <is>
          <t>DÀN LẠNH IDU-A1.2-2F-01, 02 11.2kW</t>
        </is>
      </c>
      <c r="D444" t="inlineStr">
        <is>
          <t>THUONG_MAI</t>
        </is>
      </c>
      <c r="E444" s="390" t="n">
        <v>0</v>
      </c>
    </row>
    <row r="445">
      <c r="A445" t="n">
        <v>444</v>
      </c>
      <c r="B445" t="inlineStr">
        <is>
          <t>MAT-THUONG_MAI-DAN_LANH_IDU_A1_2_2F_03_04_11_2KW</t>
        </is>
      </c>
      <c r="C445" t="inlineStr">
        <is>
          <t>DÀN LẠNH IDU-A1.2-2F-03, 04 11.2kW</t>
        </is>
      </c>
      <c r="D445" t="inlineStr">
        <is>
          <t>THUONG_MAI</t>
        </is>
      </c>
      <c r="E445" s="390" t="n">
        <v>0</v>
      </c>
    </row>
    <row r="446">
      <c r="A446" t="n">
        <v>445</v>
      </c>
      <c r="B446" t="inlineStr">
        <is>
          <t>MAT-THUONG_MAI-DAN_LANH_IDU_A1_2_2F_05_9KW</t>
        </is>
      </c>
      <c r="C446" t="inlineStr">
        <is>
          <t>DÀN LẠNH IDU-A1.2-2F-05 9kW</t>
        </is>
      </c>
      <c r="D446" t="inlineStr">
        <is>
          <t>THUONG_MAI</t>
        </is>
      </c>
      <c r="E446" s="390" t="n">
        <v>0</v>
      </c>
    </row>
    <row r="447">
      <c r="A447" t="n">
        <v>446</v>
      </c>
      <c r="B447" t="inlineStr">
        <is>
          <t>MAT-THUONG_MAI-DAN_LANH_IDU_A1_2_2F_06_07_14KW</t>
        </is>
      </c>
      <c r="C447" t="inlineStr">
        <is>
          <t>DÀN LẠNH IDU-A1.2-2F-06, 07 14kW</t>
        </is>
      </c>
      <c r="D447" t="inlineStr">
        <is>
          <t>THUONG_MAI</t>
        </is>
      </c>
      <c r="E447" s="390" t="n">
        <v>0</v>
      </c>
    </row>
    <row r="448">
      <c r="A448" t="n">
        <v>447</v>
      </c>
      <c r="B448" t="inlineStr">
        <is>
          <t>MAT-THUONG_MAI-DAN_LANH_IDU_A1_2_2F_08_09_14KW</t>
        </is>
      </c>
      <c r="C448" t="inlineStr">
        <is>
          <t>DÀN LẠNH IDU-A1.2-2F-08, 09 14kW</t>
        </is>
      </c>
      <c r="D448" t="inlineStr">
        <is>
          <t>THUONG_MAI</t>
        </is>
      </c>
      <c r="E448" s="390" t="n">
        <v>0</v>
      </c>
    </row>
    <row r="449">
      <c r="A449" t="n">
        <v>448</v>
      </c>
      <c r="B449" t="inlineStr">
        <is>
          <t>MAT-THUONG_MAI-DAN_LANH_IDU_A1_2_2F_10_11_12_5F74</t>
        </is>
      </c>
      <c r="C449" t="inlineStr">
        <is>
          <t>DÀN LẠNH IDU-A1.2-2F-10, 11, 12 11.2kW</t>
        </is>
      </c>
      <c r="D449" t="inlineStr">
        <is>
          <t>THUONG_MAI</t>
        </is>
      </c>
      <c r="E449" s="390" t="n">
        <v>0</v>
      </c>
    </row>
    <row r="450">
      <c r="A450" t="n">
        <v>449</v>
      </c>
      <c r="B450" t="inlineStr">
        <is>
          <t>MAT-THUONG_MAI-DAN_LANH_IDU_A1_2_2F_13_9KW</t>
        </is>
      </c>
      <c r="C450" t="inlineStr">
        <is>
          <t>DÀN LẠNH IDU-A1.2-2F-13 9kW</t>
        </is>
      </c>
      <c r="D450" t="inlineStr">
        <is>
          <t>THUONG_MAI</t>
        </is>
      </c>
      <c r="E450" s="390" t="n">
        <v>0</v>
      </c>
    </row>
    <row r="451">
      <c r="A451" t="n">
        <v>450</v>
      </c>
      <c r="B451" t="inlineStr">
        <is>
          <t>MAT-THUONG_MAI-DAN_LANH_IDU_A1_2_2F_14_7_1KW</t>
        </is>
      </c>
      <c r="C451" t="inlineStr">
        <is>
          <t>DÀN LẠNH IDU-A1.2-2F-14 7.1kW</t>
        </is>
      </c>
      <c r="D451" t="inlineStr">
        <is>
          <t>THUONG_MAI</t>
        </is>
      </c>
      <c r="E451" s="390" t="n">
        <v>0</v>
      </c>
    </row>
    <row r="452">
      <c r="A452" t="n">
        <v>451</v>
      </c>
      <c r="B452" t="inlineStr">
        <is>
          <t>MAT-THUONG_MAI-DAN_LANH_IDU_A1_2_2F_15_16_5_6KW</t>
        </is>
      </c>
      <c r="C452" t="inlineStr">
        <is>
          <t>DÀN LẠNH IDU-A1.2-2F-15, 16 5.6kW</t>
        </is>
      </c>
      <c r="D452" t="inlineStr">
        <is>
          <t>THUONG_MAI</t>
        </is>
      </c>
      <c r="E452" s="390" t="n">
        <v>0</v>
      </c>
    </row>
    <row r="453">
      <c r="A453" t="n">
        <v>452</v>
      </c>
      <c r="B453" t="inlineStr">
        <is>
          <t>MAT-THUONG_MAI-DAN_LANH_IDU_A1_2_2F_17_18_5_6KW</t>
        </is>
      </c>
      <c r="C453" t="inlineStr">
        <is>
          <t>DÀN LẠNH IDU-A1.2-2F-17, 18 5.6kW</t>
        </is>
      </c>
      <c r="D453" t="inlineStr">
        <is>
          <t>THUONG_MAI</t>
        </is>
      </c>
      <c r="E453" s="390" t="n">
        <v>0</v>
      </c>
    </row>
    <row r="454">
      <c r="A454" t="n">
        <v>453</v>
      </c>
      <c r="B454" t="inlineStr">
        <is>
          <t>MAT-THUONG_MAI-DAN_LANH_IDU_A1_2_2F_19_20_5_6KW</t>
        </is>
      </c>
      <c r="C454" t="inlineStr">
        <is>
          <t>DÀN LẠNH IDU-A1.2-2F-19, 20 5.6kW</t>
        </is>
      </c>
      <c r="D454" t="inlineStr">
        <is>
          <t>THUONG_MAI</t>
        </is>
      </c>
      <c r="E454" s="390" t="n">
        <v>0</v>
      </c>
    </row>
    <row r="455">
      <c r="A455" t="n">
        <v>454</v>
      </c>
      <c r="B455" t="inlineStr">
        <is>
          <t>MAT-THUONG_MAI-DAN_LANH_IDU_A1_2_2F_21_22_4_5KW</t>
        </is>
      </c>
      <c r="C455" t="inlineStr">
        <is>
          <t>DÀN LẠNH IDU-A1.2-2F-21, 22 4.5kW</t>
        </is>
      </c>
      <c r="D455" t="inlineStr">
        <is>
          <t>THUONG_MAI</t>
        </is>
      </c>
      <c r="E455" s="390" t="n">
        <v>0</v>
      </c>
    </row>
    <row r="456">
      <c r="A456" t="n">
        <v>455</v>
      </c>
      <c r="B456" t="inlineStr">
        <is>
          <t>MAT-THUONG_MAI-DAN_LANH_IDU_A1_2_2F_23_24_5_6KW</t>
        </is>
      </c>
      <c r="C456" t="inlineStr">
        <is>
          <t>DÀN LẠNH IDU-A1.2-2F-23, 24 5.6kW</t>
        </is>
      </c>
      <c r="D456" t="inlineStr">
        <is>
          <t>THUONG_MAI</t>
        </is>
      </c>
      <c r="E456" s="390" t="n">
        <v>0</v>
      </c>
    </row>
    <row r="457">
      <c r="A457" t="n">
        <v>456</v>
      </c>
      <c r="B457" t="inlineStr">
        <is>
          <t>MAT-THUONG_MAI-DAN_LANH_IDU_A1_2_2F_25_26_7_1KW</t>
        </is>
      </c>
      <c r="C457" t="inlineStr">
        <is>
          <t>DÀN LẠNH IDU-A1.2-2F-25, 26 7.1kW</t>
        </is>
      </c>
      <c r="D457" t="inlineStr">
        <is>
          <t>THUONG_MAI</t>
        </is>
      </c>
      <c r="E457" s="390" t="n">
        <v>0</v>
      </c>
    </row>
    <row r="458">
      <c r="A458" t="n">
        <v>457</v>
      </c>
      <c r="B458" t="inlineStr">
        <is>
          <t>MAT-THUONG_MAI-DAN_LANH_IDU_A1_3_1F_01_04_14KW</t>
        </is>
      </c>
      <c r="C458" t="inlineStr">
        <is>
          <t>DÀN LẠNH IDU-A1.3-1F-01~04 14kW</t>
        </is>
      </c>
      <c r="D458" t="inlineStr">
        <is>
          <t>THUONG_MAI</t>
        </is>
      </c>
      <c r="E458" s="390" t="n">
        <v>0</v>
      </c>
    </row>
    <row r="459">
      <c r="A459" t="n">
        <v>458</v>
      </c>
      <c r="B459" t="inlineStr">
        <is>
          <t>MAT-THUONG_MAI-DAN_LANH_IDU_A1_3_1F_05_08_11_2KW</t>
        </is>
      </c>
      <c r="C459" t="inlineStr">
        <is>
          <t>DÀN LẠNH IDU-A1.3-1F-05~08 11.2kW</t>
        </is>
      </c>
      <c r="D459" t="inlineStr">
        <is>
          <t>THUONG_MAI</t>
        </is>
      </c>
      <c r="E459" s="390" t="n">
        <v>0</v>
      </c>
    </row>
    <row r="460">
      <c r="A460" t="n">
        <v>459</v>
      </c>
      <c r="B460" t="inlineStr">
        <is>
          <t>MAT-THUONG_MAI-DAN_LANH_IDU_A1_3_1F_09_10_14KW</t>
        </is>
      </c>
      <c r="C460" t="inlineStr">
        <is>
          <t>DÀN LẠNH IDU-A1.3-1F-09, 10 14kW</t>
        </is>
      </c>
      <c r="D460" t="inlineStr">
        <is>
          <t>THUONG_MAI</t>
        </is>
      </c>
      <c r="E460" s="390" t="n">
        <v>0</v>
      </c>
    </row>
    <row r="461">
      <c r="A461" t="n">
        <v>460</v>
      </c>
      <c r="B461" t="inlineStr">
        <is>
          <t>MAT-THUONG_MAI-DAN_LANH_IDU_A1_3_1F_05A_11_12_1660</t>
        </is>
      </c>
      <c r="C461" t="inlineStr">
        <is>
          <t>DÀN LẠNH IDU-A1.3-1F-05A-11, 12 11.2kW</t>
        </is>
      </c>
      <c r="D461" t="inlineStr">
        <is>
          <t>THUONG_MAI</t>
        </is>
      </c>
      <c r="E461" s="390" t="n">
        <v>0</v>
      </c>
    </row>
    <row r="462">
      <c r="A462" t="n">
        <v>461</v>
      </c>
      <c r="B462" t="inlineStr">
        <is>
          <t>MAT-THUONG_MAI-DAN_LANH_IDU_A1_3_1F_05A_13_14KW</t>
        </is>
      </c>
      <c r="C462" t="inlineStr">
        <is>
          <t>DÀN LẠNH IDU-A1.3-1F-05A-13 14kW</t>
        </is>
      </c>
      <c r="D462" t="inlineStr">
        <is>
          <t>THUONG_MAI</t>
        </is>
      </c>
      <c r="E462" s="390" t="n">
        <v>0</v>
      </c>
    </row>
    <row r="463">
      <c r="A463" t="n">
        <v>462</v>
      </c>
      <c r="B463" t="inlineStr">
        <is>
          <t>MAT-THUONG_MAI-DAN_LANH_IDU_A1_3_1F_14_11_2KW</t>
        </is>
      </c>
      <c r="C463" t="inlineStr">
        <is>
          <t>DÀN LẠNH IDU-A1.3-1F-14 11.2kW</t>
        </is>
      </c>
      <c r="D463" t="inlineStr">
        <is>
          <t>THUONG_MAI</t>
        </is>
      </c>
      <c r="E463" s="390" t="n">
        <v>0</v>
      </c>
    </row>
    <row r="464">
      <c r="A464" t="n">
        <v>463</v>
      </c>
      <c r="B464" t="inlineStr">
        <is>
          <t>MAT-THUONG_MAI-DAN_LANH_IDU_A1_3_1F_15_16_14KW</t>
        </is>
      </c>
      <c r="C464" t="inlineStr">
        <is>
          <t>DÀN LẠNH IDU-A1.3-1F-15, 16 14kW</t>
        </is>
      </c>
      <c r="D464" t="inlineStr">
        <is>
          <t>THUONG_MAI</t>
        </is>
      </c>
      <c r="E464" s="390" t="n">
        <v>0</v>
      </c>
    </row>
    <row r="465">
      <c r="A465" t="n">
        <v>464</v>
      </c>
      <c r="B465" t="inlineStr">
        <is>
          <t>MAT-THUONG_MAI-DAN_LANH_IDU_A1_3_1F_17_18_7_1KW</t>
        </is>
      </c>
      <c r="C465" t="inlineStr">
        <is>
          <t>DÀN LẠNH IDU-A1.3-1F-17, 18 7.1kW</t>
        </is>
      </c>
      <c r="D465" t="inlineStr">
        <is>
          <t>THUONG_MAI</t>
        </is>
      </c>
      <c r="E465" s="390" t="n">
        <v>0</v>
      </c>
    </row>
    <row r="466">
      <c r="A466" t="n">
        <v>465</v>
      </c>
      <c r="B466" t="inlineStr">
        <is>
          <t>MAT-THUONG_MAI-DAN_LANH_IDU_A1_3_2F_01_04_11_2KW</t>
        </is>
      </c>
      <c r="C466" t="inlineStr">
        <is>
          <t>DÀN LẠNH IDU-A1.3-2F-01~04 11.2kW</t>
        </is>
      </c>
      <c r="D466" t="inlineStr">
        <is>
          <t>THUONG_MAI</t>
        </is>
      </c>
      <c r="E466" s="390" t="n">
        <v>0</v>
      </c>
    </row>
    <row r="467">
      <c r="A467" t="n">
        <v>466</v>
      </c>
      <c r="B467" t="inlineStr">
        <is>
          <t>MAT-THUONG_MAI-DAN_LANH_IDU_A1_3_2F_05_06_07_9KW</t>
        </is>
      </c>
      <c r="C467" t="inlineStr">
        <is>
          <t>DÀN LẠNH IDU-A1.3-2F-05, 06, 07 9kW</t>
        </is>
      </c>
      <c r="D467" t="inlineStr">
        <is>
          <t>THUONG_MAI</t>
        </is>
      </c>
      <c r="E467" s="390" t="n">
        <v>0</v>
      </c>
    </row>
    <row r="468">
      <c r="A468" t="n">
        <v>467</v>
      </c>
      <c r="B468" t="inlineStr">
        <is>
          <t>MAT-THUONG_MAI-DAN_LANH_IDU_A1_3_2F_08_11_11_2KW</t>
        </is>
      </c>
      <c r="C468" t="inlineStr">
        <is>
          <t>DÀN LẠNH IDU-A1.3-2F-08~11 11.2kW</t>
        </is>
      </c>
      <c r="D468" t="inlineStr">
        <is>
          <t>THUONG_MAI</t>
        </is>
      </c>
      <c r="E468" s="390" t="n">
        <v>0</v>
      </c>
    </row>
    <row r="469">
      <c r="A469" t="n">
        <v>468</v>
      </c>
      <c r="B469" t="inlineStr">
        <is>
          <t>MAT-THUONG_MAI-DAN_LANH_IDU_A1_3_2F_12_13_14KW</t>
        </is>
      </c>
      <c r="C469" t="inlineStr">
        <is>
          <t>DÀN LẠNH IDU-A1.3-2F-12, 13 14kW</t>
        </is>
      </c>
      <c r="D469" t="inlineStr">
        <is>
          <t>THUONG_MAI</t>
        </is>
      </c>
      <c r="E469" s="390" t="n">
        <v>0</v>
      </c>
    </row>
    <row r="470">
      <c r="A470" t="n">
        <v>469</v>
      </c>
      <c r="B470" t="inlineStr">
        <is>
          <t>MAT-THUONG_MAI-DAN_LANH_IDU_A1_3_2F_14_15_7_1KW</t>
        </is>
      </c>
      <c r="C470" t="inlineStr">
        <is>
          <t>DÀN LẠNH IDU-A1.3-2F-14, 15 7.1kW</t>
        </is>
      </c>
      <c r="D470" t="inlineStr">
        <is>
          <t>THUONG_MAI</t>
        </is>
      </c>
      <c r="E470" s="390" t="n">
        <v>0</v>
      </c>
    </row>
    <row r="471">
      <c r="A471" t="n">
        <v>470</v>
      </c>
      <c r="B471" t="inlineStr">
        <is>
          <t>MAT-THUONG_MAI-DAN_LANH_IDU_A1_3_2F_16_17_4_5KW</t>
        </is>
      </c>
      <c r="C471" t="inlineStr">
        <is>
          <t>DÀN LẠNH IDU-A1.3-2F-16, 17 4.5kW</t>
        </is>
      </c>
      <c r="D471" t="inlineStr">
        <is>
          <t>THUONG_MAI</t>
        </is>
      </c>
      <c r="E471" s="390" t="n">
        <v>0</v>
      </c>
    </row>
    <row r="472">
      <c r="A472" t="n">
        <v>471</v>
      </c>
      <c r="B472" t="inlineStr">
        <is>
          <t>MAT-THUONG_MAI-DAN_LANH_IDU_A1_3_2F_18_19_5_6KW</t>
        </is>
      </c>
      <c r="C472" t="inlineStr">
        <is>
          <t>DÀN LẠNH IDU-A1.3-2F-18, 19 5.6kW</t>
        </is>
      </c>
      <c r="D472" t="inlineStr">
        <is>
          <t>THUONG_MAI</t>
        </is>
      </c>
      <c r="E472" s="390" t="n">
        <v>0</v>
      </c>
    </row>
    <row r="473">
      <c r="A473" t="n">
        <v>472</v>
      </c>
      <c r="B473" t="inlineStr">
        <is>
          <t>MAT-THUONG_MAI-DAN_LANH_DIEU_KHIEN_NHIET_DO_CO_DAY</t>
        </is>
      </c>
      <c r="C473" t="inlineStr">
        <is>
          <t>DÀN LẠNH Điều khiển nhiệt độ (có dây)</t>
        </is>
      </c>
      <c r="D473" t="inlineStr">
        <is>
          <t>THUONG_MAI</t>
        </is>
      </c>
      <c r="E473" s="390" t="n">
        <v>0</v>
      </c>
    </row>
    <row r="474">
      <c r="A474" t="n">
        <v>473</v>
      </c>
      <c r="B474" t="inlineStr">
        <is>
          <t>MAT-THUONG_MAI-DAN_LANH_VAT_TU_PHU_PHU_KIEN</t>
        </is>
      </c>
      <c r="C474" t="inlineStr">
        <is>
          <t>DÀN LẠNH Vật tư phụ, phụ kiện</t>
        </is>
      </c>
      <c r="D474" t="inlineStr">
        <is>
          <t>THUONG_MAI</t>
        </is>
      </c>
      <c r="E474" s="390" t="n">
        <v>0</v>
      </c>
    </row>
    <row r="475">
      <c r="A475" t="n">
        <v>474</v>
      </c>
      <c r="B475" t="inlineStr">
        <is>
          <t>MAT-THUONG_MAI-MAY_LANH_CUC_BO_ODU_B1_Z2_01_0_187F</t>
        </is>
      </c>
      <c r="C475" t="inlineStr">
        <is>
          <t>MÁY LẠNH CỤC BỘ ODU-B1-Z2-01,02 7.1 KW</t>
        </is>
      </c>
      <c r="D475" t="inlineStr">
        <is>
          <t>THUONG_MAI</t>
        </is>
      </c>
      <c r="E475" s="390" t="n">
        <v>0</v>
      </c>
    </row>
    <row r="476">
      <c r="A476" t="n">
        <v>475</v>
      </c>
      <c r="B476" t="inlineStr">
        <is>
          <t>MAT-THUONG_MAI-MAY_LANH_CUC_BO_ODU_B1_Z2_03_0_3E9C</t>
        </is>
      </c>
      <c r="C476" t="inlineStr">
        <is>
          <t>MÁY LẠNH CỤC BỘ ODU-B1-Z2-03,04  14 KW</t>
        </is>
      </c>
      <c r="D476" t="inlineStr">
        <is>
          <t>THUONG_MAI</t>
        </is>
      </c>
      <c r="E476" s="390" t="n">
        <v>0</v>
      </c>
    </row>
    <row r="477">
      <c r="A477" t="n">
        <v>476</v>
      </c>
      <c r="B477" t="inlineStr">
        <is>
          <t>MAT-THUONG_MAI-MAY_LANH_CUC_BO_ODU_B1_Z2_05_0_E303</t>
        </is>
      </c>
      <c r="C477" t="inlineStr">
        <is>
          <t>MÁY LẠNH CỤC BỘ ODU-B1-Z2-05,06 7.1 KW</t>
        </is>
      </c>
      <c r="D477" t="inlineStr">
        <is>
          <t>THUONG_MAI</t>
        </is>
      </c>
      <c r="E477" s="390" t="n">
        <v>0</v>
      </c>
    </row>
    <row r="478">
      <c r="A478" t="n">
        <v>477</v>
      </c>
      <c r="B478" t="inlineStr">
        <is>
          <t>MAT-THUONG_MAI-MAY_LANH_CUC_BO_ODU_B1_Z2_07_0_9F23</t>
        </is>
      </c>
      <c r="C478" t="inlineStr">
        <is>
          <t>MÁY LẠNH CỤC BỘ ODU-B1-Z2-07,08 7.1 KW</t>
        </is>
      </c>
      <c r="D478" t="inlineStr">
        <is>
          <t>THUONG_MAI</t>
        </is>
      </c>
      <c r="E478" s="390" t="n">
        <v>0</v>
      </c>
    </row>
    <row r="479">
      <c r="A479" t="n">
        <v>478</v>
      </c>
      <c r="B479" t="inlineStr">
        <is>
          <t>MAT-THUONG_MAI-MAY_LANH_CUC_BO_ACU_B1_Z2_01_02</t>
        </is>
      </c>
      <c r="C479" t="inlineStr">
        <is>
          <t>MÁY LẠNH CỤC BỘ ACU-B1-Z2-01,02</t>
        </is>
      </c>
      <c r="D479" t="inlineStr">
        <is>
          <t>THUONG_MAI</t>
        </is>
      </c>
      <c r="E479" s="390" t="n">
        <v>0</v>
      </c>
    </row>
    <row r="480">
      <c r="A480" t="n">
        <v>479</v>
      </c>
      <c r="B480" t="inlineStr">
        <is>
          <t>MAT-THUONG_MAI-MAY_LANH_CUC_BO_ACU_B1_Z2_03_04</t>
        </is>
      </c>
      <c r="C480" t="inlineStr">
        <is>
          <t>MÁY LẠNH CỤC BỘ ACU-B1-Z2-03,04</t>
        </is>
      </c>
      <c r="D480" t="inlineStr">
        <is>
          <t>THUONG_MAI</t>
        </is>
      </c>
      <c r="E480" s="390" t="n">
        <v>0</v>
      </c>
    </row>
    <row r="481">
      <c r="A481" t="n">
        <v>480</v>
      </c>
      <c r="B481" t="inlineStr">
        <is>
          <t>MAT-THUONG_MAI-MAY_LANH_CUC_BO_ACU_B1_Z2_05_06</t>
        </is>
      </c>
      <c r="C481" t="inlineStr">
        <is>
          <t>MÁY LẠNH CỤC BỘ ACU-B1-Z2-05,06</t>
        </is>
      </c>
      <c r="D481" t="inlineStr">
        <is>
          <t>THUONG_MAI</t>
        </is>
      </c>
      <c r="E481" s="390" t="n">
        <v>0</v>
      </c>
    </row>
    <row r="482">
      <c r="A482" t="n">
        <v>481</v>
      </c>
      <c r="B482" t="inlineStr">
        <is>
          <t>MAT-THUONG_MAI-MAY_LANH_CUC_BO_ACU_B1_Z2_07_08</t>
        </is>
      </c>
      <c r="C482" t="inlineStr">
        <is>
          <t>MÁY LẠNH CỤC BỘ ACU-B1-Z2-07,08</t>
        </is>
      </c>
      <c r="D482" t="inlineStr">
        <is>
          <t>THUONG_MAI</t>
        </is>
      </c>
      <c r="E482" s="390" t="n">
        <v>0</v>
      </c>
    </row>
    <row r="483">
      <c r="A483" t="n">
        <v>482</v>
      </c>
      <c r="B483" t="inlineStr">
        <is>
          <t>MAT-THUONG_MAI-MAY_LANH_CUC_BO_VAT_TU_PHU_PHU_KIEN</t>
        </is>
      </c>
      <c r="C483" t="inlineStr">
        <is>
          <t>MÁY LẠNH CỤC BỘ Vật tư phụ, phụ kiện</t>
        </is>
      </c>
      <c r="D483" t="inlineStr">
        <is>
          <t>THUONG_MAI</t>
        </is>
      </c>
      <c r="E483" s="390" t="n">
        <v>0</v>
      </c>
    </row>
    <row r="484">
      <c r="A484" t="n">
        <v>483</v>
      </c>
      <c r="B484" t="inlineStr">
        <is>
          <t>MAT-BOX-MIENG_GIO_BOX_GIO_CA_B991</t>
        </is>
      </c>
      <c r="C484" t="inlineStr">
        <is>
          <t>Box phụ kiện -</t>
        </is>
      </c>
      <c r="D484" t="inlineStr">
        <is>
          <t>THUONG_MAI</t>
        </is>
      </c>
      <c r="E484" s="390" t="n">
        <v>0</v>
      </c>
    </row>
    <row r="485">
      <c r="A485" t="n">
        <v>484</v>
      </c>
      <c r="B485" t="inlineStr">
        <is>
          <t>MAT-BOX-MIENG_GIO_BOX_GIO_CA_2E17</t>
        </is>
      </c>
      <c r="C485" t="inlineStr">
        <is>
          <t>Box phụ kiện -</t>
        </is>
      </c>
      <c r="D485" t="inlineStr">
        <is>
          <t>THUONG_MAI</t>
        </is>
      </c>
      <c r="E485" s="390" t="n">
        <v>0</v>
      </c>
    </row>
    <row r="486">
      <c r="A486" t="n">
        <v>485</v>
      </c>
      <c r="B486" t="inlineStr">
        <is>
          <t>MAT-BOX-MIENG_GIO_BOX_GIO_CA_6D80</t>
        </is>
      </c>
      <c r="C486" t="inlineStr">
        <is>
          <t>Box phụ kiện -</t>
        </is>
      </c>
      <c r="D486" t="inlineStr">
        <is>
          <t>THUONG_MAI</t>
        </is>
      </c>
      <c r="E486" s="390" t="n">
        <v>0</v>
      </c>
    </row>
    <row r="487">
      <c r="A487" t="n">
        <v>486</v>
      </c>
      <c r="B487" t="inlineStr">
        <is>
          <t>MAT-BOX-MIENG_GIO_BOX_GIO_CA_A68B</t>
        </is>
      </c>
      <c r="C487" t="inlineStr">
        <is>
          <t>Box phụ kiện -</t>
        </is>
      </c>
      <c r="D487" t="inlineStr">
        <is>
          <t>THUONG_MAI</t>
        </is>
      </c>
      <c r="E487" s="390" t="n">
        <v>0</v>
      </c>
    </row>
    <row r="488">
      <c r="A488" t="n">
        <v>487</v>
      </c>
      <c r="B488" t="inlineStr">
        <is>
          <t>MAT-BOX-MIENG_GIO_BOX_GIO_CA_052A</t>
        </is>
      </c>
      <c r="C488" t="inlineStr">
        <is>
          <t>Box phụ kiện -</t>
        </is>
      </c>
      <c r="D488" t="inlineStr">
        <is>
          <t>THUONG_MAI</t>
        </is>
      </c>
      <c r="E488" s="390" t="n">
        <v>0</v>
      </c>
    </row>
    <row r="489">
      <c r="A489" t="n">
        <v>488</v>
      </c>
      <c r="B489" t="inlineStr">
        <is>
          <t>MAT-BOX-MIENG_GIO_BOX_GIO_CA_3AC7</t>
        </is>
      </c>
      <c r="C489" t="inlineStr">
        <is>
          <t>Box phụ kiện -</t>
        </is>
      </c>
      <c r="D489" t="inlineStr">
        <is>
          <t>THUONG_MAI</t>
        </is>
      </c>
      <c r="E489" s="390" t="n">
        <v>0</v>
      </c>
    </row>
    <row r="490">
      <c r="A490" t="n">
        <v>489</v>
      </c>
      <c r="B490" t="inlineStr">
        <is>
          <t>MAT-BOX-MIENG_GIO_CAP_SAG600_BACF</t>
        </is>
      </c>
      <c r="C490" t="inlineStr">
        <is>
          <t>Box phụ kiện 600x600</t>
        </is>
      </c>
      <c r="D490" t="inlineStr">
        <is>
          <t>THUONG_MAI</t>
        </is>
      </c>
      <c r="E490" s="390" t="n">
        <v>0</v>
      </c>
    </row>
    <row r="491">
      <c r="A491" t="n">
        <v>490</v>
      </c>
      <c r="B491" t="inlineStr">
        <is>
          <t>MAT-BOX-MIENG_GIO_HOI_RAG600_7262</t>
        </is>
      </c>
      <c r="C491" t="inlineStr">
        <is>
          <t>Box phụ kiện 600x600</t>
        </is>
      </c>
      <c r="D491" t="inlineStr">
        <is>
          <t>THUONG_MAI</t>
        </is>
      </c>
      <c r="E491" s="390" t="n">
        <v>0</v>
      </c>
    </row>
    <row r="492">
      <c r="A492" t="n">
        <v>491</v>
      </c>
      <c r="B492" t="inlineStr">
        <is>
          <t>MAT-THUONG_MAI-MIENG_GIO_VAT_TU_PHU_PHU_KIEN</t>
        </is>
      </c>
      <c r="C492" t="inlineStr">
        <is>
          <t>MIỆNG GIÓ Vật tư phụ, phụ kiện</t>
        </is>
      </c>
      <c r="D492" t="inlineStr">
        <is>
          <t>THUONG_MAI</t>
        </is>
      </c>
      <c r="E492" s="390" t="n">
        <v>0</v>
      </c>
    </row>
    <row r="493">
      <c r="A493" t="n">
        <v>492</v>
      </c>
      <c r="B493" t="inlineStr">
        <is>
          <t>FLEX_DUCT_D400_INSULATED</t>
        </is>
      </c>
      <c r="C493" t="inlineStr">
        <is>
          <t>ỐNG GIÓ LẠNH Ống gió mềm D400 cách nhiệt dày 25mm</t>
        </is>
      </c>
      <c r="D493" t="inlineStr">
        <is>
          <t>ONG_MEM</t>
        </is>
      </c>
      <c r="E493" s="390" t="n">
        <v>0</v>
      </c>
    </row>
    <row r="494">
      <c r="A494" t="n">
        <v>493</v>
      </c>
      <c r="B494" t="inlineStr">
        <is>
          <t>FLEX_DUCT_D350_INSULATED</t>
        </is>
      </c>
      <c r="C494" t="inlineStr">
        <is>
          <t>ỐNG GIÓ LẠNH Ống gió mềm D350 cách nhiệt dày 25mm</t>
        </is>
      </c>
      <c r="D494" t="inlineStr">
        <is>
          <t>ONG_MEM</t>
        </is>
      </c>
      <c r="E494" s="390" t="n">
        <v>0</v>
      </c>
    </row>
    <row r="495">
      <c r="A495" t="n">
        <v>494</v>
      </c>
      <c r="B495" t="inlineStr">
        <is>
          <t>FLEX_DUCT_D300_INSULATED</t>
        </is>
      </c>
      <c r="C495" t="inlineStr">
        <is>
          <t>ỐNG GIÓ LẠNH Ống gió mềm D300 cách nhiệt dày 25mm</t>
        </is>
      </c>
      <c r="D495" t="inlineStr">
        <is>
          <t>ONG_MEM</t>
        </is>
      </c>
      <c r="E495" s="390" t="n">
        <v>0</v>
      </c>
    </row>
    <row r="496">
      <c r="A496" t="n">
        <v>495</v>
      </c>
      <c r="B496" t="inlineStr">
        <is>
          <t>FLEX_DUCT_D250_INSULATED</t>
        </is>
      </c>
      <c r="C496" t="inlineStr">
        <is>
          <t>ỐNG GIÓ LẠNH Ống gió mềm D250 cách nhiệt dày 25mm</t>
        </is>
      </c>
      <c r="D496" t="inlineStr">
        <is>
          <t>ONG_MEM</t>
        </is>
      </c>
      <c r="E496" s="390" t="n">
        <v>0</v>
      </c>
    </row>
    <row r="497">
      <c r="A497" t="n">
        <v>496</v>
      </c>
      <c r="B497" t="inlineStr">
        <is>
          <t>MAT-THUONG_MAI-ONG_GIO_LANH_VAT_TU_PHU_PHU_KIEN</t>
        </is>
      </c>
      <c r="C497" t="inlineStr">
        <is>
          <t>ỐNG GIÓ LẠNH Vật tư phụ, phụ kiện</t>
        </is>
      </c>
      <c r="D497" t="inlineStr">
        <is>
          <t>THUONG_MAI</t>
        </is>
      </c>
      <c r="E497" s="390" t="n">
        <v>0</v>
      </c>
    </row>
    <row r="498">
      <c r="A498" t="n">
        <v>497</v>
      </c>
      <c r="B498" t="inlineStr">
        <is>
          <t>MAT-THUONG_MAI-CACH_NHIET_ONG_DONG_D28_6_BO_C_A499</t>
        </is>
      </c>
      <c r="C498" t="inlineStr">
        <is>
          <t>Cách nhiệt ông đồng D28,6 Bộ chia gas</t>
        </is>
      </c>
      <c r="D498" t="inlineStr">
        <is>
          <t>THUONG_MAI</t>
        </is>
      </c>
      <c r="E498" s="390" t="n">
        <v>0</v>
      </c>
    </row>
    <row r="499">
      <c r="A499" t="n">
        <v>498</v>
      </c>
      <c r="B499" t="inlineStr">
        <is>
          <t>MAT-THUONG_MAI-CACH_NHIET_ONG_DONG_D28_6_NAP_E095</t>
        </is>
      </c>
      <c r="C499" t="inlineStr">
        <is>
          <t>Cách nhiệt ông đồng D28,6 Nap ga bổ sung</t>
        </is>
      </c>
      <c r="D499" t="inlineStr">
        <is>
          <t>THUONG_MAI</t>
        </is>
      </c>
      <c r="E499" s="390" t="n">
        <v>0</v>
      </c>
    </row>
    <row r="500">
      <c r="A500" t="n">
        <v>499</v>
      </c>
      <c r="B500" t="inlineStr">
        <is>
          <t>MAT-THUONG_MAI-CACH_NHIET_ONG_DONG_D28_6_VAT_1DE1</t>
        </is>
      </c>
      <c r="C500" t="inlineStr">
        <is>
          <t>Cách nhiệt ông đồng D28,6 Vật tư phụ, phụ kiện</t>
        </is>
      </c>
      <c r="D500" t="inlineStr">
        <is>
          <t>THUONG_MAI</t>
        </is>
      </c>
      <c r="E500" s="390" t="n">
        <v>0</v>
      </c>
    </row>
    <row r="501">
      <c r="A501" t="n">
        <v>500</v>
      </c>
      <c r="B501" t="inlineStr">
        <is>
          <t>MAT-THUONG_MAI-NUOC_NGUNG_ONG_UPVC_D27</t>
        </is>
      </c>
      <c r="C501" t="inlineStr">
        <is>
          <t>NƯỚC NGƯNG Ống uPVC D27</t>
        </is>
      </c>
      <c r="D501" t="inlineStr">
        <is>
          <t>THUONG_MAI</t>
        </is>
      </c>
      <c r="E501" s="390" t="n">
        <v>0</v>
      </c>
    </row>
    <row r="502">
      <c r="A502" t="n">
        <v>501</v>
      </c>
      <c r="B502" t="inlineStr">
        <is>
          <t>MAT-THUONG_MAI-NUOC_NGUNG_ONG_UPVC_D34</t>
        </is>
      </c>
      <c r="C502" t="inlineStr">
        <is>
          <t>NƯỚC NGƯNG Ống uPVC D34</t>
        </is>
      </c>
      <c r="D502" t="inlineStr">
        <is>
          <t>THUONG_MAI</t>
        </is>
      </c>
      <c r="E502" s="390" t="n">
        <v>0</v>
      </c>
    </row>
    <row r="503">
      <c r="A503" t="n">
        <v>502</v>
      </c>
      <c r="B503" t="inlineStr">
        <is>
          <t>MAT-THUONG_MAI-NUOC_NGUNG_ONG_UPVC_D42</t>
        </is>
      </c>
      <c r="C503" t="inlineStr">
        <is>
          <t>NƯỚC NGƯNG Ống uPVC D42</t>
        </is>
      </c>
      <c r="D503" t="inlineStr">
        <is>
          <t>THUONG_MAI</t>
        </is>
      </c>
      <c r="E503" s="390" t="n">
        <v>0</v>
      </c>
    </row>
    <row r="504">
      <c r="A504" t="n">
        <v>503</v>
      </c>
      <c r="B504" t="inlineStr">
        <is>
          <t>MAT-THUONG_MAI-NUOC_NGUNG_ONG_UPVC_D60</t>
        </is>
      </c>
      <c r="C504" t="inlineStr">
        <is>
          <t>NƯỚC NGƯNG Ống uPVC D60</t>
        </is>
      </c>
      <c r="D504" t="inlineStr">
        <is>
          <t>THUONG_MAI</t>
        </is>
      </c>
      <c r="E504" s="390" t="n">
        <v>0</v>
      </c>
    </row>
    <row r="505">
      <c r="A505" t="n">
        <v>504</v>
      </c>
      <c r="B505" t="inlineStr">
        <is>
          <t>MAT-THUONG_MAI-NUOC_NGUNG_CACH_NHIET_ONG_UPVC_D27</t>
        </is>
      </c>
      <c r="C505" t="inlineStr">
        <is>
          <t>NƯỚC NGƯNG Cách nhiệt ống uPVC D27</t>
        </is>
      </c>
      <c r="D505" t="inlineStr">
        <is>
          <t>THUONG_MAI</t>
        </is>
      </c>
      <c r="E505" s="390" t="n">
        <v>0</v>
      </c>
    </row>
    <row r="506">
      <c r="A506" t="n">
        <v>505</v>
      </c>
      <c r="B506" t="inlineStr">
        <is>
          <t>MAT-THUONG_MAI-NUOC_NGUNG_CACH_NHIET_ONG_UPVC_D34</t>
        </is>
      </c>
      <c r="C506" t="inlineStr">
        <is>
          <t>NƯỚC NGƯNG Cách nhiệt ống uPVC D34</t>
        </is>
      </c>
      <c r="D506" t="inlineStr">
        <is>
          <t>THUONG_MAI</t>
        </is>
      </c>
      <c r="E506" s="390" t="n">
        <v>0</v>
      </c>
    </row>
    <row r="507">
      <c r="A507" t="n">
        <v>506</v>
      </c>
      <c r="B507" t="inlineStr">
        <is>
          <t>MAT-THUONG_MAI-NUOC_NGUNG_CACH_NHIET_ONG_UPVC_D42</t>
        </is>
      </c>
      <c r="C507" t="inlineStr">
        <is>
          <t>NƯỚC NGƯNG Cách nhiệt ống uPVC D42</t>
        </is>
      </c>
      <c r="D507" t="inlineStr">
        <is>
          <t>THUONG_MAI</t>
        </is>
      </c>
      <c r="E507" s="390" t="n">
        <v>0</v>
      </c>
    </row>
    <row r="508">
      <c r="A508" t="n">
        <v>507</v>
      </c>
      <c r="B508" t="inlineStr">
        <is>
          <t>MAT-THUONG_MAI-NUOC_NGUNG_CACH_NHIET_ONG_UPVC_D60</t>
        </is>
      </c>
      <c r="C508" t="inlineStr">
        <is>
          <t>NƯỚC NGƯNG Cách nhiệt ống uPVC D60</t>
        </is>
      </c>
      <c r="D508" t="inlineStr">
        <is>
          <t>THUONG_MAI</t>
        </is>
      </c>
      <c r="E508" s="390" t="n">
        <v>0</v>
      </c>
    </row>
    <row r="509">
      <c r="A509" t="n">
        <v>508</v>
      </c>
      <c r="B509" t="inlineStr">
        <is>
          <t>MAT-THUONG_MAI-NUOC_NGUNG_VAT_TU_PHU_PHU_KIEN</t>
        </is>
      </c>
      <c r="C509" t="inlineStr">
        <is>
          <t>NƯỚC NGƯNG Vật tư phụ, phụ kiện</t>
        </is>
      </c>
      <c r="D509" t="inlineStr">
        <is>
          <t>THUONG_MAI</t>
        </is>
      </c>
      <c r="E509" s="390" t="n">
        <v>0</v>
      </c>
    </row>
    <row r="510">
      <c r="A510" t="n">
        <v>509</v>
      </c>
      <c r="B510" t="inlineStr">
        <is>
          <t>MAT-STEEL-PN-1.50</t>
        </is>
      </c>
      <c r="C510" t="inlineStr">
        <is>
          <t>Tôn mạ kẽm PN (1.50mm) - Định mức mét dài</t>
        </is>
      </c>
      <c r="D510" t="inlineStr">
        <is>
          <t>TÔN_CUỘN_MẠ_KẼM</t>
        </is>
      </c>
      <c r="E510" s="390" t="n">
        <v>0</v>
      </c>
    </row>
    <row r="511">
      <c r="A511" t="n">
        <v>510</v>
      </c>
      <c r="B511" t="inlineStr">
        <is>
          <t>MAT-THUONG_MAI-MANG_TON_ZAM_DI_ONG_DONG_NGOAI_9BD8</t>
        </is>
      </c>
      <c r="C511" t="inlineStr">
        <is>
          <t>MÁNG TÔN ZAM (ĐI ỐNG ĐỒNG NGOÀI TRỜI), KÈM NẮP Vật tư phụ, phụ kiện</t>
        </is>
      </c>
      <c r="D511" t="inlineStr">
        <is>
          <t>THUONG_MAI</t>
        </is>
      </c>
      <c r="E511" s="390" t="n">
        <v>0</v>
      </c>
    </row>
    <row r="512">
      <c r="A512" t="n">
        <v>511</v>
      </c>
      <c r="B512" t="inlineStr">
        <is>
          <t>MAT-THUONG_MAI-A1_1_DAN_NONG</t>
        </is>
      </c>
      <c r="C512" t="inlineStr">
        <is>
          <t>A1.1 Dàn nóng</t>
        </is>
      </c>
      <c r="D512" t="inlineStr">
        <is>
          <t>THUONG_MAI</t>
        </is>
      </c>
      <c r="E512" s="390" t="n">
        <v>0</v>
      </c>
    </row>
    <row r="513">
      <c r="A513" t="n">
        <v>512</v>
      </c>
      <c r="B513" t="inlineStr">
        <is>
          <t>MAT-THUONG_MAI-A1_1_DAN_LANH</t>
        </is>
      </c>
      <c r="C513" t="inlineStr">
        <is>
          <t>A1.1 Dàn lạnh</t>
        </is>
      </c>
      <c r="D513" t="inlineStr">
        <is>
          <t>THUONG_MAI</t>
        </is>
      </c>
      <c r="E513" s="390" t="n">
        <v>0</v>
      </c>
    </row>
    <row r="514">
      <c r="A514" t="n">
        <v>513</v>
      </c>
      <c r="B514" t="inlineStr">
        <is>
          <t>MAT-THUONG_MAI-A1_2_DAN_NONG</t>
        </is>
      </c>
      <c r="C514" t="inlineStr">
        <is>
          <t>A1.2 Dàn nóng</t>
        </is>
      </c>
      <c r="D514" t="inlineStr">
        <is>
          <t>THUONG_MAI</t>
        </is>
      </c>
      <c r="E514" s="390" t="n">
        <v>0</v>
      </c>
    </row>
    <row r="515">
      <c r="A515" t="n">
        <v>514</v>
      </c>
      <c r="B515" t="inlineStr">
        <is>
          <t>MAT-THUONG_MAI-A1_2_DAN_LANH</t>
        </is>
      </c>
      <c r="C515" t="inlineStr">
        <is>
          <t>A1.2 Dàn lạnh</t>
        </is>
      </c>
      <c r="D515" t="inlineStr">
        <is>
          <t>THUONG_MAI</t>
        </is>
      </c>
      <c r="E515" s="390" t="n">
        <v>0</v>
      </c>
    </row>
    <row r="516">
      <c r="A516" t="n">
        <v>515</v>
      </c>
      <c r="B516" t="inlineStr">
        <is>
          <t>MAT-THUONG_MAI-A1_3_DAN_NONG</t>
        </is>
      </c>
      <c r="C516" t="inlineStr">
        <is>
          <t>A1.3 Dàn nóng</t>
        </is>
      </c>
      <c r="D516" t="inlineStr">
        <is>
          <t>THUONG_MAI</t>
        </is>
      </c>
      <c r="E516" s="390" t="n">
        <v>0</v>
      </c>
    </row>
    <row r="517">
      <c r="A517" t="n">
        <v>516</v>
      </c>
      <c r="B517" t="inlineStr">
        <is>
          <t>MAT-THUONG_MAI-A1_3_DAN_LANH</t>
        </is>
      </c>
      <c r="C517" t="inlineStr">
        <is>
          <t>A1.3 Dàn lạnh</t>
        </is>
      </c>
      <c r="D517" t="inlineStr">
        <is>
          <t>THUONG_MAI</t>
        </is>
      </c>
      <c r="E517" s="390" t="n">
        <v>0</v>
      </c>
    </row>
    <row r="518">
      <c r="A518" t="n">
        <v>517</v>
      </c>
      <c r="B518" t="inlineStr">
        <is>
          <t>MAT-BOX-MIENG_GIO_CHO_CAP_NH_DA3E</t>
        </is>
      </c>
      <c r="C518" t="inlineStr">
        <is>
          <t>Box phụ kiện -</t>
        </is>
      </c>
      <c r="D518" t="inlineStr">
        <is>
          <t>THUONG_MAI</t>
        </is>
      </c>
      <c r="E518" s="390" t="n">
        <v>0</v>
      </c>
    </row>
    <row r="519">
      <c r="A519" t="n">
        <v>518</v>
      </c>
      <c r="B519" t="inlineStr">
        <is>
          <t>MAT-BOX-MIENG_GIO_CHO_CAP_NH_FBD0</t>
        </is>
      </c>
      <c r="C519" t="inlineStr">
        <is>
          <t>Box phụ kiện -</t>
        </is>
      </c>
      <c r="D519" t="inlineStr">
        <is>
          <t>THUONG_MAI</t>
        </is>
      </c>
      <c r="E519" s="390" t="n">
        <v>0</v>
      </c>
    </row>
    <row r="520">
      <c r="A520" t="n">
        <v>519</v>
      </c>
      <c r="B520" t="inlineStr">
        <is>
          <t>MAT-BOX-MIENG_GIO_CHO_CAP_NH_3914</t>
        </is>
      </c>
      <c r="C520" t="inlineStr">
        <is>
          <t>Box phụ kiện -</t>
        </is>
      </c>
      <c r="D520" t="inlineStr">
        <is>
          <t>THUONG_MAI</t>
        </is>
      </c>
      <c r="E520" s="390" t="n">
        <v>0</v>
      </c>
    </row>
    <row r="521">
      <c r="A521" t="n">
        <v>520</v>
      </c>
      <c r="B521" t="inlineStr">
        <is>
          <t>MAT-BOX-MIENG_GIO_CHO_CAP_NH_87A5</t>
        </is>
      </c>
      <c r="C521" t="inlineStr">
        <is>
          <t>Box phụ kiện -</t>
        </is>
      </c>
      <c r="D521" t="inlineStr">
        <is>
          <t>THUONG_MAI</t>
        </is>
      </c>
      <c r="E521" s="390" t="n">
        <v>0</v>
      </c>
    </row>
    <row r="522">
      <c r="A522" t="n">
        <v>521</v>
      </c>
      <c r="B522" t="inlineStr">
        <is>
          <t>MAT-BOX-MIENG_GIO_CHO_CAP_NH_34FC</t>
        </is>
      </c>
      <c r="C522" t="inlineStr">
        <is>
          <t>Box phụ kiện -</t>
        </is>
      </c>
      <c r="D522" t="inlineStr">
        <is>
          <t>THUONG_MAI</t>
        </is>
      </c>
      <c r="E522" s="390" t="n">
        <v>0</v>
      </c>
    </row>
    <row r="523">
      <c r="A523" t="n">
        <v>522</v>
      </c>
      <c r="B523" t="inlineStr">
        <is>
          <t>MAT-BOX-MIENG_GIO_CHO_CAP_NH_7090</t>
        </is>
      </c>
      <c r="C523" t="inlineStr">
        <is>
          <t>Box phụ kiện -</t>
        </is>
      </c>
      <c r="D523" t="inlineStr">
        <is>
          <t>THUONG_MAI</t>
        </is>
      </c>
      <c r="E523" s="390" t="n">
        <v>0</v>
      </c>
    </row>
    <row r="524">
      <c r="A524" t="n">
        <v>523</v>
      </c>
      <c r="B524" t="inlineStr">
        <is>
          <t>MAT-BOX-MIENG_GIO_CHO_CAP_NH_0FBB</t>
        </is>
      </c>
      <c r="C524" t="inlineStr">
        <is>
          <t>Box phụ kiện -</t>
        </is>
      </c>
      <c r="D524" t="inlineStr">
        <is>
          <t>THUONG_MAI</t>
        </is>
      </c>
      <c r="E524" s="390" t="n">
        <v>0</v>
      </c>
    </row>
    <row r="525">
      <c r="A525" t="n">
        <v>524</v>
      </c>
      <c r="B525" t="inlineStr">
        <is>
          <t>MAT-THUONG_MAI-MIENG_GIO_CAP_HOI_CHO_MAY_LANH_A4B2</t>
        </is>
      </c>
      <c r="C525" t="inlineStr">
        <is>
          <t>Miệng gió cấp,hồi cho máy lạnh Vật tư phụ, phụ kiện</t>
        </is>
      </c>
      <c r="D525" t="inlineStr">
        <is>
          <t>THUONG_MAI</t>
        </is>
      </c>
      <c r="E525" s="390" t="n">
        <v>0</v>
      </c>
    </row>
    <row r="526">
      <c r="A526" t="n">
        <v>525</v>
      </c>
      <c r="B526" t="inlineStr">
        <is>
          <t>MAT-BOX-ONG_GIO_LANH_BOX_MIE_8C68</t>
        </is>
      </c>
      <c r="C526" t="inlineStr">
        <is>
          <t>Box phụ kiện 0.58mm</t>
        </is>
      </c>
      <c r="D526" t="inlineStr">
        <is>
          <t>THUONG_MAI</t>
        </is>
      </c>
      <c r="E526" s="390" t="n">
        <v>0</v>
      </c>
    </row>
    <row r="527">
      <c r="A527" t="n">
        <v>526</v>
      </c>
      <c r="B527" t="inlineStr">
        <is>
          <t>MAT-BOX-ONG_GIO_LANH_BOX_MIE_88E9</t>
        </is>
      </c>
      <c r="C527" t="inlineStr">
        <is>
          <t>Box phụ kiện 0.75mm</t>
        </is>
      </c>
      <c r="D527" t="inlineStr">
        <is>
          <t>THUONG_MAI</t>
        </is>
      </c>
      <c r="E527" s="390" t="n">
        <v>0</v>
      </c>
    </row>
    <row r="528">
      <c r="A528" t="n">
        <v>527</v>
      </c>
      <c r="B528" t="inlineStr">
        <is>
          <t>MAT-BOX-ONG_GIO_LANH_BOX_MIE_1FDC</t>
        </is>
      </c>
      <c r="C528" t="inlineStr">
        <is>
          <t>Box phụ kiện -</t>
        </is>
      </c>
      <c r="D528" t="inlineStr">
        <is>
          <t>THUONG_MAI</t>
        </is>
      </c>
      <c r="E528" s="390" t="n">
        <v>0</v>
      </c>
    </row>
    <row r="529">
      <c r="A529" t="n">
        <v>528</v>
      </c>
      <c r="B529" t="inlineStr">
        <is>
          <t>MAT-BOX-ONG_GIO_LANH_BOX_MIE_EF26</t>
        </is>
      </c>
      <c r="C529" t="inlineStr">
        <is>
          <t>Box phụ kiện -</t>
        </is>
      </c>
      <c r="D529" t="inlineStr">
        <is>
          <t>THUONG_MAI</t>
        </is>
      </c>
      <c r="E529" s="390" t="n">
        <v>0</v>
      </c>
    </row>
    <row r="530">
      <c r="A530" t="n">
        <v>529</v>
      </c>
      <c r="B530" t="inlineStr">
        <is>
          <t>MAT-BOX-ONG_GIO_LANH_BOX_MIE_3A3C</t>
        </is>
      </c>
      <c r="C530" t="inlineStr">
        <is>
          <t>Box phụ kiện -</t>
        </is>
      </c>
      <c r="D530" t="inlineStr">
        <is>
          <t>THUONG_MAI</t>
        </is>
      </c>
      <c r="E530" s="390" t="n">
        <v>0</v>
      </c>
    </row>
    <row r="531">
      <c r="A531" t="n">
        <v>530</v>
      </c>
      <c r="B531" t="inlineStr">
        <is>
          <t>FLEX_DUCT_D200_INSULATED</t>
        </is>
      </c>
      <c r="C531" t="inlineStr">
        <is>
          <t>ỐNG GIÓ LẠNH, BOX MIỆNG GIÓ Ống gió mềm D200 cách nhiệt dày 25mm</t>
        </is>
      </c>
      <c r="D531" t="inlineStr">
        <is>
          <t>ONG_MEM</t>
        </is>
      </c>
      <c r="E531" s="390" t="n">
        <v>0</v>
      </c>
    </row>
    <row r="532">
      <c r="A532" t="n">
        <v>531</v>
      </c>
      <c r="B532" t="inlineStr">
        <is>
          <t>MAT-BOX-ONG_GIO_LANH_BOX_MIE_B255</t>
        </is>
      </c>
      <c r="C532" t="inlineStr">
        <is>
          <t>Box phụ kiện -</t>
        </is>
      </c>
      <c r="D532" t="inlineStr">
        <is>
          <t>THUONG_MAI</t>
        </is>
      </c>
      <c r="E532" s="390" t="n">
        <v>0</v>
      </c>
    </row>
    <row r="533">
      <c r="A533" t="n">
        <v>532</v>
      </c>
      <c r="B533" t="inlineStr">
        <is>
          <t>MAT-THUONG_MAI-ONG_GIO_LANH_BOX_MIENG_GIO_VAT_B1A1</t>
        </is>
      </c>
      <c r="C533" t="inlineStr">
        <is>
          <t>ỐNG GIÓ LẠNH, BOX MIỆNG GIÓ Vật tư phụ, phụ kiện</t>
        </is>
      </c>
      <c r="D533" t="inlineStr">
        <is>
          <t>THUONG_MAI</t>
        </is>
      </c>
      <c r="E533" s="390" t="n">
        <v>0</v>
      </c>
    </row>
    <row r="534">
      <c r="A534" t="n">
        <v>533</v>
      </c>
      <c r="B534" t="inlineStr">
        <is>
          <t>MAT-BOX-ONG_GIO_LANH_BOX_MIE_B1A1</t>
        </is>
      </c>
      <c r="C534" t="inlineStr">
        <is>
          <t>Box phụ kiện -</t>
        </is>
      </c>
      <c r="D534" t="inlineStr">
        <is>
          <t>THUONG_MAI</t>
        </is>
      </c>
      <c r="E534" s="390" t="n">
        <v>0</v>
      </c>
    </row>
    <row r="535">
      <c r="A535" t="n">
        <v>534</v>
      </c>
      <c r="B535" t="inlineStr">
        <is>
          <t>MAT-THUONG_MAI-ONG_DONG_D6_4</t>
        </is>
      </c>
      <c r="C535" t="inlineStr">
        <is>
          <t>Ống đồng D6.4</t>
        </is>
      </c>
      <c r="D535" t="inlineStr">
        <is>
          <t>THUONG_MAI</t>
        </is>
      </c>
      <c r="E535" s="390" t="n">
        <v>0</v>
      </c>
    </row>
    <row r="536">
      <c r="A536" t="n">
        <v>535</v>
      </c>
      <c r="B536" t="inlineStr">
        <is>
          <t>MAT-THUONG_MAI-ONG_DONG_D9_5</t>
        </is>
      </c>
      <c r="C536" t="inlineStr">
        <is>
          <t>Ống đồng D9.5</t>
        </is>
      </c>
      <c r="D536" t="inlineStr">
        <is>
          <t>THUONG_MAI</t>
        </is>
      </c>
      <c r="E536" s="390" t="n">
        <v>0</v>
      </c>
    </row>
    <row r="537">
      <c r="A537" t="n">
        <v>536</v>
      </c>
      <c r="B537" t="inlineStr">
        <is>
          <t>MAT-THUONG_MAI-ONG_DONG_D12_7</t>
        </is>
      </c>
      <c r="C537" t="inlineStr">
        <is>
          <t>Ống đồng D12.7</t>
        </is>
      </c>
      <c r="D537" t="inlineStr">
        <is>
          <t>THUONG_MAI</t>
        </is>
      </c>
      <c r="E537" s="390" t="n">
        <v>0</v>
      </c>
    </row>
    <row r="538">
      <c r="A538" t="n">
        <v>537</v>
      </c>
      <c r="B538" t="inlineStr">
        <is>
          <t>MAT-THUONG_MAI-ONG_DONG_D15_9</t>
        </is>
      </c>
      <c r="C538" t="inlineStr">
        <is>
          <t>Ống đồng D15.9</t>
        </is>
      </c>
      <c r="D538" t="inlineStr">
        <is>
          <t>THUONG_MAI</t>
        </is>
      </c>
      <c r="E538" s="390" t="n">
        <v>0</v>
      </c>
    </row>
    <row r="539">
      <c r="A539" t="n">
        <v>538</v>
      </c>
      <c r="B539" t="inlineStr">
        <is>
          <t>MAT-THUONG_MAI-ONG_DONG_D19_1</t>
        </is>
      </c>
      <c r="C539" t="inlineStr">
        <is>
          <t>Ống đồng D19,1</t>
        </is>
      </c>
      <c r="D539" t="inlineStr">
        <is>
          <t>THUONG_MAI</t>
        </is>
      </c>
      <c r="E539" s="390" t="n">
        <v>0</v>
      </c>
    </row>
    <row r="540">
      <c r="A540" t="n">
        <v>539</v>
      </c>
      <c r="B540" t="inlineStr">
        <is>
          <t>MAT-THUONG_MAI-ONG_DONG_CACH_NHIET_ONG_DONG_D6_4</t>
        </is>
      </c>
      <c r="C540" t="inlineStr">
        <is>
          <t>ỐNG ĐỒNG Cách nhiệt ông đồng D6.4</t>
        </is>
      </c>
      <c r="D540" t="inlineStr">
        <is>
          <t>THUONG_MAI</t>
        </is>
      </c>
      <c r="E540" s="390" t="n">
        <v>0</v>
      </c>
    </row>
    <row r="541">
      <c r="A541" t="n">
        <v>540</v>
      </c>
      <c r="B541" t="inlineStr">
        <is>
          <t>MAT-THUONG_MAI-ONG_DONG_CACH_NHIET_ONG_DONG_D9_5</t>
        </is>
      </c>
      <c r="C541" t="inlineStr">
        <is>
          <t>ỐNG ĐỒNG Cách nhiệt ông đồng D9.5</t>
        </is>
      </c>
      <c r="D541" t="inlineStr">
        <is>
          <t>THUONG_MAI</t>
        </is>
      </c>
      <c r="E541" s="390" t="n">
        <v>0</v>
      </c>
    </row>
    <row r="542">
      <c r="A542" t="n">
        <v>541</v>
      </c>
      <c r="B542" t="inlineStr">
        <is>
          <t>MAT-THUONG_MAI-ONG_DONG_CACH_NHIET_ONG_DONG_D12_7</t>
        </is>
      </c>
      <c r="C542" t="inlineStr">
        <is>
          <t>ỐNG ĐỒNG Cách nhiệt ông đồng D12.7</t>
        </is>
      </c>
      <c r="D542" t="inlineStr">
        <is>
          <t>THUONG_MAI</t>
        </is>
      </c>
      <c r="E542" s="390" t="n">
        <v>0</v>
      </c>
    </row>
    <row r="543">
      <c r="A543" t="n">
        <v>542</v>
      </c>
      <c r="B543" t="inlineStr">
        <is>
          <t>MAT-THUONG_MAI-ONG_DONG_CACH_NHIET_ONG_DONG_D15_9</t>
        </is>
      </c>
      <c r="C543" t="inlineStr">
        <is>
          <t>ỐNG ĐỒNG Cách nhiệt ông đồng D15.9</t>
        </is>
      </c>
      <c r="D543" t="inlineStr">
        <is>
          <t>THUONG_MAI</t>
        </is>
      </c>
      <c r="E543" s="390" t="n">
        <v>0</v>
      </c>
    </row>
    <row r="544">
      <c r="A544" t="n">
        <v>543</v>
      </c>
      <c r="B544" t="inlineStr">
        <is>
          <t>MAT-THUONG_MAI-ONG_DONG_CACH_NHIET_ONG_DONG_D19_1</t>
        </is>
      </c>
      <c r="C544" t="inlineStr">
        <is>
          <t>ỐNG ĐỒNG Cách nhiệt ông đồng D19,1</t>
        </is>
      </c>
      <c r="D544" t="inlineStr">
        <is>
          <t>THUONG_MAI</t>
        </is>
      </c>
      <c r="E544" s="390" t="n">
        <v>0</v>
      </c>
    </row>
    <row r="545">
      <c r="A545" t="n">
        <v>544</v>
      </c>
      <c r="B545" t="inlineStr">
        <is>
          <t>MAT-THUONG_MAI-ONG_DONG_BO_CHIA_GAS</t>
        </is>
      </c>
      <c r="C545" t="inlineStr">
        <is>
          <t>ỐNG ĐỒNG Bộ chia gas</t>
        </is>
      </c>
      <c r="D545" t="inlineStr">
        <is>
          <t>THUONG_MAI</t>
        </is>
      </c>
      <c r="E545" s="390" t="n">
        <v>0</v>
      </c>
    </row>
    <row r="546">
      <c r="A546" t="n">
        <v>545</v>
      </c>
      <c r="B546" t="inlineStr">
        <is>
          <t>MAT-THUONG_MAI-ONG_DONG_NAP_GA_BO_SUNG</t>
        </is>
      </c>
      <c r="C546" t="inlineStr">
        <is>
          <t>ỐNG ĐỒNG Nap ga bổ sung</t>
        </is>
      </c>
      <c r="D546" t="inlineStr">
        <is>
          <t>THUONG_MAI</t>
        </is>
      </c>
      <c r="E546" s="390" t="n">
        <v>0</v>
      </c>
    </row>
    <row r="547">
      <c r="A547" t="n">
        <v>546</v>
      </c>
      <c r="B547" t="inlineStr">
        <is>
          <t>MAT-THUONG_MAI-ONG_DONG_VAT_TU_PHU_PHU_KIEN</t>
        </is>
      </c>
      <c r="C547" t="inlineStr">
        <is>
          <t>ỐNG ĐỒNG Vật tư phụ, phụ kiện</t>
        </is>
      </c>
      <c r="D547" t="inlineStr">
        <is>
          <t>THUONG_MAI</t>
        </is>
      </c>
      <c r="E547" s="390" t="n">
        <v>0</v>
      </c>
    </row>
    <row r="548">
      <c r="A548" t="n">
        <v>547</v>
      </c>
      <c r="B548" t="inlineStr">
        <is>
          <t>MAT-THUONG_MAI-CHI_PHI_CHUNG_KIEM_TRA_NGHIEM_FCB5</t>
        </is>
      </c>
      <c r="C548" t="inlineStr">
        <is>
          <t>CHI PHÍ CHUNG Kiểm tra, nghiệm thu và bàn giao hệ thống</t>
        </is>
      </c>
      <c r="D548" t="inlineStr">
        <is>
          <t>THUONG_MAI</t>
        </is>
      </c>
      <c r="E548" s="390" t="n">
        <v>0</v>
      </c>
    </row>
    <row r="549">
      <c r="A549" t="n">
        <v>548</v>
      </c>
      <c r="B549" t="inlineStr">
        <is>
          <t>MAT-THUONG_MAI-CHI_PHI_CHUNG_CHI_PHI_CAT_DUC_7600</t>
        </is>
      </c>
      <c r="C549" t="inlineStr">
        <is>
          <t>CHI PHÍ CHUNG Chi phí cắt đục, đóng lưới trám trét tường</t>
        </is>
      </c>
      <c r="D549" t="inlineStr">
        <is>
          <t>THUONG_MAI</t>
        </is>
      </c>
      <c r="E549" s="390" t="n">
        <v>0</v>
      </c>
    </row>
    <row r="550">
      <c r="A550" t="n">
        <v>549</v>
      </c>
      <c r="B550" t="inlineStr">
        <is>
          <t>MAT-LUOI-CHI_PHI_CHUNG_CHI_PH_7600</t>
        </is>
      </c>
      <c r="C550" t="inlineStr">
        <is>
          <t>Lưới bảo vệ -</t>
        </is>
      </c>
      <c r="D550" t="inlineStr">
        <is>
          <t>THUONG_MAI</t>
        </is>
      </c>
      <c r="E550" s="390" t="n">
        <v>0</v>
      </c>
    </row>
    <row r="551">
      <c r="A551" t="n">
        <v>550</v>
      </c>
      <c r="B551" t="inlineStr">
        <is>
          <t>MAT-THUONG_MAI-CHI_PHI_CHUNG_CHI_PHI_CHONG_CH_147A</t>
        </is>
      </c>
      <c r="C551" t="inlineStr">
        <is>
          <t>CHI PHÍ CHUNG Chi phí chống cháy lan</t>
        </is>
      </c>
      <c r="D551" t="inlineStr">
        <is>
          <t>THUONG_MAI</t>
        </is>
      </c>
      <c r="E551" s="390"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2020-12-24T10:08:00Z</dcterms:created>
  <dcterms:modified xmlns:dcterms="http://purl.org/dc/terms/" xmlns:xsi="http://www.w3.org/2001/XMLSchema-instance" xsi:type="dcterms:W3CDTF">2026-10-11T04:35:33Z</dcterms:modified>
  <cp:lastModifiedBy>Nam Lê Ngoc</cp:lastModifiedBy>
  <cp:lastPrinted>2026-04-17T08:53:00Z</cp:lastPrinted>
</cp:coreProperties>
</file>

<file path=docProps/custom.xml><?xml version="1.0" encoding="utf-8"?>
<Properties xmlns="http://schemas.openxmlformats.org/officeDocument/2006/custom-properties">
  <property name="Matl_Rate" linkTarget="Prop_Matl_Rate" fmtid="{D5CDD505-2E9C-101B-9397-08002B2CF9AE}" pid="2">
    <vt:lpwstr xmlns:vt="http://schemas.openxmlformats.org/officeDocument/2006/docPropsVTypes"/>
  </property>
  <property name="MD_Rate" linkTarget="Prop_MD_Rate" fmtid="{D5CDD505-2E9C-101B-9397-08002B2CF9AE}" pid="3">
    <vt:lpwstr xmlns:vt="http://schemas.openxmlformats.org/officeDocument/2006/docPropsVTypes"/>
  </property>
  <property name="Total_Matl" linkTarget="Prop_Total_Matl" fmtid="{D5CDD505-2E9C-101B-9397-08002B2CF9AE}" pid="4">
    <vt:lpwstr xmlns:vt="http://schemas.openxmlformats.org/officeDocument/2006/docPropsVTypes"/>
  </property>
  <property name="Total_MD" linkTarget="Prop_Total_MD" fmtid="{D5CDD505-2E9C-101B-9397-08002B2CF9AE}" pid="5">
    <vt:lpwstr xmlns:vt="http://schemas.openxmlformats.org/officeDocument/2006/docPropsVTypes"/>
  </property>
  <property name="ICV" fmtid="{D5CDD505-2E9C-101B-9397-08002B2CF9AE}" pid="6">
    <vt:lpwstr xmlns:vt="http://schemas.openxmlformats.org/officeDocument/2006/docPropsVTypes">4058743BC0AB49F79E8168B33A6D557C_12</vt:lpwstr>
  </property>
  <property name="KSOProductBuildVer" fmtid="{D5CDD505-2E9C-101B-9397-08002B2CF9AE}" pid="7">
    <vt:lpwstr xmlns:vt="http://schemas.openxmlformats.org/officeDocument/2006/docPropsVTypes">1033-12.1.0.25242</vt:lpwstr>
  </property>
  <property name="CalculationRule" fmtid="{D5CDD505-2E9C-101B-9397-08002B2CF9AE}" pid="8">
    <vt:i4 xmlns:vt="http://schemas.openxmlformats.org/officeDocument/2006/docPropsVTypes">0</vt:i4>
  </property>
</Properties>
</file>
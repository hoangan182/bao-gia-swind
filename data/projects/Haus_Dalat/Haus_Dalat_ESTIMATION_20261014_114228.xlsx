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00_BANG_CHAO_GIA" sheetId="1" state="visible" r:id="rId1"/>
    <sheet name="00_TONG_HOP_BAO_GIA" sheetId="2" state="visible" r:id="rId2"/>
    <sheet name="01_BOC_TACH_ONG" sheetId="3" state="visible" r:id="rId3"/>
    <sheet name="02_BOC_TACH_CUA" sheetId="4" state="visible" r:id="rId4"/>
    <sheet name="03_BOC_TACH_VAN" sheetId="5" state="visible" r:id="rId5"/>
    <sheet name="05_DANH_MUC_KY_THUAT_GOC" sheetId="6" state="visible" r:id="rId6"/>
    <sheet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83"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390" t="n">
        <v>15</v>
      </c>
      <c r="H2" s="390">
        <f>SUMIF('01_BOC_TACH_ONG'!B:B, B2, '01_BOC_TACH_ONG'!K:K)</f>
        <v/>
      </c>
      <c r="I2" s="390">
        <f>SUMIF('02_BOC_TACH_CUA'!B:B, B2, '02_BOC_TACH_CUA'!K:K)</f>
        <v/>
      </c>
      <c r="J2" s="390">
        <f>SUMIF('03_BOC_TACH_VAN'!B:B, B2, '03_BOC_TACH_VAN'!K:K)</f>
        <v/>
      </c>
      <c r="K2" s="390">
        <f>SUM(H2:J2)</f>
        <v/>
      </c>
      <c r="L2" s="390">
        <f>K2*0.25</f>
        <v/>
      </c>
      <c r="M2" s="390">
        <f>K2*0.10</f>
        <v/>
      </c>
      <c r="N2" s="390">
        <f>K2+L2+M2</f>
        <v/>
      </c>
      <c r="O2" s="390">
        <f>IF(G2&gt;0, N2/G2, 0)</f>
        <v/>
      </c>
      <c r="P2" s="391" t="n">
        <v>0.18</v>
      </c>
      <c r="Q2" s="390">
        <f>O2*(1+P2)</f>
        <v/>
      </c>
      <c r="R2" s="390">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390" t="n">
        <v>40</v>
      </c>
      <c r="H3" s="390">
        <f>SUMIF('01_BOC_TACH_ONG'!B:B, B3, '01_BOC_TACH_ONG'!K:K)</f>
        <v/>
      </c>
      <c r="I3" s="390">
        <f>SUMIF('02_BOC_TACH_CUA'!B:B, B3, '02_BOC_TACH_CUA'!K:K)</f>
        <v/>
      </c>
      <c r="J3" s="390">
        <f>SUMIF('03_BOC_TACH_VAN'!B:B, B3, '03_BOC_TACH_VAN'!K:K)</f>
        <v/>
      </c>
      <c r="K3" s="390">
        <f>SUM(H3:J3)</f>
        <v/>
      </c>
      <c r="L3" s="390">
        <f>K3*0.25</f>
        <v/>
      </c>
      <c r="M3" s="390">
        <f>K3*0.10</f>
        <v/>
      </c>
      <c r="N3" s="390">
        <f>K3+L3+M3</f>
        <v/>
      </c>
      <c r="O3" s="390">
        <f>IF(G3&gt;0, N3/G3, 0)</f>
        <v/>
      </c>
      <c r="P3" s="391" t="n">
        <v>0.18</v>
      </c>
      <c r="Q3" s="390">
        <f>O3*(1+P3)</f>
        <v/>
      </c>
      <c r="R3" s="390">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390" t="n">
        <v>40</v>
      </c>
      <c r="H4" s="390">
        <f>SUMIF('01_BOC_TACH_ONG'!B:B, B4, '01_BOC_TACH_ONG'!K:K)</f>
        <v/>
      </c>
      <c r="I4" s="390">
        <f>SUMIF('02_BOC_TACH_CUA'!B:B, B4, '02_BOC_TACH_CUA'!K:K)</f>
        <v/>
      </c>
      <c r="J4" s="390">
        <f>SUMIF('03_BOC_TACH_VAN'!B:B, B4, '03_BOC_TACH_VAN'!K:K)</f>
        <v/>
      </c>
      <c r="K4" s="390">
        <f>SUM(H4:J4)</f>
        <v/>
      </c>
      <c r="L4" s="390">
        <f>K4*0.25</f>
        <v/>
      </c>
      <c r="M4" s="390">
        <f>K4*0.10</f>
        <v/>
      </c>
      <c r="N4" s="390">
        <f>K4+L4+M4</f>
        <v/>
      </c>
      <c r="O4" s="390">
        <f>IF(G4&gt;0, N4/G4, 0)</f>
        <v/>
      </c>
      <c r="P4" s="391" t="n">
        <v>0.18</v>
      </c>
      <c r="Q4" s="390">
        <f>O4*(1+P4)</f>
        <v/>
      </c>
      <c r="R4" s="390">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390" t="n">
        <v>16</v>
      </c>
      <c r="H5" s="390">
        <f>SUMIF('01_BOC_TACH_ONG'!B:B, B5, '01_BOC_TACH_ONG'!K:K)</f>
        <v/>
      </c>
      <c r="I5" s="390">
        <f>SUMIF('02_BOC_TACH_CUA'!B:B, B5, '02_BOC_TACH_CUA'!K:K)</f>
        <v/>
      </c>
      <c r="J5" s="390">
        <f>SUMIF('03_BOC_TACH_VAN'!B:B, B5, '03_BOC_TACH_VAN'!K:K)</f>
        <v/>
      </c>
      <c r="K5" s="390">
        <f>SUM(H5:J5)</f>
        <v/>
      </c>
      <c r="L5" s="390">
        <f>K5*0.25</f>
        <v/>
      </c>
      <c r="M5" s="390">
        <f>K5*0.10</f>
        <v/>
      </c>
      <c r="N5" s="390">
        <f>K5+L5+M5</f>
        <v/>
      </c>
      <c r="O5" s="390">
        <f>IF(G5&gt;0, N5/G5, 0)</f>
        <v/>
      </c>
      <c r="P5" s="391" t="n">
        <v>0.18</v>
      </c>
      <c r="Q5" s="390">
        <f>O5*(1+P5)</f>
        <v/>
      </c>
      <c r="R5" s="390">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390" t="n">
        <v>16</v>
      </c>
      <c r="H6" s="390">
        <f>SUMIF('01_BOC_TACH_ONG'!B:B, B6, '01_BOC_TACH_ONG'!K:K)</f>
        <v/>
      </c>
      <c r="I6" s="390">
        <f>SUMIF('02_BOC_TACH_CUA'!B:B, B6, '02_BOC_TACH_CUA'!K:K)</f>
        <v/>
      </c>
      <c r="J6" s="390">
        <f>SUMIF('03_BOC_TACH_VAN'!B:B, B6, '03_BOC_TACH_VAN'!K:K)</f>
        <v/>
      </c>
      <c r="K6" s="390">
        <f>SUM(H6:J6)</f>
        <v/>
      </c>
      <c r="L6" s="390">
        <f>K6*0.25</f>
        <v/>
      </c>
      <c r="M6" s="390">
        <f>K6*0.10</f>
        <v/>
      </c>
      <c r="N6" s="390">
        <f>K6+L6+M6</f>
        <v/>
      </c>
      <c r="O6" s="390">
        <f>IF(G6&gt;0, N6/G6, 0)</f>
        <v/>
      </c>
      <c r="P6" s="391" t="n">
        <v>0.18</v>
      </c>
      <c r="Q6" s="390">
        <f>O6*(1+P6)</f>
        <v/>
      </c>
      <c r="R6" s="390">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390" t="n">
        <v>32</v>
      </c>
      <c r="H7" s="390">
        <f>SUMIF('01_BOC_TACH_ONG'!B:B, B7, '01_BOC_TACH_ONG'!K:K)</f>
        <v/>
      </c>
      <c r="I7" s="390">
        <f>SUMIF('02_BOC_TACH_CUA'!B:B, B7, '02_BOC_TACH_CUA'!K:K)</f>
        <v/>
      </c>
      <c r="J7" s="390">
        <f>SUMIF('03_BOC_TACH_VAN'!B:B, B7, '03_BOC_TACH_VAN'!K:K)</f>
        <v/>
      </c>
      <c r="K7" s="390">
        <f>SUM(H7:J7)</f>
        <v/>
      </c>
      <c r="L7" s="390">
        <f>K7*0.25</f>
        <v/>
      </c>
      <c r="M7" s="390">
        <f>K7*0.10</f>
        <v/>
      </c>
      <c r="N7" s="390">
        <f>K7+L7+M7</f>
        <v/>
      </c>
      <c r="O7" s="390">
        <f>IF(G7&gt;0, N7/G7, 0)</f>
        <v/>
      </c>
      <c r="P7" s="391" t="n">
        <v>0.18</v>
      </c>
      <c r="Q7" s="390">
        <f>O7*(1+P7)</f>
        <v/>
      </c>
      <c r="R7" s="390">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390" t="n">
        <v>24</v>
      </c>
      <c r="H8" s="390">
        <f>SUMIF('01_BOC_TACH_ONG'!B:B, B8, '01_BOC_TACH_ONG'!K:K)</f>
        <v/>
      </c>
      <c r="I8" s="390">
        <f>SUMIF('02_BOC_TACH_CUA'!B:B, B8, '02_BOC_TACH_CUA'!K:K)</f>
        <v/>
      </c>
      <c r="J8" s="390">
        <f>SUMIF('03_BOC_TACH_VAN'!B:B, B8, '03_BOC_TACH_VAN'!K:K)</f>
        <v/>
      </c>
      <c r="K8" s="390">
        <f>SUM(H8:J8)</f>
        <v/>
      </c>
      <c r="L8" s="390">
        <f>K8*0.25</f>
        <v/>
      </c>
      <c r="M8" s="390">
        <f>K8*0.10</f>
        <v/>
      </c>
      <c r="N8" s="390">
        <f>K8+L8+M8</f>
        <v/>
      </c>
      <c r="O8" s="390">
        <f>IF(G8&gt;0, N8/G8, 0)</f>
        <v/>
      </c>
      <c r="P8" s="391" t="n">
        <v>0.18</v>
      </c>
      <c r="Q8" s="390">
        <f>O8*(1+P8)</f>
        <v/>
      </c>
      <c r="R8" s="390">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390" t="n">
        <v>6</v>
      </c>
      <c r="H9" s="390">
        <f>SUMIF('01_BOC_TACH_ONG'!B:B, B9, '01_BOC_TACH_ONG'!K:K)</f>
        <v/>
      </c>
      <c r="I9" s="390">
        <f>SUMIF('02_BOC_TACH_CUA'!B:B, B9, '02_BOC_TACH_CUA'!K:K)</f>
        <v/>
      </c>
      <c r="J9" s="390">
        <f>SUMIF('03_BOC_TACH_VAN'!B:B, B9, '03_BOC_TACH_VAN'!K:K)</f>
        <v/>
      </c>
      <c r="K9" s="390">
        <f>SUM(H9:J9)</f>
        <v/>
      </c>
      <c r="L9" s="390">
        <f>K9*0.25</f>
        <v/>
      </c>
      <c r="M9" s="390">
        <f>K9*0.10</f>
        <v/>
      </c>
      <c r="N9" s="390">
        <f>K9+L9+M9</f>
        <v/>
      </c>
      <c r="O9" s="390">
        <f>IF(G9&gt;0, N9/G9, 0)</f>
        <v/>
      </c>
      <c r="P9" s="391" t="n">
        <v>0.18</v>
      </c>
      <c r="Q9" s="390">
        <f>O9*(1+P9)</f>
        <v/>
      </c>
      <c r="R9" s="390">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390" t="n">
        <v>2</v>
      </c>
      <c r="H10" s="390">
        <f>SUMIF('01_BOC_TACH_ONG'!B:B, B10, '01_BOC_TACH_ONG'!K:K)</f>
        <v/>
      </c>
      <c r="I10" s="390">
        <f>SUMIF('02_BOC_TACH_CUA'!B:B, B10, '02_BOC_TACH_CUA'!K:K)</f>
        <v/>
      </c>
      <c r="J10" s="390">
        <f>SUMIF('03_BOC_TACH_VAN'!B:B, B10, '03_BOC_TACH_VAN'!K:K)</f>
        <v/>
      </c>
      <c r="K10" s="390">
        <f>SUM(H10:J10)</f>
        <v/>
      </c>
      <c r="L10" s="390">
        <f>K10*0.25</f>
        <v/>
      </c>
      <c r="M10" s="390">
        <f>K10*0.10</f>
        <v/>
      </c>
      <c r="N10" s="390">
        <f>K10+L10+M10</f>
        <v/>
      </c>
      <c r="O10" s="390">
        <f>IF(G10&gt;0, N10/G10, 0)</f>
        <v/>
      </c>
      <c r="P10" s="391" t="n">
        <v>0.18</v>
      </c>
      <c r="Q10" s="390">
        <f>O10*(1+P10)</f>
        <v/>
      </c>
      <c r="R10" s="390">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K11*0.25</f>
        <v/>
      </c>
      <c r="M11" s="390">
        <f>K11*0.10</f>
        <v/>
      </c>
      <c r="N11" s="390">
        <f>K11+L11+M11</f>
        <v/>
      </c>
      <c r="O11" s="390">
        <f>IF(G11&gt;0, N11/G11, 0)</f>
        <v/>
      </c>
      <c r="P11" s="391" t="n">
        <v>0.18</v>
      </c>
      <c r="Q11" s="390">
        <f>O11*(1+P11)</f>
        <v/>
      </c>
      <c r="R11" s="390">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390" t="n">
        <v>6</v>
      </c>
      <c r="H12" s="390">
        <f>SUMIF('01_BOC_TACH_ONG'!B:B, B12, '01_BOC_TACH_ONG'!K:K)</f>
        <v/>
      </c>
      <c r="I12" s="390">
        <f>SUMIF('02_BOC_TACH_CUA'!B:B, B12, '02_BOC_TACH_CUA'!K:K)</f>
        <v/>
      </c>
      <c r="J12" s="390">
        <f>SUMIF('03_BOC_TACH_VAN'!B:B, B12, '03_BOC_TACH_VAN'!K:K)</f>
        <v/>
      </c>
      <c r="K12" s="390">
        <f>SUM(H12:J12)</f>
        <v/>
      </c>
      <c r="L12" s="390">
        <f>K12*0.25</f>
        <v/>
      </c>
      <c r="M12" s="390">
        <f>K12*0.10</f>
        <v/>
      </c>
      <c r="N12" s="390">
        <f>K12+L12+M12</f>
        <v/>
      </c>
      <c r="O12" s="390">
        <f>IF(G12&gt;0, N12/G12, 0)</f>
        <v/>
      </c>
      <c r="P12" s="391" t="n">
        <v>0.18</v>
      </c>
      <c r="Q12" s="390">
        <f>O12*(1+P12)</f>
        <v/>
      </c>
      <c r="R12" s="390">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390" t="n">
        <v>2</v>
      </c>
      <c r="H13" s="390">
        <f>SUMIF('01_BOC_TACH_ONG'!B:B, B13, '01_BOC_TACH_ONG'!K:K)</f>
        <v/>
      </c>
      <c r="I13" s="390">
        <f>SUMIF('02_BOC_TACH_CUA'!B:B, B13, '02_BOC_TACH_CUA'!K:K)</f>
        <v/>
      </c>
      <c r="J13" s="390">
        <f>SUMIF('03_BOC_TACH_VAN'!B:B, B13, '03_BOC_TACH_VAN'!K:K)</f>
        <v/>
      </c>
      <c r="K13" s="390">
        <f>SUM(H13:J13)</f>
        <v/>
      </c>
      <c r="L13" s="390">
        <f>K13*0.25</f>
        <v/>
      </c>
      <c r="M13" s="390">
        <f>K13*0.10</f>
        <v/>
      </c>
      <c r="N13" s="390">
        <f>K13+L13+M13</f>
        <v/>
      </c>
      <c r="O13" s="390">
        <f>IF(G13&gt;0, N13/G13, 0)</f>
        <v/>
      </c>
      <c r="P13" s="391" t="n">
        <v>0.18</v>
      </c>
      <c r="Q13" s="390">
        <f>O13*(1+P13)</f>
        <v/>
      </c>
      <c r="R13" s="390">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K14*0.25</f>
        <v/>
      </c>
      <c r="M14" s="390">
        <f>K14*0.10</f>
        <v/>
      </c>
      <c r="N14" s="390">
        <f>K14+L14+M14</f>
        <v/>
      </c>
      <c r="O14" s="390">
        <f>IF(G14&gt;0, N14/G14, 0)</f>
        <v/>
      </c>
      <c r="P14" s="391" t="n">
        <v>0.18</v>
      </c>
      <c r="Q14" s="390">
        <f>O14*(1+P14)</f>
        <v/>
      </c>
      <c r="R14" s="390">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390" t="n">
        <v>3</v>
      </c>
      <c r="H15" s="390">
        <f>SUMIF('01_BOC_TACH_ONG'!B:B, B15, '01_BOC_TACH_ONG'!K:K)</f>
        <v/>
      </c>
      <c r="I15" s="390">
        <f>SUMIF('02_BOC_TACH_CUA'!B:B, B15, '02_BOC_TACH_CUA'!K:K)</f>
        <v/>
      </c>
      <c r="J15" s="390">
        <f>SUMIF('03_BOC_TACH_VAN'!B:B, B15, '03_BOC_TACH_VAN'!K:K)</f>
        <v/>
      </c>
      <c r="K15" s="390">
        <f>SUM(H15:J15)</f>
        <v/>
      </c>
      <c r="L15" s="390">
        <f>K15*0.25</f>
        <v/>
      </c>
      <c r="M15" s="390">
        <f>K15*0.10</f>
        <v/>
      </c>
      <c r="N15" s="390">
        <f>K15+L15+M15</f>
        <v/>
      </c>
      <c r="O15" s="390">
        <f>IF(G15&gt;0, N15/G15, 0)</f>
        <v/>
      </c>
      <c r="P15" s="391" t="n">
        <v>0.18</v>
      </c>
      <c r="Q15" s="390">
        <f>O15*(1+P15)</f>
        <v/>
      </c>
      <c r="R15" s="390">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390" t="n">
        <v>6</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390" t="n">
        <v>9</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390" t="n">
        <v>12</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390" t="n">
        <v>1</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390" t="n">
        <v>2</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390" t="n">
        <v>1</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390" t="n">
        <v>1</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390" t="n">
        <v>5</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390" t="n">
        <v>1</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390" t="n">
        <v>112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390" t="n">
        <v>2</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390" t="n">
        <v>52</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390" t="n">
        <v>1</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390" t="n">
        <v>4</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390" t="n">
        <v>4</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390" t="n">
        <v>1</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390" t="n">
        <v>2</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390" t="n">
        <v>112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390" t="n">
        <v>2</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390" t="n">
        <v>52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390" t="n">
        <v>1</v>
      </c>
      <c r="H36" s="390">
        <f>SUMIF('01_BOC_TACH_ONG'!B:B, B36, '01_BOC_TACH_ONG'!K:K)</f>
        <v/>
      </c>
      <c r="I36" s="390">
        <f>SUMIF('02_BOC_TACH_CUA'!B:B, B36, '02_BOC_TACH_CUA'!K:K)</f>
        <v/>
      </c>
      <c r="J36" s="390">
        <f>SUMIF('03_BOC_TACH_VAN'!B:B, B36, '03_BOC_TACH_VAN'!K:K)</f>
        <v/>
      </c>
      <c r="K36" s="390">
        <f>SUM(H36:J36)</f>
        <v/>
      </c>
      <c r="L36" s="390">
        <f>K36*0.00</f>
        <v/>
      </c>
      <c r="M36" s="390">
        <f>K36*0.02</f>
        <v/>
      </c>
      <c r="N36" s="390">
        <f>K36+L36+M36</f>
        <v/>
      </c>
      <c r="O36" s="390">
        <f>IF(G36&gt;0, N36/G36, 0)</f>
        <v/>
      </c>
      <c r="P36" s="391" t="n">
        <v>0.1</v>
      </c>
      <c r="Q36" s="390">
        <f>O36*(1+P36)</f>
        <v/>
      </c>
      <c r="R36" s="390">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390" t="n">
        <v>2633.4</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390" t="n">
        <v>1291.1</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390" t="n">
        <v>3070.55</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390" t="n">
        <v>138</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390" t="n">
        <v>3</v>
      </c>
      <c r="H41" s="390">
        <f>SUMIF('01_BOC_TACH_ONG'!B:B, B41, '01_BOC_TACH_ONG'!K:K)</f>
        <v/>
      </c>
      <c r="I41" s="390">
        <f>SUMIF('02_BOC_TACH_CUA'!B:B, B41, '02_BOC_TACH_CUA'!K:K)</f>
        <v/>
      </c>
      <c r="J41" s="390">
        <f>SUMIF('03_BOC_TACH_VAN'!B:B, B41, '03_BOC_TACH_VAN'!K:K)</f>
        <v/>
      </c>
      <c r="K41" s="390">
        <f>SUM(H41:J41)</f>
        <v/>
      </c>
      <c r="L41" s="390">
        <f>K41*0.00</f>
        <v/>
      </c>
      <c r="M41" s="390">
        <f>K41*0.02</f>
        <v/>
      </c>
      <c r="N41" s="390">
        <f>K41+L41+M41</f>
        <v/>
      </c>
      <c r="O41" s="390">
        <f>IF(G41&gt;0, N41/G41, 0)</f>
        <v/>
      </c>
      <c r="P41" s="391" t="n">
        <v>0.1</v>
      </c>
      <c r="Q41" s="390">
        <f>O41*(1+P41)</f>
        <v/>
      </c>
      <c r="R41" s="390">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390" t="n">
        <v>3621.25</v>
      </c>
      <c r="H42" s="390">
        <f>SUMIF('01_BOC_TACH_ONG'!B:B, B42, '01_BOC_TACH_ONG'!K:K)</f>
        <v/>
      </c>
      <c r="I42" s="390">
        <f>SUMIF('02_BOC_TACH_CUA'!B:B, B42, '02_BOC_TACH_CUA'!K:K)</f>
        <v/>
      </c>
      <c r="J42" s="390">
        <f>SUMIF('03_BOC_TACH_VAN'!B:B, B42, '03_BOC_TACH_VAN'!K:K)</f>
        <v/>
      </c>
      <c r="K42" s="390">
        <f>SUM(H42:J42)</f>
        <v/>
      </c>
      <c r="L42" s="390">
        <f>K42*0.00</f>
        <v/>
      </c>
      <c r="M42" s="390">
        <f>K42*0.02</f>
        <v/>
      </c>
      <c r="N42" s="390">
        <f>K42+L42+M42</f>
        <v/>
      </c>
      <c r="O42" s="390">
        <f>IF(G42&gt;0, N42/G42, 0)</f>
        <v/>
      </c>
      <c r="P42" s="391" t="n">
        <v>0.1</v>
      </c>
      <c r="Q42" s="390">
        <f>O42*(1+P42)</f>
        <v/>
      </c>
      <c r="R42" s="390">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390" t="n">
        <v>2821</v>
      </c>
      <c r="H43" s="390">
        <f>SUMIF('01_BOC_TACH_ONG'!B:B, B43, '01_BOC_TACH_ONG'!K:K)</f>
        <v/>
      </c>
      <c r="I43" s="390">
        <f>SUMIF('02_BOC_TACH_CUA'!B:B, B43, '02_BOC_TACH_CUA'!K:K)</f>
        <v/>
      </c>
      <c r="J43" s="390">
        <f>SUMIF('03_BOC_TACH_VAN'!B:B, B43, '03_BOC_TACH_VAN'!K:K)</f>
        <v/>
      </c>
      <c r="K43" s="390">
        <f>SUM(H43:J43)</f>
        <v/>
      </c>
      <c r="L43" s="390">
        <f>K43*0.00</f>
        <v/>
      </c>
      <c r="M43" s="390">
        <f>K43*0.02</f>
        <v/>
      </c>
      <c r="N43" s="390">
        <f>K43+L43+M43</f>
        <v/>
      </c>
      <c r="O43" s="390">
        <f>IF(G43&gt;0, N43/G43, 0)</f>
        <v/>
      </c>
      <c r="P43" s="391" t="n">
        <v>0.1</v>
      </c>
      <c r="Q43" s="390">
        <f>O43*(1+P43)</f>
        <v/>
      </c>
      <c r="R43" s="390">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390" t="n">
        <v>1</v>
      </c>
      <c r="H44" s="390">
        <f>SUMIF('01_BOC_TACH_ONG'!B:B, B44, '01_BOC_TACH_ONG'!K:K)</f>
        <v/>
      </c>
      <c r="I44" s="390">
        <f>SUMIF('02_BOC_TACH_CUA'!B:B, B44, '02_BOC_TACH_CUA'!K:K)</f>
        <v/>
      </c>
      <c r="J44" s="390">
        <f>SUMIF('03_BOC_TACH_VAN'!B:B, B44, '03_BOC_TACH_VAN'!K:K)</f>
        <v/>
      </c>
      <c r="K44" s="390">
        <f>SUM(H44:J44)</f>
        <v/>
      </c>
      <c r="L44" s="390">
        <f>K44*0.00</f>
        <v/>
      </c>
      <c r="M44" s="390">
        <f>K44*0.02</f>
        <v/>
      </c>
      <c r="N44" s="390">
        <f>K44+L44+M44</f>
        <v/>
      </c>
      <c r="O44" s="390">
        <f>IF(G44&gt;0, N44/G44, 0)</f>
        <v/>
      </c>
      <c r="P44" s="391" t="n">
        <v>0.1</v>
      </c>
      <c r="Q44" s="390">
        <f>O44*(1+P44)</f>
        <v/>
      </c>
      <c r="R44" s="390">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390" t="n">
        <v>1</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390" t="n">
        <v>2</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390" t="n">
        <v>1</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390" t="n">
        <v>1</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390" t="n">
        <v>1</v>
      </c>
      <c r="H51" s="390">
        <f>SUMIF('01_BOC_TACH_ONG'!B:B, B51, '01_BOC_TACH_ONG'!K:K)</f>
        <v/>
      </c>
      <c r="I51" s="390">
        <f>SUMIF('02_BOC_TACH_CUA'!B:B, B51, '02_BOC_TACH_CUA'!K:K)</f>
        <v/>
      </c>
      <c r="J51" s="390">
        <f>SUMIF('03_BOC_TACH_VAN'!B:B, B51, '03_BOC_TACH_VAN'!K:K)</f>
        <v/>
      </c>
      <c r="K51" s="390">
        <f>SUM(H51:J51)</f>
        <v/>
      </c>
      <c r="L51" s="390">
        <f>K51*0.25</f>
        <v/>
      </c>
      <c r="M51" s="390">
        <f>K51*0.10</f>
        <v/>
      </c>
      <c r="N51" s="390">
        <f>K51+L51+M51</f>
        <v/>
      </c>
      <c r="O51" s="390">
        <f>IF(G51&gt;0, N51/G51, 0)</f>
        <v/>
      </c>
      <c r="P51" s="391" t="n">
        <v>0.18</v>
      </c>
      <c r="Q51" s="390">
        <f>O51*(1+P51)</f>
        <v/>
      </c>
      <c r="R51" s="390">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390" t="n">
        <v>1</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390" t="n">
        <v>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390" t="n">
        <v>2</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390" t="n">
        <v>2</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390" t="n">
        <v>2</v>
      </c>
      <c r="H56" s="390">
        <f>SUMIF('01_BOC_TACH_ONG'!B:B, B56, '01_BOC_TACH_ONG'!K:K)</f>
        <v/>
      </c>
      <c r="I56" s="390">
        <f>SUMIF('02_BOC_TACH_CUA'!B:B, B56, '02_BOC_TACH_CUA'!K:K)</f>
        <v/>
      </c>
      <c r="J56" s="390">
        <f>SUMIF('03_BOC_TACH_VAN'!B:B, B56, '03_BOC_TACH_VAN'!K:K)</f>
        <v/>
      </c>
      <c r="K56" s="390">
        <f>SUM(H56:J56)</f>
        <v/>
      </c>
      <c r="L56" s="390">
        <f>K56*0.25</f>
        <v/>
      </c>
      <c r="M56" s="390">
        <f>K56*0.10</f>
        <v/>
      </c>
      <c r="N56" s="390">
        <f>K56+L56+M56</f>
        <v/>
      </c>
      <c r="O56" s="390">
        <f>IF(G56&gt;0, N56/G56, 0)</f>
        <v/>
      </c>
      <c r="P56" s="391" t="n">
        <v>0.18</v>
      </c>
      <c r="Q56" s="390">
        <f>O56*(1+P56)</f>
        <v/>
      </c>
      <c r="R56" s="390">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390" t="n">
        <v>2</v>
      </c>
      <c r="H57" s="390">
        <f>SUMIF('01_BOC_TACH_ONG'!B:B, B57, '01_BOC_TACH_ONG'!K:K)</f>
        <v/>
      </c>
      <c r="I57" s="390">
        <f>SUMIF('02_BOC_TACH_CUA'!B:B, B57, '02_BOC_TACH_CUA'!K:K)</f>
        <v/>
      </c>
      <c r="J57" s="390">
        <f>SUMIF('03_BOC_TACH_VAN'!B:B, B57, '03_BOC_TACH_VAN'!K:K)</f>
        <v/>
      </c>
      <c r="K57" s="390">
        <f>SUM(H57:J57)</f>
        <v/>
      </c>
      <c r="L57" s="390">
        <f>K57*0.25</f>
        <v/>
      </c>
      <c r="M57" s="390">
        <f>K57*0.10</f>
        <v/>
      </c>
      <c r="N57" s="390">
        <f>K57+L57+M57</f>
        <v/>
      </c>
      <c r="O57" s="390">
        <f>IF(G57&gt;0, N57/G57, 0)</f>
        <v/>
      </c>
      <c r="P57" s="391" t="n">
        <v>0.18</v>
      </c>
      <c r="Q57" s="390">
        <f>O57*(1+P57)</f>
        <v/>
      </c>
      <c r="R57" s="390">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390" t="n">
        <v>5</v>
      </c>
      <c r="H58" s="390">
        <f>SUMIF('01_BOC_TACH_ONG'!B:B, B58, '01_BOC_TACH_ONG'!K:K)</f>
        <v/>
      </c>
      <c r="I58" s="390">
        <f>SUMIF('02_BOC_TACH_CUA'!B:B, B58, '02_BOC_TACH_CUA'!K:K)</f>
        <v/>
      </c>
      <c r="J58" s="390">
        <f>SUMIF('03_BOC_TACH_VAN'!B:B, B58, '03_BOC_TACH_VAN'!K:K)</f>
        <v/>
      </c>
      <c r="K58" s="390">
        <f>SUM(H58:J58)</f>
        <v/>
      </c>
      <c r="L58" s="390">
        <f>K58*0.25</f>
        <v/>
      </c>
      <c r="M58" s="390">
        <f>K58*0.10</f>
        <v/>
      </c>
      <c r="N58" s="390">
        <f>K58+L58+M58</f>
        <v/>
      </c>
      <c r="O58" s="390">
        <f>IF(G58&gt;0, N58/G58, 0)</f>
        <v/>
      </c>
      <c r="P58" s="391" t="n">
        <v>0.18</v>
      </c>
      <c r="Q58" s="390">
        <f>O58*(1+P58)</f>
        <v/>
      </c>
      <c r="R58" s="390">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390" t="n">
        <v>5</v>
      </c>
      <c r="H59" s="390">
        <f>SUMIF('01_BOC_TACH_ONG'!B:B, B59, '01_BOC_TACH_ONG'!K:K)</f>
        <v/>
      </c>
      <c r="I59" s="390">
        <f>SUMIF('02_BOC_TACH_CUA'!B:B, B59, '02_BOC_TACH_CUA'!K:K)</f>
        <v/>
      </c>
      <c r="J59" s="390">
        <f>SUMIF('03_BOC_TACH_VAN'!B:B, B59, '03_BOC_TACH_VAN'!K:K)</f>
        <v/>
      </c>
      <c r="K59" s="390">
        <f>SUM(H59:J59)</f>
        <v/>
      </c>
      <c r="L59" s="390">
        <f>K59*0.25</f>
        <v/>
      </c>
      <c r="M59" s="390">
        <f>K59*0.10</f>
        <v/>
      </c>
      <c r="N59" s="390">
        <f>K59+L59+M59</f>
        <v/>
      </c>
      <c r="O59" s="390">
        <f>IF(G59&gt;0, N59/G59, 0)</f>
        <v/>
      </c>
      <c r="P59" s="391" t="n">
        <v>0.18</v>
      </c>
      <c r="Q59" s="390">
        <f>O59*(1+P59)</f>
        <v/>
      </c>
      <c r="R59" s="390">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390" t="n">
        <v>6</v>
      </c>
      <c r="H60" s="390">
        <f>SUMIF('01_BOC_TACH_ONG'!B:B, B60, '01_BOC_TACH_ONG'!K:K)</f>
        <v/>
      </c>
      <c r="I60" s="390">
        <f>SUMIF('02_BOC_TACH_CUA'!B:B, B60, '02_BOC_TACH_CUA'!K:K)</f>
        <v/>
      </c>
      <c r="J60" s="390">
        <f>SUMIF('03_BOC_TACH_VAN'!B:B, B60, '03_BOC_TACH_VAN'!K:K)</f>
        <v/>
      </c>
      <c r="K60" s="390">
        <f>SUM(H60:J60)</f>
        <v/>
      </c>
      <c r="L60" s="390">
        <f>K60*0.25</f>
        <v/>
      </c>
      <c r="M60" s="390">
        <f>K60*0.10</f>
        <v/>
      </c>
      <c r="N60" s="390">
        <f>K60+L60+M60</f>
        <v/>
      </c>
      <c r="O60" s="390">
        <f>IF(G60&gt;0, N60/G60, 0)</f>
        <v/>
      </c>
      <c r="P60" s="391" t="n">
        <v>0.18</v>
      </c>
      <c r="Q60" s="390">
        <f>O60*(1+P60)</f>
        <v/>
      </c>
      <c r="R60" s="390">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K61*0.25</f>
        <v/>
      </c>
      <c r="M61" s="390">
        <f>K61*0.10</f>
        <v/>
      </c>
      <c r="N61" s="390">
        <f>K61+L61+M61</f>
        <v/>
      </c>
      <c r="O61" s="390">
        <f>IF(G61&gt;0, N61/G61, 0)</f>
        <v/>
      </c>
      <c r="P61" s="391" t="n">
        <v>0.18</v>
      </c>
      <c r="Q61" s="390">
        <f>O61*(1+P61)</f>
        <v/>
      </c>
      <c r="R61" s="390">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K62*0.25</f>
        <v/>
      </c>
      <c r="M62" s="390">
        <f>K62*0.10</f>
        <v/>
      </c>
      <c r="N62" s="390">
        <f>K62+L62+M62</f>
        <v/>
      </c>
      <c r="O62" s="390">
        <f>IF(G62&gt;0, N62/G62, 0)</f>
        <v/>
      </c>
      <c r="P62" s="391" t="n">
        <v>0.18</v>
      </c>
      <c r="Q62" s="390">
        <f>O62*(1+P62)</f>
        <v/>
      </c>
      <c r="R62" s="390">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390" t="n">
        <v>3</v>
      </c>
      <c r="H63" s="390">
        <f>SUMIF('01_BOC_TACH_ONG'!B:B, B63, '01_BOC_TACH_ONG'!K:K)</f>
        <v/>
      </c>
      <c r="I63" s="390">
        <f>SUMIF('02_BOC_TACH_CUA'!B:B, B63, '02_BOC_TACH_CUA'!K:K)</f>
        <v/>
      </c>
      <c r="J63" s="390">
        <f>SUMIF('03_BOC_TACH_VAN'!B:B, B63, '03_BOC_TACH_VAN'!K:K)</f>
        <v/>
      </c>
      <c r="K63" s="390">
        <f>SUM(H63:J63)</f>
        <v/>
      </c>
      <c r="L63" s="390">
        <f>K63*0.25</f>
        <v/>
      </c>
      <c r="M63" s="390">
        <f>K63*0.10</f>
        <v/>
      </c>
      <c r="N63" s="390">
        <f>K63+L63+M63</f>
        <v/>
      </c>
      <c r="O63" s="390">
        <f>IF(G63&gt;0, N63/G63, 0)</f>
        <v/>
      </c>
      <c r="P63" s="391" t="n">
        <v>0.18</v>
      </c>
      <c r="Q63" s="390">
        <f>O63*(1+P63)</f>
        <v/>
      </c>
      <c r="R63" s="390">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390" t="n">
        <v>2</v>
      </c>
      <c r="H64" s="390">
        <f>SUMIF('01_BOC_TACH_ONG'!B:B, B64, '01_BOC_TACH_ONG'!K:K)</f>
        <v/>
      </c>
      <c r="I64" s="390">
        <f>SUMIF('02_BOC_TACH_CUA'!B:B, B64, '02_BOC_TACH_CUA'!K:K)</f>
        <v/>
      </c>
      <c r="J64" s="390">
        <f>SUMIF('03_BOC_TACH_VAN'!B:B, B64, '03_BOC_TACH_VAN'!K:K)</f>
        <v/>
      </c>
      <c r="K64" s="390">
        <f>SUM(H64:J64)</f>
        <v/>
      </c>
      <c r="L64" s="390">
        <f>K64*0.25</f>
        <v/>
      </c>
      <c r="M64" s="390">
        <f>K64*0.10</f>
        <v/>
      </c>
      <c r="N64" s="390">
        <f>K64+L64+M64</f>
        <v/>
      </c>
      <c r="O64" s="390">
        <f>IF(G64&gt;0, N64/G64, 0)</f>
        <v/>
      </c>
      <c r="P64" s="391" t="n">
        <v>0.18</v>
      </c>
      <c r="Q64" s="390">
        <f>O64*(1+P64)</f>
        <v/>
      </c>
      <c r="R64" s="390">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390" t="n">
        <v>2</v>
      </c>
      <c r="H65" s="390">
        <f>SUMIF('01_BOC_TACH_ONG'!B:B, B65, '01_BOC_TACH_ONG'!K:K)</f>
        <v/>
      </c>
      <c r="I65" s="390">
        <f>SUMIF('02_BOC_TACH_CUA'!B:B, B65, '02_BOC_TACH_CUA'!K:K)</f>
        <v/>
      </c>
      <c r="J65" s="390">
        <f>SUMIF('03_BOC_TACH_VAN'!B:B, B65, '03_BOC_TACH_VAN'!K:K)</f>
        <v/>
      </c>
      <c r="K65" s="390">
        <f>SUM(H65:J65)</f>
        <v/>
      </c>
      <c r="L65" s="390">
        <f>K65*0.25</f>
        <v/>
      </c>
      <c r="M65" s="390">
        <f>K65*0.10</f>
        <v/>
      </c>
      <c r="N65" s="390">
        <f>K65+L65+M65</f>
        <v/>
      </c>
      <c r="O65" s="390">
        <f>IF(G65&gt;0, N65/G65, 0)</f>
        <v/>
      </c>
      <c r="P65" s="391" t="n">
        <v>0.18</v>
      </c>
      <c r="Q65" s="390">
        <f>O65*(1+P65)</f>
        <v/>
      </c>
      <c r="R65" s="390">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390" t="n">
        <v>3</v>
      </c>
      <c r="H66" s="390">
        <f>SUMIF('01_BOC_TACH_ONG'!B:B, B66, '01_BOC_TACH_ONG'!K:K)</f>
        <v/>
      </c>
      <c r="I66" s="390">
        <f>SUMIF('02_BOC_TACH_CUA'!B:B, B66, '02_BOC_TACH_CUA'!K:K)</f>
        <v/>
      </c>
      <c r="J66" s="390">
        <f>SUMIF('03_BOC_TACH_VAN'!B:B, B66, '03_BOC_TACH_VAN'!K:K)</f>
        <v/>
      </c>
      <c r="K66" s="390">
        <f>SUM(H66:J66)</f>
        <v/>
      </c>
      <c r="L66" s="390">
        <f>K66*0.25</f>
        <v/>
      </c>
      <c r="M66" s="390">
        <f>K66*0.10</f>
        <v/>
      </c>
      <c r="N66" s="390">
        <f>K66+L66+M66</f>
        <v/>
      </c>
      <c r="O66" s="390">
        <f>IF(G66&gt;0, N66/G66, 0)</f>
        <v/>
      </c>
      <c r="P66" s="391" t="n">
        <v>0.18</v>
      </c>
      <c r="Q66" s="390">
        <f>O66*(1+P66)</f>
        <v/>
      </c>
      <c r="R66" s="390">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K67*0.25</f>
        <v/>
      </c>
      <c r="M67" s="390">
        <f>K67*0.10</f>
        <v/>
      </c>
      <c r="N67" s="390">
        <f>K67+L67+M67</f>
        <v/>
      </c>
      <c r="O67" s="390">
        <f>IF(G67&gt;0, N67/G67, 0)</f>
        <v/>
      </c>
      <c r="P67" s="391" t="n">
        <v>0.18</v>
      </c>
      <c r="Q67" s="390">
        <f>O67*(1+P67)</f>
        <v/>
      </c>
      <c r="R67" s="390">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390" t="n">
        <v>2</v>
      </c>
      <c r="H68" s="390">
        <f>SUMIF('01_BOC_TACH_ONG'!B:B, B68, '01_BOC_TACH_ONG'!K:K)</f>
        <v/>
      </c>
      <c r="I68" s="390">
        <f>SUMIF('02_BOC_TACH_CUA'!B:B, B68, '02_BOC_TACH_CUA'!K:K)</f>
        <v/>
      </c>
      <c r="J68" s="390">
        <f>SUMIF('03_BOC_TACH_VAN'!B:B, B68, '03_BOC_TACH_VAN'!K:K)</f>
        <v/>
      </c>
      <c r="K68" s="390">
        <f>SUM(H68:J68)</f>
        <v/>
      </c>
      <c r="L68" s="390">
        <f>K68*0.25</f>
        <v/>
      </c>
      <c r="M68" s="390">
        <f>K68*0.10</f>
        <v/>
      </c>
      <c r="N68" s="390">
        <f>K68+L68+M68</f>
        <v/>
      </c>
      <c r="O68" s="390">
        <f>IF(G68&gt;0, N68/G68, 0)</f>
        <v/>
      </c>
      <c r="P68" s="391" t="n">
        <v>0.18</v>
      </c>
      <c r="Q68" s="390">
        <f>O68*(1+P68)</f>
        <v/>
      </c>
      <c r="R68" s="390">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390" t="n">
        <v>2</v>
      </c>
      <c r="H69" s="390">
        <f>SUMIF('01_BOC_TACH_ONG'!B:B, B69, '01_BOC_TACH_ONG'!K:K)</f>
        <v/>
      </c>
      <c r="I69" s="390">
        <f>SUMIF('02_BOC_TACH_CUA'!B:B, B69, '02_BOC_TACH_CUA'!K:K)</f>
        <v/>
      </c>
      <c r="J69" s="390">
        <f>SUMIF('03_BOC_TACH_VAN'!B:B, B69, '03_BOC_TACH_VAN'!K:K)</f>
        <v/>
      </c>
      <c r="K69" s="390">
        <f>SUM(H69:J69)</f>
        <v/>
      </c>
      <c r="L69" s="390">
        <f>K69*0.25</f>
        <v/>
      </c>
      <c r="M69" s="390">
        <f>K69*0.10</f>
        <v/>
      </c>
      <c r="N69" s="390">
        <f>K69+L69+M69</f>
        <v/>
      </c>
      <c r="O69" s="390">
        <f>IF(G69&gt;0, N69/G69, 0)</f>
        <v/>
      </c>
      <c r="P69" s="391" t="n">
        <v>0.18</v>
      </c>
      <c r="Q69" s="390">
        <f>O69*(1+P69)</f>
        <v/>
      </c>
      <c r="R69" s="390">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K70*0.25</f>
        <v/>
      </c>
      <c r="M70" s="390">
        <f>K70*0.10</f>
        <v/>
      </c>
      <c r="N70" s="390">
        <f>K70+L70+M70</f>
        <v/>
      </c>
      <c r="O70" s="390">
        <f>IF(G70&gt;0, N70/G70, 0)</f>
        <v/>
      </c>
      <c r="P70" s="391" t="n">
        <v>0.18</v>
      </c>
      <c r="Q70" s="390">
        <f>O70*(1+P70)</f>
        <v/>
      </c>
      <c r="R70" s="390">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390" t="n">
        <v>9</v>
      </c>
      <c r="H71" s="390">
        <f>SUMIF('01_BOC_TACH_ONG'!B:B, B71, '01_BOC_TACH_ONG'!K:K)</f>
        <v/>
      </c>
      <c r="I71" s="390">
        <f>SUMIF('02_BOC_TACH_CUA'!B:B, B71, '02_BOC_TACH_CUA'!K:K)</f>
        <v/>
      </c>
      <c r="J71" s="390">
        <f>SUMIF('03_BOC_TACH_VAN'!B:B, B71, '03_BOC_TACH_VAN'!K:K)</f>
        <v/>
      </c>
      <c r="K71" s="390">
        <f>SUM(H71:J71)</f>
        <v/>
      </c>
      <c r="L71" s="390">
        <f>K71*0.25</f>
        <v/>
      </c>
      <c r="M71" s="390">
        <f>K71*0.10</f>
        <v/>
      </c>
      <c r="N71" s="390">
        <f>K71+L71+M71</f>
        <v/>
      </c>
      <c r="O71" s="390">
        <f>IF(G71&gt;0, N71/G71, 0)</f>
        <v/>
      </c>
      <c r="P71" s="391" t="n">
        <v>0.18</v>
      </c>
      <c r="Q71" s="390">
        <f>O71*(1+P71)</f>
        <v/>
      </c>
      <c r="R71" s="390">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K72*0.25</f>
        <v/>
      </c>
      <c r="M72" s="390">
        <f>K72*0.10</f>
        <v/>
      </c>
      <c r="N72" s="390">
        <f>K72+L72+M72</f>
        <v/>
      </c>
      <c r="O72" s="390">
        <f>IF(G72&gt;0, N72/G72, 0)</f>
        <v/>
      </c>
      <c r="P72" s="391" t="n">
        <v>0.18</v>
      </c>
      <c r="Q72" s="390">
        <f>O72*(1+P72)</f>
        <v/>
      </c>
      <c r="R72" s="390">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390" t="n">
        <v>13</v>
      </c>
      <c r="H73" s="390">
        <f>SUMIF('01_BOC_TACH_ONG'!B:B, B73, '01_BOC_TACH_ONG'!K:K)</f>
        <v/>
      </c>
      <c r="I73" s="390">
        <f>SUMIF('02_BOC_TACH_CUA'!B:B, B73, '02_BOC_TACH_CUA'!K:K)</f>
        <v/>
      </c>
      <c r="J73" s="390">
        <f>SUMIF('03_BOC_TACH_VAN'!B:B, B73, '03_BOC_TACH_VAN'!K:K)</f>
        <v/>
      </c>
      <c r="K73" s="390">
        <f>SUM(H73:J73)</f>
        <v/>
      </c>
      <c r="L73" s="390">
        <f>K73*0.25</f>
        <v/>
      </c>
      <c r="M73" s="390">
        <f>K73*0.10</f>
        <v/>
      </c>
      <c r="N73" s="390">
        <f>K73+L73+M73</f>
        <v/>
      </c>
      <c r="O73" s="390">
        <f>IF(G73&gt;0, N73/G73, 0)</f>
        <v/>
      </c>
      <c r="P73" s="391" t="n">
        <v>0.18</v>
      </c>
      <c r="Q73" s="390">
        <f>O73*(1+P73)</f>
        <v/>
      </c>
      <c r="R73" s="390">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390" t="n">
        <v>12</v>
      </c>
      <c r="H74" s="390">
        <f>SUMIF('01_BOC_TACH_ONG'!B:B, B74, '01_BOC_TACH_ONG'!K:K)</f>
        <v/>
      </c>
      <c r="I74" s="390">
        <f>SUMIF('02_BOC_TACH_CUA'!B:B, B74, '02_BOC_TACH_CUA'!K:K)</f>
        <v/>
      </c>
      <c r="J74" s="390">
        <f>SUMIF('03_BOC_TACH_VAN'!B:B, B74, '03_BOC_TACH_VAN'!K:K)</f>
        <v/>
      </c>
      <c r="K74" s="390">
        <f>SUM(H74:J74)</f>
        <v/>
      </c>
      <c r="L74" s="390">
        <f>K74*0.25</f>
        <v/>
      </c>
      <c r="M74" s="390">
        <f>K74*0.10</f>
        <v/>
      </c>
      <c r="N74" s="390">
        <f>K74+L74+M74</f>
        <v/>
      </c>
      <c r="O74" s="390">
        <f>IF(G74&gt;0, N74/G74, 0)</f>
        <v/>
      </c>
      <c r="P74" s="391" t="n">
        <v>0.18</v>
      </c>
      <c r="Q74" s="390">
        <f>O74*(1+P74)</f>
        <v/>
      </c>
      <c r="R74" s="390">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K75*0.25</f>
        <v/>
      </c>
      <c r="M75" s="390">
        <f>K75*0.10</f>
        <v/>
      </c>
      <c r="N75" s="390">
        <f>K75+L75+M75</f>
        <v/>
      </c>
      <c r="O75" s="390">
        <f>IF(G75&gt;0, N75/G75, 0)</f>
        <v/>
      </c>
      <c r="P75" s="391" t="n">
        <v>0.18</v>
      </c>
      <c r="Q75" s="390">
        <f>O75*(1+P75)</f>
        <v/>
      </c>
      <c r="R75" s="390">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390" t="n">
        <v>10</v>
      </c>
      <c r="H76" s="390">
        <f>SUMIF('01_BOC_TACH_ONG'!B:B, B76, '01_BOC_TACH_ONG'!K:K)</f>
        <v/>
      </c>
      <c r="I76" s="390">
        <f>SUMIF('02_BOC_TACH_CUA'!B:B, B76, '02_BOC_TACH_CUA'!K:K)</f>
        <v/>
      </c>
      <c r="J76" s="390">
        <f>SUMIF('03_BOC_TACH_VAN'!B:B, B76, '03_BOC_TACH_VAN'!K:K)</f>
        <v/>
      </c>
      <c r="K76" s="390">
        <f>SUM(H76:J76)</f>
        <v/>
      </c>
      <c r="L76" s="390">
        <f>K76*0.25</f>
        <v/>
      </c>
      <c r="M76" s="390">
        <f>K76*0.10</f>
        <v/>
      </c>
      <c r="N76" s="390">
        <f>K76+L76+M76</f>
        <v/>
      </c>
      <c r="O76" s="390">
        <f>IF(G76&gt;0, N76/G76, 0)</f>
        <v/>
      </c>
      <c r="P76" s="391" t="n">
        <v>0.18</v>
      </c>
      <c r="Q76" s="390">
        <f>O76*(1+P76)</f>
        <v/>
      </c>
      <c r="R76" s="390">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390" t="n">
        <v>6</v>
      </c>
      <c r="H77" s="390">
        <f>SUMIF('01_BOC_TACH_ONG'!B:B, B77, '01_BOC_TACH_ONG'!K:K)</f>
        <v/>
      </c>
      <c r="I77" s="390">
        <f>SUMIF('02_BOC_TACH_CUA'!B:B, B77, '02_BOC_TACH_CUA'!K:K)</f>
        <v/>
      </c>
      <c r="J77" s="390">
        <f>SUMIF('03_BOC_TACH_VAN'!B:B, B77, '03_BOC_TACH_VAN'!K:K)</f>
        <v/>
      </c>
      <c r="K77" s="390">
        <f>SUM(H77:J77)</f>
        <v/>
      </c>
      <c r="L77" s="390">
        <f>K77*0.25</f>
        <v/>
      </c>
      <c r="M77" s="390">
        <f>K77*0.10</f>
        <v/>
      </c>
      <c r="N77" s="390">
        <f>K77+L77+M77</f>
        <v/>
      </c>
      <c r="O77" s="390">
        <f>IF(G77&gt;0, N77/G77, 0)</f>
        <v/>
      </c>
      <c r="P77" s="391" t="n">
        <v>0.18</v>
      </c>
      <c r="Q77" s="390">
        <f>O77*(1+P77)</f>
        <v/>
      </c>
      <c r="R77" s="390">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390" t="n">
        <v>6</v>
      </c>
      <c r="H78" s="390">
        <f>SUMIF('01_BOC_TACH_ONG'!B:B, B78, '01_BOC_TACH_ONG'!K:K)</f>
        <v/>
      </c>
      <c r="I78" s="390">
        <f>SUMIF('02_BOC_TACH_CUA'!B:B, B78, '02_BOC_TACH_CUA'!K:K)</f>
        <v/>
      </c>
      <c r="J78" s="390">
        <f>SUMIF('03_BOC_TACH_VAN'!B:B, B78, '03_BOC_TACH_VAN'!K:K)</f>
        <v/>
      </c>
      <c r="K78" s="390">
        <f>SUM(H78:J78)</f>
        <v/>
      </c>
      <c r="L78" s="390">
        <f>K78*0.25</f>
        <v/>
      </c>
      <c r="M78" s="390">
        <f>K78*0.10</f>
        <v/>
      </c>
      <c r="N78" s="390">
        <f>K78+L78+M78</f>
        <v/>
      </c>
      <c r="O78" s="390">
        <f>IF(G78&gt;0, N78/G78, 0)</f>
        <v/>
      </c>
      <c r="P78" s="391" t="n">
        <v>0.18</v>
      </c>
      <c r="Q78" s="390">
        <f>O78*(1+P78)</f>
        <v/>
      </c>
      <c r="R78" s="390">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390" t="n">
        <v>8</v>
      </c>
      <c r="H79" s="390">
        <f>SUMIF('01_BOC_TACH_ONG'!B:B, B79, '01_BOC_TACH_ONG'!K:K)</f>
        <v/>
      </c>
      <c r="I79" s="390">
        <f>SUMIF('02_BOC_TACH_CUA'!B:B, B79, '02_BOC_TACH_CUA'!K:K)</f>
        <v/>
      </c>
      <c r="J79" s="390">
        <f>SUMIF('03_BOC_TACH_VAN'!B:B, B79, '03_BOC_TACH_VAN'!K:K)</f>
        <v/>
      </c>
      <c r="K79" s="390">
        <f>SUM(H79:J79)</f>
        <v/>
      </c>
      <c r="L79" s="390">
        <f>K79*0.25</f>
        <v/>
      </c>
      <c r="M79" s="390">
        <f>K79*0.10</f>
        <v/>
      </c>
      <c r="N79" s="390">
        <f>K79+L79+M79</f>
        <v/>
      </c>
      <c r="O79" s="390">
        <f>IF(G79&gt;0, N79/G79, 0)</f>
        <v/>
      </c>
      <c r="P79" s="391" t="n">
        <v>0.18</v>
      </c>
      <c r="Q79" s="390">
        <f>O79*(1+P79)</f>
        <v/>
      </c>
      <c r="R79" s="390">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390" t="n">
        <v>6</v>
      </c>
      <c r="H80" s="390">
        <f>SUMIF('01_BOC_TACH_ONG'!B:B, B80, '01_BOC_TACH_ONG'!K:K)</f>
        <v/>
      </c>
      <c r="I80" s="390">
        <f>SUMIF('02_BOC_TACH_CUA'!B:B, B80, '02_BOC_TACH_CUA'!K:K)</f>
        <v/>
      </c>
      <c r="J80" s="390">
        <f>SUMIF('03_BOC_TACH_VAN'!B:B, B80, '03_BOC_TACH_VAN'!K:K)</f>
        <v/>
      </c>
      <c r="K80" s="390">
        <f>SUM(H80:J80)</f>
        <v/>
      </c>
      <c r="L80" s="390">
        <f>K80*0.25</f>
        <v/>
      </c>
      <c r="M80" s="390">
        <f>K80*0.10</f>
        <v/>
      </c>
      <c r="N80" s="390">
        <f>K80+L80+M80</f>
        <v/>
      </c>
      <c r="O80" s="390">
        <f>IF(G80&gt;0, N80/G80, 0)</f>
        <v/>
      </c>
      <c r="P80" s="391" t="n">
        <v>0.18</v>
      </c>
      <c r="Q80" s="390">
        <f>O80*(1+P80)</f>
        <v/>
      </c>
      <c r="R80" s="390">
        <f>G80*Q80</f>
        <v/>
      </c>
      <c r="S80" t="inlineStr"/>
    </row>
    <row r="81">
      <c r="A81" t="n">
        <v>80</v>
      </c>
      <c r="B81" t="inlineStr">
        <is>
          <t>SW-DAMPER-080</t>
        </is>
      </c>
      <c r="C81" t="inlineStr">
        <is>
          <t>VAN GIÓ</t>
        </is>
      </c>
      <c r="D81" t="inlineStr">
        <is>
          <t>HỆ THỐNG TẠO ÁP Van xả áp</t>
        </is>
      </c>
      <c r="E81" t="inlineStr">
        <is>
          <t>-</t>
        </is>
      </c>
      <c r="F81" t="inlineStr">
        <is>
          <t>Cái</t>
        </is>
      </c>
      <c r="G81" s="390" t="n">
        <v>6</v>
      </c>
      <c r="H81" s="390">
        <f>SUMIF('01_BOC_TACH_ONG'!B:B, B81, '01_BOC_TACH_ONG'!K:K)</f>
        <v/>
      </c>
      <c r="I81" s="390">
        <f>SUMIF('02_BOC_TACH_CUA'!B:B, B81, '02_BOC_TACH_CUA'!K:K)</f>
        <v/>
      </c>
      <c r="J81" s="390">
        <f>SUMIF('03_BOC_TACH_VAN'!B:B, B81, '03_BOC_TACH_VAN'!K:K)</f>
        <v/>
      </c>
      <c r="K81" s="390">
        <f>SUM(H81:J81)</f>
        <v/>
      </c>
      <c r="L81" s="390">
        <f>K81*0.25</f>
        <v/>
      </c>
      <c r="M81" s="390">
        <f>K81*0.10</f>
        <v/>
      </c>
      <c r="N81" s="390">
        <f>K81+L81+M81</f>
        <v/>
      </c>
      <c r="O81" s="390">
        <f>IF(G81&gt;0, N81/G81, 0)</f>
        <v/>
      </c>
      <c r="P81" s="391" t="n">
        <v>0.18</v>
      </c>
      <c r="Q81" s="390">
        <f>O81*(1+P81)</f>
        <v/>
      </c>
      <c r="R81" s="390">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390" t="n">
        <v>1</v>
      </c>
      <c r="H82" s="390">
        <f>SUMIF('01_BOC_TACH_ONG'!B:B, B82, '01_BOC_TACH_ONG'!K:K)</f>
        <v/>
      </c>
      <c r="I82" s="390">
        <f>SUMIF('02_BOC_TACH_CUA'!B:B, B82, '02_BOC_TACH_CUA'!K:K)</f>
        <v/>
      </c>
      <c r="J82" s="390">
        <f>SUMIF('03_BOC_TACH_VAN'!B:B, B82, '03_BOC_TACH_VAN'!K:K)</f>
        <v/>
      </c>
      <c r="K82" s="390">
        <f>SUM(H82:J82)</f>
        <v/>
      </c>
      <c r="L82" s="390">
        <f>K82*0.25</f>
        <v/>
      </c>
      <c r="M82" s="390">
        <f>K82*0.10</f>
        <v/>
      </c>
      <c r="N82" s="390">
        <f>K82+L82+M82</f>
        <v/>
      </c>
      <c r="O82" s="390">
        <f>IF(G82&gt;0, N82/G82, 0)</f>
        <v/>
      </c>
      <c r="P82" s="391" t="n">
        <v>0.18</v>
      </c>
      <c r="Q82" s="390">
        <f>O82*(1+P82)</f>
        <v/>
      </c>
      <c r="R82" s="390">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K83*0.25</f>
        <v/>
      </c>
      <c r="M83" s="390">
        <f>K83*0.10</f>
        <v/>
      </c>
      <c r="N83" s="390">
        <f>K83+L83+M83</f>
        <v/>
      </c>
      <c r="O83" s="390">
        <f>IF(G83&gt;0, N83/G83, 0)</f>
        <v/>
      </c>
      <c r="P83" s="391" t="n">
        <v>0.18</v>
      </c>
      <c r="Q83" s="390">
        <f>O83*(1+P83)</f>
        <v/>
      </c>
      <c r="R83" s="390">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K84*0.25</f>
        <v/>
      </c>
      <c r="M84" s="390">
        <f>K84*0.10</f>
        <v/>
      </c>
      <c r="N84" s="390">
        <f>K84+L84+M84</f>
        <v/>
      </c>
      <c r="O84" s="390">
        <f>IF(G84&gt;0, N84/G84, 0)</f>
        <v/>
      </c>
      <c r="P84" s="391" t="n">
        <v>0.18</v>
      </c>
      <c r="Q84" s="390">
        <f>O84*(1+P84)</f>
        <v/>
      </c>
      <c r="R84" s="390">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390" t="n">
        <v>2</v>
      </c>
      <c r="H85" s="390">
        <f>SUMIF('01_BOC_TACH_ONG'!B:B, B85, '01_BOC_TACH_ONG'!K:K)</f>
        <v/>
      </c>
      <c r="I85" s="390">
        <f>SUMIF('02_BOC_TACH_CUA'!B:B, B85, '02_BOC_TACH_CUA'!K:K)</f>
        <v/>
      </c>
      <c r="J85" s="390">
        <f>SUMIF('03_BOC_TACH_VAN'!B:B, B85, '03_BOC_TACH_VAN'!K:K)</f>
        <v/>
      </c>
      <c r="K85" s="390">
        <f>SUM(H85:J85)</f>
        <v/>
      </c>
      <c r="L85" s="390">
        <f>K85*0.25</f>
        <v/>
      </c>
      <c r="M85" s="390">
        <f>K85*0.10</f>
        <v/>
      </c>
      <c r="N85" s="390">
        <f>K85+L85+M85</f>
        <v/>
      </c>
      <c r="O85" s="390">
        <f>IF(G85&gt;0, N85/G85, 0)</f>
        <v/>
      </c>
      <c r="P85" s="391" t="n">
        <v>0.18</v>
      </c>
      <c r="Q85" s="390">
        <f>O85*(1+P85)</f>
        <v/>
      </c>
      <c r="R85" s="390">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390" t="n">
        <v>10</v>
      </c>
      <c r="H86" s="390">
        <f>SUMIF('01_BOC_TACH_ONG'!B:B, B86, '01_BOC_TACH_ONG'!K:K)</f>
        <v/>
      </c>
      <c r="I86" s="390">
        <f>SUMIF('02_BOC_TACH_CUA'!B:B, B86, '02_BOC_TACH_CUA'!K:K)</f>
        <v/>
      </c>
      <c r="J86" s="390">
        <f>SUMIF('03_BOC_TACH_VAN'!B:B, B86, '03_BOC_TACH_VAN'!K:K)</f>
        <v/>
      </c>
      <c r="K86" s="390">
        <f>SUM(H86:J86)</f>
        <v/>
      </c>
      <c r="L86" s="390">
        <f>K86*0.25</f>
        <v/>
      </c>
      <c r="M86" s="390">
        <f>K86*0.10</f>
        <v/>
      </c>
      <c r="N86" s="390">
        <f>K86+L86+M86</f>
        <v/>
      </c>
      <c r="O86" s="390">
        <f>IF(G86&gt;0, N86/G86, 0)</f>
        <v/>
      </c>
      <c r="P86" s="391" t="n">
        <v>0.18</v>
      </c>
      <c r="Q86" s="390">
        <f>O86*(1+P86)</f>
        <v/>
      </c>
      <c r="R86" s="390">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390" t="n">
        <v>2</v>
      </c>
      <c r="H87" s="390">
        <f>SUMIF('01_BOC_TACH_ONG'!B:B, B87, '01_BOC_TACH_ONG'!K:K)</f>
        <v/>
      </c>
      <c r="I87" s="390">
        <f>SUMIF('02_BOC_TACH_CUA'!B:B, B87, '02_BOC_TACH_CUA'!K:K)</f>
        <v/>
      </c>
      <c r="J87" s="390">
        <f>SUMIF('03_BOC_TACH_VAN'!B:B, B87, '03_BOC_TACH_VAN'!K:K)</f>
        <v/>
      </c>
      <c r="K87" s="390">
        <f>SUM(H87:J87)</f>
        <v/>
      </c>
      <c r="L87" s="390">
        <f>K87*0.25</f>
        <v/>
      </c>
      <c r="M87" s="390">
        <f>K87*0.10</f>
        <v/>
      </c>
      <c r="N87" s="390">
        <f>K87+L87+M87</f>
        <v/>
      </c>
      <c r="O87" s="390">
        <f>IF(G87&gt;0, N87/G87, 0)</f>
        <v/>
      </c>
      <c r="P87" s="391" t="n">
        <v>0.18</v>
      </c>
      <c r="Q87" s="390">
        <f>O87*(1+P87)</f>
        <v/>
      </c>
      <c r="R87" s="390">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390" t="n">
        <v>8</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390" t="n">
        <v>3</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390" t="n">
        <v>49</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390" t="n">
        <v>18</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390" t="n">
        <v>13</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390" t="n">
        <v>7</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390" t="n">
        <v>17</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390" t="n">
        <v>3</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390" t="n">
        <v>2</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390" t="n">
        <v>1</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390" t="n">
        <v>1</v>
      </c>
      <c r="H98" s="390">
        <f>SUMIF('01_BOC_TACH_ONG'!B:B, B98, '01_BOC_TACH_ONG'!K:K)</f>
        <v/>
      </c>
      <c r="I98" s="390">
        <f>SUMIF('02_BOC_TACH_CUA'!B:B, B98, '02_BOC_TACH_CUA'!K:K)</f>
        <v/>
      </c>
      <c r="J98" s="390">
        <f>SUMIF('03_BOC_TACH_VAN'!B:B, B98, '03_BOC_TACH_VAN'!K:K)</f>
        <v/>
      </c>
      <c r="K98" s="390">
        <f>SUM(H98:J98)</f>
        <v/>
      </c>
      <c r="L98" s="390">
        <f>K98*0.00</f>
        <v/>
      </c>
      <c r="M98" s="390">
        <f>K98*0.02</f>
        <v/>
      </c>
      <c r="N98" s="390">
        <f>K98+L98+M98</f>
        <v/>
      </c>
      <c r="O98" s="390">
        <f>IF(G98&gt;0, N98/G98, 0)</f>
        <v/>
      </c>
      <c r="P98" s="391" t="n">
        <v>0.1</v>
      </c>
      <c r="Q98" s="390">
        <f>O98*(1+P98)</f>
        <v/>
      </c>
      <c r="R98" s="390">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390" t="n">
        <v>1936.70125</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390" t="n">
        <v>1588.05</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390" t="n">
        <v>1681</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390" t="n">
        <v>380</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390" t="n">
        <v>10</v>
      </c>
      <c r="H103" s="390">
        <f>SUMIF('01_BOC_TACH_ONG'!B:B, B103, '01_BOC_TACH_ONG'!K:K)</f>
        <v/>
      </c>
      <c r="I103" s="390">
        <f>SUMIF('02_BOC_TACH_CUA'!B:B, B103, '02_BOC_TACH_CUA'!K:K)</f>
        <v/>
      </c>
      <c r="J103" s="390">
        <f>SUMIF('03_BOC_TACH_VAN'!B:B, B103, '03_BOC_TACH_VAN'!K:K)</f>
        <v/>
      </c>
      <c r="K103" s="390">
        <f>SUM(H103:J103)</f>
        <v/>
      </c>
      <c r="L103" s="390">
        <f>K103*0.00</f>
        <v/>
      </c>
      <c r="M103" s="390">
        <f>K103*0.02</f>
        <v/>
      </c>
      <c r="N103" s="390">
        <f>K103+L103+M103</f>
        <v/>
      </c>
      <c r="O103" s="390">
        <f>IF(G103&gt;0, N103/G103, 0)</f>
        <v/>
      </c>
      <c r="P103" s="391" t="n">
        <v>0.1</v>
      </c>
      <c r="Q103" s="390">
        <f>O103*(1+P103)</f>
        <v/>
      </c>
      <c r="R103" s="390">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390" t="n">
        <v>1805.9</v>
      </c>
      <c r="H104" s="390">
        <f>SUMIF('01_BOC_TACH_ONG'!B:B, B104, '01_BOC_TACH_ONG'!K:K)</f>
        <v/>
      </c>
      <c r="I104" s="390">
        <f>SUMIF('02_BOC_TACH_CUA'!B:B, B104, '02_BOC_TACH_CUA'!K:K)</f>
        <v/>
      </c>
      <c r="J104" s="390">
        <f>SUMIF('03_BOC_TACH_VAN'!B:B, B104, '03_BOC_TACH_VAN'!K:K)</f>
        <v/>
      </c>
      <c r="K104" s="390">
        <f>SUM(H104:J104)</f>
        <v/>
      </c>
      <c r="L104" s="390">
        <f>K104*0.00</f>
        <v/>
      </c>
      <c r="M104" s="390">
        <f>K104*0.02</f>
        <v/>
      </c>
      <c r="N104" s="390">
        <f>K104+L104+M104</f>
        <v/>
      </c>
      <c r="O104" s="390">
        <f>IF(G104&gt;0, N104/G104, 0)</f>
        <v/>
      </c>
      <c r="P104" s="391" t="n">
        <v>0.1</v>
      </c>
      <c r="Q104" s="390">
        <f>O104*(1+P104)</f>
        <v/>
      </c>
      <c r="R104" s="390">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390" t="n">
        <v>1347.3</v>
      </c>
      <c r="H105" s="390">
        <f>SUMIF('01_BOC_TACH_ONG'!B:B, B105, '01_BOC_TACH_ONG'!K:K)</f>
        <v/>
      </c>
      <c r="I105" s="390">
        <f>SUMIF('02_BOC_TACH_CUA'!B:B, B105, '02_BOC_TACH_CUA'!K:K)</f>
        <v/>
      </c>
      <c r="J105" s="390">
        <f>SUMIF('03_BOC_TACH_VAN'!B:B, B105, '03_BOC_TACH_VAN'!K:K)</f>
        <v/>
      </c>
      <c r="K105" s="390">
        <f>SUM(H105:J105)</f>
        <v/>
      </c>
      <c r="L105" s="390">
        <f>K105*0.00</f>
        <v/>
      </c>
      <c r="M105" s="390">
        <f>K105*0.02</f>
        <v/>
      </c>
      <c r="N105" s="390">
        <f>K105+L105+M105</f>
        <v/>
      </c>
      <c r="O105" s="390">
        <f>IF(G105&gt;0, N105/G105, 0)</f>
        <v/>
      </c>
      <c r="P105" s="391" t="n">
        <v>0.1</v>
      </c>
      <c r="Q105" s="390">
        <f>O105*(1+P105)</f>
        <v/>
      </c>
      <c r="R105" s="390">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390" t="n">
        <v>1</v>
      </c>
      <c r="H106" s="390">
        <f>SUMIF('01_BOC_TACH_ONG'!B:B, B106, '01_BOC_TACH_ONG'!K:K)</f>
        <v/>
      </c>
      <c r="I106" s="390">
        <f>SUMIF('02_BOC_TACH_CUA'!B:B, B106, '02_BOC_TACH_CUA'!K:K)</f>
        <v/>
      </c>
      <c r="J106" s="390">
        <f>SUMIF('03_BOC_TACH_VAN'!B:B, B106, '03_BOC_TACH_VAN'!K:K)</f>
        <v/>
      </c>
      <c r="K106" s="390">
        <f>SUM(H106:J106)</f>
        <v/>
      </c>
      <c r="L106" s="390">
        <f>K106*0.00</f>
        <v/>
      </c>
      <c r="M106" s="390">
        <f>K106*0.02</f>
        <v/>
      </c>
      <c r="N106" s="390">
        <f>K106+L106+M106</f>
        <v/>
      </c>
      <c r="O106" s="390">
        <f>IF(G106&gt;0, N106/G106, 0)</f>
        <v/>
      </c>
      <c r="P106" s="391" t="n">
        <v>0.1</v>
      </c>
      <c r="Q106" s="390">
        <f>O106*(1+P106)</f>
        <v/>
      </c>
      <c r="R106" s="390">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390" t="n">
        <v>8</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390" t="n">
        <v>4</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390" t="n">
        <v>4</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390" t="n">
        <v>6</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390" t="n">
        <v>4</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390" t="n">
        <v>4</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390" t="n">
        <v>3</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390" t="n">
        <v>7</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390" t="n">
        <v>2</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390" t="n">
        <v>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390" t="n">
        <v>4</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390" t="n">
        <v>2</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390" t="n">
        <v>1</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390" t="n">
        <v>1</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390" t="n">
        <v>11</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390" t="n">
        <v>9</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390" t="n">
        <v>3</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390" t="n">
        <v>1</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390" t="n">
        <v>6</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390" t="n">
        <v>6</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390" t="n">
        <v>6</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390" t="n">
        <v>14</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390" t="n">
        <v>78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390" t="n">
        <v>78</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390" t="n">
        <v>26</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390" t="n">
        <v>413</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390" t="n">
        <v>35</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390" t="n">
        <v>70</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390" t="n">
        <v>1</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390" t="n">
        <v>2</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390" t="n">
        <v>48</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390" t="n">
        <v>2</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390" t="n">
        <v>1</v>
      </c>
      <c r="H141" s="390">
        <f>SUMIF('01_BOC_TACH_ONG'!B:B, B141, '01_BOC_TACH_ONG'!K:K)</f>
        <v/>
      </c>
      <c r="I141" s="390">
        <f>SUMIF('02_BOC_TACH_CUA'!B:B, B141, '02_BOC_TACH_CUA'!K:K)</f>
        <v/>
      </c>
      <c r="J141" s="390">
        <f>SUMIF('03_BOC_TACH_VAN'!B:B, B141, '03_BOC_TACH_VAN'!K:K)</f>
        <v/>
      </c>
      <c r="K141" s="390">
        <f>SUM(H141:J141)</f>
        <v/>
      </c>
      <c r="L141" s="390">
        <f>K141*0.25</f>
        <v/>
      </c>
      <c r="M141" s="390">
        <f>K141*0.10</f>
        <v/>
      </c>
      <c r="N141" s="390">
        <f>K141+L141+M141</f>
        <v/>
      </c>
      <c r="O141" s="390">
        <f>IF(G141&gt;0, N141/G141, 0)</f>
        <v/>
      </c>
      <c r="P141" s="391" t="n">
        <v>0.18</v>
      </c>
      <c r="Q141" s="390">
        <f>O141*(1+P141)</f>
        <v/>
      </c>
      <c r="R141" s="390">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390" t="n">
        <v>2</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390" t="n">
        <v>1</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390" t="n">
        <v>2</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390" t="n">
        <v>35</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CẤP GIÓ TƯƠI, GIÓ BÙ Cửa sổ cấp bù gió khi có cháy 1.5m2</t>
        </is>
      </c>
      <c r="E146" t="inlineStr">
        <is>
          <t>-</t>
        </is>
      </c>
      <c r="F146" t="inlineStr">
        <is>
          <t>Cái</t>
        </is>
      </c>
      <c r="G146" s="390" t="n">
        <v>3</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CẤP GIÓ TƯƠI, GIÓ BÙ Cửa sổ cấp bù gió khi có cháy 0.8m2</t>
        </is>
      </c>
      <c r="E147" t="inlineStr">
        <is>
          <t>-</t>
        </is>
      </c>
      <c r="F147" t="inlineStr">
        <is>
          <t>Cái</t>
        </is>
      </c>
      <c r="G147" s="390" t="n">
        <v>4</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CẤP GIÓ TƯƠI, GIÓ BÙ Cửa sổ cấp bù gió khi có cháy 0.75m2</t>
        </is>
      </c>
      <c r="E148" t="inlineStr">
        <is>
          <t>-</t>
        </is>
      </c>
      <c r="F148" t="inlineStr">
        <is>
          <t>Cái</t>
        </is>
      </c>
      <c r="G148" s="390" t="n">
        <v>1</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390" t="n">
        <v>6</v>
      </c>
      <c r="H149" s="390">
        <f>SUMIF('01_BOC_TACH_ONG'!B:B, B149, '01_BOC_TACH_ONG'!K:K)</f>
        <v/>
      </c>
      <c r="I149" s="390">
        <f>SUMIF('02_BOC_TACH_CUA'!B:B, B149, '02_BOC_TACH_CUA'!K:K)</f>
        <v/>
      </c>
      <c r="J149" s="390">
        <f>SUMIF('03_BOC_TACH_VAN'!B:B, B149, '03_BOC_TACH_VAN'!K:K)</f>
        <v/>
      </c>
      <c r="K149" s="390">
        <f>SUM(H149:J149)</f>
        <v/>
      </c>
      <c r="L149" s="390">
        <f>K149*0.25</f>
        <v/>
      </c>
      <c r="M149" s="390">
        <f>K149*0.10</f>
        <v/>
      </c>
      <c r="N149" s="390">
        <f>K149+L149+M149</f>
        <v/>
      </c>
      <c r="O149" s="390">
        <f>IF(G149&gt;0, N149/G149, 0)</f>
        <v/>
      </c>
      <c r="P149" s="391" t="n">
        <v>0.18</v>
      </c>
      <c r="Q149" s="390">
        <f>O149*(1+P149)</f>
        <v/>
      </c>
      <c r="R149" s="390">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390" t="n">
        <v>15</v>
      </c>
      <c r="H150" s="390">
        <f>SUMIF('01_BOC_TACH_ONG'!B:B, B150, '01_BOC_TACH_ONG'!K:K)</f>
        <v/>
      </c>
      <c r="I150" s="390">
        <f>SUMIF('02_BOC_TACH_CUA'!B:B, B150, '02_BOC_TACH_CUA'!K:K)</f>
        <v/>
      </c>
      <c r="J150" s="390">
        <f>SUMIF('03_BOC_TACH_VAN'!B:B, B150, '03_BOC_TACH_VAN'!K:K)</f>
        <v/>
      </c>
      <c r="K150" s="390">
        <f>SUM(H150:J150)</f>
        <v/>
      </c>
      <c r="L150" s="390">
        <f>K150*0.25</f>
        <v/>
      </c>
      <c r="M150" s="390">
        <f>K150*0.10</f>
        <v/>
      </c>
      <c r="N150" s="390">
        <f>K150+L150+M150</f>
        <v/>
      </c>
      <c r="O150" s="390">
        <f>IF(G150&gt;0, N150/G150, 0)</f>
        <v/>
      </c>
      <c r="P150" s="391" t="n">
        <v>0.18</v>
      </c>
      <c r="Q150" s="390">
        <f>O150*(1+P150)</f>
        <v/>
      </c>
      <c r="R150" s="390">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390" t="n">
        <v>6</v>
      </c>
      <c r="H151" s="390">
        <f>SUMIF('01_BOC_TACH_ONG'!B:B, B151, '01_BOC_TACH_ONG'!K:K)</f>
        <v/>
      </c>
      <c r="I151" s="390">
        <f>SUMIF('02_BOC_TACH_CUA'!B:B, B151, '02_BOC_TACH_CUA'!K:K)</f>
        <v/>
      </c>
      <c r="J151" s="390">
        <f>SUMIF('03_BOC_TACH_VAN'!B:B, B151, '03_BOC_TACH_VAN'!K:K)</f>
        <v/>
      </c>
      <c r="K151" s="390">
        <f>SUM(H151:J151)</f>
        <v/>
      </c>
      <c r="L151" s="390">
        <f>K151*0.25</f>
        <v/>
      </c>
      <c r="M151" s="390">
        <f>K151*0.10</f>
        <v/>
      </c>
      <c r="N151" s="390">
        <f>K151+L151+M151</f>
        <v/>
      </c>
      <c r="O151" s="390">
        <f>IF(G151&gt;0, N151/G151, 0)</f>
        <v/>
      </c>
      <c r="P151" s="391" t="n">
        <v>0.18</v>
      </c>
      <c r="Q151" s="390">
        <f>O151*(1+P151)</f>
        <v/>
      </c>
      <c r="R151" s="390">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390" t="n">
        <v>8</v>
      </c>
      <c r="H152" s="390">
        <f>SUMIF('01_BOC_TACH_ONG'!B:B, B152, '01_BOC_TACH_ONG'!K:K)</f>
        <v/>
      </c>
      <c r="I152" s="390">
        <f>SUMIF('02_BOC_TACH_CUA'!B:B, B152, '02_BOC_TACH_CUA'!K:K)</f>
        <v/>
      </c>
      <c r="J152" s="390">
        <f>SUMIF('03_BOC_TACH_VAN'!B:B, B152, '03_BOC_TACH_VAN'!K:K)</f>
        <v/>
      </c>
      <c r="K152" s="390">
        <f>SUM(H152:J152)</f>
        <v/>
      </c>
      <c r="L152" s="390">
        <f>K152*0.25</f>
        <v/>
      </c>
      <c r="M152" s="390">
        <f>K152*0.10</f>
        <v/>
      </c>
      <c r="N152" s="390">
        <f>K152+L152+M152</f>
        <v/>
      </c>
      <c r="O152" s="390">
        <f>IF(G152&gt;0, N152/G152, 0)</f>
        <v/>
      </c>
      <c r="P152" s="391" t="n">
        <v>0.18</v>
      </c>
      <c r="Q152" s="390">
        <f>O152*(1+P152)</f>
        <v/>
      </c>
      <c r="R152" s="390">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390" t="n">
        <v>2</v>
      </c>
      <c r="H153" s="390">
        <f>SUMIF('01_BOC_TACH_ONG'!B:B, B153, '01_BOC_TACH_ONG'!K:K)</f>
        <v/>
      </c>
      <c r="I153" s="390">
        <f>SUMIF('02_BOC_TACH_CUA'!B:B, B153, '02_BOC_TACH_CUA'!K:K)</f>
        <v/>
      </c>
      <c r="J153" s="390">
        <f>SUMIF('03_BOC_TACH_VAN'!B:B, B153, '03_BOC_TACH_VAN'!K:K)</f>
        <v/>
      </c>
      <c r="K153" s="390">
        <f>SUM(H153:J153)</f>
        <v/>
      </c>
      <c r="L153" s="390">
        <f>K153*0.25</f>
        <v/>
      </c>
      <c r="M153" s="390">
        <f>K153*0.10</f>
        <v/>
      </c>
      <c r="N153" s="390">
        <f>K153+L153+M153</f>
        <v/>
      </c>
      <c r="O153" s="390">
        <f>IF(G153&gt;0, N153/G153, 0)</f>
        <v/>
      </c>
      <c r="P153" s="391" t="n">
        <v>0.18</v>
      </c>
      <c r="Q153" s="390">
        <f>O153*(1+P153)</f>
        <v/>
      </c>
      <c r="R153" s="390">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K154*0.25</f>
        <v/>
      </c>
      <c r="M154" s="390">
        <f>K154*0.10</f>
        <v/>
      </c>
      <c r="N154" s="390">
        <f>K154+L154+M154</f>
        <v/>
      </c>
      <c r="O154" s="390">
        <f>IF(G154&gt;0, N154/G154, 0)</f>
        <v/>
      </c>
      <c r="P154" s="391" t="n">
        <v>0.18</v>
      </c>
      <c r="Q154" s="390">
        <f>O154*(1+P154)</f>
        <v/>
      </c>
      <c r="R154" s="390">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390" t="n">
        <v>2</v>
      </c>
      <c r="H155" s="390">
        <f>SUMIF('01_BOC_TACH_ONG'!B:B, B155, '01_BOC_TACH_ONG'!K:K)</f>
        <v/>
      </c>
      <c r="I155" s="390">
        <f>SUMIF('02_BOC_TACH_CUA'!B:B, B155, '02_BOC_TACH_CUA'!K:K)</f>
        <v/>
      </c>
      <c r="J155" s="390">
        <f>SUMIF('03_BOC_TACH_VAN'!B:B, B155, '03_BOC_TACH_VAN'!K:K)</f>
        <v/>
      </c>
      <c r="K155" s="390">
        <f>SUM(H155:J155)</f>
        <v/>
      </c>
      <c r="L155" s="390">
        <f>K155*0.25</f>
        <v/>
      </c>
      <c r="M155" s="390">
        <f>K155*0.10</f>
        <v/>
      </c>
      <c r="N155" s="390">
        <f>K155+L155+M155</f>
        <v/>
      </c>
      <c r="O155" s="390">
        <f>IF(G155&gt;0, N155/G155, 0)</f>
        <v/>
      </c>
      <c r="P155" s="391" t="n">
        <v>0.18</v>
      </c>
      <c r="Q155" s="390">
        <f>O155*(1+P155)</f>
        <v/>
      </c>
      <c r="R155" s="390">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K156*0.25</f>
        <v/>
      </c>
      <c r="M156" s="390">
        <f>K156*0.10</f>
        <v/>
      </c>
      <c r="N156" s="390">
        <f>K156+L156+M156</f>
        <v/>
      </c>
      <c r="O156" s="390">
        <f>IF(G156&gt;0, N156/G156, 0)</f>
        <v/>
      </c>
      <c r="P156" s="391" t="n">
        <v>0.18</v>
      </c>
      <c r="Q156" s="390">
        <f>O156*(1+P156)</f>
        <v/>
      </c>
      <c r="R156" s="390">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390" t="n">
        <v>5</v>
      </c>
      <c r="H157" s="390">
        <f>SUMIF('01_BOC_TACH_ONG'!B:B, B157, '01_BOC_TACH_ONG'!K:K)</f>
        <v/>
      </c>
      <c r="I157" s="390">
        <f>SUMIF('02_BOC_TACH_CUA'!B:B, B157, '02_BOC_TACH_CUA'!K:K)</f>
        <v/>
      </c>
      <c r="J157" s="390">
        <f>SUMIF('03_BOC_TACH_VAN'!B:B, B157, '03_BOC_TACH_VAN'!K:K)</f>
        <v/>
      </c>
      <c r="K157" s="390">
        <f>SUM(H157:J157)</f>
        <v/>
      </c>
      <c r="L157" s="390">
        <f>K157*0.25</f>
        <v/>
      </c>
      <c r="M157" s="390">
        <f>K157*0.10</f>
        <v/>
      </c>
      <c r="N157" s="390">
        <f>K157+L157+M157</f>
        <v/>
      </c>
      <c r="O157" s="390">
        <f>IF(G157&gt;0, N157/G157, 0)</f>
        <v/>
      </c>
      <c r="P157" s="391" t="n">
        <v>0.18</v>
      </c>
      <c r="Q157" s="390">
        <f>O157*(1+P157)</f>
        <v/>
      </c>
      <c r="R157" s="390">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390" t="n">
        <v>1</v>
      </c>
      <c r="H158" s="390">
        <f>SUMIF('01_BOC_TACH_ONG'!B:B, B158, '01_BOC_TACH_ONG'!K:K)</f>
        <v/>
      </c>
      <c r="I158" s="390">
        <f>SUMIF('02_BOC_TACH_CUA'!B:B, B158, '02_BOC_TACH_CUA'!K:K)</f>
        <v/>
      </c>
      <c r="J158" s="390">
        <f>SUMIF('03_BOC_TACH_VAN'!B:B, B158, '03_BOC_TACH_VAN'!K:K)</f>
        <v/>
      </c>
      <c r="K158" s="390">
        <f>SUM(H158:J158)</f>
        <v/>
      </c>
      <c r="L158" s="390">
        <f>K158*0.25</f>
        <v/>
      </c>
      <c r="M158" s="390">
        <f>K158*0.10</f>
        <v/>
      </c>
      <c r="N158" s="390">
        <f>K158+L158+M158</f>
        <v/>
      </c>
      <c r="O158" s="390">
        <f>IF(G158&gt;0, N158/G158, 0)</f>
        <v/>
      </c>
      <c r="P158" s="391" t="n">
        <v>0.18</v>
      </c>
      <c r="Q158" s="390">
        <f>O158*(1+P158)</f>
        <v/>
      </c>
      <c r="R158" s="390">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390" t="n">
        <v>2259.95</v>
      </c>
      <c r="H159" s="390">
        <f>SUMIF('01_BOC_TACH_ONG'!B:B, B159, '01_BOC_TACH_ONG'!K:K)</f>
        <v/>
      </c>
      <c r="I159" s="390">
        <f>SUMIF('02_BOC_TACH_CUA'!B:B, B159, '02_BOC_TACH_CUA'!K:K)</f>
        <v/>
      </c>
      <c r="J159" s="390">
        <f>SUMIF('03_BOC_TACH_VAN'!B:B, B159, '03_BOC_TACH_VAN'!K:K)</f>
        <v/>
      </c>
      <c r="K159" s="390">
        <f>SUM(H159:J159)</f>
        <v/>
      </c>
      <c r="L159" s="390">
        <f>K159*0.25</f>
        <v/>
      </c>
      <c r="M159" s="390">
        <f>K159*0.10</f>
        <v/>
      </c>
      <c r="N159" s="390">
        <f>K159+L159+M159</f>
        <v/>
      </c>
      <c r="O159" s="390">
        <f>IF(G159&gt;0, N159/G159, 0)</f>
        <v/>
      </c>
      <c r="P159" s="391" t="n">
        <v>0.18</v>
      </c>
      <c r="Q159" s="390">
        <f>O159*(1+P159)</f>
        <v/>
      </c>
      <c r="R159" s="390">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390" t="n">
        <v>677.3</v>
      </c>
      <c r="H160" s="390">
        <f>SUMIF('01_BOC_TACH_ONG'!B:B, B160, '01_BOC_TACH_ONG'!K:K)</f>
        <v/>
      </c>
      <c r="I160" s="390">
        <f>SUMIF('02_BOC_TACH_CUA'!B:B, B160, '02_BOC_TACH_CUA'!K:K)</f>
        <v/>
      </c>
      <c r="J160" s="390">
        <f>SUMIF('03_BOC_TACH_VAN'!B:B, B160, '03_BOC_TACH_VAN'!K:K)</f>
        <v/>
      </c>
      <c r="K160" s="390">
        <f>SUM(H160:J160)</f>
        <v/>
      </c>
      <c r="L160" s="390">
        <f>K160*0.25</f>
        <v/>
      </c>
      <c r="M160" s="390">
        <f>K160*0.10</f>
        <v/>
      </c>
      <c r="N160" s="390">
        <f>K160+L160+M160</f>
        <v/>
      </c>
      <c r="O160" s="390">
        <f>IF(G160&gt;0, N160/G160, 0)</f>
        <v/>
      </c>
      <c r="P160" s="391" t="n">
        <v>0.18</v>
      </c>
      <c r="Q160" s="390">
        <f>O160*(1+P160)</f>
        <v/>
      </c>
      <c r="R160" s="390">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390" t="n">
        <v>320.75</v>
      </c>
      <c r="H161" s="390">
        <f>SUMIF('01_BOC_TACH_ONG'!B:B, B161, '01_BOC_TACH_ONG'!K:K)</f>
        <v/>
      </c>
      <c r="I161" s="390">
        <f>SUMIF('02_BOC_TACH_CUA'!B:B, B161, '02_BOC_TACH_CUA'!K:K)</f>
        <v/>
      </c>
      <c r="J161" s="390">
        <f>SUMIF('03_BOC_TACH_VAN'!B:B, B161, '03_BOC_TACH_VAN'!K:K)</f>
        <v/>
      </c>
      <c r="K161" s="390">
        <f>SUM(H161:J161)</f>
        <v/>
      </c>
      <c r="L161" s="390">
        <f>K161*0.25</f>
        <v/>
      </c>
      <c r="M161" s="390">
        <f>K161*0.10</f>
        <v/>
      </c>
      <c r="N161" s="390">
        <f>K161+L161+M161</f>
        <v/>
      </c>
      <c r="O161" s="390">
        <f>IF(G161&gt;0, N161/G161, 0)</f>
        <v/>
      </c>
      <c r="P161" s="391" t="n">
        <v>0.18</v>
      </c>
      <c r="Q161" s="390">
        <f>O161*(1+P161)</f>
        <v/>
      </c>
      <c r="R161" s="390">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390" t="n">
        <v>3375</v>
      </c>
      <c r="H162" s="390">
        <f>SUMIF('01_BOC_TACH_ONG'!B:B, B162, '01_BOC_TACH_ONG'!K:K)</f>
        <v/>
      </c>
      <c r="I162" s="390">
        <f>SUMIF('02_BOC_TACH_CUA'!B:B, B162, '02_BOC_TACH_CUA'!K:K)</f>
        <v/>
      </c>
      <c r="J162" s="390">
        <f>SUMIF('03_BOC_TACH_VAN'!B:B, B162, '03_BOC_TACH_VAN'!K:K)</f>
        <v/>
      </c>
      <c r="K162" s="390">
        <f>SUM(H162:J162)</f>
        <v/>
      </c>
      <c r="L162" s="390">
        <f>K162*0.25</f>
        <v/>
      </c>
      <c r="M162" s="390">
        <f>K162*0.10</f>
        <v/>
      </c>
      <c r="N162" s="390">
        <f>K162+L162+M162</f>
        <v/>
      </c>
      <c r="O162" s="390">
        <f>IF(G162&gt;0, N162/G162, 0)</f>
        <v/>
      </c>
      <c r="P162" s="391" t="n">
        <v>0.18</v>
      </c>
      <c r="Q162" s="390">
        <f>O162*(1+P162)</f>
        <v/>
      </c>
      <c r="R162" s="390">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390" t="n">
        <v>136</v>
      </c>
      <c r="H163" s="390">
        <f>SUMIF('01_BOC_TACH_ONG'!B:B, B163, '01_BOC_TACH_ONG'!K:K)</f>
        <v/>
      </c>
      <c r="I163" s="390">
        <f>SUMIF('02_BOC_TACH_CUA'!B:B, B163, '02_BOC_TACH_CUA'!K:K)</f>
        <v/>
      </c>
      <c r="J163" s="390">
        <f>SUMIF('03_BOC_TACH_VAN'!B:B, B163, '03_BOC_TACH_VAN'!K:K)</f>
        <v/>
      </c>
      <c r="K163" s="390">
        <f>SUM(H163:J163)</f>
        <v/>
      </c>
      <c r="L163" s="390">
        <f>K163*0.25</f>
        <v/>
      </c>
      <c r="M163" s="390">
        <f>K163*0.10</f>
        <v/>
      </c>
      <c r="N163" s="390">
        <f>K163+L163+M163</f>
        <v/>
      </c>
      <c r="O163" s="390">
        <f>IF(G163&gt;0, N163/G163, 0)</f>
        <v/>
      </c>
      <c r="P163" s="391" t="n">
        <v>0.18</v>
      </c>
      <c r="Q163" s="390">
        <f>O163*(1+P163)</f>
        <v/>
      </c>
      <c r="R163" s="390">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390" t="n">
        <v>364.55</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390" t="n">
        <v>3334</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390" t="n">
        <v>109.365</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390" t="n">
        <v>1</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390" t="n">
        <v>62</v>
      </c>
      <c r="H168" s="390">
        <f>SUMIF('01_BOC_TACH_ONG'!B:B, B168, '01_BOC_TACH_ONG'!K:K)</f>
        <v/>
      </c>
      <c r="I168" s="390">
        <f>SUMIF('02_BOC_TACH_CUA'!B:B, B168, '02_BOC_TACH_CUA'!K:K)</f>
        <v/>
      </c>
      <c r="J168" s="390">
        <f>SUMIF('03_BOC_TACH_VAN'!B:B, B168, '03_BOC_TACH_VAN'!K:K)</f>
        <v/>
      </c>
      <c r="K168" s="390">
        <f>SUM(H168:J168)</f>
        <v/>
      </c>
      <c r="L168" s="390">
        <f>K168*0.25</f>
        <v/>
      </c>
      <c r="M168" s="390">
        <f>K168*0.10</f>
        <v/>
      </c>
      <c r="N168" s="390">
        <f>K168+L168+M168</f>
        <v/>
      </c>
      <c r="O168" s="390">
        <f>IF(G168&gt;0, N168/G168, 0)</f>
        <v/>
      </c>
      <c r="P168" s="391" t="n">
        <v>0.18</v>
      </c>
      <c r="Q168" s="390">
        <f>O168*(1+P168)</f>
        <v/>
      </c>
      <c r="R168" s="390">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K169*0.25</f>
        <v/>
      </c>
      <c r="M169" s="390">
        <f>K169*0.10</f>
        <v/>
      </c>
      <c r="N169" s="390">
        <f>K169+L169+M169</f>
        <v/>
      </c>
      <c r="O169" s="390">
        <f>IF(G169&gt;0, N169/G169, 0)</f>
        <v/>
      </c>
      <c r="P169" s="391" t="n">
        <v>0.18</v>
      </c>
      <c r="Q169" s="390">
        <f>O169*(1+P169)</f>
        <v/>
      </c>
      <c r="R169" s="390">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390" t="n">
        <v>2</v>
      </c>
      <c r="H170" s="390">
        <f>SUMIF('01_BOC_TACH_ONG'!B:B, B170, '01_BOC_TACH_ONG'!K:K)</f>
        <v/>
      </c>
      <c r="I170" s="390">
        <f>SUMIF('02_BOC_TACH_CUA'!B:B, B170, '02_BOC_TACH_CUA'!K:K)</f>
        <v/>
      </c>
      <c r="J170" s="390">
        <f>SUMIF('03_BOC_TACH_VAN'!B:B, B170, '03_BOC_TACH_VAN'!K:K)</f>
        <v/>
      </c>
      <c r="K170" s="390">
        <f>SUM(H170:J170)</f>
        <v/>
      </c>
      <c r="L170" s="390">
        <f>K170*0.25</f>
        <v/>
      </c>
      <c r="M170" s="390">
        <f>K170*0.10</f>
        <v/>
      </c>
      <c r="N170" s="390">
        <f>K170+L170+M170</f>
        <v/>
      </c>
      <c r="O170" s="390">
        <f>IF(G170&gt;0, N170/G170, 0)</f>
        <v/>
      </c>
      <c r="P170" s="391" t="n">
        <v>0.18</v>
      </c>
      <c r="Q170" s="390">
        <f>O170*(1+P170)</f>
        <v/>
      </c>
      <c r="R170" s="390">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390" t="n">
        <v>4</v>
      </c>
      <c r="H171" s="390">
        <f>SUMIF('01_BOC_TACH_ONG'!B:B, B171, '01_BOC_TACH_ONG'!K:K)</f>
        <v/>
      </c>
      <c r="I171" s="390">
        <f>SUMIF('02_BOC_TACH_CUA'!B:B, B171, '02_BOC_TACH_CUA'!K:K)</f>
        <v/>
      </c>
      <c r="J171" s="390">
        <f>SUMIF('03_BOC_TACH_VAN'!B:B, B171, '03_BOC_TACH_VAN'!K:K)</f>
        <v/>
      </c>
      <c r="K171" s="390">
        <f>SUM(H171:J171)</f>
        <v/>
      </c>
      <c r="L171" s="390">
        <f>K171*0.25</f>
        <v/>
      </c>
      <c r="M171" s="390">
        <f>K171*0.10</f>
        <v/>
      </c>
      <c r="N171" s="390">
        <f>K171+L171+M171</f>
        <v/>
      </c>
      <c r="O171" s="390">
        <f>IF(G171&gt;0, N171/G171, 0)</f>
        <v/>
      </c>
      <c r="P171" s="391" t="n">
        <v>0.18</v>
      </c>
      <c r="Q171" s="390">
        <f>O171*(1+P171)</f>
        <v/>
      </c>
      <c r="R171" s="390">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390" t="n">
        <v>2</v>
      </c>
      <c r="H172" s="390">
        <f>SUMIF('01_BOC_TACH_ONG'!B:B, B172, '01_BOC_TACH_ONG'!K:K)</f>
        <v/>
      </c>
      <c r="I172" s="390">
        <f>SUMIF('02_BOC_TACH_CUA'!B:B, B172, '02_BOC_TACH_CUA'!K:K)</f>
        <v/>
      </c>
      <c r="J172" s="390">
        <f>SUMIF('03_BOC_TACH_VAN'!B:B, B172, '03_BOC_TACH_VAN'!K:K)</f>
        <v/>
      </c>
      <c r="K172" s="390">
        <f>SUM(H172:J172)</f>
        <v/>
      </c>
      <c r="L172" s="390">
        <f>K172*0.25</f>
        <v/>
      </c>
      <c r="M172" s="390">
        <f>K172*0.10</f>
        <v/>
      </c>
      <c r="N172" s="390">
        <f>K172+L172+M172</f>
        <v/>
      </c>
      <c r="O172" s="390">
        <f>IF(G172&gt;0, N172/G172, 0)</f>
        <v/>
      </c>
      <c r="P172" s="391" t="n">
        <v>0.18</v>
      </c>
      <c r="Q172" s="390">
        <f>O172*(1+P172)</f>
        <v/>
      </c>
      <c r="R172" s="390">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K173*0.25</f>
        <v/>
      </c>
      <c r="M173" s="390">
        <f>K173*0.10</f>
        <v/>
      </c>
      <c r="N173" s="390">
        <f>K173+L173+M173</f>
        <v/>
      </c>
      <c r="O173" s="390">
        <f>IF(G173&gt;0, N173/G173, 0)</f>
        <v/>
      </c>
      <c r="P173" s="391" t="n">
        <v>0.18</v>
      </c>
      <c r="Q173" s="390">
        <f>O173*(1+P173)</f>
        <v/>
      </c>
      <c r="R173" s="390">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K174*0.25</f>
        <v/>
      </c>
      <c r="M174" s="390">
        <f>K174*0.10</f>
        <v/>
      </c>
      <c r="N174" s="390">
        <f>K174+L174+M174</f>
        <v/>
      </c>
      <c r="O174" s="390">
        <f>IF(G174&gt;0, N174/G174, 0)</f>
        <v/>
      </c>
      <c r="P174" s="391" t="n">
        <v>0.18</v>
      </c>
      <c r="Q174" s="390">
        <f>O174*(1+P174)</f>
        <v/>
      </c>
      <c r="R174" s="390">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K175*0.25</f>
        <v/>
      </c>
      <c r="M175" s="390">
        <f>K175*0.10</f>
        <v/>
      </c>
      <c r="N175" s="390">
        <f>K175+L175+M175</f>
        <v/>
      </c>
      <c r="O175" s="390">
        <f>IF(G175&gt;0, N175/G175, 0)</f>
        <v/>
      </c>
      <c r="P175" s="391" t="n">
        <v>0.18</v>
      </c>
      <c r="Q175" s="390">
        <f>O175*(1+P175)</f>
        <v/>
      </c>
      <c r="R175" s="390">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K176*0.25</f>
        <v/>
      </c>
      <c r="M176" s="390">
        <f>K176*0.10</f>
        <v/>
      </c>
      <c r="N176" s="390">
        <f>K176+L176+M176</f>
        <v/>
      </c>
      <c r="O176" s="390">
        <f>IF(G176&gt;0, N176/G176, 0)</f>
        <v/>
      </c>
      <c r="P176" s="391" t="n">
        <v>0.18</v>
      </c>
      <c r="Q176" s="390">
        <f>O176*(1+P176)</f>
        <v/>
      </c>
      <c r="R176" s="390">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K177*0.25</f>
        <v/>
      </c>
      <c r="M177" s="390">
        <f>K177*0.10</f>
        <v/>
      </c>
      <c r="N177" s="390">
        <f>K177+L177+M177</f>
        <v/>
      </c>
      <c r="O177" s="390">
        <f>IF(G177&gt;0, N177/G177, 0)</f>
        <v/>
      </c>
      <c r="P177" s="391" t="n">
        <v>0.18</v>
      </c>
      <c r="Q177" s="390">
        <f>O177*(1+P177)</f>
        <v/>
      </c>
      <c r="R177" s="390">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390" t="n">
        <v>9</v>
      </c>
      <c r="H178" s="390">
        <f>SUMIF('01_BOC_TACH_ONG'!B:B, B178, '01_BOC_TACH_ONG'!K:K)</f>
        <v/>
      </c>
      <c r="I178" s="390">
        <f>SUMIF('02_BOC_TACH_CUA'!B:B, B178, '02_BOC_TACH_CUA'!K:K)</f>
        <v/>
      </c>
      <c r="J178" s="390">
        <f>SUMIF('03_BOC_TACH_VAN'!B:B, B178, '03_BOC_TACH_VAN'!K:K)</f>
        <v/>
      </c>
      <c r="K178" s="390">
        <f>SUM(H178:J178)</f>
        <v/>
      </c>
      <c r="L178" s="390">
        <f>K178*0.25</f>
        <v/>
      </c>
      <c r="M178" s="390">
        <f>K178*0.10</f>
        <v/>
      </c>
      <c r="N178" s="390">
        <f>K178+L178+M178</f>
        <v/>
      </c>
      <c r="O178" s="390">
        <f>IF(G178&gt;0, N178/G178, 0)</f>
        <v/>
      </c>
      <c r="P178" s="391" t="n">
        <v>0.18</v>
      </c>
      <c r="Q178" s="390">
        <f>O178*(1+P178)</f>
        <v/>
      </c>
      <c r="R178" s="390">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390" t="n">
        <v>7</v>
      </c>
      <c r="H179" s="390">
        <f>SUMIF('01_BOC_TACH_ONG'!B:B, B179, '01_BOC_TACH_ONG'!K:K)</f>
        <v/>
      </c>
      <c r="I179" s="390">
        <f>SUMIF('02_BOC_TACH_CUA'!B:B, B179, '02_BOC_TACH_CUA'!K:K)</f>
        <v/>
      </c>
      <c r="J179" s="390">
        <f>SUMIF('03_BOC_TACH_VAN'!B:B, B179, '03_BOC_TACH_VAN'!K:K)</f>
        <v/>
      </c>
      <c r="K179" s="390">
        <f>SUM(H179:J179)</f>
        <v/>
      </c>
      <c r="L179" s="390">
        <f>K179*0.25</f>
        <v/>
      </c>
      <c r="M179" s="390">
        <f>K179*0.10</f>
        <v/>
      </c>
      <c r="N179" s="390">
        <f>K179+L179+M179</f>
        <v/>
      </c>
      <c r="O179" s="390">
        <f>IF(G179&gt;0, N179/G179, 0)</f>
        <v/>
      </c>
      <c r="P179" s="391" t="n">
        <v>0.18</v>
      </c>
      <c r="Q179" s="390">
        <f>O179*(1+P179)</f>
        <v/>
      </c>
      <c r="R179" s="390">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390" t="n">
        <v>7</v>
      </c>
      <c r="H180" s="390">
        <f>SUMIF('01_BOC_TACH_ONG'!B:B, B180, '01_BOC_TACH_ONG'!K:K)</f>
        <v/>
      </c>
      <c r="I180" s="390">
        <f>SUMIF('02_BOC_TACH_CUA'!B:B, B180, '02_BOC_TACH_CUA'!K:K)</f>
        <v/>
      </c>
      <c r="J180" s="390">
        <f>SUMIF('03_BOC_TACH_VAN'!B:B, B180, '03_BOC_TACH_VAN'!K:K)</f>
        <v/>
      </c>
      <c r="K180" s="390">
        <f>SUM(H180:J180)</f>
        <v/>
      </c>
      <c r="L180" s="390">
        <f>K180*0.25</f>
        <v/>
      </c>
      <c r="M180" s="390">
        <f>K180*0.10</f>
        <v/>
      </c>
      <c r="N180" s="390">
        <f>K180+L180+M180</f>
        <v/>
      </c>
      <c r="O180" s="390">
        <f>IF(G180&gt;0, N180/G180, 0)</f>
        <v/>
      </c>
      <c r="P180" s="391" t="n">
        <v>0.18</v>
      </c>
      <c r="Q180" s="390">
        <f>O180*(1+P180)</f>
        <v/>
      </c>
      <c r="R180" s="390">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390" t="n">
        <v>5</v>
      </c>
      <c r="H181" s="390">
        <f>SUMIF('01_BOC_TACH_ONG'!B:B, B181, '01_BOC_TACH_ONG'!K:K)</f>
        <v/>
      </c>
      <c r="I181" s="390">
        <f>SUMIF('02_BOC_TACH_CUA'!B:B, B181, '02_BOC_TACH_CUA'!K:K)</f>
        <v/>
      </c>
      <c r="J181" s="390">
        <f>SUMIF('03_BOC_TACH_VAN'!B:B, B181, '03_BOC_TACH_VAN'!K:K)</f>
        <v/>
      </c>
      <c r="K181" s="390">
        <f>SUM(H181:J181)</f>
        <v/>
      </c>
      <c r="L181" s="390">
        <f>K181*0.25</f>
        <v/>
      </c>
      <c r="M181" s="390">
        <f>K181*0.10</f>
        <v/>
      </c>
      <c r="N181" s="390">
        <f>K181+L181+M181</f>
        <v/>
      </c>
      <c r="O181" s="390">
        <f>IF(G181&gt;0, N181/G181, 0)</f>
        <v/>
      </c>
      <c r="P181" s="391" t="n">
        <v>0.18</v>
      </c>
      <c r="Q181" s="390">
        <f>O181*(1+P181)</f>
        <v/>
      </c>
      <c r="R181" s="390">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390" t="n">
        <v>2</v>
      </c>
      <c r="H182" s="390">
        <f>SUMIF('01_BOC_TACH_ONG'!B:B, B182, '01_BOC_TACH_ONG'!K:K)</f>
        <v/>
      </c>
      <c r="I182" s="390">
        <f>SUMIF('02_BOC_TACH_CUA'!B:B, B182, '02_BOC_TACH_CUA'!K:K)</f>
        <v/>
      </c>
      <c r="J182" s="390">
        <f>SUMIF('03_BOC_TACH_VAN'!B:B, B182, '03_BOC_TACH_VAN'!K:K)</f>
        <v/>
      </c>
      <c r="K182" s="390">
        <f>SUM(H182:J182)</f>
        <v/>
      </c>
      <c r="L182" s="390">
        <f>K182*0.25</f>
        <v/>
      </c>
      <c r="M182" s="390">
        <f>K182*0.10</f>
        <v/>
      </c>
      <c r="N182" s="390">
        <f>K182+L182+M182</f>
        <v/>
      </c>
      <c r="O182" s="390">
        <f>IF(G182&gt;0, N182/G182, 0)</f>
        <v/>
      </c>
      <c r="P182" s="391" t="n">
        <v>0.18</v>
      </c>
      <c r="Q182" s="390">
        <f>O182*(1+P182)</f>
        <v/>
      </c>
      <c r="R182" s="390">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390" t="n">
        <v>2</v>
      </c>
      <c r="H183" s="390">
        <f>SUMIF('01_BOC_TACH_ONG'!B:B, B183, '01_BOC_TACH_ONG'!K:K)</f>
        <v/>
      </c>
      <c r="I183" s="390">
        <f>SUMIF('02_BOC_TACH_CUA'!B:B, B183, '02_BOC_TACH_CUA'!K:K)</f>
        <v/>
      </c>
      <c r="J183" s="390">
        <f>SUMIF('03_BOC_TACH_VAN'!B:B, B183, '03_BOC_TACH_VAN'!K:K)</f>
        <v/>
      </c>
      <c r="K183" s="390">
        <f>SUM(H183:J183)</f>
        <v/>
      </c>
      <c r="L183" s="390">
        <f>K183*0.25</f>
        <v/>
      </c>
      <c r="M183" s="390">
        <f>K183*0.10</f>
        <v/>
      </c>
      <c r="N183" s="390">
        <f>K183+L183+M183</f>
        <v/>
      </c>
      <c r="O183" s="390">
        <f>IF(G183&gt;0, N183/G183, 0)</f>
        <v/>
      </c>
      <c r="P183" s="391" t="n">
        <v>0.18</v>
      </c>
      <c r="Q183" s="390">
        <f>O183*(1+P183)</f>
        <v/>
      </c>
      <c r="R183" s="390">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K184*0.25</f>
        <v/>
      </c>
      <c r="M184" s="390">
        <f>K184*0.10</f>
        <v/>
      </c>
      <c r="N184" s="390">
        <f>K184+L184+M184</f>
        <v/>
      </c>
      <c r="O184" s="390">
        <f>IF(G184&gt;0, N184/G184, 0)</f>
        <v/>
      </c>
      <c r="P184" s="391" t="n">
        <v>0.18</v>
      </c>
      <c r="Q184" s="390">
        <f>O184*(1+P184)</f>
        <v/>
      </c>
      <c r="R184" s="390">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K185*0.25</f>
        <v/>
      </c>
      <c r="M185" s="390">
        <f>K185*0.10</f>
        <v/>
      </c>
      <c r="N185" s="390">
        <f>K185+L185+M185</f>
        <v/>
      </c>
      <c r="O185" s="390">
        <f>IF(G185&gt;0, N185/G185, 0)</f>
        <v/>
      </c>
      <c r="P185" s="391" t="n">
        <v>0.18</v>
      </c>
      <c r="Q185" s="390">
        <f>O185*(1+P185)</f>
        <v/>
      </c>
      <c r="R185" s="390">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K186*0.25</f>
        <v/>
      </c>
      <c r="M186" s="390">
        <f>K186*0.10</f>
        <v/>
      </c>
      <c r="N186" s="390">
        <f>K186+L186+M186</f>
        <v/>
      </c>
      <c r="O186" s="390">
        <f>IF(G186&gt;0, N186/G186, 0)</f>
        <v/>
      </c>
      <c r="P186" s="391" t="n">
        <v>0.18</v>
      </c>
      <c r="Q186" s="390">
        <f>O186*(1+P186)</f>
        <v/>
      </c>
      <c r="R186" s="390">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390" t="n">
        <v>61</v>
      </c>
      <c r="H187" s="390">
        <f>SUMIF('01_BOC_TACH_ONG'!B:B, B187, '01_BOC_TACH_ONG'!K:K)</f>
        <v/>
      </c>
      <c r="I187" s="390">
        <f>SUMIF('02_BOC_TACH_CUA'!B:B, B187, '02_BOC_TACH_CUA'!K:K)</f>
        <v/>
      </c>
      <c r="J187" s="390">
        <f>SUMIF('03_BOC_TACH_VAN'!B:B, B187, '03_BOC_TACH_VAN'!K:K)</f>
        <v/>
      </c>
      <c r="K187" s="390">
        <f>SUM(H187:J187)</f>
        <v/>
      </c>
      <c r="L187" s="390">
        <f>K187*0.25</f>
        <v/>
      </c>
      <c r="M187" s="390">
        <f>K187*0.10</f>
        <v/>
      </c>
      <c r="N187" s="390">
        <f>K187+L187+M187</f>
        <v/>
      </c>
      <c r="O187" s="390">
        <f>IF(G187&gt;0, N187/G187, 0)</f>
        <v/>
      </c>
      <c r="P187" s="391" t="n">
        <v>0.18</v>
      </c>
      <c r="Q187" s="390">
        <f>O187*(1+P187)</f>
        <v/>
      </c>
      <c r="R187" s="390">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390" t="n">
        <v>78</v>
      </c>
      <c r="H188" s="390">
        <f>SUMIF('01_BOC_TACH_ONG'!B:B, B188, '01_BOC_TACH_ONG'!K:K)</f>
        <v/>
      </c>
      <c r="I188" s="390">
        <f>SUMIF('02_BOC_TACH_CUA'!B:B, B188, '02_BOC_TACH_CUA'!K:K)</f>
        <v/>
      </c>
      <c r="J188" s="390">
        <f>SUMIF('03_BOC_TACH_VAN'!B:B, B188, '03_BOC_TACH_VAN'!K:K)</f>
        <v/>
      </c>
      <c r="K188" s="390">
        <f>SUM(H188:J188)</f>
        <v/>
      </c>
      <c r="L188" s="390">
        <f>K188*0.25</f>
        <v/>
      </c>
      <c r="M188" s="390">
        <f>K188*0.10</f>
        <v/>
      </c>
      <c r="N188" s="390">
        <f>K188+L188+M188</f>
        <v/>
      </c>
      <c r="O188" s="390">
        <f>IF(G188&gt;0, N188/G188, 0)</f>
        <v/>
      </c>
      <c r="P188" s="391" t="n">
        <v>0.18</v>
      </c>
      <c r="Q188" s="390">
        <f>O188*(1+P188)</f>
        <v/>
      </c>
      <c r="R188" s="390">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390" t="n">
        <v>78</v>
      </c>
      <c r="H189" s="390">
        <f>SUMIF('01_BOC_TACH_ONG'!B:B, B189, '01_BOC_TACH_ONG'!K:K)</f>
        <v/>
      </c>
      <c r="I189" s="390">
        <f>SUMIF('02_BOC_TACH_CUA'!B:B, B189, '02_BOC_TACH_CUA'!K:K)</f>
        <v/>
      </c>
      <c r="J189" s="390">
        <f>SUMIF('03_BOC_TACH_VAN'!B:B, B189, '03_BOC_TACH_VAN'!K:K)</f>
        <v/>
      </c>
      <c r="K189" s="390">
        <f>SUM(H189:J189)</f>
        <v/>
      </c>
      <c r="L189" s="390">
        <f>K189*0.25</f>
        <v/>
      </c>
      <c r="M189" s="390">
        <f>K189*0.10</f>
        <v/>
      </c>
      <c r="N189" s="390">
        <f>K189+L189+M189</f>
        <v/>
      </c>
      <c r="O189" s="390">
        <f>IF(G189&gt;0, N189/G189, 0)</f>
        <v/>
      </c>
      <c r="P189" s="391" t="n">
        <v>0.18</v>
      </c>
      <c r="Q189" s="390">
        <f>O189*(1+P189)</f>
        <v/>
      </c>
      <c r="R189" s="390">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390" t="n">
        <v>78</v>
      </c>
      <c r="H190" s="390">
        <f>SUMIF('01_BOC_TACH_ONG'!B:B, B190, '01_BOC_TACH_ONG'!K:K)</f>
        <v/>
      </c>
      <c r="I190" s="390">
        <f>SUMIF('02_BOC_TACH_CUA'!B:B, B190, '02_BOC_TACH_CUA'!K:K)</f>
        <v/>
      </c>
      <c r="J190" s="390">
        <f>SUMIF('03_BOC_TACH_VAN'!B:B, B190, '03_BOC_TACH_VAN'!K:K)</f>
        <v/>
      </c>
      <c r="K190" s="390">
        <f>SUM(H190:J190)</f>
        <v/>
      </c>
      <c r="L190" s="390">
        <f>K190*0.25</f>
        <v/>
      </c>
      <c r="M190" s="390">
        <f>K190*0.10</f>
        <v/>
      </c>
      <c r="N190" s="390">
        <f>K190+L190+M190</f>
        <v/>
      </c>
      <c r="O190" s="390">
        <f>IF(G190&gt;0, N190/G190, 0)</f>
        <v/>
      </c>
      <c r="P190" s="391" t="n">
        <v>0.18</v>
      </c>
      <c r="Q190" s="390">
        <f>O190*(1+P190)</f>
        <v/>
      </c>
      <c r="R190" s="390">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390" t="n">
        <v>38</v>
      </c>
      <c r="H191" s="390">
        <f>SUMIF('01_BOC_TACH_ONG'!B:B, B191, '01_BOC_TACH_ONG'!K:K)</f>
        <v/>
      </c>
      <c r="I191" s="390">
        <f>SUMIF('02_BOC_TACH_CUA'!B:B, B191, '02_BOC_TACH_CUA'!K:K)</f>
        <v/>
      </c>
      <c r="J191" s="390">
        <f>SUMIF('03_BOC_TACH_VAN'!B:B, B191, '03_BOC_TACH_VAN'!K:K)</f>
        <v/>
      </c>
      <c r="K191" s="390">
        <f>SUM(H191:J191)</f>
        <v/>
      </c>
      <c r="L191" s="390">
        <f>K191*0.25</f>
        <v/>
      </c>
      <c r="M191" s="390">
        <f>K191*0.10</f>
        <v/>
      </c>
      <c r="N191" s="390">
        <f>K191+L191+M191</f>
        <v/>
      </c>
      <c r="O191" s="390">
        <f>IF(G191&gt;0, N191/G191, 0)</f>
        <v/>
      </c>
      <c r="P191" s="391" t="n">
        <v>0.18</v>
      </c>
      <c r="Q191" s="390">
        <f>O191*(1+P191)</f>
        <v/>
      </c>
      <c r="R191" s="390">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390" t="n">
        <v>20</v>
      </c>
      <c r="H192" s="390">
        <f>SUMIF('01_BOC_TACH_ONG'!B:B, B192, '01_BOC_TACH_ONG'!K:K)</f>
        <v/>
      </c>
      <c r="I192" s="390">
        <f>SUMIF('02_BOC_TACH_CUA'!B:B, B192, '02_BOC_TACH_CUA'!K:K)</f>
        <v/>
      </c>
      <c r="J192" s="390">
        <f>SUMIF('03_BOC_TACH_VAN'!B:B, B192, '03_BOC_TACH_VAN'!K:K)</f>
        <v/>
      </c>
      <c r="K192" s="390">
        <f>SUM(H192:J192)</f>
        <v/>
      </c>
      <c r="L192" s="390">
        <f>K192*0.25</f>
        <v/>
      </c>
      <c r="M192" s="390">
        <f>K192*0.10</f>
        <v/>
      </c>
      <c r="N192" s="390">
        <f>K192+L192+M192</f>
        <v/>
      </c>
      <c r="O192" s="390">
        <f>IF(G192&gt;0, N192/G192, 0)</f>
        <v/>
      </c>
      <c r="P192" s="391" t="n">
        <v>0.18</v>
      </c>
      <c r="Q192" s="390">
        <f>O192*(1+P192)</f>
        <v/>
      </c>
      <c r="R192" s="390">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390" t="n">
        <v>6</v>
      </c>
      <c r="H193" s="390">
        <f>SUMIF('01_BOC_TACH_ONG'!B:B, B193, '01_BOC_TACH_ONG'!K:K)</f>
        <v/>
      </c>
      <c r="I193" s="390">
        <f>SUMIF('02_BOC_TACH_CUA'!B:B, B193, '02_BOC_TACH_CUA'!K:K)</f>
        <v/>
      </c>
      <c r="J193" s="390">
        <f>SUMIF('03_BOC_TACH_VAN'!B:B, B193, '03_BOC_TACH_VAN'!K:K)</f>
        <v/>
      </c>
      <c r="K193" s="390">
        <f>SUM(H193:J193)</f>
        <v/>
      </c>
      <c r="L193" s="390">
        <f>K193*0.25</f>
        <v/>
      </c>
      <c r="M193" s="390">
        <f>K193*0.10</f>
        <v/>
      </c>
      <c r="N193" s="390">
        <f>K193+L193+M193</f>
        <v/>
      </c>
      <c r="O193" s="390">
        <f>IF(G193&gt;0, N193/G193, 0)</f>
        <v/>
      </c>
      <c r="P193" s="391" t="n">
        <v>0.18</v>
      </c>
      <c r="Q193" s="390">
        <f>O193*(1+P193)</f>
        <v/>
      </c>
      <c r="R193" s="390">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K194*0.25</f>
        <v/>
      </c>
      <c r="M194" s="390">
        <f>K194*0.10</f>
        <v/>
      </c>
      <c r="N194" s="390">
        <f>K194+L194+M194</f>
        <v/>
      </c>
      <c r="O194" s="390">
        <f>IF(G194&gt;0, N194/G194, 0)</f>
        <v/>
      </c>
      <c r="P194" s="391" t="n">
        <v>0.18</v>
      </c>
      <c r="Q194" s="390">
        <f>O194*(1+P194)</f>
        <v/>
      </c>
      <c r="R194" s="390">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K195*0.25</f>
        <v/>
      </c>
      <c r="M195" s="390">
        <f>K195*0.10</f>
        <v/>
      </c>
      <c r="N195" s="390">
        <f>K195+L195+M195</f>
        <v/>
      </c>
      <c r="O195" s="390">
        <f>IF(G195&gt;0, N195/G195, 0)</f>
        <v/>
      </c>
      <c r="P195" s="391" t="n">
        <v>0.18</v>
      </c>
      <c r="Q195" s="390">
        <f>O195*(1+P195)</f>
        <v/>
      </c>
      <c r="R195" s="390">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390" t="n">
        <v>10</v>
      </c>
      <c r="H196" s="390">
        <f>SUMIF('01_BOC_TACH_ONG'!B:B, B196, '01_BOC_TACH_ONG'!K:K)</f>
        <v/>
      </c>
      <c r="I196" s="390">
        <f>SUMIF('02_BOC_TACH_CUA'!B:B, B196, '02_BOC_TACH_CUA'!K:K)</f>
        <v/>
      </c>
      <c r="J196" s="390">
        <f>SUMIF('03_BOC_TACH_VAN'!B:B, B196, '03_BOC_TACH_VAN'!K:K)</f>
        <v/>
      </c>
      <c r="K196" s="390">
        <f>SUM(H196:J196)</f>
        <v/>
      </c>
      <c r="L196" s="390">
        <f>K196*0.25</f>
        <v/>
      </c>
      <c r="M196" s="390">
        <f>K196*0.10</f>
        <v/>
      </c>
      <c r="N196" s="390">
        <f>K196+L196+M196</f>
        <v/>
      </c>
      <c r="O196" s="390">
        <f>IF(G196&gt;0, N196/G196, 0)</f>
        <v/>
      </c>
      <c r="P196" s="391" t="n">
        <v>0.18</v>
      </c>
      <c r="Q196" s="390">
        <f>O196*(1+P196)</f>
        <v/>
      </c>
      <c r="R196" s="390">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390" t="n">
        <v>12</v>
      </c>
      <c r="H197" s="390">
        <f>SUMIF('01_BOC_TACH_ONG'!B:B, B197, '01_BOC_TACH_ONG'!K:K)</f>
        <v/>
      </c>
      <c r="I197" s="390">
        <f>SUMIF('02_BOC_TACH_CUA'!B:B, B197, '02_BOC_TACH_CUA'!K:K)</f>
        <v/>
      </c>
      <c r="J197" s="390">
        <f>SUMIF('03_BOC_TACH_VAN'!B:B, B197, '03_BOC_TACH_VAN'!K:K)</f>
        <v/>
      </c>
      <c r="K197" s="390">
        <f>SUM(H197:J197)</f>
        <v/>
      </c>
      <c r="L197" s="390">
        <f>K197*0.25</f>
        <v/>
      </c>
      <c r="M197" s="390">
        <f>K197*0.10</f>
        <v/>
      </c>
      <c r="N197" s="390">
        <f>K197+L197+M197</f>
        <v/>
      </c>
      <c r="O197" s="390">
        <f>IF(G197&gt;0, N197/G197, 0)</f>
        <v/>
      </c>
      <c r="P197" s="391" t="n">
        <v>0.18</v>
      </c>
      <c r="Q197" s="390">
        <f>O197*(1+P197)</f>
        <v/>
      </c>
      <c r="R197" s="390">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390" t="n">
        <v>62</v>
      </c>
      <c r="H198" s="390">
        <f>SUMIF('01_BOC_TACH_ONG'!B:B, B198, '01_BOC_TACH_ONG'!K:K)</f>
        <v/>
      </c>
      <c r="I198" s="390">
        <f>SUMIF('02_BOC_TACH_CUA'!B:B, B198, '02_BOC_TACH_CUA'!K:K)</f>
        <v/>
      </c>
      <c r="J198" s="390">
        <f>SUMIF('03_BOC_TACH_VAN'!B:B, B198, '03_BOC_TACH_VAN'!K:K)</f>
        <v/>
      </c>
      <c r="K198" s="390">
        <f>SUM(H198:J198)</f>
        <v/>
      </c>
      <c r="L198" s="390">
        <f>K198*0.25</f>
        <v/>
      </c>
      <c r="M198" s="390">
        <f>K198*0.10</f>
        <v/>
      </c>
      <c r="N198" s="390">
        <f>K198+L198+M198</f>
        <v/>
      </c>
      <c r="O198" s="390">
        <f>IF(G198&gt;0, N198/G198, 0)</f>
        <v/>
      </c>
      <c r="P198" s="391" t="n">
        <v>0.18</v>
      </c>
      <c r="Q198" s="390">
        <f>O198*(1+P198)</f>
        <v/>
      </c>
      <c r="R198" s="390">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390" t="n">
        <v>2</v>
      </c>
      <c r="H199" s="390">
        <f>SUMIF('01_BOC_TACH_ONG'!B:B, B199, '01_BOC_TACH_ONG'!K:K)</f>
        <v/>
      </c>
      <c r="I199" s="390">
        <f>SUMIF('02_BOC_TACH_CUA'!B:B, B199, '02_BOC_TACH_CUA'!K:K)</f>
        <v/>
      </c>
      <c r="J199" s="390">
        <f>SUMIF('03_BOC_TACH_VAN'!B:B, B199, '03_BOC_TACH_VAN'!K:K)</f>
        <v/>
      </c>
      <c r="K199" s="390">
        <f>SUM(H199:J199)</f>
        <v/>
      </c>
      <c r="L199" s="390">
        <f>K199*0.25</f>
        <v/>
      </c>
      <c r="M199" s="390">
        <f>K199*0.10</f>
        <v/>
      </c>
      <c r="N199" s="390">
        <f>K199+L199+M199</f>
        <v/>
      </c>
      <c r="O199" s="390">
        <f>IF(G199&gt;0, N199/G199, 0)</f>
        <v/>
      </c>
      <c r="P199" s="391" t="n">
        <v>0.18</v>
      </c>
      <c r="Q199" s="390">
        <f>O199*(1+P199)</f>
        <v/>
      </c>
      <c r="R199" s="390">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390" t="n">
        <v>5</v>
      </c>
      <c r="H200" s="390">
        <f>SUMIF('01_BOC_TACH_ONG'!B:B, B200, '01_BOC_TACH_ONG'!K:K)</f>
        <v/>
      </c>
      <c r="I200" s="390">
        <f>SUMIF('02_BOC_TACH_CUA'!B:B, B200, '02_BOC_TACH_CUA'!K:K)</f>
        <v/>
      </c>
      <c r="J200" s="390">
        <f>SUMIF('03_BOC_TACH_VAN'!B:B, B200, '03_BOC_TACH_VAN'!K:K)</f>
        <v/>
      </c>
      <c r="K200" s="390">
        <f>SUM(H200:J200)</f>
        <v/>
      </c>
      <c r="L200" s="390">
        <f>K200*0.25</f>
        <v/>
      </c>
      <c r="M200" s="390">
        <f>K200*0.10</f>
        <v/>
      </c>
      <c r="N200" s="390">
        <f>K200+L200+M200</f>
        <v/>
      </c>
      <c r="O200" s="390">
        <f>IF(G200&gt;0, N200/G200, 0)</f>
        <v/>
      </c>
      <c r="P200" s="391" t="n">
        <v>0.18</v>
      </c>
      <c r="Q200" s="390">
        <f>O200*(1+P200)</f>
        <v/>
      </c>
      <c r="R200" s="390">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390" t="n">
        <v>3</v>
      </c>
      <c r="H201" s="390">
        <f>SUMIF('01_BOC_TACH_ONG'!B:B, B201, '01_BOC_TACH_ONG'!K:K)</f>
        <v/>
      </c>
      <c r="I201" s="390">
        <f>SUMIF('02_BOC_TACH_CUA'!B:B, B201, '02_BOC_TACH_CUA'!K:K)</f>
        <v/>
      </c>
      <c r="J201" s="390">
        <f>SUMIF('03_BOC_TACH_VAN'!B:B, B201, '03_BOC_TACH_VAN'!K:K)</f>
        <v/>
      </c>
      <c r="K201" s="390">
        <f>SUM(H201:J201)</f>
        <v/>
      </c>
      <c r="L201" s="390">
        <f>K201*0.25</f>
        <v/>
      </c>
      <c r="M201" s="390">
        <f>K201*0.10</f>
        <v/>
      </c>
      <c r="N201" s="390">
        <f>K201+L201+M201</f>
        <v/>
      </c>
      <c r="O201" s="390">
        <f>IF(G201&gt;0, N201/G201, 0)</f>
        <v/>
      </c>
      <c r="P201" s="391" t="n">
        <v>0.18</v>
      </c>
      <c r="Q201" s="390">
        <f>O201*(1+P201)</f>
        <v/>
      </c>
      <c r="R201" s="390">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K202*0.25</f>
        <v/>
      </c>
      <c r="M202" s="390">
        <f>K202*0.10</f>
        <v/>
      </c>
      <c r="N202" s="390">
        <f>K202+L202+M202</f>
        <v/>
      </c>
      <c r="O202" s="390">
        <f>IF(G202&gt;0, N202/G202, 0)</f>
        <v/>
      </c>
      <c r="P202" s="391" t="n">
        <v>0.18</v>
      </c>
      <c r="Q202" s="390">
        <f>O202*(1+P202)</f>
        <v/>
      </c>
      <c r="R202" s="390">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390" t="n">
        <v>3</v>
      </c>
      <c r="H203" s="390">
        <f>SUMIF('01_BOC_TACH_ONG'!B:B, B203, '01_BOC_TACH_ONG'!K:K)</f>
        <v/>
      </c>
      <c r="I203" s="390">
        <f>SUMIF('02_BOC_TACH_CUA'!B:B, B203, '02_BOC_TACH_CUA'!K:K)</f>
        <v/>
      </c>
      <c r="J203" s="390">
        <f>SUMIF('03_BOC_TACH_VAN'!B:B, B203, '03_BOC_TACH_VAN'!K:K)</f>
        <v/>
      </c>
      <c r="K203" s="390">
        <f>SUM(H203:J203)</f>
        <v/>
      </c>
      <c r="L203" s="390">
        <f>K203*0.25</f>
        <v/>
      </c>
      <c r="M203" s="390">
        <f>K203*0.10</f>
        <v/>
      </c>
      <c r="N203" s="390">
        <f>K203+L203+M203</f>
        <v/>
      </c>
      <c r="O203" s="390">
        <f>IF(G203&gt;0, N203/G203, 0)</f>
        <v/>
      </c>
      <c r="P203" s="391" t="n">
        <v>0.18</v>
      </c>
      <c r="Q203" s="390">
        <f>O203*(1+P203)</f>
        <v/>
      </c>
      <c r="R203" s="390">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390" t="n">
        <v>44</v>
      </c>
      <c r="H204" s="390">
        <f>SUMIF('01_BOC_TACH_ONG'!B:B, B204, '01_BOC_TACH_ONG'!K:K)</f>
        <v/>
      </c>
      <c r="I204" s="390">
        <f>SUMIF('02_BOC_TACH_CUA'!B:B, B204, '02_BOC_TACH_CUA'!K:K)</f>
        <v/>
      </c>
      <c r="J204" s="390">
        <f>SUMIF('03_BOC_TACH_VAN'!B:B, B204, '03_BOC_TACH_VAN'!K:K)</f>
        <v/>
      </c>
      <c r="K204" s="390">
        <f>SUM(H204:J204)</f>
        <v/>
      </c>
      <c r="L204" s="390">
        <f>K204*0.25</f>
        <v/>
      </c>
      <c r="M204" s="390">
        <f>K204*0.10</f>
        <v/>
      </c>
      <c r="N204" s="390">
        <f>K204+L204+M204</f>
        <v/>
      </c>
      <c r="O204" s="390">
        <f>IF(G204&gt;0, N204/G204, 0)</f>
        <v/>
      </c>
      <c r="P204" s="391" t="n">
        <v>0.18</v>
      </c>
      <c r="Q204" s="390">
        <f>O204*(1+P204)</f>
        <v/>
      </c>
      <c r="R204" s="390">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390" t="n">
        <v>4</v>
      </c>
      <c r="H205" s="390">
        <f>SUMIF('01_BOC_TACH_ONG'!B:B, B205, '01_BOC_TACH_ONG'!K:K)</f>
        <v/>
      </c>
      <c r="I205" s="390">
        <f>SUMIF('02_BOC_TACH_CUA'!B:B, B205, '02_BOC_TACH_CUA'!K:K)</f>
        <v/>
      </c>
      <c r="J205" s="390">
        <f>SUMIF('03_BOC_TACH_VAN'!B:B, B205, '03_BOC_TACH_VAN'!K:K)</f>
        <v/>
      </c>
      <c r="K205" s="390">
        <f>SUM(H205:J205)</f>
        <v/>
      </c>
      <c r="L205" s="390">
        <f>K205*0.25</f>
        <v/>
      </c>
      <c r="M205" s="390">
        <f>K205*0.10</f>
        <v/>
      </c>
      <c r="N205" s="390">
        <f>K205+L205+M205</f>
        <v/>
      </c>
      <c r="O205" s="390">
        <f>IF(G205&gt;0, N205/G205, 0)</f>
        <v/>
      </c>
      <c r="P205" s="391" t="n">
        <v>0.18</v>
      </c>
      <c r="Q205" s="390">
        <f>O205*(1+P205)</f>
        <v/>
      </c>
      <c r="R205" s="390">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390" t="n">
        <v>2</v>
      </c>
      <c r="H206" s="390">
        <f>SUMIF('01_BOC_TACH_ONG'!B:B, B206, '01_BOC_TACH_ONG'!K:K)</f>
        <v/>
      </c>
      <c r="I206" s="390">
        <f>SUMIF('02_BOC_TACH_CUA'!B:B, B206, '02_BOC_TACH_CUA'!K:K)</f>
        <v/>
      </c>
      <c r="J206" s="390">
        <f>SUMIF('03_BOC_TACH_VAN'!B:B, B206, '03_BOC_TACH_VAN'!K:K)</f>
        <v/>
      </c>
      <c r="K206" s="390">
        <f>SUM(H206:J206)</f>
        <v/>
      </c>
      <c r="L206" s="390">
        <f>K206*0.25</f>
        <v/>
      </c>
      <c r="M206" s="390">
        <f>K206*0.10</f>
        <v/>
      </c>
      <c r="N206" s="390">
        <f>K206+L206+M206</f>
        <v/>
      </c>
      <c r="O206" s="390">
        <f>IF(G206&gt;0, N206/G206, 0)</f>
        <v/>
      </c>
      <c r="P206" s="391" t="n">
        <v>0.18</v>
      </c>
      <c r="Q206" s="390">
        <f>O206*(1+P206)</f>
        <v/>
      </c>
      <c r="R206" s="390">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K207*0.25</f>
        <v/>
      </c>
      <c r="M207" s="390">
        <f>K207*0.10</f>
        <v/>
      </c>
      <c r="N207" s="390">
        <f>K207+L207+M207</f>
        <v/>
      </c>
      <c r="O207" s="390">
        <f>IF(G207&gt;0, N207/G207, 0)</f>
        <v/>
      </c>
      <c r="P207" s="391" t="n">
        <v>0.18</v>
      </c>
      <c r="Q207" s="390">
        <f>O207*(1+P207)</f>
        <v/>
      </c>
      <c r="R207" s="390">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390" t="n">
        <v>1</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390" t="n">
        <v>1</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390" t="n">
        <v>1</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390" t="n">
        <v>2</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390" t="n">
        <v>2</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390" t="n">
        <v>3490.998</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390" t="n">
        <v>724.48</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390" t="n">
        <v>134</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390" t="n">
        <v>42.5</v>
      </c>
      <c r="H217" s="390">
        <f>SUMIF('01_BOC_TACH_ONG'!B:B, B217, '01_BOC_TACH_ONG'!K:K)</f>
        <v/>
      </c>
      <c r="I217" s="390">
        <f>SUMIF('02_BOC_TACH_CUA'!B:B, B217, '02_BOC_TACH_CUA'!K:K)</f>
        <v/>
      </c>
      <c r="J217" s="390">
        <f>SUMIF('03_BOC_TACH_VAN'!B:B, B217, '03_BOC_TACH_VAN'!K:K)</f>
        <v/>
      </c>
      <c r="K217" s="390">
        <f>SUM(H217:J217)</f>
        <v/>
      </c>
      <c r="L217" s="390">
        <f>K217*0.00</f>
        <v/>
      </c>
      <c r="M217" s="390">
        <f>K217*0.02</f>
        <v/>
      </c>
      <c r="N217" s="390">
        <f>K217+L217+M217</f>
        <v/>
      </c>
      <c r="O217" s="390">
        <f>IF(G217&gt;0, N217/G217, 0)</f>
        <v/>
      </c>
      <c r="P217" s="391" t="n">
        <v>0.1</v>
      </c>
      <c r="Q217" s="390">
        <f>O217*(1+P217)</f>
        <v/>
      </c>
      <c r="R217" s="390">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390" t="n">
        <v>150</v>
      </c>
      <c r="H218" s="390">
        <f>SUMIF('01_BOC_TACH_ONG'!B:B, B218, '01_BOC_TACH_ONG'!K:K)</f>
        <v/>
      </c>
      <c r="I218" s="390">
        <f>SUMIF('02_BOC_TACH_CUA'!B:B, B218, '02_BOC_TACH_CUA'!K:K)</f>
        <v/>
      </c>
      <c r="J218" s="390">
        <f>SUMIF('03_BOC_TACH_VAN'!B:B, B218, '03_BOC_TACH_VAN'!K:K)</f>
        <v/>
      </c>
      <c r="K218" s="390">
        <f>SUM(H218:J218)</f>
        <v/>
      </c>
      <c r="L218" s="390">
        <f>K218*0.00</f>
        <v/>
      </c>
      <c r="M218" s="390">
        <f>K218*0.02</f>
        <v/>
      </c>
      <c r="N218" s="390">
        <f>K218+L218+M218</f>
        <v/>
      </c>
      <c r="O218" s="390">
        <f>IF(G218&gt;0, N218/G218, 0)</f>
        <v/>
      </c>
      <c r="P218" s="391" t="n">
        <v>0.1</v>
      </c>
      <c r="Q218" s="390">
        <f>O218*(1+P218)</f>
        <v/>
      </c>
      <c r="R218" s="390">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390" t="n">
        <v>1</v>
      </c>
      <c r="H219" s="390">
        <f>SUMIF('01_BOC_TACH_ONG'!B:B, B219, '01_BOC_TACH_ONG'!K:K)</f>
        <v/>
      </c>
      <c r="I219" s="390">
        <f>SUMIF('02_BOC_TACH_CUA'!B:B, B219, '02_BOC_TACH_CUA'!K:K)</f>
        <v/>
      </c>
      <c r="J219" s="390">
        <f>SUMIF('03_BOC_TACH_VAN'!B:B, B219, '03_BOC_TACH_VAN'!K:K)</f>
        <v/>
      </c>
      <c r="K219" s="390">
        <f>SUM(H219:J219)</f>
        <v/>
      </c>
      <c r="L219" s="390">
        <f>K219*0.00</f>
        <v/>
      </c>
      <c r="M219" s="390">
        <f>K219*0.02</f>
        <v/>
      </c>
      <c r="N219" s="390">
        <f>K219+L219+M219</f>
        <v/>
      </c>
      <c r="O219" s="390">
        <f>IF(G219&gt;0, N219/G219, 0)</f>
        <v/>
      </c>
      <c r="P219" s="391" t="n">
        <v>0.1</v>
      </c>
      <c r="Q219" s="390">
        <f>O219*(1+P219)</f>
        <v/>
      </c>
      <c r="R219" s="390">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390" t="n">
        <v>1630.01</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390" t="n">
        <v>153.35</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390" t="n">
        <v>200</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390" t="n">
        <v>133</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390" t="n">
        <v>1</v>
      </c>
      <c r="H224" s="390">
        <f>SUMIF('01_BOC_TACH_ONG'!B:B, B224, '01_BOC_TACH_ONG'!K:K)</f>
        <v/>
      </c>
      <c r="I224" s="390">
        <f>SUMIF('02_BOC_TACH_CUA'!B:B, B224, '02_BOC_TACH_CUA'!K:K)</f>
        <v/>
      </c>
      <c r="J224" s="390">
        <f>SUMIF('03_BOC_TACH_VAN'!B:B, B224, '03_BOC_TACH_VAN'!K:K)</f>
        <v/>
      </c>
      <c r="K224" s="390">
        <f>SUM(H224:J224)</f>
        <v/>
      </c>
      <c r="L224" s="390">
        <f>K224*0.00</f>
        <v/>
      </c>
      <c r="M224" s="390">
        <f>K224*0.02</f>
        <v/>
      </c>
      <c r="N224" s="390">
        <f>K224+L224+M224</f>
        <v/>
      </c>
      <c r="O224" s="390">
        <f>IF(G224&gt;0, N224/G224, 0)</f>
        <v/>
      </c>
      <c r="P224" s="391" t="n">
        <v>0.1</v>
      </c>
      <c r="Q224" s="390">
        <f>O224*(1+P224)</f>
        <v/>
      </c>
      <c r="R224" s="390">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390" t="n">
        <v>21</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390" t="n">
        <v>40</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390" t="n">
        <v>12</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390" t="n">
        <v>12</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390" t="n">
        <v>14</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390" t="n">
        <v>10</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390" t="n">
        <v>309</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390" t="n">
        <v>195</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390" t="n">
        <v>1</v>
      </c>
      <c r="H233" s="390">
        <f>SUMIF('01_BOC_TACH_ONG'!B:B, B233, '01_BOC_TACH_ONG'!K:K)</f>
        <v/>
      </c>
      <c r="I233" s="390">
        <f>SUMIF('02_BOC_TACH_CUA'!B:B, B233, '02_BOC_TACH_CUA'!K:K)</f>
        <v/>
      </c>
      <c r="J233" s="390">
        <f>SUMIF('03_BOC_TACH_VAN'!B:B, B233, '03_BOC_TACH_VAN'!K:K)</f>
        <v/>
      </c>
      <c r="K233" s="390">
        <f>SUM(H233:J233)</f>
        <v/>
      </c>
      <c r="L233" s="390">
        <f>K233*0.00</f>
        <v/>
      </c>
      <c r="M233" s="390">
        <f>K233*0.02</f>
        <v/>
      </c>
      <c r="N233" s="390">
        <f>K233+L233+M233</f>
        <v/>
      </c>
      <c r="O233" s="390">
        <f>IF(G233&gt;0, N233/G233, 0)</f>
        <v/>
      </c>
      <c r="P233" s="391" t="n">
        <v>0.1</v>
      </c>
      <c r="Q233" s="390">
        <f>O233*(1+P233)</f>
        <v/>
      </c>
      <c r="R233" s="390">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390" t="n">
        <v>767.5</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390" t="n">
        <v>750</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390" t="n">
        <v>19.5</v>
      </c>
      <c r="H236" s="390">
        <f>SUMIF('01_BOC_TACH_ONG'!B:B, B236, '01_BOC_TACH_ONG'!K:K)</f>
        <v/>
      </c>
      <c r="I236" s="390">
        <f>SUMIF('02_BOC_TACH_CUA'!B:B, B236, '02_BOC_TACH_CUA'!K:K)</f>
        <v/>
      </c>
      <c r="J236" s="390">
        <f>SUMIF('03_BOC_TACH_VAN'!B:B, B236, '03_BOC_TACH_VAN'!K:K)</f>
        <v/>
      </c>
      <c r="K236" s="390">
        <f>SUM(H236:J236)</f>
        <v/>
      </c>
      <c r="L236" s="390">
        <f>K236*0.00</f>
        <v/>
      </c>
      <c r="M236" s="390">
        <f>K236*0.02</f>
        <v/>
      </c>
      <c r="N236" s="390">
        <f>K236+L236+M236</f>
        <v/>
      </c>
      <c r="O236" s="390">
        <f>IF(G236&gt;0, N236/G236, 0)</f>
        <v/>
      </c>
      <c r="P236" s="391" t="n">
        <v>0.1</v>
      </c>
      <c r="Q236" s="390">
        <f>O236*(1+P236)</f>
        <v/>
      </c>
      <c r="R236" s="390">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390" t="n">
        <v>76.5</v>
      </c>
      <c r="H237" s="390">
        <f>SUMIF('01_BOC_TACH_ONG'!B:B, B237, '01_BOC_TACH_ONG'!K:K)</f>
        <v/>
      </c>
      <c r="I237" s="390">
        <f>SUMIF('02_BOC_TACH_CUA'!B:B, B237, '02_BOC_TACH_CUA'!K:K)</f>
        <v/>
      </c>
      <c r="J237" s="390">
        <f>SUMIF('03_BOC_TACH_VAN'!B:B, B237, '03_BOC_TACH_VAN'!K:K)</f>
        <v/>
      </c>
      <c r="K237" s="390">
        <f>SUM(H237:J237)</f>
        <v/>
      </c>
      <c r="L237" s="390">
        <f>K237*0.00</f>
        <v/>
      </c>
      <c r="M237" s="390">
        <f>K237*0.02</f>
        <v/>
      </c>
      <c r="N237" s="390">
        <f>K237+L237+M237</f>
        <v/>
      </c>
      <c r="O237" s="390">
        <f>IF(G237&gt;0, N237/G237, 0)</f>
        <v/>
      </c>
      <c r="P237" s="391" t="n">
        <v>0.1</v>
      </c>
      <c r="Q237" s="390">
        <f>O237*(1+P237)</f>
        <v/>
      </c>
      <c r="R237" s="390">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390" t="n">
        <v>97.5</v>
      </c>
      <c r="H238" s="390">
        <f>SUMIF('01_BOC_TACH_ONG'!B:B, B238, '01_BOC_TACH_ONG'!K:K)</f>
        <v/>
      </c>
      <c r="I238" s="390">
        <f>SUMIF('02_BOC_TACH_CUA'!B:B, B238, '02_BOC_TACH_CUA'!K:K)</f>
        <v/>
      </c>
      <c r="J238" s="390">
        <f>SUMIF('03_BOC_TACH_VAN'!B:B, B238, '03_BOC_TACH_VAN'!K:K)</f>
        <v/>
      </c>
      <c r="K238" s="390">
        <f>SUM(H238:J238)</f>
        <v/>
      </c>
      <c r="L238" s="390">
        <f>K238*0.00</f>
        <v/>
      </c>
      <c r="M238" s="390">
        <f>K238*0.02</f>
        <v/>
      </c>
      <c r="N238" s="390">
        <f>K238+L238+M238</f>
        <v/>
      </c>
      <c r="O238" s="390">
        <f>IF(G238&gt;0, N238/G238, 0)</f>
        <v/>
      </c>
      <c r="P238" s="391" t="n">
        <v>0.1</v>
      </c>
      <c r="Q238" s="390">
        <f>O238*(1+P238)</f>
        <v/>
      </c>
      <c r="R238" s="390">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390" t="n">
        <v>630</v>
      </c>
      <c r="H239" s="390">
        <f>SUMIF('01_BOC_TACH_ONG'!B:B, B239, '01_BOC_TACH_ONG'!K:K)</f>
        <v/>
      </c>
      <c r="I239" s="390">
        <f>SUMIF('02_BOC_TACH_CUA'!B:B, B239, '02_BOC_TACH_CUA'!K:K)</f>
        <v/>
      </c>
      <c r="J239" s="390">
        <f>SUMIF('03_BOC_TACH_VAN'!B:B, B239, '03_BOC_TACH_VAN'!K:K)</f>
        <v/>
      </c>
      <c r="K239" s="390">
        <f>SUM(H239:J239)</f>
        <v/>
      </c>
      <c r="L239" s="390">
        <f>K239*0.00</f>
        <v/>
      </c>
      <c r="M239" s="390">
        <f>K239*0.02</f>
        <v/>
      </c>
      <c r="N239" s="390">
        <f>K239+L239+M239</f>
        <v/>
      </c>
      <c r="O239" s="390">
        <f>IF(G239&gt;0, N239/G239, 0)</f>
        <v/>
      </c>
      <c r="P239" s="391" t="n">
        <v>0.1</v>
      </c>
      <c r="Q239" s="390">
        <f>O239*(1+P239)</f>
        <v/>
      </c>
      <c r="R239" s="390">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390" t="n">
        <v>19.5</v>
      </c>
      <c r="H240" s="390">
        <f>SUMIF('01_BOC_TACH_ONG'!B:B, B240, '01_BOC_TACH_ONG'!K:K)</f>
        <v/>
      </c>
      <c r="I240" s="390">
        <f>SUMIF('02_BOC_TACH_CUA'!B:B, B240, '02_BOC_TACH_CUA'!K:K)</f>
        <v/>
      </c>
      <c r="J240" s="390">
        <f>SUMIF('03_BOC_TACH_VAN'!B:B, B240, '03_BOC_TACH_VAN'!K:K)</f>
        <v/>
      </c>
      <c r="K240" s="390">
        <f>SUM(H240:J240)</f>
        <v/>
      </c>
      <c r="L240" s="390">
        <f>K240*0.00</f>
        <v/>
      </c>
      <c r="M240" s="390">
        <f>K240*0.02</f>
        <v/>
      </c>
      <c r="N240" s="390">
        <f>K240+L240+M240</f>
        <v/>
      </c>
      <c r="O240" s="390">
        <f>IF(G240&gt;0, N240/G240, 0)</f>
        <v/>
      </c>
      <c r="P240" s="391" t="n">
        <v>0.1</v>
      </c>
      <c r="Q240" s="390">
        <f>O240*(1+P240)</f>
        <v/>
      </c>
      <c r="R240" s="390">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390" t="n">
        <v>76.5</v>
      </c>
      <c r="H241" s="390">
        <f>SUMIF('01_BOC_TACH_ONG'!B:B, B241, '01_BOC_TACH_ONG'!K:K)</f>
        <v/>
      </c>
      <c r="I241" s="390">
        <f>SUMIF('02_BOC_TACH_CUA'!B:B, B241, '02_BOC_TACH_CUA'!K:K)</f>
        <v/>
      </c>
      <c r="J241" s="390">
        <f>SUMIF('03_BOC_TACH_VAN'!B:B, B241, '03_BOC_TACH_VAN'!K:K)</f>
        <v/>
      </c>
      <c r="K241" s="390">
        <f>SUM(H241:J241)</f>
        <v/>
      </c>
      <c r="L241" s="390">
        <f>K241*0.00</f>
        <v/>
      </c>
      <c r="M241" s="390">
        <f>K241*0.02</f>
        <v/>
      </c>
      <c r="N241" s="390">
        <f>K241+L241+M241</f>
        <v/>
      </c>
      <c r="O241" s="390">
        <f>IF(G241&gt;0, N241/G241, 0)</f>
        <v/>
      </c>
      <c r="P241" s="391" t="n">
        <v>0.1</v>
      </c>
      <c r="Q241" s="390">
        <f>O241*(1+P241)</f>
        <v/>
      </c>
      <c r="R241" s="390">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390" t="n">
        <v>97.5</v>
      </c>
      <c r="H242" s="390">
        <f>SUMIF('01_BOC_TACH_ONG'!B:B, B242, '01_BOC_TACH_ONG'!K:K)</f>
        <v/>
      </c>
      <c r="I242" s="390">
        <f>SUMIF('02_BOC_TACH_CUA'!B:B, B242, '02_BOC_TACH_CUA'!K:K)</f>
        <v/>
      </c>
      <c r="J242" s="390">
        <f>SUMIF('03_BOC_TACH_VAN'!B:B, B242, '03_BOC_TACH_VAN'!K:K)</f>
        <v/>
      </c>
      <c r="K242" s="390">
        <f>SUM(H242:J242)</f>
        <v/>
      </c>
      <c r="L242" s="390">
        <f>K242*0.00</f>
        <v/>
      </c>
      <c r="M242" s="390">
        <f>K242*0.02</f>
        <v/>
      </c>
      <c r="N242" s="390">
        <f>K242+L242+M242</f>
        <v/>
      </c>
      <c r="O242" s="390">
        <f>IF(G242&gt;0, N242/G242, 0)</f>
        <v/>
      </c>
      <c r="P242" s="391" t="n">
        <v>0.1</v>
      </c>
      <c r="Q242" s="390">
        <f>O242*(1+P242)</f>
        <v/>
      </c>
      <c r="R242" s="390">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390" t="n">
        <v>438</v>
      </c>
      <c r="H243" s="390">
        <f>SUMIF('01_BOC_TACH_ONG'!B:B, B243, '01_BOC_TACH_ONG'!K:K)</f>
        <v/>
      </c>
      <c r="I243" s="390">
        <f>SUMIF('02_BOC_TACH_CUA'!B:B, B243, '02_BOC_TACH_CUA'!K:K)</f>
        <v/>
      </c>
      <c r="J243" s="390">
        <f>SUMIF('03_BOC_TACH_VAN'!B:B, B243, '03_BOC_TACH_VAN'!K:K)</f>
        <v/>
      </c>
      <c r="K243" s="390">
        <f>SUM(H243:J243)</f>
        <v/>
      </c>
      <c r="L243" s="390">
        <f>K243*0.00</f>
        <v/>
      </c>
      <c r="M243" s="390">
        <f>K243*0.02</f>
        <v/>
      </c>
      <c r="N243" s="390">
        <f>K243+L243+M243</f>
        <v/>
      </c>
      <c r="O243" s="390">
        <f>IF(G243&gt;0, N243/G243, 0)</f>
        <v/>
      </c>
      <c r="P243" s="391" t="n">
        <v>0.1</v>
      </c>
      <c r="Q243" s="390">
        <f>O243*(1+P243)</f>
        <v/>
      </c>
      <c r="R243" s="390">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390" t="n">
        <v>1</v>
      </c>
      <c r="H244" s="390">
        <f>SUMIF('01_BOC_TACH_ONG'!B:B, B244, '01_BOC_TACH_ONG'!K:K)</f>
        <v/>
      </c>
      <c r="I244" s="390">
        <f>SUMIF('02_BOC_TACH_CUA'!B:B, B244, '02_BOC_TACH_CUA'!K:K)</f>
        <v/>
      </c>
      <c r="J244" s="390">
        <f>SUMIF('03_BOC_TACH_VAN'!B:B, B244, '03_BOC_TACH_VAN'!K:K)</f>
        <v/>
      </c>
      <c r="K244" s="390">
        <f>SUM(H244:J244)</f>
        <v/>
      </c>
      <c r="L244" s="390">
        <f>K244*0.00</f>
        <v/>
      </c>
      <c r="M244" s="390">
        <f>K244*0.02</f>
        <v/>
      </c>
      <c r="N244" s="390">
        <f>K244+L244+M244</f>
        <v/>
      </c>
      <c r="O244" s="390">
        <f>IF(G244&gt;0, N244/G244, 0)</f>
        <v/>
      </c>
      <c r="P244" s="391" t="n">
        <v>0.1</v>
      </c>
      <c r="Q244" s="390">
        <f>O244*(1+P244)</f>
        <v/>
      </c>
      <c r="R244" s="390">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390" t="n">
        <v>1</v>
      </c>
      <c r="H245" s="390">
        <f>SUMIF('01_BOC_TACH_ONG'!B:B, B245, '01_BOC_TACH_ONG'!K:K)</f>
        <v/>
      </c>
      <c r="I245" s="390">
        <f>SUMIF('02_BOC_TACH_CUA'!B:B, B245, '02_BOC_TACH_CUA'!K:K)</f>
        <v/>
      </c>
      <c r="J245" s="390">
        <f>SUMIF('03_BOC_TACH_VAN'!B:B, B245, '03_BOC_TACH_VAN'!K:K)</f>
        <v/>
      </c>
      <c r="K245" s="390">
        <f>SUM(H245:J245)</f>
        <v/>
      </c>
      <c r="L245" s="390">
        <f>K245*0.00</f>
        <v/>
      </c>
      <c r="M245" s="390">
        <f>K245*0.02</f>
        <v/>
      </c>
      <c r="N245" s="390">
        <f>K245+L245+M245</f>
        <v/>
      </c>
      <c r="O245" s="390">
        <f>IF(G245&gt;0, N245/G245, 0)</f>
        <v/>
      </c>
      <c r="P245" s="391" t="n">
        <v>0.1</v>
      </c>
      <c r="Q245" s="390">
        <f>O245*(1+P245)</f>
        <v/>
      </c>
      <c r="R245" s="390">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390" t="n">
        <v>10</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390" t="n">
        <v>4</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390" t="n">
        <v>22</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390" t="n">
        <v>22</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390" t="n">
        <v>30</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390" t="n">
        <v>12</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390" t="n">
        <v>10</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390" t="n">
        <v>20</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390" t="n">
        <v>5</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390" t="n">
        <v>3</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390" t="n">
        <v>8</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390" t="n">
        <v>3</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390" t="n">
        <v>5</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390" t="n">
        <v>4</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390" t="n">
        <v>1</v>
      </c>
      <c r="H261" s="390">
        <f>SUMIF('01_BOC_TACH_ONG'!B:B, B261, '01_BOC_TACH_ONG'!K:K)</f>
        <v/>
      </c>
      <c r="I261" s="390">
        <f>SUMIF('02_BOC_TACH_CUA'!B:B, B261, '02_BOC_TACH_CUA'!K:K)</f>
        <v/>
      </c>
      <c r="J261" s="390">
        <f>SUMIF('03_BOC_TACH_VAN'!B:B, B261, '03_BOC_TACH_VAN'!K:K)</f>
        <v/>
      </c>
      <c r="K261" s="390">
        <f>SUM(H261:J261)</f>
        <v/>
      </c>
      <c r="L261" s="390">
        <f>K261*0.00</f>
        <v/>
      </c>
      <c r="M261" s="390">
        <f>K261*0.02</f>
        <v/>
      </c>
      <c r="N261" s="390">
        <f>K261+L261+M261</f>
        <v/>
      </c>
      <c r="O261" s="390">
        <f>IF(G261&gt;0, N261/G261, 0)</f>
        <v/>
      </c>
      <c r="P261" s="391" t="n">
        <v>0.1</v>
      </c>
      <c r="Q261" s="390">
        <f>O261*(1+P261)</f>
        <v/>
      </c>
      <c r="R261" s="390">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390" t="n">
        <v>21</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390" t="n">
        <v>21</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390" t="n">
        <v>40</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390" t="n">
        <v>12</v>
      </c>
      <c r="H265" s="390">
        <f>SUMIF('01_BOC_TACH_ONG'!B:B, B265, '01_BOC_TACH_ONG'!K:K)</f>
        <v/>
      </c>
      <c r="I265" s="390">
        <f>SUMIF('02_BOC_TACH_CUA'!B:B, B265, '02_BOC_TACH_CUA'!K:K)</f>
        <v/>
      </c>
      <c r="J265" s="390">
        <f>SUMIF('03_BOC_TACH_VAN'!B:B, B265, '03_BOC_TACH_VAN'!K:K)</f>
        <v/>
      </c>
      <c r="K265" s="390">
        <f>SUM(H265:J265)</f>
        <v/>
      </c>
      <c r="L265" s="390">
        <f>K265*0.25</f>
        <v/>
      </c>
      <c r="M265" s="390">
        <f>K265*0.10</f>
        <v/>
      </c>
      <c r="N265" s="390">
        <f>K265+L265+M265</f>
        <v/>
      </c>
      <c r="O265" s="390">
        <f>IF(G265&gt;0, N265/G265, 0)</f>
        <v/>
      </c>
      <c r="P265" s="391" t="n">
        <v>0.18</v>
      </c>
      <c r="Q265" s="390">
        <f>O265*(1+P265)</f>
        <v/>
      </c>
      <c r="R265" s="390">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390" t="n">
        <v>12</v>
      </c>
      <c r="H266" s="390">
        <f>SUMIF('01_BOC_TACH_ONG'!B:B, B266, '01_BOC_TACH_ONG'!K:K)</f>
        <v/>
      </c>
      <c r="I266" s="390">
        <f>SUMIF('02_BOC_TACH_CUA'!B:B, B266, '02_BOC_TACH_CUA'!K:K)</f>
        <v/>
      </c>
      <c r="J266" s="390">
        <f>SUMIF('03_BOC_TACH_VAN'!B:B, B266, '03_BOC_TACH_VAN'!K:K)</f>
        <v/>
      </c>
      <c r="K266" s="390">
        <f>SUM(H266:J266)</f>
        <v/>
      </c>
      <c r="L266" s="390">
        <f>K266*0.25</f>
        <v/>
      </c>
      <c r="M266" s="390">
        <f>K266*0.10</f>
        <v/>
      </c>
      <c r="N266" s="390">
        <f>K266+L266+M266</f>
        <v/>
      </c>
      <c r="O266" s="390">
        <f>IF(G266&gt;0, N266/G266, 0)</f>
        <v/>
      </c>
      <c r="P266" s="391" t="n">
        <v>0.18</v>
      </c>
      <c r="Q266" s="390">
        <f>O266*(1+P266)</f>
        <v/>
      </c>
      <c r="R266" s="390">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390" t="n">
        <v>14</v>
      </c>
      <c r="H267" s="390">
        <f>SUMIF('01_BOC_TACH_ONG'!B:B, B267, '01_BOC_TACH_ONG'!K:K)</f>
        <v/>
      </c>
      <c r="I267" s="390">
        <f>SUMIF('02_BOC_TACH_CUA'!B:B, B267, '02_BOC_TACH_CUA'!K:K)</f>
        <v/>
      </c>
      <c r="J267" s="390">
        <f>SUMIF('03_BOC_TACH_VAN'!B:B, B267, '03_BOC_TACH_VAN'!K:K)</f>
        <v/>
      </c>
      <c r="K267" s="390">
        <f>SUM(H267:J267)</f>
        <v/>
      </c>
      <c r="L267" s="390">
        <f>K267*0.25</f>
        <v/>
      </c>
      <c r="M267" s="390">
        <f>K267*0.10</f>
        <v/>
      </c>
      <c r="N267" s="390">
        <f>K267+L267+M267</f>
        <v/>
      </c>
      <c r="O267" s="390">
        <f>IF(G267&gt;0, N267/G267, 0)</f>
        <v/>
      </c>
      <c r="P267" s="391" t="n">
        <v>0.18</v>
      </c>
      <c r="Q267" s="390">
        <f>O267*(1+P267)</f>
        <v/>
      </c>
      <c r="R267" s="390">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390" t="n">
        <v>10</v>
      </c>
      <c r="H268" s="390">
        <f>SUMIF('01_BOC_TACH_ONG'!B:B, B268, '01_BOC_TACH_ONG'!K:K)</f>
        <v/>
      </c>
      <c r="I268" s="390">
        <f>SUMIF('02_BOC_TACH_CUA'!B:B, B268, '02_BOC_TACH_CUA'!K:K)</f>
        <v/>
      </c>
      <c r="J268" s="390">
        <f>SUMIF('03_BOC_TACH_VAN'!B:B, B268, '03_BOC_TACH_VAN'!K:K)</f>
        <v/>
      </c>
      <c r="K268" s="390">
        <f>SUM(H268:J268)</f>
        <v/>
      </c>
      <c r="L268" s="390">
        <f>K268*0.25</f>
        <v/>
      </c>
      <c r="M268" s="390">
        <f>K268*0.10</f>
        <v/>
      </c>
      <c r="N268" s="390">
        <f>K268+L268+M268</f>
        <v/>
      </c>
      <c r="O268" s="390">
        <f>IF(G268&gt;0, N268/G268, 0)</f>
        <v/>
      </c>
      <c r="P268" s="391" t="n">
        <v>0.18</v>
      </c>
      <c r="Q268" s="390">
        <f>O268*(1+P268)</f>
        <v/>
      </c>
      <c r="R268" s="390">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390" t="n">
        <v>291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390" t="n">
        <v>38</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390" t="n">
        <v>46</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390" t="n">
        <v>148</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390" t="n">
        <v>12</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390" t="n">
        <v>12</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390" t="n">
        <v>20</v>
      </c>
      <c r="H275" s="390">
        <f>SUMIF('01_BOC_TACH_ONG'!B:B, B275, '01_BOC_TACH_ONG'!K:K)</f>
        <v/>
      </c>
      <c r="I275" s="390">
        <f>SUMIF('02_BOC_TACH_CUA'!B:B, B275, '02_BOC_TACH_CUA'!K:K)</f>
        <v/>
      </c>
      <c r="J275" s="390">
        <f>SUMIF('03_BOC_TACH_VAN'!B:B, B275, '03_BOC_TACH_VAN'!K:K)</f>
        <v/>
      </c>
      <c r="K275" s="390">
        <f>SUM(H275:J275)</f>
        <v/>
      </c>
      <c r="L275" s="390">
        <f>K275*0.25</f>
        <v/>
      </c>
      <c r="M275" s="390">
        <f>K275*0.10</f>
        <v/>
      </c>
      <c r="N275" s="390">
        <f>K275+L275+M275</f>
        <v/>
      </c>
      <c r="O275" s="390">
        <f>IF(G275&gt;0, N275/G275, 0)</f>
        <v/>
      </c>
      <c r="P275" s="391" t="n">
        <v>0.18</v>
      </c>
      <c r="Q275" s="390">
        <f>O275*(1+P275)</f>
        <v/>
      </c>
      <c r="R275" s="390">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390" t="n">
        <v>9</v>
      </c>
      <c r="H276" s="390">
        <f>SUMIF('01_BOC_TACH_ONG'!B:B, B276, '01_BOC_TACH_ONG'!K:K)</f>
        <v/>
      </c>
      <c r="I276" s="390">
        <f>SUMIF('02_BOC_TACH_CUA'!B:B, B276, '02_BOC_TACH_CUA'!K:K)</f>
        <v/>
      </c>
      <c r="J276" s="390">
        <f>SUMIF('03_BOC_TACH_VAN'!B:B, B276, '03_BOC_TACH_VAN'!K:K)</f>
        <v/>
      </c>
      <c r="K276" s="390">
        <f>SUM(H276:J276)</f>
        <v/>
      </c>
      <c r="L276" s="390">
        <f>K276*0.25</f>
        <v/>
      </c>
      <c r="M276" s="390">
        <f>K276*0.10</f>
        <v/>
      </c>
      <c r="N276" s="390">
        <f>K276+L276+M276</f>
        <v/>
      </c>
      <c r="O276" s="390">
        <f>IF(G276&gt;0, N276/G276, 0)</f>
        <v/>
      </c>
      <c r="P276" s="391" t="n">
        <v>0.18</v>
      </c>
      <c r="Q276" s="390">
        <f>O276*(1+P276)</f>
        <v/>
      </c>
      <c r="R276" s="390">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390" t="n">
        <v>6</v>
      </c>
      <c r="H277" s="390">
        <f>SUMIF('01_BOC_TACH_ONG'!B:B, B277, '01_BOC_TACH_ONG'!K:K)</f>
        <v/>
      </c>
      <c r="I277" s="390">
        <f>SUMIF('02_BOC_TACH_CUA'!B:B, B277, '02_BOC_TACH_CUA'!K:K)</f>
        <v/>
      </c>
      <c r="J277" s="390">
        <f>SUMIF('03_BOC_TACH_VAN'!B:B, B277, '03_BOC_TACH_VAN'!K:K)</f>
        <v/>
      </c>
      <c r="K277" s="390">
        <f>SUM(H277:J277)</f>
        <v/>
      </c>
      <c r="L277" s="390">
        <f>K277*0.25</f>
        <v/>
      </c>
      <c r="M277" s="390">
        <f>K277*0.10</f>
        <v/>
      </c>
      <c r="N277" s="390">
        <f>K277+L277+M277</f>
        <v/>
      </c>
      <c r="O277" s="390">
        <f>IF(G277&gt;0, N277/G277, 0)</f>
        <v/>
      </c>
      <c r="P277" s="391" t="n">
        <v>0.18</v>
      </c>
      <c r="Q277" s="390">
        <f>O277*(1+P277)</f>
        <v/>
      </c>
      <c r="R277" s="390">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390" t="n">
        <v>1</v>
      </c>
      <c r="H278" s="390">
        <f>SUMIF('01_BOC_TACH_ONG'!B:B, B278, '01_BOC_TACH_ONG'!K:K)</f>
        <v/>
      </c>
      <c r="I278" s="390">
        <f>SUMIF('02_BOC_TACH_CUA'!B:B, B278, '02_BOC_TACH_CUA'!K:K)</f>
        <v/>
      </c>
      <c r="J278" s="390">
        <f>SUMIF('03_BOC_TACH_VAN'!B:B, B278, '03_BOC_TACH_VAN'!K:K)</f>
        <v/>
      </c>
      <c r="K278" s="390">
        <f>SUM(H278:J278)</f>
        <v/>
      </c>
      <c r="L278" s="390">
        <f>K278*0.00</f>
        <v/>
      </c>
      <c r="M278" s="390">
        <f>K278*0.02</f>
        <v/>
      </c>
      <c r="N278" s="390">
        <f>K278+L278+M278</f>
        <v/>
      </c>
      <c r="O278" s="390">
        <f>IF(G278&gt;0, N278/G278, 0)</f>
        <v/>
      </c>
      <c r="P278" s="391" t="n">
        <v>0.1</v>
      </c>
      <c r="Q278" s="390">
        <f>O278*(1+P278)</f>
        <v/>
      </c>
      <c r="R278" s="390">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390" t="n">
        <v>1124.6</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390" t="n">
        <v>60</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390" t="n">
        <v>114</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390" t="n">
        <v>1204</v>
      </c>
      <c r="H282" s="390">
        <f>SUMIF('01_BOC_TACH_ONG'!B:B, B282, '01_BOC_TACH_ONG'!K:K)</f>
        <v/>
      </c>
      <c r="I282" s="390">
        <f>SUMIF('02_BOC_TACH_CUA'!B:B, B282, '02_BOC_TACH_CUA'!K:K)</f>
        <v/>
      </c>
      <c r="J282" s="390">
        <f>SUMIF('03_BOC_TACH_VAN'!B:B, B282, '03_BOC_TACH_VAN'!K:K)</f>
        <v/>
      </c>
      <c r="K282" s="390">
        <f>SUM(H282:J282)</f>
        <v/>
      </c>
      <c r="L282" s="390">
        <f>K282*0.00</f>
        <v/>
      </c>
      <c r="M282" s="390">
        <f>K282*0.02</f>
        <v/>
      </c>
      <c r="N282" s="390">
        <f>K282+L282+M282</f>
        <v/>
      </c>
      <c r="O282" s="390">
        <f>IF(G282&gt;0, N282/G282, 0)</f>
        <v/>
      </c>
      <c r="P282" s="391" t="n">
        <v>0.1</v>
      </c>
      <c r="Q282" s="390">
        <f>O282*(1+P282)</f>
        <v/>
      </c>
      <c r="R282" s="390">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390" t="n">
        <v>488</v>
      </c>
      <c r="H283" s="390">
        <f>SUMIF('01_BOC_TACH_ONG'!B:B, B283, '01_BOC_TACH_ONG'!K:K)</f>
        <v/>
      </c>
      <c r="I283" s="390">
        <f>SUMIF('02_BOC_TACH_CUA'!B:B, B283, '02_BOC_TACH_CUA'!K:K)</f>
        <v/>
      </c>
      <c r="J283" s="390">
        <f>SUMIF('03_BOC_TACH_VAN'!B:B, B283, '03_BOC_TACH_VAN'!K:K)</f>
        <v/>
      </c>
      <c r="K283" s="390">
        <f>SUM(H283:J283)</f>
        <v/>
      </c>
      <c r="L283" s="390">
        <f>K283*0.00</f>
        <v/>
      </c>
      <c r="M283" s="390">
        <f>K283*0.02</f>
        <v/>
      </c>
      <c r="N283" s="390">
        <f>K283+L283+M283</f>
        <v/>
      </c>
      <c r="O283" s="390">
        <f>IF(G283&gt;0, N283/G283, 0)</f>
        <v/>
      </c>
      <c r="P283" s="391" t="n">
        <v>0.1</v>
      </c>
      <c r="Q283" s="390">
        <f>O283*(1+P283)</f>
        <v/>
      </c>
      <c r="R283" s="390">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390" t="n">
        <v>1</v>
      </c>
      <c r="H284" s="390">
        <f>SUMIF('01_BOC_TACH_ONG'!B:B, B284, '01_BOC_TACH_ONG'!K:K)</f>
        <v/>
      </c>
      <c r="I284" s="390">
        <f>SUMIF('02_BOC_TACH_CUA'!B:B, B284, '02_BOC_TACH_CUA'!K:K)</f>
        <v/>
      </c>
      <c r="J284" s="390">
        <f>SUMIF('03_BOC_TACH_VAN'!B:B, B284, '03_BOC_TACH_VAN'!K:K)</f>
        <v/>
      </c>
      <c r="K284" s="390">
        <f>SUM(H284:J284)</f>
        <v/>
      </c>
      <c r="L284" s="390">
        <f>K284*0.00</f>
        <v/>
      </c>
      <c r="M284" s="390">
        <f>K284*0.02</f>
        <v/>
      </c>
      <c r="N284" s="390">
        <f>K284+L284+M284</f>
        <v/>
      </c>
      <c r="O284" s="390">
        <f>IF(G284&gt;0, N284/G284, 0)</f>
        <v/>
      </c>
      <c r="P284" s="391" t="n">
        <v>0.1</v>
      </c>
      <c r="Q284" s="390">
        <f>O284*(1+P284)</f>
        <v/>
      </c>
      <c r="R284" s="390">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390" t="n">
        <v>1</v>
      </c>
      <c r="H285" s="390">
        <f>SUMIF('01_BOC_TACH_ONG'!B:B, B285, '01_BOC_TACH_ONG'!K:K)</f>
        <v/>
      </c>
      <c r="I285" s="390">
        <f>SUMIF('02_BOC_TACH_CUA'!B:B, B285, '02_BOC_TACH_CUA'!K:K)</f>
        <v/>
      </c>
      <c r="J285" s="390">
        <f>SUMIF('03_BOC_TACH_VAN'!B:B, B285, '03_BOC_TACH_VAN'!K:K)</f>
        <v/>
      </c>
      <c r="K285" s="390">
        <f>SUM(H285:J285)</f>
        <v/>
      </c>
      <c r="L285" s="390">
        <f>K285*0.00</f>
        <v/>
      </c>
      <c r="M285" s="390">
        <f>K285*0.02</f>
        <v/>
      </c>
      <c r="N285" s="390">
        <f>K285+L285+M285</f>
        <v/>
      </c>
      <c r="O285" s="390">
        <f>IF(G285&gt;0, N285/G285, 0)</f>
        <v/>
      </c>
      <c r="P285" s="391" t="n">
        <v>0.1</v>
      </c>
      <c r="Q285" s="390">
        <f>O285*(1+P285)</f>
        <v/>
      </c>
      <c r="R285" s="390">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390" t="n">
        <v>1</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390" t="n">
        <v>1</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390" t="n">
        <v>1</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s="392" t="inlineStr">
        <is>
          <t>TỔNG CỘNG</t>
        </is>
      </c>
      <c r="H289" s="393">
        <f>SUM(H2:H288)</f>
        <v/>
      </c>
      <c r="I289" s="393">
        <f>SUM(I2:I288)</f>
        <v/>
      </c>
      <c r="J289" s="393">
        <f>SUM(J2:J288)</f>
        <v/>
      </c>
      <c r="K289" s="393">
        <f>SUM(K2:K288)</f>
        <v/>
      </c>
      <c r="L289" s="393">
        <f>SUM(L2:L288)</f>
        <v/>
      </c>
      <c r="M289" s="393">
        <f>SUM(M2:M288)</f>
        <v/>
      </c>
      <c r="N289" s="393">
        <f>SUM(N2:N288)</f>
        <v/>
      </c>
      <c r="R289" s="393">
        <f>SUM(R2:R288)</f>
        <v/>
      </c>
    </row>
  </sheetData>
  <mergeCells count="1">
    <mergeCell ref="A289:F28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394" t="n">
        <v>0.7539822368615503</v>
      </c>
      <c r="H2" s="390">
        <f>IFERROR(INDEX('00_TONG_HOP_BAO_GIA'!$G$1:$G$5000, MATCH(B2, '00_TONG_HOP_BAO_GIA'!$B$1:$B$5000, 0)), 1)</f>
        <v/>
      </c>
      <c r="I2" s="395">
        <f>G2*H2</f>
        <v/>
      </c>
      <c r="J2" s="390">
        <f>IFERROR(INDEX('06_BANG_GIA_VAT_TU_AP_DUNG'!$E$1:$E$5000, MATCH(E2, '06_BANG_GIA_VAT_TU_AP_DUNG'!$B$1:$B$5000, 0)), 0)</f>
        <v/>
      </c>
      <c r="K2" s="390">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394" t="n">
        <v>1.573403848697376</v>
      </c>
      <c r="H3" s="390">
        <f>IFERROR(INDEX('00_TONG_HOP_BAO_GIA'!$G$1:$G$5000, MATCH(B3, '00_TONG_HOP_BAO_GIA'!$B$1:$B$5000, 0)), 1)</f>
        <v/>
      </c>
      <c r="I3" s="395">
        <f>G3*H3</f>
        <v/>
      </c>
      <c r="J3" s="390">
        <f>IFERROR(INDEX('06_BANG_GIA_VAT_TU_AP_DUNG'!$E$1:$E$5000, MATCH(E3, '06_BANG_GIA_VAT_TU_AP_DUNG'!$B$1:$B$5000, 0)), 0)</f>
        <v/>
      </c>
      <c r="K3" s="390">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394" t="n">
        <v>0.6785840131753953</v>
      </c>
      <c r="H4" s="390">
        <f>IFERROR(INDEX('00_TONG_HOP_BAO_GIA'!$G$1:$G$5000, MATCH(B4, '00_TONG_HOP_BAO_GIA'!$B$1:$B$5000, 0)), 1)</f>
        <v/>
      </c>
      <c r="I4" s="395">
        <f>G4*H4</f>
        <v/>
      </c>
      <c r="J4" s="390">
        <f>IFERROR(INDEX('06_BANG_GIA_VAT_TU_AP_DUNG'!$E$1:$E$5000, MATCH(E4, '06_BANG_GIA_VAT_TU_AP_DUNG'!$B$1:$B$5000, 0)), 0)</f>
        <v/>
      </c>
      <c r="K4" s="390">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394" t="n">
        <v>1.416063463827638</v>
      </c>
      <c r="H5" s="390">
        <f>IFERROR(INDEX('00_TONG_HOP_BAO_GIA'!$G$1:$G$5000, MATCH(B5, '00_TONG_HOP_BAO_GIA'!$B$1:$B$5000, 0)), 1)</f>
        <v/>
      </c>
      <c r="I5" s="395">
        <f>G5*H5</f>
        <v/>
      </c>
      <c r="J5" s="390">
        <f>IFERROR(INDEX('06_BANG_GIA_VAT_TU_AP_DUNG'!$E$1:$E$5000, MATCH(E5, '06_BANG_GIA_VAT_TU_AP_DUNG'!$B$1:$B$5000, 0)), 0)</f>
        <v/>
      </c>
      <c r="K5" s="390">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394" t="n">
        <v>0.6031857894892403</v>
      </c>
      <c r="H6" s="390">
        <f>IFERROR(INDEX('00_TONG_HOP_BAO_GIA'!$G$1:$G$5000, MATCH(B6, '00_TONG_HOP_BAO_GIA'!$B$1:$B$5000, 0)), 1)</f>
        <v/>
      </c>
      <c r="I6" s="395">
        <f>G6*H6</f>
        <v/>
      </c>
      <c r="J6" s="390">
        <f>IFERROR(INDEX('06_BANG_GIA_VAT_TU_AP_DUNG'!$E$1:$E$5000, MATCH(E6, '06_BANG_GIA_VAT_TU_AP_DUNG'!$B$1:$B$5000, 0)), 0)</f>
        <v/>
      </c>
      <c r="K6" s="390">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394" t="n">
        <v>1.258723078957901</v>
      </c>
      <c r="H7" s="390">
        <f>IFERROR(INDEX('00_TONG_HOP_BAO_GIA'!$G$1:$G$5000, MATCH(B7, '00_TONG_HOP_BAO_GIA'!$B$1:$B$5000, 0)), 1)</f>
        <v/>
      </c>
      <c r="I7" s="395">
        <f>G7*H7</f>
        <v/>
      </c>
      <c r="J7" s="390">
        <f>IFERROR(INDEX('06_BANG_GIA_VAT_TU_AP_DUNG'!$E$1:$E$5000, MATCH(E7, '06_BANG_GIA_VAT_TU_AP_DUNG'!$B$1:$B$5000, 0)), 0)</f>
        <v/>
      </c>
      <c r="K7" s="390">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394" t="n">
        <v>0.5353273881717008</v>
      </c>
      <c r="H8" s="390">
        <f>IFERROR(INDEX('00_TONG_HOP_BAO_GIA'!$G$1:$G$5000, MATCH(B8, '00_TONG_HOP_BAO_GIA'!$B$1:$B$5000, 0)), 1)</f>
        <v/>
      </c>
      <c r="I8" s="395">
        <f>G8*H8</f>
        <v/>
      </c>
      <c r="J8" s="390">
        <f>IFERROR(INDEX('06_BANG_GIA_VAT_TU_AP_DUNG'!$E$1:$E$5000, MATCH(E8, '06_BANG_GIA_VAT_TU_AP_DUNG'!$B$1:$B$5000, 0)), 0)</f>
        <v/>
      </c>
      <c r="K8" s="390">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394" t="n">
        <v>1.117116732575137</v>
      </c>
      <c r="H9" s="390">
        <f>IFERROR(INDEX('00_TONG_HOP_BAO_GIA'!$G$1:$G$5000, MATCH(B9, '00_TONG_HOP_BAO_GIA'!$B$1:$B$5000, 0)), 1)</f>
        <v/>
      </c>
      <c r="I9" s="395">
        <f>G9*H9</f>
        <v/>
      </c>
      <c r="J9" s="390">
        <f>IFERROR(INDEX('06_BANG_GIA_VAT_TU_AP_DUNG'!$E$1:$E$5000, MATCH(E9, '06_BANG_GIA_VAT_TU_AP_DUNG'!$B$1:$B$5000, 0)), 0)</f>
        <v/>
      </c>
      <c r="K9" s="390">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394" t="n">
        <v>0.4222300526424682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394" t="n">
        <v>0.8811061552705307</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394" t="n">
        <v>0.7539822368615503</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394" t="n">
        <v>1.573403848697376</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394" t="n">
        <v>0.4222300526424682</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394" t="n">
        <v>0.8811061552705307</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394" t="n">
        <v>3.345365812499999</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394" t="n">
        <v>6.635889562499999</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394" t="n">
        <v>4.807820812499999</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394" t="n">
        <v>6.676425</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394" t="n">
        <v>8.456805000000001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394" t="n">
        <v>10.237185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394" t="n">
        <v>10.237185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394" t="n">
        <v>1</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394" t="n">
        <v>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394" t="n">
        <v>6.676425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394" t="n">
        <v>8.456805000000001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394" t="n">
        <v>10.237185</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394" t="n">
        <v>10.237185</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394" t="n">
        <v>5.235949999999999</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394" t="n">
        <v>1.1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394" t="n">
        <v>1.1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394" t="n">
        <v>1.1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Bọc mặt trong</t>
        </is>
      </c>
    </row>
    <row r="41">
      <c r="A41" t="inlineStr">
        <is>
          <t>SW-TRD-145-TM</t>
        </is>
      </c>
      <c r="B41" t="inlineStr">
        <is>
          <t>SW-TRD-145</t>
        </is>
      </c>
      <c r="C41" t="inlineStr">
        <is>
          <t>HỆ THỐNG CẤP GIÓ TƯƠI, GIÓ BÙ Cửa sổ cấp bù gió khi có cháy 1.5m2</t>
        </is>
      </c>
      <c r="D41" t="inlineStr">
        <is>
          <t>THUONG_MAI</t>
        </is>
      </c>
      <c r="E41" t="inlineStr">
        <is>
          <t>MAT-THUONG_MAI-CUA_SO_CAP_BU_GIO_KHI_CO_CHAY_1_5M2</t>
        </is>
      </c>
      <c r="F41" t="inlineStr">
        <is>
          <t>Cái</t>
        </is>
      </c>
      <c r="G41" s="394" t="n">
        <v>1</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Hàng thương mại mua ngoài</t>
        </is>
      </c>
    </row>
    <row r="42">
      <c r="A42" t="inlineStr">
        <is>
          <t>SW-TRD-146-TM</t>
        </is>
      </c>
      <c r="B42" t="inlineStr">
        <is>
          <t>SW-TRD-146</t>
        </is>
      </c>
      <c r="C42" t="inlineStr">
        <is>
          <t>HỆ THỐNG CẤP GIÓ TƯƠI, GIÓ BÙ Cửa sổ cấp bù gió khi có cháy 0.8m2</t>
        </is>
      </c>
      <c r="D42" t="inlineStr">
        <is>
          <t>THUONG_MAI</t>
        </is>
      </c>
      <c r="E42" t="inlineStr">
        <is>
          <t>MAT-THUONG_MAI-CUA_SO_CAP_BU_GIO_KHI_CO_CHAY_0_8M2</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Hàng thương mại mua ngoài</t>
        </is>
      </c>
    </row>
    <row r="43">
      <c r="A43" t="inlineStr">
        <is>
          <t>SW-TRD-147-TM</t>
        </is>
      </c>
      <c r="B43" t="inlineStr">
        <is>
          <t>SW-TRD-147</t>
        </is>
      </c>
      <c r="C43" t="inlineStr">
        <is>
          <t>HỆ THỐNG CẤP GIÓ TƯƠI, GIÓ BÙ Cửa sổ cấp bù gió khi có cháy 0.75m2</t>
        </is>
      </c>
      <c r="D43" t="inlineStr">
        <is>
          <t>THUONG_MAI</t>
        </is>
      </c>
      <c r="E43" t="inlineStr">
        <is>
          <t>MAT-THUONG_MAI-CUA_SO_CAP_BU_GIO_KHI_CO_CHAY_0FA1</t>
        </is>
      </c>
      <c r="F43" t="inlineStr">
        <is>
          <t>Cái</t>
        </is>
      </c>
      <c r="G43" s="394" t="n">
        <v>1</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Hàng thương mại mua ngoài</t>
        </is>
      </c>
    </row>
    <row r="44">
      <c r="A44" t="inlineStr">
        <is>
          <t>SW-DUCT-158-BODY</t>
        </is>
      </c>
      <c r="B44" t="inlineStr">
        <is>
          <t>SW-DUCT-158</t>
        </is>
      </c>
      <c r="C44" t="inlineStr">
        <is>
          <t>Tôn mạ kẽm PN (0.58mm) - Định mức m²</t>
        </is>
      </c>
      <c r="D44" t="inlineStr">
        <is>
          <t>TÔN_CUỘN_MẠ_KẼM</t>
        </is>
      </c>
      <c r="E44" t="inlineStr">
        <is>
          <t>MAT-STEEL-PN-0.58</t>
        </is>
      </c>
      <c r="F44" t="inlineStr">
        <is>
          <t>kg</t>
        </is>
      </c>
      <c r="G44" s="394" t="n">
        <v>5.163101999999999</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Định mức tôn cho 1m² ống: phôi x1.08, hao hụt x1.05</t>
        </is>
      </c>
    </row>
    <row r="45">
      <c r="A45" t="inlineStr">
        <is>
          <t>SW-DUCT-159-BODY</t>
        </is>
      </c>
      <c r="B45" t="inlineStr">
        <is>
          <t>SW-DUCT-159</t>
        </is>
      </c>
      <c r="C45" t="inlineStr">
        <is>
          <t>Tôn mạ kẽm PN (0.75mm) - Định mức m²</t>
        </is>
      </c>
      <c r="D45" t="inlineStr">
        <is>
          <t>TÔN_CUỘN_MẠ_KẼM</t>
        </is>
      </c>
      <c r="E45" t="inlineStr">
        <is>
          <t>MAT-STEEL-PN-0.75</t>
        </is>
      </c>
      <c r="F45" t="inlineStr">
        <is>
          <t>kg</t>
        </is>
      </c>
      <c r="G45" s="394" t="n">
        <v>6.676425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Định mức tôn cho 1m² ống: phôi x1.08, hao hụt x1.05</t>
        </is>
      </c>
    </row>
    <row r="46">
      <c r="A46" t="inlineStr">
        <is>
          <t>SW-DUCT-160-BODY</t>
        </is>
      </c>
      <c r="B46" t="inlineStr">
        <is>
          <t>SW-DUCT-160</t>
        </is>
      </c>
      <c r="C46" t="inlineStr">
        <is>
          <t>Tôn mạ kẽm PN (0.95mm) - Định mức m²</t>
        </is>
      </c>
      <c r="D46" t="inlineStr">
        <is>
          <t>TÔN_CUỘN_MẠ_KẼM</t>
        </is>
      </c>
      <c r="E46" t="inlineStr">
        <is>
          <t>MAT-STEEL-PN-0.95</t>
        </is>
      </c>
      <c r="F46" t="inlineStr">
        <is>
          <t>kg</t>
        </is>
      </c>
      <c r="G46" s="394" t="n">
        <v>8.456805000000001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Định mức tôn cho 1m² ống: phôi x1.08, hao hụt x1.05</t>
        </is>
      </c>
    </row>
    <row r="47">
      <c r="A47" t="inlineStr">
        <is>
          <t>SW-DUCT-161-BODY</t>
        </is>
      </c>
      <c r="B47" t="inlineStr">
        <is>
          <t>SW-DUCT-161</t>
        </is>
      </c>
      <c r="C47" t="inlineStr">
        <is>
          <t>Tôn mạ kẽm PN (1.15mm) - Định mức m²</t>
        </is>
      </c>
      <c r="D47" t="inlineStr">
        <is>
          <t>TÔN_CUỘN_MẠ_KẼM</t>
        </is>
      </c>
      <c r="E47" t="inlineStr">
        <is>
          <t>MAT-STEEL-PN-1.15</t>
        </is>
      </c>
      <c r="F47" t="inlineStr">
        <is>
          <t>kg</t>
        </is>
      </c>
      <c r="G47" s="394" t="n">
        <v>10.237185</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Định mức tôn cho 1m² ống: phôi x1.08, hao hụt x1.05</t>
        </is>
      </c>
    </row>
    <row r="48">
      <c r="A48" t="inlineStr">
        <is>
          <t>SW-DUCT-162-BODY</t>
        </is>
      </c>
      <c r="B48" t="inlineStr">
        <is>
          <t>SW-DUCT-162</t>
        </is>
      </c>
      <c r="C48" t="inlineStr">
        <is>
          <t>Tôn mạ kẽm PN (0.75mm) - Định mức m²</t>
        </is>
      </c>
      <c r="D48" t="inlineStr">
        <is>
          <t>TÔN_CUỘN_MẠ_KẼM</t>
        </is>
      </c>
      <c r="E48" t="inlineStr">
        <is>
          <t>MAT-STEEL-PN-0.75</t>
        </is>
      </c>
      <c r="F48" t="inlineStr">
        <is>
          <t>kg</t>
        </is>
      </c>
      <c r="G48" s="394" t="n">
        <v>6.676425</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Định mức tôn cho 1m² ống: phôi x1.08, hao hụt x1.05</t>
        </is>
      </c>
    </row>
    <row r="49">
      <c r="A49" t="inlineStr">
        <is>
          <t>SW-TRD-163-TM</t>
        </is>
      </c>
      <c r="B49" t="inlineStr">
        <is>
          <t>SW-TRD-163</t>
        </is>
      </c>
      <c r="C49" t="inlineStr">
        <is>
          <t>Hệ thống ống thông cấp gió tươi, gió bù, box miệng gió Lớp chống cháy EI30</t>
        </is>
      </c>
      <c r="D49" t="inlineStr">
        <is>
          <t>THUONG_MAI</t>
        </is>
      </c>
      <c r="E49" t="inlineStr">
        <is>
          <t>MAT-THUONG_MAI-LOP_CHONG_CHAY_EI30</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SW-TRD-164-TM</t>
        </is>
      </c>
      <c r="B50" t="inlineStr">
        <is>
          <t>SW-TRD-164</t>
        </is>
      </c>
      <c r="C50" t="inlineStr">
        <is>
          <t>Hệ thống ống thông cấp gió tươi, gió bù, box miệng gió Lớp chống cháy EI60</t>
        </is>
      </c>
      <c r="D50" t="inlineStr">
        <is>
          <t>THUONG_MAI</t>
        </is>
      </c>
      <c r="E50" t="inlineStr">
        <is>
          <t>MAT-THUONG_MAI-LOP_CHONG_CHAY_EI60</t>
        </is>
      </c>
      <c r="F50" t="inlineStr">
        <is>
          <t>m2</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Hàng thương mại mua ngoài</t>
        </is>
      </c>
    </row>
    <row r="51">
      <c r="A51" t="inlineStr">
        <is>
          <t>SW-TRD-165-TM</t>
        </is>
      </c>
      <c r="B51" t="inlineStr">
        <is>
          <t>SW-TRD-165</t>
        </is>
      </c>
      <c r="C51" t="inlineStr">
        <is>
          <t>Hệ thống ống thông cấp gió tươi, gió bù, box miệng gió Lớp chống cháy EI120</t>
        </is>
      </c>
      <c r="D51" t="inlineStr">
        <is>
          <t>THUONG_MAI</t>
        </is>
      </c>
      <c r="E51" t="inlineStr">
        <is>
          <t>MAT-THUONG_MAI-LOP_CHONG_CHAY_EI120</t>
        </is>
      </c>
      <c r="F51" t="inlineStr">
        <is>
          <t>m2</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SW-TRD-166-TM</t>
        </is>
      </c>
      <c r="B52" t="inlineStr">
        <is>
          <t>SW-TRD-166</t>
        </is>
      </c>
      <c r="C52" t="inlineStr">
        <is>
          <t>Hệ thống ống thông cấp gió tươi, gió bù, box miệng gió Vật tư phụ, phụ kiện</t>
        </is>
      </c>
      <c r="D52" t="inlineStr">
        <is>
          <t>THUONG_MAI</t>
        </is>
      </c>
      <c r="E52" t="inlineStr">
        <is>
          <t>MAT-THUONG_MAI-VAT_TU_PHU_PHU_KIEN</t>
        </is>
      </c>
      <c r="F52" t="inlineStr">
        <is>
          <t>Lô</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Hàng thương mại mua ngoài</t>
        </is>
      </c>
    </row>
    <row r="53">
      <c r="A53" t="inlineStr">
        <is>
          <t>SW-DIFF-197-BOX-BODY</t>
        </is>
      </c>
      <c r="B53" t="inlineStr">
        <is>
          <t>SW-DIFF-197</t>
        </is>
      </c>
      <c r="C53" t="inlineStr">
        <is>
          <t>Box cửa gió - Thân ống gió bích TDF (0.48mm)</t>
        </is>
      </c>
      <c r="D53" t="inlineStr">
        <is>
          <t>TÔN_CUỘN_MẠ_KẼM</t>
        </is>
      </c>
      <c r="E53" t="inlineStr">
        <is>
          <t>MAT-STEEL-PN-0.48</t>
        </is>
      </c>
      <c r="F53" t="inlineStr">
        <is>
          <t>kg</t>
        </is>
      </c>
      <c r="G53" s="394" t="n">
        <v>1.01006892</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Bóc tách động Box tôn đi kèm cửa gió</t>
        </is>
      </c>
    </row>
    <row r="54">
      <c r="A54" t="inlineStr">
        <is>
          <t>SW-DIFF-198-BOX-BODY</t>
        </is>
      </c>
      <c r="B54" t="inlineStr">
        <is>
          <t>SW-DIFF-198</t>
        </is>
      </c>
      <c r="C54" t="inlineStr">
        <is>
          <t>Box cửa gió - Thân ống gió bích TDF (0.48mm)</t>
        </is>
      </c>
      <c r="D54" t="inlineStr">
        <is>
          <t>TÔN_CUỘN_MẠ_KẼM</t>
        </is>
      </c>
      <c r="E54" t="inlineStr">
        <is>
          <t>MAT-STEEL-PN-0.48</t>
        </is>
      </c>
      <c r="F54" t="inlineStr">
        <is>
          <t>kg</t>
        </is>
      </c>
      <c r="G54" s="394" t="n">
        <v>1.97203932</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Bóc tách động Box tôn đi kèm cửa gió</t>
        </is>
      </c>
    </row>
    <row r="55">
      <c r="A55" t="inlineStr">
        <is>
          <t>SW-DIFF-199-BOX-BODY</t>
        </is>
      </c>
      <c r="B55" t="inlineStr">
        <is>
          <t>SW-DIFF-199</t>
        </is>
      </c>
      <c r="C55" t="inlineStr">
        <is>
          <t>Box cửa gió - Thân ống gió bích TDF (0.48mm)</t>
        </is>
      </c>
      <c r="D55" t="inlineStr">
        <is>
          <t>TÔN_CUỘN_MẠ_KẼM</t>
        </is>
      </c>
      <c r="E55" t="inlineStr">
        <is>
          <t>MAT-STEEL-PN-0.48</t>
        </is>
      </c>
      <c r="F55" t="inlineStr">
        <is>
          <t>kg</t>
        </is>
      </c>
      <c r="G55" s="394" t="n">
        <v>2.29269612</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Bóc tách động Box tôn đi kèm cửa gió</t>
        </is>
      </c>
    </row>
    <row r="56">
      <c r="A56" t="inlineStr">
        <is>
          <t>SW-DIFF-200-BOX-BODY</t>
        </is>
      </c>
      <c r="B56" t="inlineStr">
        <is>
          <t>SW-DIFF-200</t>
        </is>
      </c>
      <c r="C56" t="inlineStr">
        <is>
          <t>Box cửa gió - Thân ống gió bích TDF (0.75mm)</t>
        </is>
      </c>
      <c r="D56" t="inlineStr">
        <is>
          <t>TÔN_CUỘN_MẠ_KẼM</t>
        </is>
      </c>
      <c r="E56" t="inlineStr">
        <is>
          <t>MAT-STEEL-PN-0.75</t>
        </is>
      </c>
      <c r="F56" t="inlineStr">
        <is>
          <t>kg</t>
        </is>
      </c>
      <c r="G56" s="394" t="n">
        <v>10.0956789375</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Bóc tách động Box tôn đi kèm cửa gió</t>
        </is>
      </c>
    </row>
    <row r="57">
      <c r="A57" t="inlineStr">
        <is>
          <t>SW-DIFF-201-BOX-BODY</t>
        </is>
      </c>
      <c r="B57" t="inlineStr">
        <is>
          <t>SW-DIFF-201</t>
        </is>
      </c>
      <c r="C57" t="inlineStr">
        <is>
          <t>Box cửa gió - Thân ống gió bích TDF (0.58mm)</t>
        </is>
      </c>
      <c r="D57" t="inlineStr">
        <is>
          <t>TÔN_CUỘN_MẠ_KẼM</t>
        </is>
      </c>
      <c r="E57" t="inlineStr">
        <is>
          <t>MAT-STEEL-PN-0.58</t>
        </is>
      </c>
      <c r="F57" t="inlineStr">
        <is>
          <t>kg</t>
        </is>
      </c>
      <c r="G57" s="394" t="n">
        <v>5.482563244999998</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Bóc tách động Box tôn đi kèm cửa gió</t>
        </is>
      </c>
    </row>
    <row r="58">
      <c r="A58" t="inlineStr">
        <is>
          <t>SW-DIFF-202-BOX-BODY</t>
        </is>
      </c>
      <c r="B58" t="inlineStr">
        <is>
          <t>SW-DIFF-202</t>
        </is>
      </c>
      <c r="C58" t="inlineStr">
        <is>
          <t>Box cửa gió - Thân ống gió bích TDF (0.58mm)</t>
        </is>
      </c>
      <c r="D58" t="inlineStr">
        <is>
          <t>TÔN_CUỘN_MẠ_KẼM</t>
        </is>
      </c>
      <c r="E58" t="inlineStr">
        <is>
          <t>MAT-STEEL-PN-0.58</t>
        </is>
      </c>
      <c r="F58" t="inlineStr">
        <is>
          <t>kg</t>
        </is>
      </c>
      <c r="G58" s="394" t="n">
        <v>3.932722044999998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Bóc tách động Box tôn đi kèm cửa gió</t>
        </is>
      </c>
    </row>
    <row r="59">
      <c r="A59" t="inlineStr">
        <is>
          <t>SW-DIFF-203-BOX-BODY</t>
        </is>
      </c>
      <c r="B59" t="inlineStr">
        <is>
          <t>SW-DIFF-203</t>
        </is>
      </c>
      <c r="C59" t="inlineStr">
        <is>
          <t>Box cửa gió - Thân ống gió bích TDF (0.48mm)</t>
        </is>
      </c>
      <c r="D59" t="inlineStr">
        <is>
          <t>TÔN_CUỘN_MẠ_KẼM</t>
        </is>
      </c>
      <c r="E59" t="inlineStr">
        <is>
          <t>MAT-STEEL-PN-0.48</t>
        </is>
      </c>
      <c r="F59" t="inlineStr">
        <is>
          <t>kg</t>
        </is>
      </c>
      <c r="G59" s="394" t="n">
        <v>1.97203932</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Bóc tách động Box tôn đi kèm cửa gió</t>
        </is>
      </c>
    </row>
    <row r="60">
      <c r="A60" t="inlineStr">
        <is>
          <t>SW-DUCT-213-BODY</t>
        </is>
      </c>
      <c r="B60" t="inlineStr">
        <is>
          <t>SW-DUCT-213</t>
        </is>
      </c>
      <c r="C60" t="inlineStr">
        <is>
          <t>Tôn mạ kẽm PN (0.58mm) - Định mức m²</t>
        </is>
      </c>
      <c r="D60" t="inlineStr">
        <is>
          <t>TÔN_CUỘN_MẠ_KẼM</t>
        </is>
      </c>
      <c r="E60" t="inlineStr">
        <is>
          <t>MAT-STEEL-PN-0.58</t>
        </is>
      </c>
      <c r="F60" t="inlineStr">
        <is>
          <t>kg</t>
        </is>
      </c>
      <c r="G60" s="394" t="n">
        <v>5.163101999999999</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Định mức tôn cho 1m² ống: phôi x1.08, hao hụt x1.05</t>
        </is>
      </c>
    </row>
    <row r="61">
      <c r="A61" t="inlineStr">
        <is>
          <t>SW-DUCT-214-BODY</t>
        </is>
      </c>
      <c r="B61" t="inlineStr">
        <is>
          <t>SW-DUCT-214</t>
        </is>
      </c>
      <c r="C61" t="inlineStr">
        <is>
          <t>Tôn mạ kẽm PN (0.75mm) - Định mức m²</t>
        </is>
      </c>
      <c r="D61" t="inlineStr">
        <is>
          <t>TÔN_CUỘN_MẠ_KẼM</t>
        </is>
      </c>
      <c r="E61" t="inlineStr">
        <is>
          <t>MAT-STEEL-PN-0.75</t>
        </is>
      </c>
      <c r="F61" t="inlineStr">
        <is>
          <t>kg</t>
        </is>
      </c>
      <c r="G61" s="394" t="n">
        <v>6.676425</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Định mức tôn cho 1m² ống: phôi x1.08, hao hụt x1.05</t>
        </is>
      </c>
    </row>
    <row r="62">
      <c r="A62" t="inlineStr">
        <is>
          <t>SW-DUCT-215-BODY</t>
        </is>
      </c>
      <c r="B62" t="inlineStr">
        <is>
          <t>SW-DUCT-215</t>
        </is>
      </c>
      <c r="C62" t="inlineStr">
        <is>
          <t>Tôn mạ kẽm PN (0.58mm) - Định mức m²</t>
        </is>
      </c>
      <c r="D62" t="inlineStr">
        <is>
          <t>TÔN_CUỘN_MẠ_KẼM</t>
        </is>
      </c>
      <c r="E62" t="inlineStr">
        <is>
          <t>MAT-STEEL-PN-0.58</t>
        </is>
      </c>
      <c r="F62" t="inlineStr">
        <is>
          <t>kg</t>
        </is>
      </c>
      <c r="G62" s="394" t="n">
        <v>5.163101999999999</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Định mức tôn cho 1m² ống: phôi x1.08, hao hụt x1.05</t>
        </is>
      </c>
    </row>
    <row r="63">
      <c r="A63" t="inlineStr">
        <is>
          <t>SW-FLEX-216-TM</t>
        </is>
      </c>
      <c r="B63" t="inlineStr">
        <is>
          <t>SW-FLEX-216</t>
        </is>
      </c>
      <c r="C63" t="inlineStr">
        <is>
          <t>Hệ thống ống thông gió hút gió thải Ống gió mềm D100 không cách nhiệt</t>
        </is>
      </c>
      <c r="D63" t="inlineStr">
        <is>
          <t>ONG_MEM</t>
        </is>
      </c>
      <c r="E63" t="inlineStr">
        <is>
          <t>FLEX_DUCT_D100_NON_INSUL</t>
        </is>
      </c>
      <c r="F63" t="inlineStr">
        <is>
          <t>ống</t>
        </is>
      </c>
      <c r="G63" s="394" t="n">
        <v>0.125</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Ống mềm quy đổi chuẩn 8m/ống</t>
        </is>
      </c>
    </row>
    <row r="64">
      <c r="A64" t="inlineStr">
        <is>
          <t>SW-FLEX-217-TM</t>
        </is>
      </c>
      <c r="B64" t="inlineStr">
        <is>
          <t>SW-FLEX-217</t>
        </is>
      </c>
      <c r="C64" t="inlineStr">
        <is>
          <t>Hệ thống ống thông gió hút gió thải Ống gió mềm D150 không cách nhiệt</t>
        </is>
      </c>
      <c r="D64" t="inlineStr">
        <is>
          <t>ONG_MEM</t>
        </is>
      </c>
      <c r="E64" t="inlineStr">
        <is>
          <t>FLEX_DUCT_D150_NON_INSUL</t>
        </is>
      </c>
      <c r="F64" t="inlineStr">
        <is>
          <t>ống</t>
        </is>
      </c>
      <c r="G64" s="394" t="n">
        <v>0.125</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Ống mềm quy đổi chuẩn 8m/ống</t>
        </is>
      </c>
    </row>
    <row r="65">
      <c r="A65" t="inlineStr">
        <is>
          <t>SW-TRD-218-TM</t>
        </is>
      </c>
      <c r="B65" t="inlineStr">
        <is>
          <t>SW-TRD-218</t>
        </is>
      </c>
      <c r="C65" t="inlineStr">
        <is>
          <t>Hệ thống ống thông gió hút gió thải Vật tư phụ, phụ kiện</t>
        </is>
      </c>
      <c r="D65" t="inlineStr">
        <is>
          <t>THUONG_MAI</t>
        </is>
      </c>
      <c r="E65" t="inlineStr">
        <is>
          <t>MAT-THUONG_MAI-VAT_TU_PHU_PHU_KIEN</t>
        </is>
      </c>
      <c r="F65" t="inlineStr">
        <is>
          <t>Lô</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SW-DUCT-219-BODY</t>
        </is>
      </c>
      <c r="B66" t="inlineStr">
        <is>
          <t>SW-DUCT-219</t>
        </is>
      </c>
      <c r="C66" t="inlineStr">
        <is>
          <t>Tôn mạ kẽm PN (0.58mm) - Định mức m²</t>
        </is>
      </c>
      <c r="D66" t="inlineStr">
        <is>
          <t>TÔN_CUỘN_MẠ_KẼM</t>
        </is>
      </c>
      <c r="E66" t="inlineStr">
        <is>
          <t>MAT-STEEL-PN-0.58</t>
        </is>
      </c>
      <c r="F66" t="inlineStr">
        <is>
          <t>kg</t>
        </is>
      </c>
      <c r="G66" s="394" t="n">
        <v>5.163101999999999</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Định mức tôn cho 1m² ống: phôi x1.08, hao hụt x1.05</t>
        </is>
      </c>
    </row>
    <row r="67">
      <c r="A67" t="inlineStr">
        <is>
          <t>SW-DUCT-220-BODY</t>
        </is>
      </c>
      <c r="B67" t="inlineStr">
        <is>
          <t>SW-DUCT-220</t>
        </is>
      </c>
      <c r="C67" t="inlineStr">
        <is>
          <t>Tôn mạ kẽm PN (0.75mm) - Định mức m²</t>
        </is>
      </c>
      <c r="D67" t="inlineStr">
        <is>
          <t>TÔN_CUỘN_MẠ_KẼM</t>
        </is>
      </c>
      <c r="E67" t="inlineStr">
        <is>
          <t>MAT-STEEL-PN-0.75</t>
        </is>
      </c>
      <c r="F67" t="inlineStr">
        <is>
          <t>kg</t>
        </is>
      </c>
      <c r="G67" s="394" t="n">
        <v>6.676425</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Định mức tôn cho 1m² ống: phôi x1.08, hao hụt x1.05</t>
        </is>
      </c>
    </row>
    <row r="68">
      <c r="A68" t="inlineStr">
        <is>
          <t>SW-DUCT-221-BODY</t>
        </is>
      </c>
      <c r="B68" t="inlineStr">
        <is>
          <t>SW-DUCT-221</t>
        </is>
      </c>
      <c r="C68" t="inlineStr">
        <is>
          <t>Tôn mạ kẽm PN (0.95mm) - Định mức m²</t>
        </is>
      </c>
      <c r="D68" t="inlineStr">
        <is>
          <t>TÔN_CUỘN_MẠ_KẼM</t>
        </is>
      </c>
      <c r="E68" t="inlineStr">
        <is>
          <t>MAT-STEEL-PN-0.95</t>
        </is>
      </c>
      <c r="F68" t="inlineStr">
        <is>
          <t>kg</t>
        </is>
      </c>
      <c r="G68" s="394" t="n">
        <v>8.456805000000001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Định mức tôn cho 1m² ống: phôi x1.08, hao hụt x1.05</t>
        </is>
      </c>
    </row>
    <row r="69">
      <c r="A69" t="inlineStr">
        <is>
          <t>SW-DUCT-222-BODY</t>
        </is>
      </c>
      <c r="B69" t="inlineStr">
        <is>
          <t>SW-DUCT-222</t>
        </is>
      </c>
      <c r="C69" t="inlineStr">
        <is>
          <t>Tôn mạ kẽm PN (0.75mm) - Định mức m²</t>
        </is>
      </c>
      <c r="D69" t="inlineStr">
        <is>
          <t>TÔN_CUỘN_MẠ_KẼM</t>
        </is>
      </c>
      <c r="E69" t="inlineStr">
        <is>
          <t>MAT-STEEL-PN-0.75</t>
        </is>
      </c>
      <c r="F69" t="inlineStr">
        <is>
          <t>kg</t>
        </is>
      </c>
      <c r="G69" s="394" t="n">
        <v>6.676425</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Định mức tôn cho 1m² ống: phôi x1.08, hao hụt x1.05</t>
        </is>
      </c>
    </row>
    <row r="70">
      <c r="A70" t="inlineStr">
        <is>
          <t>SW-TRD-223-TM</t>
        </is>
      </c>
      <c r="B70" t="inlineStr">
        <is>
          <t>SW-TRD-223</t>
        </is>
      </c>
      <c r="C70" t="inlineStr">
        <is>
          <t>Hệ thống ống thông gió hút bếp Vật tư phụ, phụ kiện</t>
        </is>
      </c>
      <c r="D70" t="inlineStr">
        <is>
          <t>THUONG_MAI</t>
        </is>
      </c>
      <c r="E70" t="inlineStr">
        <is>
          <t>MAT-THUONG_MAI-VAT_TU_PHU_PHU_KIEN</t>
        </is>
      </c>
      <c r="F70" t="inlineStr">
        <is>
          <t>Lô</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SW-ACST-224-BODY</t>
        </is>
      </c>
      <c r="B71" t="inlineStr">
        <is>
          <t>SW-ACST-224</t>
        </is>
      </c>
      <c r="C71" t="inlineStr">
        <is>
          <t>Vỏ tôn hộp tiêu âm PN (0.58mm)</t>
        </is>
      </c>
      <c r="D71" t="inlineStr">
        <is>
          <t>TÔN_CUỘN_MẠ_KẼM</t>
        </is>
      </c>
      <c r="E71" t="inlineStr">
        <is>
          <t>MAT-STEEL-PN-0.58</t>
        </is>
      </c>
      <c r="F71" t="inlineStr">
        <is>
          <t>kg</t>
        </is>
      </c>
      <c r="G71" s="394" t="n">
        <v>5.235949999999999</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Vỏ tôn bao ngoài (1.00m2)</t>
        </is>
      </c>
    </row>
    <row r="72">
      <c r="A72" t="inlineStr">
        <is>
          <t>SW-ACST-224-ROCKWOOL</t>
        </is>
      </c>
      <c r="B72" t="inlineStr">
        <is>
          <t>SW-ACST-224</t>
        </is>
      </c>
      <c r="C72" t="inlineStr">
        <is>
          <t>Bông Rockwool tỷ trọng 50kg/m3 dày 50mm</t>
        </is>
      </c>
      <c r="D72" t="inlineStr">
        <is>
          <t>VẬT_LIỆU_TIÊU_ÂM</t>
        </is>
      </c>
      <c r="E72" t="inlineStr">
        <is>
          <t>ROCKWOOL_50MM_50KG</t>
        </is>
      </c>
      <c r="F72" t="inlineStr">
        <is>
          <t>m2</t>
        </is>
      </c>
      <c r="G72" s="394" t="n">
        <v>1.1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Diện tích tiêu âm 1.00m2</t>
        </is>
      </c>
    </row>
    <row r="73">
      <c r="A73" t="inlineStr">
        <is>
          <t>SW-ACST-224-GLASSCLOTH</t>
        </is>
      </c>
      <c r="B73" t="inlineStr">
        <is>
          <t>SW-ACST-224</t>
        </is>
      </c>
      <c r="C73" t="inlineStr">
        <is>
          <t>Vải thủy tinh bọc tiêu âm</t>
        </is>
      </c>
      <c r="D73" t="inlineStr">
        <is>
          <t>VẬT_LIỆU_TIÊU_ÂM</t>
        </is>
      </c>
      <c r="E73" t="inlineStr">
        <is>
          <t>GLASS_CLOTH</t>
        </is>
      </c>
      <c r="F73" t="inlineStr">
        <is>
          <t>m2</t>
        </is>
      </c>
      <c r="G73" s="394" t="n">
        <v>1.1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Diện tích tiêu âm 1.00m2</t>
        </is>
      </c>
    </row>
    <row r="74">
      <c r="A74" t="inlineStr">
        <is>
          <t>SW-ACST-224-PERFORATED</t>
        </is>
      </c>
      <c r="B74" t="inlineStr">
        <is>
          <t>SW-ACST-224</t>
        </is>
      </c>
      <c r="C74" t="inlineStr">
        <is>
          <t>Tôn đục lỗ tiêu âm</t>
        </is>
      </c>
      <c r="D74" t="inlineStr">
        <is>
          <t>VẬT_LIỆU_TIÊU_ÂM</t>
        </is>
      </c>
      <c r="E74" t="inlineStr">
        <is>
          <t>PERFORATED_SHEET</t>
        </is>
      </c>
      <c r="F74" t="inlineStr">
        <is>
          <t>m2</t>
        </is>
      </c>
      <c r="G74" s="394" t="n">
        <v>1.1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Bọc mặt trong</t>
        </is>
      </c>
    </row>
    <row r="75">
      <c r="A75" t="inlineStr">
        <is>
          <t>SW-ACST-225-BODY</t>
        </is>
      </c>
      <c r="B75" t="inlineStr">
        <is>
          <t>SW-ACST-225</t>
        </is>
      </c>
      <c r="C75" t="inlineStr">
        <is>
          <t>Vỏ tôn hộp tiêu âm PN (0.58mm)</t>
        </is>
      </c>
      <c r="D75" t="inlineStr">
        <is>
          <t>TÔN_CUỘN_MẠ_KẼM</t>
        </is>
      </c>
      <c r="E75" t="inlineStr">
        <is>
          <t>MAT-STEEL-PN-0.58</t>
        </is>
      </c>
      <c r="F75" t="inlineStr">
        <is>
          <t>kg</t>
        </is>
      </c>
      <c r="G75" s="394" t="n">
        <v>5.235949999999999</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Vỏ tôn bao ngoài (1.00m2)</t>
        </is>
      </c>
    </row>
    <row r="76">
      <c r="A76" t="inlineStr">
        <is>
          <t>SW-ACST-225-ROCKWOOL</t>
        </is>
      </c>
      <c r="B76" t="inlineStr">
        <is>
          <t>SW-ACST-225</t>
        </is>
      </c>
      <c r="C76" t="inlineStr">
        <is>
          <t>Bông Rockwool tỷ trọng 50kg/m3 dày 50mm</t>
        </is>
      </c>
      <c r="D76" t="inlineStr">
        <is>
          <t>VẬT_LIỆU_TIÊU_ÂM</t>
        </is>
      </c>
      <c r="E76" t="inlineStr">
        <is>
          <t>ROCKWOOL_50MM_50KG</t>
        </is>
      </c>
      <c r="F76" t="inlineStr">
        <is>
          <t>m2</t>
        </is>
      </c>
      <c r="G76" s="394" t="n">
        <v>1.1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Diện tích tiêu âm 1.00m2</t>
        </is>
      </c>
    </row>
    <row r="77">
      <c r="A77" t="inlineStr">
        <is>
          <t>SW-ACST-225-GLASSCLOTH</t>
        </is>
      </c>
      <c r="B77" t="inlineStr">
        <is>
          <t>SW-ACST-225</t>
        </is>
      </c>
      <c r="C77" t="inlineStr">
        <is>
          <t>Vải thủy tinh bọc tiêu âm</t>
        </is>
      </c>
      <c r="D77" t="inlineStr">
        <is>
          <t>VẬT_LIỆU_TIÊU_ÂM</t>
        </is>
      </c>
      <c r="E77" t="inlineStr">
        <is>
          <t>GLASS_CLOTH</t>
        </is>
      </c>
      <c r="F77" t="inlineStr">
        <is>
          <t>m2</t>
        </is>
      </c>
      <c r="G77" s="394" t="n">
        <v>1.1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Diện tích tiêu âm 1.00m2</t>
        </is>
      </c>
    </row>
    <row r="78">
      <c r="A78" t="inlineStr">
        <is>
          <t>SW-ACST-225-PERFORATED</t>
        </is>
      </c>
      <c r="B78" t="inlineStr">
        <is>
          <t>SW-ACST-225</t>
        </is>
      </c>
      <c r="C78" t="inlineStr">
        <is>
          <t>Tôn đục lỗ tiêu âm</t>
        </is>
      </c>
      <c r="D78" t="inlineStr">
        <is>
          <t>VẬT_LIỆU_TIÊU_ÂM</t>
        </is>
      </c>
      <c r="E78" t="inlineStr">
        <is>
          <t>PERFORATED_SHEET</t>
        </is>
      </c>
      <c r="F78" t="inlineStr">
        <is>
          <t>m2</t>
        </is>
      </c>
      <c r="G78" s="394" t="n">
        <v>1.1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Bọc mặt trong</t>
        </is>
      </c>
    </row>
    <row r="79">
      <c r="A79" t="inlineStr">
        <is>
          <t>SW-ACST-226-BODY</t>
        </is>
      </c>
      <c r="B79" t="inlineStr">
        <is>
          <t>SW-ACST-226</t>
        </is>
      </c>
      <c r="C79" t="inlineStr">
        <is>
          <t>Vỏ tôn hộp tiêu âm PN (0.58mm)</t>
        </is>
      </c>
      <c r="D79" t="inlineStr">
        <is>
          <t>TÔN_CUỘN_MẠ_KẼM</t>
        </is>
      </c>
      <c r="E79" t="inlineStr">
        <is>
          <t>MAT-STEEL-PN-0.58</t>
        </is>
      </c>
      <c r="F79" t="inlineStr">
        <is>
          <t>kg</t>
        </is>
      </c>
      <c r="G79" s="394" t="n">
        <v>5.235949999999999</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Vỏ tôn bao ngoài (1.00m2)</t>
        </is>
      </c>
    </row>
    <row r="80">
      <c r="A80" t="inlineStr">
        <is>
          <t>SW-ACST-226-ROCKWOOL</t>
        </is>
      </c>
      <c r="B80" t="inlineStr">
        <is>
          <t>SW-ACST-226</t>
        </is>
      </c>
      <c r="C80" t="inlineStr">
        <is>
          <t>Bông Rockwool tỷ trọng 50kg/m3 dày 50mm</t>
        </is>
      </c>
      <c r="D80" t="inlineStr">
        <is>
          <t>VẬT_LIỆU_TIÊU_ÂM</t>
        </is>
      </c>
      <c r="E80" t="inlineStr">
        <is>
          <t>ROCKWOOL_50MM_50KG</t>
        </is>
      </c>
      <c r="F80" t="inlineStr">
        <is>
          <t>m2</t>
        </is>
      </c>
      <c r="G80" s="394" t="n">
        <v>1.1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Diện tích tiêu âm 1.00m2</t>
        </is>
      </c>
    </row>
    <row r="81">
      <c r="A81" t="inlineStr">
        <is>
          <t>SW-ACST-226-GLASSCLOTH</t>
        </is>
      </c>
      <c r="B81" t="inlineStr">
        <is>
          <t>SW-ACST-226</t>
        </is>
      </c>
      <c r="C81" t="inlineStr">
        <is>
          <t>Vải thủy tinh bọc tiêu âm</t>
        </is>
      </c>
      <c r="D81" t="inlineStr">
        <is>
          <t>VẬT_LIỆU_TIÊU_ÂM</t>
        </is>
      </c>
      <c r="E81" t="inlineStr">
        <is>
          <t>GLASS_CLOTH</t>
        </is>
      </c>
      <c r="F81" t="inlineStr">
        <is>
          <t>m2</t>
        </is>
      </c>
      <c r="G81" s="394" t="n">
        <v>1.1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Diện tích tiêu âm 1.00m2</t>
        </is>
      </c>
    </row>
    <row r="82">
      <c r="A82" t="inlineStr">
        <is>
          <t>SW-ACST-226-PERFORATED</t>
        </is>
      </c>
      <c r="B82" t="inlineStr">
        <is>
          <t>SW-ACST-226</t>
        </is>
      </c>
      <c r="C82" t="inlineStr">
        <is>
          <t>Tôn đục lỗ tiêu âm</t>
        </is>
      </c>
      <c r="D82" t="inlineStr">
        <is>
          <t>VẬT_LIỆU_TIÊU_ÂM</t>
        </is>
      </c>
      <c r="E82" t="inlineStr">
        <is>
          <t>PERFORATED_SHEET</t>
        </is>
      </c>
      <c r="F82" t="inlineStr">
        <is>
          <t>m2</t>
        </is>
      </c>
      <c r="G82" s="394" t="n">
        <v>1.1</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Bọc mặt trong</t>
        </is>
      </c>
    </row>
    <row r="83">
      <c r="A83" t="inlineStr">
        <is>
          <t>SW-ACST-227-BODY</t>
        </is>
      </c>
      <c r="B83" t="inlineStr">
        <is>
          <t>SW-ACST-227</t>
        </is>
      </c>
      <c r="C83" t="inlineStr">
        <is>
          <t>Vỏ tôn hộp tiêu âm PN (0.58mm)</t>
        </is>
      </c>
      <c r="D83" t="inlineStr">
        <is>
          <t>TÔN_CUỘN_MẠ_KẼM</t>
        </is>
      </c>
      <c r="E83" t="inlineStr">
        <is>
          <t>MAT-STEEL-PN-0.58</t>
        </is>
      </c>
      <c r="F83" t="inlineStr">
        <is>
          <t>kg</t>
        </is>
      </c>
      <c r="G83" s="394" t="n">
        <v>5.235949999999999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Vỏ tôn bao ngoài (1.00m2)</t>
        </is>
      </c>
    </row>
    <row r="84">
      <c r="A84" t="inlineStr">
        <is>
          <t>SW-ACST-227-ROCKWOOL</t>
        </is>
      </c>
      <c r="B84" t="inlineStr">
        <is>
          <t>SW-ACST-227</t>
        </is>
      </c>
      <c r="C84" t="inlineStr">
        <is>
          <t>Bông Rockwool tỷ trọng 50kg/m3 dày 50mm</t>
        </is>
      </c>
      <c r="D84" t="inlineStr">
        <is>
          <t>VẬT_LIỆU_TIÊU_ÂM</t>
        </is>
      </c>
      <c r="E84" t="inlineStr">
        <is>
          <t>ROCKWOOL_50MM_50KG</t>
        </is>
      </c>
      <c r="F84" t="inlineStr">
        <is>
          <t>m2</t>
        </is>
      </c>
      <c r="G84" s="394" t="n">
        <v>1.1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Diện tích tiêu âm 1.00m2</t>
        </is>
      </c>
    </row>
    <row r="85">
      <c r="A85" t="inlineStr">
        <is>
          <t>SW-ACST-227-GLASSCLOTH</t>
        </is>
      </c>
      <c r="B85" t="inlineStr">
        <is>
          <t>SW-ACST-227</t>
        </is>
      </c>
      <c r="C85" t="inlineStr">
        <is>
          <t>Vải thủy tinh bọc tiêu âm</t>
        </is>
      </c>
      <c r="D85" t="inlineStr">
        <is>
          <t>VẬT_LIỆU_TIÊU_ÂM</t>
        </is>
      </c>
      <c r="E85" t="inlineStr">
        <is>
          <t>GLASS_CLOTH</t>
        </is>
      </c>
      <c r="F85" t="inlineStr">
        <is>
          <t>m2</t>
        </is>
      </c>
      <c r="G85" s="394" t="n">
        <v>1.1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Diện tích tiêu âm 1.00m2</t>
        </is>
      </c>
    </row>
    <row r="86">
      <c r="A86" t="inlineStr">
        <is>
          <t>SW-ACST-227-PERFORATED</t>
        </is>
      </c>
      <c r="B86" t="inlineStr">
        <is>
          <t>SW-ACST-227</t>
        </is>
      </c>
      <c r="C86" t="inlineStr">
        <is>
          <t>Tôn đục lỗ tiêu âm</t>
        </is>
      </c>
      <c r="D86" t="inlineStr">
        <is>
          <t>VẬT_LIỆU_TIÊU_ÂM</t>
        </is>
      </c>
      <c r="E86" t="inlineStr">
        <is>
          <t>PERFORATED_SHEET</t>
        </is>
      </c>
      <c r="F86" t="inlineStr">
        <is>
          <t>m2</t>
        </is>
      </c>
      <c r="G86" s="394" t="n">
        <v>1.1</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Bọc mặt trong</t>
        </is>
      </c>
    </row>
    <row r="87">
      <c r="A87" t="inlineStr">
        <is>
          <t>SW-ACST-228-BODY</t>
        </is>
      </c>
      <c r="B87" t="inlineStr">
        <is>
          <t>SW-ACST-228</t>
        </is>
      </c>
      <c r="C87" t="inlineStr">
        <is>
          <t>Vỏ tôn hộp tiêu âm PN (0.58mm)</t>
        </is>
      </c>
      <c r="D87" t="inlineStr">
        <is>
          <t>TÔN_CUỘN_MẠ_KẼM</t>
        </is>
      </c>
      <c r="E87" t="inlineStr">
        <is>
          <t>MAT-STEEL-PN-0.58</t>
        </is>
      </c>
      <c r="F87" t="inlineStr">
        <is>
          <t>kg</t>
        </is>
      </c>
      <c r="G87" s="394" t="n">
        <v>5.235949999999999</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Vỏ tôn bao ngoài (1.00m2)</t>
        </is>
      </c>
    </row>
    <row r="88">
      <c r="A88" t="inlineStr">
        <is>
          <t>SW-ACST-228-ROCKWOOL</t>
        </is>
      </c>
      <c r="B88" t="inlineStr">
        <is>
          <t>SW-ACST-228</t>
        </is>
      </c>
      <c r="C88" t="inlineStr">
        <is>
          <t>Bông Rockwool tỷ trọng 50kg/m3 dày 50mm</t>
        </is>
      </c>
      <c r="D88" t="inlineStr">
        <is>
          <t>VẬT_LIỆU_TIÊU_ÂM</t>
        </is>
      </c>
      <c r="E88" t="inlineStr">
        <is>
          <t>ROCKWOOL_50MM_50KG</t>
        </is>
      </c>
      <c r="F88" t="inlineStr">
        <is>
          <t>m2</t>
        </is>
      </c>
      <c r="G88" s="394" t="n">
        <v>1.1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Diện tích tiêu âm 1.00m2</t>
        </is>
      </c>
    </row>
    <row r="89">
      <c r="A89" t="inlineStr">
        <is>
          <t>SW-ACST-228-GLASSCLOTH</t>
        </is>
      </c>
      <c r="B89" t="inlineStr">
        <is>
          <t>SW-ACST-228</t>
        </is>
      </c>
      <c r="C89" t="inlineStr">
        <is>
          <t>Vải thủy tinh bọc tiêu âm</t>
        </is>
      </c>
      <c r="D89" t="inlineStr">
        <is>
          <t>VẬT_LIỆU_TIÊU_ÂM</t>
        </is>
      </c>
      <c r="E89" t="inlineStr">
        <is>
          <t>GLASS_CLOTH</t>
        </is>
      </c>
      <c r="F89" t="inlineStr">
        <is>
          <t>m2</t>
        </is>
      </c>
      <c r="G89" s="394" t="n">
        <v>1.1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Diện tích tiêu âm 1.00m2</t>
        </is>
      </c>
    </row>
    <row r="90">
      <c r="A90" t="inlineStr">
        <is>
          <t>SW-ACST-228-PERFORATED</t>
        </is>
      </c>
      <c r="B90" t="inlineStr">
        <is>
          <t>SW-ACST-228</t>
        </is>
      </c>
      <c r="C90" t="inlineStr">
        <is>
          <t>Tôn đục lỗ tiêu âm</t>
        </is>
      </c>
      <c r="D90" t="inlineStr">
        <is>
          <t>VẬT_LIỆU_TIÊU_ÂM</t>
        </is>
      </c>
      <c r="E90" t="inlineStr">
        <is>
          <t>PERFORATED_SHEET</t>
        </is>
      </c>
      <c r="F90" t="inlineStr">
        <is>
          <t>m2</t>
        </is>
      </c>
      <c r="G90" s="394" t="n">
        <v>1.1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Bọc mặt trong</t>
        </is>
      </c>
    </row>
    <row r="91">
      <c r="A91" t="inlineStr">
        <is>
          <t>SW-ACST-229-BODY</t>
        </is>
      </c>
      <c r="B91" t="inlineStr">
        <is>
          <t>SW-ACST-229</t>
        </is>
      </c>
      <c r="C91" t="inlineStr">
        <is>
          <t>Vỏ tôn hộp tiêu âm PN (0.58mm)</t>
        </is>
      </c>
      <c r="D91" t="inlineStr">
        <is>
          <t>TÔN_CUỘN_MẠ_KẼM</t>
        </is>
      </c>
      <c r="E91" t="inlineStr">
        <is>
          <t>MAT-STEEL-PN-0.58</t>
        </is>
      </c>
      <c r="F91" t="inlineStr">
        <is>
          <t>kg</t>
        </is>
      </c>
      <c r="G91" s="394" t="n">
        <v>5.235949999999999</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Vỏ tôn bao ngoài (1.00m2)</t>
        </is>
      </c>
    </row>
    <row r="92">
      <c r="A92" t="inlineStr">
        <is>
          <t>SW-ACST-229-ROCKWOOL</t>
        </is>
      </c>
      <c r="B92" t="inlineStr">
        <is>
          <t>SW-ACST-229</t>
        </is>
      </c>
      <c r="C92" t="inlineStr">
        <is>
          <t>Bông Rockwool tỷ trọng 50kg/m3 dày 50mm</t>
        </is>
      </c>
      <c r="D92" t="inlineStr">
        <is>
          <t>VẬT_LIỆU_TIÊU_ÂM</t>
        </is>
      </c>
      <c r="E92" t="inlineStr">
        <is>
          <t>ROCKWOOL_50MM_50KG</t>
        </is>
      </c>
      <c r="F92" t="inlineStr">
        <is>
          <t>m2</t>
        </is>
      </c>
      <c r="G92" s="394" t="n">
        <v>1.1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Diện tích tiêu âm 1.00m2</t>
        </is>
      </c>
    </row>
    <row r="93">
      <c r="A93" t="inlineStr">
        <is>
          <t>SW-ACST-229-GLASSCLOTH</t>
        </is>
      </c>
      <c r="B93" t="inlineStr">
        <is>
          <t>SW-ACST-229</t>
        </is>
      </c>
      <c r="C93" t="inlineStr">
        <is>
          <t>Vải thủy tinh bọc tiêu âm</t>
        </is>
      </c>
      <c r="D93" t="inlineStr">
        <is>
          <t>VẬT_LIỆU_TIÊU_ÂM</t>
        </is>
      </c>
      <c r="E93" t="inlineStr">
        <is>
          <t>GLASS_CLOTH</t>
        </is>
      </c>
      <c r="F93" t="inlineStr">
        <is>
          <t>m2</t>
        </is>
      </c>
      <c r="G93" s="394" t="n">
        <v>1.1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Diện tích tiêu âm 1.00m2</t>
        </is>
      </c>
    </row>
    <row r="94">
      <c r="A94" t="inlineStr">
        <is>
          <t>SW-ACST-229-PERFORATED</t>
        </is>
      </c>
      <c r="B94" t="inlineStr">
        <is>
          <t>SW-ACST-229</t>
        </is>
      </c>
      <c r="C94" t="inlineStr">
        <is>
          <t>Tôn đục lỗ tiêu âm</t>
        </is>
      </c>
      <c r="D94" t="inlineStr">
        <is>
          <t>VẬT_LIỆU_TIÊU_ÂM</t>
        </is>
      </c>
      <c r="E94" t="inlineStr">
        <is>
          <t>PERFORATED_SHEET</t>
        </is>
      </c>
      <c r="F94" t="inlineStr">
        <is>
          <t>m2</t>
        </is>
      </c>
      <c r="G94" s="394" t="n">
        <v>1.1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Bọc mặt trong</t>
        </is>
      </c>
    </row>
    <row r="95">
      <c r="A95" t="inlineStr">
        <is>
          <t>SW-DIFF-230-BOX-BODY</t>
        </is>
      </c>
      <c r="B95" t="inlineStr">
        <is>
          <t>SW-DIFF-230</t>
        </is>
      </c>
      <c r="C95" t="inlineStr">
        <is>
          <t>Box cửa gió - Thân ống gió bích TDF (0.58mm)</t>
        </is>
      </c>
      <c r="D95" t="inlineStr">
        <is>
          <t>TÔN_CUỘN_MẠ_KẼM</t>
        </is>
      </c>
      <c r="E95" t="inlineStr">
        <is>
          <t>MAT-STEEL-PN-0.58</t>
        </is>
      </c>
      <c r="F95" t="inlineStr">
        <is>
          <t>kg</t>
        </is>
      </c>
      <c r="G95" s="394" t="n">
        <v>4.707642644999998</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Bóc tách động Box tôn đi kèm cửa gió</t>
        </is>
      </c>
    </row>
    <row r="96">
      <c r="A96" t="inlineStr">
        <is>
          <t>SW-DIFF-231-BOX-BODY</t>
        </is>
      </c>
      <c r="B96" t="inlineStr">
        <is>
          <t>SW-DIFF-231</t>
        </is>
      </c>
      <c r="C96" t="inlineStr">
        <is>
          <t>Box cửa gió - Thân ống gió bích TDF (0.58mm)</t>
        </is>
      </c>
      <c r="D96" t="inlineStr">
        <is>
          <t>TÔN_CUỘN_MẠ_KẼM</t>
        </is>
      </c>
      <c r="E96" t="inlineStr">
        <is>
          <t>MAT-STEEL-PN-0.58</t>
        </is>
      </c>
      <c r="F96" t="inlineStr">
        <is>
          <t>kg</t>
        </is>
      </c>
      <c r="G96" s="394" t="n">
        <v>4.707642644999998</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Bóc tách động Box tôn đi kèm cửa gió</t>
        </is>
      </c>
    </row>
    <row r="97">
      <c r="A97" t="inlineStr">
        <is>
          <t>SW-TRD-232-TM</t>
        </is>
      </c>
      <c r="B97" t="inlineStr">
        <is>
          <t>SW-TRD-232</t>
        </is>
      </c>
      <c r="C97" t="inlineStr">
        <is>
          <t>MIỆNG GIÓ Vật tư phụ, phụ kiện</t>
        </is>
      </c>
      <c r="D97" t="inlineStr">
        <is>
          <t>THUONG_MAI</t>
        </is>
      </c>
      <c r="E97" t="inlineStr">
        <is>
          <t>MAT-THUONG_MAI-VAT_TU_PHU_PHU_KIEN</t>
        </is>
      </c>
      <c r="F97" t="inlineStr">
        <is>
          <t>Lô</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Hàng thương mại mua ngoài</t>
        </is>
      </c>
    </row>
    <row r="98">
      <c r="A98" t="inlineStr">
        <is>
          <t>SW-DUCT-233-BODY</t>
        </is>
      </c>
      <c r="B98" t="inlineStr">
        <is>
          <t>SW-DUCT-233</t>
        </is>
      </c>
      <c r="C98" t="inlineStr">
        <is>
          <t>Tôn mạ kẽm PN (0.58mm) - Định mức m²</t>
        </is>
      </c>
      <c r="D98" t="inlineStr">
        <is>
          <t>TÔN_CUỘN_MẠ_KẼM</t>
        </is>
      </c>
      <c r="E98" t="inlineStr">
        <is>
          <t>MAT-STEEL-PN-0.58</t>
        </is>
      </c>
      <c r="F98" t="inlineStr">
        <is>
          <t>kg</t>
        </is>
      </c>
      <c r="G98" s="394" t="n">
        <v>5.163101999999999</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Định mức tôn cho 1m² ống: phôi x1.08, hao hụt x1.05</t>
        </is>
      </c>
    </row>
    <row r="99">
      <c r="A99" t="inlineStr">
        <is>
          <t>SW-ACST-234-ROCKWOOL</t>
        </is>
      </c>
      <c r="B99" t="inlineStr">
        <is>
          <t>SW-ACST-234</t>
        </is>
      </c>
      <c r="C99" t="inlineStr">
        <is>
          <t>Bông Rockwool tỷ trọng 50kg/m3 dày 50mm</t>
        </is>
      </c>
      <c r="D99" t="inlineStr">
        <is>
          <t>VẬT_LIỆU_TIÊU_ÂM</t>
        </is>
      </c>
      <c r="E99" t="inlineStr">
        <is>
          <t>ROCKWOOL_50MM_50KG</t>
        </is>
      </c>
      <c r="F99" t="inlineStr">
        <is>
          <t>m2</t>
        </is>
      </c>
      <c r="G99" s="394" t="n">
        <v>1.1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Diện tích tiêu âm 1.00m2</t>
        </is>
      </c>
    </row>
    <row r="100">
      <c r="A100" t="inlineStr">
        <is>
          <t>SW-ACST-234-GLASSCLOTH</t>
        </is>
      </c>
      <c r="B100" t="inlineStr">
        <is>
          <t>SW-ACST-234</t>
        </is>
      </c>
      <c r="C100" t="inlineStr">
        <is>
          <t>Vải thủy tinh bọc tiêu âm</t>
        </is>
      </c>
      <c r="D100" t="inlineStr">
        <is>
          <t>VẬT_LIỆU_TIÊU_ÂM</t>
        </is>
      </c>
      <c r="E100" t="inlineStr">
        <is>
          <t>GLASS_CLOTH</t>
        </is>
      </c>
      <c r="F100" t="inlineStr">
        <is>
          <t>m2</t>
        </is>
      </c>
      <c r="G100" s="394" t="n">
        <v>1.1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Diện tích tiêu âm 1.00m2</t>
        </is>
      </c>
    </row>
    <row r="101">
      <c r="A101" t="inlineStr">
        <is>
          <t>SW-ACST-234-PERFORATED</t>
        </is>
      </c>
      <c r="B101" t="inlineStr">
        <is>
          <t>SW-ACST-234</t>
        </is>
      </c>
      <c r="C101" t="inlineStr">
        <is>
          <t>Tôn đục lỗ tiêu âm</t>
        </is>
      </c>
      <c r="D101" t="inlineStr">
        <is>
          <t>VẬT_LIỆU_TIÊU_ÂM</t>
        </is>
      </c>
      <c r="E101" t="inlineStr">
        <is>
          <t>PERFORATED_SHEET</t>
        </is>
      </c>
      <c r="F101" t="inlineStr">
        <is>
          <t>m2</t>
        </is>
      </c>
      <c r="G101" s="394" t="n">
        <v>1.1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Bọc mặt trong</t>
        </is>
      </c>
    </row>
    <row r="102">
      <c r="A102" t="inlineStr">
        <is>
          <t>SW-FLEX-235-TM</t>
        </is>
      </c>
      <c r="B102" t="inlineStr">
        <is>
          <t>SW-FLEX-235</t>
        </is>
      </c>
      <c r="C102" t="inlineStr">
        <is>
          <t>ỐNG GIÓ LẠNH Ống gió mềm D400 cách nhiệt dày 25mm</t>
        </is>
      </c>
      <c r="D102" t="inlineStr">
        <is>
          <t>ONG_MEM</t>
        </is>
      </c>
      <c r="E102" t="inlineStr">
        <is>
          <t>FLEX_DUCT_D400_INSUL</t>
        </is>
      </c>
      <c r="F102" t="inlineStr">
        <is>
          <t>ống</t>
        </is>
      </c>
      <c r="G102" s="394" t="n">
        <v>0.125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Ống mềm quy đổi chuẩn 8m/ống</t>
        </is>
      </c>
    </row>
    <row r="103">
      <c r="A103" t="inlineStr">
        <is>
          <t>SW-FLEX-236-TM</t>
        </is>
      </c>
      <c r="B103" t="inlineStr">
        <is>
          <t>SW-FLEX-236</t>
        </is>
      </c>
      <c r="C103" t="inlineStr">
        <is>
          <t>ỐNG GIÓ LẠNH Ống gió mềm D350 cách nhiệt dày 25mm</t>
        </is>
      </c>
      <c r="D103" t="inlineStr">
        <is>
          <t>ONG_MEM</t>
        </is>
      </c>
      <c r="E103" t="inlineStr">
        <is>
          <t>FLEX_DUCT_D350_INSUL</t>
        </is>
      </c>
      <c r="F103" t="inlineStr">
        <is>
          <t>ống</t>
        </is>
      </c>
      <c r="G103" s="394" t="n">
        <v>0.125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Ống mềm quy đổi chuẩn 8m/ống</t>
        </is>
      </c>
    </row>
    <row r="104">
      <c r="A104" t="inlineStr">
        <is>
          <t>SW-FLEX-237-TM</t>
        </is>
      </c>
      <c r="B104" t="inlineStr">
        <is>
          <t>SW-FLEX-237</t>
        </is>
      </c>
      <c r="C104" t="inlineStr">
        <is>
          <t>ỐNG GIÓ LẠNH Ống gió mềm D300 cách nhiệt dày 25mm</t>
        </is>
      </c>
      <c r="D104" t="inlineStr">
        <is>
          <t>ONG_MEM</t>
        </is>
      </c>
      <c r="E104" t="inlineStr">
        <is>
          <t>FLEX_DUCT_D300_INSUL</t>
        </is>
      </c>
      <c r="F104" t="inlineStr">
        <is>
          <t>ống</t>
        </is>
      </c>
      <c r="G104" s="394" t="n">
        <v>0.125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Ống mềm quy đổi chuẩn 8m/ống</t>
        </is>
      </c>
    </row>
    <row r="105">
      <c r="A105" t="inlineStr">
        <is>
          <t>SW-FLEX-238-TM</t>
        </is>
      </c>
      <c r="B105" t="inlineStr">
        <is>
          <t>SW-FLEX-238</t>
        </is>
      </c>
      <c r="C105" t="inlineStr">
        <is>
          <t>ỐNG GIÓ LẠNH Ống gió mềm D250 cách nhiệt dày 25mm</t>
        </is>
      </c>
      <c r="D105" t="inlineStr">
        <is>
          <t>ONG_MEM</t>
        </is>
      </c>
      <c r="E105" t="inlineStr">
        <is>
          <t>FLEX_DUCT_D250_INSUL</t>
        </is>
      </c>
      <c r="F105" t="inlineStr">
        <is>
          <t>ống</t>
        </is>
      </c>
      <c r="G105" s="394" t="n">
        <v>0.125</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Ống mềm quy đổi chuẩn 8m/ống</t>
        </is>
      </c>
    </row>
    <row r="106">
      <c r="A106" t="inlineStr">
        <is>
          <t>SW-FLEX-239-TM</t>
        </is>
      </c>
      <c r="B106" t="inlineStr">
        <is>
          <t>SW-FLEX-239</t>
        </is>
      </c>
      <c r="C106" t="inlineStr">
        <is>
          <t>ỐNG GIÓ LẠNH Ống gió mềm D400 không cách nhiệt</t>
        </is>
      </c>
      <c r="D106" t="inlineStr">
        <is>
          <t>ONG_MEM</t>
        </is>
      </c>
      <c r="E106" t="inlineStr">
        <is>
          <t>FLEX_DUCT_D400_NON_INSUL</t>
        </is>
      </c>
      <c r="F106" t="inlineStr">
        <is>
          <t>ống</t>
        </is>
      </c>
      <c r="G106" s="394" t="n">
        <v>0.125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Ống mềm quy đổi chuẩn 8m/ống</t>
        </is>
      </c>
    </row>
    <row r="107">
      <c r="A107" t="inlineStr">
        <is>
          <t>SW-FLEX-240-TM</t>
        </is>
      </c>
      <c r="B107" t="inlineStr">
        <is>
          <t>SW-FLEX-240</t>
        </is>
      </c>
      <c r="C107" t="inlineStr">
        <is>
          <t>ỐNG GIÓ LẠNH Ống gió mềm D350 không cách nhiệt</t>
        </is>
      </c>
      <c r="D107" t="inlineStr">
        <is>
          <t>ONG_MEM</t>
        </is>
      </c>
      <c r="E107" t="inlineStr">
        <is>
          <t>FLEX_DUCT_D350_NON_INSUL</t>
        </is>
      </c>
      <c r="F107" t="inlineStr">
        <is>
          <t>ống</t>
        </is>
      </c>
      <c r="G107" s="394" t="n">
        <v>0.125</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Ống mềm quy đổi chuẩn 8m/ống</t>
        </is>
      </c>
    </row>
    <row r="108">
      <c r="A108" t="inlineStr">
        <is>
          <t>SW-FLEX-241-TM</t>
        </is>
      </c>
      <c r="B108" t="inlineStr">
        <is>
          <t>SW-FLEX-241</t>
        </is>
      </c>
      <c r="C108" t="inlineStr">
        <is>
          <t>ỐNG GIÓ LẠNH Ống gió mềm D300 không cách nhiệt</t>
        </is>
      </c>
      <c r="D108" t="inlineStr">
        <is>
          <t>ONG_MEM</t>
        </is>
      </c>
      <c r="E108" t="inlineStr">
        <is>
          <t>FLEX_DUCT_D300_NON_INSUL</t>
        </is>
      </c>
      <c r="F108" t="inlineStr">
        <is>
          <t>ống</t>
        </is>
      </c>
      <c r="G108" s="394" t="n">
        <v>0.125</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Ống mềm quy đổi chuẩn 8m/ống</t>
        </is>
      </c>
    </row>
    <row r="109">
      <c r="A109" t="inlineStr">
        <is>
          <t>SW-FLEX-242-TM</t>
        </is>
      </c>
      <c r="B109" t="inlineStr">
        <is>
          <t>SW-FLEX-242</t>
        </is>
      </c>
      <c r="C109" t="inlineStr">
        <is>
          <t>ỐNG GIÓ LẠNH Ống gió mềm D250 không cách nhiệt</t>
        </is>
      </c>
      <c r="D109" t="inlineStr">
        <is>
          <t>ONG_MEM</t>
        </is>
      </c>
      <c r="E109" t="inlineStr">
        <is>
          <t>FLEX_DUCT_D250_NON_INSUL</t>
        </is>
      </c>
      <c r="F109" t="inlineStr">
        <is>
          <t>ống</t>
        </is>
      </c>
      <c r="G109" s="394" t="n">
        <v>0.125</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Ống mềm quy đổi chuẩn 8m/ống</t>
        </is>
      </c>
    </row>
    <row r="110">
      <c r="A110" t="inlineStr">
        <is>
          <t>SW-TRD-243-TM</t>
        </is>
      </c>
      <c r="B110" t="inlineStr">
        <is>
          <t>SW-TRD-243</t>
        </is>
      </c>
      <c r="C110" t="inlineStr">
        <is>
          <t>ỐNG GIÓ LẠNH Vật tư phụ, phụ kiện</t>
        </is>
      </c>
      <c r="D110" t="inlineStr">
        <is>
          <t>THUONG_MAI</t>
        </is>
      </c>
      <c r="E110" t="inlineStr">
        <is>
          <t>MAT-THUONG_MAI-VAT_TU_PHU_PHU_KIEN</t>
        </is>
      </c>
      <c r="F110" t="inlineStr">
        <is>
          <t>Lô</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SW-TRD-244-TM</t>
        </is>
      </c>
      <c r="B111" t="inlineStr">
        <is>
          <t>SW-TRD-244</t>
        </is>
      </c>
      <c r="C111" t="inlineStr">
        <is>
          <t>ỐNG ĐỒNG, BẢO ÔN Vật tư phụ, phụ kiện</t>
        </is>
      </c>
      <c r="D111" t="inlineStr">
        <is>
          <t>THUONG_MAI</t>
        </is>
      </c>
      <c r="E111" t="inlineStr">
        <is>
          <t>MAT-THUONG_MAI-VAT_TU_PHU_PHU_KIEN</t>
        </is>
      </c>
      <c r="F111" t="inlineStr">
        <is>
          <t>Lô</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SW-DUCT-245-BODY</t>
        </is>
      </c>
      <c r="B112" t="inlineStr">
        <is>
          <t>SW-DUCT-245</t>
        </is>
      </c>
      <c r="C112" t="inlineStr">
        <is>
          <t>Tôn mạ kẽm PN (1.48mm) - Định mức mét dài</t>
        </is>
      </c>
      <c r="D112" t="inlineStr">
        <is>
          <t>TÔN_CUỘN_MẠ_KẼM</t>
        </is>
      </c>
      <c r="E112" t="inlineStr">
        <is>
          <t>MAT-STEEL-PN-1.48</t>
        </is>
      </c>
      <c r="F112" t="inlineStr">
        <is>
          <t>kg</t>
        </is>
      </c>
      <c r="G112" s="394" t="n">
        <v>14.74968999</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Quy cách 400x150mm, Chu vi phôi 1.130m</t>
        </is>
      </c>
    </row>
    <row r="113">
      <c r="A113" t="inlineStr">
        <is>
          <t>SW-DUCT-246-BODY</t>
        </is>
      </c>
      <c r="B113" t="inlineStr">
        <is>
          <t>SW-DUCT-246</t>
        </is>
      </c>
      <c r="C113" t="inlineStr">
        <is>
          <t>Tôn mạ kẽm PN (1.48mm) - Định mức mét dài</t>
        </is>
      </c>
      <c r="D113" t="inlineStr">
        <is>
          <t>TÔN_CUỘN_MẠ_KẼM</t>
        </is>
      </c>
      <c r="E113" t="inlineStr">
        <is>
          <t>MAT-STEEL-PN-1.48</t>
        </is>
      </c>
      <c r="F113" t="inlineStr">
        <is>
          <t>kg</t>
        </is>
      </c>
      <c r="G113" s="394" t="n">
        <v>17.36025459</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Quy cách 400x250mm, Chu vi phôi 1.330m</t>
        </is>
      </c>
    </row>
    <row r="114">
      <c r="A114" t="inlineStr">
        <is>
          <t>SW-DUCT-247-BODY</t>
        </is>
      </c>
      <c r="B114" t="inlineStr">
        <is>
          <t>SW-DUCT-247</t>
        </is>
      </c>
      <c r="C114" t="inlineStr">
        <is>
          <t>Tôn mạ kẽm PN (1.48mm) - Định mức mét dài</t>
        </is>
      </c>
      <c r="D114" t="inlineStr">
        <is>
          <t>TÔN_CUỘN_MẠ_KẼM</t>
        </is>
      </c>
      <c r="E114" t="inlineStr">
        <is>
          <t>MAT-STEEL-PN-1.48</t>
        </is>
      </c>
      <c r="F114" t="inlineStr">
        <is>
          <t>kg</t>
        </is>
      </c>
      <c r="G114" s="394" t="n">
        <v>19.97081919</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Quy cách 400x350mm, Chu vi phôi 1.530m</t>
        </is>
      </c>
    </row>
    <row r="115">
      <c r="A115" t="inlineStr">
        <is>
          <t>SW-DUCT-248-BODY</t>
        </is>
      </c>
      <c r="B115" t="inlineStr">
        <is>
          <t>SW-DUCT-248</t>
        </is>
      </c>
      <c r="C115" t="inlineStr">
        <is>
          <t>Tôn mạ kẽm PN (1.48mm) - Định mức mét dài</t>
        </is>
      </c>
      <c r="D115" t="inlineStr">
        <is>
          <t>TÔN_CUỘN_MẠ_KẼM</t>
        </is>
      </c>
      <c r="E115" t="inlineStr">
        <is>
          <t>MAT-STEEL-PN-1.48</t>
        </is>
      </c>
      <c r="F115" t="inlineStr">
        <is>
          <t>kg</t>
        </is>
      </c>
      <c r="G115" s="394" t="n">
        <v>18.66553689</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Quy cách 500x200mm, Chu vi phôi 1.430m</t>
        </is>
      </c>
    </row>
    <row r="116">
      <c r="A116" t="inlineStr">
        <is>
          <t>SW-DUCT-249-BODY</t>
        </is>
      </c>
      <c r="B116" t="inlineStr">
        <is>
          <t>SW-DUCT-249</t>
        </is>
      </c>
      <c r="C116" t="inlineStr">
        <is>
          <t>Tôn mạ kẽm PN (1.48mm) - Định mức mét dài</t>
        </is>
      </c>
      <c r="D116" t="inlineStr">
        <is>
          <t>TÔN_CUỘN_MẠ_KẼM</t>
        </is>
      </c>
      <c r="E116" t="inlineStr">
        <is>
          <t>MAT-STEEL-PN-1.48</t>
        </is>
      </c>
      <c r="F116" t="inlineStr">
        <is>
          <t>kg</t>
        </is>
      </c>
      <c r="G116" s="394" t="n">
        <v>19.97081919</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Quy cách 500x250mm, Chu vi phôi 1.530m</t>
        </is>
      </c>
    </row>
    <row r="117">
      <c r="A117" t="inlineStr">
        <is>
          <t>SW-DUCT-250-BODY</t>
        </is>
      </c>
      <c r="B117" t="inlineStr">
        <is>
          <t>SW-DUCT-250</t>
        </is>
      </c>
      <c r="C117" t="inlineStr">
        <is>
          <t>Tôn mạ kẽm PN (1.48mm) - Định mức mét dài</t>
        </is>
      </c>
      <c r="D117" t="inlineStr">
        <is>
          <t>TÔN_CUỘN_MẠ_KẼM</t>
        </is>
      </c>
      <c r="E117" t="inlineStr">
        <is>
          <t>MAT-STEEL-PN-1.48</t>
        </is>
      </c>
      <c r="F117" t="inlineStr">
        <is>
          <t>kg</t>
        </is>
      </c>
      <c r="G117" s="394" t="n">
        <v>21.27610149</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Quy cách 500x300mm, Chu vi phôi 1.630m</t>
        </is>
      </c>
    </row>
    <row r="118">
      <c r="A118" t="inlineStr">
        <is>
          <t>SW-DUCT-251-BODY</t>
        </is>
      </c>
      <c r="B118" t="inlineStr">
        <is>
          <t>SW-DUCT-251</t>
        </is>
      </c>
      <c r="C118" t="inlineStr">
        <is>
          <t>Tôn mạ kẽm PN (1.48mm) - Định mức mét dài</t>
        </is>
      </c>
      <c r="D118" t="inlineStr">
        <is>
          <t>TÔN_CUỘN_MẠ_KẼM</t>
        </is>
      </c>
      <c r="E118" t="inlineStr">
        <is>
          <t>MAT-STEEL-PN-1.48</t>
        </is>
      </c>
      <c r="F118" t="inlineStr">
        <is>
          <t>kg</t>
        </is>
      </c>
      <c r="G118" s="394" t="n">
        <v>21.27610149</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Quy cách 500x300mm, Chu vi phôi 1.630m</t>
        </is>
      </c>
    </row>
    <row r="119">
      <c r="A119" t="inlineStr">
        <is>
          <t>SW-DUCT-252-BODY</t>
        </is>
      </c>
      <c r="B119" t="inlineStr">
        <is>
          <t>SW-DUCT-252</t>
        </is>
      </c>
      <c r="C119" t="inlineStr">
        <is>
          <t>Tôn mạ kẽm PN (1.48mm) - Định mức mét dài</t>
        </is>
      </c>
      <c r="D119" t="inlineStr">
        <is>
          <t>TÔN_CUỘN_MẠ_KẼM</t>
        </is>
      </c>
      <c r="E119" t="inlineStr">
        <is>
          <t>MAT-STEEL-PN-1.48</t>
        </is>
      </c>
      <c r="F119" t="inlineStr">
        <is>
          <t>kg</t>
        </is>
      </c>
      <c r="G119" s="394" t="n">
        <v>21.27610149</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Quy cách 600x200mm, Chu vi phôi 1.630m</t>
        </is>
      </c>
    </row>
    <row r="120">
      <c r="A120" t="inlineStr">
        <is>
          <t>SW-DUCT-253-BODY</t>
        </is>
      </c>
      <c r="B120" t="inlineStr">
        <is>
          <t>SW-DUCT-253</t>
        </is>
      </c>
      <c r="C120" t="inlineStr">
        <is>
          <t>Tôn mạ kẽm PN (1.48mm) - Định mức mét dài</t>
        </is>
      </c>
      <c r="D120" t="inlineStr">
        <is>
          <t>TÔN_CUỘN_MẠ_KẼM</t>
        </is>
      </c>
      <c r="E120" t="inlineStr">
        <is>
          <t>MAT-STEEL-PN-1.48</t>
        </is>
      </c>
      <c r="F120" t="inlineStr">
        <is>
          <t>kg</t>
        </is>
      </c>
      <c r="G120" s="394" t="n">
        <v>22.58138379</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Quy cách 600x250mm, Chu vi phôi 1.730m</t>
        </is>
      </c>
    </row>
    <row r="121">
      <c r="A121" t="inlineStr">
        <is>
          <t>SW-DUCT-254-BODY</t>
        </is>
      </c>
      <c r="B121" t="inlineStr">
        <is>
          <t>SW-DUCT-254</t>
        </is>
      </c>
      <c r="C121" t="inlineStr">
        <is>
          <t>Tôn mạ kẽm PN (1.48mm) - Định mức mét dài</t>
        </is>
      </c>
      <c r="D121" t="inlineStr">
        <is>
          <t>TÔN_CUỘN_MẠ_KẼM</t>
        </is>
      </c>
      <c r="E121" t="inlineStr">
        <is>
          <t>MAT-STEEL-PN-1.48</t>
        </is>
      </c>
      <c r="F121" t="inlineStr">
        <is>
          <t>kg</t>
        </is>
      </c>
      <c r="G121" s="394" t="n">
        <v>23.88666609</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Quy cách 600x300mm, Chu vi phôi 1.830m</t>
        </is>
      </c>
    </row>
    <row r="122">
      <c r="A122" t="inlineStr">
        <is>
          <t>SW-DUCT-255-BODY</t>
        </is>
      </c>
      <c r="B122" t="inlineStr">
        <is>
          <t>SW-DUCT-255</t>
        </is>
      </c>
      <c r="C122" t="inlineStr">
        <is>
          <t>Tôn mạ kẽm PN (1.48mm) - Định mức mét dài</t>
        </is>
      </c>
      <c r="D122" t="inlineStr">
        <is>
          <t>TÔN_CUỘN_MẠ_KẼM</t>
        </is>
      </c>
      <c r="E122" t="inlineStr">
        <is>
          <t>MAT-STEEL-PN-1.48</t>
        </is>
      </c>
      <c r="F122" t="inlineStr">
        <is>
          <t>kg</t>
        </is>
      </c>
      <c r="G122" s="394" t="n">
        <v>25.19194839</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Quy cách 600x350mm, Chu vi phôi 1.930m</t>
        </is>
      </c>
    </row>
    <row r="123">
      <c r="A123" t="inlineStr">
        <is>
          <t>SW-DUCT-256-BODY</t>
        </is>
      </c>
      <c r="B123" t="inlineStr">
        <is>
          <t>SW-DUCT-256</t>
        </is>
      </c>
      <c r="C123" t="inlineStr">
        <is>
          <t>Tôn mạ kẽm PN (1.48mm) - Định mức mét dài</t>
        </is>
      </c>
      <c r="D123" t="inlineStr">
        <is>
          <t>TÔN_CUỘN_MẠ_KẼM</t>
        </is>
      </c>
      <c r="E123" t="inlineStr">
        <is>
          <t>MAT-STEEL-PN-1.48</t>
        </is>
      </c>
      <c r="F123" t="inlineStr">
        <is>
          <t>kg</t>
        </is>
      </c>
      <c r="G123" s="394" t="n">
        <v>27.80251299</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Quy cách 850x200mm, Chu vi phôi 2.130m</t>
        </is>
      </c>
    </row>
    <row r="124">
      <c r="A124" t="inlineStr">
        <is>
          <t>SW-DUCT-257-BODY</t>
        </is>
      </c>
      <c r="B124" t="inlineStr">
        <is>
          <t>SW-DUCT-257</t>
        </is>
      </c>
      <c r="C124" t="inlineStr">
        <is>
          <t>Tôn mạ kẽm PN (1.48mm) - Định mức mét dài</t>
        </is>
      </c>
      <c r="D124" t="inlineStr">
        <is>
          <t>TÔN_CUỘN_MẠ_KẼM</t>
        </is>
      </c>
      <c r="E124" t="inlineStr">
        <is>
          <t>MAT-STEEL-PN-1.48</t>
        </is>
      </c>
      <c r="F124" t="inlineStr">
        <is>
          <t>kg</t>
        </is>
      </c>
      <c r="G124" s="394" t="n">
        <v>33.02364219</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Quy cách 1000x250mm, Chu vi phôi 2.530m</t>
        </is>
      </c>
    </row>
    <row r="125">
      <c r="A125" t="inlineStr">
        <is>
          <t>SW-DUCT-258-BODY</t>
        </is>
      </c>
      <c r="B125" t="inlineStr">
        <is>
          <t>SW-DUCT-258</t>
        </is>
      </c>
      <c r="C125" t="inlineStr">
        <is>
          <t>Tôn mạ kẽm PN (1.48mm) - Định mức mét dài</t>
        </is>
      </c>
      <c r="D125" t="inlineStr">
        <is>
          <t>TÔN_CUỘN_MẠ_KẼM</t>
        </is>
      </c>
      <c r="E125" t="inlineStr">
        <is>
          <t>MAT-STEEL-PN-1.48</t>
        </is>
      </c>
      <c r="F125" t="inlineStr">
        <is>
          <t>kg</t>
        </is>
      </c>
      <c r="G125" s="394" t="n">
        <v>36.93948909</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Quy cách 1200x200mm, Chu vi phôi 2.830m</t>
        </is>
      </c>
    </row>
    <row r="126">
      <c r="A126" t="inlineStr">
        <is>
          <t>SW-DUCT-259-BODY</t>
        </is>
      </c>
      <c r="B126" t="inlineStr">
        <is>
          <t>SW-DUCT-259</t>
        </is>
      </c>
      <c r="C126" t="inlineStr">
        <is>
          <t>Tôn mạ kẽm PN (1.48mm) - Định mức mét dài</t>
        </is>
      </c>
      <c r="D126" t="inlineStr">
        <is>
          <t>TÔN_CUỘN_MẠ_KẼM</t>
        </is>
      </c>
      <c r="E126" t="inlineStr">
        <is>
          <t>MAT-STEEL-PN-1.48</t>
        </is>
      </c>
      <c r="F126" t="inlineStr">
        <is>
          <t>kg</t>
        </is>
      </c>
      <c r="G126" s="394" t="n">
        <v>51.29759439000001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Quy cách 1700x250mm, Chu vi phôi 3.930m</t>
        </is>
      </c>
    </row>
    <row r="127">
      <c r="A127" t="inlineStr">
        <is>
          <t>SW-TRD-260-TM</t>
        </is>
      </c>
      <c r="B127" t="inlineStr">
        <is>
          <t>SW-TRD-260</t>
        </is>
      </c>
      <c r="C127" t="inlineStr">
        <is>
          <t>MÁNG TÔN ZAM (ĐI ỐNG ĐỒNG NGOÀI TRỜI), KÈM NẮP Vật tư phụ, phụ kiện</t>
        </is>
      </c>
      <c r="D127" t="inlineStr">
        <is>
          <t>THUONG_MAI</t>
        </is>
      </c>
      <c r="E127" t="inlineStr">
        <is>
          <t>MAT-THUONG_MAI-VAT_TU_PHU_PHU_KIEN</t>
        </is>
      </c>
      <c r="F127" t="inlineStr">
        <is>
          <t>Lô</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SW-ACST-261-BODY</t>
        </is>
      </c>
      <c r="B128" t="inlineStr">
        <is>
          <t>SW-ACST-261</t>
        </is>
      </c>
      <c r="C128" t="inlineStr">
        <is>
          <t>Vỏ tôn hộp tiêu âm PN (0.58mm)</t>
        </is>
      </c>
      <c r="D128" t="inlineStr">
        <is>
          <t>TÔN_CUỘN_MẠ_KẼM</t>
        </is>
      </c>
      <c r="E128" t="inlineStr">
        <is>
          <t>MAT-STEEL-PN-0.58</t>
        </is>
      </c>
      <c r="F128" t="inlineStr">
        <is>
          <t>kg</t>
        </is>
      </c>
      <c r="G128" s="394" t="n">
        <v>5.235949999999999</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Vỏ tôn bao ngoài (1.00m2)</t>
        </is>
      </c>
    </row>
    <row r="129">
      <c r="A129" t="inlineStr">
        <is>
          <t>SW-ACST-261-ROCKWOOL</t>
        </is>
      </c>
      <c r="B129" t="inlineStr">
        <is>
          <t>SW-ACST-261</t>
        </is>
      </c>
      <c r="C129" t="inlineStr">
        <is>
          <t>Bông Rockwool tỷ trọng 50kg/m3 dày 50mm</t>
        </is>
      </c>
      <c r="D129" t="inlineStr">
        <is>
          <t>VẬT_LIỆU_TIÊU_ÂM</t>
        </is>
      </c>
      <c r="E129" t="inlineStr">
        <is>
          <t>ROCKWOOL_50MM_50KG</t>
        </is>
      </c>
      <c r="F129" t="inlineStr">
        <is>
          <t>m2</t>
        </is>
      </c>
      <c r="G129" s="394" t="n">
        <v>1.1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Diện tích tiêu âm 1.00m2</t>
        </is>
      </c>
    </row>
    <row r="130">
      <c r="A130" t="inlineStr">
        <is>
          <t>SW-ACST-261-GLASSCLOTH</t>
        </is>
      </c>
      <c r="B130" t="inlineStr">
        <is>
          <t>SW-ACST-261</t>
        </is>
      </c>
      <c r="C130" t="inlineStr">
        <is>
          <t>Vải thủy tinh bọc tiêu âm</t>
        </is>
      </c>
      <c r="D130" t="inlineStr">
        <is>
          <t>VẬT_LIỆU_TIÊU_ÂM</t>
        </is>
      </c>
      <c r="E130" t="inlineStr">
        <is>
          <t>GLASS_CLOTH</t>
        </is>
      </c>
      <c r="F130" t="inlineStr">
        <is>
          <t>m2</t>
        </is>
      </c>
      <c r="G130" s="394" t="n">
        <v>1.1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Diện tích tiêu âm 1.00m2</t>
        </is>
      </c>
    </row>
    <row r="131">
      <c r="A131" t="inlineStr">
        <is>
          <t>SW-ACST-261-PERFORATED</t>
        </is>
      </c>
      <c r="B131" t="inlineStr">
        <is>
          <t>SW-ACST-261</t>
        </is>
      </c>
      <c r="C131" t="inlineStr">
        <is>
          <t>Tôn đục lỗ tiêu âm</t>
        </is>
      </c>
      <c r="D131" t="inlineStr">
        <is>
          <t>VẬT_LIỆU_TIÊU_ÂM</t>
        </is>
      </c>
      <c r="E131" t="inlineStr">
        <is>
          <t>PERFORATED_SHEET</t>
        </is>
      </c>
      <c r="F131" t="inlineStr">
        <is>
          <t>m2</t>
        </is>
      </c>
      <c r="G131" s="394" t="n">
        <v>1.1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Bọc mặt trong</t>
        </is>
      </c>
    </row>
    <row r="132">
      <c r="A132" t="inlineStr">
        <is>
          <t>SW-ACST-262-BODY</t>
        </is>
      </c>
      <c r="B132" t="inlineStr">
        <is>
          <t>SW-ACST-262</t>
        </is>
      </c>
      <c r="C132" t="inlineStr">
        <is>
          <t>Vỏ tôn hộp tiêu âm PN (0.58mm)</t>
        </is>
      </c>
      <c r="D132" t="inlineStr">
        <is>
          <t>TÔN_CUỘN_MẠ_KẼM</t>
        </is>
      </c>
      <c r="E132" t="inlineStr">
        <is>
          <t>MAT-STEEL-PN-0.58</t>
        </is>
      </c>
      <c r="F132" t="inlineStr">
        <is>
          <t>kg</t>
        </is>
      </c>
      <c r="G132" s="394" t="n">
        <v>5.235949999999999</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Vỏ tôn bao ngoài (1.00m2)</t>
        </is>
      </c>
    </row>
    <row r="133">
      <c r="A133" t="inlineStr">
        <is>
          <t>SW-ACST-262-ROCKWOOL</t>
        </is>
      </c>
      <c r="B133" t="inlineStr">
        <is>
          <t>SW-ACST-262</t>
        </is>
      </c>
      <c r="C133" t="inlineStr">
        <is>
          <t>Bông Rockwool tỷ trọng 50kg/m3 dày 50mm</t>
        </is>
      </c>
      <c r="D133" t="inlineStr">
        <is>
          <t>VẬT_LIỆU_TIÊU_ÂM</t>
        </is>
      </c>
      <c r="E133" t="inlineStr">
        <is>
          <t>ROCKWOOL_50MM_50KG</t>
        </is>
      </c>
      <c r="F133" t="inlineStr">
        <is>
          <t>m2</t>
        </is>
      </c>
      <c r="G133" s="394" t="n">
        <v>1.1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Diện tích tiêu âm 1.00m2</t>
        </is>
      </c>
    </row>
    <row r="134">
      <c r="A134" t="inlineStr">
        <is>
          <t>SW-ACST-262-GLASSCLOTH</t>
        </is>
      </c>
      <c r="B134" t="inlineStr">
        <is>
          <t>SW-ACST-262</t>
        </is>
      </c>
      <c r="C134" t="inlineStr">
        <is>
          <t>Vải thủy tinh bọc tiêu âm</t>
        </is>
      </c>
      <c r="D134" t="inlineStr">
        <is>
          <t>VẬT_LIỆU_TIÊU_ÂM</t>
        </is>
      </c>
      <c r="E134" t="inlineStr">
        <is>
          <t>GLASS_CLOTH</t>
        </is>
      </c>
      <c r="F134" t="inlineStr">
        <is>
          <t>m2</t>
        </is>
      </c>
      <c r="G134" s="394" t="n">
        <v>1.1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Diện tích tiêu âm 1.00m2</t>
        </is>
      </c>
    </row>
    <row r="135">
      <c r="A135" t="inlineStr">
        <is>
          <t>SW-ACST-262-PERFORATED</t>
        </is>
      </c>
      <c r="B135" t="inlineStr">
        <is>
          <t>SW-ACST-262</t>
        </is>
      </c>
      <c r="C135" t="inlineStr">
        <is>
          <t>Tôn đục lỗ tiêu âm</t>
        </is>
      </c>
      <c r="D135" t="inlineStr">
        <is>
          <t>VẬT_LIỆU_TIÊU_ÂM</t>
        </is>
      </c>
      <c r="E135" t="inlineStr">
        <is>
          <t>PERFORATED_SHEET</t>
        </is>
      </c>
      <c r="F135" t="inlineStr">
        <is>
          <t>m2</t>
        </is>
      </c>
      <c r="G135" s="394" t="n">
        <v>1.1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Bọc mặt trong</t>
        </is>
      </c>
    </row>
    <row r="136">
      <c r="A136" t="inlineStr">
        <is>
          <t>SW-ACST-263-BODY</t>
        </is>
      </c>
      <c r="B136" t="inlineStr">
        <is>
          <t>SW-ACST-263</t>
        </is>
      </c>
      <c r="C136" t="inlineStr">
        <is>
          <t>Vỏ tôn hộp tiêu âm PN (0.58mm)</t>
        </is>
      </c>
      <c r="D136" t="inlineStr">
        <is>
          <t>TÔN_CUỘN_MẠ_KẼM</t>
        </is>
      </c>
      <c r="E136" t="inlineStr">
        <is>
          <t>MAT-STEEL-PN-0.58</t>
        </is>
      </c>
      <c r="F136" t="inlineStr">
        <is>
          <t>kg</t>
        </is>
      </c>
      <c r="G136" s="394" t="n">
        <v>5.235949999999999</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Vỏ tôn bao ngoài (1.00m2)</t>
        </is>
      </c>
    </row>
    <row r="137">
      <c r="A137" t="inlineStr">
        <is>
          <t>SW-ACST-263-ROCKWOOL</t>
        </is>
      </c>
      <c r="B137" t="inlineStr">
        <is>
          <t>SW-ACST-263</t>
        </is>
      </c>
      <c r="C137" t="inlineStr">
        <is>
          <t>Bông Rockwool tỷ trọng 50kg/m3 dày 50mm</t>
        </is>
      </c>
      <c r="D137" t="inlineStr">
        <is>
          <t>VẬT_LIỆU_TIÊU_ÂM</t>
        </is>
      </c>
      <c r="E137" t="inlineStr">
        <is>
          <t>ROCKWOOL_50MM_50KG</t>
        </is>
      </c>
      <c r="F137" t="inlineStr">
        <is>
          <t>m2</t>
        </is>
      </c>
      <c r="G137" s="394" t="n">
        <v>1.1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Diện tích tiêu âm 1.00m2</t>
        </is>
      </c>
    </row>
    <row r="138">
      <c r="A138" t="inlineStr">
        <is>
          <t>SW-ACST-263-GLASSCLOTH</t>
        </is>
      </c>
      <c r="B138" t="inlineStr">
        <is>
          <t>SW-ACST-263</t>
        </is>
      </c>
      <c r="C138" t="inlineStr">
        <is>
          <t>Vải thủy tinh bọc tiêu âm</t>
        </is>
      </c>
      <c r="D138" t="inlineStr">
        <is>
          <t>VẬT_LIỆU_TIÊU_ÂM</t>
        </is>
      </c>
      <c r="E138" t="inlineStr">
        <is>
          <t>GLASS_CLOTH</t>
        </is>
      </c>
      <c r="F138" t="inlineStr">
        <is>
          <t>m2</t>
        </is>
      </c>
      <c r="G138" s="394" t="n">
        <v>1.1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Diện tích tiêu âm 1.00m2</t>
        </is>
      </c>
    </row>
    <row r="139">
      <c r="A139" t="inlineStr">
        <is>
          <t>SW-ACST-263-PERFORATED</t>
        </is>
      </c>
      <c r="B139" t="inlineStr">
        <is>
          <t>SW-ACST-263</t>
        </is>
      </c>
      <c r="C139" t="inlineStr">
        <is>
          <t>Tôn đục lỗ tiêu âm</t>
        </is>
      </c>
      <c r="D139" t="inlineStr">
        <is>
          <t>VẬT_LIỆU_TIÊU_ÂM</t>
        </is>
      </c>
      <c r="E139" t="inlineStr">
        <is>
          <t>PERFORATED_SHEET</t>
        </is>
      </c>
      <c r="F139" t="inlineStr">
        <is>
          <t>m2</t>
        </is>
      </c>
      <c r="G139" s="394" t="n">
        <v>1.1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Bọc mặt trong</t>
        </is>
      </c>
    </row>
    <row r="140">
      <c r="A140" t="inlineStr">
        <is>
          <t>SW-ACST-264-BODY</t>
        </is>
      </c>
      <c r="B140" t="inlineStr">
        <is>
          <t>SW-ACST-264</t>
        </is>
      </c>
      <c r="C140" t="inlineStr">
        <is>
          <t>Vỏ tôn hộp tiêu âm PN (0.58mm)</t>
        </is>
      </c>
      <c r="D140" t="inlineStr">
        <is>
          <t>TÔN_CUỘN_MẠ_KẼM</t>
        </is>
      </c>
      <c r="E140" t="inlineStr">
        <is>
          <t>MAT-STEEL-PN-0.58</t>
        </is>
      </c>
      <c r="F140" t="inlineStr">
        <is>
          <t>kg</t>
        </is>
      </c>
      <c r="G140" s="394" t="n">
        <v>5.235949999999999</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Vỏ tôn bao ngoài (1.00m2)</t>
        </is>
      </c>
    </row>
    <row r="141">
      <c r="A141" t="inlineStr">
        <is>
          <t>SW-ACST-264-ROCKWOOL</t>
        </is>
      </c>
      <c r="B141" t="inlineStr">
        <is>
          <t>SW-ACST-264</t>
        </is>
      </c>
      <c r="C141" t="inlineStr">
        <is>
          <t>Bông Rockwool tỷ trọng 50kg/m3 dày 50mm</t>
        </is>
      </c>
      <c r="D141" t="inlineStr">
        <is>
          <t>VẬT_LIỆU_TIÊU_ÂM</t>
        </is>
      </c>
      <c r="E141" t="inlineStr">
        <is>
          <t>ROCKWOOL_50MM_50KG</t>
        </is>
      </c>
      <c r="F141" t="inlineStr">
        <is>
          <t>m2</t>
        </is>
      </c>
      <c r="G141" s="394" t="n">
        <v>1.1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Diện tích tiêu âm 1.00m2</t>
        </is>
      </c>
    </row>
    <row r="142">
      <c r="A142" t="inlineStr">
        <is>
          <t>SW-ACST-264-GLASSCLOTH</t>
        </is>
      </c>
      <c r="B142" t="inlineStr">
        <is>
          <t>SW-ACST-264</t>
        </is>
      </c>
      <c r="C142" t="inlineStr">
        <is>
          <t>Vải thủy tinh bọc tiêu âm</t>
        </is>
      </c>
      <c r="D142" t="inlineStr">
        <is>
          <t>VẬT_LIỆU_TIÊU_ÂM</t>
        </is>
      </c>
      <c r="E142" t="inlineStr">
        <is>
          <t>GLASS_CLOTH</t>
        </is>
      </c>
      <c r="F142" t="inlineStr">
        <is>
          <t>m2</t>
        </is>
      </c>
      <c r="G142" s="394" t="n">
        <v>1.1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Diện tích tiêu âm 1.00m2</t>
        </is>
      </c>
    </row>
    <row r="143">
      <c r="A143" t="inlineStr">
        <is>
          <t>SW-ACST-264-PERFORATED</t>
        </is>
      </c>
      <c r="B143" t="inlineStr">
        <is>
          <t>SW-ACST-264</t>
        </is>
      </c>
      <c r="C143" t="inlineStr">
        <is>
          <t>Tôn đục lỗ tiêu âm</t>
        </is>
      </c>
      <c r="D143" t="inlineStr">
        <is>
          <t>VẬT_LIỆU_TIÊU_ÂM</t>
        </is>
      </c>
      <c r="E143" t="inlineStr">
        <is>
          <t>PERFORATED_SHEET</t>
        </is>
      </c>
      <c r="F143" t="inlineStr">
        <is>
          <t>m2</t>
        </is>
      </c>
      <c r="G143" s="394" t="n">
        <v>1.1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Bọc mặt trong</t>
        </is>
      </c>
    </row>
    <row r="144">
      <c r="A144" t="inlineStr">
        <is>
          <t>SW-ACST-265-BODY</t>
        </is>
      </c>
      <c r="B144" t="inlineStr">
        <is>
          <t>SW-ACST-265</t>
        </is>
      </c>
      <c r="C144" t="inlineStr">
        <is>
          <t>Vỏ tôn hộp tiêu âm PN (0.58mm)</t>
        </is>
      </c>
      <c r="D144" t="inlineStr">
        <is>
          <t>TÔN_CUỘN_MẠ_KẼM</t>
        </is>
      </c>
      <c r="E144" t="inlineStr">
        <is>
          <t>MAT-STEEL-PN-0.58</t>
        </is>
      </c>
      <c r="F144" t="inlineStr">
        <is>
          <t>kg</t>
        </is>
      </c>
      <c r="G144" s="394" t="n">
        <v>5.235949999999999</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Vỏ tôn bao ngoài (1.00m2)</t>
        </is>
      </c>
    </row>
    <row r="145">
      <c r="A145" t="inlineStr">
        <is>
          <t>SW-ACST-265-ROCKWOOL</t>
        </is>
      </c>
      <c r="B145" t="inlineStr">
        <is>
          <t>SW-ACST-265</t>
        </is>
      </c>
      <c r="C145" t="inlineStr">
        <is>
          <t>Bông Rockwool tỷ trọng 50kg/m3 dày 50mm</t>
        </is>
      </c>
      <c r="D145" t="inlineStr">
        <is>
          <t>VẬT_LIỆU_TIÊU_ÂM</t>
        </is>
      </c>
      <c r="E145" t="inlineStr">
        <is>
          <t>ROCKWOOL_50MM_50KG</t>
        </is>
      </c>
      <c r="F145" t="inlineStr">
        <is>
          <t>m2</t>
        </is>
      </c>
      <c r="G145" s="394" t="n">
        <v>1.1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Diện tích tiêu âm 1.00m2</t>
        </is>
      </c>
    </row>
    <row r="146">
      <c r="A146" t="inlineStr">
        <is>
          <t>SW-ACST-265-GLASSCLOTH</t>
        </is>
      </c>
      <c r="B146" t="inlineStr">
        <is>
          <t>SW-ACST-265</t>
        </is>
      </c>
      <c r="C146" t="inlineStr">
        <is>
          <t>Vải thủy tinh bọc tiêu âm</t>
        </is>
      </c>
      <c r="D146" t="inlineStr">
        <is>
          <t>VẬT_LIỆU_TIÊU_ÂM</t>
        </is>
      </c>
      <c r="E146" t="inlineStr">
        <is>
          <t>GLASS_CLOTH</t>
        </is>
      </c>
      <c r="F146" t="inlineStr">
        <is>
          <t>m2</t>
        </is>
      </c>
      <c r="G146" s="394" t="n">
        <v>1.1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Diện tích tiêu âm 1.00m2</t>
        </is>
      </c>
    </row>
    <row r="147">
      <c r="A147" t="inlineStr">
        <is>
          <t>SW-ACST-265-PERFORATED</t>
        </is>
      </c>
      <c r="B147" t="inlineStr">
        <is>
          <t>SW-ACST-265</t>
        </is>
      </c>
      <c r="C147" t="inlineStr">
        <is>
          <t>Tôn đục lỗ tiêu âm</t>
        </is>
      </c>
      <c r="D147" t="inlineStr">
        <is>
          <t>VẬT_LIỆU_TIÊU_ÂM</t>
        </is>
      </c>
      <c r="E147" t="inlineStr">
        <is>
          <t>PERFORATED_SHEET</t>
        </is>
      </c>
      <c r="F147" t="inlineStr">
        <is>
          <t>m2</t>
        </is>
      </c>
      <c r="G147" s="394" t="n">
        <v>1.1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Bọc mặt trong</t>
        </is>
      </c>
    </row>
    <row r="148">
      <c r="A148" t="inlineStr">
        <is>
          <t>SW-ACST-266-BODY</t>
        </is>
      </c>
      <c r="B148" t="inlineStr">
        <is>
          <t>SW-ACST-266</t>
        </is>
      </c>
      <c r="C148" t="inlineStr">
        <is>
          <t>Vỏ tôn hộp tiêu âm PN (0.58mm)</t>
        </is>
      </c>
      <c r="D148" t="inlineStr">
        <is>
          <t>TÔN_CUỘN_MẠ_KẼM</t>
        </is>
      </c>
      <c r="E148" t="inlineStr">
        <is>
          <t>MAT-STEEL-PN-0.58</t>
        </is>
      </c>
      <c r="F148" t="inlineStr">
        <is>
          <t>kg</t>
        </is>
      </c>
      <c r="G148" s="394" t="n">
        <v>5.235949999999999</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Vỏ tôn bao ngoài (1.00m2)</t>
        </is>
      </c>
    </row>
    <row r="149">
      <c r="A149" t="inlineStr">
        <is>
          <t>SW-ACST-266-ROCKWOOL</t>
        </is>
      </c>
      <c r="B149" t="inlineStr">
        <is>
          <t>SW-ACST-266</t>
        </is>
      </c>
      <c r="C149" t="inlineStr">
        <is>
          <t>Bông Rockwool tỷ trọng 50kg/m3 dày 50mm</t>
        </is>
      </c>
      <c r="D149" t="inlineStr">
        <is>
          <t>VẬT_LIỆU_TIÊU_ÂM</t>
        </is>
      </c>
      <c r="E149" t="inlineStr">
        <is>
          <t>ROCKWOOL_50MM_50KG</t>
        </is>
      </c>
      <c r="F149" t="inlineStr">
        <is>
          <t>m2</t>
        </is>
      </c>
      <c r="G149" s="394" t="n">
        <v>1.1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Diện tích tiêu âm 1.00m2</t>
        </is>
      </c>
    </row>
    <row r="150">
      <c r="A150" t="inlineStr">
        <is>
          <t>SW-ACST-266-GLASSCLOTH</t>
        </is>
      </c>
      <c r="B150" t="inlineStr">
        <is>
          <t>SW-ACST-266</t>
        </is>
      </c>
      <c r="C150" t="inlineStr">
        <is>
          <t>Vải thủy tinh bọc tiêu âm</t>
        </is>
      </c>
      <c r="D150" t="inlineStr">
        <is>
          <t>VẬT_LIỆU_TIÊU_ÂM</t>
        </is>
      </c>
      <c r="E150" t="inlineStr">
        <is>
          <t>GLASS_CLOTH</t>
        </is>
      </c>
      <c r="F150" t="inlineStr">
        <is>
          <t>m2</t>
        </is>
      </c>
      <c r="G150" s="394" t="n">
        <v>1.1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Diện tích tiêu âm 1.00m2</t>
        </is>
      </c>
    </row>
    <row r="151">
      <c r="A151" t="inlineStr">
        <is>
          <t>SW-ACST-266-PERFORATED</t>
        </is>
      </c>
      <c r="B151" t="inlineStr">
        <is>
          <t>SW-ACST-266</t>
        </is>
      </c>
      <c r="C151" t="inlineStr">
        <is>
          <t>Tôn đục lỗ tiêu âm</t>
        </is>
      </c>
      <c r="D151" t="inlineStr">
        <is>
          <t>VẬT_LIỆU_TIÊU_ÂM</t>
        </is>
      </c>
      <c r="E151" t="inlineStr">
        <is>
          <t>PERFORATED_SHEET</t>
        </is>
      </c>
      <c r="F151" t="inlineStr">
        <is>
          <t>m2</t>
        </is>
      </c>
      <c r="G151" s="394" t="n">
        <v>1.1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Bọc mặt trong</t>
        </is>
      </c>
    </row>
    <row r="152">
      <c r="A152" t="inlineStr">
        <is>
          <t>SW-ACST-267-BODY</t>
        </is>
      </c>
      <c r="B152" t="inlineStr">
        <is>
          <t>SW-ACST-267</t>
        </is>
      </c>
      <c r="C152" t="inlineStr">
        <is>
          <t>Vỏ tôn hộp tiêu âm PN (0.58mm)</t>
        </is>
      </c>
      <c r="D152" t="inlineStr">
        <is>
          <t>TÔN_CUỘN_MẠ_KẼM</t>
        </is>
      </c>
      <c r="E152" t="inlineStr">
        <is>
          <t>MAT-STEEL-PN-0.58</t>
        </is>
      </c>
      <c r="F152" t="inlineStr">
        <is>
          <t>kg</t>
        </is>
      </c>
      <c r="G152" s="394" t="n">
        <v>5.235949999999999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Vỏ tôn bao ngoài (1.00m2)</t>
        </is>
      </c>
    </row>
    <row r="153">
      <c r="A153" t="inlineStr">
        <is>
          <t>SW-ACST-267-ROCKWOOL</t>
        </is>
      </c>
      <c r="B153" t="inlineStr">
        <is>
          <t>SW-ACST-267</t>
        </is>
      </c>
      <c r="C153" t="inlineStr">
        <is>
          <t>Bông Rockwool tỷ trọng 50kg/m3 dày 50mm</t>
        </is>
      </c>
      <c r="D153" t="inlineStr">
        <is>
          <t>VẬT_LIỆU_TIÊU_ÂM</t>
        </is>
      </c>
      <c r="E153" t="inlineStr">
        <is>
          <t>ROCKWOOL_50MM_50KG</t>
        </is>
      </c>
      <c r="F153" t="inlineStr">
        <is>
          <t>m2</t>
        </is>
      </c>
      <c r="G153" s="394" t="n">
        <v>1.1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Diện tích tiêu âm 1.00m2</t>
        </is>
      </c>
    </row>
    <row r="154">
      <c r="A154" t="inlineStr">
        <is>
          <t>SW-ACST-267-GLASSCLOTH</t>
        </is>
      </c>
      <c r="B154" t="inlineStr">
        <is>
          <t>SW-ACST-267</t>
        </is>
      </c>
      <c r="C154" t="inlineStr">
        <is>
          <t>Vải thủy tinh bọc tiêu âm</t>
        </is>
      </c>
      <c r="D154" t="inlineStr">
        <is>
          <t>VẬT_LIỆU_TIÊU_ÂM</t>
        </is>
      </c>
      <c r="E154" t="inlineStr">
        <is>
          <t>GLASS_CLOTH</t>
        </is>
      </c>
      <c r="F154" t="inlineStr">
        <is>
          <t>m2</t>
        </is>
      </c>
      <c r="G154" s="394" t="n">
        <v>1.1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Diện tích tiêu âm 1.00m2</t>
        </is>
      </c>
    </row>
    <row r="155">
      <c r="A155" t="inlineStr">
        <is>
          <t>SW-ACST-267-PERFORATED</t>
        </is>
      </c>
      <c r="B155" t="inlineStr">
        <is>
          <t>SW-ACST-267</t>
        </is>
      </c>
      <c r="C155" t="inlineStr">
        <is>
          <t>Tôn đục lỗ tiêu âm</t>
        </is>
      </c>
      <c r="D155" t="inlineStr">
        <is>
          <t>VẬT_LIỆU_TIÊU_ÂM</t>
        </is>
      </c>
      <c r="E155" t="inlineStr">
        <is>
          <t>PERFORATED_SHEET</t>
        </is>
      </c>
      <c r="F155" t="inlineStr">
        <is>
          <t>m2</t>
        </is>
      </c>
      <c r="G155" s="394" t="n">
        <v>1.1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Bọc mặt trong</t>
        </is>
      </c>
    </row>
    <row r="156">
      <c r="A156" t="inlineStr">
        <is>
          <t>SW-TRD-277-TM</t>
        </is>
      </c>
      <c r="B156" t="inlineStr">
        <is>
          <t>SW-TRD-277</t>
        </is>
      </c>
      <c r="C156" t="inlineStr">
        <is>
          <t>Miệng gió cấp,hồi cho máy lạnh Vật tư phụ, phụ kiện</t>
        </is>
      </c>
      <c r="D156" t="inlineStr">
        <is>
          <t>THUONG_MAI</t>
        </is>
      </c>
      <c r="E156" t="inlineStr">
        <is>
          <t>MAT-THUONG_MAI-VAT_TU_PHU_PHU_KIEN</t>
        </is>
      </c>
      <c r="F156" t="inlineStr">
        <is>
          <t>Lô</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Hàng thương mại mua ngoài</t>
        </is>
      </c>
    </row>
    <row r="157">
      <c r="A157" t="inlineStr">
        <is>
          <t>SW-DUCT-278-BODY</t>
        </is>
      </c>
      <c r="B157" t="inlineStr">
        <is>
          <t>SW-DUCT-278</t>
        </is>
      </c>
      <c r="C157" t="inlineStr">
        <is>
          <t>Tôn mạ kẽm PN (0.58mm) - Định mức m²</t>
        </is>
      </c>
      <c r="D157" t="inlineStr">
        <is>
          <t>TÔN_CUỘN_MẠ_KẼM</t>
        </is>
      </c>
      <c r="E157" t="inlineStr">
        <is>
          <t>MAT-STEEL-PN-0.58</t>
        </is>
      </c>
      <c r="F157" t="inlineStr">
        <is>
          <t>kg</t>
        </is>
      </c>
      <c r="G157" s="394" t="n">
        <v>5.163101999999999</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Định mức tôn cho 1m² ống: phôi x1.08, hao hụt x1.05</t>
        </is>
      </c>
    </row>
    <row r="158">
      <c r="A158" t="inlineStr">
        <is>
          <t>SW-FLEX-279-TM</t>
        </is>
      </c>
      <c r="B158" t="inlineStr">
        <is>
          <t>SW-FLEX-279</t>
        </is>
      </c>
      <c r="C158" t="inlineStr">
        <is>
          <t>ỐNG GIÓ LẠNH, BOX MIỆNG GIÓ Ống gió mềm D350 cách nhiệt dày 25mm</t>
        </is>
      </c>
      <c r="D158" t="inlineStr">
        <is>
          <t>ONG_MEM</t>
        </is>
      </c>
      <c r="E158" t="inlineStr">
        <is>
          <t>FLEX_DUCT_D350_INSUL</t>
        </is>
      </c>
      <c r="F158" t="inlineStr">
        <is>
          <t>ống</t>
        </is>
      </c>
      <c r="G158" s="394" t="n">
        <v>0.125</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Ống mềm quy đổi chuẩn 8m/ống</t>
        </is>
      </c>
    </row>
    <row r="159">
      <c r="A159" t="inlineStr">
        <is>
          <t>SW-FLEX-280-TM</t>
        </is>
      </c>
      <c r="B159" t="inlineStr">
        <is>
          <t>SW-FLEX-280</t>
        </is>
      </c>
      <c r="C159" t="inlineStr">
        <is>
          <t>ỐNG GIÓ LẠNH, BOX MIỆNG GIÓ Ống gió mềm D300 cách nhiệt dày 25mm</t>
        </is>
      </c>
      <c r="D159" t="inlineStr">
        <is>
          <t>ONG_MEM</t>
        </is>
      </c>
      <c r="E159" t="inlineStr">
        <is>
          <t>FLEX_DUCT_D300_INSUL</t>
        </is>
      </c>
      <c r="F159" t="inlineStr">
        <is>
          <t>ống</t>
        </is>
      </c>
      <c r="G159" s="394" t="n">
        <v>0.125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Ống mềm quy đổi chuẩn 8m/ống</t>
        </is>
      </c>
    </row>
    <row r="160">
      <c r="A160" t="inlineStr">
        <is>
          <t>SW-FLEX-281-TM</t>
        </is>
      </c>
      <c r="B160" t="inlineStr">
        <is>
          <t>SW-FLEX-281</t>
        </is>
      </c>
      <c r="C160" t="inlineStr">
        <is>
          <t>ỐNG GIÓ LẠNH, BOX MIỆNG GIÓ Ống gió mềm D250 cách nhiệt dày 25mm</t>
        </is>
      </c>
      <c r="D160" t="inlineStr">
        <is>
          <t>ONG_MEM</t>
        </is>
      </c>
      <c r="E160" t="inlineStr">
        <is>
          <t>FLEX_DUCT_D250_INSUL</t>
        </is>
      </c>
      <c r="F160" t="inlineStr">
        <is>
          <t>ống</t>
        </is>
      </c>
      <c r="G160" s="394" t="n">
        <v>0.125</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Ống mềm quy đổi chuẩn 8m/ống</t>
        </is>
      </c>
    </row>
    <row r="161">
      <c r="A161" t="inlineStr">
        <is>
          <t>SW-FLEX-282-TM</t>
        </is>
      </c>
      <c r="B161" t="inlineStr">
        <is>
          <t>SW-FLEX-282</t>
        </is>
      </c>
      <c r="C161" t="inlineStr">
        <is>
          <t>ỐNG GIÓ LẠNH, BOX MIỆNG GIÓ Ống gió mềm D200 cách nhiệt dày 25mm</t>
        </is>
      </c>
      <c r="D161" t="inlineStr">
        <is>
          <t>ONG_MEM</t>
        </is>
      </c>
      <c r="E161" t="inlineStr">
        <is>
          <t>FLEX_DUCT_D200_INSUL</t>
        </is>
      </c>
      <c r="F161" t="inlineStr">
        <is>
          <t>ống</t>
        </is>
      </c>
      <c r="G161" s="394" t="n">
        <v>0.125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Ống mềm quy đổi chuẩn 8m/ống</t>
        </is>
      </c>
    </row>
    <row r="162">
      <c r="A162" t="inlineStr">
        <is>
          <t>SW-TRD-283-TM</t>
        </is>
      </c>
      <c r="B162" t="inlineStr">
        <is>
          <t>SW-TRD-283</t>
        </is>
      </c>
      <c r="C162" t="inlineStr">
        <is>
          <t>ỐNG GIÓ LẠNH, BOX MIỆNG GIÓ Vật tư phụ, phụ kiện</t>
        </is>
      </c>
      <c r="D162" t="inlineStr">
        <is>
          <t>THUONG_MAI</t>
        </is>
      </c>
      <c r="E162" t="inlineStr">
        <is>
          <t>MAT-THUONG_MAI-VAT_TU_PHU_PHU_KIEN</t>
        </is>
      </c>
      <c r="F162" t="inlineStr">
        <is>
          <t>Lô</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Hàng thương mại mua ngoài</t>
        </is>
      </c>
    </row>
    <row r="163">
      <c r="A163" t="inlineStr">
        <is>
          <t>SW-TRD-284-TM</t>
        </is>
      </c>
      <c r="B163" t="inlineStr">
        <is>
          <t>SW-TRD-284</t>
        </is>
      </c>
      <c r="C163" t="inlineStr">
        <is>
          <t>ỐNG ĐỒNG Vật tư phụ, phụ kiện</t>
        </is>
      </c>
      <c r="D163" t="inlineStr">
        <is>
          <t>THUONG_MAI</t>
        </is>
      </c>
      <c r="E163" t="inlineStr">
        <is>
          <t>MAT-THUONG_MAI-VAT_TU_PHU_PHU_KIEN</t>
        </is>
      </c>
      <c r="F163" t="inlineStr">
        <is>
          <t>Lô</t>
        </is>
      </c>
      <c r="G163" s="394" t="n">
        <v>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Hàng thương mại mua ngoài</t>
        </is>
      </c>
    </row>
    <row r="164">
      <c r="A164" t="inlineStr">
        <is>
          <t>SW-TRD-285-TM</t>
        </is>
      </c>
      <c r="B164" t="inlineStr">
        <is>
          <t>SW-TRD-285</t>
        </is>
      </c>
      <c r="C164" t="inlineStr">
        <is>
          <t>CHI PHÍ CHUNG Kiểm tra, nghiệm thu và bàn giao hệ thống</t>
        </is>
      </c>
      <c r="D164" t="inlineStr">
        <is>
          <t>THUONG_MAI</t>
        </is>
      </c>
      <c r="E164" t="inlineStr">
        <is>
          <t>MAT-THUONG_MAI-KIEM_TRA_NGHIEM_THU_VA_BAN_GIA_60E7</t>
        </is>
      </c>
      <c r="F164" t="inlineStr">
        <is>
          <t>Lô</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Hàng thương mại mua ngoài</t>
        </is>
      </c>
    </row>
    <row r="165">
      <c r="A165" t="inlineStr">
        <is>
          <t>SW-TRD-286-TM</t>
        </is>
      </c>
      <c r="B165" t="inlineStr">
        <is>
          <t>SW-TRD-286</t>
        </is>
      </c>
      <c r="C165" t="inlineStr">
        <is>
          <t>CHI PHÍ CHUNG Chi phí cắt đục, đóng lưới trám trét tường</t>
        </is>
      </c>
      <c r="D165" t="inlineStr">
        <is>
          <t>THUONG_MAI</t>
        </is>
      </c>
      <c r="E165" t="inlineStr">
        <is>
          <t>MAT-THUONG_MAI-CHI_PHI_CAT_DUC_DONG_LUOI_TRAM_5B36</t>
        </is>
      </c>
      <c r="F165" t="inlineStr">
        <is>
          <t>Lô</t>
        </is>
      </c>
      <c r="G165" s="394" t="n">
        <v>1</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Hàng thương mại mua ngoài</t>
        </is>
      </c>
    </row>
    <row r="166">
      <c r="A166" t="inlineStr">
        <is>
          <t>SW-TRD-287-TM</t>
        </is>
      </c>
      <c r="B166" t="inlineStr">
        <is>
          <t>SW-TRD-287</t>
        </is>
      </c>
      <c r="C166" t="inlineStr">
        <is>
          <t>CHI PHÍ CHUNG Chi phí chống cháy lan</t>
        </is>
      </c>
      <c r="D166" t="inlineStr">
        <is>
          <t>THUONG_MAI</t>
        </is>
      </c>
      <c r="E166" t="inlineStr">
        <is>
          <t>MAT-THUONG_MAI-CHI_PHI_CHONG_CHAY_LAN</t>
        </is>
      </c>
      <c r="F166" t="inlineStr">
        <is>
          <t>Lô</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SW-DIFF-024-FRAME</t>
        </is>
      </c>
      <c r="B2" t="inlineStr">
        <is>
          <t>SW-DIFF-024</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SW-DIFF-024-BLADE</t>
        </is>
      </c>
      <c r="B3" t="inlineStr">
        <is>
          <t>SW-DIFF-024</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SW-DIFF-025-FRAME</t>
        </is>
      </c>
      <c r="B6" t="inlineStr">
        <is>
          <t>SW-DIFF-025</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SW-DIFF-025-BLADE</t>
        </is>
      </c>
      <c r="B7" t="inlineStr">
        <is>
          <t>SW-DIFF-025</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SW-DIFF-025-ACCESSORY</t>
        </is>
      </c>
      <c r="B8" t="inlineStr">
        <is>
          <t>SW-DIFF-025</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SW-DIFF-025-PAINT</t>
        </is>
      </c>
      <c r="B9" t="inlineStr">
        <is>
          <t>SW-DIFF-025</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SW-DIFF-026-FRAME</t>
        </is>
      </c>
      <c r="B10" t="inlineStr">
        <is>
          <t>SW-DIFF-026</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SW-DIFF-026-BLADE</t>
        </is>
      </c>
      <c r="B11" t="inlineStr">
        <is>
          <t>SW-DIFF-026</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SW-DIFF-026-ACCESSORY</t>
        </is>
      </c>
      <c r="B12" t="inlineStr">
        <is>
          <t>SW-DIFF-026</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SW-DIFF-026-PAINT</t>
        </is>
      </c>
      <c r="B13" t="inlineStr">
        <is>
          <t>SW-DIFF-026</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SW-DIFF-027-FRAME</t>
        </is>
      </c>
      <c r="B14" t="inlineStr">
        <is>
          <t>SW-DIFF-027</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SW-DIFF-027-BLADE</t>
        </is>
      </c>
      <c r="B15" t="inlineStr">
        <is>
          <t>SW-DIFF-027</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SW-DIFF-027-ACCESSORY</t>
        </is>
      </c>
      <c r="B16" t="inlineStr">
        <is>
          <t>SW-DIFF-027</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SW-DIFF-027-PAINT</t>
        </is>
      </c>
      <c r="B17" t="inlineStr">
        <is>
          <t>SW-DIFF-027</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SW-DIFF-028-FRAME</t>
        </is>
      </c>
      <c r="B18" t="inlineStr">
        <is>
          <t>SW-DIFF-028</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SW-DIFF-028-BLADE</t>
        </is>
      </c>
      <c r="B19" t="inlineStr">
        <is>
          <t>SW-DIFF-028</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SW-DIFF-028-ACCESSORY</t>
        </is>
      </c>
      <c r="B20" t="inlineStr">
        <is>
          <t>SW-DIFF-028</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SW-DIFF-028-PAINT</t>
        </is>
      </c>
      <c r="B21" t="inlineStr">
        <is>
          <t>SW-DIFF-028</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SW-DIFF-029-FRAME</t>
        </is>
      </c>
      <c r="B22" t="inlineStr">
        <is>
          <t>SW-DIFF-029</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SW-DIFF-029-BLADE</t>
        </is>
      </c>
      <c r="B23" t="inlineStr">
        <is>
          <t>SW-DIFF-029</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SW-DIFF-029-ACCESSORY</t>
        </is>
      </c>
      <c r="B24" t="inlineStr">
        <is>
          <t>SW-DIFF-029</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SW-DIFF-029-PAINT</t>
        </is>
      </c>
      <c r="B25" t="inlineStr">
        <is>
          <t>SW-DIFF-029</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SW-DIFF-030-FRAME</t>
        </is>
      </c>
      <c r="B26" t="inlineStr">
        <is>
          <t>SW-DIFF-030</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SW-DIFF-030-BLADE</t>
        </is>
      </c>
      <c r="B27" t="inlineStr">
        <is>
          <t>SW-DIFF-030</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SW-DIFF-030-ACCESSORY</t>
        </is>
      </c>
      <c r="B28" t="inlineStr">
        <is>
          <t>SW-DIFF-030</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SW-DIFF-030-PAINT</t>
        </is>
      </c>
      <c r="B29" t="inlineStr">
        <is>
          <t>SW-DIFF-030</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SW-DIFF-031-FRAME</t>
        </is>
      </c>
      <c r="B30" t="inlineStr">
        <is>
          <t>SW-DIFF-031</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SW-DIFF-031-BLADE</t>
        </is>
      </c>
      <c r="B31" t="inlineStr">
        <is>
          <t>SW-DIFF-031</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SW-DIFF-031-ACCESSORY</t>
        </is>
      </c>
      <c r="B32" t="inlineStr">
        <is>
          <t>SW-DIFF-031</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SW-DIFF-031-PAINT</t>
        </is>
      </c>
      <c r="B33" t="inlineStr">
        <is>
          <t>SW-DIFF-031</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SW-DIFF-082-FRAME</t>
        </is>
      </c>
      <c r="B34" t="inlineStr">
        <is>
          <t>SW-DIFF-082</t>
        </is>
      </c>
      <c r="C34" t="inlineStr">
        <is>
          <t>Khung nhôm định hình (BD)</t>
        </is>
      </c>
      <c r="D34" t="inlineStr">
        <is>
          <t>NHÔM_ĐỊNH_HÌNH</t>
        </is>
      </c>
      <c r="E34" t="inlineStr">
        <is>
          <t>MAT-ALU-KHUNG-BD</t>
        </is>
      </c>
      <c r="F34" t="inlineStr">
        <is>
          <t>kg</t>
        </is>
      </c>
      <c r="G34" s="394" t="n">
        <v>0.5460000000000002</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2.73m @ 0.2kg/m</t>
        </is>
      </c>
    </row>
    <row r="35">
      <c r="A35" t="inlineStr">
        <is>
          <t>SW-DIFF-082-BLADE</t>
        </is>
      </c>
      <c r="B35" t="inlineStr">
        <is>
          <t>SW-DIFF-082</t>
        </is>
      </c>
      <c r="C35" t="inlineStr">
        <is>
          <t>Nan nhôm định hình (BD)</t>
        </is>
      </c>
      <c r="D35" t="inlineStr">
        <is>
          <t>NHÔM_ĐỊNH_HÌNH</t>
        </is>
      </c>
      <c r="E35" t="inlineStr">
        <is>
          <t>MAT-ALU-NAN-BD</t>
        </is>
      </c>
      <c r="F35" t="inlineStr">
        <is>
          <t>kg</t>
        </is>
      </c>
      <c r="G35" s="394" t="n">
        <v>0.8672160000000001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16 nan dài 14.95m @ 0.058kg/m</t>
        </is>
      </c>
    </row>
    <row r="36">
      <c r="A36" t="inlineStr">
        <is>
          <t>SW-DIFF-082-ACCESSORY</t>
        </is>
      </c>
      <c r="B36" t="inlineStr">
        <is>
          <t>SW-DIFF-082</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SW-DIFF-082-PAINT</t>
        </is>
      </c>
      <c r="B37" t="inlineStr">
        <is>
          <t>SW-DIFF-082</t>
        </is>
      </c>
      <c r="C37" t="inlineStr">
        <is>
          <t>Sơn tĩnh điện tiêu chuẩn Polyester</t>
        </is>
      </c>
      <c r="D37" t="inlineStr">
        <is>
          <t>SƠN_TĨNH_ĐIỆN</t>
        </is>
      </c>
      <c r="E37" t="inlineStr">
        <is>
          <t>MAT-PAINT-POWDER</t>
        </is>
      </c>
      <c r="F37" t="inlineStr">
        <is>
          <t>m2</t>
        </is>
      </c>
      <c r="G37" s="394" t="n">
        <v>0.54</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0.540m2</t>
        </is>
      </c>
    </row>
    <row r="38">
      <c r="A38" t="inlineStr">
        <is>
          <t>SW-DIFF-083-FRAME</t>
        </is>
      </c>
      <c r="B38" t="inlineStr">
        <is>
          <t>SW-DIFF-083</t>
        </is>
      </c>
      <c r="C38" t="inlineStr">
        <is>
          <t>Khung nhôm định hình (BD)</t>
        </is>
      </c>
      <c r="D38" t="inlineStr">
        <is>
          <t>NHÔM_ĐỊNH_HÌNH</t>
        </is>
      </c>
      <c r="E38" t="inlineStr">
        <is>
          <t>MAT-ALU-KHUNG-BD</t>
        </is>
      </c>
      <c r="F38" t="inlineStr">
        <is>
          <t>kg</t>
        </is>
      </c>
      <c r="G38" s="394" t="n">
        <v>0.252</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1.26m @ 0.2kg/m</t>
        </is>
      </c>
    </row>
    <row r="39">
      <c r="A39" t="inlineStr">
        <is>
          <t>SW-DIFF-083-BLADE</t>
        </is>
      </c>
      <c r="B39" t="inlineStr">
        <is>
          <t>SW-DIFF-083</t>
        </is>
      </c>
      <c r="C39" t="inlineStr">
        <is>
          <t>Nan nhôm định hình (BD)</t>
        </is>
      </c>
      <c r="D39" t="inlineStr">
        <is>
          <t>NHÔM_ĐỊNH_HÌNH</t>
        </is>
      </c>
      <c r="E39" t="inlineStr">
        <is>
          <t>MAT-ALU-NAN-BD</t>
        </is>
      </c>
      <c r="F39" t="inlineStr">
        <is>
          <t>kg</t>
        </is>
      </c>
      <c r="G39" s="394" t="n">
        <v>0.211932</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12 nan dài 3.65m @ 0.058kg/m</t>
        </is>
      </c>
    </row>
    <row r="40">
      <c r="A40" t="inlineStr">
        <is>
          <t>SW-DIFF-083-ACCESSORY</t>
        </is>
      </c>
      <c r="B40" t="inlineStr">
        <is>
          <t>SW-DIFF-083</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SW-DIFF-083-PAINT</t>
        </is>
      </c>
      <c r="B41" t="inlineStr">
        <is>
          <t>SW-DIFF-083</t>
        </is>
      </c>
      <c r="C41" t="inlineStr">
        <is>
          <t>Sơn tĩnh điện tiêu chuẩn Polyester</t>
        </is>
      </c>
      <c r="D41" t="inlineStr">
        <is>
          <t>SƠN_TĨNH_ĐIỆN</t>
        </is>
      </c>
      <c r="E41" t="inlineStr">
        <is>
          <t>MAT-PAINT-POWDER</t>
        </is>
      </c>
      <c r="F41" t="inlineStr">
        <is>
          <t>m2</t>
        </is>
      </c>
      <c r="G41" s="394" t="n">
        <v>0.135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0.135m2</t>
        </is>
      </c>
    </row>
    <row r="42">
      <c r="A42" t="inlineStr">
        <is>
          <t>SW-DIFF-084-FRAME</t>
        </is>
      </c>
      <c r="B42" t="inlineStr">
        <is>
          <t>SW-DIFF-084</t>
        </is>
      </c>
      <c r="C42" t="inlineStr">
        <is>
          <t>Khung nhôm định hình (BD)</t>
        </is>
      </c>
      <c r="D42" t="inlineStr">
        <is>
          <t>NHÔM_ĐỊNH_HÌNH</t>
        </is>
      </c>
      <c r="E42" t="inlineStr">
        <is>
          <t>MAT-ALU-KHUNG-BD</t>
        </is>
      </c>
      <c r="F42" t="inlineStr">
        <is>
          <t>kg</t>
        </is>
      </c>
      <c r="G42" s="394" t="n">
        <v>0.7560000000000001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3.78m @ 0.2kg/m</t>
        </is>
      </c>
    </row>
    <row r="43">
      <c r="A43" t="inlineStr">
        <is>
          <t>SW-DIFF-084-BLADE</t>
        </is>
      </c>
      <c r="B43" t="inlineStr">
        <is>
          <t>SW-DIFF-084</t>
        </is>
      </c>
      <c r="C43" t="inlineStr">
        <is>
          <t>Nan nhôm định hình (BD)</t>
        </is>
      </c>
      <c r="D43" t="inlineStr">
        <is>
          <t>NHÔM_ĐỊNH_HÌNH</t>
        </is>
      </c>
      <c r="E43" t="inlineStr">
        <is>
          <t>MAT-ALU-NAN-BD</t>
        </is>
      </c>
      <c r="F43" t="inlineStr">
        <is>
          <t>kg</t>
        </is>
      </c>
      <c r="G43" s="394" t="n">
        <v>1.739304</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24 nan dài 29.99m @ 0.058kg/m</t>
        </is>
      </c>
    </row>
    <row r="44">
      <c r="A44" t="inlineStr">
        <is>
          <t>SW-DIFF-084-ACCESSORY</t>
        </is>
      </c>
      <c r="B44" t="inlineStr">
        <is>
          <t>SW-DIFF-084</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SW-DIFF-084-PAINT</t>
        </is>
      </c>
      <c r="B45" t="inlineStr">
        <is>
          <t>SW-DIFF-084</t>
        </is>
      </c>
      <c r="C45" t="inlineStr">
        <is>
          <t>Sơn tĩnh điện tiêu chuẩn Polyester</t>
        </is>
      </c>
      <c r="D45" t="inlineStr">
        <is>
          <t>SƠN_TĨNH_ĐIỆN</t>
        </is>
      </c>
      <c r="E45" t="inlineStr">
        <is>
          <t>MAT-PAINT-POWDER</t>
        </is>
      </c>
      <c r="F45" t="inlineStr">
        <is>
          <t>m2</t>
        </is>
      </c>
      <c r="G45" s="394" t="n">
        <v>1.08</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1.080m2</t>
        </is>
      </c>
    </row>
    <row r="46">
      <c r="A46" t="inlineStr">
        <is>
          <t>SW-DIFF-085-FRAME</t>
        </is>
      </c>
      <c r="B46" t="inlineStr">
        <is>
          <t>SW-DIFF-085</t>
        </is>
      </c>
      <c r="C46" t="inlineStr">
        <is>
          <t>Khung nhôm định hình (BD)</t>
        </is>
      </c>
      <c r="D46" t="inlineStr">
        <is>
          <t>NHÔM_ĐỊNH_HÌNH</t>
        </is>
      </c>
      <c r="E46" t="inlineStr">
        <is>
          <t>MAT-ALU-KHUNG-BD</t>
        </is>
      </c>
      <c r="F46" t="inlineStr">
        <is>
          <t>kg</t>
        </is>
      </c>
      <c r="G46" s="394" t="n">
        <v>0.9240000000000003</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Dài cắt 4.62m @ 0.2kg/m</t>
        </is>
      </c>
    </row>
    <row r="47">
      <c r="A47" t="inlineStr">
        <is>
          <t>SW-DIFF-085-BLADE</t>
        </is>
      </c>
      <c r="B47" t="inlineStr">
        <is>
          <t>SW-DIFF-085</t>
        </is>
      </c>
      <c r="C47" t="inlineStr">
        <is>
          <t>Nan nhôm định hình (BD)</t>
        </is>
      </c>
      <c r="D47" t="inlineStr">
        <is>
          <t>NHÔM_ĐỊNH_HÌNH</t>
        </is>
      </c>
      <c r="E47" t="inlineStr">
        <is>
          <t>MAT-ALU-NAN-BD</t>
        </is>
      </c>
      <c r="F47" t="inlineStr">
        <is>
          <t>kg</t>
        </is>
      </c>
      <c r="G47" s="394" t="n">
        <v>2.708832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32 nan dài 46.70m @ 0.058kg/m</t>
        </is>
      </c>
    </row>
    <row r="48">
      <c r="A48" t="inlineStr">
        <is>
          <t>SW-DIFF-085-ACCESSORY</t>
        </is>
      </c>
      <c r="B48" t="inlineStr">
        <is>
          <t>SW-DIFF-085</t>
        </is>
      </c>
      <c r="C48" t="inlineStr">
        <is>
          <t>Phụ kiện lắp ghép / Ke góc cửa gió</t>
        </is>
      </c>
      <c r="D48" t="inlineStr">
        <is>
          <t>PHỤ_KIỆN_CỬA</t>
        </is>
      </c>
      <c r="E48" t="inlineStr">
        <is>
          <t>MAT-DOOR-ACCESSORY</t>
        </is>
      </c>
      <c r="F48" t="inlineStr">
        <is>
          <t>Bộ</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4 ke góc chìm và vít ghép khung</t>
        </is>
      </c>
    </row>
    <row r="49">
      <c r="A49" t="inlineStr">
        <is>
          <t>SW-DIFF-085-PAINT</t>
        </is>
      </c>
      <c r="B49" t="inlineStr">
        <is>
          <t>SW-DIFF-085</t>
        </is>
      </c>
      <c r="C49" t="inlineStr">
        <is>
          <t>Sơn tĩnh điện tiêu chuẩn Polyester</t>
        </is>
      </c>
      <c r="D49" t="inlineStr">
        <is>
          <t>SƠN_TĨNH_ĐIỆN</t>
        </is>
      </c>
      <c r="E49" t="inlineStr">
        <is>
          <t>MAT-PAINT-POWDER</t>
        </is>
      </c>
      <c r="F49" t="inlineStr">
        <is>
          <t>m2</t>
        </is>
      </c>
      <c r="G49" s="394" t="n">
        <v>1.68</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Diện tích phủ sơn 1.680m2</t>
        </is>
      </c>
    </row>
    <row r="50">
      <c r="A50" t="inlineStr">
        <is>
          <t>SW-DIFF-086-FRAME</t>
        </is>
      </c>
      <c r="B50" t="inlineStr">
        <is>
          <t>SW-DIFF-086</t>
        </is>
      </c>
      <c r="C50" t="inlineStr">
        <is>
          <t>Khung nhôm định hình (BD)</t>
        </is>
      </c>
      <c r="D50" t="inlineStr">
        <is>
          <t>NHÔM_ĐỊNH_HÌNH</t>
        </is>
      </c>
      <c r="E50" t="inlineStr">
        <is>
          <t>MAT-ALU-KHUNG-BD</t>
        </is>
      </c>
      <c r="F50" t="inlineStr">
        <is>
          <t>kg</t>
        </is>
      </c>
      <c r="G50" s="394" t="n">
        <v>0.7560000000000001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Dài cắt 3.78m @ 0.2kg/m</t>
        </is>
      </c>
    </row>
    <row r="51">
      <c r="A51" t="inlineStr">
        <is>
          <t>SW-DIFF-086-BLADE</t>
        </is>
      </c>
      <c r="B51" t="inlineStr">
        <is>
          <t>SW-DIFF-086</t>
        </is>
      </c>
      <c r="C51" t="inlineStr">
        <is>
          <t>Nan nhôm định hình (BD)</t>
        </is>
      </c>
      <c r="D51" t="inlineStr">
        <is>
          <t>NHÔM_ĐỊNH_HÌNH</t>
        </is>
      </c>
      <c r="E51" t="inlineStr">
        <is>
          <t>MAT-ALU-NAN-BD</t>
        </is>
      </c>
      <c r="F51" t="inlineStr">
        <is>
          <t>kg</t>
        </is>
      </c>
      <c r="G51" s="394" t="n">
        <v>1.739304</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24 nan dài 29.99m @ 0.058kg/m</t>
        </is>
      </c>
    </row>
    <row r="52">
      <c r="A52" t="inlineStr">
        <is>
          <t>SW-DIFF-086-ACCESSORY</t>
        </is>
      </c>
      <c r="B52" t="inlineStr">
        <is>
          <t>SW-DIFF-086</t>
        </is>
      </c>
      <c r="C52" t="inlineStr">
        <is>
          <t>Phụ kiện lắp ghép / Ke góc cửa gió</t>
        </is>
      </c>
      <c r="D52" t="inlineStr">
        <is>
          <t>PHỤ_KIỆN_CỬA</t>
        </is>
      </c>
      <c r="E52" t="inlineStr">
        <is>
          <t>MAT-DOOR-ACCESSORY</t>
        </is>
      </c>
      <c r="F52" t="inlineStr">
        <is>
          <t>Bộ</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4 ke góc chìm và vít ghép khung</t>
        </is>
      </c>
    </row>
    <row r="53">
      <c r="A53" t="inlineStr">
        <is>
          <t>SW-DIFF-086-PAINT</t>
        </is>
      </c>
      <c r="B53" t="inlineStr">
        <is>
          <t>SW-DIFF-086</t>
        </is>
      </c>
      <c r="C53" t="inlineStr">
        <is>
          <t>Sơn tĩnh điện tiêu chuẩn Polyester</t>
        </is>
      </c>
      <c r="D53" t="inlineStr">
        <is>
          <t>SƠN_TĨNH_ĐIỆN</t>
        </is>
      </c>
      <c r="E53" t="inlineStr">
        <is>
          <t>MAT-PAINT-POWDER</t>
        </is>
      </c>
      <c r="F53" t="inlineStr">
        <is>
          <t>m2</t>
        </is>
      </c>
      <c r="G53" s="394" t="n">
        <v>1.08</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Diện tích phủ sơn 1.080m2</t>
        </is>
      </c>
    </row>
    <row r="54">
      <c r="A54" t="inlineStr">
        <is>
          <t>SW-DIFF-087-FRAME</t>
        </is>
      </c>
      <c r="B54" t="inlineStr">
        <is>
          <t>SW-DIFF-087</t>
        </is>
      </c>
      <c r="C54" t="inlineStr">
        <is>
          <t>Khung nhôm định hình (BD)</t>
        </is>
      </c>
      <c r="D54" t="inlineStr">
        <is>
          <t>NHÔM_ĐỊNH_HÌNH</t>
        </is>
      </c>
      <c r="E54" t="inlineStr">
        <is>
          <t>MAT-ALU-KHUNG-BD</t>
        </is>
      </c>
      <c r="F54" t="inlineStr">
        <is>
          <t>kg</t>
        </is>
      </c>
      <c r="G54" s="394" t="n">
        <v>0.252</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Dài cắt 1.26m @ 0.2kg/m</t>
        </is>
      </c>
    </row>
    <row r="55">
      <c r="A55" t="inlineStr">
        <is>
          <t>SW-DIFF-087-BLADE</t>
        </is>
      </c>
      <c r="B55" t="inlineStr">
        <is>
          <t>SW-DIFF-087</t>
        </is>
      </c>
      <c r="C55" t="inlineStr">
        <is>
          <t>Nan nhôm định hình (BD)</t>
        </is>
      </c>
      <c r="D55" t="inlineStr">
        <is>
          <t>NHÔM_ĐỊNH_HÌNH</t>
        </is>
      </c>
      <c r="E55" t="inlineStr">
        <is>
          <t>MAT-ALU-NAN-BD</t>
        </is>
      </c>
      <c r="F55" t="inlineStr">
        <is>
          <t>kg</t>
        </is>
      </c>
      <c r="G55" s="394" t="n">
        <v>0.211932</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12 nan dài 3.65m @ 0.058kg/m</t>
        </is>
      </c>
    </row>
    <row r="56">
      <c r="A56" t="inlineStr">
        <is>
          <t>SW-DIFF-087-ACCESSORY</t>
        </is>
      </c>
      <c r="B56" t="inlineStr">
        <is>
          <t>SW-DIFF-087</t>
        </is>
      </c>
      <c r="C56" t="inlineStr">
        <is>
          <t>Phụ kiện lắp ghép / Ke góc cửa gió</t>
        </is>
      </c>
      <c r="D56" t="inlineStr">
        <is>
          <t>PHỤ_KIỆN_CỬA</t>
        </is>
      </c>
      <c r="E56" t="inlineStr">
        <is>
          <t>MAT-DOOR-ACCESSORY</t>
        </is>
      </c>
      <c r="F56" t="inlineStr">
        <is>
          <t>Bộ</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4 ke góc chìm và vít ghép khung</t>
        </is>
      </c>
    </row>
    <row r="57">
      <c r="A57" t="inlineStr">
        <is>
          <t>SW-DIFF-087-PAINT</t>
        </is>
      </c>
      <c r="B57" t="inlineStr">
        <is>
          <t>SW-DIFF-087</t>
        </is>
      </c>
      <c r="C57" t="inlineStr">
        <is>
          <t>Sơn tĩnh điện tiêu chuẩn Polyester</t>
        </is>
      </c>
      <c r="D57" t="inlineStr">
        <is>
          <t>SƠN_TĨNH_ĐIỆN</t>
        </is>
      </c>
      <c r="E57" t="inlineStr">
        <is>
          <t>MAT-PAINT-POWDER</t>
        </is>
      </c>
      <c r="F57" t="inlineStr">
        <is>
          <t>m2</t>
        </is>
      </c>
      <c r="G57" s="394" t="n">
        <v>0.135</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Diện tích phủ sơn 0.135m2</t>
        </is>
      </c>
    </row>
    <row r="58">
      <c r="A58" t="inlineStr">
        <is>
          <t>SW-DIFF-088-FRAME</t>
        </is>
      </c>
      <c r="B58" t="inlineStr">
        <is>
          <t>SW-DIFF-088</t>
        </is>
      </c>
      <c r="C58" t="inlineStr">
        <is>
          <t>Khung nhôm định hình (BD)</t>
        </is>
      </c>
      <c r="D58" t="inlineStr">
        <is>
          <t>NHÔM_ĐỊNH_HÌNH</t>
        </is>
      </c>
      <c r="E58" t="inlineStr">
        <is>
          <t>MAT-ALU-KHUNG-BD</t>
        </is>
      </c>
      <c r="F58" t="inlineStr">
        <is>
          <t>kg</t>
        </is>
      </c>
      <c r="G58" s="394" t="n">
        <v>0.294</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Dài cắt 1.47m @ 0.2kg/m</t>
        </is>
      </c>
    </row>
    <row r="59">
      <c r="A59" t="inlineStr">
        <is>
          <t>SW-DIFF-088-BLADE</t>
        </is>
      </c>
      <c r="B59" t="inlineStr">
        <is>
          <t>SW-DIFF-088</t>
        </is>
      </c>
      <c r="C59" t="inlineStr">
        <is>
          <t>Nan nhôm định hình (BD)</t>
        </is>
      </c>
      <c r="D59" t="inlineStr">
        <is>
          <t>NHÔM_ĐỊNH_HÌNH</t>
        </is>
      </c>
      <c r="E59" t="inlineStr">
        <is>
          <t>MAT-ALU-NAN-BD</t>
        </is>
      </c>
      <c r="F59" t="inlineStr">
        <is>
          <t>kg</t>
        </is>
      </c>
      <c r="G59" s="394" t="n">
        <v>0.238728</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8 nan dài 4.12m @ 0.058kg/m</t>
        </is>
      </c>
    </row>
    <row r="60">
      <c r="A60" t="inlineStr">
        <is>
          <t>SW-DIFF-088-ACCESSORY</t>
        </is>
      </c>
      <c r="B60" t="inlineStr">
        <is>
          <t>SW-DIFF-088</t>
        </is>
      </c>
      <c r="C60" t="inlineStr">
        <is>
          <t>Phụ kiện lắp ghép / Ke góc cửa gió</t>
        </is>
      </c>
      <c r="D60" t="inlineStr">
        <is>
          <t>PHỤ_KIỆN_CỬA</t>
        </is>
      </c>
      <c r="E60" t="inlineStr">
        <is>
          <t>MAT-DOOR-ACCESSORY</t>
        </is>
      </c>
      <c r="F60" t="inlineStr">
        <is>
          <t>Bộ</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4 ke góc chìm và vít ghép khung</t>
        </is>
      </c>
    </row>
    <row r="61">
      <c r="A61" t="inlineStr">
        <is>
          <t>SW-DIFF-088-PAINT</t>
        </is>
      </c>
      <c r="B61" t="inlineStr">
        <is>
          <t>SW-DIFF-088</t>
        </is>
      </c>
      <c r="C61" t="inlineStr">
        <is>
          <t>Sơn tĩnh điện tiêu chuẩn Polyester</t>
        </is>
      </c>
      <c r="D61" t="inlineStr">
        <is>
          <t>SƠN_TĨNH_ĐIỆN</t>
        </is>
      </c>
      <c r="E61" t="inlineStr">
        <is>
          <t>MAT-PAINT-POWDER</t>
        </is>
      </c>
      <c r="F61" t="inlineStr">
        <is>
          <t>m2</t>
        </is>
      </c>
      <c r="G61" s="394" t="n">
        <v>0.15</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Diện tích phủ sơn 0.150m2</t>
        </is>
      </c>
    </row>
    <row r="62">
      <c r="A62" t="inlineStr">
        <is>
          <t>SW-DIFF-089-FRAME</t>
        </is>
      </c>
      <c r="B62" t="inlineStr">
        <is>
          <t>SW-DIFF-089</t>
        </is>
      </c>
      <c r="C62" t="inlineStr">
        <is>
          <t>Khung nhôm định hình (BD)</t>
        </is>
      </c>
      <c r="D62" t="inlineStr">
        <is>
          <t>NHÔM_ĐỊNH_HÌNH</t>
        </is>
      </c>
      <c r="E62" t="inlineStr">
        <is>
          <t>MAT-ALU-KHUNG-BD</t>
        </is>
      </c>
      <c r="F62" t="inlineStr">
        <is>
          <t>kg</t>
        </is>
      </c>
      <c r="G62" s="394" t="n">
        <v>0.9240000000000003</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Dài cắt 4.62m @ 0.2kg/m</t>
        </is>
      </c>
    </row>
    <row r="63">
      <c r="A63" t="inlineStr">
        <is>
          <t>SW-DIFF-089-BLADE</t>
        </is>
      </c>
      <c r="B63" t="inlineStr">
        <is>
          <t>SW-DIFF-089</t>
        </is>
      </c>
      <c r="C63" t="inlineStr">
        <is>
          <t>Nan nhôm định hình (BD)</t>
        </is>
      </c>
      <c r="D63" t="inlineStr">
        <is>
          <t>NHÔM_ĐỊNH_HÌNH</t>
        </is>
      </c>
      <c r="E63" t="inlineStr">
        <is>
          <t>MAT-ALU-NAN-BD</t>
        </is>
      </c>
      <c r="F63" t="inlineStr">
        <is>
          <t>kg</t>
        </is>
      </c>
      <c r="G63" s="394" t="n">
        <v>2.708832</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32 nan dài 46.70m @ 0.058kg/m</t>
        </is>
      </c>
    </row>
    <row r="64">
      <c r="A64" t="inlineStr">
        <is>
          <t>SW-DIFF-089-ACCESSORY</t>
        </is>
      </c>
      <c r="B64" t="inlineStr">
        <is>
          <t>SW-DIFF-089</t>
        </is>
      </c>
      <c r="C64" t="inlineStr">
        <is>
          <t>Phụ kiện lắp ghép / Ke góc cửa gió</t>
        </is>
      </c>
      <c r="D64" t="inlineStr">
        <is>
          <t>PHỤ_KIỆN_CỬA</t>
        </is>
      </c>
      <c r="E64" t="inlineStr">
        <is>
          <t>MAT-DOOR-ACCESSORY</t>
        </is>
      </c>
      <c r="F64" t="inlineStr">
        <is>
          <t>Bộ</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4 ke góc chìm và vít ghép khung</t>
        </is>
      </c>
    </row>
    <row r="65">
      <c r="A65" t="inlineStr">
        <is>
          <t>SW-DIFF-089-PAINT</t>
        </is>
      </c>
      <c r="B65" t="inlineStr">
        <is>
          <t>SW-DIFF-089</t>
        </is>
      </c>
      <c r="C65" t="inlineStr">
        <is>
          <t>Sơn tĩnh điện tiêu chuẩn Polyester</t>
        </is>
      </c>
      <c r="D65" t="inlineStr">
        <is>
          <t>SƠN_TĨNH_ĐIỆN</t>
        </is>
      </c>
      <c r="E65" t="inlineStr">
        <is>
          <t>MAT-PAINT-POWDER</t>
        </is>
      </c>
      <c r="F65" t="inlineStr">
        <is>
          <t>m2</t>
        </is>
      </c>
      <c r="G65" s="394" t="n">
        <v>1.68</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Diện tích phủ sơn 1.680m2</t>
        </is>
      </c>
    </row>
    <row r="66">
      <c r="A66" t="inlineStr">
        <is>
          <t>SW-DIFF-090-FRAME</t>
        </is>
      </c>
      <c r="B66" t="inlineStr">
        <is>
          <t>SW-DIFF-090</t>
        </is>
      </c>
      <c r="C66" t="inlineStr">
        <is>
          <t>Khung nhôm định hình (BD)</t>
        </is>
      </c>
      <c r="D66" t="inlineStr">
        <is>
          <t>NHÔM_ĐỊNH_HÌNH</t>
        </is>
      </c>
      <c r="E66" t="inlineStr">
        <is>
          <t>MAT-ALU-KHUNG-BD</t>
        </is>
      </c>
      <c r="F66" t="inlineStr">
        <is>
          <t>kg</t>
        </is>
      </c>
      <c r="G66" s="394" t="n">
        <v>0.525</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Dài cắt 2.62m @ 0.2kg/m</t>
        </is>
      </c>
    </row>
    <row r="67">
      <c r="A67" t="inlineStr">
        <is>
          <t>SW-DIFF-090-BLADE</t>
        </is>
      </c>
      <c r="B67" t="inlineStr">
        <is>
          <t>SW-DIFF-090</t>
        </is>
      </c>
      <c r="C67" t="inlineStr">
        <is>
          <t>Nan nhôm định hình (BD)</t>
        </is>
      </c>
      <c r="D67" t="inlineStr">
        <is>
          <t>NHÔM_ĐỊNH_HÌNH</t>
        </is>
      </c>
      <c r="E67" t="inlineStr">
        <is>
          <t>MAT-ALU-NAN-BD</t>
        </is>
      </c>
      <c r="F67" t="inlineStr">
        <is>
          <t>kg</t>
        </is>
      </c>
      <c r="G67" s="394" t="n">
        <v>0.7588140000000001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14 nan dài 13.08m @ 0.058kg/m</t>
        </is>
      </c>
    </row>
    <row r="68">
      <c r="A68" t="inlineStr">
        <is>
          <t>SW-DIFF-090-ACCESSORY</t>
        </is>
      </c>
      <c r="B68" t="inlineStr">
        <is>
          <t>SW-DIFF-090</t>
        </is>
      </c>
      <c r="C68" t="inlineStr">
        <is>
          <t>Phụ kiện lắp ghép / Ke góc cửa gió</t>
        </is>
      </c>
      <c r="D68" t="inlineStr">
        <is>
          <t>PHỤ_KIỆN_CỬA</t>
        </is>
      </c>
      <c r="E68" t="inlineStr">
        <is>
          <t>MAT-DOOR-ACCESSORY</t>
        </is>
      </c>
      <c r="F68" t="inlineStr">
        <is>
          <t>Bộ</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4 ke góc chìm và vít ghép khung</t>
        </is>
      </c>
    </row>
    <row r="69">
      <c r="A69" t="inlineStr">
        <is>
          <t>SW-DIFF-090-PAINT</t>
        </is>
      </c>
      <c r="B69" t="inlineStr">
        <is>
          <t>SW-DIFF-090</t>
        </is>
      </c>
      <c r="C69" t="inlineStr">
        <is>
          <t>Sơn tĩnh điện tiêu chuẩn Polyester</t>
        </is>
      </c>
      <c r="D69" t="inlineStr">
        <is>
          <t>SƠN_TĨNH_ĐIỆN</t>
        </is>
      </c>
      <c r="E69" t="inlineStr">
        <is>
          <t>MAT-PAINT-POWDER</t>
        </is>
      </c>
      <c r="F69" t="inlineStr">
        <is>
          <t>m2</t>
        </is>
      </c>
      <c r="G69" s="394" t="n">
        <v>0.4725</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Diện tích phủ sơn 0.473m2</t>
        </is>
      </c>
    </row>
    <row r="70">
      <c r="A70" t="inlineStr">
        <is>
          <t>SW-DIFF-091-FRAME</t>
        </is>
      </c>
      <c r="B70" t="inlineStr">
        <is>
          <t>SW-DIFF-091</t>
        </is>
      </c>
      <c r="C70" t="inlineStr">
        <is>
          <t>Khung nhôm định hình (BD)</t>
        </is>
      </c>
      <c r="D70" t="inlineStr">
        <is>
          <t>NHÔM_ĐỊNH_HÌNH</t>
        </is>
      </c>
      <c r="E70" t="inlineStr">
        <is>
          <t>MAT-ALU-KHUNG-BD</t>
        </is>
      </c>
      <c r="F70" t="inlineStr">
        <is>
          <t>kg</t>
        </is>
      </c>
      <c r="G70" s="394" t="n">
        <v>0.399</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Dài cắt 1.99m @ 0.2kg/m</t>
        </is>
      </c>
    </row>
    <row r="71">
      <c r="A71" t="inlineStr">
        <is>
          <t>SW-DIFF-091-BLADE</t>
        </is>
      </c>
      <c r="B71" t="inlineStr">
        <is>
          <t>SW-DIFF-091</t>
        </is>
      </c>
      <c r="C71" t="inlineStr">
        <is>
          <t>Nan nhôm định hình (BD)</t>
        </is>
      </c>
      <c r="D71" t="inlineStr">
        <is>
          <t>NHÔM_ĐỊNH_HÌNH</t>
        </is>
      </c>
      <c r="E71" t="inlineStr">
        <is>
          <t>MAT-ALU-NAN-BD</t>
        </is>
      </c>
      <c r="F71" t="inlineStr">
        <is>
          <t>kg</t>
        </is>
      </c>
      <c r="G71" s="394" t="n">
        <v>0.4969440000000001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24 nan dài 8.57m @ 0.058kg/m</t>
        </is>
      </c>
    </row>
    <row r="72">
      <c r="A72" t="inlineStr">
        <is>
          <t>SW-DIFF-091-ACCESSORY</t>
        </is>
      </c>
      <c r="B72" t="inlineStr">
        <is>
          <t>SW-DIFF-091</t>
        </is>
      </c>
      <c r="C72" t="inlineStr">
        <is>
          <t>Phụ kiện lắp ghép / Ke góc cửa gió</t>
        </is>
      </c>
      <c r="D72" t="inlineStr">
        <is>
          <t>PHỤ_KIỆN_CỬA</t>
        </is>
      </c>
      <c r="E72" t="inlineStr">
        <is>
          <t>MAT-DOOR-ACCESSORY</t>
        </is>
      </c>
      <c r="F72" t="inlineStr">
        <is>
          <t>Bộ</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4 ke góc chìm và vít ghép khung</t>
        </is>
      </c>
    </row>
    <row r="73">
      <c r="A73" t="inlineStr">
        <is>
          <t>SW-DIFF-091-PAINT</t>
        </is>
      </c>
      <c r="B73" t="inlineStr">
        <is>
          <t>SW-DIFF-091</t>
        </is>
      </c>
      <c r="C73" t="inlineStr">
        <is>
          <t>Sơn tĩnh điện tiêu chuẩn Polyester</t>
        </is>
      </c>
      <c r="D73" t="inlineStr">
        <is>
          <t>SƠN_TĨNH_ĐIỆN</t>
        </is>
      </c>
      <c r="E73" t="inlineStr">
        <is>
          <t>MAT-PAINT-POWDER</t>
        </is>
      </c>
      <c r="F73" t="inlineStr">
        <is>
          <t>m2</t>
        </is>
      </c>
      <c r="G73" s="394" t="n">
        <v>0.315</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Diện tích phủ sơn 0.315m2</t>
        </is>
      </c>
    </row>
    <row r="74">
      <c r="A74" t="inlineStr">
        <is>
          <t>SW-DIFF-092-FRAME</t>
        </is>
      </c>
      <c r="B74" t="inlineStr">
        <is>
          <t>SW-DIFF-092</t>
        </is>
      </c>
      <c r="C74" t="inlineStr">
        <is>
          <t>Khung nhôm định hình (BD)</t>
        </is>
      </c>
      <c r="D74" t="inlineStr">
        <is>
          <t>NHÔM_ĐỊNH_HÌNH</t>
        </is>
      </c>
      <c r="E74" t="inlineStr">
        <is>
          <t>MAT-ALU-KHUNG-BD</t>
        </is>
      </c>
      <c r="F74" t="inlineStr">
        <is>
          <t>kg</t>
        </is>
      </c>
      <c r="G74" s="394" t="n">
        <v>0.504</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Dài cắt 2.52m @ 0.2kg/m</t>
        </is>
      </c>
    </row>
    <row r="75">
      <c r="A75" t="inlineStr">
        <is>
          <t>SW-DIFF-092-BLADE</t>
        </is>
      </c>
      <c r="B75" t="inlineStr">
        <is>
          <t>SW-DIFF-092</t>
        </is>
      </c>
      <c r="C75" t="inlineStr">
        <is>
          <t>Nan nhôm định hình (BD)</t>
        </is>
      </c>
      <c r="D75" t="inlineStr">
        <is>
          <t>NHÔM_ĐỊNH_HÌNH</t>
        </is>
      </c>
      <c r="E75" t="inlineStr">
        <is>
          <t>MAT-ALU-NAN-BD</t>
        </is>
      </c>
      <c r="F75" t="inlineStr">
        <is>
          <t>kg</t>
        </is>
      </c>
      <c r="G75" s="394" t="n">
        <v>0.7697760000000001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16 nan dài 13.27m @ 0.058kg/m</t>
        </is>
      </c>
    </row>
    <row r="76">
      <c r="A76" t="inlineStr">
        <is>
          <t>SW-DIFF-092-ACCESSORY</t>
        </is>
      </c>
      <c r="B76" t="inlineStr">
        <is>
          <t>SW-DIFF-092</t>
        </is>
      </c>
      <c r="C76" t="inlineStr">
        <is>
          <t>Phụ kiện lắp ghép / Ke góc cửa gió</t>
        </is>
      </c>
      <c r="D76" t="inlineStr">
        <is>
          <t>PHỤ_KIỆN_CỬA</t>
        </is>
      </c>
      <c r="E76" t="inlineStr">
        <is>
          <t>MAT-DOOR-ACCESSORY</t>
        </is>
      </c>
      <c r="F76" t="inlineStr">
        <is>
          <t>Bộ</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4 ke góc chìm và vít ghép khung</t>
        </is>
      </c>
    </row>
    <row r="77">
      <c r="A77" t="inlineStr">
        <is>
          <t>SW-DIFF-092-PAINT</t>
        </is>
      </c>
      <c r="B77" t="inlineStr">
        <is>
          <t>SW-DIFF-092</t>
        </is>
      </c>
      <c r="C77" t="inlineStr">
        <is>
          <t>Sơn tĩnh điện tiêu chuẩn Polyester</t>
        </is>
      </c>
      <c r="D77" t="inlineStr">
        <is>
          <t>SƠN_TĨNH_ĐIỆN</t>
        </is>
      </c>
      <c r="E77" t="inlineStr">
        <is>
          <t>MAT-PAINT-POWDER</t>
        </is>
      </c>
      <c r="F77" t="inlineStr">
        <is>
          <t>m2</t>
        </is>
      </c>
      <c r="G77" s="394" t="n">
        <v>0.48</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Diện tích phủ sơn 0.480m2</t>
        </is>
      </c>
    </row>
    <row r="78">
      <c r="A78" t="inlineStr">
        <is>
          <t>SW-DIFF-093-FRAME</t>
        </is>
      </c>
      <c r="B78" t="inlineStr">
        <is>
          <t>SW-DIFF-093</t>
        </is>
      </c>
      <c r="C78" t="inlineStr">
        <is>
          <t>Khung nhôm định hình (BD)</t>
        </is>
      </c>
      <c r="D78" t="inlineStr">
        <is>
          <t>NHÔM_ĐỊNH_HÌNH</t>
        </is>
      </c>
      <c r="E78" t="inlineStr">
        <is>
          <t>MAT-ALU-KHUNG-BD</t>
        </is>
      </c>
      <c r="F78" t="inlineStr">
        <is>
          <t>kg</t>
        </is>
      </c>
      <c r="G78" s="394" t="n">
        <v>0.4620000000000001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Dài cắt 2.31m @ 0.2kg/m</t>
        </is>
      </c>
    </row>
    <row r="79">
      <c r="A79" t="inlineStr">
        <is>
          <t>SW-DIFF-093-BLADE</t>
        </is>
      </c>
      <c r="B79" t="inlineStr">
        <is>
          <t>SW-DIFF-093</t>
        </is>
      </c>
      <c r="C79" t="inlineStr">
        <is>
          <t>Nan nhôm định hình (BD)</t>
        </is>
      </c>
      <c r="D79" t="inlineStr">
        <is>
          <t>NHÔM_ĐỊNH_HÌNH</t>
        </is>
      </c>
      <c r="E79" t="inlineStr">
        <is>
          <t>MAT-ALU-NAN-BD</t>
        </is>
      </c>
      <c r="F79" t="inlineStr">
        <is>
          <t>kg</t>
        </is>
      </c>
      <c r="G79" s="394" t="n">
        <v>0.6723359999999999</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16 nan dài 11.59m @ 0.058kg/m</t>
        </is>
      </c>
    </row>
    <row r="80">
      <c r="A80" t="inlineStr">
        <is>
          <t>SW-DIFF-093-ACCESSORY</t>
        </is>
      </c>
      <c r="B80" t="inlineStr">
        <is>
          <t>SW-DIFF-093</t>
        </is>
      </c>
      <c r="C80" t="inlineStr">
        <is>
          <t>Phụ kiện lắp ghép / Ke góc cửa gió</t>
        </is>
      </c>
      <c r="D80" t="inlineStr">
        <is>
          <t>PHỤ_KIỆN_CỬA</t>
        </is>
      </c>
      <c r="E80" t="inlineStr">
        <is>
          <t>MAT-DOOR-ACCESSORY</t>
        </is>
      </c>
      <c r="F80" t="inlineStr">
        <is>
          <t>Bộ</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4 ke góc chìm và vít ghép khung</t>
        </is>
      </c>
    </row>
    <row r="81">
      <c r="A81" t="inlineStr">
        <is>
          <t>SW-DIFF-093-PAINT</t>
        </is>
      </c>
      <c r="B81" t="inlineStr">
        <is>
          <t>SW-DIFF-093</t>
        </is>
      </c>
      <c r="C81" t="inlineStr">
        <is>
          <t>Sơn tĩnh điện tiêu chuẩn Polyester</t>
        </is>
      </c>
      <c r="D81" t="inlineStr">
        <is>
          <t>SƠN_TĨNH_ĐIỆN</t>
        </is>
      </c>
      <c r="E81" t="inlineStr">
        <is>
          <t>MAT-PAINT-POWDER</t>
        </is>
      </c>
      <c r="F81" t="inlineStr">
        <is>
          <t>m2</t>
        </is>
      </c>
      <c r="G81" s="394" t="n">
        <v>0.42</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Diện tích phủ sơn 0.420m2</t>
        </is>
      </c>
    </row>
    <row r="82">
      <c r="A82" t="inlineStr">
        <is>
          <t>SW-DIFF-094-FRAME</t>
        </is>
      </c>
      <c r="B82" t="inlineStr">
        <is>
          <t>SW-DIFF-094</t>
        </is>
      </c>
      <c r="C82" t="inlineStr">
        <is>
          <t>Khung nhôm định hình (Z)</t>
        </is>
      </c>
      <c r="D82" t="inlineStr">
        <is>
          <t>NHÔM_ĐỊNH_HÌNH</t>
        </is>
      </c>
      <c r="E82" t="inlineStr">
        <is>
          <t>MAT-ALU-KHUNG-Z-2-LOP</t>
        </is>
      </c>
      <c r="F82" t="inlineStr">
        <is>
          <t>kg</t>
        </is>
      </c>
      <c r="G82" s="394" t="n">
        <v>1.072575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Dài cắt 4.73m @ 0.227kg/m</t>
        </is>
      </c>
    </row>
    <row r="83">
      <c r="A83" t="inlineStr">
        <is>
          <t>SW-DIFF-094-BLADE</t>
        </is>
      </c>
      <c r="B83" t="inlineStr">
        <is>
          <t>SW-DIFF-094</t>
        </is>
      </c>
      <c r="C83" t="inlineStr">
        <is>
          <t>Nan nhôm định hình (Z)</t>
        </is>
      </c>
      <c r="D83" t="inlineStr">
        <is>
          <t>NHÔM_ĐỊNH_HÌNH</t>
        </is>
      </c>
      <c r="E83" t="inlineStr">
        <is>
          <t>MAT-ALU-NAN-Z-DAY</t>
        </is>
      </c>
      <c r="F83" t="inlineStr">
        <is>
          <t>kg</t>
        </is>
      </c>
      <c r="G83" s="394" t="n">
        <v>5.153967000000001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13 nan dài 23.75m @ 0.217kg/m</t>
        </is>
      </c>
    </row>
    <row r="84">
      <c r="A84" t="inlineStr">
        <is>
          <t>SW-DIFF-094-ACCESSORY</t>
        </is>
      </c>
      <c r="B84" t="inlineStr">
        <is>
          <t>SW-DIFF-094</t>
        </is>
      </c>
      <c r="C84" t="inlineStr">
        <is>
          <t>Phụ kiện lắp ghép / Ke góc cửa gió</t>
        </is>
      </c>
      <c r="D84" t="inlineStr">
        <is>
          <t>PHỤ_KIỆN_CỬA</t>
        </is>
      </c>
      <c r="E84" t="inlineStr">
        <is>
          <t>MAT-DOOR-ACCESSORY</t>
        </is>
      </c>
      <c r="F84" t="inlineStr">
        <is>
          <t>Bộ</t>
        </is>
      </c>
      <c r="G84" s="394" t="n">
        <v>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4 ke góc chìm và vít ghép khung</t>
        </is>
      </c>
    </row>
    <row r="85">
      <c r="A85" t="inlineStr">
        <is>
          <t>SW-DIFF-094-PAINT</t>
        </is>
      </c>
      <c r="B85" t="inlineStr">
        <is>
          <t>SW-DIFF-094</t>
        </is>
      </c>
      <c r="C85" t="inlineStr">
        <is>
          <t>Sơn tĩnh điện tiêu chuẩn Polyester</t>
        </is>
      </c>
      <c r="D85" t="inlineStr">
        <is>
          <t>SƠN_TĨNH_ĐIỆN</t>
        </is>
      </c>
      <c r="E85" t="inlineStr">
        <is>
          <t>MAT-PAINT-POWDER</t>
        </is>
      </c>
      <c r="F85" t="inlineStr">
        <is>
          <t>m2</t>
        </is>
      </c>
      <c r="G85" s="394" t="n">
        <v>1.3125</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Diện tích phủ sơn 1.312m2</t>
        </is>
      </c>
    </row>
    <row r="86">
      <c r="A86" t="inlineStr">
        <is>
          <t>SW-DIFF-095-FRAME</t>
        </is>
      </c>
      <c r="B86" t="inlineStr">
        <is>
          <t>SW-DIFF-095</t>
        </is>
      </c>
      <c r="C86" t="inlineStr">
        <is>
          <t>Khung nhôm định hình (Z)</t>
        </is>
      </c>
      <c r="D86" t="inlineStr">
        <is>
          <t>NHÔM_ĐỊNH_HÌNH</t>
        </is>
      </c>
      <c r="E86" t="inlineStr">
        <is>
          <t>MAT-ALU-KHUNG-Z-2-LOP</t>
        </is>
      </c>
      <c r="F86" t="inlineStr">
        <is>
          <t>kg</t>
        </is>
      </c>
      <c r="G86" s="394" t="n">
        <v>1.19175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Dài cắt 5.25m @ 0.227kg/m</t>
        </is>
      </c>
    </row>
    <row r="87">
      <c r="A87" t="inlineStr">
        <is>
          <t>SW-DIFF-095-BLADE</t>
        </is>
      </c>
      <c r="B87" t="inlineStr">
        <is>
          <t>SW-DIFF-095</t>
        </is>
      </c>
      <c r="C87" t="inlineStr">
        <is>
          <t>Nan nhôm định hình (Z)</t>
        </is>
      </c>
      <c r="D87" t="inlineStr">
        <is>
          <t>NHÔM_ĐỊNH_HÌNH</t>
        </is>
      </c>
      <c r="E87" t="inlineStr">
        <is>
          <t>MAT-ALU-NAN-Z-DAY</t>
        </is>
      </c>
      <c r="F87" t="inlineStr">
        <is>
          <t>kg</t>
        </is>
      </c>
      <c r="G87" s="394" t="n">
        <v>8.487412500000001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25 nan dài 39.11m @ 0.217kg/m</t>
        </is>
      </c>
    </row>
    <row r="88">
      <c r="A88" t="inlineStr">
        <is>
          <t>SW-DIFF-095-ACCESSORY</t>
        </is>
      </c>
      <c r="B88" t="inlineStr">
        <is>
          <t>SW-DIFF-095</t>
        </is>
      </c>
      <c r="C88" t="inlineStr">
        <is>
          <t>Phụ kiện lắp ghép / Ke góc cửa gió</t>
        </is>
      </c>
      <c r="D88" t="inlineStr">
        <is>
          <t>PHỤ_KIỆN_CỬA</t>
        </is>
      </c>
      <c r="E88" t="inlineStr">
        <is>
          <t>MAT-DOOR-ACCESSORY</t>
        </is>
      </c>
      <c r="F88" t="inlineStr">
        <is>
          <t>Bộ</t>
        </is>
      </c>
      <c r="G88" s="394" t="n">
        <v>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4 ke góc chìm và vít ghép khung</t>
        </is>
      </c>
    </row>
    <row r="89">
      <c r="A89" t="inlineStr">
        <is>
          <t>SW-DIFF-095-PAINT</t>
        </is>
      </c>
      <c r="B89" t="inlineStr">
        <is>
          <t>SW-DIFF-095</t>
        </is>
      </c>
      <c r="C89" t="inlineStr">
        <is>
          <t>Sơn tĩnh điện tiêu chuẩn Polyester</t>
        </is>
      </c>
      <c r="D89" t="inlineStr">
        <is>
          <t>SƠN_TĨNH_ĐIỆN</t>
        </is>
      </c>
      <c r="E89" t="inlineStr">
        <is>
          <t>MAT-PAINT-POWDER</t>
        </is>
      </c>
      <c r="F89" t="inlineStr">
        <is>
          <t>m2</t>
        </is>
      </c>
      <c r="G89" s="394" t="n">
        <v>2.25</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Diện tích phủ sơn 2.250m2</t>
        </is>
      </c>
    </row>
    <row r="90">
      <c r="A90" t="inlineStr">
        <is>
          <t>SW-DIFF-096-FRAME</t>
        </is>
      </c>
      <c r="B90" t="inlineStr">
        <is>
          <t>SW-DIFF-096</t>
        </is>
      </c>
      <c r="C90" t="inlineStr">
        <is>
          <t>Khung nhôm định hình (Z)</t>
        </is>
      </c>
      <c r="D90" t="inlineStr">
        <is>
          <t>NHÔM_ĐỊNH_HÌNH</t>
        </is>
      </c>
      <c r="E90" t="inlineStr">
        <is>
          <t>MAT-ALU-KHUNG-Z-2-LOP</t>
        </is>
      </c>
      <c r="F90" t="inlineStr">
        <is>
          <t>kg</t>
        </is>
      </c>
      <c r="G90" s="394" t="n">
        <v>2.14515</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Dài cắt 9.45m @ 0.227kg/m</t>
        </is>
      </c>
    </row>
    <row r="91">
      <c r="A91" t="inlineStr">
        <is>
          <t>SW-DIFF-096-BLADE</t>
        </is>
      </c>
      <c r="B91" t="inlineStr">
        <is>
          <t>SW-DIFF-096</t>
        </is>
      </c>
      <c r="C91" t="inlineStr">
        <is>
          <t>Nan nhôm định hình (Z)</t>
        </is>
      </c>
      <c r="D91" t="inlineStr">
        <is>
          <t>NHÔM_ĐỊNH_HÌNH</t>
        </is>
      </c>
      <c r="E91" t="inlineStr">
        <is>
          <t>MAT-ALU-NAN-Z-DAY</t>
        </is>
      </c>
      <c r="F91" t="inlineStr">
        <is>
          <t>kg</t>
        </is>
      </c>
      <c r="G91" s="394" t="n">
        <v>19.8799125</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25 nan dài 91.61m @ 0.217kg/m</t>
        </is>
      </c>
    </row>
    <row r="92">
      <c r="A92" t="inlineStr">
        <is>
          <t>SW-DIFF-096-ACCESSORY</t>
        </is>
      </c>
      <c r="B92" t="inlineStr">
        <is>
          <t>SW-DIFF-096</t>
        </is>
      </c>
      <c r="C92" t="inlineStr">
        <is>
          <t>Phụ kiện lắp ghép / Ke góc cửa gió</t>
        </is>
      </c>
      <c r="D92" t="inlineStr">
        <is>
          <t>PHỤ_KIỆN_CỬA</t>
        </is>
      </c>
      <c r="E92" t="inlineStr">
        <is>
          <t>MAT-DOOR-ACCESSORY</t>
        </is>
      </c>
      <c r="F92" t="inlineStr">
        <is>
          <t>Bộ</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4 ke góc chìm và vít ghép khung</t>
        </is>
      </c>
    </row>
    <row r="93">
      <c r="A93" t="inlineStr">
        <is>
          <t>SW-DIFF-096-PAINT</t>
        </is>
      </c>
      <c r="B93" t="inlineStr">
        <is>
          <t>SW-DIFF-096</t>
        </is>
      </c>
      <c r="C93" t="inlineStr">
        <is>
          <t>Sơn tĩnh điện tiêu chuẩn Polyester</t>
        </is>
      </c>
      <c r="D93" t="inlineStr">
        <is>
          <t>SƠN_TĨNH_ĐIỆN</t>
        </is>
      </c>
      <c r="E93" t="inlineStr">
        <is>
          <t>MAT-PAINT-POWDER</t>
        </is>
      </c>
      <c r="F93" t="inlineStr">
        <is>
          <t>m2</t>
        </is>
      </c>
      <c r="G93" s="394" t="n">
        <v>5.25</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Diện tích phủ sơn 5.250m2</t>
        </is>
      </c>
    </row>
    <row r="94">
      <c r="A94" t="inlineStr">
        <is>
          <t>SW-DIFF-136-FRAME</t>
        </is>
      </c>
      <c r="B94" t="inlineStr">
        <is>
          <t>SW-DIFF-136</t>
        </is>
      </c>
      <c r="C94" t="inlineStr">
        <is>
          <t>Khung nhôm định hình (BD)</t>
        </is>
      </c>
      <c r="D94" t="inlineStr">
        <is>
          <t>NHÔM_ĐỊNH_HÌNH</t>
        </is>
      </c>
      <c r="E94" t="inlineStr">
        <is>
          <t>MAT-ALU-KHUNG-BD</t>
        </is>
      </c>
      <c r="F94" t="inlineStr">
        <is>
          <t>kg</t>
        </is>
      </c>
      <c r="G94" s="394" t="n">
        <v>0.6720000000000002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Dài cắt 3.36m @ 0.2kg/m</t>
        </is>
      </c>
    </row>
    <row r="95">
      <c r="A95" t="inlineStr">
        <is>
          <t>SW-DIFF-136-BLADE</t>
        </is>
      </c>
      <c r="B95" t="inlineStr">
        <is>
          <t>SW-DIFF-136</t>
        </is>
      </c>
      <c r="C95" t="inlineStr">
        <is>
          <t>Nan nhôm định hình (BD)</t>
        </is>
      </c>
      <c r="D95" t="inlineStr">
        <is>
          <t>NHÔM_ĐỊNH_HÌNH</t>
        </is>
      </c>
      <c r="E95" t="inlineStr">
        <is>
          <t>MAT-ALU-NAN-BD</t>
        </is>
      </c>
      <c r="F95" t="inlineStr">
        <is>
          <t>kg</t>
        </is>
      </c>
      <c r="G95" s="394" t="n">
        <v>1.446984</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24 nan dài 24.95m @ 0.058kg/m</t>
        </is>
      </c>
    </row>
    <row r="96">
      <c r="A96" t="inlineStr">
        <is>
          <t>SW-DIFF-136-ACCESSORY</t>
        </is>
      </c>
      <c r="B96" t="inlineStr">
        <is>
          <t>SW-DIFF-136</t>
        </is>
      </c>
      <c r="C96" t="inlineStr">
        <is>
          <t>Phụ kiện lắp ghép / Ke góc cửa gió</t>
        </is>
      </c>
      <c r="D96" t="inlineStr">
        <is>
          <t>PHỤ_KIỆN_CỬA</t>
        </is>
      </c>
      <c r="E96" t="inlineStr">
        <is>
          <t>MAT-DOOR-ACCESSORY</t>
        </is>
      </c>
      <c r="F96" t="inlineStr">
        <is>
          <t>Bộ</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4 ke góc chìm và vít ghép khung</t>
        </is>
      </c>
    </row>
    <row r="97">
      <c r="A97" t="inlineStr">
        <is>
          <t>SW-DIFF-136-PAINT</t>
        </is>
      </c>
      <c r="B97" t="inlineStr">
        <is>
          <t>SW-DIFF-136</t>
        </is>
      </c>
      <c r="C97" t="inlineStr">
        <is>
          <t>Sơn tĩnh điện tiêu chuẩn Polyester</t>
        </is>
      </c>
      <c r="D97" t="inlineStr">
        <is>
          <t>SƠN_TĨNH_ĐIỆN</t>
        </is>
      </c>
      <c r="E97" t="inlineStr">
        <is>
          <t>MAT-PAINT-POWDER</t>
        </is>
      </c>
      <c r="F97" t="inlineStr">
        <is>
          <t>m2</t>
        </is>
      </c>
      <c r="G97" s="394" t="n">
        <v>0.8999999999999999</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Diện tích phủ sơn 0.900m2</t>
        </is>
      </c>
    </row>
    <row r="98">
      <c r="A98" t="inlineStr">
        <is>
          <t>SW-DIFF-137-FRAME</t>
        </is>
      </c>
      <c r="B98" t="inlineStr">
        <is>
          <t>SW-DIFF-137</t>
        </is>
      </c>
      <c r="C98" t="inlineStr">
        <is>
          <t>Khung nhôm định hình (BD)</t>
        </is>
      </c>
      <c r="D98" t="inlineStr">
        <is>
          <t>NHÔM_ĐỊNH_HÌNH</t>
        </is>
      </c>
      <c r="E98" t="inlineStr">
        <is>
          <t>MAT-ALU-KHUNG-BD</t>
        </is>
      </c>
      <c r="F98" t="inlineStr">
        <is>
          <t>kg</t>
        </is>
      </c>
      <c r="G98" s="394" t="n">
        <v>0.7560000000000001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Dài cắt 3.78m @ 0.2kg/m</t>
        </is>
      </c>
    </row>
    <row r="99">
      <c r="A99" t="inlineStr">
        <is>
          <t>SW-DIFF-137-BLADE</t>
        </is>
      </c>
      <c r="B99" t="inlineStr">
        <is>
          <t>SW-DIFF-137</t>
        </is>
      </c>
      <c r="C99" t="inlineStr">
        <is>
          <t>Nan nhôm định hình (BD)</t>
        </is>
      </c>
      <c r="D99" t="inlineStr">
        <is>
          <t>NHÔM_ĐỊNH_HÌNH</t>
        </is>
      </c>
      <c r="E99" t="inlineStr">
        <is>
          <t>MAT-ALU-NAN-BD</t>
        </is>
      </c>
      <c r="F99" t="inlineStr">
        <is>
          <t>kg</t>
        </is>
      </c>
      <c r="G99" s="394" t="n">
        <v>1.739304</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24 nan dài 29.99m @ 0.058kg/m</t>
        </is>
      </c>
    </row>
    <row r="100">
      <c r="A100" t="inlineStr">
        <is>
          <t>SW-DIFF-137-ACCESSORY</t>
        </is>
      </c>
      <c r="B100" t="inlineStr">
        <is>
          <t>SW-DIFF-137</t>
        </is>
      </c>
      <c r="C100" t="inlineStr">
        <is>
          <t>Phụ kiện lắp ghép / Ke góc cửa gió</t>
        </is>
      </c>
      <c r="D100" t="inlineStr">
        <is>
          <t>PHỤ_KIỆN_CỬA</t>
        </is>
      </c>
      <c r="E100" t="inlineStr">
        <is>
          <t>MAT-DOOR-ACCESSORY</t>
        </is>
      </c>
      <c r="F100" t="inlineStr">
        <is>
          <t>Bộ</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4 ke góc chìm và vít ghép khung</t>
        </is>
      </c>
    </row>
    <row r="101">
      <c r="A101" t="inlineStr">
        <is>
          <t>SW-DIFF-137-PAINT</t>
        </is>
      </c>
      <c r="B101" t="inlineStr">
        <is>
          <t>SW-DIFF-137</t>
        </is>
      </c>
      <c r="C101" t="inlineStr">
        <is>
          <t>Sơn tĩnh điện tiêu chuẩn Polyester</t>
        </is>
      </c>
      <c r="D101" t="inlineStr">
        <is>
          <t>SƠN_TĨNH_ĐIỆN</t>
        </is>
      </c>
      <c r="E101" t="inlineStr">
        <is>
          <t>MAT-PAINT-POWDER</t>
        </is>
      </c>
      <c r="F101" t="inlineStr">
        <is>
          <t>m2</t>
        </is>
      </c>
      <c r="G101" s="394" t="n">
        <v>1.08</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Diện tích phủ sơn 1.080m2</t>
        </is>
      </c>
    </row>
    <row r="102">
      <c r="A102" t="inlineStr">
        <is>
          <t>SW-DIFF-138-FRAME</t>
        </is>
      </c>
      <c r="B102" t="inlineStr">
        <is>
          <t>SW-DIFF-138</t>
        </is>
      </c>
      <c r="C102" t="inlineStr">
        <is>
          <t>Khung nhôm định hình (BD)</t>
        </is>
      </c>
      <c r="D102" t="inlineStr">
        <is>
          <t>NHÔM_ĐỊNH_HÌNH</t>
        </is>
      </c>
      <c r="E102" t="inlineStr">
        <is>
          <t>MAT-ALU-KHUNG-BD</t>
        </is>
      </c>
      <c r="F102" t="inlineStr">
        <is>
          <t>kg</t>
        </is>
      </c>
      <c r="G102" s="394" t="n">
        <v>0.504</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Dài cắt 2.52m @ 0.2kg/m</t>
        </is>
      </c>
    </row>
    <row r="103">
      <c r="A103" t="inlineStr">
        <is>
          <t>SW-DIFF-138-BLADE</t>
        </is>
      </c>
      <c r="B103" t="inlineStr">
        <is>
          <t>SW-DIFF-138</t>
        </is>
      </c>
      <c r="C103" t="inlineStr">
        <is>
          <t>Nan nhôm định hình (BD)</t>
        </is>
      </c>
      <c r="D103" t="inlineStr">
        <is>
          <t>NHÔM_ĐỊNH_HÌNH</t>
        </is>
      </c>
      <c r="E103" t="inlineStr">
        <is>
          <t>MAT-ALU-NAN-BD</t>
        </is>
      </c>
      <c r="F103" t="inlineStr">
        <is>
          <t>kg</t>
        </is>
      </c>
      <c r="G103" s="394" t="n">
        <v>0.8623440000000001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24 nan dài 14.87m @ 0.058kg/m</t>
        </is>
      </c>
    </row>
    <row r="104">
      <c r="A104" t="inlineStr">
        <is>
          <t>SW-DIFF-138-ACCESSORY</t>
        </is>
      </c>
      <c r="B104" t="inlineStr">
        <is>
          <t>SW-DIFF-138</t>
        </is>
      </c>
      <c r="C104" t="inlineStr">
        <is>
          <t>Phụ kiện lắp ghép / Ke góc cửa gió</t>
        </is>
      </c>
      <c r="D104" t="inlineStr">
        <is>
          <t>PHỤ_KIỆN_CỬA</t>
        </is>
      </c>
      <c r="E104" t="inlineStr">
        <is>
          <t>MAT-DOOR-ACCESSORY</t>
        </is>
      </c>
      <c r="F104" t="inlineStr">
        <is>
          <t>Bộ</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4 ke góc chìm và vít ghép khung</t>
        </is>
      </c>
    </row>
    <row r="105">
      <c r="A105" t="inlineStr">
        <is>
          <t>SW-DIFF-138-PAINT</t>
        </is>
      </c>
      <c r="B105" t="inlineStr">
        <is>
          <t>SW-DIFF-138</t>
        </is>
      </c>
      <c r="C105" t="inlineStr">
        <is>
          <t>Sơn tĩnh điện tiêu chuẩn Polyester</t>
        </is>
      </c>
      <c r="D105" t="inlineStr">
        <is>
          <t>SƠN_TĨNH_ĐIỆN</t>
        </is>
      </c>
      <c r="E105" t="inlineStr">
        <is>
          <t>MAT-PAINT-POWDER</t>
        </is>
      </c>
      <c r="F105" t="inlineStr">
        <is>
          <t>m2</t>
        </is>
      </c>
      <c r="G105" s="394" t="n">
        <v>0.54</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Diện tích phủ sơn 0.540m2</t>
        </is>
      </c>
    </row>
    <row r="106">
      <c r="A106" t="inlineStr">
        <is>
          <t>SW-DIFF-139-FRAME</t>
        </is>
      </c>
      <c r="B106" t="inlineStr">
        <is>
          <t>SW-DIFF-139</t>
        </is>
      </c>
      <c r="C106" t="inlineStr">
        <is>
          <t>Khung nhôm định hình (BD)</t>
        </is>
      </c>
      <c r="D106" t="inlineStr">
        <is>
          <t>NHÔM_ĐỊNH_HÌNH</t>
        </is>
      </c>
      <c r="E106" t="inlineStr">
        <is>
          <t>MAT-ALU-KHUNG-BD</t>
        </is>
      </c>
      <c r="F106" t="inlineStr">
        <is>
          <t>kg</t>
        </is>
      </c>
      <c r="G106" s="394" t="n">
        <v>0.6300000000000001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Dài cắt 3.15m @ 0.2kg/m</t>
        </is>
      </c>
    </row>
    <row r="107">
      <c r="A107" t="inlineStr">
        <is>
          <t>SW-DIFF-139-BLADE</t>
        </is>
      </c>
      <c r="B107" t="inlineStr">
        <is>
          <t>SW-DIFF-139</t>
        </is>
      </c>
      <c r="C107" t="inlineStr">
        <is>
          <t>Nan nhôm định hình (BD)</t>
        </is>
      </c>
      <c r="D107" t="inlineStr">
        <is>
          <t>NHÔM_ĐỊNH_HÌNH</t>
        </is>
      </c>
      <c r="E107" t="inlineStr">
        <is>
          <t>MAT-ALU-NAN-BD</t>
        </is>
      </c>
      <c r="F107" t="inlineStr">
        <is>
          <t>kg</t>
        </is>
      </c>
      <c r="G107" s="394" t="n">
        <v>1.300824</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24 nan dài 22.43m @ 0.058kg/m</t>
        </is>
      </c>
    </row>
    <row r="108">
      <c r="A108" t="inlineStr">
        <is>
          <t>SW-DIFF-139-ACCESSORY</t>
        </is>
      </c>
      <c r="B108" t="inlineStr">
        <is>
          <t>SW-DIFF-139</t>
        </is>
      </c>
      <c r="C108" t="inlineStr">
        <is>
          <t>Phụ kiện lắp ghép / Ke góc cửa gió</t>
        </is>
      </c>
      <c r="D108" t="inlineStr">
        <is>
          <t>PHỤ_KIỆN_CỬA</t>
        </is>
      </c>
      <c r="E108" t="inlineStr">
        <is>
          <t>MAT-DOOR-ACCESSORY</t>
        </is>
      </c>
      <c r="F108" t="inlineStr">
        <is>
          <t>Bộ</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4 ke góc chìm và vít ghép khung</t>
        </is>
      </c>
    </row>
    <row r="109">
      <c r="A109" t="inlineStr">
        <is>
          <t>SW-DIFF-139-PAINT</t>
        </is>
      </c>
      <c r="B109" t="inlineStr">
        <is>
          <t>SW-DIFF-139</t>
        </is>
      </c>
      <c r="C109" t="inlineStr">
        <is>
          <t>Sơn tĩnh điện tiêu chuẩn Polyester</t>
        </is>
      </c>
      <c r="D109" t="inlineStr">
        <is>
          <t>SƠN_TĨNH_ĐIỆN</t>
        </is>
      </c>
      <c r="E109" t="inlineStr">
        <is>
          <t>MAT-PAINT-POWDER</t>
        </is>
      </c>
      <c r="F109" t="inlineStr">
        <is>
          <t>m2</t>
        </is>
      </c>
      <c r="G109" s="394" t="n">
        <v>0.8100000000000001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Diện tích phủ sơn 0.810m2</t>
        </is>
      </c>
    </row>
    <row r="110">
      <c r="A110" t="inlineStr">
        <is>
          <t>SW-DIFF-140-FRAME</t>
        </is>
      </c>
      <c r="B110" t="inlineStr">
        <is>
          <t>SW-DIFF-140</t>
        </is>
      </c>
      <c r="C110" t="inlineStr">
        <is>
          <t>Khung nhôm định hình (BD)</t>
        </is>
      </c>
      <c r="D110" t="inlineStr">
        <is>
          <t>NHÔM_ĐỊNH_HÌNH</t>
        </is>
      </c>
      <c r="E110" t="inlineStr">
        <is>
          <t>MAT-ALU-KHUNG-BD</t>
        </is>
      </c>
      <c r="F110" t="inlineStr">
        <is>
          <t>kg</t>
        </is>
      </c>
      <c r="G110" s="394" t="n">
        <v>0.714</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Dài cắt 3.57m @ 0.2kg/m</t>
        </is>
      </c>
    </row>
    <row r="111">
      <c r="A111" t="inlineStr">
        <is>
          <t>SW-DIFF-140-BLADE</t>
        </is>
      </c>
      <c r="B111" t="inlineStr">
        <is>
          <t>SW-DIFF-140</t>
        </is>
      </c>
      <c r="C111" t="inlineStr">
        <is>
          <t>Nan nhôm định hình (BD)</t>
        </is>
      </c>
      <c r="D111" t="inlineStr">
        <is>
          <t>NHÔM_ĐỊNH_HÌNH</t>
        </is>
      </c>
      <c r="E111" t="inlineStr">
        <is>
          <t>MAT-ALU-NAN-BD</t>
        </is>
      </c>
      <c r="F111" t="inlineStr">
        <is>
          <t>kg</t>
        </is>
      </c>
      <c r="G111" s="394" t="n">
        <v>1.739304</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34 nan dài 29.99m @ 0.058kg/m</t>
        </is>
      </c>
    </row>
    <row r="112">
      <c r="A112" t="inlineStr">
        <is>
          <t>SW-DIFF-140-ACCESSORY</t>
        </is>
      </c>
      <c r="B112" t="inlineStr">
        <is>
          <t>SW-DIFF-140</t>
        </is>
      </c>
      <c r="C112" t="inlineStr">
        <is>
          <t>Phụ kiện lắp ghép / Ke góc cửa gió</t>
        </is>
      </c>
      <c r="D112" t="inlineStr">
        <is>
          <t>PHỤ_KIỆN_CỬA</t>
        </is>
      </c>
      <c r="E112" t="inlineStr">
        <is>
          <t>MAT-DOOR-ACCESSORY</t>
        </is>
      </c>
      <c r="F112" t="inlineStr">
        <is>
          <t>Bộ</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4 ke góc chìm và vít ghép khung</t>
        </is>
      </c>
    </row>
    <row r="113">
      <c r="A113" t="inlineStr">
        <is>
          <t>SW-DIFF-140-PAINT</t>
        </is>
      </c>
      <c r="B113" t="inlineStr">
        <is>
          <t>SW-DIFF-140</t>
        </is>
      </c>
      <c r="C113" t="inlineStr">
        <is>
          <t>Sơn tĩnh điện tiêu chuẩn Polyester</t>
        </is>
      </c>
      <c r="D113" t="inlineStr">
        <is>
          <t>SƠN_TĨNH_ĐIỆN</t>
        </is>
      </c>
      <c r="E113" t="inlineStr">
        <is>
          <t>MAT-PAINT-POWDER</t>
        </is>
      </c>
      <c r="F113" t="inlineStr">
        <is>
          <t>m2</t>
        </is>
      </c>
      <c r="G113" s="394" t="n">
        <v>1.08375</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Diện tích phủ sơn 1.084m2</t>
        </is>
      </c>
    </row>
    <row r="114">
      <c r="A114" t="inlineStr">
        <is>
          <t>SW-DIFF-141-FRAME</t>
        </is>
      </c>
      <c r="B114" t="inlineStr">
        <is>
          <t>SW-DIFF-141</t>
        </is>
      </c>
      <c r="C114" t="inlineStr">
        <is>
          <t>Khung nhôm định hình (BD)</t>
        </is>
      </c>
      <c r="D114" t="inlineStr">
        <is>
          <t>NHÔM_ĐỊNH_HÌNH</t>
        </is>
      </c>
      <c r="E114" t="inlineStr">
        <is>
          <t>MAT-ALU-KHUNG-BD</t>
        </is>
      </c>
      <c r="F114" t="inlineStr">
        <is>
          <t>kg</t>
        </is>
      </c>
      <c r="G114" s="394" t="n">
        <v>0.7770000000000001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Dài cắt 3.89m @ 0.2kg/m</t>
        </is>
      </c>
    </row>
    <row r="115">
      <c r="A115" t="inlineStr">
        <is>
          <t>SW-DIFF-141-BLADE</t>
        </is>
      </c>
      <c r="B115" t="inlineStr">
        <is>
          <t>SW-DIFF-141</t>
        </is>
      </c>
      <c r="C115" t="inlineStr">
        <is>
          <t>Nan nhôm định hình (BD)</t>
        </is>
      </c>
      <c r="D115" t="inlineStr">
        <is>
          <t>NHÔM_ĐỊNH_HÌNH</t>
        </is>
      </c>
      <c r="E115" t="inlineStr">
        <is>
          <t>MAT-ALU-NAN-BD</t>
        </is>
      </c>
      <c r="F115" t="inlineStr">
        <is>
          <t>kg</t>
        </is>
      </c>
      <c r="G115" s="394" t="n">
        <v>2.026752</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32 nan dài 34.94m @ 0.058kg/m</t>
        </is>
      </c>
    </row>
    <row r="116">
      <c r="A116" t="inlineStr">
        <is>
          <t>SW-DIFF-141-ACCESSORY</t>
        </is>
      </c>
      <c r="B116" t="inlineStr">
        <is>
          <t>SW-DIFF-141</t>
        </is>
      </c>
      <c r="C116" t="inlineStr">
        <is>
          <t>Phụ kiện lắp ghép / Ke góc cửa gió</t>
        </is>
      </c>
      <c r="D116" t="inlineStr">
        <is>
          <t>PHỤ_KIỆN_CỬA</t>
        </is>
      </c>
      <c r="E116" t="inlineStr">
        <is>
          <t>MAT-DOOR-ACCESSORY</t>
        </is>
      </c>
      <c r="F116" t="inlineStr">
        <is>
          <t>Bộ</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4 ke góc chìm và vít ghép khung</t>
        </is>
      </c>
    </row>
    <row r="117">
      <c r="A117" t="inlineStr">
        <is>
          <t>SW-DIFF-141-PAINT</t>
        </is>
      </c>
      <c r="B117" t="inlineStr">
        <is>
          <t>SW-DIFF-141</t>
        </is>
      </c>
      <c r="C117" t="inlineStr">
        <is>
          <t>Sơn tĩnh điện tiêu chuẩn Polyester</t>
        </is>
      </c>
      <c r="D117" t="inlineStr">
        <is>
          <t>SƠN_TĨNH_ĐIỆN</t>
        </is>
      </c>
      <c r="E117" t="inlineStr">
        <is>
          <t>MAT-PAINT-POWDER</t>
        </is>
      </c>
      <c r="F117" t="inlineStr">
        <is>
          <t>m2</t>
        </is>
      </c>
      <c r="G117" s="394" t="n">
        <v>1.26</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Diện tích phủ sơn 1.260m2</t>
        </is>
      </c>
    </row>
    <row r="118">
      <c r="A118" t="inlineStr">
        <is>
          <t>SW-DIFF-142-FRAME</t>
        </is>
      </c>
      <c r="B118" t="inlineStr">
        <is>
          <t>SW-DIFF-142</t>
        </is>
      </c>
      <c r="C118" t="inlineStr">
        <is>
          <t>Khung nhôm định hình (BD)</t>
        </is>
      </c>
      <c r="D118" t="inlineStr">
        <is>
          <t>NHÔM_ĐỊNH_HÌNH</t>
        </is>
      </c>
      <c r="E118" t="inlineStr">
        <is>
          <t>MAT-ALU-KHUNG-BD</t>
        </is>
      </c>
      <c r="F118" t="inlineStr">
        <is>
          <t>kg</t>
        </is>
      </c>
      <c r="G118" s="394" t="n">
        <v>0.714</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Dài cắt 3.57m @ 0.2kg/m</t>
        </is>
      </c>
    </row>
    <row r="119">
      <c r="A119" t="inlineStr">
        <is>
          <t>SW-DIFF-142-BLADE</t>
        </is>
      </c>
      <c r="B119" t="inlineStr">
        <is>
          <t>SW-DIFF-142</t>
        </is>
      </c>
      <c r="C119" t="inlineStr">
        <is>
          <t>Nan nhôm định hình (BD)</t>
        </is>
      </c>
      <c r="D119" t="inlineStr">
        <is>
          <t>NHÔM_ĐỊNH_HÌNH</t>
        </is>
      </c>
      <c r="E119" t="inlineStr">
        <is>
          <t>MAT-ALU-NAN-BD</t>
        </is>
      </c>
      <c r="F119" t="inlineStr">
        <is>
          <t>kg</t>
        </is>
      </c>
      <c r="G119" s="394" t="n">
        <v>1.739304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34 nan dài 29.99m @ 0.058kg/m</t>
        </is>
      </c>
    </row>
    <row r="120">
      <c r="A120" t="inlineStr">
        <is>
          <t>SW-DIFF-142-ACCESSORY</t>
        </is>
      </c>
      <c r="B120" t="inlineStr">
        <is>
          <t>SW-DIFF-142</t>
        </is>
      </c>
      <c r="C120" t="inlineStr">
        <is>
          <t>Phụ kiện lắp ghép / Ke góc cửa gió</t>
        </is>
      </c>
      <c r="D120" t="inlineStr">
        <is>
          <t>PHỤ_KIỆN_CỬA</t>
        </is>
      </c>
      <c r="E120" t="inlineStr">
        <is>
          <t>MAT-DOOR-ACCESSORY</t>
        </is>
      </c>
      <c r="F120" t="inlineStr">
        <is>
          <t>Bộ</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4 ke góc chìm và vít ghép khung</t>
        </is>
      </c>
    </row>
    <row r="121">
      <c r="A121" t="inlineStr">
        <is>
          <t>SW-DIFF-142-PAINT</t>
        </is>
      </c>
      <c r="B121" t="inlineStr">
        <is>
          <t>SW-DIFF-142</t>
        </is>
      </c>
      <c r="C121" t="inlineStr">
        <is>
          <t>Sơn tĩnh điện tiêu chuẩn Polyester</t>
        </is>
      </c>
      <c r="D121" t="inlineStr">
        <is>
          <t>SƠN_TĨNH_ĐIỆN</t>
        </is>
      </c>
      <c r="E121" t="inlineStr">
        <is>
          <t>MAT-PAINT-POWDER</t>
        </is>
      </c>
      <c r="F121" t="inlineStr">
        <is>
          <t>m2</t>
        </is>
      </c>
      <c r="G121" s="394" t="n">
        <v>1.08375</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Diện tích phủ sơn 1.084m2</t>
        </is>
      </c>
    </row>
    <row r="122">
      <c r="A122" t="inlineStr">
        <is>
          <t>SW-DIFF-143-FRAME</t>
        </is>
      </c>
      <c r="B122" t="inlineStr">
        <is>
          <t>SW-DIFF-143</t>
        </is>
      </c>
      <c r="C122" t="inlineStr">
        <is>
          <t>Khung nhôm định hình (BD)</t>
        </is>
      </c>
      <c r="D122" t="inlineStr">
        <is>
          <t>NHÔM_ĐỊNH_HÌNH</t>
        </is>
      </c>
      <c r="E122" t="inlineStr">
        <is>
          <t>MAT-ALU-KHUNG-BD</t>
        </is>
      </c>
      <c r="F122" t="inlineStr">
        <is>
          <t>kg</t>
        </is>
      </c>
      <c r="G122" s="394" t="n">
        <v>0.714</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Dài cắt 3.57m @ 0.2kg/m</t>
        </is>
      </c>
    </row>
    <row r="123">
      <c r="A123" t="inlineStr">
        <is>
          <t>SW-DIFF-143-BLADE</t>
        </is>
      </c>
      <c r="B123" t="inlineStr">
        <is>
          <t>SW-DIFF-143</t>
        </is>
      </c>
      <c r="C123" t="inlineStr">
        <is>
          <t>Nan nhôm định hình (BD)</t>
        </is>
      </c>
      <c r="D123" t="inlineStr">
        <is>
          <t>NHÔM_ĐỊNH_HÌNH</t>
        </is>
      </c>
      <c r="E123" t="inlineStr">
        <is>
          <t>MAT-ALU-NAN-BD</t>
        </is>
      </c>
      <c r="F123" t="inlineStr">
        <is>
          <t>kg</t>
        </is>
      </c>
      <c r="G123" s="394" t="n">
        <v>1.739304</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34 nan dài 29.99m @ 0.058kg/m</t>
        </is>
      </c>
    </row>
    <row r="124">
      <c r="A124" t="inlineStr">
        <is>
          <t>SW-DIFF-143-ACCESSORY</t>
        </is>
      </c>
      <c r="B124" t="inlineStr">
        <is>
          <t>SW-DIFF-143</t>
        </is>
      </c>
      <c r="C124" t="inlineStr">
        <is>
          <t>Phụ kiện lắp ghép / Ke góc cửa gió</t>
        </is>
      </c>
      <c r="D124" t="inlineStr">
        <is>
          <t>PHỤ_KIỆN_CỬA</t>
        </is>
      </c>
      <c r="E124" t="inlineStr">
        <is>
          <t>MAT-DOOR-ACCESSORY</t>
        </is>
      </c>
      <c r="F124" t="inlineStr">
        <is>
          <t>Bộ</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4 ke góc chìm và vít ghép khung</t>
        </is>
      </c>
    </row>
    <row r="125">
      <c r="A125" t="inlineStr">
        <is>
          <t>SW-DIFF-143-PAINT</t>
        </is>
      </c>
      <c r="B125" t="inlineStr">
        <is>
          <t>SW-DIFF-143</t>
        </is>
      </c>
      <c r="C125" t="inlineStr">
        <is>
          <t>Sơn tĩnh điện tiêu chuẩn Polyester</t>
        </is>
      </c>
      <c r="D125" t="inlineStr">
        <is>
          <t>SƠN_TĨNH_ĐIỆN</t>
        </is>
      </c>
      <c r="E125" t="inlineStr">
        <is>
          <t>MAT-PAINT-POWDER</t>
        </is>
      </c>
      <c r="F125" t="inlineStr">
        <is>
          <t>m2</t>
        </is>
      </c>
      <c r="G125" s="394" t="n">
        <v>1.08375</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Diện tích phủ sơn 1.084m2</t>
        </is>
      </c>
    </row>
    <row r="126">
      <c r="A126" t="inlineStr">
        <is>
          <t>SW-DIFF-144-FRAME</t>
        </is>
      </c>
      <c r="B126" t="inlineStr">
        <is>
          <t>SW-DIFF-144</t>
        </is>
      </c>
      <c r="C126" t="inlineStr">
        <is>
          <t>Khung nhôm định hình (BD)</t>
        </is>
      </c>
      <c r="D126" t="inlineStr">
        <is>
          <t>NHÔM_ĐỊNH_HÌNH</t>
        </is>
      </c>
      <c r="E126" t="inlineStr">
        <is>
          <t>MAT-ALU-KHUNG-BD</t>
        </is>
      </c>
      <c r="F126" t="inlineStr">
        <is>
          <t>kg</t>
        </is>
      </c>
      <c r="G126" s="394" t="n">
        <v>0.21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Dài cắt 1.05m @ 0.2kg/m</t>
        </is>
      </c>
    </row>
    <row r="127">
      <c r="A127" t="inlineStr">
        <is>
          <t>SW-DIFF-144-BLADE</t>
        </is>
      </c>
      <c r="B127" t="inlineStr">
        <is>
          <t>SW-DIFF-144</t>
        </is>
      </c>
      <c r="C127" t="inlineStr">
        <is>
          <t>Nan nhôm định hình (BD)</t>
        </is>
      </c>
      <c r="D127" t="inlineStr">
        <is>
          <t>NHÔM_ĐỊNH_HÌNH</t>
        </is>
      </c>
      <c r="E127" t="inlineStr">
        <is>
          <t>MAT-ALU-NAN-BD</t>
        </is>
      </c>
      <c r="F127" t="inlineStr">
        <is>
          <t>kg</t>
        </is>
      </c>
      <c r="G127" s="394" t="n">
        <v>0.14616</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10 nan dài 2.52m @ 0.058kg/m</t>
        </is>
      </c>
    </row>
    <row r="128">
      <c r="A128" t="inlineStr">
        <is>
          <t>SW-DIFF-144-ACCESSORY</t>
        </is>
      </c>
      <c r="B128" t="inlineStr">
        <is>
          <t>SW-DIFF-144</t>
        </is>
      </c>
      <c r="C128" t="inlineStr">
        <is>
          <t>Phụ kiện lắp ghép / Ke góc cửa gió</t>
        </is>
      </c>
      <c r="D128" t="inlineStr">
        <is>
          <t>PHỤ_KIỆN_CỬA</t>
        </is>
      </c>
      <c r="E128" t="inlineStr">
        <is>
          <t>MAT-DOOR-ACCESSORY</t>
        </is>
      </c>
      <c r="F128" t="inlineStr">
        <is>
          <t>Bộ</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4 ke góc chìm và vít ghép khung</t>
        </is>
      </c>
    </row>
    <row r="129">
      <c r="A129" t="inlineStr">
        <is>
          <t>SW-DIFF-144-PAINT</t>
        </is>
      </c>
      <c r="B129" t="inlineStr">
        <is>
          <t>SW-DIFF-144</t>
        </is>
      </c>
      <c r="C129" t="inlineStr">
        <is>
          <t>Sơn tĩnh điện tiêu chuẩn Polyester</t>
        </is>
      </c>
      <c r="D129" t="inlineStr">
        <is>
          <t>SƠN_TĨNH_ĐIỆN</t>
        </is>
      </c>
      <c r="E129" t="inlineStr">
        <is>
          <t>MAT-PAINT-POWDER</t>
        </is>
      </c>
      <c r="F129" t="inlineStr">
        <is>
          <t>m2</t>
        </is>
      </c>
      <c r="G129" s="394" t="n">
        <v>0.09375</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Diện tích phủ sơn 0.094m2</t>
        </is>
      </c>
    </row>
    <row r="130">
      <c r="A130" t="inlineStr">
        <is>
          <t>SW-DIFF-148-FRAME</t>
        </is>
      </c>
      <c r="B130" t="inlineStr">
        <is>
          <t>SW-DIFF-148</t>
        </is>
      </c>
      <c r="C130" t="inlineStr">
        <is>
          <t>Khung nhôm định hình (Z)</t>
        </is>
      </c>
      <c r="D130" t="inlineStr">
        <is>
          <t>NHÔM_ĐỊNH_HÌNH</t>
        </is>
      </c>
      <c r="E130" t="inlineStr">
        <is>
          <t>MAT-ALU-KHUNG-Z-2-LOP</t>
        </is>
      </c>
      <c r="F130" t="inlineStr">
        <is>
          <t>kg</t>
        </is>
      </c>
      <c r="G130" s="394" t="n">
        <v>0.28602</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Dài cắt 1.26m @ 0.227kg/m</t>
        </is>
      </c>
    </row>
    <row r="131">
      <c r="A131" t="inlineStr">
        <is>
          <t>SW-DIFF-148-BLADE</t>
        </is>
      </c>
      <c r="B131" t="inlineStr">
        <is>
          <t>SW-DIFF-148</t>
        </is>
      </c>
      <c r="C131" t="inlineStr">
        <is>
          <t>Nan nhôm định hình (Z)</t>
        </is>
      </c>
      <c r="D131" t="inlineStr">
        <is>
          <t>NHÔM_ĐỊNH_HÌNH</t>
        </is>
      </c>
      <c r="E131" t="inlineStr">
        <is>
          <t>MAT-ALU-NAN-Z-DAY</t>
        </is>
      </c>
      <c r="F131" t="inlineStr">
        <is>
          <t>kg</t>
        </is>
      </c>
      <c r="G131" s="394" t="n">
        <v>0.528612</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8 nan dài 2.44m @ 0.217kg/m</t>
        </is>
      </c>
    </row>
    <row r="132">
      <c r="A132" t="inlineStr">
        <is>
          <t>SW-DIFF-148-ACCESSORY</t>
        </is>
      </c>
      <c r="B132" t="inlineStr">
        <is>
          <t>SW-DIFF-148</t>
        </is>
      </c>
      <c r="C132" t="inlineStr">
        <is>
          <t>Phụ kiện lắp ghép / Ke góc cửa gió</t>
        </is>
      </c>
      <c r="D132" t="inlineStr">
        <is>
          <t>PHỤ_KIỆN_CỬA</t>
        </is>
      </c>
      <c r="E132" t="inlineStr">
        <is>
          <t>MAT-DOOR-ACCESSORY</t>
        </is>
      </c>
      <c r="F132" t="inlineStr">
        <is>
          <t>Bộ</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4 ke góc chìm và vít ghép khung</t>
        </is>
      </c>
    </row>
    <row r="133">
      <c r="A133" t="inlineStr">
        <is>
          <t>SW-DIFF-148-PAINT</t>
        </is>
      </c>
      <c r="B133" t="inlineStr">
        <is>
          <t>SW-DIFF-148</t>
        </is>
      </c>
      <c r="C133" t="inlineStr">
        <is>
          <t>Sơn tĩnh điện tiêu chuẩn Polyester</t>
        </is>
      </c>
      <c r="D133" t="inlineStr">
        <is>
          <t>SƠN_TĨNH_ĐIỆN</t>
        </is>
      </c>
      <c r="E133" t="inlineStr">
        <is>
          <t>MAT-PAINT-POWDER</t>
        </is>
      </c>
      <c r="F133" t="inlineStr">
        <is>
          <t>m2</t>
        </is>
      </c>
      <c r="G133" s="394" t="n">
        <v>0.135</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Diện tích phủ sơn 0.135m2</t>
        </is>
      </c>
    </row>
    <row r="134">
      <c r="A134" t="inlineStr">
        <is>
          <t>SW-DIFF-149-FRAME</t>
        </is>
      </c>
      <c r="B134" t="inlineStr">
        <is>
          <t>SW-DIFF-149</t>
        </is>
      </c>
      <c r="C134" t="inlineStr">
        <is>
          <t>Khung nhôm định hình (Z)</t>
        </is>
      </c>
      <c r="D134" t="inlineStr">
        <is>
          <t>NHÔM_ĐỊNH_HÌNH</t>
        </is>
      </c>
      <c r="E134" t="inlineStr">
        <is>
          <t>MAT-ALU-KHUNG-Z-2-LOP</t>
        </is>
      </c>
      <c r="F134" t="inlineStr">
        <is>
          <t>kg</t>
        </is>
      </c>
      <c r="G134" s="394" t="n">
        <v>0.33369</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Dài cắt 1.47m @ 0.227kg/m</t>
        </is>
      </c>
    </row>
    <row r="135">
      <c r="A135" t="inlineStr">
        <is>
          <t>SW-DIFF-149-BLADE</t>
        </is>
      </c>
      <c r="B135" t="inlineStr">
        <is>
          <t>SW-DIFF-149</t>
        </is>
      </c>
      <c r="C135" t="inlineStr">
        <is>
          <t>Nan nhôm định hình (Z)</t>
        </is>
      </c>
      <c r="D135" t="inlineStr">
        <is>
          <t>NHÔM_ĐỊNH_HÌNH</t>
        </is>
      </c>
      <c r="E135" t="inlineStr">
        <is>
          <t>MAT-ALU-NAN-Z-DAY</t>
        </is>
      </c>
      <c r="F135" t="inlineStr">
        <is>
          <t>kg</t>
        </is>
      </c>
      <c r="G135" s="394" t="n">
        <v>0.7108920000000001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8 nan dài 3.28m @ 0.217kg/m</t>
        </is>
      </c>
    </row>
    <row r="136">
      <c r="A136" t="inlineStr">
        <is>
          <t>SW-DIFF-149-ACCESSORY</t>
        </is>
      </c>
      <c r="B136" t="inlineStr">
        <is>
          <t>SW-DIFF-149</t>
        </is>
      </c>
      <c r="C136" t="inlineStr">
        <is>
          <t>Phụ kiện lắp ghép / Ke góc cửa gió</t>
        </is>
      </c>
      <c r="D136" t="inlineStr">
        <is>
          <t>PHỤ_KIỆN_CỬA</t>
        </is>
      </c>
      <c r="E136" t="inlineStr">
        <is>
          <t>MAT-DOOR-ACCESSORY</t>
        </is>
      </c>
      <c r="F136" t="inlineStr">
        <is>
          <t>Bộ</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4 ke góc chìm và vít ghép khung</t>
        </is>
      </c>
    </row>
    <row r="137">
      <c r="A137" t="inlineStr">
        <is>
          <t>SW-DIFF-149-PAINT</t>
        </is>
      </c>
      <c r="B137" t="inlineStr">
        <is>
          <t>SW-DIFF-149</t>
        </is>
      </c>
      <c r="C137" t="inlineStr">
        <is>
          <t>Sơn tĩnh điện tiêu chuẩn Polyester</t>
        </is>
      </c>
      <c r="D137" t="inlineStr">
        <is>
          <t>SƠN_TĨNH_ĐIỆN</t>
        </is>
      </c>
      <c r="E137" t="inlineStr">
        <is>
          <t>MAT-PAINT-POWDER</t>
        </is>
      </c>
      <c r="F137" t="inlineStr">
        <is>
          <t>m2</t>
        </is>
      </c>
      <c r="G137" s="394" t="n">
        <v>0.18</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Diện tích phủ sơn 0.180m2</t>
        </is>
      </c>
    </row>
    <row r="138">
      <c r="A138" t="inlineStr">
        <is>
          <t>SW-DIFF-150-FRAME</t>
        </is>
      </c>
      <c r="B138" t="inlineStr">
        <is>
          <t>SW-DIFF-150</t>
        </is>
      </c>
      <c r="C138" t="inlineStr">
        <is>
          <t>Khung nhôm định hình (Z)</t>
        </is>
      </c>
      <c r="D138" t="inlineStr">
        <is>
          <t>NHÔM_ĐỊNH_HÌNH</t>
        </is>
      </c>
      <c r="E138" t="inlineStr">
        <is>
          <t>MAT-ALU-KHUNG-Z-2-LOP</t>
        </is>
      </c>
      <c r="F138" t="inlineStr">
        <is>
          <t>kg</t>
        </is>
      </c>
      <c r="G138" s="394" t="n">
        <v>0.38136</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Dài cắt 1.68m @ 0.227kg/m</t>
        </is>
      </c>
    </row>
    <row r="139">
      <c r="A139" t="inlineStr">
        <is>
          <t>SW-DIFF-150-BLADE</t>
        </is>
      </c>
      <c r="B139" t="inlineStr">
        <is>
          <t>SW-DIFF-150</t>
        </is>
      </c>
      <c r="C139" t="inlineStr">
        <is>
          <t>Nan nhôm định hình (Z)</t>
        </is>
      </c>
      <c r="D139" t="inlineStr">
        <is>
          <t>NHÔM_ĐỊNH_HÌNH</t>
        </is>
      </c>
      <c r="E139" t="inlineStr">
        <is>
          <t>MAT-ALU-NAN-Z-DAY</t>
        </is>
      </c>
      <c r="F139" t="inlineStr">
        <is>
          <t>kg</t>
        </is>
      </c>
      <c r="G139" s="394" t="n">
        <v>0.893172</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8 nan dài 4.12m @ 0.217kg/m</t>
        </is>
      </c>
    </row>
    <row r="140">
      <c r="A140" t="inlineStr">
        <is>
          <t>SW-DIFF-150-ACCESSORY</t>
        </is>
      </c>
      <c r="B140" t="inlineStr">
        <is>
          <t>SW-DIFF-150</t>
        </is>
      </c>
      <c r="C140" t="inlineStr">
        <is>
          <t>Phụ kiện lắp ghép / Ke góc cửa gió</t>
        </is>
      </c>
      <c r="D140" t="inlineStr">
        <is>
          <t>PHỤ_KIỆN_CỬA</t>
        </is>
      </c>
      <c r="E140" t="inlineStr">
        <is>
          <t>MAT-DOOR-ACCESSORY</t>
        </is>
      </c>
      <c r="F140" t="inlineStr">
        <is>
          <t>Bộ</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4 ke góc chìm và vít ghép khung</t>
        </is>
      </c>
    </row>
    <row r="141">
      <c r="A141" t="inlineStr">
        <is>
          <t>SW-DIFF-150-PAINT</t>
        </is>
      </c>
      <c r="B141" t="inlineStr">
        <is>
          <t>SW-DIFF-150</t>
        </is>
      </c>
      <c r="C141" t="inlineStr">
        <is>
          <t>Sơn tĩnh điện tiêu chuẩn Polyester</t>
        </is>
      </c>
      <c r="D141" t="inlineStr">
        <is>
          <t>SƠN_TĨNH_ĐIỆN</t>
        </is>
      </c>
      <c r="E141" t="inlineStr">
        <is>
          <t>MAT-PAINT-POWDER</t>
        </is>
      </c>
      <c r="F141" t="inlineStr">
        <is>
          <t>m2</t>
        </is>
      </c>
      <c r="G141" s="394" t="n">
        <v>0.225</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Diện tích phủ sơn 0.225m2</t>
        </is>
      </c>
    </row>
    <row r="142">
      <c r="A142" t="inlineStr">
        <is>
          <t>SW-DIFF-151-FRAME</t>
        </is>
      </c>
      <c r="B142" t="inlineStr">
        <is>
          <t>SW-DIFF-151</t>
        </is>
      </c>
      <c r="C142" t="inlineStr">
        <is>
          <t>Khung nhôm định hình (Z)</t>
        </is>
      </c>
      <c r="D142" t="inlineStr">
        <is>
          <t>NHÔM_ĐỊNH_HÌNH</t>
        </is>
      </c>
      <c r="E142" t="inlineStr">
        <is>
          <t>MAT-ALU-KHUNG-Z-2-LOP</t>
        </is>
      </c>
      <c r="F142" t="inlineStr">
        <is>
          <t>kg</t>
        </is>
      </c>
      <c r="G142" s="394" t="n">
        <v>0.4767</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Dài cắt 2.10m @ 0.227kg/m</t>
        </is>
      </c>
    </row>
    <row r="143">
      <c r="A143" t="inlineStr">
        <is>
          <t>SW-DIFF-151-BLADE</t>
        </is>
      </c>
      <c r="B143" t="inlineStr">
        <is>
          <t>SW-DIFF-151</t>
        </is>
      </c>
      <c r="C143" t="inlineStr">
        <is>
          <t>Nan nhôm định hình (Z)</t>
        </is>
      </c>
      <c r="D143" t="inlineStr">
        <is>
          <t>NHÔM_ĐỊNH_HÌNH</t>
        </is>
      </c>
      <c r="E143" t="inlineStr">
        <is>
          <t>MAT-ALU-NAN-Z-DAY</t>
        </is>
      </c>
      <c r="F143" t="inlineStr">
        <is>
          <t>kg</t>
        </is>
      </c>
      <c r="G143" s="394" t="n">
        <v>1.344315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10 nan dài 6.19m @ 0.217kg/m</t>
        </is>
      </c>
    </row>
    <row r="144">
      <c r="A144" t="inlineStr">
        <is>
          <t>SW-DIFF-151-ACCESSORY</t>
        </is>
      </c>
      <c r="B144" t="inlineStr">
        <is>
          <t>SW-DIFF-151</t>
        </is>
      </c>
      <c r="C144" t="inlineStr">
        <is>
          <t>Phụ kiện lắp ghép / Ke góc cửa gió</t>
        </is>
      </c>
      <c r="D144" t="inlineStr">
        <is>
          <t>PHỤ_KIỆN_CỬA</t>
        </is>
      </c>
      <c r="E144" t="inlineStr">
        <is>
          <t>MAT-DOOR-ACCESSORY</t>
        </is>
      </c>
      <c r="F144" t="inlineStr">
        <is>
          <t>Bộ</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4 ke góc chìm và vít ghép khung</t>
        </is>
      </c>
    </row>
    <row r="145">
      <c r="A145" t="inlineStr">
        <is>
          <t>SW-DIFF-151-PAINT</t>
        </is>
      </c>
      <c r="B145" t="inlineStr">
        <is>
          <t>SW-DIFF-151</t>
        </is>
      </c>
      <c r="C145" t="inlineStr">
        <is>
          <t>Sơn tĩnh điện tiêu chuẩn Polyester</t>
        </is>
      </c>
      <c r="D145" t="inlineStr">
        <is>
          <t>SƠN_TĨNH_ĐIỆN</t>
        </is>
      </c>
      <c r="E145" t="inlineStr">
        <is>
          <t>MAT-PAINT-POWDER</t>
        </is>
      </c>
      <c r="F145" t="inlineStr">
        <is>
          <t>m2</t>
        </is>
      </c>
      <c r="G145" s="394" t="n">
        <v>0.36</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Diện tích phủ sơn 0.360m2</t>
        </is>
      </c>
    </row>
    <row r="146">
      <c r="A146" t="inlineStr">
        <is>
          <t>SW-DIFF-152-FRAME</t>
        </is>
      </c>
      <c r="B146" t="inlineStr">
        <is>
          <t>SW-DIFF-152</t>
        </is>
      </c>
      <c r="C146" t="inlineStr">
        <is>
          <t>Khung nhôm định hình (Z)</t>
        </is>
      </c>
      <c r="D146" t="inlineStr">
        <is>
          <t>NHÔM_ĐỊNH_HÌNH</t>
        </is>
      </c>
      <c r="E146" t="inlineStr">
        <is>
          <t>MAT-ALU-KHUNG-Z-2-LOP</t>
        </is>
      </c>
      <c r="F146" t="inlineStr">
        <is>
          <t>kg</t>
        </is>
      </c>
      <c r="G146" s="394" t="n">
        <v>0.57204</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Dài cắt 2.52m @ 0.227kg/m</t>
        </is>
      </c>
    </row>
    <row r="147">
      <c r="A147" t="inlineStr">
        <is>
          <t>SW-DIFF-152-BLADE</t>
        </is>
      </c>
      <c r="B147" t="inlineStr">
        <is>
          <t>SW-DIFF-152</t>
        </is>
      </c>
      <c r="C147" t="inlineStr">
        <is>
          <t>Nan nhôm định hình (Z)</t>
        </is>
      </c>
      <c r="D147" t="inlineStr">
        <is>
          <t>NHÔM_ĐỊNH_HÌNH</t>
        </is>
      </c>
      <c r="E147" t="inlineStr">
        <is>
          <t>MAT-ALU-NAN-Z-DAY</t>
        </is>
      </c>
      <c r="F147" t="inlineStr">
        <is>
          <t>kg</t>
        </is>
      </c>
      <c r="G147" s="394" t="n">
        <v>2.0164725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15 nan dài 9.29m @ 0.217kg/m</t>
        </is>
      </c>
    </row>
    <row r="148">
      <c r="A148" t="inlineStr">
        <is>
          <t>SW-DIFF-152-ACCESSORY</t>
        </is>
      </c>
      <c r="B148" t="inlineStr">
        <is>
          <t>SW-DIFF-152</t>
        </is>
      </c>
      <c r="C148" t="inlineStr">
        <is>
          <t>Phụ kiện lắp ghép / Ke góc cửa gió</t>
        </is>
      </c>
      <c r="D148" t="inlineStr">
        <is>
          <t>PHỤ_KIỆN_CỬA</t>
        </is>
      </c>
      <c r="E148" t="inlineStr">
        <is>
          <t>MAT-DOOR-ACCESSORY</t>
        </is>
      </c>
      <c r="F148" t="inlineStr">
        <is>
          <t>Bộ</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4 ke góc chìm và vít ghép khung</t>
        </is>
      </c>
    </row>
    <row r="149">
      <c r="A149" t="inlineStr">
        <is>
          <t>SW-DIFF-152-PAINT</t>
        </is>
      </c>
      <c r="B149" t="inlineStr">
        <is>
          <t>SW-DIFF-152</t>
        </is>
      </c>
      <c r="C149" t="inlineStr">
        <is>
          <t>Sơn tĩnh điện tiêu chuẩn Polyester</t>
        </is>
      </c>
      <c r="D149" t="inlineStr">
        <is>
          <t>SƠN_TĨNH_ĐIỆN</t>
        </is>
      </c>
      <c r="E149" t="inlineStr">
        <is>
          <t>MAT-PAINT-POWDER</t>
        </is>
      </c>
      <c r="F149" t="inlineStr">
        <is>
          <t>m2</t>
        </is>
      </c>
      <c r="G149" s="394" t="n">
        <v>0.54</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Diện tích phủ sơn 0.540m2</t>
        </is>
      </c>
    </row>
    <row r="150">
      <c r="A150" t="inlineStr">
        <is>
          <t>SW-DIFF-153-FRAME</t>
        </is>
      </c>
      <c r="B150" t="inlineStr">
        <is>
          <t>SW-DIFF-153</t>
        </is>
      </c>
      <c r="C150" t="inlineStr">
        <is>
          <t>Khung nhôm định hình (Z)</t>
        </is>
      </c>
      <c r="D150" t="inlineStr">
        <is>
          <t>NHÔM_ĐỊNH_HÌNH</t>
        </is>
      </c>
      <c r="E150" t="inlineStr">
        <is>
          <t>MAT-ALU-KHUNG-Z-2-LOP</t>
        </is>
      </c>
      <c r="F150" t="inlineStr">
        <is>
          <t>kg</t>
        </is>
      </c>
      <c r="G150" s="394" t="n">
        <v>0.7150500000000001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Dài cắt 3.15m @ 0.227kg/m</t>
        </is>
      </c>
    </row>
    <row r="151">
      <c r="A151" t="inlineStr">
        <is>
          <t>SW-DIFF-153-BLADE</t>
        </is>
      </c>
      <c r="B151" t="inlineStr">
        <is>
          <t>SW-DIFF-153</t>
        </is>
      </c>
      <c r="C151" t="inlineStr">
        <is>
          <t>Nan nhôm định hình (Z)</t>
        </is>
      </c>
      <c r="D151" t="inlineStr">
        <is>
          <t>NHÔM_ĐỊNH_HÌNH</t>
        </is>
      </c>
      <c r="E151" t="inlineStr">
        <is>
          <t>MAT-ALU-NAN-Z-DAY</t>
        </is>
      </c>
      <c r="F151" t="inlineStr">
        <is>
          <t>kg</t>
        </is>
      </c>
      <c r="G151" s="394" t="n">
        <v>3.0417975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15 nan dài 14.02m @ 0.217kg/m</t>
        </is>
      </c>
    </row>
    <row r="152">
      <c r="A152" t="inlineStr">
        <is>
          <t>SW-DIFF-153-ACCESSORY</t>
        </is>
      </c>
      <c r="B152" t="inlineStr">
        <is>
          <t>SW-DIFF-153</t>
        </is>
      </c>
      <c r="C152" t="inlineStr">
        <is>
          <t>Phụ kiện lắp ghép / Ke góc cửa gió</t>
        </is>
      </c>
      <c r="D152" t="inlineStr">
        <is>
          <t>PHỤ_KIỆN_CỬA</t>
        </is>
      </c>
      <c r="E152" t="inlineStr">
        <is>
          <t>MAT-DOOR-ACCESSORY</t>
        </is>
      </c>
      <c r="F152" t="inlineStr">
        <is>
          <t>Bộ</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4 ke góc chìm và vít ghép khung</t>
        </is>
      </c>
    </row>
    <row r="153">
      <c r="A153" t="inlineStr">
        <is>
          <t>SW-DIFF-153-PAINT</t>
        </is>
      </c>
      <c r="B153" t="inlineStr">
        <is>
          <t>SW-DIFF-153</t>
        </is>
      </c>
      <c r="C153" t="inlineStr">
        <is>
          <t>Sơn tĩnh điện tiêu chuẩn Polyester</t>
        </is>
      </c>
      <c r="D153" t="inlineStr">
        <is>
          <t>SƠN_TĨNH_ĐIỆN</t>
        </is>
      </c>
      <c r="E153" t="inlineStr">
        <is>
          <t>MAT-PAINT-POWDER</t>
        </is>
      </c>
      <c r="F153" t="inlineStr">
        <is>
          <t>m2</t>
        </is>
      </c>
      <c r="G153" s="394" t="n">
        <v>0.8100000000000001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Diện tích phủ sơn 0.810m2</t>
        </is>
      </c>
    </row>
    <row r="154">
      <c r="A154" t="inlineStr">
        <is>
          <t>SW-DIFF-154-FRAME</t>
        </is>
      </c>
      <c r="B154" t="inlineStr">
        <is>
          <t>SW-DIFF-154</t>
        </is>
      </c>
      <c r="C154" t="inlineStr">
        <is>
          <t>Khung nhôm định hình (Z)</t>
        </is>
      </c>
      <c r="D154" t="inlineStr">
        <is>
          <t>NHÔM_ĐỊNH_HÌNH</t>
        </is>
      </c>
      <c r="E154" t="inlineStr">
        <is>
          <t>MAT-ALU-KHUNG-Z-2-LOP</t>
        </is>
      </c>
      <c r="F154" t="inlineStr">
        <is>
          <t>kg</t>
        </is>
      </c>
      <c r="G154" s="394" t="n">
        <v>1.4301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Dài cắt 6.30m @ 0.227kg/m</t>
        </is>
      </c>
    </row>
    <row r="155">
      <c r="A155" t="inlineStr">
        <is>
          <t>SW-DIFF-154-BLADE</t>
        </is>
      </c>
      <c r="B155" t="inlineStr">
        <is>
          <t>SW-DIFF-154</t>
        </is>
      </c>
      <c r="C155" t="inlineStr">
        <is>
          <t>Nan nhôm định hình (Z)</t>
        </is>
      </c>
      <c r="D155" t="inlineStr">
        <is>
          <t>NHÔM_ĐỊNH_HÌNH</t>
        </is>
      </c>
      <c r="E155" t="inlineStr">
        <is>
          <t>MAT-ALU-NAN-Z-DAY</t>
        </is>
      </c>
      <c r="F155" t="inlineStr">
        <is>
          <t>kg</t>
        </is>
      </c>
      <c r="G155" s="394" t="n">
        <v>7.375504500000002</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13 nan dài 33.99m @ 0.217kg/m</t>
        </is>
      </c>
    </row>
    <row r="156">
      <c r="A156" t="inlineStr">
        <is>
          <t>SW-DIFF-154-ACCESSORY</t>
        </is>
      </c>
      <c r="B156" t="inlineStr">
        <is>
          <t>SW-DIFF-154</t>
        </is>
      </c>
      <c r="C156" t="inlineStr">
        <is>
          <t>Phụ kiện lắp ghép / Ke góc cửa gió</t>
        </is>
      </c>
      <c r="D156" t="inlineStr">
        <is>
          <t>PHỤ_KIỆN_CỬA</t>
        </is>
      </c>
      <c r="E156" t="inlineStr">
        <is>
          <t>MAT-DOOR-ACCESSORY</t>
        </is>
      </c>
      <c r="F156" t="inlineStr">
        <is>
          <t>Bộ</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4 ke góc chìm và vít ghép khung</t>
        </is>
      </c>
    </row>
    <row r="157">
      <c r="A157" t="inlineStr">
        <is>
          <t>SW-DIFF-154-PAINT</t>
        </is>
      </c>
      <c r="B157" t="inlineStr">
        <is>
          <t>SW-DIFF-154</t>
        </is>
      </c>
      <c r="C157" t="inlineStr">
        <is>
          <t>Sơn tĩnh điện tiêu chuẩn Polyester</t>
        </is>
      </c>
      <c r="D157" t="inlineStr">
        <is>
          <t>SƠN_TĨNH_ĐIỆN</t>
        </is>
      </c>
      <c r="E157" t="inlineStr">
        <is>
          <t>MAT-PAINT-POWDER</t>
        </is>
      </c>
      <c r="F157" t="inlineStr">
        <is>
          <t>m2</t>
        </is>
      </c>
      <c r="G157" s="394" t="n">
        <v>1.875</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phủ sơn 1.875m2</t>
        </is>
      </c>
    </row>
    <row r="158">
      <c r="A158" t="inlineStr">
        <is>
          <t>SW-DIFF-155-FRAME</t>
        </is>
      </c>
      <c r="B158" t="inlineStr">
        <is>
          <t>SW-DIFF-155</t>
        </is>
      </c>
      <c r="C158" t="inlineStr">
        <is>
          <t>Khung nhôm định hình (Z)</t>
        </is>
      </c>
      <c r="D158" t="inlineStr">
        <is>
          <t>NHÔM_ĐỊNH_HÌNH</t>
        </is>
      </c>
      <c r="E158" t="inlineStr">
        <is>
          <t>MAT-ALU-KHUNG-Z-2-LOP</t>
        </is>
      </c>
      <c r="F158" t="inlineStr">
        <is>
          <t>kg</t>
        </is>
      </c>
      <c r="G158" s="394" t="n">
        <v>1.072575</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Dài cắt 4.73m @ 0.227kg/m</t>
        </is>
      </c>
    </row>
    <row r="159">
      <c r="A159" t="inlineStr">
        <is>
          <t>SW-DIFF-155-BLADE</t>
        </is>
      </c>
      <c r="B159" t="inlineStr">
        <is>
          <t>SW-DIFF-155</t>
        </is>
      </c>
      <c r="C159" t="inlineStr">
        <is>
          <t>Nan nhôm định hình (Z)</t>
        </is>
      </c>
      <c r="D159" t="inlineStr">
        <is>
          <t>NHÔM_ĐỊNH_HÌNH</t>
        </is>
      </c>
      <c r="E159" t="inlineStr">
        <is>
          <t>MAT-ALU-NAN-Z-DAY</t>
        </is>
      </c>
      <c r="F159" t="inlineStr">
        <is>
          <t>kg</t>
        </is>
      </c>
      <c r="G159" s="394" t="n">
        <v>5.153967000000001</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13 nan dài 23.75m @ 0.217kg/m</t>
        </is>
      </c>
    </row>
    <row r="160">
      <c r="A160" t="inlineStr">
        <is>
          <t>SW-DIFF-155-ACCESSORY</t>
        </is>
      </c>
      <c r="B160" t="inlineStr">
        <is>
          <t>SW-DIFF-155</t>
        </is>
      </c>
      <c r="C160" t="inlineStr">
        <is>
          <t>Phụ kiện lắp ghép / Ke góc cửa gió</t>
        </is>
      </c>
      <c r="D160" t="inlineStr">
        <is>
          <t>PHỤ_KIỆN_CỬA</t>
        </is>
      </c>
      <c r="E160" t="inlineStr">
        <is>
          <t>MAT-DOOR-ACCESSORY</t>
        </is>
      </c>
      <c r="F160" t="inlineStr">
        <is>
          <t>Bộ</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4 ke góc chìm và vít ghép khung</t>
        </is>
      </c>
    </row>
    <row r="161">
      <c r="A161" t="inlineStr">
        <is>
          <t>SW-DIFF-155-PAINT</t>
        </is>
      </c>
      <c r="B161" t="inlineStr">
        <is>
          <t>SW-DIFF-155</t>
        </is>
      </c>
      <c r="C161" t="inlineStr">
        <is>
          <t>Sơn tĩnh điện tiêu chuẩn Polyester</t>
        </is>
      </c>
      <c r="D161" t="inlineStr">
        <is>
          <t>SƠN_TĨNH_ĐIỆN</t>
        </is>
      </c>
      <c r="E161" t="inlineStr">
        <is>
          <t>MAT-PAINT-POWDER</t>
        </is>
      </c>
      <c r="F161" t="inlineStr">
        <is>
          <t>m2</t>
        </is>
      </c>
      <c r="G161" s="394" t="n">
        <v>1.3125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Diện tích phủ sơn 1.312m2</t>
        </is>
      </c>
    </row>
    <row r="162">
      <c r="A162" t="inlineStr">
        <is>
          <t>SW-DIFF-156-FRAME</t>
        </is>
      </c>
      <c r="B162" t="inlineStr">
        <is>
          <t>SW-DIFF-156</t>
        </is>
      </c>
      <c r="C162" t="inlineStr">
        <is>
          <t>Khung nhôm định hình (Z)</t>
        </is>
      </c>
      <c r="D162" t="inlineStr">
        <is>
          <t>NHÔM_ĐỊNH_HÌNH</t>
        </is>
      </c>
      <c r="E162" t="inlineStr">
        <is>
          <t>MAT-ALU-KHUNG-Z-2-LOP</t>
        </is>
      </c>
      <c r="F162" t="inlineStr">
        <is>
          <t>kg</t>
        </is>
      </c>
      <c r="G162" s="394" t="n">
        <v>1.4301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Dài cắt 6.30m @ 0.227kg/m</t>
        </is>
      </c>
    </row>
    <row r="163">
      <c r="A163" t="inlineStr">
        <is>
          <t>SW-DIFF-156-BLADE</t>
        </is>
      </c>
      <c r="B163" t="inlineStr">
        <is>
          <t>SW-DIFF-156</t>
        </is>
      </c>
      <c r="C163" t="inlineStr">
        <is>
          <t>Nan nhôm định hình (Z)</t>
        </is>
      </c>
      <c r="D163" t="inlineStr">
        <is>
          <t>NHÔM_ĐỊNH_HÌNH</t>
        </is>
      </c>
      <c r="E163" t="inlineStr">
        <is>
          <t>MAT-ALU-NAN-Z-DAY</t>
        </is>
      </c>
      <c r="F163" t="inlineStr">
        <is>
          <t>kg</t>
        </is>
      </c>
      <c r="G163" s="394" t="n">
        <v>7.375504500000002</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13 nan dài 33.99m @ 0.217kg/m</t>
        </is>
      </c>
    </row>
    <row r="164">
      <c r="A164" t="inlineStr">
        <is>
          <t>SW-DIFF-156-ACCESSORY</t>
        </is>
      </c>
      <c r="B164" t="inlineStr">
        <is>
          <t>SW-DIFF-156</t>
        </is>
      </c>
      <c r="C164" t="inlineStr">
        <is>
          <t>Phụ kiện lắp ghép / Ke góc cửa gió</t>
        </is>
      </c>
      <c r="D164" t="inlineStr">
        <is>
          <t>PHỤ_KIỆN_CỬA</t>
        </is>
      </c>
      <c r="E164" t="inlineStr">
        <is>
          <t>MAT-DOOR-ACCESSORY</t>
        </is>
      </c>
      <c r="F164" t="inlineStr">
        <is>
          <t>Bộ</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4 ke góc chìm và vít ghép khung</t>
        </is>
      </c>
    </row>
    <row r="165">
      <c r="A165" t="inlineStr">
        <is>
          <t>SW-DIFF-156-PAINT</t>
        </is>
      </c>
      <c r="B165" t="inlineStr">
        <is>
          <t>SW-DIFF-156</t>
        </is>
      </c>
      <c r="C165" t="inlineStr">
        <is>
          <t>Sơn tĩnh điện tiêu chuẩn Polyester</t>
        </is>
      </c>
      <c r="D165" t="inlineStr">
        <is>
          <t>SƠN_TĨNH_ĐIỆN</t>
        </is>
      </c>
      <c r="E165" t="inlineStr">
        <is>
          <t>MAT-PAINT-POWDER</t>
        </is>
      </c>
      <c r="F165" t="inlineStr">
        <is>
          <t>m2</t>
        </is>
      </c>
      <c r="G165" s="394" t="n">
        <v>1.875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Diện tích phủ sơn 1.875m2</t>
        </is>
      </c>
    </row>
    <row r="166">
      <c r="A166" t="inlineStr">
        <is>
          <t>SW-DIFF-157-FRAME</t>
        </is>
      </c>
      <c r="B166" t="inlineStr">
        <is>
          <t>SW-DIFF-157</t>
        </is>
      </c>
      <c r="C166" t="inlineStr">
        <is>
          <t>Khung nhôm định hình (Z)</t>
        </is>
      </c>
      <c r="D166" t="inlineStr">
        <is>
          <t>NHÔM_ĐỊNH_HÌNH</t>
        </is>
      </c>
      <c r="E166" t="inlineStr">
        <is>
          <t>MAT-ALU-KHUNG-Z-2-LOP</t>
        </is>
      </c>
      <c r="F166" t="inlineStr">
        <is>
          <t>kg</t>
        </is>
      </c>
      <c r="G166" s="394" t="n">
        <v>1.66845</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Dài cắt 7.35m @ 0.227kg/m</t>
        </is>
      </c>
    </row>
    <row r="167">
      <c r="A167" t="inlineStr">
        <is>
          <t>SW-DIFF-157-BLADE</t>
        </is>
      </c>
      <c r="B167" t="inlineStr">
        <is>
          <t>SW-DIFF-157</t>
        </is>
      </c>
      <c r="C167" t="inlineStr">
        <is>
          <t>Nan nhôm định hình (Z)</t>
        </is>
      </c>
      <c r="D167" t="inlineStr">
        <is>
          <t>NHÔM_ĐỊNH_HÌNH</t>
        </is>
      </c>
      <c r="E167" t="inlineStr">
        <is>
          <t>MAT-ALU-NAN-Z-DAY</t>
        </is>
      </c>
      <c r="F167" t="inlineStr">
        <is>
          <t>kg</t>
        </is>
      </c>
      <c r="G167" s="394" t="n">
        <v>8.856529500000001</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13 nan dài 40.81m @ 0.217kg/m</t>
        </is>
      </c>
    </row>
    <row r="168">
      <c r="A168" t="inlineStr">
        <is>
          <t>SW-DIFF-157-ACCESSORY</t>
        </is>
      </c>
      <c r="B168" t="inlineStr">
        <is>
          <t>SW-DIFF-157</t>
        </is>
      </c>
      <c r="C168" t="inlineStr">
        <is>
          <t>Phụ kiện lắp ghép / Ke góc cửa gió</t>
        </is>
      </c>
      <c r="D168" t="inlineStr">
        <is>
          <t>PHỤ_KIỆN_CỬA</t>
        </is>
      </c>
      <c r="E168" t="inlineStr">
        <is>
          <t>MAT-DOOR-ACCESSORY</t>
        </is>
      </c>
      <c r="F168" t="inlineStr">
        <is>
          <t>Bộ</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4 ke góc chìm và vít ghép khung</t>
        </is>
      </c>
    </row>
    <row r="169">
      <c r="A169" t="inlineStr">
        <is>
          <t>SW-DIFF-157-PAINT</t>
        </is>
      </c>
      <c r="B169" t="inlineStr">
        <is>
          <t>SW-DIFF-157</t>
        </is>
      </c>
      <c r="C169" t="inlineStr">
        <is>
          <t>Sơn tĩnh điện tiêu chuẩn Polyester</t>
        </is>
      </c>
      <c r="D169" t="inlineStr">
        <is>
          <t>SƠN_TĨNH_ĐIỆN</t>
        </is>
      </c>
      <c r="E169" t="inlineStr">
        <is>
          <t>MAT-PAINT-POWDER</t>
        </is>
      </c>
      <c r="F169" t="inlineStr">
        <is>
          <t>m2</t>
        </is>
      </c>
      <c r="G169" s="394" t="n">
        <v>2.25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Diện tích phủ sơn 2.250m2</t>
        </is>
      </c>
    </row>
    <row r="170">
      <c r="A170" t="inlineStr">
        <is>
          <t>SW-DIFF-197-FRAME</t>
        </is>
      </c>
      <c r="B170" t="inlineStr">
        <is>
          <t>SW-DIFF-197</t>
        </is>
      </c>
      <c r="C170" t="inlineStr">
        <is>
          <t>Khung nhôm định hình (Z)</t>
        </is>
      </c>
      <c r="D170" t="inlineStr">
        <is>
          <t>NHÔM_ĐỊNH_HÌNH</t>
        </is>
      </c>
      <c r="E170" t="inlineStr">
        <is>
          <t>MAT-ALU-KHUNG-Z-2-LOP</t>
        </is>
      </c>
      <c r="F170" t="inlineStr">
        <is>
          <t>kg</t>
        </is>
      </c>
      <c r="G170" s="394" t="n">
        <v>0.14301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Dài cắt 0.63m @ 0.227kg/m</t>
        </is>
      </c>
    </row>
    <row r="171">
      <c r="A171" t="inlineStr">
        <is>
          <t>SW-DIFF-197-BLADE</t>
        </is>
      </c>
      <c r="B171" t="inlineStr">
        <is>
          <t>SW-DIFF-197</t>
        </is>
      </c>
      <c r="C171" t="inlineStr">
        <is>
          <t>Nan nhôm định hình (Z)</t>
        </is>
      </c>
      <c r="D171" t="inlineStr">
        <is>
          <t>NHÔM_ĐỊNH_HÌNH</t>
        </is>
      </c>
      <c r="E171" t="inlineStr">
        <is>
          <t>MAT-ALU-NAN-Z-DAY</t>
        </is>
      </c>
      <c r="F171" t="inlineStr">
        <is>
          <t>kg</t>
        </is>
      </c>
      <c r="G171" s="394" t="n">
        <v>0.127596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4 nan dài 0.59m @ 0.217kg/m</t>
        </is>
      </c>
    </row>
    <row r="172">
      <c r="A172" t="inlineStr">
        <is>
          <t>SW-DIFF-197-ACCESSORY</t>
        </is>
      </c>
      <c r="B172" t="inlineStr">
        <is>
          <t>SW-DIFF-197</t>
        </is>
      </c>
      <c r="C172" t="inlineStr">
        <is>
          <t>Phụ kiện lắp ghép / Ke góc cửa gió</t>
        </is>
      </c>
      <c r="D172" t="inlineStr">
        <is>
          <t>PHỤ_KIỆN_CỬA</t>
        </is>
      </c>
      <c r="E172" t="inlineStr">
        <is>
          <t>MAT-DOOR-ACCESSORY</t>
        </is>
      </c>
      <c r="F172" t="inlineStr">
        <is>
          <t>Bộ</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4 ke góc chìm và vít ghép khung</t>
        </is>
      </c>
    </row>
    <row r="173">
      <c r="A173" t="inlineStr">
        <is>
          <t>SW-DIFF-197-PAINT</t>
        </is>
      </c>
      <c r="B173" t="inlineStr">
        <is>
          <t>SW-DIFF-197</t>
        </is>
      </c>
      <c r="C173" t="inlineStr">
        <is>
          <t>Sơn tĩnh điện tiêu chuẩn Polyester</t>
        </is>
      </c>
      <c r="D173" t="inlineStr">
        <is>
          <t>SƠN_TĨNH_ĐIỆN</t>
        </is>
      </c>
      <c r="E173" t="inlineStr">
        <is>
          <t>MAT-PAINT-POWDER</t>
        </is>
      </c>
      <c r="F173" t="inlineStr">
        <is>
          <t>m2</t>
        </is>
      </c>
      <c r="G173" s="394" t="n">
        <v>0.03375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Diện tích phủ sơn 0.034m2</t>
        </is>
      </c>
    </row>
    <row r="174">
      <c r="A174" t="inlineStr">
        <is>
          <t>SW-DIFF-198-FRAME</t>
        </is>
      </c>
      <c r="B174" t="inlineStr">
        <is>
          <t>SW-DIFF-198</t>
        </is>
      </c>
      <c r="C174" t="inlineStr">
        <is>
          <t>Khung nhôm định hình (Z)</t>
        </is>
      </c>
      <c r="D174" t="inlineStr">
        <is>
          <t>NHÔM_ĐỊNH_HÌNH</t>
        </is>
      </c>
      <c r="E174" t="inlineStr">
        <is>
          <t>MAT-ALU-KHUNG-Z-2-LOP</t>
        </is>
      </c>
      <c r="F174" t="inlineStr">
        <is>
          <t>kg</t>
        </is>
      </c>
      <c r="G174" s="394" t="n">
        <v>0.28602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Dài cắt 1.26m @ 0.227kg/m</t>
        </is>
      </c>
    </row>
    <row r="175">
      <c r="A175" t="inlineStr">
        <is>
          <t>SW-DIFF-198-BLADE</t>
        </is>
      </c>
      <c r="B175" t="inlineStr">
        <is>
          <t>SW-DIFF-198</t>
        </is>
      </c>
      <c r="C175" t="inlineStr">
        <is>
          <t>Nan nhôm định hình (Z)</t>
        </is>
      </c>
      <c r="D175" t="inlineStr">
        <is>
          <t>NHÔM_ĐỊNH_HÌNH</t>
        </is>
      </c>
      <c r="E175" t="inlineStr">
        <is>
          <t>MAT-ALU-NAN-Z-DAY</t>
        </is>
      </c>
      <c r="F175" t="inlineStr">
        <is>
          <t>kg</t>
        </is>
      </c>
      <c r="G175" s="394" t="n">
        <v>0.528612</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8 nan dài 2.44m @ 0.217kg/m</t>
        </is>
      </c>
    </row>
    <row r="176">
      <c r="A176" t="inlineStr">
        <is>
          <t>SW-DIFF-198-ACCESSORY</t>
        </is>
      </c>
      <c r="B176" t="inlineStr">
        <is>
          <t>SW-DIFF-198</t>
        </is>
      </c>
      <c r="C176" t="inlineStr">
        <is>
          <t>Phụ kiện lắp ghép / Ke góc cửa gió</t>
        </is>
      </c>
      <c r="D176" t="inlineStr">
        <is>
          <t>PHỤ_KIỆN_CỬA</t>
        </is>
      </c>
      <c r="E176" t="inlineStr">
        <is>
          <t>MAT-DOOR-ACCESSORY</t>
        </is>
      </c>
      <c r="F176" t="inlineStr">
        <is>
          <t>Bộ</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4 ke góc chìm và vít ghép khung</t>
        </is>
      </c>
    </row>
    <row r="177">
      <c r="A177" t="inlineStr">
        <is>
          <t>SW-DIFF-198-PAINT</t>
        </is>
      </c>
      <c r="B177" t="inlineStr">
        <is>
          <t>SW-DIFF-198</t>
        </is>
      </c>
      <c r="C177" t="inlineStr">
        <is>
          <t>Sơn tĩnh điện tiêu chuẩn Polyester</t>
        </is>
      </c>
      <c r="D177" t="inlineStr">
        <is>
          <t>SƠN_TĨNH_ĐIỆN</t>
        </is>
      </c>
      <c r="E177" t="inlineStr">
        <is>
          <t>MAT-PAINT-POWDER</t>
        </is>
      </c>
      <c r="F177" t="inlineStr">
        <is>
          <t>m2</t>
        </is>
      </c>
      <c r="G177" s="394" t="n">
        <v>0.135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Diện tích phủ sơn 0.135m2</t>
        </is>
      </c>
    </row>
    <row r="178">
      <c r="A178" t="inlineStr">
        <is>
          <t>SW-DIFF-199-FRAME</t>
        </is>
      </c>
      <c r="B178" t="inlineStr">
        <is>
          <t>SW-DIFF-199</t>
        </is>
      </c>
      <c r="C178" t="inlineStr">
        <is>
          <t>Khung nhôm định hình (Z)</t>
        </is>
      </c>
      <c r="D178" t="inlineStr">
        <is>
          <t>NHÔM_ĐỊNH_HÌNH</t>
        </is>
      </c>
      <c r="E178" t="inlineStr">
        <is>
          <t>MAT-ALU-KHUNG-Z-2-LOP</t>
        </is>
      </c>
      <c r="F178" t="inlineStr">
        <is>
          <t>kg</t>
        </is>
      </c>
      <c r="G178" s="394" t="n">
        <v>0.33369</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Dài cắt 1.47m @ 0.227kg/m</t>
        </is>
      </c>
    </row>
    <row r="179">
      <c r="A179" t="inlineStr">
        <is>
          <t>SW-DIFF-199-BLADE</t>
        </is>
      </c>
      <c r="B179" t="inlineStr">
        <is>
          <t>SW-DIFF-199</t>
        </is>
      </c>
      <c r="C179" t="inlineStr">
        <is>
          <t>Nan nhôm định hình (Z)</t>
        </is>
      </c>
      <c r="D179" t="inlineStr">
        <is>
          <t>NHÔM_ĐỊNH_HÌNH</t>
        </is>
      </c>
      <c r="E179" t="inlineStr">
        <is>
          <t>MAT-ALU-NAN-Z-DAY</t>
        </is>
      </c>
      <c r="F179" t="inlineStr">
        <is>
          <t>kg</t>
        </is>
      </c>
      <c r="G179" s="394" t="n">
        <v>0.7108920000000001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8 nan dài 3.28m @ 0.217kg/m</t>
        </is>
      </c>
    </row>
    <row r="180">
      <c r="A180" t="inlineStr">
        <is>
          <t>SW-DIFF-199-ACCESSORY</t>
        </is>
      </c>
      <c r="B180" t="inlineStr">
        <is>
          <t>SW-DIFF-199</t>
        </is>
      </c>
      <c r="C180" t="inlineStr">
        <is>
          <t>Phụ kiện lắp ghép / Ke góc cửa gió</t>
        </is>
      </c>
      <c r="D180" t="inlineStr">
        <is>
          <t>PHỤ_KIỆN_CỬA</t>
        </is>
      </c>
      <c r="E180" t="inlineStr">
        <is>
          <t>MAT-DOOR-ACCESSORY</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4 ke góc chìm và vít ghép khung</t>
        </is>
      </c>
    </row>
    <row r="181">
      <c r="A181" t="inlineStr">
        <is>
          <t>SW-DIFF-199-PAINT</t>
        </is>
      </c>
      <c r="B181" t="inlineStr">
        <is>
          <t>SW-DIFF-199</t>
        </is>
      </c>
      <c r="C181" t="inlineStr">
        <is>
          <t>Sơn tĩnh điện tiêu chuẩn Polyester</t>
        </is>
      </c>
      <c r="D181" t="inlineStr">
        <is>
          <t>SƠN_TĨNH_ĐIỆN</t>
        </is>
      </c>
      <c r="E181" t="inlineStr">
        <is>
          <t>MAT-PAINT-POWDER</t>
        </is>
      </c>
      <c r="F181" t="inlineStr">
        <is>
          <t>m2</t>
        </is>
      </c>
      <c r="G181" s="394" t="n">
        <v>0.18</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Diện tích phủ sơn 0.180m2</t>
        </is>
      </c>
    </row>
    <row r="182">
      <c r="A182" t="inlineStr">
        <is>
          <t>SW-DIFF-200-FRAME</t>
        </is>
      </c>
      <c r="B182" t="inlineStr">
        <is>
          <t>SW-DIFF-200</t>
        </is>
      </c>
      <c r="C182" t="inlineStr">
        <is>
          <t>Khung nhôm định hình (Z)</t>
        </is>
      </c>
      <c r="D182" t="inlineStr">
        <is>
          <t>NHÔM_ĐỊNH_HÌNH</t>
        </is>
      </c>
      <c r="E182" t="inlineStr">
        <is>
          <t>MAT-ALU-KHUNG-Z-2-LOP</t>
        </is>
      </c>
      <c r="F182" t="inlineStr">
        <is>
          <t>kg</t>
        </is>
      </c>
      <c r="G182" s="394" t="n">
        <v>0.9534</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Dài cắt 4.20m @ 0.227kg/m</t>
        </is>
      </c>
    </row>
    <row r="183">
      <c r="A183" t="inlineStr">
        <is>
          <t>SW-DIFF-200-BLADE</t>
        </is>
      </c>
      <c r="B183" t="inlineStr">
        <is>
          <t>SW-DIFF-200</t>
        </is>
      </c>
      <c r="C183" t="inlineStr">
        <is>
          <t>Nan nhôm định hình (Z)</t>
        </is>
      </c>
      <c r="D183" t="inlineStr">
        <is>
          <t>NHÔM_ĐỊNH_HÌNH</t>
        </is>
      </c>
      <c r="E183" t="inlineStr">
        <is>
          <t>MAT-ALU-NAN-Z-DAY</t>
        </is>
      </c>
      <c r="F183" t="inlineStr">
        <is>
          <t>kg</t>
        </is>
      </c>
      <c r="G183" s="394" t="n">
        <v>5.422829999999999</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20 nan dài 24.99m @ 0.217kg/m</t>
        </is>
      </c>
    </row>
    <row r="184">
      <c r="A184" t="inlineStr">
        <is>
          <t>SW-DIFF-200-ACCESSORY</t>
        </is>
      </c>
      <c r="B184" t="inlineStr">
        <is>
          <t>SW-DIFF-200</t>
        </is>
      </c>
      <c r="C184" t="inlineStr">
        <is>
          <t>Phụ kiện lắp ghép / Ke góc cửa gió</t>
        </is>
      </c>
      <c r="D184" t="inlineStr">
        <is>
          <t>PHỤ_KIỆN_CỬA</t>
        </is>
      </c>
      <c r="E184" t="inlineStr">
        <is>
          <t>MAT-DOOR-ACCESSORY</t>
        </is>
      </c>
      <c r="F184" t="inlineStr">
        <is>
          <t>Bộ</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4 ke góc chìm và vít ghép khung</t>
        </is>
      </c>
    </row>
    <row r="185">
      <c r="A185" t="inlineStr">
        <is>
          <t>SW-DIFF-200-PAINT</t>
        </is>
      </c>
      <c r="B185" t="inlineStr">
        <is>
          <t>SW-DIFF-200</t>
        </is>
      </c>
      <c r="C185" t="inlineStr">
        <is>
          <t>Sơn tĩnh điện tiêu chuẩn Polyester</t>
        </is>
      </c>
      <c r="D185" t="inlineStr">
        <is>
          <t>SƠN_TĨNH_ĐIỆN</t>
        </is>
      </c>
      <c r="E185" t="inlineStr">
        <is>
          <t>MAT-PAINT-POWDER</t>
        </is>
      </c>
      <c r="F185" t="inlineStr">
        <is>
          <t>m2</t>
        </is>
      </c>
      <c r="G185" s="394" t="n">
        <v>1.44</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Diện tích phủ sơn 1.440m2</t>
        </is>
      </c>
    </row>
    <row r="186">
      <c r="A186" t="inlineStr">
        <is>
          <t>SW-DIFF-201-FRAME</t>
        </is>
      </c>
      <c r="B186" t="inlineStr">
        <is>
          <t>SW-DIFF-201</t>
        </is>
      </c>
      <c r="C186" t="inlineStr">
        <is>
          <t>Khung nhôm định hình (Z)</t>
        </is>
      </c>
      <c r="D186" t="inlineStr">
        <is>
          <t>NHÔM_ĐỊNH_HÌNH</t>
        </is>
      </c>
      <c r="E186" t="inlineStr">
        <is>
          <t>MAT-ALU-KHUNG-Z-2-LOP</t>
        </is>
      </c>
      <c r="F186" t="inlineStr">
        <is>
          <t>kg</t>
        </is>
      </c>
      <c r="G186" s="394" t="n">
        <v>0.66738</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Dài cắt 2.94m @ 0.227kg/m</t>
        </is>
      </c>
    </row>
    <row r="187">
      <c r="A187" t="inlineStr">
        <is>
          <t>SW-DIFF-201-BLADE</t>
        </is>
      </c>
      <c r="B187" t="inlineStr">
        <is>
          <t>SW-DIFF-201</t>
        </is>
      </c>
      <c r="C187" t="inlineStr">
        <is>
          <t>Nan nhôm định hình (Z)</t>
        </is>
      </c>
      <c r="D187" t="inlineStr">
        <is>
          <t>NHÔM_ĐỊNH_HÌNH</t>
        </is>
      </c>
      <c r="E187" t="inlineStr">
        <is>
          <t>MAT-ALU-NAN-Z-DAY</t>
        </is>
      </c>
      <c r="F187" t="inlineStr">
        <is>
          <t>kg</t>
        </is>
      </c>
      <c r="G187" s="394" t="n">
        <v>2.255715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10 nan dài 10.40m @ 0.217kg/m</t>
        </is>
      </c>
    </row>
    <row r="188">
      <c r="A188" t="inlineStr">
        <is>
          <t>SW-DIFF-201-ACCESSORY</t>
        </is>
      </c>
      <c r="B188" t="inlineStr">
        <is>
          <t>SW-DIFF-201</t>
        </is>
      </c>
      <c r="C188" t="inlineStr">
        <is>
          <t>Phụ kiện lắp ghép / Ke góc cửa gió</t>
        </is>
      </c>
      <c r="D188" t="inlineStr">
        <is>
          <t>PHỤ_KIỆN_CỬA</t>
        </is>
      </c>
      <c r="E188" t="inlineStr">
        <is>
          <t>MAT-DOOR-ACCESSORY</t>
        </is>
      </c>
      <c r="F188" t="inlineStr">
        <is>
          <t>Bộ</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4 ke góc chìm và vít ghép khung</t>
        </is>
      </c>
    </row>
    <row r="189">
      <c r="A189" t="inlineStr">
        <is>
          <t>SW-DIFF-201-PAINT</t>
        </is>
      </c>
      <c r="B189" t="inlineStr">
        <is>
          <t>SW-DIFF-201</t>
        </is>
      </c>
      <c r="C189" t="inlineStr">
        <is>
          <t>Sơn tĩnh điện tiêu chuẩn Polyester</t>
        </is>
      </c>
      <c r="D189" t="inlineStr">
        <is>
          <t>SƠN_TĨNH_ĐIỆN</t>
        </is>
      </c>
      <c r="E189" t="inlineStr">
        <is>
          <t>MAT-PAINT-POWDER</t>
        </is>
      </c>
      <c r="F189" t="inlineStr">
        <is>
          <t>m2</t>
        </is>
      </c>
      <c r="G189" s="394" t="n">
        <v>0.6000000000000001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Diện tích phủ sơn 0.600m2</t>
        </is>
      </c>
    </row>
    <row r="190">
      <c r="A190" t="inlineStr">
        <is>
          <t>SW-DIFF-202-FRAME</t>
        </is>
      </c>
      <c r="B190" t="inlineStr">
        <is>
          <t>SW-DIFF-202</t>
        </is>
      </c>
      <c r="C190" t="inlineStr">
        <is>
          <t>Khung nhôm định hình (Z)</t>
        </is>
      </c>
      <c r="D190" t="inlineStr">
        <is>
          <t>NHÔM_ĐỊNH_HÌNH</t>
        </is>
      </c>
      <c r="E190" t="inlineStr">
        <is>
          <t>MAT-ALU-KHUNG-Z-2-LOP</t>
        </is>
      </c>
      <c r="F190" t="inlineStr">
        <is>
          <t>kg</t>
        </is>
      </c>
      <c r="G190" s="394" t="n">
        <v>0.4767</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Dài cắt 2.10m @ 0.227kg/m</t>
        </is>
      </c>
    </row>
    <row r="191">
      <c r="A191" t="inlineStr">
        <is>
          <t>SW-DIFF-202-BLADE</t>
        </is>
      </c>
      <c r="B191" t="inlineStr">
        <is>
          <t>SW-DIFF-202</t>
        </is>
      </c>
      <c r="C191" t="inlineStr">
        <is>
          <t>Nan nhôm định hình (Z)</t>
        </is>
      </c>
      <c r="D191" t="inlineStr">
        <is>
          <t>NHÔM_ĐỊNH_HÌNH</t>
        </is>
      </c>
      <c r="E191" t="inlineStr">
        <is>
          <t>MAT-ALU-NAN-Z-DAY</t>
        </is>
      </c>
      <c r="F191" t="inlineStr">
        <is>
          <t>kg</t>
        </is>
      </c>
      <c r="G191" s="394" t="n">
        <v>1.344315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10 nan dài 6.19m @ 0.217kg/m</t>
        </is>
      </c>
    </row>
    <row r="192">
      <c r="A192" t="inlineStr">
        <is>
          <t>SW-DIFF-202-ACCESSORY</t>
        </is>
      </c>
      <c r="B192" t="inlineStr">
        <is>
          <t>SW-DIFF-202</t>
        </is>
      </c>
      <c r="C192" t="inlineStr">
        <is>
          <t>Phụ kiện lắp ghép / Ke góc cửa gió</t>
        </is>
      </c>
      <c r="D192" t="inlineStr">
        <is>
          <t>PHỤ_KIỆN_CỬA</t>
        </is>
      </c>
      <c r="E192" t="inlineStr">
        <is>
          <t>MAT-DOOR-ACCESSORY</t>
        </is>
      </c>
      <c r="F192" t="inlineStr">
        <is>
          <t>Bộ</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4 ke góc chìm và vít ghép khung</t>
        </is>
      </c>
    </row>
    <row r="193">
      <c r="A193" t="inlineStr">
        <is>
          <t>SW-DIFF-202-PAINT</t>
        </is>
      </c>
      <c r="B193" t="inlineStr">
        <is>
          <t>SW-DIFF-202</t>
        </is>
      </c>
      <c r="C193" t="inlineStr">
        <is>
          <t>Sơn tĩnh điện tiêu chuẩn Polyester</t>
        </is>
      </c>
      <c r="D193" t="inlineStr">
        <is>
          <t>SƠN_TĨNH_ĐIỆN</t>
        </is>
      </c>
      <c r="E193" t="inlineStr">
        <is>
          <t>MAT-PAINT-POWDER</t>
        </is>
      </c>
      <c r="F193" t="inlineStr">
        <is>
          <t>m2</t>
        </is>
      </c>
      <c r="G193" s="394" t="n">
        <v>0.36</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Diện tích phủ sơn 0.360m2</t>
        </is>
      </c>
    </row>
    <row r="194">
      <c r="A194" t="inlineStr">
        <is>
          <t>SW-DIFF-203-FRAME</t>
        </is>
      </c>
      <c r="B194" t="inlineStr">
        <is>
          <t>SW-DIFF-203</t>
        </is>
      </c>
      <c r="C194" t="inlineStr">
        <is>
          <t>Khung nhôm định hình (Z)</t>
        </is>
      </c>
      <c r="D194" t="inlineStr">
        <is>
          <t>NHÔM_ĐỊNH_HÌNH</t>
        </is>
      </c>
      <c r="E194" t="inlineStr">
        <is>
          <t>MAT-ALU-KHUNG-Z-2-LOP</t>
        </is>
      </c>
      <c r="F194" t="inlineStr">
        <is>
          <t>kg</t>
        </is>
      </c>
      <c r="G194" s="394" t="n">
        <v>0.28602</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Dài cắt 1.26m @ 0.227kg/m</t>
        </is>
      </c>
    </row>
    <row r="195">
      <c r="A195" t="inlineStr">
        <is>
          <t>SW-DIFF-203-BLADE</t>
        </is>
      </c>
      <c r="B195" t="inlineStr">
        <is>
          <t>SW-DIFF-203</t>
        </is>
      </c>
      <c r="C195" t="inlineStr">
        <is>
          <t>Nan nhôm định hình (Z)</t>
        </is>
      </c>
      <c r="D195" t="inlineStr">
        <is>
          <t>NHÔM_ĐỊNH_HÌNH</t>
        </is>
      </c>
      <c r="E195" t="inlineStr">
        <is>
          <t>MAT-ALU-NAN-Z-DAY</t>
        </is>
      </c>
      <c r="F195" t="inlineStr">
        <is>
          <t>kg</t>
        </is>
      </c>
      <c r="G195" s="394" t="n">
        <v>0.528612</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8 nan dài 2.44m @ 0.217kg/m</t>
        </is>
      </c>
    </row>
    <row r="196">
      <c r="A196" t="inlineStr">
        <is>
          <t>SW-DIFF-203-ACCESSORY</t>
        </is>
      </c>
      <c r="B196" t="inlineStr">
        <is>
          <t>SW-DIFF-203</t>
        </is>
      </c>
      <c r="C196" t="inlineStr">
        <is>
          <t>Phụ kiện lắp ghép / Ke góc cửa gió</t>
        </is>
      </c>
      <c r="D196" t="inlineStr">
        <is>
          <t>PHỤ_KIỆN_CỬA</t>
        </is>
      </c>
      <c r="E196" t="inlineStr">
        <is>
          <t>MAT-DOOR-ACCESSORY</t>
        </is>
      </c>
      <c r="F196" t="inlineStr">
        <is>
          <t>Bộ</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4 ke góc chìm và vít ghép khung</t>
        </is>
      </c>
    </row>
    <row r="197">
      <c r="A197" t="inlineStr">
        <is>
          <t>SW-DIFF-203-PAINT</t>
        </is>
      </c>
      <c r="B197" t="inlineStr">
        <is>
          <t>SW-DIFF-203</t>
        </is>
      </c>
      <c r="C197" t="inlineStr">
        <is>
          <t>Sơn tĩnh điện tiêu chuẩn Polyester</t>
        </is>
      </c>
      <c r="D197" t="inlineStr">
        <is>
          <t>SƠN_TĨNH_ĐIỆN</t>
        </is>
      </c>
      <c r="E197" t="inlineStr">
        <is>
          <t>MAT-PAINT-POWDER</t>
        </is>
      </c>
      <c r="F197" t="inlineStr">
        <is>
          <t>m2</t>
        </is>
      </c>
      <c r="G197" s="394" t="n">
        <v>0.135</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Diện tích phủ sơn 0.135m2</t>
        </is>
      </c>
    </row>
    <row r="198">
      <c r="A198" t="inlineStr">
        <is>
          <t>SW-DIFF-204-FRAME</t>
        </is>
      </c>
      <c r="B198" t="inlineStr">
        <is>
          <t>SW-DIFF-204</t>
        </is>
      </c>
      <c r="C198" t="inlineStr">
        <is>
          <t>Khung nhôm định hình (Z)</t>
        </is>
      </c>
      <c r="D198" t="inlineStr">
        <is>
          <t>NHÔM_ĐỊNH_HÌNH</t>
        </is>
      </c>
      <c r="E198" t="inlineStr">
        <is>
          <t>MAT-ALU-KHUNG-Z-2-LOP</t>
        </is>
      </c>
      <c r="F198" t="inlineStr">
        <is>
          <t>kg</t>
        </is>
      </c>
      <c r="G198" s="394" t="n">
        <v>0.214515</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Dài cắt 0.95m @ 0.227kg/m</t>
        </is>
      </c>
    </row>
    <row r="199">
      <c r="A199" t="inlineStr">
        <is>
          <t>SW-DIFF-204-BLADE</t>
        </is>
      </c>
      <c r="B199" t="inlineStr">
        <is>
          <t>SW-DIFF-204</t>
        </is>
      </c>
      <c r="C199" t="inlineStr">
        <is>
          <t>Nan nhôm định hình (Z)</t>
        </is>
      </c>
      <c r="D199" t="inlineStr">
        <is>
          <t>NHÔM_ĐỊNH_HÌNH</t>
        </is>
      </c>
      <c r="E199" t="inlineStr">
        <is>
          <t>MAT-ALU-NAN-Z-DAY</t>
        </is>
      </c>
      <c r="F199" t="inlineStr">
        <is>
          <t>kg</t>
        </is>
      </c>
      <c r="G199" s="394" t="n">
        <v>0.264306</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4 nan dài 1.22m @ 0.217kg/m</t>
        </is>
      </c>
    </row>
    <row r="200">
      <c r="A200" t="inlineStr">
        <is>
          <t>SW-DIFF-204-ACCESSORY</t>
        </is>
      </c>
      <c r="B200" t="inlineStr">
        <is>
          <t>SW-DIFF-204</t>
        </is>
      </c>
      <c r="C200" t="inlineStr">
        <is>
          <t>Phụ kiện lắp ghép / Ke góc cửa gió</t>
        </is>
      </c>
      <c r="D200" t="inlineStr">
        <is>
          <t>PHỤ_KIỆN_CỬA</t>
        </is>
      </c>
      <c r="E200" t="inlineStr">
        <is>
          <t>MAT-DOOR-ACCESSORY</t>
        </is>
      </c>
      <c r="F200" t="inlineStr">
        <is>
          <t>Bộ</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4 ke góc chìm và vít ghép khung</t>
        </is>
      </c>
    </row>
    <row r="201">
      <c r="A201" t="inlineStr">
        <is>
          <t>SW-DIFF-204-PAINT</t>
        </is>
      </c>
      <c r="B201" t="inlineStr">
        <is>
          <t>SW-DIFF-204</t>
        </is>
      </c>
      <c r="C201" t="inlineStr">
        <is>
          <t>Sơn tĩnh điện tiêu chuẩn Polyester</t>
        </is>
      </c>
      <c r="D201" t="inlineStr">
        <is>
          <t>SƠN_TĨNH_ĐIỆN</t>
        </is>
      </c>
      <c r="E201" t="inlineStr">
        <is>
          <t>MAT-PAINT-POWDER</t>
        </is>
      </c>
      <c r="F201" t="inlineStr">
        <is>
          <t>m2</t>
        </is>
      </c>
      <c r="G201" s="394" t="n">
        <v>0.0675</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Diện tích phủ sơn 0.068m2</t>
        </is>
      </c>
    </row>
    <row r="202">
      <c r="A202" t="inlineStr">
        <is>
          <t>SW-DIFF-205-FRAME</t>
        </is>
      </c>
      <c r="B202" t="inlineStr">
        <is>
          <t>SW-DIFF-205</t>
        </is>
      </c>
      <c r="C202" t="inlineStr">
        <is>
          <t>Khung nhôm định hình (Z)</t>
        </is>
      </c>
      <c r="D202" t="inlineStr">
        <is>
          <t>NHÔM_ĐỊNH_HÌNH</t>
        </is>
      </c>
      <c r="E202" t="inlineStr">
        <is>
          <t>MAT-ALU-KHUNG-Z-2-LOP</t>
        </is>
      </c>
      <c r="F202" t="inlineStr">
        <is>
          <t>kg</t>
        </is>
      </c>
      <c r="G202" s="394" t="n">
        <v>0.2621850000000001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Dài cắt 1.16m @ 0.227kg/m</t>
        </is>
      </c>
    </row>
    <row r="203">
      <c r="A203" t="inlineStr">
        <is>
          <t>SW-DIFF-205-BLADE</t>
        </is>
      </c>
      <c r="B203" t="inlineStr">
        <is>
          <t>SW-DIFF-205</t>
        </is>
      </c>
      <c r="C203" t="inlineStr">
        <is>
          <t>Nan nhôm định hình (Z)</t>
        </is>
      </c>
      <c r="D203" t="inlineStr">
        <is>
          <t>NHÔM_ĐỊNH_HÌNH</t>
        </is>
      </c>
      <c r="E203" t="inlineStr">
        <is>
          <t>MAT-ALU-NAN-Z-DAY</t>
        </is>
      </c>
      <c r="F203" t="inlineStr">
        <is>
          <t>kg</t>
        </is>
      </c>
      <c r="G203" s="394" t="n">
        <v>0.355446</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4 nan dài 1.64m @ 0.217kg/m</t>
        </is>
      </c>
    </row>
    <row r="204">
      <c r="A204" t="inlineStr">
        <is>
          <t>SW-DIFF-205-ACCESSORY</t>
        </is>
      </c>
      <c r="B204" t="inlineStr">
        <is>
          <t>SW-DIFF-205</t>
        </is>
      </c>
      <c r="C204" t="inlineStr">
        <is>
          <t>Phụ kiện lắp ghép / Ke góc cửa gió</t>
        </is>
      </c>
      <c r="D204" t="inlineStr">
        <is>
          <t>PHỤ_KIỆN_CỬA</t>
        </is>
      </c>
      <c r="E204" t="inlineStr">
        <is>
          <t>MAT-DOOR-ACCESSORY</t>
        </is>
      </c>
      <c r="F204" t="inlineStr">
        <is>
          <t>Bộ</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4 ke góc chìm và vít ghép khung</t>
        </is>
      </c>
    </row>
    <row r="205">
      <c r="A205" t="inlineStr">
        <is>
          <t>SW-DIFF-205-PAINT</t>
        </is>
      </c>
      <c r="B205" t="inlineStr">
        <is>
          <t>SW-DIFF-205</t>
        </is>
      </c>
      <c r="C205" t="inlineStr">
        <is>
          <t>Sơn tĩnh điện tiêu chuẩn Polyester</t>
        </is>
      </c>
      <c r="D205" t="inlineStr">
        <is>
          <t>SƠN_TĨNH_ĐIỆN</t>
        </is>
      </c>
      <c r="E205" t="inlineStr">
        <is>
          <t>MAT-PAINT-POWDER</t>
        </is>
      </c>
      <c r="F205" t="inlineStr">
        <is>
          <t>m2</t>
        </is>
      </c>
      <c r="G205" s="394" t="n">
        <v>0.09</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Diện tích phủ sơn 0.090m2</t>
        </is>
      </c>
    </row>
    <row r="206">
      <c r="A206" t="inlineStr">
        <is>
          <t>SW-DIFF-206-FRAME</t>
        </is>
      </c>
      <c r="B206" t="inlineStr">
        <is>
          <t>SW-DIFF-206</t>
        </is>
      </c>
      <c r="C206" t="inlineStr">
        <is>
          <t>Khung nhôm định hình (Z)</t>
        </is>
      </c>
      <c r="D206" t="inlineStr">
        <is>
          <t>NHÔM_ĐỊNH_HÌNH</t>
        </is>
      </c>
      <c r="E206" t="inlineStr">
        <is>
          <t>MAT-ALU-KHUNG-Z-2-LOP</t>
        </is>
      </c>
      <c r="F206" t="inlineStr">
        <is>
          <t>kg</t>
        </is>
      </c>
      <c r="G206" s="394" t="n">
        <v>0.5005350000000001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Dài cắt 2.21m @ 0.227kg/m</t>
        </is>
      </c>
    </row>
    <row r="207">
      <c r="A207" t="inlineStr">
        <is>
          <t>SW-DIFF-206-BLADE</t>
        </is>
      </c>
      <c r="B207" t="inlineStr">
        <is>
          <t>SW-DIFF-206</t>
        </is>
      </c>
      <c r="C207" t="inlineStr">
        <is>
          <t>Nan nhôm định hình (Z)</t>
        </is>
      </c>
      <c r="D207" t="inlineStr">
        <is>
          <t>NHÔM_ĐỊNH_HÌNH</t>
        </is>
      </c>
      <c r="E207" t="inlineStr">
        <is>
          <t>MAT-ALU-NAN-Z-DAY</t>
        </is>
      </c>
      <c r="F207" t="inlineStr">
        <is>
          <t>kg</t>
        </is>
      </c>
      <c r="G207" s="394" t="n">
        <v>1.2600105</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7 nan dài 5.81m @ 0.217kg/m</t>
        </is>
      </c>
    </row>
    <row r="208">
      <c r="A208" t="inlineStr">
        <is>
          <t>SW-DIFF-206-ACCESSORY</t>
        </is>
      </c>
      <c r="B208" t="inlineStr">
        <is>
          <t>SW-DIFF-206</t>
        </is>
      </c>
      <c r="C208" t="inlineStr">
        <is>
          <t>Phụ kiện lắp ghép / Ke góc cửa gió</t>
        </is>
      </c>
      <c r="D208" t="inlineStr">
        <is>
          <t>PHỤ_KIỆN_CỬA</t>
        </is>
      </c>
      <c r="E208" t="inlineStr">
        <is>
          <t>MAT-DOOR-ACCESSORY</t>
        </is>
      </c>
      <c r="F208" t="inlineStr">
        <is>
          <t>Bộ</t>
        </is>
      </c>
      <c r="G208" s="394" t="n">
        <v>1</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4 ke góc chìm và vít ghép khung</t>
        </is>
      </c>
    </row>
    <row r="209">
      <c r="A209" t="inlineStr">
        <is>
          <t>SW-DIFF-206-PAINT</t>
        </is>
      </c>
      <c r="B209" t="inlineStr">
        <is>
          <t>SW-DIFF-206</t>
        </is>
      </c>
      <c r="C209" t="inlineStr">
        <is>
          <t>Sơn tĩnh điện tiêu chuẩn Polyester</t>
        </is>
      </c>
      <c r="D209" t="inlineStr">
        <is>
          <t>SƠN_TĨNH_ĐIỆN</t>
        </is>
      </c>
      <c r="E209" t="inlineStr">
        <is>
          <t>MAT-PAINT-POWDER</t>
        </is>
      </c>
      <c r="F209" t="inlineStr">
        <is>
          <t>m2</t>
        </is>
      </c>
      <c r="G209" s="394" t="n">
        <v>0.3</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Diện tích phủ sơn 0.300m2</t>
        </is>
      </c>
    </row>
    <row r="210">
      <c r="A210" t="inlineStr">
        <is>
          <t>SW-DIFF-207-FRAME</t>
        </is>
      </c>
      <c r="B210" t="inlineStr">
        <is>
          <t>SW-DIFF-207</t>
        </is>
      </c>
      <c r="C210" t="inlineStr">
        <is>
          <t>Khung nhôm định hình (Z)</t>
        </is>
      </c>
      <c r="D210" t="inlineStr">
        <is>
          <t>NHÔM_ĐỊNH_HÌNH</t>
        </is>
      </c>
      <c r="E210" t="inlineStr">
        <is>
          <t>MAT-ALU-KHUNG-Z-2-LOP</t>
        </is>
      </c>
      <c r="F210" t="inlineStr">
        <is>
          <t>kg</t>
        </is>
      </c>
      <c r="G210" s="394" t="n">
        <v>0.7388850000000001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Dài cắt 3.26m @ 0.227kg/m</t>
        </is>
      </c>
    </row>
    <row r="211">
      <c r="A211" t="inlineStr">
        <is>
          <t>SW-DIFF-207-BLADE</t>
        </is>
      </c>
      <c r="B211" t="inlineStr">
        <is>
          <t>SW-DIFF-207</t>
        </is>
      </c>
      <c r="C211" t="inlineStr">
        <is>
          <t>Nan nhôm định hình (Z)</t>
        </is>
      </c>
      <c r="D211" t="inlineStr">
        <is>
          <t>NHÔM_ĐỊNH_HÌNH</t>
        </is>
      </c>
      <c r="E211" t="inlineStr">
        <is>
          <t>MAT-ALU-NAN-Z-DAY</t>
        </is>
      </c>
      <c r="F211" t="inlineStr">
        <is>
          <t>kg</t>
        </is>
      </c>
      <c r="G211" s="394" t="n">
        <v>2.4402735</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9 nan dài 11.25m @ 0.217kg/m</t>
        </is>
      </c>
    </row>
    <row r="212">
      <c r="A212" t="inlineStr">
        <is>
          <t>SW-DIFF-207-ACCESSORY</t>
        </is>
      </c>
      <c r="B212" t="inlineStr">
        <is>
          <t>SW-DIFF-207</t>
        </is>
      </c>
      <c r="C212" t="inlineStr">
        <is>
          <t>Phụ kiện lắp ghép / Ke góc cửa gió</t>
        </is>
      </c>
      <c r="D212" t="inlineStr">
        <is>
          <t>PHỤ_KIỆN_CỬA</t>
        </is>
      </c>
      <c r="E212" t="inlineStr">
        <is>
          <t>MAT-DOOR-ACCESSORY</t>
        </is>
      </c>
      <c r="F212" t="inlineStr">
        <is>
          <t>Bộ</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4 ke góc chìm và vít ghép khung</t>
        </is>
      </c>
    </row>
    <row r="213">
      <c r="A213" t="inlineStr">
        <is>
          <t>SW-DIFF-207-PAINT</t>
        </is>
      </c>
      <c r="B213" t="inlineStr">
        <is>
          <t>SW-DIFF-207</t>
        </is>
      </c>
      <c r="C213" t="inlineStr">
        <is>
          <t>Sơn tĩnh điện tiêu chuẩn Polyester</t>
        </is>
      </c>
      <c r="D213" t="inlineStr">
        <is>
          <t>SƠN_TĨNH_ĐIỆN</t>
        </is>
      </c>
      <c r="E213" t="inlineStr">
        <is>
          <t>MAT-PAINT-POWDER</t>
        </is>
      </c>
      <c r="F213" t="inlineStr">
        <is>
          <t>m2</t>
        </is>
      </c>
      <c r="G213" s="394" t="n">
        <v>0.63</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Diện tích phủ sơn 0.630m2</t>
        </is>
      </c>
    </row>
    <row r="214">
      <c r="A214" t="inlineStr">
        <is>
          <t>SW-DIFF-208-FRAME</t>
        </is>
      </c>
      <c r="B214" t="inlineStr">
        <is>
          <t>SW-DIFF-208</t>
        </is>
      </c>
      <c r="C214" t="inlineStr">
        <is>
          <t>Khung nhôm định hình (Z)</t>
        </is>
      </c>
      <c r="D214" t="inlineStr">
        <is>
          <t>NHÔM_ĐỊNH_HÌNH</t>
        </is>
      </c>
      <c r="E214" t="inlineStr">
        <is>
          <t>MAT-ALU-KHUNG-Z-2-LOP</t>
        </is>
      </c>
      <c r="F214" t="inlineStr">
        <is>
          <t>kg</t>
        </is>
      </c>
      <c r="G214" s="394" t="n">
        <v>0.6197100000000001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Dài cắt 2.73m @ 0.227kg/m</t>
        </is>
      </c>
    </row>
    <row r="215">
      <c r="A215" t="inlineStr">
        <is>
          <t>SW-DIFF-208-BLADE</t>
        </is>
      </c>
      <c r="B215" t="inlineStr">
        <is>
          <t>SW-DIFF-208</t>
        </is>
      </c>
      <c r="C215" t="inlineStr">
        <is>
          <t>Nan nhôm định hình (Z)</t>
        </is>
      </c>
      <c r="D215" t="inlineStr">
        <is>
          <t>NHÔM_ĐỊNH_HÌNH</t>
        </is>
      </c>
      <c r="E215" t="inlineStr">
        <is>
          <t>MAT-ALU-NAN-Z-DAY</t>
        </is>
      </c>
      <c r="F215" t="inlineStr">
        <is>
          <t>kg</t>
        </is>
      </c>
      <c r="G215" s="394" t="n">
        <v>1.804572</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8 nan dài 8.32m @ 0.217kg/m</t>
        </is>
      </c>
    </row>
    <row r="216">
      <c r="A216" t="inlineStr">
        <is>
          <t>SW-DIFF-208-ACCESSORY</t>
        </is>
      </c>
      <c r="B216" t="inlineStr">
        <is>
          <t>SW-DIFF-208</t>
        </is>
      </c>
      <c r="C216" t="inlineStr">
        <is>
          <t>Phụ kiện lắp ghép / Ke góc cửa gió</t>
        </is>
      </c>
      <c r="D216" t="inlineStr">
        <is>
          <t>PHỤ_KIỆN_CỬA</t>
        </is>
      </c>
      <c r="E216" t="inlineStr">
        <is>
          <t>MAT-DOOR-ACCESSORY</t>
        </is>
      </c>
      <c r="F216" t="inlineStr">
        <is>
          <t>Bộ</t>
        </is>
      </c>
      <c r="G216" s="394" t="n">
        <v>1</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4 ke góc chìm và vít ghép khung</t>
        </is>
      </c>
    </row>
    <row r="217">
      <c r="A217" t="inlineStr">
        <is>
          <t>SW-DIFF-208-PAINT</t>
        </is>
      </c>
      <c r="B217" t="inlineStr">
        <is>
          <t>SW-DIFF-208</t>
        </is>
      </c>
      <c r="C217" t="inlineStr">
        <is>
          <t>Sơn tĩnh điện tiêu chuẩn Polyester</t>
        </is>
      </c>
      <c r="D217" t="inlineStr">
        <is>
          <t>SƠN_TĨNH_ĐIỆN</t>
        </is>
      </c>
      <c r="E217" t="inlineStr">
        <is>
          <t>MAT-PAINT-POWDER</t>
        </is>
      </c>
      <c r="F217" t="inlineStr">
        <is>
          <t>m2</t>
        </is>
      </c>
      <c r="G217" s="394" t="n">
        <v>0.45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Diện tích phủ sơn 0.450m2</t>
        </is>
      </c>
    </row>
    <row r="218">
      <c r="A218" t="inlineStr">
        <is>
          <t>SW-DIFF-209-FRAME</t>
        </is>
      </c>
      <c r="B218" t="inlineStr">
        <is>
          <t>SW-DIFF-209</t>
        </is>
      </c>
      <c r="C218" t="inlineStr">
        <is>
          <t>Khung nhôm định hình (Z)</t>
        </is>
      </c>
      <c r="D218" t="inlineStr">
        <is>
          <t>NHÔM_ĐỊNH_HÌNH</t>
        </is>
      </c>
      <c r="E218" t="inlineStr">
        <is>
          <t>MAT-ALU-KHUNG-Z-2-LOP</t>
        </is>
      </c>
      <c r="F218" t="inlineStr">
        <is>
          <t>kg</t>
        </is>
      </c>
      <c r="G218" s="394" t="n">
        <v>0.5243700000000001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Dài cắt 2.31m @ 0.227kg/m</t>
        </is>
      </c>
    </row>
    <row r="219">
      <c r="A219" t="inlineStr">
        <is>
          <t>SW-DIFF-209-BLADE</t>
        </is>
      </c>
      <c r="B219" t="inlineStr">
        <is>
          <t>SW-DIFF-209</t>
        </is>
      </c>
      <c r="C219" t="inlineStr">
        <is>
          <t>Nan nhôm định hình (Z)</t>
        </is>
      </c>
      <c r="D219" t="inlineStr">
        <is>
          <t>NHÔM_ĐỊNH_HÌNH</t>
        </is>
      </c>
      <c r="E219" t="inlineStr">
        <is>
          <t>MAT-ALU-NAN-Z-DAY</t>
        </is>
      </c>
      <c r="F219" t="inlineStr">
        <is>
          <t>kg</t>
        </is>
      </c>
      <c r="G219" s="394" t="n">
        <v>1.440012</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8 nan dài 6.64m @ 0.217kg/m</t>
        </is>
      </c>
    </row>
    <row r="220">
      <c r="A220" t="inlineStr">
        <is>
          <t>SW-DIFF-209-ACCESSORY</t>
        </is>
      </c>
      <c r="B220" t="inlineStr">
        <is>
          <t>SW-DIFF-209</t>
        </is>
      </c>
      <c r="C220" t="inlineStr">
        <is>
          <t>Phụ kiện lắp ghép / Ke góc cửa gió</t>
        </is>
      </c>
      <c r="D220" t="inlineStr">
        <is>
          <t>PHỤ_KIỆN_CỬA</t>
        </is>
      </c>
      <c r="E220" t="inlineStr">
        <is>
          <t>MAT-DOOR-ACCESSORY</t>
        </is>
      </c>
      <c r="F220" t="inlineStr">
        <is>
          <t>Bộ</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4 ke góc chìm và vít ghép khung</t>
        </is>
      </c>
    </row>
    <row r="221">
      <c r="A221" t="inlineStr">
        <is>
          <t>SW-DIFF-209-PAINT</t>
        </is>
      </c>
      <c r="B221" t="inlineStr">
        <is>
          <t>SW-DIFF-209</t>
        </is>
      </c>
      <c r="C221" t="inlineStr">
        <is>
          <t>Sơn tĩnh điện tiêu chuẩn Polyester</t>
        </is>
      </c>
      <c r="D221" t="inlineStr">
        <is>
          <t>SƠN_TĨNH_ĐIỆN</t>
        </is>
      </c>
      <c r="E221" t="inlineStr">
        <is>
          <t>MAT-PAINT-POWDER</t>
        </is>
      </c>
      <c r="F221" t="inlineStr">
        <is>
          <t>m2</t>
        </is>
      </c>
      <c r="G221" s="394" t="n">
        <v>0.36</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Diện tích phủ sơn 0.360m2</t>
        </is>
      </c>
    </row>
    <row r="222">
      <c r="A222" t="inlineStr">
        <is>
          <t>SW-DIFF-210-FRAME</t>
        </is>
      </c>
      <c r="B222" t="inlineStr">
        <is>
          <t>SW-DIFF-210</t>
        </is>
      </c>
      <c r="C222" t="inlineStr">
        <is>
          <t>Khung nhôm định hình (Z)</t>
        </is>
      </c>
      <c r="D222" t="inlineStr">
        <is>
          <t>NHÔM_ĐỊNH_HÌNH</t>
        </is>
      </c>
      <c r="E222" t="inlineStr">
        <is>
          <t>MAT-ALU-KHUNG-Z-2-LOP</t>
        </is>
      </c>
      <c r="F222" t="inlineStr">
        <is>
          <t>kg</t>
        </is>
      </c>
      <c r="G222" s="394" t="n">
        <v>0.28602</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Dài cắt 1.26m @ 0.227kg/m</t>
        </is>
      </c>
    </row>
    <row r="223">
      <c r="A223" t="inlineStr">
        <is>
          <t>SW-DIFF-210-BLADE</t>
        </is>
      </c>
      <c r="B223" t="inlineStr">
        <is>
          <t>SW-DIFF-210</t>
        </is>
      </c>
      <c r="C223" t="inlineStr">
        <is>
          <t>Nan nhôm định hình (Z)</t>
        </is>
      </c>
      <c r="D223" t="inlineStr">
        <is>
          <t>NHÔM_ĐỊNH_HÌNH</t>
        </is>
      </c>
      <c r="E223" t="inlineStr">
        <is>
          <t>MAT-ALU-NAN-Z-DAY</t>
        </is>
      </c>
      <c r="F223" t="inlineStr">
        <is>
          <t>kg</t>
        </is>
      </c>
      <c r="G223" s="394" t="n">
        <v>0.4443075000000001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5 nan dài 2.05m @ 0.217kg/m</t>
        </is>
      </c>
    </row>
    <row r="224">
      <c r="A224" t="inlineStr">
        <is>
          <t>SW-DIFF-210-ACCESSORY</t>
        </is>
      </c>
      <c r="B224" t="inlineStr">
        <is>
          <t>SW-DIFF-210</t>
        </is>
      </c>
      <c r="C224" t="inlineStr">
        <is>
          <t>Phụ kiện lắp ghép / Ke góc cửa gió</t>
        </is>
      </c>
      <c r="D224" t="inlineStr">
        <is>
          <t>PHỤ_KIỆN_CỬA</t>
        </is>
      </c>
      <c r="E224" t="inlineStr">
        <is>
          <t>MAT-DOOR-ACCESSORY</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4 ke góc chìm và vít ghép khung</t>
        </is>
      </c>
    </row>
    <row r="225">
      <c r="A225" t="inlineStr">
        <is>
          <t>SW-DIFF-210-PAINT</t>
        </is>
      </c>
      <c r="B225" t="inlineStr">
        <is>
          <t>SW-DIFF-210</t>
        </is>
      </c>
      <c r="C225" t="inlineStr">
        <is>
          <t>Sơn tĩnh điện tiêu chuẩn Polyester</t>
        </is>
      </c>
      <c r="D225" t="inlineStr">
        <is>
          <t>SƠN_TĨNH_ĐIỆN</t>
        </is>
      </c>
      <c r="E225" t="inlineStr">
        <is>
          <t>MAT-PAINT-POWDER</t>
        </is>
      </c>
      <c r="F225" t="inlineStr">
        <is>
          <t>m2</t>
        </is>
      </c>
      <c r="G225" s="394" t="n">
        <v>0.12</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Diện tích phủ sơn 0.120m2</t>
        </is>
      </c>
    </row>
    <row r="226">
      <c r="A226" t="inlineStr">
        <is>
          <t>SW-DIFF-211-FRAME</t>
        </is>
      </c>
      <c r="B226" t="inlineStr">
        <is>
          <t>SW-DIFF-211</t>
        </is>
      </c>
      <c r="C226" t="inlineStr">
        <is>
          <t>Khung nhôm định hình (Z)</t>
        </is>
      </c>
      <c r="D226" t="inlineStr">
        <is>
          <t>NHÔM_ĐỊNH_HÌNH</t>
        </is>
      </c>
      <c r="E226" t="inlineStr">
        <is>
          <t>MAT-ALU-KHUNG-Z-2-LOP</t>
        </is>
      </c>
      <c r="F226" t="inlineStr">
        <is>
          <t>kg</t>
        </is>
      </c>
      <c r="G226" s="394" t="n">
        <v>0.23835</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Dài cắt 1.05m @ 0.227kg/m</t>
        </is>
      </c>
    </row>
    <row r="227">
      <c r="A227" t="inlineStr">
        <is>
          <t>SW-DIFF-211-BLADE</t>
        </is>
      </c>
      <c r="B227" t="inlineStr">
        <is>
          <t>SW-DIFF-211</t>
        </is>
      </c>
      <c r="C227" t="inlineStr">
        <is>
          <t>Nan nhôm định hình (Z)</t>
        </is>
      </c>
      <c r="D227" t="inlineStr">
        <is>
          <t>NHÔM_ĐỊNH_HÌNH</t>
        </is>
      </c>
      <c r="E227" t="inlineStr">
        <is>
          <t>MAT-ALU-NAN-Z-DAY</t>
        </is>
      </c>
      <c r="F227" t="inlineStr">
        <is>
          <t>kg</t>
        </is>
      </c>
      <c r="G227" s="394" t="n">
        <v>0.3303825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5 nan dài 1.52m @ 0.217kg/m</t>
        </is>
      </c>
    </row>
    <row r="228">
      <c r="A228" t="inlineStr">
        <is>
          <t>SW-DIFF-211-ACCESSORY</t>
        </is>
      </c>
      <c r="B228" t="inlineStr">
        <is>
          <t>SW-DIFF-211</t>
        </is>
      </c>
      <c r="C228" t="inlineStr">
        <is>
          <t>Phụ kiện lắp ghép / Ke góc cửa gió</t>
        </is>
      </c>
      <c r="D228" t="inlineStr">
        <is>
          <t>PHỤ_KIỆN_CỬA</t>
        </is>
      </c>
      <c r="E228" t="inlineStr">
        <is>
          <t>MAT-DOOR-ACCESSORY</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4 ke góc chìm và vít ghép khung</t>
        </is>
      </c>
    </row>
    <row r="229">
      <c r="A229" t="inlineStr">
        <is>
          <t>SW-DIFF-211-PAINT</t>
        </is>
      </c>
      <c r="B229" t="inlineStr">
        <is>
          <t>SW-DIFF-211</t>
        </is>
      </c>
      <c r="C229" t="inlineStr">
        <is>
          <t>Sơn tĩnh điện tiêu chuẩn Polyester</t>
        </is>
      </c>
      <c r="D229" t="inlineStr">
        <is>
          <t>SƠN_TĨNH_ĐIỆN</t>
        </is>
      </c>
      <c r="E229" t="inlineStr">
        <is>
          <t>MAT-PAINT-POWDER</t>
        </is>
      </c>
      <c r="F229" t="inlineStr">
        <is>
          <t>m2</t>
        </is>
      </c>
      <c r="G229" s="394" t="n">
        <v>0.09</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Diện tích phủ sơn 0.090m2</t>
        </is>
      </c>
    </row>
    <row r="230">
      <c r="A230" t="inlineStr">
        <is>
          <t>SW-DIFF-212-FRAME</t>
        </is>
      </c>
      <c r="B230" t="inlineStr">
        <is>
          <t>SW-DIFF-212</t>
        </is>
      </c>
      <c r="C230" t="inlineStr">
        <is>
          <t>Khung nhôm định hình (Z)</t>
        </is>
      </c>
      <c r="D230" t="inlineStr">
        <is>
          <t>NHÔM_ĐỊNH_HÌNH</t>
        </is>
      </c>
      <c r="E230" t="inlineStr">
        <is>
          <t>MAT-ALU-KHUNG-Z-2-LOP</t>
        </is>
      </c>
      <c r="F230" t="inlineStr">
        <is>
          <t>kg</t>
        </is>
      </c>
      <c r="G230" s="394" t="n">
        <v>0.8818950000000001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Dài cắt 3.89m @ 0.227kg/m</t>
        </is>
      </c>
    </row>
    <row r="231">
      <c r="A231" t="inlineStr">
        <is>
          <t>SW-DIFF-212-BLADE</t>
        </is>
      </c>
      <c r="B231" t="inlineStr">
        <is>
          <t>SW-DIFF-212</t>
        </is>
      </c>
      <c r="C231" t="inlineStr">
        <is>
          <t>Nan nhôm định hình (Z)</t>
        </is>
      </c>
      <c r="D231" t="inlineStr">
        <is>
          <t>NHÔM_ĐỊNH_HÌNH</t>
        </is>
      </c>
      <c r="E231" t="inlineStr">
        <is>
          <t>MAT-ALU-NAN-Z-DAY</t>
        </is>
      </c>
      <c r="F231" t="inlineStr">
        <is>
          <t>kg</t>
        </is>
      </c>
      <c r="G231" s="394" t="n">
        <v>4.6094055</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17 nan dài 21.24m @ 0.217kg/m</t>
        </is>
      </c>
    </row>
    <row r="232">
      <c r="A232" t="inlineStr">
        <is>
          <t>SW-DIFF-212-ACCESSORY</t>
        </is>
      </c>
      <c r="B232" t="inlineStr">
        <is>
          <t>SW-DIFF-212</t>
        </is>
      </c>
      <c r="C232" t="inlineStr">
        <is>
          <t>Phụ kiện lắp ghép / Ke góc cửa gió</t>
        </is>
      </c>
      <c r="D232" t="inlineStr">
        <is>
          <t>PHỤ_KIỆN_CỬA</t>
        </is>
      </c>
      <c r="E232" t="inlineStr">
        <is>
          <t>MAT-DOOR-ACCESSORY</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4 ke góc chìm và vít ghép khung</t>
        </is>
      </c>
    </row>
    <row r="233">
      <c r="A233" t="inlineStr">
        <is>
          <t>SW-DIFF-212-PAINT</t>
        </is>
      </c>
      <c r="B233" t="inlineStr">
        <is>
          <t>SW-DIFF-212</t>
        </is>
      </c>
      <c r="C233" t="inlineStr">
        <is>
          <t>Sơn tĩnh điện tiêu chuẩn Polyester</t>
        </is>
      </c>
      <c r="D233" t="inlineStr">
        <is>
          <t>SƠN_TĨNH_ĐIỆN</t>
        </is>
      </c>
      <c r="E233" t="inlineStr">
        <is>
          <t>MAT-PAINT-POWDER</t>
        </is>
      </c>
      <c r="F233" t="inlineStr">
        <is>
          <t>m2</t>
        </is>
      </c>
      <c r="G233" s="394" t="n">
        <v>1.17</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Diện tích phủ sơn 1.170m2</t>
        </is>
      </c>
    </row>
    <row r="234">
      <c r="A234" t="inlineStr">
        <is>
          <t>SW-DIFF-230-FRAME</t>
        </is>
      </c>
      <c r="B234" t="inlineStr">
        <is>
          <t>SW-DIFF-230</t>
        </is>
      </c>
      <c r="C234" t="inlineStr">
        <is>
          <t>Khung nhôm định hình (BD)</t>
        </is>
      </c>
      <c r="D234" t="inlineStr">
        <is>
          <t>NHÔM_ĐỊNH_HÌNH</t>
        </is>
      </c>
      <c r="E234" t="inlineStr">
        <is>
          <t>MAT-ALU-KHUNG-BD</t>
        </is>
      </c>
      <c r="F234" t="inlineStr">
        <is>
          <t>kg</t>
        </is>
      </c>
      <c r="G234" s="394" t="n">
        <v>0.504</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Dài cắt 2.52m @ 0.2kg/m</t>
        </is>
      </c>
    </row>
    <row r="235">
      <c r="A235" t="inlineStr">
        <is>
          <t>SW-DIFF-230-BLADE</t>
        </is>
      </c>
      <c r="B235" t="inlineStr">
        <is>
          <t>SW-DIFF-230</t>
        </is>
      </c>
      <c r="C235" t="inlineStr">
        <is>
          <t>Nan nhôm định hình (BD)</t>
        </is>
      </c>
      <c r="D235" t="inlineStr">
        <is>
          <t>NHÔM_ĐỊNH_HÌNH</t>
        </is>
      </c>
      <c r="E235" t="inlineStr">
        <is>
          <t>MAT-ALU-NAN-BD</t>
        </is>
      </c>
      <c r="F235" t="inlineStr">
        <is>
          <t>kg</t>
        </is>
      </c>
      <c r="G235" s="394" t="n">
        <v>0.8623440000000001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24 nan dài 14.87m @ 0.058kg/m</t>
        </is>
      </c>
    </row>
    <row r="236">
      <c r="A236" t="inlineStr">
        <is>
          <t>SW-DIFF-230-ACCESSORY</t>
        </is>
      </c>
      <c r="B236" t="inlineStr">
        <is>
          <t>SW-DIFF-230</t>
        </is>
      </c>
      <c r="C236" t="inlineStr">
        <is>
          <t>Phụ kiện lắp ghép / Ke góc cửa gió</t>
        </is>
      </c>
      <c r="D236" t="inlineStr">
        <is>
          <t>PHỤ_KIỆN_CỬA</t>
        </is>
      </c>
      <c r="E236" t="inlineStr">
        <is>
          <t>MAT-DOOR-ACCESSORY</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4 ke góc chìm và vít ghép khung</t>
        </is>
      </c>
    </row>
    <row r="237">
      <c r="A237" t="inlineStr">
        <is>
          <t>SW-DIFF-230-PAINT</t>
        </is>
      </c>
      <c r="B237" t="inlineStr">
        <is>
          <t>SW-DIFF-230</t>
        </is>
      </c>
      <c r="C237" t="inlineStr">
        <is>
          <t>Sơn tĩnh điện tiêu chuẩn Polyester</t>
        </is>
      </c>
      <c r="D237" t="inlineStr">
        <is>
          <t>SƠN_TĨNH_ĐIỆN</t>
        </is>
      </c>
      <c r="E237" t="inlineStr">
        <is>
          <t>MAT-PAINT-POWDER</t>
        </is>
      </c>
      <c r="F237" t="inlineStr">
        <is>
          <t>m2</t>
        </is>
      </c>
      <c r="G237" s="394" t="n">
        <v>0.54</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Diện tích phủ sơn 0.540m2</t>
        </is>
      </c>
    </row>
    <row r="238">
      <c r="A238" t="inlineStr">
        <is>
          <t>SW-DIFF-231-FRAME</t>
        </is>
      </c>
      <c r="B238" t="inlineStr">
        <is>
          <t>SW-DIFF-231</t>
        </is>
      </c>
      <c r="C238" t="inlineStr">
        <is>
          <t>Khung nhôm định hình (BD)</t>
        </is>
      </c>
      <c r="D238" t="inlineStr">
        <is>
          <t>NHÔM_ĐỊNH_HÌNH</t>
        </is>
      </c>
      <c r="E238" t="inlineStr">
        <is>
          <t>MAT-ALU-KHUNG-BD</t>
        </is>
      </c>
      <c r="F238" t="inlineStr">
        <is>
          <t>kg</t>
        </is>
      </c>
      <c r="G238" s="394" t="n">
        <v>0.504</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Dài cắt 2.52m @ 0.2kg/m</t>
        </is>
      </c>
    </row>
    <row r="239">
      <c r="A239" t="inlineStr">
        <is>
          <t>SW-DIFF-231-BLADE</t>
        </is>
      </c>
      <c r="B239" t="inlineStr">
        <is>
          <t>SW-DIFF-231</t>
        </is>
      </c>
      <c r="C239" t="inlineStr">
        <is>
          <t>Nan nhôm định hình (BD)</t>
        </is>
      </c>
      <c r="D239" t="inlineStr">
        <is>
          <t>NHÔM_ĐỊNH_HÌNH</t>
        </is>
      </c>
      <c r="E239" t="inlineStr">
        <is>
          <t>MAT-ALU-NAN-BD</t>
        </is>
      </c>
      <c r="F239" t="inlineStr">
        <is>
          <t>kg</t>
        </is>
      </c>
      <c r="G239" s="394" t="n">
        <v>0.8623440000000001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24 nan dài 14.87m @ 0.058kg/m</t>
        </is>
      </c>
    </row>
    <row r="240">
      <c r="A240" t="inlineStr">
        <is>
          <t>SW-DIFF-231-ACCESSORY</t>
        </is>
      </c>
      <c r="B240" t="inlineStr">
        <is>
          <t>SW-DIFF-231</t>
        </is>
      </c>
      <c r="C240" t="inlineStr">
        <is>
          <t>Phụ kiện lắp ghép / Ke góc cửa gió</t>
        </is>
      </c>
      <c r="D240" t="inlineStr">
        <is>
          <t>PHỤ_KIỆN_CỬA</t>
        </is>
      </c>
      <c r="E240" t="inlineStr">
        <is>
          <t>MAT-DOOR-ACCESSORY</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4 ke góc chìm và vít ghép khung</t>
        </is>
      </c>
    </row>
    <row r="241">
      <c r="A241" t="inlineStr">
        <is>
          <t>SW-DIFF-231-PAINT</t>
        </is>
      </c>
      <c r="B241" t="inlineStr">
        <is>
          <t>SW-DIFF-231</t>
        </is>
      </c>
      <c r="C241" t="inlineStr">
        <is>
          <t>Sơn tĩnh điện tiêu chuẩn Polyester</t>
        </is>
      </c>
      <c r="D241" t="inlineStr">
        <is>
          <t>SƠN_TĨNH_ĐIỆN</t>
        </is>
      </c>
      <c r="E241" t="inlineStr">
        <is>
          <t>MAT-PAINT-POWDER</t>
        </is>
      </c>
      <c r="F241" t="inlineStr">
        <is>
          <t>m2</t>
        </is>
      </c>
      <c r="G241" s="394" t="n">
        <v>0.54</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Diện tích phủ sơn 0.540m2</t>
        </is>
      </c>
    </row>
    <row r="242">
      <c r="A242" t="inlineStr">
        <is>
          <t>SW-DIFF-268-FRAME</t>
        </is>
      </c>
      <c r="B242" t="inlineStr">
        <is>
          <t>SW-DIFF-268</t>
        </is>
      </c>
      <c r="C242" t="inlineStr">
        <is>
          <t>Khung nhôm định hình (BD)</t>
        </is>
      </c>
      <c r="D242" t="inlineStr">
        <is>
          <t>NHÔM_ĐỊNH_HÌNH</t>
        </is>
      </c>
      <c r="E242" t="inlineStr">
        <is>
          <t>MAT-ALU-KHUNG-BD</t>
        </is>
      </c>
      <c r="F242" t="inlineStr">
        <is>
          <t>kg</t>
        </is>
      </c>
      <c r="G242" s="394" t="n">
        <v>0.42</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Dài cắt 2.10m @ 0.2kg/m</t>
        </is>
      </c>
    </row>
    <row r="243">
      <c r="A243" t="inlineStr">
        <is>
          <t>SW-DIFF-268-BLADE</t>
        </is>
      </c>
      <c r="B243" t="inlineStr">
        <is>
          <t>SW-DIFF-268</t>
        </is>
      </c>
      <c r="C243" t="inlineStr">
        <is>
          <t>Nan nhôm định hình (BD)</t>
        </is>
      </c>
      <c r="D243" t="inlineStr">
        <is>
          <t>NHÔM_ĐỊNH_HÌNH</t>
        </is>
      </c>
      <c r="E243" t="inlineStr">
        <is>
          <t>MAT-ALU-NAN-BD</t>
        </is>
      </c>
      <c r="F243" t="inlineStr">
        <is>
          <t>kg</t>
        </is>
      </c>
      <c r="G243" s="394" t="n">
        <v>0.216804</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4 nan dài 3.74m @ 0.058kg/m</t>
        </is>
      </c>
    </row>
    <row r="244">
      <c r="A244" t="inlineStr">
        <is>
          <t>SW-DIFF-268-ACCESSORY</t>
        </is>
      </c>
      <c r="B244" t="inlineStr">
        <is>
          <t>SW-DIFF-268</t>
        </is>
      </c>
      <c r="C244" t="inlineStr">
        <is>
          <t>Phụ kiện lắp ghép / Ke góc cửa gió</t>
        </is>
      </c>
      <c r="D244" t="inlineStr">
        <is>
          <t>PHỤ_KIỆN_CỬA</t>
        </is>
      </c>
      <c r="E244" t="inlineStr">
        <is>
          <t>MAT-DOOR-ACCESSORY</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4 ke góc chìm và vít ghép khung</t>
        </is>
      </c>
    </row>
    <row r="245">
      <c r="A245" t="inlineStr">
        <is>
          <t>SW-DIFF-268-PAINT</t>
        </is>
      </c>
      <c r="B245" t="inlineStr">
        <is>
          <t>SW-DIFF-268</t>
        </is>
      </c>
      <c r="C245" t="inlineStr">
        <is>
          <t>Sơn tĩnh điện tiêu chuẩn Polyester</t>
        </is>
      </c>
      <c r="D245" t="inlineStr">
        <is>
          <t>SƠN_TĨNH_ĐIỆN</t>
        </is>
      </c>
      <c r="E245" t="inlineStr">
        <is>
          <t>MAT-PAINT-POWDER</t>
        </is>
      </c>
      <c r="F245" t="inlineStr">
        <is>
          <t>m2</t>
        </is>
      </c>
      <c r="G245" s="394" t="n">
        <v>0.135</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Diện tích phủ sơn 0.135m2</t>
        </is>
      </c>
    </row>
    <row r="246">
      <c r="A246" t="inlineStr">
        <is>
          <t>SW-DIFF-269-FRAME</t>
        </is>
      </c>
      <c r="B246" t="inlineStr">
        <is>
          <t>SW-DIFF-269</t>
        </is>
      </c>
      <c r="C246" t="inlineStr">
        <is>
          <t>Khung nhôm định hình (BD)</t>
        </is>
      </c>
      <c r="D246" t="inlineStr">
        <is>
          <t>NHÔM_ĐỊNH_HÌNH</t>
        </is>
      </c>
      <c r="E246" t="inlineStr">
        <is>
          <t>MAT-ALU-KHUNG-BD</t>
        </is>
      </c>
      <c r="F246" t="inlineStr">
        <is>
          <t>kg</t>
        </is>
      </c>
      <c r="G246" s="394" t="n">
        <v>0.5460000000000002</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Dài cắt 2.73m @ 0.2kg/m</t>
        </is>
      </c>
    </row>
    <row r="247">
      <c r="A247" t="inlineStr">
        <is>
          <t>SW-DIFF-269-BLADE</t>
        </is>
      </c>
      <c r="B247" t="inlineStr">
        <is>
          <t>SW-DIFF-269</t>
        </is>
      </c>
      <c r="C247" t="inlineStr">
        <is>
          <t>Nan nhôm định hình (BD)</t>
        </is>
      </c>
      <c r="D247" t="inlineStr">
        <is>
          <t>NHÔM_ĐỊNH_HÌNH</t>
        </is>
      </c>
      <c r="E247" t="inlineStr">
        <is>
          <t>MAT-ALU-NAN-BD</t>
        </is>
      </c>
      <c r="F247" t="inlineStr">
        <is>
          <t>kg</t>
        </is>
      </c>
      <c r="G247" s="394" t="n">
        <v>0.289884</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4 nan dài 5.00m @ 0.058kg/m</t>
        </is>
      </c>
    </row>
    <row r="248">
      <c r="A248" t="inlineStr">
        <is>
          <t>SW-DIFF-269-ACCESSORY</t>
        </is>
      </c>
      <c r="B248" t="inlineStr">
        <is>
          <t>SW-DIFF-269</t>
        </is>
      </c>
      <c r="C248" t="inlineStr">
        <is>
          <t>Phụ kiện lắp ghép / Ke góc cửa gió</t>
        </is>
      </c>
      <c r="D248" t="inlineStr">
        <is>
          <t>PHỤ_KIỆN_CỬA</t>
        </is>
      </c>
      <c r="E248" t="inlineStr">
        <is>
          <t>MAT-DOOR-ACCESSORY</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4 ke góc chìm và vít ghép khung</t>
        </is>
      </c>
    </row>
    <row r="249">
      <c r="A249" t="inlineStr">
        <is>
          <t>SW-DIFF-269-PAINT</t>
        </is>
      </c>
      <c r="B249" t="inlineStr">
        <is>
          <t>SW-DIFF-269</t>
        </is>
      </c>
      <c r="C249" t="inlineStr">
        <is>
          <t>Sơn tĩnh điện tiêu chuẩn Polyester</t>
        </is>
      </c>
      <c r="D249" t="inlineStr">
        <is>
          <t>SƠN_TĨNH_ĐIỆN</t>
        </is>
      </c>
      <c r="E249" t="inlineStr">
        <is>
          <t>MAT-PAINT-POWDER</t>
        </is>
      </c>
      <c r="F249" t="inlineStr">
        <is>
          <t>m2</t>
        </is>
      </c>
      <c r="G249" s="394" t="n">
        <v>0.18</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Diện tích phủ sơn 0.180m2</t>
        </is>
      </c>
    </row>
    <row r="250">
      <c r="A250" t="inlineStr">
        <is>
          <t>SW-DIFF-270-FRAME</t>
        </is>
      </c>
      <c r="B250" t="inlineStr">
        <is>
          <t>SW-DIFF-270</t>
        </is>
      </c>
      <c r="C250" t="inlineStr">
        <is>
          <t>Khung nhôm định hình (BD)</t>
        </is>
      </c>
      <c r="D250" t="inlineStr">
        <is>
          <t>NHÔM_ĐỊNH_HÌNH</t>
        </is>
      </c>
      <c r="E250" t="inlineStr">
        <is>
          <t>MAT-ALU-KHUNG-BD</t>
        </is>
      </c>
      <c r="F250" t="inlineStr">
        <is>
          <t>kg</t>
        </is>
      </c>
      <c r="G250" s="394" t="n">
        <v>0.8820000000000001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Dài cắt 4.41m @ 0.2kg/m</t>
        </is>
      </c>
    </row>
    <row r="251">
      <c r="A251" t="inlineStr">
        <is>
          <t>SW-DIFF-270-BLADE</t>
        </is>
      </c>
      <c r="B251" t="inlineStr">
        <is>
          <t>SW-DIFF-270</t>
        </is>
      </c>
      <c r="C251" t="inlineStr">
        <is>
          <t>Nan nhôm định hình (BD)</t>
        </is>
      </c>
      <c r="D251" t="inlineStr">
        <is>
          <t>NHÔM_ĐỊNH_HÌNH</t>
        </is>
      </c>
      <c r="E251" t="inlineStr">
        <is>
          <t>MAT-ALU-NAN-BD</t>
        </is>
      </c>
      <c r="F251" t="inlineStr">
        <is>
          <t>kg</t>
        </is>
      </c>
      <c r="G251" s="394" t="n">
        <v>0.484764</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4 nan dài 8.36m @ 0.058kg/m</t>
        </is>
      </c>
    </row>
    <row r="252">
      <c r="A252" t="inlineStr">
        <is>
          <t>SW-DIFF-270-ACCESSORY</t>
        </is>
      </c>
      <c r="B252" t="inlineStr">
        <is>
          <t>SW-DIFF-270</t>
        </is>
      </c>
      <c r="C252" t="inlineStr">
        <is>
          <t>Phụ kiện lắp ghép / Ke góc cửa gió</t>
        </is>
      </c>
      <c r="D252" t="inlineStr">
        <is>
          <t>PHỤ_KIỆN_CỬA</t>
        </is>
      </c>
      <c r="E252" t="inlineStr">
        <is>
          <t>MAT-DOOR-ACCESSORY</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4 ke góc chìm và vít ghép khung</t>
        </is>
      </c>
    </row>
    <row r="253">
      <c r="A253" t="inlineStr">
        <is>
          <t>SW-DIFF-270-PAINT</t>
        </is>
      </c>
      <c r="B253" t="inlineStr">
        <is>
          <t>SW-DIFF-270</t>
        </is>
      </c>
      <c r="C253" t="inlineStr">
        <is>
          <t>Sơn tĩnh điện tiêu chuẩn Polyester</t>
        </is>
      </c>
      <c r="D253" t="inlineStr">
        <is>
          <t>SƠN_TĨNH_ĐIỆN</t>
        </is>
      </c>
      <c r="E253" t="inlineStr">
        <is>
          <t>MAT-PAINT-POWDER</t>
        </is>
      </c>
      <c r="F253" t="inlineStr">
        <is>
          <t>m2</t>
        </is>
      </c>
      <c r="G253" s="394" t="n">
        <v>0.3</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Diện tích phủ sơn 0.300m2</t>
        </is>
      </c>
    </row>
    <row r="254">
      <c r="A254" t="inlineStr">
        <is>
          <t>SW-DIFF-271-FRAME</t>
        </is>
      </c>
      <c r="B254" t="inlineStr">
        <is>
          <t>SW-DIFF-271</t>
        </is>
      </c>
      <c r="C254" t="inlineStr">
        <is>
          <t>Khung nhôm định hình (BD)</t>
        </is>
      </c>
      <c r="D254" t="inlineStr">
        <is>
          <t>NHÔM_ĐỊNH_HÌNH</t>
        </is>
      </c>
      <c r="E254" t="inlineStr">
        <is>
          <t>MAT-ALU-KHUNG-BD</t>
        </is>
      </c>
      <c r="F254" t="inlineStr">
        <is>
          <t>kg</t>
        </is>
      </c>
      <c r="G254" s="394" t="n">
        <v>0.42</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Dài cắt 2.10m @ 0.2kg/m</t>
        </is>
      </c>
    </row>
    <row r="255">
      <c r="A255" t="inlineStr">
        <is>
          <t>SW-DIFF-271-BLADE</t>
        </is>
      </c>
      <c r="B255" t="inlineStr">
        <is>
          <t>SW-DIFF-271</t>
        </is>
      </c>
      <c r="C255" t="inlineStr">
        <is>
          <t>Nan nhôm định hình (BD)</t>
        </is>
      </c>
      <c r="D255" t="inlineStr">
        <is>
          <t>NHÔM_ĐỊNH_HÌNH</t>
        </is>
      </c>
      <c r="E255" t="inlineStr">
        <is>
          <t>MAT-ALU-NAN-BD</t>
        </is>
      </c>
      <c r="F255" t="inlineStr">
        <is>
          <t>kg</t>
        </is>
      </c>
      <c r="G255" s="394" t="n">
        <v>0.216804</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4 nan dài 3.74m @ 0.058kg/m</t>
        </is>
      </c>
    </row>
    <row r="256">
      <c r="A256" t="inlineStr">
        <is>
          <t>SW-DIFF-271-ACCESSORY</t>
        </is>
      </c>
      <c r="B256" t="inlineStr">
        <is>
          <t>SW-DIFF-271</t>
        </is>
      </c>
      <c r="C256" t="inlineStr">
        <is>
          <t>Phụ kiện lắp ghép / Ke góc cửa gió</t>
        </is>
      </c>
      <c r="D256" t="inlineStr">
        <is>
          <t>PHỤ_KIỆN_CỬA</t>
        </is>
      </c>
      <c r="E256" t="inlineStr">
        <is>
          <t>MAT-DOOR-ACCESSORY</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4 ke góc chìm và vít ghép khung</t>
        </is>
      </c>
    </row>
    <row r="257">
      <c r="A257" t="inlineStr">
        <is>
          <t>SW-DIFF-271-PAINT</t>
        </is>
      </c>
      <c r="B257" t="inlineStr">
        <is>
          <t>SW-DIFF-271</t>
        </is>
      </c>
      <c r="C257" t="inlineStr">
        <is>
          <t>Sơn tĩnh điện tiêu chuẩn Polyester</t>
        </is>
      </c>
      <c r="D257" t="inlineStr">
        <is>
          <t>SƠN_TĨNH_ĐIỆN</t>
        </is>
      </c>
      <c r="E257" t="inlineStr">
        <is>
          <t>MAT-PAINT-POWDER</t>
        </is>
      </c>
      <c r="F257" t="inlineStr">
        <is>
          <t>m2</t>
        </is>
      </c>
      <c r="G257" s="394" t="n">
        <v>0.135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Diện tích phủ sơn 0.135m2</t>
        </is>
      </c>
    </row>
    <row r="258">
      <c r="A258" t="inlineStr">
        <is>
          <t>SW-DIFF-272-FRAME</t>
        </is>
      </c>
      <c r="B258" t="inlineStr">
        <is>
          <t>SW-DIFF-272</t>
        </is>
      </c>
      <c r="C258" t="inlineStr">
        <is>
          <t>Khung nhôm định hình (BD)</t>
        </is>
      </c>
      <c r="D258" t="inlineStr">
        <is>
          <t>NHÔM_ĐỊNH_HÌNH</t>
        </is>
      </c>
      <c r="E258" t="inlineStr">
        <is>
          <t>MAT-ALU-KHUNG-BD</t>
        </is>
      </c>
      <c r="F258" t="inlineStr">
        <is>
          <t>kg</t>
        </is>
      </c>
      <c r="G258" s="394" t="n">
        <v>0.5460000000000002</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Dài cắt 2.73m @ 0.2kg/m</t>
        </is>
      </c>
    </row>
    <row r="259">
      <c r="A259" t="inlineStr">
        <is>
          <t>SW-DIFF-272-BLADE</t>
        </is>
      </c>
      <c r="B259" t="inlineStr">
        <is>
          <t>SW-DIFF-272</t>
        </is>
      </c>
      <c r="C259" t="inlineStr">
        <is>
          <t>Nan nhôm định hình (BD)</t>
        </is>
      </c>
      <c r="D259" t="inlineStr">
        <is>
          <t>NHÔM_ĐỊNH_HÌNH</t>
        </is>
      </c>
      <c r="E259" t="inlineStr">
        <is>
          <t>MAT-ALU-NAN-BD</t>
        </is>
      </c>
      <c r="F259" t="inlineStr">
        <is>
          <t>kg</t>
        </is>
      </c>
      <c r="G259" s="394" t="n">
        <v>0.289884</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4 nan dài 5.00m @ 0.058kg/m</t>
        </is>
      </c>
    </row>
    <row r="260">
      <c r="A260" t="inlineStr">
        <is>
          <t>SW-DIFF-272-ACCESSORY</t>
        </is>
      </c>
      <c r="B260" t="inlineStr">
        <is>
          <t>SW-DIFF-272</t>
        </is>
      </c>
      <c r="C260" t="inlineStr">
        <is>
          <t>Phụ kiện lắp ghép / Ke góc cửa gió</t>
        </is>
      </c>
      <c r="D260" t="inlineStr">
        <is>
          <t>PHỤ_KIỆN_CỬA</t>
        </is>
      </c>
      <c r="E260" t="inlineStr">
        <is>
          <t>MAT-DOOR-ACCESSORY</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4 ke góc chìm và vít ghép khung</t>
        </is>
      </c>
    </row>
    <row r="261">
      <c r="A261" t="inlineStr">
        <is>
          <t>SW-DIFF-272-PAINT</t>
        </is>
      </c>
      <c r="B261" t="inlineStr">
        <is>
          <t>SW-DIFF-272</t>
        </is>
      </c>
      <c r="C261" t="inlineStr">
        <is>
          <t>Sơn tĩnh điện tiêu chuẩn Polyester</t>
        </is>
      </c>
      <c r="D261" t="inlineStr">
        <is>
          <t>SƠN_TĨNH_ĐIỆN</t>
        </is>
      </c>
      <c r="E261" t="inlineStr">
        <is>
          <t>MAT-PAINT-POWDER</t>
        </is>
      </c>
      <c r="F261" t="inlineStr">
        <is>
          <t>m2</t>
        </is>
      </c>
      <c r="G261" s="394" t="n">
        <v>0.18</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Diện tích phủ sơn 0.180m2</t>
        </is>
      </c>
    </row>
    <row r="262">
      <c r="A262" t="inlineStr">
        <is>
          <t>SW-DIFF-273-FRAME</t>
        </is>
      </c>
      <c r="B262" t="inlineStr">
        <is>
          <t>SW-DIFF-273</t>
        </is>
      </c>
      <c r="C262" t="inlineStr">
        <is>
          <t>Khung nhôm định hình (BD)</t>
        </is>
      </c>
      <c r="D262" t="inlineStr">
        <is>
          <t>NHÔM_ĐỊNH_HÌNH</t>
        </is>
      </c>
      <c r="E262" t="inlineStr">
        <is>
          <t>MAT-ALU-KHUNG-BD</t>
        </is>
      </c>
      <c r="F262" t="inlineStr">
        <is>
          <t>kg</t>
        </is>
      </c>
      <c r="G262" s="394" t="n">
        <v>0.6300000000000001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Dài cắt 3.15m @ 0.2kg/m</t>
        </is>
      </c>
    </row>
    <row r="263">
      <c r="A263" t="inlineStr">
        <is>
          <t>SW-DIFF-273-BLADE</t>
        </is>
      </c>
      <c r="B263" t="inlineStr">
        <is>
          <t>SW-DIFF-273</t>
        </is>
      </c>
      <c r="C263" t="inlineStr">
        <is>
          <t>Nan nhôm định hình (BD)</t>
        </is>
      </c>
      <c r="D263" t="inlineStr">
        <is>
          <t>NHÔM_ĐỊNH_HÌNH</t>
        </is>
      </c>
      <c r="E263" t="inlineStr">
        <is>
          <t>MAT-ALU-NAN-BD</t>
        </is>
      </c>
      <c r="F263" t="inlineStr">
        <is>
          <t>kg</t>
        </is>
      </c>
      <c r="G263" s="394" t="n">
        <v>0.338604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4 nan dài 5.84m @ 0.058kg/m</t>
        </is>
      </c>
    </row>
    <row r="264">
      <c r="A264" t="inlineStr">
        <is>
          <t>SW-DIFF-273-ACCESSORY</t>
        </is>
      </c>
      <c r="B264" t="inlineStr">
        <is>
          <t>SW-DIFF-273</t>
        </is>
      </c>
      <c r="C264" t="inlineStr">
        <is>
          <t>Phụ kiện lắp ghép / Ke góc cửa gió</t>
        </is>
      </c>
      <c r="D264" t="inlineStr">
        <is>
          <t>PHỤ_KIỆN_CỬA</t>
        </is>
      </c>
      <c r="E264" t="inlineStr">
        <is>
          <t>MAT-DOOR-ACCESSORY</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4 ke góc chìm và vít ghép khung</t>
        </is>
      </c>
    </row>
    <row r="265">
      <c r="A265" t="inlineStr">
        <is>
          <t>SW-DIFF-273-PAINT</t>
        </is>
      </c>
      <c r="B265" t="inlineStr">
        <is>
          <t>SW-DIFF-273</t>
        </is>
      </c>
      <c r="C265" t="inlineStr">
        <is>
          <t>Sơn tĩnh điện tiêu chuẩn Polyester</t>
        </is>
      </c>
      <c r="D265" t="inlineStr">
        <is>
          <t>SƠN_TĨNH_ĐIỆN</t>
        </is>
      </c>
      <c r="E265" t="inlineStr">
        <is>
          <t>MAT-PAINT-POWDER</t>
        </is>
      </c>
      <c r="F265" t="inlineStr">
        <is>
          <t>m2</t>
        </is>
      </c>
      <c r="G265" s="394" t="n">
        <v>0.21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Diện tích phủ sơn 0.210m2</t>
        </is>
      </c>
    </row>
    <row r="266">
      <c r="A266" t="inlineStr">
        <is>
          <t>SW-DIFF-274-FRAME</t>
        </is>
      </c>
      <c r="B266" t="inlineStr">
        <is>
          <t>SW-DIFF-274</t>
        </is>
      </c>
      <c r="C266" t="inlineStr">
        <is>
          <t>Khung nhôm định hình (BD)</t>
        </is>
      </c>
      <c r="D266" t="inlineStr">
        <is>
          <t>NHÔM_ĐỊNH_HÌNH</t>
        </is>
      </c>
      <c r="E266" t="inlineStr">
        <is>
          <t>MAT-ALU-KHUNG-BD</t>
        </is>
      </c>
      <c r="F266" t="inlineStr">
        <is>
          <t>kg</t>
        </is>
      </c>
      <c r="G266" s="394" t="n">
        <v>0.8820000000000001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Dài cắt 4.41m @ 0.2kg/m</t>
        </is>
      </c>
    </row>
    <row r="267">
      <c r="A267" t="inlineStr">
        <is>
          <t>SW-DIFF-274-BLADE</t>
        </is>
      </c>
      <c r="B267" t="inlineStr">
        <is>
          <t>SW-DIFF-274</t>
        </is>
      </c>
      <c r="C267" t="inlineStr">
        <is>
          <t>Nan nhôm định hình (BD)</t>
        </is>
      </c>
      <c r="D267" t="inlineStr">
        <is>
          <t>NHÔM_ĐỊNH_HÌNH</t>
        </is>
      </c>
      <c r="E267" t="inlineStr">
        <is>
          <t>MAT-ALU-NAN-BD</t>
        </is>
      </c>
      <c r="F267" t="inlineStr">
        <is>
          <t>kg</t>
        </is>
      </c>
      <c r="G267" s="394" t="n">
        <v>0.484764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4 nan dài 8.36m @ 0.058kg/m</t>
        </is>
      </c>
    </row>
    <row r="268">
      <c r="A268" t="inlineStr">
        <is>
          <t>SW-DIFF-274-ACCESSORY</t>
        </is>
      </c>
      <c r="B268" t="inlineStr">
        <is>
          <t>SW-DIFF-274</t>
        </is>
      </c>
      <c r="C268" t="inlineStr">
        <is>
          <t>Phụ kiện lắp ghép / Ke góc cửa gió</t>
        </is>
      </c>
      <c r="D268" t="inlineStr">
        <is>
          <t>PHỤ_KIỆN_CỬA</t>
        </is>
      </c>
      <c r="E268" t="inlineStr">
        <is>
          <t>MAT-DOOR-ACCESSORY</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4 ke góc chìm và vít ghép khung</t>
        </is>
      </c>
    </row>
    <row r="269">
      <c r="A269" t="inlineStr">
        <is>
          <t>SW-DIFF-274-PAINT</t>
        </is>
      </c>
      <c r="B269" t="inlineStr">
        <is>
          <t>SW-DIFF-274</t>
        </is>
      </c>
      <c r="C269" t="inlineStr">
        <is>
          <t>Sơn tĩnh điện tiêu chuẩn Polyester</t>
        </is>
      </c>
      <c r="D269" t="inlineStr">
        <is>
          <t>SƠN_TĨNH_ĐIỆN</t>
        </is>
      </c>
      <c r="E269" t="inlineStr">
        <is>
          <t>MAT-PAINT-POWDER</t>
        </is>
      </c>
      <c r="F269" t="inlineStr">
        <is>
          <t>m2</t>
        </is>
      </c>
      <c r="G269" s="394" t="n">
        <v>0.3</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Diện tích phủ sơn 0.300m2</t>
        </is>
      </c>
    </row>
    <row r="270">
      <c r="A270" t="inlineStr">
        <is>
          <t>SW-DIFF-275-FRAME</t>
        </is>
      </c>
      <c r="B270" t="inlineStr">
        <is>
          <t>SW-DIFF-275</t>
        </is>
      </c>
      <c r="C270" t="inlineStr">
        <is>
          <t>Khung nhôm định hình (BD)</t>
        </is>
      </c>
      <c r="D270" t="inlineStr">
        <is>
          <t>NHÔM_ĐỊNH_HÌNH</t>
        </is>
      </c>
      <c r="E270" t="inlineStr">
        <is>
          <t>MAT-ALU-KHUNG-BD</t>
        </is>
      </c>
      <c r="F270" t="inlineStr">
        <is>
          <t>kg</t>
        </is>
      </c>
      <c r="G270" s="394" t="n">
        <v>1.806</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Dài cắt 9.03m @ 0.2kg/m</t>
        </is>
      </c>
    </row>
    <row r="271">
      <c r="A271" t="inlineStr">
        <is>
          <t>SW-DIFF-275-BLADE</t>
        </is>
      </c>
      <c r="B271" t="inlineStr">
        <is>
          <t>SW-DIFF-275</t>
        </is>
      </c>
      <c r="C271" t="inlineStr">
        <is>
          <t>Nan nhôm định hình (BD)</t>
        </is>
      </c>
      <c r="D271" t="inlineStr">
        <is>
          <t>NHÔM_ĐỊNH_HÌNH</t>
        </is>
      </c>
      <c r="E271" t="inlineStr">
        <is>
          <t>MAT-ALU-NAN-BD</t>
        </is>
      </c>
      <c r="F271" t="inlineStr">
        <is>
          <t>kg</t>
        </is>
      </c>
      <c r="G271" s="394" t="n">
        <v>1.020684</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4 nan dài 17.60m @ 0.058kg/m</t>
        </is>
      </c>
    </row>
    <row r="272">
      <c r="A272" t="inlineStr">
        <is>
          <t>SW-DIFF-275-ACCESSORY</t>
        </is>
      </c>
      <c r="B272" t="inlineStr">
        <is>
          <t>SW-DIFF-275</t>
        </is>
      </c>
      <c r="C272" t="inlineStr">
        <is>
          <t>Phụ kiện lắp ghép / Ke góc cửa gió</t>
        </is>
      </c>
      <c r="D272" t="inlineStr">
        <is>
          <t>PHỤ_KIỆN_CỬA</t>
        </is>
      </c>
      <c r="E272" t="inlineStr">
        <is>
          <t>MAT-DOOR-ACCESSORY</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4 ke góc chìm và vít ghép khung</t>
        </is>
      </c>
    </row>
    <row r="273">
      <c r="A273" t="inlineStr">
        <is>
          <t>SW-DIFF-275-PAINT</t>
        </is>
      </c>
      <c r="B273" t="inlineStr">
        <is>
          <t>SW-DIFF-275</t>
        </is>
      </c>
      <c r="C273" t="inlineStr">
        <is>
          <t>Sơn tĩnh điện tiêu chuẩn Polyester</t>
        </is>
      </c>
      <c r="D273" t="inlineStr">
        <is>
          <t>SƠN_TĨNH_ĐIỆN</t>
        </is>
      </c>
      <c r="E273" t="inlineStr">
        <is>
          <t>MAT-PAINT-POWDER</t>
        </is>
      </c>
      <c r="F273" t="inlineStr">
        <is>
          <t>m2</t>
        </is>
      </c>
      <c r="G273" s="394" t="n">
        <v>0.63</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Diện tích phủ sơn 0.630m2</t>
        </is>
      </c>
    </row>
    <row r="274">
      <c r="A274" t="inlineStr">
        <is>
          <t>SW-DIFF-276-FRAME</t>
        </is>
      </c>
      <c r="B274" t="inlineStr">
        <is>
          <t>SW-DIFF-276</t>
        </is>
      </c>
      <c r="C274" t="inlineStr">
        <is>
          <t>Khung nhôm định hình (BD)</t>
        </is>
      </c>
      <c r="D274" t="inlineStr">
        <is>
          <t>NHÔM_ĐỊNH_HÌNH</t>
        </is>
      </c>
      <c r="E274" t="inlineStr">
        <is>
          <t>MAT-ALU-KHUNG-BD</t>
        </is>
      </c>
      <c r="F274" t="inlineStr">
        <is>
          <t>kg</t>
        </is>
      </c>
      <c r="G274" s="394" t="n">
        <v>3.234</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Dài cắt 16.17m @ 0.2kg/m</t>
        </is>
      </c>
    </row>
    <row r="275">
      <c r="A275" t="inlineStr">
        <is>
          <t>SW-DIFF-276-BLADE</t>
        </is>
      </c>
      <c r="B275" t="inlineStr">
        <is>
          <t>SW-DIFF-276</t>
        </is>
      </c>
      <c r="C275" t="inlineStr">
        <is>
          <t>Nan nhôm định hình (BD)</t>
        </is>
      </c>
      <c r="D275" t="inlineStr">
        <is>
          <t>NHÔM_ĐỊNH_HÌNH</t>
        </is>
      </c>
      <c r="E275" t="inlineStr">
        <is>
          <t>MAT-ALU-NAN-BD</t>
        </is>
      </c>
      <c r="F275" t="inlineStr">
        <is>
          <t>kg</t>
        </is>
      </c>
      <c r="G275" s="394" t="n">
        <v>1.848924</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4 nan dài 31.88m @ 0.058kg/m</t>
        </is>
      </c>
    </row>
    <row r="276">
      <c r="A276" t="inlineStr">
        <is>
          <t>SW-DIFF-276-ACCESSORY</t>
        </is>
      </c>
      <c r="B276" t="inlineStr">
        <is>
          <t>SW-DIFF-276</t>
        </is>
      </c>
      <c r="C276" t="inlineStr">
        <is>
          <t>Phụ kiện lắp ghép / Ke góc cửa gió</t>
        </is>
      </c>
      <c r="D276" t="inlineStr">
        <is>
          <t>PHỤ_KIỆN_CỬA</t>
        </is>
      </c>
      <c r="E276" t="inlineStr">
        <is>
          <t>MAT-DOOR-ACCESSORY</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4 ke góc chìm và vít ghép khung</t>
        </is>
      </c>
    </row>
    <row r="277">
      <c r="A277" t="inlineStr">
        <is>
          <t>SW-DIFF-276-PAINT</t>
        </is>
      </c>
      <c r="B277" t="inlineStr">
        <is>
          <t>SW-DIFF-276</t>
        </is>
      </c>
      <c r="C277" t="inlineStr">
        <is>
          <t>Sơn tĩnh điện tiêu chuẩn Polyester</t>
        </is>
      </c>
      <c r="D277" t="inlineStr">
        <is>
          <t>SƠN_TĨNH_ĐIỆN</t>
        </is>
      </c>
      <c r="E277" t="inlineStr">
        <is>
          <t>MAT-PAINT-POWDER</t>
        </is>
      </c>
      <c r="F277" t="inlineStr">
        <is>
          <t>m2</t>
        </is>
      </c>
      <c r="G277" s="394" t="n">
        <v>1.14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Diện tích phủ sơn 1.140m2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31"/>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394" t="n">
        <v>17.586198</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394" t="n">
        <v>11.20685625</v>
      </c>
      <c r="H3" s="390">
        <f>IFERROR(INDEX('00_TONG_HOP_BAO_GIA'!$G$1:$G$5000, MATCH(B3, '00_TONG_HOP_BAO_GIA'!$B$1:$B$5000, 0)), 1)</f>
        <v/>
      </c>
      <c r="I3" s="395">
        <f>G3*H3</f>
        <v/>
      </c>
      <c r="J3" s="390">
        <f>IFERROR(INDEX('06_BANG_GIA_VAT_TU_AP_DUNG'!$E$1:$E$5000, MATCH(E3, '06_BANG_GIA_VAT_TU_AP_DUNG'!$B$1:$B$5000, 0)), 0)</f>
        <v/>
      </c>
      <c r="K3" s="390">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394" t="n">
        <v>10.96</v>
      </c>
      <c r="H4" s="390">
        <f>IFERROR(INDEX('00_TONG_HOP_BAO_GIA'!$G$1:$G$5000, MATCH(B4, '00_TONG_HOP_BAO_GIA'!$B$1:$B$5000, 0)), 1)</f>
        <v/>
      </c>
      <c r="I4" s="395">
        <f>G4*H4</f>
        <v/>
      </c>
      <c r="J4" s="390">
        <f>IFERROR(INDEX('06_BANG_GIA_VAT_TU_AP_DUNG'!$E$1:$E$5000, MATCH(E4, '06_BANG_GIA_VAT_TU_AP_DUNG'!$B$1:$B$5000, 0)), 0)</f>
        <v/>
      </c>
      <c r="K4" s="390">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394" t="n">
        <v>16</v>
      </c>
      <c r="H5" s="390">
        <f>IFERROR(INDEX('00_TONG_HOP_BAO_GIA'!$G$1:$G$5000, MATCH(B5, '00_TONG_HOP_BAO_GIA'!$B$1:$B$5000, 0)), 1)</f>
        <v/>
      </c>
      <c r="I5" s="395">
        <f>G5*H5</f>
        <v/>
      </c>
      <c r="J5" s="390">
        <f>IFERROR(INDEX('06_BANG_GIA_VAT_TU_AP_DUNG'!$E$1:$E$5000, MATCH(E5, '06_BANG_GIA_VAT_TU_AP_DUNG'!$B$1:$B$5000, 0)), 0)</f>
        <v/>
      </c>
      <c r="K5" s="390">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394" t="n">
        <v>4</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394" t="n">
        <v>4</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SW-DAMPER-009-BODY</t>
        </is>
      </c>
      <c r="B8" t="inlineStr">
        <is>
          <t>SW-DAMPER-009</t>
        </is>
      </c>
      <c r="C8" t="inlineStr">
        <is>
          <t>Thân vỏ van NRD bích C30/TDF (0.95mm)</t>
        </is>
      </c>
      <c r="D8" t="inlineStr">
        <is>
          <t>TÔN_CUỘN_MẠ_KẼM</t>
        </is>
      </c>
      <c r="E8" t="inlineStr">
        <is>
          <t>MAT-STEEL-PN-0.95</t>
        </is>
      </c>
      <c r="F8" t="inlineStr">
        <is>
          <t>kg</t>
        </is>
      </c>
      <c r="G8" s="394" t="n">
        <v>12.8919294</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1700x600x210mm (2 modul 850x600mm)</t>
        </is>
      </c>
    </row>
    <row r="9">
      <c r="A9" t="inlineStr">
        <is>
          <t>SW-DAMPER-009-BLADE</t>
        </is>
      </c>
      <c r="B9" t="inlineStr">
        <is>
          <t>SW-DAMPER-009</t>
        </is>
      </c>
      <c r="C9" t="inlineStr">
        <is>
          <t>Lá cánh / Tôn tấm bọc van (8 cánh)</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8 cánh cao 170mm (2 modul 850x600mm)</t>
        </is>
      </c>
    </row>
    <row r="10">
      <c r="A10" t="inlineStr">
        <is>
          <t>SW-DAMPER-009-AXLE</t>
        </is>
      </c>
      <c r="B10" t="inlineStr">
        <is>
          <t>SW-DAMPER-009</t>
        </is>
      </c>
      <c r="C10" t="inlineStr">
        <is>
          <t>Trục Sus 201 D10</t>
        </is>
      </c>
      <c r="D10" t="inlineStr">
        <is>
          <t>PHỤ_KIỆN_VAN</t>
        </is>
      </c>
      <c r="E10" t="inlineStr">
        <is>
          <t>MAT-DAMPER-TRUC-SUS-201-D10</t>
        </is>
      </c>
      <c r="F10" t="inlineStr">
        <is>
          <t>m</t>
        </is>
      </c>
      <c r="G10" s="394" t="n">
        <v>7.28</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8 trục dài 910mm</t>
        </is>
      </c>
    </row>
    <row r="11">
      <c r="A11" t="inlineStr">
        <is>
          <t>SW-DAMPER-009-BEARING</t>
        </is>
      </c>
      <c r="B11" t="inlineStr">
        <is>
          <t>SW-DAMPER-009</t>
        </is>
      </c>
      <c r="C11" t="inlineStr">
        <is>
          <t>Bạc đồng D10</t>
        </is>
      </c>
      <c r="D11" t="inlineStr">
        <is>
          <t>PHỤ_KIỆN_VAN</t>
        </is>
      </c>
      <c r="E11" t="inlineStr">
        <is>
          <t>MAT-DAMPER-BAC-DONG-D10</t>
        </is>
      </c>
      <c r="F11" t="inlineStr">
        <is>
          <t>Đôi</t>
        </is>
      </c>
      <c r="G11" s="394" t="n">
        <v>8</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8 đôi bạc đỡ 2 bên thân</t>
        </is>
      </c>
    </row>
    <row r="12">
      <c r="A12" t="inlineStr">
        <is>
          <t>SW-DAMPER-009-GEAR</t>
        </is>
      </c>
      <c r="B12" t="inlineStr">
        <is>
          <t>SW-DAMPER-009</t>
        </is>
      </c>
      <c r="C12" t="inlineStr">
        <is>
          <t>Bánh răng van nhôm</t>
        </is>
      </c>
      <c r="D12" t="inlineStr">
        <is>
          <t>PHỤ_KIỆN_VAN</t>
        </is>
      </c>
      <c r="E12" t="inlineStr">
        <is>
          <t>MAT-DAMPER-BANH-RANG-VAN-NHOM</t>
        </is>
      </c>
      <c r="F12" t="inlineStr">
        <is>
          <t>Bộ</t>
        </is>
      </c>
      <c r="G12" s="394" t="n">
        <v>2</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cánh (2 bộ)</t>
        </is>
      </c>
    </row>
    <row r="13">
      <c r="A13" t="inlineStr">
        <is>
          <t>SW-DAMPER-009-ECCENTRIC</t>
        </is>
      </c>
      <c r="B13" t="inlineStr">
        <is>
          <t>SW-DAMPER-009</t>
        </is>
      </c>
      <c r="C13" t="inlineStr">
        <is>
          <t>Cơ cấu lệch tâm / Lò xo đóng mở (NRD)</t>
        </is>
      </c>
      <c r="D13" t="inlineStr">
        <is>
          <t>PHỤ_KIỆN_VAN</t>
        </is>
      </c>
      <c r="E13" t="inlineStr">
        <is>
          <t>ECCENTRIC_SHAFT</t>
        </is>
      </c>
      <c r="F13" t="inlineStr">
        <is>
          <t>Bộ</t>
        </is>
      </c>
      <c r="G13" s="394" t="n">
        <v>2</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SW-DAMPER-010-BODY</t>
        </is>
      </c>
      <c r="B14" t="inlineStr">
        <is>
          <t>SW-DAMPER-010</t>
        </is>
      </c>
      <c r="C14" t="inlineStr">
        <is>
          <t>Thân vỏ van NRD bích C30/TDF (0.75mm)</t>
        </is>
      </c>
      <c r="D14" t="inlineStr">
        <is>
          <t>TÔN_CUỘN_MẠ_KẼM</t>
        </is>
      </c>
      <c r="E14" t="inlineStr">
        <is>
          <t>MAT-STEEL-PN-0.75</t>
        </is>
      </c>
      <c r="F14" t="inlineStr">
        <is>
          <t>kg</t>
        </is>
      </c>
      <c r="G14" s="394" t="n">
        <v>6.715989</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1200x350x210mm (2 modul 600x350mm)</t>
        </is>
      </c>
    </row>
    <row r="15">
      <c r="A15" t="inlineStr">
        <is>
          <t>SW-DAMPER-010-BLADE</t>
        </is>
      </c>
      <c r="B15" t="inlineStr">
        <is>
          <t>SW-DAMPER-010</t>
        </is>
      </c>
      <c r="C15" t="inlineStr">
        <is>
          <t>Lá cánh / Tôn tấm bọc van (4 cánh)</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4 cánh cao 195mm (2 modul 600x350mm)</t>
        </is>
      </c>
    </row>
    <row r="16">
      <c r="A16" t="inlineStr">
        <is>
          <t>SW-DAMPER-010-AXLE</t>
        </is>
      </c>
      <c r="B16" t="inlineStr">
        <is>
          <t>SW-DAMPER-010</t>
        </is>
      </c>
      <c r="C16" t="inlineStr">
        <is>
          <t>Trục Sus 201 D10</t>
        </is>
      </c>
      <c r="D16" t="inlineStr">
        <is>
          <t>PHỤ_KIỆN_VAN</t>
        </is>
      </c>
      <c r="E16" t="inlineStr">
        <is>
          <t>MAT-DAMPER-TRUC-SUS-201-D10</t>
        </is>
      </c>
      <c r="F16" t="inlineStr">
        <is>
          <t>m</t>
        </is>
      </c>
      <c r="G16" s="394" t="n">
        <v>2.64</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trục dài 660mm</t>
        </is>
      </c>
    </row>
    <row r="17">
      <c r="A17" t="inlineStr">
        <is>
          <t>SW-DAMPER-010-BEARING</t>
        </is>
      </c>
      <c r="B17" t="inlineStr">
        <is>
          <t>SW-DAMPER-010</t>
        </is>
      </c>
      <c r="C17" t="inlineStr">
        <is>
          <t>Bạc đồng D10</t>
        </is>
      </c>
      <c r="D17" t="inlineStr">
        <is>
          <t>PHỤ_KIỆN_VAN</t>
        </is>
      </c>
      <c r="E17" t="inlineStr">
        <is>
          <t>MAT-DAMPER-BAC-DONG-D10</t>
        </is>
      </c>
      <c r="F17" t="inlineStr">
        <is>
          <t>Đôi</t>
        </is>
      </c>
      <c r="G17" s="394" t="n">
        <v>4</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4 đôi bạc đỡ 2 bên thân</t>
        </is>
      </c>
    </row>
    <row r="18">
      <c r="A18" t="inlineStr">
        <is>
          <t>SW-DAMPER-010-GEAR</t>
        </is>
      </c>
      <c r="B18" t="inlineStr">
        <is>
          <t>SW-DAMPER-010</t>
        </is>
      </c>
      <c r="C18" t="inlineStr">
        <is>
          <t>Bánh răng van nhôm</t>
        </is>
      </c>
      <c r="D18" t="inlineStr">
        <is>
          <t>PHỤ_KIỆN_VAN</t>
        </is>
      </c>
      <c r="E18" t="inlineStr">
        <is>
          <t>MAT-DAMPER-BANH-RANG-VAN-NHOM</t>
        </is>
      </c>
      <c r="F18" t="inlineStr">
        <is>
          <t>Bộ</t>
        </is>
      </c>
      <c r="G18" s="394" t="n">
        <v>2</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cánh (2 bộ)</t>
        </is>
      </c>
    </row>
    <row r="19">
      <c r="A19" t="inlineStr">
        <is>
          <t>SW-DAMPER-010-ECCENTRIC</t>
        </is>
      </c>
      <c r="B19" t="inlineStr">
        <is>
          <t>SW-DAMPER-010</t>
        </is>
      </c>
      <c r="C19" t="inlineStr">
        <is>
          <t>Cơ cấu lệch tâm / Lò xo đóng mở (NRD)</t>
        </is>
      </c>
      <c r="D19" t="inlineStr">
        <is>
          <t>PHỤ_KIỆN_VAN</t>
        </is>
      </c>
      <c r="E19" t="inlineStr">
        <is>
          <t>ECCENTRIC_SHAFT</t>
        </is>
      </c>
      <c r="F19" t="inlineStr">
        <is>
          <t>Bộ</t>
        </is>
      </c>
      <c r="G19" s="394" t="n">
        <v>2</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SW-DAMPER-011-BODY</t>
        </is>
      </c>
      <c r="B20" t="inlineStr">
        <is>
          <t>SW-DAMPER-011</t>
        </is>
      </c>
      <c r="C20" t="inlineStr">
        <is>
          <t>Thân vỏ van MFD bích C30/TDF (1.15mm)</t>
        </is>
      </c>
      <c r="D20" t="inlineStr">
        <is>
          <t>TÔN_CUỘN_MẠ_KẼM</t>
        </is>
      </c>
      <c r="E20" t="inlineStr">
        <is>
          <t>MAT-STEEL-PN-1.15</t>
        </is>
      </c>
      <c r="F20" t="inlineStr">
        <is>
          <t>kg</t>
        </is>
      </c>
      <c r="G20" s="394" t="n">
        <v>26.0024499</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1250x1250x200mm (4 modul 625x625mm)</t>
        </is>
      </c>
    </row>
    <row r="21">
      <c r="A21" t="inlineStr">
        <is>
          <t>SW-DAMPER-011-BLADE</t>
        </is>
      </c>
      <c r="B21" t="inlineStr">
        <is>
          <t>SW-DAMPER-011</t>
        </is>
      </c>
      <c r="C21" t="inlineStr">
        <is>
          <t>Lá cánh / Tôn tấm bọc van (16 cánh)</t>
        </is>
      </c>
      <c r="D21" t="inlineStr">
        <is>
          <t>TÔN_CUỘN_MẠ_KẼM</t>
        </is>
      </c>
      <c r="E21" t="inlineStr">
        <is>
          <t>MAT-STEEL-PN-1.15</t>
        </is>
      </c>
      <c r="F21" t="inlineStr">
        <is>
          <t>kg</t>
        </is>
      </c>
      <c r="G21" s="394" t="n">
        <v>28.21093749999999</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Tôn bọc cánh &amp; thân (4 cánh/modul (4 modul 625x625mm))</t>
        </is>
      </c>
    </row>
    <row r="22">
      <c r="A22" t="inlineStr">
        <is>
          <t>SW-DAMPER-011-AXLE</t>
        </is>
      </c>
      <c r="B22" t="inlineStr">
        <is>
          <t>SW-DAMPER-011</t>
        </is>
      </c>
      <c r="C22" t="inlineStr">
        <is>
          <t>Trục Sus 201 D10</t>
        </is>
      </c>
      <c r="D22" t="inlineStr">
        <is>
          <t>PHỤ_KIỆN_VAN</t>
        </is>
      </c>
      <c r="E22" t="inlineStr">
        <is>
          <t>MAT-DAMPER-TRUC-SUS-201-D10</t>
        </is>
      </c>
      <c r="F22" t="inlineStr">
        <is>
          <t>m</t>
        </is>
      </c>
      <c r="G22" s="394" t="n">
        <v>10.96</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16 trục dài 685mm</t>
        </is>
      </c>
    </row>
    <row r="23">
      <c r="A23" t="inlineStr">
        <is>
          <t>SW-DAMPER-011-BEARING</t>
        </is>
      </c>
      <c r="B23" t="inlineStr">
        <is>
          <t>SW-DAMPER-011</t>
        </is>
      </c>
      <c r="C23" t="inlineStr">
        <is>
          <t>Bạc đồng D10</t>
        </is>
      </c>
      <c r="D23" t="inlineStr">
        <is>
          <t>PHỤ_KIỆN_VAN</t>
        </is>
      </c>
      <c r="E23" t="inlineStr">
        <is>
          <t>MAT-DAMPER-BAC-DONG-D10</t>
        </is>
      </c>
      <c r="F23" t="inlineStr">
        <is>
          <t>Đôi</t>
        </is>
      </c>
      <c r="G23" s="394" t="n">
        <v>16</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16 đôi bạc đỡ 2 bên thân</t>
        </is>
      </c>
    </row>
    <row r="24">
      <c r="A24" t="inlineStr">
        <is>
          <t>SW-DAMPER-011-GEAR</t>
        </is>
      </c>
      <c r="B24" t="inlineStr">
        <is>
          <t>SW-DAMPER-011</t>
        </is>
      </c>
      <c r="C24" t="inlineStr">
        <is>
          <t>Bánh răng van nhôm</t>
        </is>
      </c>
      <c r="D24" t="inlineStr">
        <is>
          <t>PHỤ_KIỆN_VAN</t>
        </is>
      </c>
      <c r="E24" t="inlineStr">
        <is>
          <t>MAT-DAMPER-BANH-RANG-VAN-NHOM</t>
        </is>
      </c>
      <c r="F24" t="inlineStr">
        <is>
          <t>Bộ</t>
        </is>
      </c>
      <c r="G24" s="394" t="n">
        <v>4</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cánh (4 bộ)</t>
        </is>
      </c>
    </row>
    <row r="25">
      <c r="A25" t="inlineStr">
        <is>
          <t>SW-DAMPER-011-ACTUATOR</t>
        </is>
      </c>
      <c r="B25" t="inlineStr">
        <is>
          <t>SW-DAMPER-011</t>
        </is>
      </c>
      <c r="C25" t="inlineStr">
        <is>
          <t>Động cơ chặn lửa ON/OFF 9Nm, 230V/24V (BELIMO BFN24 / BFN230)</t>
        </is>
      </c>
      <c r="D25" t="inlineStr">
        <is>
          <t>ĐỘNG_CƠ_VÀ_CẢM_BIẾN</t>
        </is>
      </c>
      <c r="E25" t="inlineStr">
        <is>
          <t>MAT-ACTUATOR-BELIMO-BFN24</t>
        </is>
      </c>
      <c r="F25" t="inlineStr">
        <is>
          <t>Cái</t>
        </is>
      </c>
      <c r="G25" s="394" t="n">
        <v>4</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Động cơ lò xo phản hồi MFD (4 bộ (4 modul 625x625mm))</t>
        </is>
      </c>
    </row>
    <row r="26">
      <c r="A26" t="inlineStr">
        <is>
          <t>SW-DAMPER-011-FB10-BODY</t>
        </is>
      </c>
      <c r="B26" t="inlineStr">
        <is>
          <t>SW-DAMPER-011</t>
        </is>
      </c>
      <c r="C26" t="inlineStr">
        <is>
          <t>Tấm chống cháy dày 10mm bọc thân van FD/MFD (2 lớp)</t>
        </is>
      </c>
      <c r="D26" t="inlineStr">
        <is>
          <t>VẬT_LIỆU_CÁCH_NHIỆT</t>
        </is>
      </c>
      <c r="E26" t="inlineStr">
        <is>
          <t>MAT-FIREBOARD-10MM-BODY</t>
        </is>
      </c>
      <c r="F26" t="inlineStr">
        <is>
          <t>m2</t>
        </is>
      </c>
      <c r="G26" s="394" t="n">
        <v>6</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Bọc 2 lớp tấm 10mm quanh thân L=300mm (4 modul 625x625mm)</t>
        </is>
      </c>
    </row>
    <row r="27">
      <c r="A27" t="inlineStr">
        <is>
          <t>SW-DAMPER-011-FB20-BLADE</t>
        </is>
      </c>
      <c r="B27" t="inlineStr">
        <is>
          <t>SW-DAMPER-011</t>
        </is>
      </c>
      <c r="C27" t="inlineStr">
        <is>
          <t>Tấm chống cháy dày 20mm làm lõi cánh van FD/MFD</t>
        </is>
      </c>
      <c r="D27" t="inlineStr">
        <is>
          <t>VẬT_LIỆU_CÁCH_NHIỆT</t>
        </is>
      </c>
      <c r="E27" t="inlineStr">
        <is>
          <t>MAT-FIREBOARD-20MM-BLADE</t>
        </is>
      </c>
      <c r="F27" t="inlineStr">
        <is>
          <t>m2</t>
        </is>
      </c>
      <c r="G27" s="394" t="n">
        <v>2.326123489932886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Lõi cánh tấm 20mm (Đa cánh hệ số (H-5)/149=4.16, bản rộng 210mm, hao hụt 10% (4 modul 625x625mm))</t>
        </is>
      </c>
    </row>
    <row r="28">
      <c r="A28" t="inlineStr">
        <is>
          <t>SW-DAMPER-011-FB10-BLADE</t>
        </is>
      </c>
      <c r="B28" t="inlineStr">
        <is>
          <t>SW-DAMPER-011</t>
        </is>
      </c>
      <c r="C28" t="inlineStr">
        <is>
          <t>Tấm chống cháy dày 10mm ốp 2 mặt cánh van FD/MFD</t>
        </is>
      </c>
      <c r="D28" t="inlineStr">
        <is>
          <t>VẬT_LIỆU_CÁCH_NHIỆT</t>
        </is>
      </c>
      <c r="E28" t="inlineStr">
        <is>
          <t>MAT-FIREBOARD-10MM-BLADE</t>
        </is>
      </c>
      <c r="F28" t="inlineStr">
        <is>
          <t>m2</t>
        </is>
      </c>
      <c r="G28" s="394" t="n">
        <v>4.806040268456377</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Ốp 2 mặt cánh tấm 10mm (Đa cánh hệ số (H-5)/149=4.16, bản rộng 210mm, hao hụt 10% (4 modul 625x625mm))</t>
        </is>
      </c>
    </row>
    <row r="29">
      <c r="A29" t="inlineStr">
        <is>
          <t>SW-DAMPER-011-SPRING-BOX</t>
        </is>
      </c>
      <c r="B29" t="inlineStr">
        <is>
          <t>SW-DAMPER-011</t>
        </is>
      </c>
      <c r="C29" t="inlineStr">
        <is>
          <t>Hộp lò xo van chặn lửa FD/MFD</t>
        </is>
      </c>
      <c r="D29" t="inlineStr">
        <is>
          <t>PHỤ_KIỆN_VAN</t>
        </is>
      </c>
      <c r="E29" t="inlineStr">
        <is>
          <t>MAT-DAMPER-HOP-LO-XO</t>
        </is>
      </c>
      <c r="F29" t="inlineStr">
        <is>
          <t>Bộ</t>
        </is>
      </c>
      <c r="G29" s="394" t="n">
        <v>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Hộp lò xo cơ cấu đóng sập (4 bộ)</t>
        </is>
      </c>
    </row>
    <row r="30">
      <c r="A30" t="inlineStr">
        <is>
          <t>SW-DAMPER-011-SILICON-BOLT</t>
        </is>
      </c>
      <c r="B30" t="inlineStr">
        <is>
          <t>SW-DAMPER-011</t>
        </is>
      </c>
      <c r="C30" t="inlineStr">
        <is>
          <t>Silicon chống cháy + bu lông, ốc vít van FD/MFD</t>
        </is>
      </c>
      <c r="D30" t="inlineStr">
        <is>
          <t>PHỤ_KIỆN_VAN</t>
        </is>
      </c>
      <c r="E30" t="inlineStr">
        <is>
          <t>MAT-DAMPER-SILICON-BULONG-VIT</t>
        </is>
      </c>
      <c r="F30" t="inlineStr">
        <is>
          <t>Bộ</t>
        </is>
      </c>
      <c r="G30" s="394" t="n">
        <v>4</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Keo silicon chống cháy &amp; phụ kiện lắp ghép (4 bộ)</t>
        </is>
      </c>
    </row>
    <row r="31">
      <c r="A31" t="inlineStr">
        <is>
          <t>SW-DAMPER-012-BODY</t>
        </is>
      </c>
      <c r="B31" t="inlineStr">
        <is>
          <t>SW-DAMPER-012</t>
        </is>
      </c>
      <c r="C31" t="inlineStr">
        <is>
          <t>Thân vỏ van MFD bích C30/TDF (1.15mm)</t>
        </is>
      </c>
      <c r="D31" t="inlineStr">
        <is>
          <t>TÔN_CUỘN_MẠ_KẼM</t>
        </is>
      </c>
      <c r="E31" t="inlineStr">
        <is>
          <t>MAT-STEEL-PN-1.15</t>
        </is>
      </c>
      <c r="F31" t="inlineStr">
        <is>
          <t>kg</t>
        </is>
      </c>
      <c r="G31" s="394" t="n">
        <v>15.04866195</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Kích thước vỏ 1700x600x200mm (2 modul 850x600mm)</t>
        </is>
      </c>
    </row>
    <row r="32">
      <c r="A32" t="inlineStr">
        <is>
          <t>SW-DAMPER-012-BLADE</t>
        </is>
      </c>
      <c r="B32" t="inlineStr">
        <is>
          <t>SW-DAMPER-012</t>
        </is>
      </c>
      <c r="C32" t="inlineStr">
        <is>
          <t>Lá cánh / Tôn tấm bọc van (8 cánh)</t>
        </is>
      </c>
      <c r="D32" t="inlineStr">
        <is>
          <t>TÔN_CUỘN_MẠ_KẼM</t>
        </is>
      </c>
      <c r="E32" t="inlineStr">
        <is>
          <t>MAT-STEEL-PN-1.15</t>
        </is>
      </c>
      <c r="F32" t="inlineStr">
        <is>
          <t>kg</t>
        </is>
      </c>
      <c r="G32" s="394" t="n">
        <v>18.4161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Tôn bọc cánh &amp; thân (4 cánh/modul (2 modul 850x600mm))</t>
        </is>
      </c>
    </row>
    <row r="33">
      <c r="A33" t="inlineStr">
        <is>
          <t>SW-DAMPER-012-AXLE</t>
        </is>
      </c>
      <c r="B33" t="inlineStr">
        <is>
          <t>SW-DAMPER-012</t>
        </is>
      </c>
      <c r="C33" t="inlineStr">
        <is>
          <t>Trục Sus 201 D10</t>
        </is>
      </c>
      <c r="D33" t="inlineStr">
        <is>
          <t>PHỤ_KIỆN_VAN</t>
        </is>
      </c>
      <c r="E33" t="inlineStr">
        <is>
          <t>MAT-DAMPER-TRUC-SUS-201-D10</t>
        </is>
      </c>
      <c r="F33" t="inlineStr">
        <is>
          <t>m</t>
        </is>
      </c>
      <c r="G33" s="394" t="n">
        <v>7.28</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8 trục dài 910mm</t>
        </is>
      </c>
    </row>
    <row r="34">
      <c r="A34" t="inlineStr">
        <is>
          <t>SW-DAMPER-012-BEARING</t>
        </is>
      </c>
      <c r="B34" t="inlineStr">
        <is>
          <t>SW-DAMPER-012</t>
        </is>
      </c>
      <c r="C34" t="inlineStr">
        <is>
          <t>Bạc đồng D10</t>
        </is>
      </c>
      <c r="D34" t="inlineStr">
        <is>
          <t>PHỤ_KIỆN_VAN</t>
        </is>
      </c>
      <c r="E34" t="inlineStr">
        <is>
          <t>MAT-DAMPER-BAC-DONG-D10</t>
        </is>
      </c>
      <c r="F34" t="inlineStr">
        <is>
          <t>Đôi</t>
        </is>
      </c>
      <c r="G34" s="394" t="n">
        <v>8</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8 đôi bạc đỡ 2 bên thân</t>
        </is>
      </c>
    </row>
    <row r="35">
      <c r="A35" t="inlineStr">
        <is>
          <t>SW-DAMPER-012-GEAR</t>
        </is>
      </c>
      <c r="B35" t="inlineStr">
        <is>
          <t>SW-DAMPER-012</t>
        </is>
      </c>
      <c r="C35" t="inlineStr">
        <is>
          <t>Bánh răng van nhôm</t>
        </is>
      </c>
      <c r="D35" t="inlineStr">
        <is>
          <t>PHỤ_KIỆN_VAN</t>
        </is>
      </c>
      <c r="E35" t="inlineStr">
        <is>
          <t>MAT-DAMPER-BANH-RANG-VAN-NHOM</t>
        </is>
      </c>
      <c r="F35" t="inlineStr">
        <is>
          <t>Bộ</t>
        </is>
      </c>
      <c r="G35" s="394" t="n">
        <v>2</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Cơ cấu liên động cánh (2 bộ)</t>
        </is>
      </c>
    </row>
    <row r="36">
      <c r="A36" t="inlineStr">
        <is>
          <t>SW-DAMPER-012-ACTUATOR</t>
        </is>
      </c>
      <c r="B36" t="inlineStr">
        <is>
          <t>SW-DAMPER-012</t>
        </is>
      </c>
      <c r="C36" t="inlineStr">
        <is>
          <t>Động cơ chặn lửa ON/OFF 9Nm, 230V/24V (BELIMO BFN24 / BFN230)</t>
        </is>
      </c>
      <c r="D36" t="inlineStr">
        <is>
          <t>ĐỘNG_CƠ_VÀ_CẢM_BIẾN</t>
        </is>
      </c>
      <c r="E36" t="inlineStr">
        <is>
          <t>MAT-ACTUATOR-BELIMO-BFN24</t>
        </is>
      </c>
      <c r="F36" t="inlineStr">
        <is>
          <t>Cái</t>
        </is>
      </c>
      <c r="G36" s="394" t="n">
        <v>2</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Động cơ lò xo phản hồi MFD (2 bộ (2 modul 850x600mm))</t>
        </is>
      </c>
    </row>
    <row r="37">
      <c r="A37" t="inlineStr">
        <is>
          <t>SW-DAMPER-012-FB10-BODY</t>
        </is>
      </c>
      <c r="B37" t="inlineStr">
        <is>
          <t>SW-DAMPER-012</t>
        </is>
      </c>
      <c r="C37" t="inlineStr">
        <is>
          <t>Tấm chống cháy dày 10mm bọc thân van FD/MFD (2 lớp)</t>
        </is>
      </c>
      <c r="D37" t="inlineStr">
        <is>
          <t>VẬT_LIỆU_CÁCH_NHIỆT</t>
        </is>
      </c>
      <c r="E37" t="inlineStr">
        <is>
          <t>MAT-FIREBOARD-10MM-BODY</t>
        </is>
      </c>
      <c r="F37" t="inlineStr">
        <is>
          <t>m2</t>
        </is>
      </c>
      <c r="G37" s="394" t="n">
        <v>3.48</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Bọc 2 lớp tấm 10mm quanh thân L=300mm (2 modul 850x600mm)</t>
        </is>
      </c>
    </row>
    <row r="38">
      <c r="A38" t="inlineStr">
        <is>
          <t>SW-DAMPER-012-FB20-BLADE</t>
        </is>
      </c>
      <c r="B38" t="inlineStr">
        <is>
          <t>SW-DAMPER-012</t>
        </is>
      </c>
      <c r="C38" t="inlineStr">
        <is>
          <t>Tấm chống cháy dày 20mm làm lõi cánh van FD/MFD</t>
        </is>
      </c>
      <c r="D38" t="inlineStr">
        <is>
          <t>VẬT_LIỆU_CÁCH_NHIỆT</t>
        </is>
      </c>
      <c r="E38" t="inlineStr">
        <is>
          <t>MAT-FIREBOARD-20MM-BLADE</t>
        </is>
      </c>
      <c r="F38" t="inlineStr">
        <is>
          <t>m2</t>
        </is>
      </c>
      <c r="G38" s="394" t="n">
        <v>1.53126644295302</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Lõi cánh tấm 20mm (Đa cánh hệ số (H-5)/149=3.99, bản rộng 210mm, hao hụt 10% (2 modul 850x600mm))</t>
        </is>
      </c>
    </row>
    <row r="39">
      <c r="A39" t="inlineStr">
        <is>
          <t>SW-DAMPER-012-FB10-BLADE</t>
        </is>
      </c>
      <c r="B39" t="inlineStr">
        <is>
          <t>SW-DAMPER-012</t>
        </is>
      </c>
      <c r="C39" t="inlineStr">
        <is>
          <t>Tấm chống cháy dày 10mm ốp 2 mặt cánh van FD/MFD</t>
        </is>
      </c>
      <c r="D39" t="inlineStr">
        <is>
          <t>VẬT_LIỆU_CÁCH_NHIỆT</t>
        </is>
      </c>
      <c r="E39" t="inlineStr">
        <is>
          <t>MAT-FIREBOARD-10MM-BLADE</t>
        </is>
      </c>
      <c r="F39" t="inlineStr">
        <is>
          <t>m2</t>
        </is>
      </c>
      <c r="G39" s="394" t="n">
        <v>3.136328859060403</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Ốp 2 mặt cánh tấm 10mm (Đa cánh hệ số (H-5)/149=3.99, bản rộng 210mm, hao hụt 10% (2 modul 850x600mm))</t>
        </is>
      </c>
    </row>
    <row r="40">
      <c r="A40" t="inlineStr">
        <is>
          <t>SW-DAMPER-012-SPRING-BOX</t>
        </is>
      </c>
      <c r="B40" t="inlineStr">
        <is>
          <t>SW-DAMPER-012</t>
        </is>
      </c>
      <c r="C40" t="inlineStr">
        <is>
          <t>Hộp lò xo van chặn lửa FD/MFD</t>
        </is>
      </c>
      <c r="D40" t="inlineStr">
        <is>
          <t>PHỤ_KIỆN_VAN</t>
        </is>
      </c>
      <c r="E40" t="inlineStr">
        <is>
          <t>MAT-DAMPER-HOP-LO-XO</t>
        </is>
      </c>
      <c r="F40" t="inlineStr">
        <is>
          <t>Bộ</t>
        </is>
      </c>
      <c r="G40" s="394" t="n">
        <v>2</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Hộp lò xo cơ cấu đóng sập (2 bộ)</t>
        </is>
      </c>
    </row>
    <row r="41">
      <c r="A41" t="inlineStr">
        <is>
          <t>SW-DAMPER-012-SILICON-BOLT</t>
        </is>
      </c>
      <c r="B41" t="inlineStr">
        <is>
          <t>SW-DAMPER-012</t>
        </is>
      </c>
      <c r="C41" t="inlineStr">
        <is>
          <t>Silicon chống cháy + bu lông, ốc vít van FD/MFD</t>
        </is>
      </c>
      <c r="D41" t="inlineStr">
        <is>
          <t>PHỤ_KIỆN_VAN</t>
        </is>
      </c>
      <c r="E41" t="inlineStr">
        <is>
          <t>MAT-DAMPER-SILICON-BULONG-VIT</t>
        </is>
      </c>
      <c r="F41" t="inlineStr">
        <is>
          <t>Bộ</t>
        </is>
      </c>
      <c r="G41" s="394" t="n">
        <v>2</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Keo silicon chống cháy &amp; phụ kiện lắp ghép (2 bộ)</t>
        </is>
      </c>
    </row>
    <row r="42">
      <c r="A42" t="inlineStr">
        <is>
          <t>SW-DAMPER-013-BODY</t>
        </is>
      </c>
      <c r="B42" t="inlineStr">
        <is>
          <t>SW-DAMPER-013</t>
        </is>
      </c>
      <c r="C42" t="inlineStr">
        <is>
          <t>Thân vỏ van MFD bích C30/TDF (1.15mm)</t>
        </is>
      </c>
      <c r="D42" t="inlineStr">
        <is>
          <t>TÔN_CUỘN_MẠ_KẼM</t>
        </is>
      </c>
      <c r="E42" t="inlineStr">
        <is>
          <t>MAT-STEEL-PN-1.15</t>
        </is>
      </c>
      <c r="F42" t="inlineStr">
        <is>
          <t>kg</t>
        </is>
      </c>
      <c r="G42" s="394" t="n">
        <v>9.93006945</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Kích thước vỏ 1200x350x200mm (2 modul 600x350mm)</t>
        </is>
      </c>
    </row>
    <row r="43">
      <c r="A43" t="inlineStr">
        <is>
          <t>SW-DAMPER-013-BLADE</t>
        </is>
      </c>
      <c r="B43" t="inlineStr">
        <is>
          <t>SW-DAMPER-013</t>
        </is>
      </c>
      <c r="C43" t="inlineStr">
        <is>
          <t>Lá cánh / Tôn tấm bọc van (4 cánh)</t>
        </is>
      </c>
      <c r="D43" t="inlineStr">
        <is>
          <t>TÔN_CUỘN_MẠ_KẼM</t>
        </is>
      </c>
      <c r="E43" t="inlineStr">
        <is>
          <t>MAT-STEEL-PN-1.15</t>
        </is>
      </c>
      <c r="F43" t="inlineStr">
        <is>
          <t>kg</t>
        </is>
      </c>
      <c r="G43" s="394" t="n">
        <v>7.583099999999998</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Tôn bọc cánh &amp; thân (2 cánh/modul (2 modul 600x350mm))</t>
        </is>
      </c>
    </row>
    <row r="44">
      <c r="A44" t="inlineStr">
        <is>
          <t>SW-DAMPER-013-AXLE</t>
        </is>
      </c>
      <c r="B44" t="inlineStr">
        <is>
          <t>SW-DAMPER-013</t>
        </is>
      </c>
      <c r="C44" t="inlineStr">
        <is>
          <t>Trục Sus 201 D10</t>
        </is>
      </c>
      <c r="D44" t="inlineStr">
        <is>
          <t>PHỤ_KIỆN_VAN</t>
        </is>
      </c>
      <c r="E44" t="inlineStr">
        <is>
          <t>MAT-DAMPER-TRUC-SUS-201-D10</t>
        </is>
      </c>
      <c r="F44" t="inlineStr">
        <is>
          <t>m</t>
        </is>
      </c>
      <c r="G44" s="394" t="n">
        <v>2.64</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trục dài 660mm</t>
        </is>
      </c>
    </row>
    <row r="45">
      <c r="A45" t="inlineStr">
        <is>
          <t>SW-DAMPER-013-BEARING</t>
        </is>
      </c>
      <c r="B45" t="inlineStr">
        <is>
          <t>SW-DAMPER-013</t>
        </is>
      </c>
      <c r="C45" t="inlineStr">
        <is>
          <t>Bạc đồng D10</t>
        </is>
      </c>
      <c r="D45" t="inlineStr">
        <is>
          <t>PHỤ_KIỆN_VAN</t>
        </is>
      </c>
      <c r="E45" t="inlineStr">
        <is>
          <t>MAT-DAMPER-BAC-DONG-D10</t>
        </is>
      </c>
      <c r="F45" t="inlineStr">
        <is>
          <t>Đôi</t>
        </is>
      </c>
      <c r="G45" s="394" t="n">
        <v>4</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4 đôi bạc đỡ 2 bên thân</t>
        </is>
      </c>
    </row>
    <row r="46">
      <c r="A46" t="inlineStr">
        <is>
          <t>SW-DAMPER-013-GEAR</t>
        </is>
      </c>
      <c r="B46" t="inlineStr">
        <is>
          <t>SW-DAMPER-013</t>
        </is>
      </c>
      <c r="C46" t="inlineStr">
        <is>
          <t>Bánh răng van nhôm</t>
        </is>
      </c>
      <c r="D46" t="inlineStr">
        <is>
          <t>PHỤ_KIỆN_VAN</t>
        </is>
      </c>
      <c r="E46" t="inlineStr">
        <is>
          <t>MAT-DAMPER-BANH-RANG-VAN-NHOM</t>
        </is>
      </c>
      <c r="F46" t="inlineStr">
        <is>
          <t>Bộ</t>
        </is>
      </c>
      <c r="G46" s="394" t="n">
        <v>2</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Cơ cấu liên động cánh (2 bộ)</t>
        </is>
      </c>
    </row>
    <row r="47">
      <c r="A47" t="inlineStr">
        <is>
          <t>SW-DAMPER-013-ACTUATOR</t>
        </is>
      </c>
      <c r="B47" t="inlineStr">
        <is>
          <t>SW-DAMPER-013</t>
        </is>
      </c>
      <c r="C47" t="inlineStr">
        <is>
          <t>Động cơ chặn lửa ON/OFF 9Nm, 230V/24V (BELIMO BFN24 / BFN230)</t>
        </is>
      </c>
      <c r="D47" t="inlineStr">
        <is>
          <t>ĐỘNG_CƠ_VÀ_CẢM_BIẾN</t>
        </is>
      </c>
      <c r="E47" t="inlineStr">
        <is>
          <t>MAT-ACTUATOR-BELIMO-BFN24</t>
        </is>
      </c>
      <c r="F47" t="inlineStr">
        <is>
          <t>Cái</t>
        </is>
      </c>
      <c r="G47" s="394" t="n">
        <v>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Động cơ lò xo phản hồi MFD (2 bộ (2 modul 600x350mm))</t>
        </is>
      </c>
    </row>
    <row r="48">
      <c r="A48" t="inlineStr">
        <is>
          <t>SW-DAMPER-013-FB10-BODY</t>
        </is>
      </c>
      <c r="B48" t="inlineStr">
        <is>
          <t>SW-DAMPER-013</t>
        </is>
      </c>
      <c r="C48" t="inlineStr">
        <is>
          <t>Tấm chống cháy dày 10mm bọc thân van FD/MFD (2 lớp)</t>
        </is>
      </c>
      <c r="D48" t="inlineStr">
        <is>
          <t>VẬT_LIỆU_CÁCH_NHIỆT</t>
        </is>
      </c>
      <c r="E48" t="inlineStr">
        <is>
          <t>MAT-FIREBOARD-10MM-BODY</t>
        </is>
      </c>
      <c r="F48" t="inlineStr">
        <is>
          <t>m2</t>
        </is>
      </c>
      <c r="G48" s="394" t="n">
        <v>2.28</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Bọc 2 lớp tấm 10mm quanh thân L=300mm (2 modul 600x350mm)</t>
        </is>
      </c>
    </row>
    <row r="49">
      <c r="A49" t="inlineStr">
        <is>
          <t>SW-DAMPER-013-FB20-BLADE</t>
        </is>
      </c>
      <c r="B49" t="inlineStr">
        <is>
          <t>SW-DAMPER-013</t>
        </is>
      </c>
      <c r="C49" t="inlineStr">
        <is>
          <t>Tấm chống cháy dày 20mm làm lõi cánh van FD/MFD</t>
        </is>
      </c>
      <c r="D49" t="inlineStr">
        <is>
          <t>VẬT_LIỆU_CÁCH_NHIỆT</t>
        </is>
      </c>
      <c r="E49" t="inlineStr">
        <is>
          <t>MAT-FIREBOARD-20MM-BLADE</t>
        </is>
      </c>
      <c r="F49" t="inlineStr">
        <is>
          <t>m2</t>
        </is>
      </c>
      <c r="G49" s="394" t="n">
        <v>0.6204442953020134</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Lõi cánh tấm 20mm (Đa cánh hệ số (H-5)/149=2.32, bản rộng 210mm, hao hụt 10% (2 modul 600x350mm))</t>
        </is>
      </c>
    </row>
    <row r="50">
      <c r="A50" t="inlineStr">
        <is>
          <t>SW-DAMPER-013-FB10-BLADE</t>
        </is>
      </c>
      <c r="B50" t="inlineStr">
        <is>
          <t>SW-DAMPER-013</t>
        </is>
      </c>
      <c r="C50" t="inlineStr">
        <is>
          <t>Tấm chống cháy dày 10mm ốp 2 mặt cánh van FD/MFD</t>
        </is>
      </c>
      <c r="D50" t="inlineStr">
        <is>
          <t>VẬT_LIỆU_CÁCH_NHIỆT</t>
        </is>
      </c>
      <c r="E50" t="inlineStr">
        <is>
          <t>MAT-FIREBOARD-10MM-BLADE</t>
        </is>
      </c>
      <c r="F50" t="inlineStr">
        <is>
          <t>m2</t>
        </is>
      </c>
      <c r="G50" s="394" t="n">
        <v>1.283677852348993</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Ốp 2 mặt cánh tấm 10mm (Đa cánh hệ số (H-5)/149=2.32, bản rộng 210mm, hao hụt 10% (2 modul 600x350mm))</t>
        </is>
      </c>
    </row>
    <row r="51">
      <c r="A51" t="inlineStr">
        <is>
          <t>SW-DAMPER-013-SPRING-BOX</t>
        </is>
      </c>
      <c r="B51" t="inlineStr">
        <is>
          <t>SW-DAMPER-013</t>
        </is>
      </c>
      <c r="C51" t="inlineStr">
        <is>
          <t>Hộp lò xo van chặn lửa FD/MFD</t>
        </is>
      </c>
      <c r="D51" t="inlineStr">
        <is>
          <t>PHỤ_KIỆN_VAN</t>
        </is>
      </c>
      <c r="E51" t="inlineStr">
        <is>
          <t>MAT-DAMPER-HOP-LO-XO</t>
        </is>
      </c>
      <c r="F51" t="inlineStr">
        <is>
          <t>Bộ</t>
        </is>
      </c>
      <c r="G51" s="394" t="n">
        <v>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Hộp lò xo cơ cấu đóng sập (2 bộ)</t>
        </is>
      </c>
    </row>
    <row r="52">
      <c r="A52" t="inlineStr">
        <is>
          <t>SW-DAMPER-013-SILICON-BOLT</t>
        </is>
      </c>
      <c r="B52" t="inlineStr">
        <is>
          <t>SW-DAMPER-013</t>
        </is>
      </c>
      <c r="C52" t="inlineStr">
        <is>
          <t>Silicon chống cháy + bu lông, ốc vít van FD/MFD</t>
        </is>
      </c>
      <c r="D52" t="inlineStr">
        <is>
          <t>PHỤ_KIỆN_VAN</t>
        </is>
      </c>
      <c r="E52" t="inlineStr">
        <is>
          <t>MAT-DAMPER-SILICON-BULONG-VIT</t>
        </is>
      </c>
      <c r="F52" t="inlineStr">
        <is>
          <t>Bộ</t>
        </is>
      </c>
      <c r="G52" s="394" t="n">
        <v>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Keo silicon chống cháy &amp; phụ kiện lắp ghép (2 bộ)</t>
        </is>
      </c>
    </row>
    <row r="53">
      <c r="A53" t="inlineStr">
        <is>
          <t>SW-DAMPER-014-BODY</t>
        </is>
      </c>
      <c r="B53" t="inlineStr">
        <is>
          <t>SW-DAMPER-014</t>
        </is>
      </c>
      <c r="C53" t="inlineStr">
        <is>
          <t>Thân vỏ van MFD bích C30/TDF (1.15mm)</t>
        </is>
      </c>
      <c r="D53" t="inlineStr">
        <is>
          <t>TÔN_CUỘN_MẠ_KẼM</t>
        </is>
      </c>
      <c r="E53" t="inlineStr">
        <is>
          <t>MAT-STEEL-PN-1.15</t>
        </is>
      </c>
      <c r="F53" t="inlineStr">
        <is>
          <t>kg</t>
        </is>
      </c>
      <c r="G53" s="394" t="n">
        <v>7.012471725</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Kích thước vỏ 950x400x200mm</t>
        </is>
      </c>
    </row>
    <row r="54">
      <c r="A54" t="inlineStr">
        <is>
          <t>SW-DAMPER-014-BLADE</t>
        </is>
      </c>
      <c r="B54" t="inlineStr">
        <is>
          <t>SW-DAMPER-014</t>
        </is>
      </c>
      <c r="C54" t="inlineStr">
        <is>
          <t>Lá cánh / Tôn tấm bọc van (3 cánh)</t>
        </is>
      </c>
      <c r="D54" t="inlineStr">
        <is>
          <t>TÔN_CUỘN_MẠ_KẼM</t>
        </is>
      </c>
      <c r="E54" t="inlineStr">
        <is>
          <t>MAT-STEEL-PN-1.15</t>
        </is>
      </c>
      <c r="F54" t="inlineStr">
        <is>
          <t>kg</t>
        </is>
      </c>
      <c r="G54" s="394" t="n">
        <v>6.860899999999998</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Tôn bọc cánh &amp; thân (3 cánh/modul)</t>
        </is>
      </c>
    </row>
    <row r="55">
      <c r="A55" t="inlineStr">
        <is>
          <t>SW-DAMPER-014-AXLE</t>
        </is>
      </c>
      <c r="B55" t="inlineStr">
        <is>
          <t>SW-DAMPER-014</t>
        </is>
      </c>
      <c r="C55" t="inlineStr">
        <is>
          <t>Trục Sus 201 D10</t>
        </is>
      </c>
      <c r="D55" t="inlineStr">
        <is>
          <t>PHỤ_KIỆN_VAN</t>
        </is>
      </c>
      <c r="E55" t="inlineStr">
        <is>
          <t>MAT-DAMPER-TRUC-SUS-201-D10</t>
        </is>
      </c>
      <c r="F55" t="inlineStr">
        <is>
          <t>m</t>
        </is>
      </c>
      <c r="G55" s="394" t="n">
        <v>3.03</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3 trục dài 1010mm</t>
        </is>
      </c>
    </row>
    <row r="56">
      <c r="A56" t="inlineStr">
        <is>
          <t>SW-DAMPER-014-BEARING</t>
        </is>
      </c>
      <c r="B56" t="inlineStr">
        <is>
          <t>SW-DAMPER-014</t>
        </is>
      </c>
      <c r="C56" t="inlineStr">
        <is>
          <t>Bạc đồng D10</t>
        </is>
      </c>
      <c r="D56" t="inlineStr">
        <is>
          <t>PHỤ_KIỆN_VAN</t>
        </is>
      </c>
      <c r="E56" t="inlineStr">
        <is>
          <t>MAT-DAMPER-BAC-DONG-D10</t>
        </is>
      </c>
      <c r="F56" t="inlineStr">
        <is>
          <t>Đôi</t>
        </is>
      </c>
      <c r="G56" s="394" t="n">
        <v>3</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3 đôi bạc đỡ 2 bên thân</t>
        </is>
      </c>
    </row>
    <row r="57">
      <c r="A57" t="inlineStr">
        <is>
          <t>SW-DAMPER-014-GEAR</t>
        </is>
      </c>
      <c r="B57" t="inlineStr">
        <is>
          <t>SW-DAMPER-014</t>
        </is>
      </c>
      <c r="C57" t="inlineStr">
        <is>
          <t>Bánh răng van nhôm</t>
        </is>
      </c>
      <c r="D57" t="inlineStr">
        <is>
          <t>PHỤ_KIỆN_VAN</t>
        </is>
      </c>
      <c r="E57" t="inlineStr">
        <is>
          <t>MAT-DAMPER-BANH-RANG-VAN-NHOM</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Cơ cấu liên động cánh (1 bộ)</t>
        </is>
      </c>
    </row>
    <row r="58">
      <c r="A58" t="inlineStr">
        <is>
          <t>SW-DAMPER-014-ACTUATOR</t>
        </is>
      </c>
      <c r="B58" t="inlineStr">
        <is>
          <t>SW-DAMPER-014</t>
        </is>
      </c>
      <c r="C58" t="inlineStr">
        <is>
          <t>Động cơ chặn lửa ON/OFF 9Nm, 230V/24V (BELIMO BFN24 / BFN230)</t>
        </is>
      </c>
      <c r="D58" t="inlineStr">
        <is>
          <t>ĐỘNG_CƠ_VÀ_CẢM_BIẾN</t>
        </is>
      </c>
      <c r="E58" t="inlineStr">
        <is>
          <t>MAT-ACTUATOR-BELIMO-BFN24</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Động cơ lò xo phản hồi MFD (1 bộ)</t>
        </is>
      </c>
    </row>
    <row r="59">
      <c r="A59" t="inlineStr">
        <is>
          <t>SW-DAMPER-014-FB10-BODY</t>
        </is>
      </c>
      <c r="B59" t="inlineStr">
        <is>
          <t>SW-DAMPER-014</t>
        </is>
      </c>
      <c r="C59" t="inlineStr">
        <is>
          <t>Tấm chống cháy dày 10mm bọc thân van FD/MFD (2 lớp)</t>
        </is>
      </c>
      <c r="D59" t="inlineStr">
        <is>
          <t>VẬT_LIỆU_CÁCH_NHIỆT</t>
        </is>
      </c>
      <c r="E59" t="inlineStr">
        <is>
          <t>MAT-FIREBOARD-10MM-BODY</t>
        </is>
      </c>
      <c r="F59" t="inlineStr">
        <is>
          <t>m2</t>
        </is>
      </c>
      <c r="G59" s="394" t="n">
        <v>1.62</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Bọc 2 lớp tấm 10mm quanh thân L=300mm</t>
        </is>
      </c>
    </row>
    <row r="60">
      <c r="A60" t="inlineStr">
        <is>
          <t>SW-DAMPER-014-FB20-BLADE</t>
        </is>
      </c>
      <c r="B60" t="inlineStr">
        <is>
          <t>SW-DAMPER-014</t>
        </is>
      </c>
      <c r="C60" t="inlineStr">
        <is>
          <t>Tấm chống cháy dày 20mm làm lõi cánh van FD/MFD</t>
        </is>
      </c>
      <c r="D60" t="inlineStr">
        <is>
          <t>VẬT_LIỆU_CÁCH_NHIỆT</t>
        </is>
      </c>
      <c r="E60" t="inlineStr">
        <is>
          <t>MAT-FIREBOARD-20MM-BLADE</t>
        </is>
      </c>
      <c r="F60" t="inlineStr">
        <is>
          <t>m2</t>
        </is>
      </c>
      <c r="G60" s="394" t="n">
        <v>0.5695157718120807</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Lõi cánh tấm 20mm (Đa cánh hệ số (H-5)/149=2.65, bản rộng 210mm, hao hụt 10%)</t>
        </is>
      </c>
    </row>
    <row r="61">
      <c r="A61" t="inlineStr">
        <is>
          <t>SW-DAMPER-014-FB10-BLADE</t>
        </is>
      </c>
      <c r="B61" t="inlineStr">
        <is>
          <t>SW-DAMPER-014</t>
        </is>
      </c>
      <c r="C61" t="inlineStr">
        <is>
          <t>Tấm chống cháy dày 10mm ốp 2 mặt cánh van FD/MFD</t>
        </is>
      </c>
      <c r="D61" t="inlineStr">
        <is>
          <t>VẬT_LIỆU_CÁCH_NHIỆT</t>
        </is>
      </c>
      <c r="E61" t="inlineStr">
        <is>
          <t>MAT-FIREBOARD-10MM-BLADE</t>
        </is>
      </c>
      <c r="F61" t="inlineStr">
        <is>
          <t>m2</t>
        </is>
      </c>
      <c r="G61" s="394" t="n">
        <v>1.163526845637584</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Ốp 2 mặt cánh tấm 10mm (Đa cánh hệ số (H-5)/149=2.65, bản rộng 210mm, hao hụt 10%)</t>
        </is>
      </c>
    </row>
    <row r="62">
      <c r="A62" t="inlineStr">
        <is>
          <t>SW-DAMPER-014-SPRING-BOX</t>
        </is>
      </c>
      <c r="B62" t="inlineStr">
        <is>
          <t>SW-DAMPER-014</t>
        </is>
      </c>
      <c r="C62" t="inlineStr">
        <is>
          <t>Hộp lò xo van chặn lửa FD/MFD</t>
        </is>
      </c>
      <c r="D62" t="inlineStr">
        <is>
          <t>PHỤ_KIỆN_VAN</t>
        </is>
      </c>
      <c r="E62" t="inlineStr">
        <is>
          <t>MAT-DAMPER-HOP-LO-XO</t>
        </is>
      </c>
      <c r="F62" t="inlineStr">
        <is>
          <t>Bộ</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Hộp lò xo cơ cấu đóng sập (1 bộ)</t>
        </is>
      </c>
    </row>
    <row r="63">
      <c r="A63" t="inlineStr">
        <is>
          <t>SW-DAMPER-014-SILICON-BOLT</t>
        </is>
      </c>
      <c r="B63" t="inlineStr">
        <is>
          <t>SW-DAMPER-014</t>
        </is>
      </c>
      <c r="C63" t="inlineStr">
        <is>
          <t>Silicon chống cháy + bu lông, ốc vít van FD/MFD</t>
        </is>
      </c>
      <c r="D63" t="inlineStr">
        <is>
          <t>PHỤ_KIỆN_VAN</t>
        </is>
      </c>
      <c r="E63" t="inlineStr">
        <is>
          <t>MAT-DAMPER-SILICON-BULONG-VIT</t>
        </is>
      </c>
      <c r="F63" t="inlineStr">
        <is>
          <t>Bộ</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Keo silicon chống cháy &amp; phụ kiện lắp ghép (1 bộ)</t>
        </is>
      </c>
    </row>
    <row r="64">
      <c r="A64" t="inlineStr">
        <is>
          <t>SW-DAMPER-015-BODY</t>
        </is>
      </c>
      <c r="B64" t="inlineStr">
        <is>
          <t>SW-DAMPER-015</t>
        </is>
      </c>
      <c r="C64" t="inlineStr">
        <is>
          <t>Thân vỏ van MFD bích C30/TDF (1.15mm)</t>
        </is>
      </c>
      <c r="D64" t="inlineStr">
        <is>
          <t>TÔN_CUỘN_MẠ_KẼM</t>
        </is>
      </c>
      <c r="E64" t="inlineStr">
        <is>
          <t>MAT-STEEL-PN-1.15</t>
        </is>
      </c>
      <c r="F64" t="inlineStr">
        <is>
          <t>kg</t>
        </is>
      </c>
      <c r="G64" s="394" t="n">
        <v>7.524330974999999</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Kích thước vỏ 950x500x200mm</t>
        </is>
      </c>
    </row>
    <row r="65">
      <c r="A65" t="inlineStr">
        <is>
          <t>SW-DAMPER-015-BLADE</t>
        </is>
      </c>
      <c r="B65" t="inlineStr">
        <is>
          <t>SW-DAMPER-015</t>
        </is>
      </c>
      <c r="C65" t="inlineStr">
        <is>
          <t>Lá cánh / Tôn tấm bọc van (3 cánh)</t>
        </is>
      </c>
      <c r="D65" t="inlineStr">
        <is>
          <t>TÔN_CUỘN_MẠ_KẼM</t>
        </is>
      </c>
      <c r="E65" t="inlineStr">
        <is>
          <t>MAT-STEEL-PN-1.15</t>
        </is>
      </c>
      <c r="F65" t="inlineStr">
        <is>
          <t>kg</t>
        </is>
      </c>
      <c r="G65" s="394" t="n">
        <v>8.576124999999998</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Tôn bọc cánh &amp; thân (3 cánh/modul)</t>
        </is>
      </c>
    </row>
    <row r="66">
      <c r="A66" t="inlineStr">
        <is>
          <t>SW-DAMPER-015-AXLE</t>
        </is>
      </c>
      <c r="B66" t="inlineStr">
        <is>
          <t>SW-DAMPER-015</t>
        </is>
      </c>
      <c r="C66" t="inlineStr">
        <is>
          <t>Trục Sus 201 D10</t>
        </is>
      </c>
      <c r="D66" t="inlineStr">
        <is>
          <t>PHỤ_KIỆN_VAN</t>
        </is>
      </c>
      <c r="E66" t="inlineStr">
        <is>
          <t>MAT-DAMPER-TRUC-SUS-201-D10</t>
        </is>
      </c>
      <c r="F66" t="inlineStr">
        <is>
          <t>m</t>
        </is>
      </c>
      <c r="G66" s="394" t="n">
        <v>3.03</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3 trục dài 1010mm</t>
        </is>
      </c>
    </row>
    <row r="67">
      <c r="A67" t="inlineStr">
        <is>
          <t>SW-DAMPER-015-BEARING</t>
        </is>
      </c>
      <c r="B67" t="inlineStr">
        <is>
          <t>SW-DAMPER-015</t>
        </is>
      </c>
      <c r="C67" t="inlineStr">
        <is>
          <t>Bạc đồng D10</t>
        </is>
      </c>
      <c r="D67" t="inlineStr">
        <is>
          <t>PHỤ_KIỆN_VAN</t>
        </is>
      </c>
      <c r="E67" t="inlineStr">
        <is>
          <t>MAT-DAMPER-BAC-DONG-D10</t>
        </is>
      </c>
      <c r="F67" t="inlineStr">
        <is>
          <t>Đôi</t>
        </is>
      </c>
      <c r="G67" s="394" t="n">
        <v>3</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3 đôi bạc đỡ 2 bên thân</t>
        </is>
      </c>
    </row>
    <row r="68">
      <c r="A68" t="inlineStr">
        <is>
          <t>SW-DAMPER-015-GEAR</t>
        </is>
      </c>
      <c r="B68" t="inlineStr">
        <is>
          <t>SW-DAMPER-015</t>
        </is>
      </c>
      <c r="C68" t="inlineStr">
        <is>
          <t>Bánh răng van nhôm</t>
        </is>
      </c>
      <c r="D68" t="inlineStr">
        <is>
          <t>PHỤ_KIỆN_VAN</t>
        </is>
      </c>
      <c r="E68" t="inlineStr">
        <is>
          <t>MAT-DAMPER-BANH-RANG-VAN-NHOM</t>
        </is>
      </c>
      <c r="F68" t="inlineStr">
        <is>
          <t>Bộ</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Cơ cấu liên động cánh (1 bộ)</t>
        </is>
      </c>
    </row>
    <row r="69">
      <c r="A69" t="inlineStr">
        <is>
          <t>SW-DAMPER-015-ACTUATOR</t>
        </is>
      </c>
      <c r="B69" t="inlineStr">
        <is>
          <t>SW-DAMPER-015</t>
        </is>
      </c>
      <c r="C69" t="inlineStr">
        <is>
          <t>Động cơ chặn lửa ON/OFF 9Nm, 230V/24V (BELIMO BFN24 / BFN230)</t>
        </is>
      </c>
      <c r="D69" t="inlineStr">
        <is>
          <t>ĐỘNG_CƠ_VÀ_CẢM_BIẾN</t>
        </is>
      </c>
      <c r="E69" t="inlineStr">
        <is>
          <t>MAT-ACTUATOR-BELIMO-BFN24</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Động cơ lò xo phản hồi MFD (1 bộ)</t>
        </is>
      </c>
    </row>
    <row r="70">
      <c r="A70" t="inlineStr">
        <is>
          <t>SW-DAMPER-015-FB10-BODY</t>
        </is>
      </c>
      <c r="B70" t="inlineStr">
        <is>
          <t>SW-DAMPER-015</t>
        </is>
      </c>
      <c r="C70" t="inlineStr">
        <is>
          <t>Tấm chống cháy dày 10mm bọc thân van FD/MFD (2 lớp)</t>
        </is>
      </c>
      <c r="D70" t="inlineStr">
        <is>
          <t>VẬT_LIỆU_CÁCH_NHIỆT</t>
        </is>
      </c>
      <c r="E70" t="inlineStr">
        <is>
          <t>MAT-FIREBOARD-10MM-BODY</t>
        </is>
      </c>
      <c r="F70" t="inlineStr">
        <is>
          <t>m2</t>
        </is>
      </c>
      <c r="G70" s="394" t="n">
        <v>1.74</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Bọc 2 lớp tấm 10mm quanh thân L=300mm</t>
        </is>
      </c>
    </row>
    <row r="71">
      <c r="A71" t="inlineStr">
        <is>
          <t>SW-DAMPER-015-FB20-BLADE</t>
        </is>
      </c>
      <c r="B71" t="inlineStr">
        <is>
          <t>SW-DAMPER-015</t>
        </is>
      </c>
      <c r="C71" t="inlineStr">
        <is>
          <t>Tấm chống cháy dày 20mm làm lõi cánh van FD/MFD</t>
        </is>
      </c>
      <c r="D71" t="inlineStr">
        <is>
          <t>VẬT_LIỆU_CÁCH_NHIỆT</t>
        </is>
      </c>
      <c r="E71" t="inlineStr">
        <is>
          <t>MAT-FIREBOARD-20MM-BLADE</t>
        </is>
      </c>
      <c r="F71" t="inlineStr">
        <is>
          <t>m2</t>
        </is>
      </c>
      <c r="G71" s="394" t="n">
        <v>0.7136969798657719</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Lõi cánh tấm 20mm (Đa cánh hệ số (H-5)/149=3.32, bản rộng 210mm, hao hụt 10%)</t>
        </is>
      </c>
    </row>
    <row r="72">
      <c r="A72" t="inlineStr">
        <is>
          <t>SW-DAMPER-015-FB10-BLADE</t>
        </is>
      </c>
      <c r="B72" t="inlineStr">
        <is>
          <t>SW-DAMPER-015</t>
        </is>
      </c>
      <c r="C72" t="inlineStr">
        <is>
          <t>Tấm chống cháy dày 10mm ốp 2 mặt cánh van FD/MFD</t>
        </is>
      </c>
      <c r="D72" t="inlineStr">
        <is>
          <t>VẬT_LIỆU_CÁCH_NHIỆT</t>
        </is>
      </c>
      <c r="E72" t="inlineStr">
        <is>
          <t>MAT-FIREBOARD-10MM-BLADE</t>
        </is>
      </c>
      <c r="F72" t="inlineStr">
        <is>
          <t>m2</t>
        </is>
      </c>
      <c r="G72" s="394" t="n">
        <v>1.458090604026846</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Ốp 2 mặt cánh tấm 10mm (Đa cánh hệ số (H-5)/149=3.32, bản rộng 210mm, hao hụt 10%)</t>
        </is>
      </c>
    </row>
    <row r="73">
      <c r="A73" t="inlineStr">
        <is>
          <t>SW-DAMPER-015-SPRING-BOX</t>
        </is>
      </c>
      <c r="B73" t="inlineStr">
        <is>
          <t>SW-DAMPER-015</t>
        </is>
      </c>
      <c r="C73" t="inlineStr">
        <is>
          <t>Hộp lò xo van chặn lửa FD/MFD</t>
        </is>
      </c>
      <c r="D73" t="inlineStr">
        <is>
          <t>PHỤ_KIỆN_VAN</t>
        </is>
      </c>
      <c r="E73" t="inlineStr">
        <is>
          <t>MAT-DAMPER-HOP-LO-XO</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Hộp lò xo cơ cấu đóng sập (1 bộ)</t>
        </is>
      </c>
    </row>
    <row r="74">
      <c r="A74" t="inlineStr">
        <is>
          <t>SW-DAMPER-015-SILICON-BOLT</t>
        </is>
      </c>
      <c r="B74" t="inlineStr">
        <is>
          <t>SW-DAMPER-015</t>
        </is>
      </c>
      <c r="C74" t="inlineStr">
        <is>
          <t>Silicon chống cháy + bu lông, ốc vít van FD/MFD</t>
        </is>
      </c>
      <c r="D74" t="inlineStr">
        <is>
          <t>PHỤ_KIỆN_VAN</t>
        </is>
      </c>
      <c r="E74" t="inlineStr">
        <is>
          <t>MAT-DAMPER-SILICON-BULONG-VIT</t>
        </is>
      </c>
      <c r="F74" t="inlineStr">
        <is>
          <t>Bộ</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Keo silicon chống cháy &amp; phụ kiện lắp ghép (1 bộ)</t>
        </is>
      </c>
    </row>
    <row r="75">
      <c r="A75" t="inlineStr">
        <is>
          <t>SW-DAMPER-016-BODY</t>
        </is>
      </c>
      <c r="B75" t="inlineStr">
        <is>
          <t>SW-DAMPER-016</t>
        </is>
      </c>
      <c r="C75" t="inlineStr">
        <is>
          <t>Thân vỏ van MFD bích C30/TDF (1.15mm)</t>
        </is>
      </c>
      <c r="D75" t="inlineStr">
        <is>
          <t>TÔN_CUỘN_MẠ_KẼM</t>
        </is>
      </c>
      <c r="E75" t="inlineStr">
        <is>
          <t>MAT-STEEL-PN-1.15</t>
        </is>
      </c>
      <c r="F75" t="inlineStr">
        <is>
          <t>kg</t>
        </is>
      </c>
      <c r="G75" s="394" t="n">
        <v>5.988753224999999</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Kích thước vỏ 950x200x200mm</t>
        </is>
      </c>
    </row>
    <row r="76">
      <c r="A76" t="inlineStr">
        <is>
          <t>SW-DAMPER-016-BLADE</t>
        </is>
      </c>
      <c r="B76" t="inlineStr">
        <is>
          <t>SW-DAMPER-016</t>
        </is>
      </c>
      <c r="C76" t="inlineStr">
        <is>
          <t>Lá cánh / Tôn tấm bọc van (1 cánh)</t>
        </is>
      </c>
      <c r="D76" t="inlineStr">
        <is>
          <t>TÔN_CUỘN_MẠ_KẼM</t>
        </is>
      </c>
      <c r="E76" t="inlineStr">
        <is>
          <t>MAT-STEEL-PN-1.15</t>
        </is>
      </c>
      <c r="F76" t="inlineStr">
        <is>
          <t>kg</t>
        </is>
      </c>
      <c r="G76" s="394" t="n">
        <v>3.430449999999999</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Tôn bọc cánh &amp; thân (1 cánh/modul)</t>
        </is>
      </c>
    </row>
    <row r="77">
      <c r="A77" t="inlineStr">
        <is>
          <t>SW-DAMPER-016-AXLE</t>
        </is>
      </c>
      <c r="B77" t="inlineStr">
        <is>
          <t>SW-DAMPER-016</t>
        </is>
      </c>
      <c r="C77" t="inlineStr">
        <is>
          <t>Trục Sus 201 D10</t>
        </is>
      </c>
      <c r="D77" t="inlineStr">
        <is>
          <t>PHỤ_KIỆN_VAN</t>
        </is>
      </c>
      <c r="E77" t="inlineStr">
        <is>
          <t>MAT-DAMPER-TRUC-SUS-201-D10</t>
        </is>
      </c>
      <c r="F77" t="inlineStr">
        <is>
          <t>m</t>
        </is>
      </c>
      <c r="G77" s="394" t="n">
        <v>1.01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1 trục dài 1010mm</t>
        </is>
      </c>
    </row>
    <row r="78">
      <c r="A78" t="inlineStr">
        <is>
          <t>SW-DAMPER-016-BEARING</t>
        </is>
      </c>
      <c r="B78" t="inlineStr">
        <is>
          <t>SW-DAMPER-016</t>
        </is>
      </c>
      <c r="C78" t="inlineStr">
        <is>
          <t>Bạc đồng D10</t>
        </is>
      </c>
      <c r="D78" t="inlineStr">
        <is>
          <t>PHỤ_KIỆN_VAN</t>
        </is>
      </c>
      <c r="E78" t="inlineStr">
        <is>
          <t>MAT-DAMPER-BAC-DONG-D10</t>
        </is>
      </c>
      <c r="F78" t="inlineStr">
        <is>
          <t>Đôi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1 đôi bạc đỡ 2 bên thân</t>
        </is>
      </c>
    </row>
    <row r="79">
      <c r="A79" t="inlineStr">
        <is>
          <t>SW-DAMPER-016-ACTUATOR</t>
        </is>
      </c>
      <c r="B79" t="inlineStr">
        <is>
          <t>SW-DAMPER-016</t>
        </is>
      </c>
      <c r="C79" t="inlineStr">
        <is>
          <t>Động cơ chặn lửa ON/OFF 3.5Nm, 230V/24V (BELIMO FSLF24 / FSLF230)</t>
        </is>
      </c>
      <c r="D79" t="inlineStr">
        <is>
          <t>ĐỘNG_CƠ_VÀ_CẢM_BIẾN</t>
        </is>
      </c>
      <c r="E79" t="inlineStr">
        <is>
          <t>MAT-ACTUATOR-BELIMO-FSLF24</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Động cơ lò xo phản hồi MFD (1 bộ)</t>
        </is>
      </c>
    </row>
    <row r="80">
      <c r="A80" t="inlineStr">
        <is>
          <t>SW-DAMPER-016-FB10-BODY</t>
        </is>
      </c>
      <c r="B80" t="inlineStr">
        <is>
          <t>SW-DAMPER-016</t>
        </is>
      </c>
      <c r="C80" t="inlineStr">
        <is>
          <t>Tấm chống cháy dày 10mm bọc thân van FD/MFD (2 lớp)</t>
        </is>
      </c>
      <c r="D80" t="inlineStr">
        <is>
          <t>VẬT_LIỆU_CÁCH_NHIỆT</t>
        </is>
      </c>
      <c r="E80" t="inlineStr">
        <is>
          <t>MAT-FIREBOARD-10MM-BODY</t>
        </is>
      </c>
      <c r="F80" t="inlineStr">
        <is>
          <t>m2</t>
        </is>
      </c>
      <c r="G80" s="394" t="n">
        <v>1.38</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Bọc 2 lớp tấm 10mm quanh thân L=300mm</t>
        </is>
      </c>
    </row>
    <row r="81">
      <c r="A81" t="inlineStr">
        <is>
          <t>SW-DAMPER-016-FB20-BLADE</t>
        </is>
      </c>
      <c r="B81" t="inlineStr">
        <is>
          <t>SW-DAMPER-016</t>
        </is>
      </c>
      <c r="C81" t="inlineStr">
        <is>
          <t>Tấm chống cháy dày 20mm làm lõi cánh van FD/MFD</t>
        </is>
      </c>
      <c r="D81" t="inlineStr">
        <is>
          <t>VẬT_LIỆU_CÁCH_NHIỆT</t>
        </is>
      </c>
      <c r="E81" t="inlineStr">
        <is>
          <t>MAT-FIREBOARD-20MM-BLADE</t>
        </is>
      </c>
      <c r="F81" t="inlineStr">
        <is>
          <t>m2</t>
        </is>
      </c>
      <c r="G81" s="394" t="n">
        <v>0.19</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Lõi cánh tấm 20mm (Cánh đơn 950x200mm)</t>
        </is>
      </c>
    </row>
    <row r="82">
      <c r="A82" t="inlineStr">
        <is>
          <t>SW-DAMPER-016-FB10-BLADE</t>
        </is>
      </c>
      <c r="B82" t="inlineStr">
        <is>
          <t>SW-DAMPER-016</t>
        </is>
      </c>
      <c r="C82" t="inlineStr">
        <is>
          <t>Tấm chống cháy dày 10mm ốp 2 mặt cánh van FD/MFD</t>
        </is>
      </c>
      <c r="D82" t="inlineStr">
        <is>
          <t>VẬT_LIỆU_CÁCH_NHIỆT</t>
        </is>
      </c>
      <c r="E82" t="inlineStr">
        <is>
          <t>MAT-FIREBOARD-10MM-BLADE</t>
        </is>
      </c>
      <c r="F82" t="inlineStr">
        <is>
          <t>m2</t>
        </is>
      </c>
      <c r="G82" s="394" t="n">
        <v>0.38</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Ốp 2 mặt cánh tấm 10mm (Cánh đơn 950x200mm)</t>
        </is>
      </c>
    </row>
    <row r="83">
      <c r="A83" t="inlineStr">
        <is>
          <t>SW-DAMPER-016-SPRING-BOX</t>
        </is>
      </c>
      <c r="B83" t="inlineStr">
        <is>
          <t>SW-DAMPER-016</t>
        </is>
      </c>
      <c r="C83" t="inlineStr">
        <is>
          <t>Hộp lò xo van chặn lửa FD/MFD</t>
        </is>
      </c>
      <c r="D83" t="inlineStr">
        <is>
          <t>PHỤ_KIỆN_VAN</t>
        </is>
      </c>
      <c r="E83" t="inlineStr">
        <is>
          <t>MAT-DAMPER-HOP-LO-XO</t>
        </is>
      </c>
      <c r="F83" t="inlineStr">
        <is>
          <t>Bộ</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Hộp lò xo cơ cấu đóng sập (1 bộ)</t>
        </is>
      </c>
    </row>
    <row r="84">
      <c r="A84" t="inlineStr">
        <is>
          <t>SW-DAMPER-016-SILICON-BOLT</t>
        </is>
      </c>
      <c r="B84" t="inlineStr">
        <is>
          <t>SW-DAMPER-016</t>
        </is>
      </c>
      <c r="C84" t="inlineStr">
        <is>
          <t>Silicon chống cháy + bu lông, ốc vít van FD/MFD</t>
        </is>
      </c>
      <c r="D84" t="inlineStr">
        <is>
          <t>PHỤ_KIỆN_VAN</t>
        </is>
      </c>
      <c r="E84" t="inlineStr">
        <is>
          <t>MAT-DAMPER-SILICON-BULONG-VIT</t>
        </is>
      </c>
      <c r="F84" t="inlineStr">
        <is>
          <t>Bộ</t>
        </is>
      </c>
      <c r="G84" s="394" t="n">
        <v>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Keo silicon chống cháy &amp; phụ kiện lắp ghép (1 bộ)</t>
        </is>
      </c>
    </row>
    <row r="85">
      <c r="A85" t="inlineStr">
        <is>
          <t>SW-DAMPER-017-BODY</t>
        </is>
      </c>
      <c r="B85" t="inlineStr">
        <is>
          <t>SW-DAMPER-017</t>
        </is>
      </c>
      <c r="C85" t="inlineStr">
        <is>
          <t>Thân vỏ van MFD bích C30/TDF (1.15mm)</t>
        </is>
      </c>
      <c r="D85" t="inlineStr">
        <is>
          <t>TÔN_CUỘN_MẠ_KẼM</t>
        </is>
      </c>
      <c r="E85" t="inlineStr">
        <is>
          <t>MAT-STEEL-PN-1.15</t>
        </is>
      </c>
      <c r="F85" t="inlineStr">
        <is>
          <t>kg</t>
        </is>
      </c>
      <c r="G85" s="394" t="n">
        <v>6.500612475</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Kích thước vỏ 950x300x200mm</t>
        </is>
      </c>
    </row>
    <row r="86">
      <c r="A86" t="inlineStr">
        <is>
          <t>SW-DAMPER-017-BLADE</t>
        </is>
      </c>
      <c r="B86" t="inlineStr">
        <is>
          <t>SW-DAMPER-017</t>
        </is>
      </c>
      <c r="C86" t="inlineStr">
        <is>
          <t>Lá cánh / Tôn tấm bọc van (2 cánh)</t>
        </is>
      </c>
      <c r="D86" t="inlineStr">
        <is>
          <t>TÔN_CUỘN_MẠ_KẼM</t>
        </is>
      </c>
      <c r="E86" t="inlineStr">
        <is>
          <t>MAT-STEEL-PN-1.15</t>
        </is>
      </c>
      <c r="F86" t="inlineStr">
        <is>
          <t>kg</t>
        </is>
      </c>
      <c r="G86" s="394" t="n">
        <v>5.145674999999999</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Tôn bọc cánh &amp; thân (2 cánh/modul)</t>
        </is>
      </c>
    </row>
    <row r="87">
      <c r="A87" t="inlineStr">
        <is>
          <t>SW-DAMPER-017-AXLE</t>
        </is>
      </c>
      <c r="B87" t="inlineStr">
        <is>
          <t>SW-DAMPER-017</t>
        </is>
      </c>
      <c r="C87" t="inlineStr">
        <is>
          <t>Trục Sus 201 D10</t>
        </is>
      </c>
      <c r="D87" t="inlineStr">
        <is>
          <t>PHỤ_KIỆN_VAN</t>
        </is>
      </c>
      <c r="E87" t="inlineStr">
        <is>
          <t>MAT-DAMPER-TRUC-SUS-201-D10</t>
        </is>
      </c>
      <c r="F87" t="inlineStr">
        <is>
          <t>m</t>
        </is>
      </c>
      <c r="G87" s="394" t="n">
        <v>2.02</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2 trục dài 1010mm</t>
        </is>
      </c>
    </row>
    <row r="88">
      <c r="A88" t="inlineStr">
        <is>
          <t>SW-DAMPER-017-BEARING</t>
        </is>
      </c>
      <c r="B88" t="inlineStr">
        <is>
          <t>SW-DAMPER-017</t>
        </is>
      </c>
      <c r="C88" t="inlineStr">
        <is>
          <t>Bạc đồng D10</t>
        </is>
      </c>
      <c r="D88" t="inlineStr">
        <is>
          <t>PHỤ_KIỆN_VAN</t>
        </is>
      </c>
      <c r="E88" t="inlineStr">
        <is>
          <t>MAT-DAMPER-BAC-DONG-D10</t>
        </is>
      </c>
      <c r="F88" t="inlineStr">
        <is>
          <t>Đôi</t>
        </is>
      </c>
      <c r="G88" s="394" t="n">
        <v>2</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2 đôi bạc đỡ 2 bên thân</t>
        </is>
      </c>
    </row>
    <row r="89">
      <c r="A89" t="inlineStr">
        <is>
          <t>SW-DAMPER-017-GEAR</t>
        </is>
      </c>
      <c r="B89" t="inlineStr">
        <is>
          <t>SW-DAMPER-017</t>
        </is>
      </c>
      <c r="C89" t="inlineStr">
        <is>
          <t>Bánh răng van nhôm</t>
        </is>
      </c>
      <c r="D89" t="inlineStr">
        <is>
          <t>PHỤ_KIỆN_VAN</t>
        </is>
      </c>
      <c r="E89" t="inlineStr">
        <is>
          <t>MAT-DAMPER-BANH-RANG-VAN-NHOM</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Cơ cấu liên động cánh (1 bộ)</t>
        </is>
      </c>
    </row>
    <row r="90">
      <c r="A90" t="inlineStr">
        <is>
          <t>SW-DAMPER-017-ACTUATOR</t>
        </is>
      </c>
      <c r="B90" t="inlineStr">
        <is>
          <t>SW-DAMPER-017</t>
        </is>
      </c>
      <c r="C90" t="inlineStr">
        <is>
          <t>Động cơ chặn lửa ON/OFF 9Nm, 230V/24V (BELIMO BFN24 / BFN230)</t>
        </is>
      </c>
      <c r="D90" t="inlineStr">
        <is>
          <t>ĐỘNG_CƠ_VÀ_CẢM_BIẾN</t>
        </is>
      </c>
      <c r="E90" t="inlineStr">
        <is>
          <t>MAT-ACTUATOR-BELIMO-BFN24</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Động cơ lò xo phản hồi MFD (1 bộ)</t>
        </is>
      </c>
    </row>
    <row r="91">
      <c r="A91" t="inlineStr">
        <is>
          <t>SW-DAMPER-017-FB10-BODY</t>
        </is>
      </c>
      <c r="B91" t="inlineStr">
        <is>
          <t>SW-DAMPER-017</t>
        </is>
      </c>
      <c r="C91" t="inlineStr">
        <is>
          <t>Tấm chống cháy dày 10mm bọc thân van FD/MFD (2 lớp)</t>
        </is>
      </c>
      <c r="D91" t="inlineStr">
        <is>
          <t>VẬT_LIỆU_CÁCH_NHIỆT</t>
        </is>
      </c>
      <c r="E91" t="inlineStr">
        <is>
          <t>MAT-FIREBOARD-10MM-BODY</t>
        </is>
      </c>
      <c r="F91" t="inlineStr">
        <is>
          <t>m2</t>
        </is>
      </c>
      <c r="G91" s="394" t="n">
        <v>1.5</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Bọc 2 lớp tấm 10mm quanh thân L=300mm</t>
        </is>
      </c>
    </row>
    <row r="92">
      <c r="A92" t="inlineStr">
        <is>
          <t>SW-DAMPER-017-FB20-BLADE</t>
        </is>
      </c>
      <c r="B92" t="inlineStr">
        <is>
          <t>SW-DAMPER-017</t>
        </is>
      </c>
      <c r="C92" t="inlineStr">
        <is>
          <t>Tấm chống cháy dày 20mm làm lõi cánh van FD/MFD</t>
        </is>
      </c>
      <c r="D92" t="inlineStr">
        <is>
          <t>VẬT_LIỆU_CÁCH_NHIỆT</t>
        </is>
      </c>
      <c r="E92" t="inlineStr">
        <is>
          <t>MAT-FIREBOARD-20MM-BLADE</t>
        </is>
      </c>
      <c r="F92" t="inlineStr">
        <is>
          <t>m2</t>
        </is>
      </c>
      <c r="G92" s="394" t="n">
        <v>0.4253345637583893</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Lõi cánh tấm 20mm (Đa cánh hệ số (H-5)/149=1.98, bản rộng 210mm, hao hụt 10%)</t>
        </is>
      </c>
    </row>
    <row r="93">
      <c r="A93" t="inlineStr">
        <is>
          <t>SW-DAMPER-017-FB10-BLADE</t>
        </is>
      </c>
      <c r="B93" t="inlineStr">
        <is>
          <t>SW-DAMPER-017</t>
        </is>
      </c>
      <c r="C93" t="inlineStr">
        <is>
          <t>Tấm chống cháy dày 10mm ốp 2 mặt cánh van FD/MFD</t>
        </is>
      </c>
      <c r="D93" t="inlineStr">
        <is>
          <t>VẬT_LIỆU_CÁCH_NHIỆT</t>
        </is>
      </c>
      <c r="E93" t="inlineStr">
        <is>
          <t>MAT-FIREBOARD-10MM-BLADE</t>
        </is>
      </c>
      <c r="F93" t="inlineStr">
        <is>
          <t>m2</t>
        </is>
      </c>
      <c r="G93" s="394" t="n">
        <v>0.8689630872483221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Ốp 2 mặt cánh tấm 10mm (Đa cánh hệ số (H-5)/149=1.98, bản rộng 210mm, hao hụt 10%)</t>
        </is>
      </c>
    </row>
    <row r="94">
      <c r="A94" t="inlineStr">
        <is>
          <t>SW-DAMPER-017-SPRING-BOX</t>
        </is>
      </c>
      <c r="B94" t="inlineStr">
        <is>
          <t>SW-DAMPER-017</t>
        </is>
      </c>
      <c r="C94" t="inlineStr">
        <is>
          <t>Hộp lò xo van chặn lửa FD/MFD</t>
        </is>
      </c>
      <c r="D94" t="inlineStr">
        <is>
          <t>PHỤ_KIỆN_VAN</t>
        </is>
      </c>
      <c r="E94" t="inlineStr">
        <is>
          <t>MAT-DAMPER-HOP-LO-XO</t>
        </is>
      </c>
      <c r="F94" t="inlineStr">
        <is>
          <t>Bộ</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Hộp lò xo cơ cấu đóng sập (1 bộ)</t>
        </is>
      </c>
    </row>
    <row r="95">
      <c r="A95" t="inlineStr">
        <is>
          <t>SW-DAMPER-017-SILICON-BOLT</t>
        </is>
      </c>
      <c r="B95" t="inlineStr">
        <is>
          <t>SW-DAMPER-017</t>
        </is>
      </c>
      <c r="C95" t="inlineStr">
        <is>
          <t>Silicon chống cháy + bu lông, ốc vít van FD/MFD</t>
        </is>
      </c>
      <c r="D95" t="inlineStr">
        <is>
          <t>PHỤ_KIỆN_VAN</t>
        </is>
      </c>
      <c r="E95" t="inlineStr">
        <is>
          <t>MAT-DAMPER-SILICON-BULONG-VIT</t>
        </is>
      </c>
      <c r="F95" t="inlineStr">
        <is>
          <t>Bộ</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Keo silicon chống cháy &amp; phụ kiện lắp ghép (1 bộ)</t>
        </is>
      </c>
    </row>
    <row r="96">
      <c r="A96" t="inlineStr">
        <is>
          <t>SW-DAMPER-018-BODY</t>
        </is>
      </c>
      <c r="B96" t="inlineStr">
        <is>
          <t>SW-DAMPER-018</t>
        </is>
      </c>
      <c r="C96" t="inlineStr">
        <is>
          <t>Thân vỏ van VCD bích C30/TDF (0.95mm)</t>
        </is>
      </c>
      <c r="D96" t="inlineStr">
        <is>
          <t>TÔN_CUỘN_MẠ_KẼM</t>
        </is>
      </c>
      <c r="E96" t="inlineStr">
        <is>
          <t>MAT-STEEL-PN-0.95</t>
        </is>
      </c>
      <c r="F96" t="inlineStr">
        <is>
          <t>kg</t>
        </is>
      </c>
      <c r="G96" s="394" t="n">
        <v>13.3304304</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Kích thước vỏ 2000x500x210mm (2 modul 1000x500mm)</t>
        </is>
      </c>
    </row>
    <row r="97">
      <c r="A97" t="inlineStr">
        <is>
          <t>SW-DAMPER-018-BLADE</t>
        </is>
      </c>
      <c r="B97" t="inlineStr">
        <is>
          <t>SW-DAMPER-018</t>
        </is>
      </c>
      <c r="C97" t="inlineStr">
        <is>
          <t>Lá cánh / Tôn tấm bọc van (6 cánh)</t>
        </is>
      </c>
      <c r="D97" t="inlineStr">
        <is>
          <t>TÔN_CUỘN_MẠ_KẼM</t>
        </is>
      </c>
      <c r="E97" t="inlineStr">
        <is>
          <t>MAT-STEEL-PN-0.75</t>
        </is>
      </c>
      <c r="F97" t="inlineStr">
        <is>
          <t>kg</t>
        </is>
      </c>
      <c r="G97" s="394" t="n">
        <v>7.121519999999999</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6 cánh cao 187mm (2 modul 1000x500mm)</t>
        </is>
      </c>
    </row>
    <row r="98">
      <c r="A98" t="inlineStr">
        <is>
          <t>SW-DAMPER-018-AXLE</t>
        </is>
      </c>
      <c r="B98" t="inlineStr">
        <is>
          <t>SW-DAMPER-018</t>
        </is>
      </c>
      <c r="C98" t="inlineStr">
        <is>
          <t>Trục Sus 201 D10</t>
        </is>
      </c>
      <c r="D98" t="inlineStr">
        <is>
          <t>PHỤ_KIỆN_VAN</t>
        </is>
      </c>
      <c r="E98" t="inlineStr">
        <is>
          <t>MAT-DAMPER-TRUC-SUS-201-D10</t>
        </is>
      </c>
      <c r="F98" t="inlineStr">
        <is>
          <t>m</t>
        </is>
      </c>
      <c r="G98" s="394" t="n">
        <v>6.36</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6 trục dài 1060mm</t>
        </is>
      </c>
    </row>
    <row r="99">
      <c r="A99" t="inlineStr">
        <is>
          <t>SW-DAMPER-018-BEARING</t>
        </is>
      </c>
      <c r="B99" t="inlineStr">
        <is>
          <t>SW-DAMPER-018</t>
        </is>
      </c>
      <c r="C99" t="inlineStr">
        <is>
          <t>Bạc đồng D10</t>
        </is>
      </c>
      <c r="D99" t="inlineStr">
        <is>
          <t>PHỤ_KIỆN_VAN</t>
        </is>
      </c>
      <c r="E99" t="inlineStr">
        <is>
          <t>MAT-DAMPER-BAC-DONG-D10</t>
        </is>
      </c>
      <c r="F99" t="inlineStr">
        <is>
          <t>Đôi</t>
        </is>
      </c>
      <c r="G99" s="394" t="n">
        <v>6</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6 đôi bạc đỡ 2 bên thân</t>
        </is>
      </c>
    </row>
    <row r="100">
      <c r="A100" t="inlineStr">
        <is>
          <t>SW-DAMPER-018-GEAR</t>
        </is>
      </c>
      <c r="B100" t="inlineStr">
        <is>
          <t>SW-DAMPER-018</t>
        </is>
      </c>
      <c r="C100" t="inlineStr">
        <is>
          <t>Bánh răng van nhôm</t>
        </is>
      </c>
      <c r="D100" t="inlineStr">
        <is>
          <t>PHỤ_KIỆN_VAN</t>
        </is>
      </c>
      <c r="E100" t="inlineStr">
        <is>
          <t>MAT-DAMPER-BANH-RANG-VAN-NHOM</t>
        </is>
      </c>
      <c r="F100" t="inlineStr">
        <is>
          <t>Bộ</t>
        </is>
      </c>
      <c r="G100" s="394" t="n">
        <v>2</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Cơ cấu liên động cánh (2 bộ)</t>
        </is>
      </c>
    </row>
    <row r="101">
      <c r="A101" t="inlineStr">
        <is>
          <t>SW-DAMPER-018-HANDLE</t>
        </is>
      </c>
      <c r="B101" t="inlineStr">
        <is>
          <t>SW-DAMPER-018</t>
        </is>
      </c>
      <c r="C101" t="inlineStr">
        <is>
          <t>Tay gạt nhỏ</t>
        </is>
      </c>
      <c r="D101" t="inlineStr">
        <is>
          <t>PHỤ_KIỆN_VAN</t>
        </is>
      </c>
      <c r="E101" t="inlineStr">
        <is>
          <t>MAT-DAMPER-TAY-GAT-NHO</t>
        </is>
      </c>
      <c r="F101" t="inlineStr">
        <is>
          <t>Bộ</t>
        </is>
      </c>
      <c r="G101" s="394" t="n">
        <v>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Tay gạt khóa vị trí nan (S=0.50m2)</t>
        </is>
      </c>
    </row>
    <row r="102">
      <c r="A102" t="inlineStr">
        <is>
          <t>SW-DAMPER-019-BODY</t>
        </is>
      </c>
      <c r="B102" t="inlineStr">
        <is>
          <t>SW-DAMPER-019</t>
        </is>
      </c>
      <c r="C102" t="inlineStr">
        <is>
          <t>Thân vỏ van VCD bích C30/TDF (0.75mm)</t>
        </is>
      </c>
      <c r="D102" t="inlineStr">
        <is>
          <t>TÔN_CUỘN_MẠ_KẼM</t>
        </is>
      </c>
      <c r="E102" t="inlineStr">
        <is>
          <t>MAT-STEEL-PN-0.75</t>
        </is>
      </c>
      <c r="F102" t="inlineStr">
        <is>
          <t>kg</t>
        </is>
      </c>
      <c r="G102" s="394" t="n">
        <v>7.408359</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Kích thước vỏ 1300x400x210mm (2 modul 650x400mm)</t>
        </is>
      </c>
    </row>
    <row r="103">
      <c r="A103" t="inlineStr">
        <is>
          <t>SW-DAMPER-019-BLADE</t>
        </is>
      </c>
      <c r="B103" t="inlineStr">
        <is>
          <t>SW-DAMPER-019</t>
        </is>
      </c>
      <c r="C103" t="inlineStr">
        <is>
          <t>Lá cánh / Tôn tấm bọc van (6 cánh)</t>
        </is>
      </c>
      <c r="D103" t="inlineStr">
        <is>
          <t>TÔN_CUỘN_MẠ_KẼM</t>
        </is>
      </c>
      <c r="E103" t="inlineStr">
        <is>
          <t>MAT-STEEL-PN-0.75</t>
        </is>
      </c>
      <c r="F103" t="inlineStr">
        <is>
          <t>kg</t>
        </is>
      </c>
      <c r="G103" s="394" t="n">
        <v>3.802383000000001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6 cánh cao 153mm (2 modul 650x400mm)</t>
        </is>
      </c>
    </row>
    <row r="104">
      <c r="A104" t="inlineStr">
        <is>
          <t>SW-DAMPER-019-AXLE</t>
        </is>
      </c>
      <c r="B104" t="inlineStr">
        <is>
          <t>SW-DAMPER-019</t>
        </is>
      </c>
      <c r="C104" t="inlineStr">
        <is>
          <t>Trục Sus 201 D10</t>
        </is>
      </c>
      <c r="D104" t="inlineStr">
        <is>
          <t>PHỤ_KIỆN_VAN</t>
        </is>
      </c>
      <c r="E104" t="inlineStr">
        <is>
          <t>MAT-DAMPER-TRUC-SUS-201-D10</t>
        </is>
      </c>
      <c r="F104" t="inlineStr">
        <is>
          <t>m</t>
        </is>
      </c>
      <c r="G104" s="394" t="n">
        <v>4.26</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6 trục dài 710mm</t>
        </is>
      </c>
    </row>
    <row r="105">
      <c r="A105" t="inlineStr">
        <is>
          <t>SW-DAMPER-019-BEARING</t>
        </is>
      </c>
      <c r="B105" t="inlineStr">
        <is>
          <t>SW-DAMPER-019</t>
        </is>
      </c>
      <c r="C105" t="inlineStr">
        <is>
          <t>Bạc đồng D10</t>
        </is>
      </c>
      <c r="D105" t="inlineStr">
        <is>
          <t>PHỤ_KIỆN_VAN</t>
        </is>
      </c>
      <c r="E105" t="inlineStr">
        <is>
          <t>MAT-DAMPER-BAC-DONG-D10</t>
        </is>
      </c>
      <c r="F105" t="inlineStr">
        <is>
          <t>Đôi</t>
        </is>
      </c>
      <c r="G105" s="394" t="n">
        <v>6</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6 đôi bạc đỡ 2 bên thân</t>
        </is>
      </c>
    </row>
    <row r="106">
      <c r="A106" t="inlineStr">
        <is>
          <t>SW-DAMPER-019-GEAR</t>
        </is>
      </c>
      <c r="B106" t="inlineStr">
        <is>
          <t>SW-DAMPER-019</t>
        </is>
      </c>
      <c r="C106" t="inlineStr">
        <is>
          <t>Bánh răng van nhôm</t>
        </is>
      </c>
      <c r="D106" t="inlineStr">
        <is>
          <t>PHỤ_KIỆN_VAN</t>
        </is>
      </c>
      <c r="E106" t="inlineStr">
        <is>
          <t>MAT-DAMPER-BANH-RANG-VAN-NHOM</t>
        </is>
      </c>
      <c r="F106" t="inlineStr">
        <is>
          <t>Bộ</t>
        </is>
      </c>
      <c r="G106" s="394" t="n">
        <v>2</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Cơ cấu liên động cánh (2 bộ)</t>
        </is>
      </c>
    </row>
    <row r="107">
      <c r="A107" t="inlineStr">
        <is>
          <t>SW-DAMPER-019-HANDLE</t>
        </is>
      </c>
      <c r="B107" t="inlineStr">
        <is>
          <t>SW-DAMPER-019</t>
        </is>
      </c>
      <c r="C107" t="inlineStr">
        <is>
          <t>Tay gạt nhỏ</t>
        </is>
      </c>
      <c r="D107" t="inlineStr">
        <is>
          <t>PHỤ_KIỆN_VAN</t>
        </is>
      </c>
      <c r="E107" t="inlineStr">
        <is>
          <t>MAT-DAMPER-TAY-GAT-NHO</t>
        </is>
      </c>
      <c r="F107" t="inlineStr">
        <is>
          <t>Bộ</t>
        </is>
      </c>
      <c r="G107" s="394" t="n">
        <v>2</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Tay gạt khóa vị trí nan (S=0.26m2)</t>
        </is>
      </c>
    </row>
    <row r="108">
      <c r="A108" t="inlineStr">
        <is>
          <t>SW-DAMPER-020-BODY</t>
        </is>
      </c>
      <c r="B108" t="inlineStr">
        <is>
          <t>SW-DAMPER-020</t>
        </is>
      </c>
      <c r="C108" t="inlineStr">
        <is>
          <t>Thân vỏ van VCD bích C30/TDF (0.75mm)</t>
        </is>
      </c>
      <c r="D108" t="inlineStr">
        <is>
          <t>TÔN_CUỘN_MẠ_KẼM</t>
        </is>
      </c>
      <c r="E108" t="inlineStr">
        <is>
          <t>MAT-STEEL-PN-0.75</t>
        </is>
      </c>
      <c r="F108" t="inlineStr">
        <is>
          <t>kg</t>
        </is>
      </c>
      <c r="G108" s="394" t="n">
        <v>8.446914</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Kích thước vỏ 1600x400x210mm (2 modul 800x400mm)</t>
        </is>
      </c>
    </row>
    <row r="109">
      <c r="A109" t="inlineStr">
        <is>
          <t>SW-DAMPER-020-BLADE</t>
        </is>
      </c>
      <c r="B109" t="inlineStr">
        <is>
          <t>SW-DAMPER-020</t>
        </is>
      </c>
      <c r="C109" t="inlineStr">
        <is>
          <t>Lá cánh / Tôn tấm bọc van (6 cánh)</t>
        </is>
      </c>
      <c r="D109" t="inlineStr">
        <is>
          <t>TÔN_CUỘN_MẠ_KẼM</t>
        </is>
      </c>
      <c r="E109" t="inlineStr">
        <is>
          <t>MAT-STEEL-PN-0.75</t>
        </is>
      </c>
      <c r="F109" t="inlineStr">
        <is>
          <t>kg</t>
        </is>
      </c>
      <c r="G109" s="394" t="n">
        <v>4.679856000000001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6 cánh cao 153mm (2 modul 800x400mm)</t>
        </is>
      </c>
    </row>
    <row r="110">
      <c r="A110" t="inlineStr">
        <is>
          <t>SW-DAMPER-020-AXLE</t>
        </is>
      </c>
      <c r="B110" t="inlineStr">
        <is>
          <t>SW-DAMPER-020</t>
        </is>
      </c>
      <c r="C110" t="inlineStr">
        <is>
          <t>Trục Sus 201 D10</t>
        </is>
      </c>
      <c r="D110" t="inlineStr">
        <is>
          <t>PHỤ_KIỆN_VAN</t>
        </is>
      </c>
      <c r="E110" t="inlineStr">
        <is>
          <t>MAT-DAMPER-TRUC-SUS-201-D10</t>
        </is>
      </c>
      <c r="F110" t="inlineStr">
        <is>
          <t>m</t>
        </is>
      </c>
      <c r="G110" s="394" t="n">
        <v>5.16</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6 trục dài 860mm</t>
        </is>
      </c>
    </row>
    <row r="111">
      <c r="A111" t="inlineStr">
        <is>
          <t>SW-DAMPER-020-BEARING</t>
        </is>
      </c>
      <c r="B111" t="inlineStr">
        <is>
          <t>SW-DAMPER-020</t>
        </is>
      </c>
      <c r="C111" t="inlineStr">
        <is>
          <t>Bạc đồng D10</t>
        </is>
      </c>
      <c r="D111" t="inlineStr">
        <is>
          <t>PHỤ_KIỆN_VAN</t>
        </is>
      </c>
      <c r="E111" t="inlineStr">
        <is>
          <t>MAT-DAMPER-BAC-DONG-D10</t>
        </is>
      </c>
      <c r="F111" t="inlineStr">
        <is>
          <t>Đôi</t>
        </is>
      </c>
      <c r="G111" s="394" t="n">
        <v>6</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6 đôi bạc đỡ 2 bên thân</t>
        </is>
      </c>
    </row>
    <row r="112">
      <c r="A112" t="inlineStr">
        <is>
          <t>SW-DAMPER-020-GEAR</t>
        </is>
      </c>
      <c r="B112" t="inlineStr">
        <is>
          <t>SW-DAMPER-020</t>
        </is>
      </c>
      <c r="C112" t="inlineStr">
        <is>
          <t>Bánh răng van nhôm</t>
        </is>
      </c>
      <c r="D112" t="inlineStr">
        <is>
          <t>PHỤ_KIỆN_VAN</t>
        </is>
      </c>
      <c r="E112" t="inlineStr">
        <is>
          <t>MAT-DAMPER-BANH-RANG-VAN-NHOM</t>
        </is>
      </c>
      <c r="F112" t="inlineStr">
        <is>
          <t>Bộ</t>
        </is>
      </c>
      <c r="G112" s="394" t="n">
        <v>2</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Cơ cấu liên động cánh (2 bộ)</t>
        </is>
      </c>
    </row>
    <row r="113">
      <c r="A113" t="inlineStr">
        <is>
          <t>SW-DAMPER-020-HANDLE</t>
        </is>
      </c>
      <c r="B113" t="inlineStr">
        <is>
          <t>SW-DAMPER-020</t>
        </is>
      </c>
      <c r="C113" t="inlineStr">
        <is>
          <t>Tay gạt nhỏ</t>
        </is>
      </c>
      <c r="D113" t="inlineStr">
        <is>
          <t>PHỤ_KIỆN_VAN</t>
        </is>
      </c>
      <c r="E113" t="inlineStr">
        <is>
          <t>MAT-DAMPER-TAY-GAT-NHO</t>
        </is>
      </c>
      <c r="F113" t="inlineStr">
        <is>
          <t>Bộ</t>
        </is>
      </c>
      <c r="G113" s="394" t="n">
        <v>2</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Tay gạt khóa vị trí nan (S=0.32m2)</t>
        </is>
      </c>
    </row>
    <row r="114">
      <c r="A114" t="inlineStr">
        <is>
          <t>SW-DAMPER-021-BODY</t>
        </is>
      </c>
      <c r="B114" t="inlineStr">
        <is>
          <t>SW-DAMPER-021</t>
        </is>
      </c>
      <c r="C114" t="inlineStr">
        <is>
          <t>Thân vỏ van VCD bích C30/TDF (0.75mm)</t>
        </is>
      </c>
      <c r="D114" t="inlineStr">
        <is>
          <t>TÔN_CUỘN_MẠ_KẼM</t>
        </is>
      </c>
      <c r="E114" t="inlineStr">
        <is>
          <t>MAT-STEEL-PN-0.75</t>
        </is>
      </c>
      <c r="F114" t="inlineStr">
        <is>
          <t>kg</t>
        </is>
      </c>
      <c r="G114" s="394" t="n">
        <v>8.793099</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Kích thước vỏ 1600x450x210mm (2 modul 800x450mm)</t>
        </is>
      </c>
    </row>
    <row r="115">
      <c r="A115" t="inlineStr">
        <is>
          <t>SW-DAMPER-021-BLADE</t>
        </is>
      </c>
      <c r="B115" t="inlineStr">
        <is>
          <t>SW-DAMPER-021</t>
        </is>
      </c>
      <c r="C115" t="inlineStr">
        <is>
          <t>Lá cánh / Tôn tấm bọc van (6 cánh)</t>
        </is>
      </c>
      <c r="D115" t="inlineStr">
        <is>
          <t>TÔN_CUỘN_MẠ_KẼM</t>
        </is>
      </c>
      <c r="E115" t="inlineStr">
        <is>
          <t>MAT-STEEL-PN-0.75</t>
        </is>
      </c>
      <c r="F115" t="inlineStr">
        <is>
          <t>kg</t>
        </is>
      </c>
      <c r="G115" s="394" t="n">
        <v>5.188536000000001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6 cánh cao 170mm (2 modul 800x450mm)</t>
        </is>
      </c>
    </row>
    <row r="116">
      <c r="A116" t="inlineStr">
        <is>
          <t>SW-DAMPER-021-AXLE</t>
        </is>
      </c>
      <c r="B116" t="inlineStr">
        <is>
          <t>SW-DAMPER-021</t>
        </is>
      </c>
      <c r="C116" t="inlineStr">
        <is>
          <t>Trục Sus 201 D10</t>
        </is>
      </c>
      <c r="D116" t="inlineStr">
        <is>
          <t>PHỤ_KIỆN_VAN</t>
        </is>
      </c>
      <c r="E116" t="inlineStr">
        <is>
          <t>MAT-DAMPER-TRUC-SUS-201-D10</t>
        </is>
      </c>
      <c r="F116" t="inlineStr">
        <is>
          <t>m</t>
        </is>
      </c>
      <c r="G116" s="394" t="n">
        <v>5.16</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6 trục dài 860mm</t>
        </is>
      </c>
    </row>
    <row r="117">
      <c r="A117" t="inlineStr">
        <is>
          <t>SW-DAMPER-021-BEARING</t>
        </is>
      </c>
      <c r="B117" t="inlineStr">
        <is>
          <t>SW-DAMPER-021</t>
        </is>
      </c>
      <c r="C117" t="inlineStr">
        <is>
          <t>Bạc đồng D10</t>
        </is>
      </c>
      <c r="D117" t="inlineStr">
        <is>
          <t>PHỤ_KIỆN_VAN</t>
        </is>
      </c>
      <c r="E117" t="inlineStr">
        <is>
          <t>MAT-DAMPER-BAC-DONG-D10</t>
        </is>
      </c>
      <c r="F117" t="inlineStr">
        <is>
          <t>Đôi</t>
        </is>
      </c>
      <c r="G117" s="394" t="n">
        <v>6</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6 đôi bạc đỡ 2 bên thân</t>
        </is>
      </c>
    </row>
    <row r="118">
      <c r="A118" t="inlineStr">
        <is>
          <t>SW-DAMPER-021-GEAR</t>
        </is>
      </c>
      <c r="B118" t="inlineStr">
        <is>
          <t>SW-DAMPER-021</t>
        </is>
      </c>
      <c r="C118" t="inlineStr">
        <is>
          <t>Bánh răng van nhôm</t>
        </is>
      </c>
      <c r="D118" t="inlineStr">
        <is>
          <t>PHỤ_KIỆN_VAN</t>
        </is>
      </c>
      <c r="E118" t="inlineStr">
        <is>
          <t>MAT-DAMPER-BANH-RANG-VAN-NHOM</t>
        </is>
      </c>
      <c r="F118" t="inlineStr">
        <is>
          <t>Bộ</t>
        </is>
      </c>
      <c r="G118" s="394" t="n">
        <v>2</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Cơ cấu liên động cánh (2 bộ)</t>
        </is>
      </c>
    </row>
    <row r="119">
      <c r="A119" t="inlineStr">
        <is>
          <t>SW-DAMPER-021-HANDLE</t>
        </is>
      </c>
      <c r="B119" t="inlineStr">
        <is>
          <t>SW-DAMPER-021</t>
        </is>
      </c>
      <c r="C119" t="inlineStr">
        <is>
          <t>Tay gạt nhỏ</t>
        </is>
      </c>
      <c r="D119" t="inlineStr">
        <is>
          <t>PHỤ_KIỆN_VAN</t>
        </is>
      </c>
      <c r="E119" t="inlineStr">
        <is>
          <t>MAT-DAMPER-TAY-GAT-NHO</t>
        </is>
      </c>
      <c r="F119" t="inlineStr">
        <is>
          <t>Bộ</t>
        </is>
      </c>
      <c r="G119" s="394" t="n">
        <v>2</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Tay gạt khóa vị trí nan (S=0.36m2)</t>
        </is>
      </c>
    </row>
    <row r="120">
      <c r="A120" t="inlineStr">
        <is>
          <t>SW-DAMPER-022-BODY</t>
        </is>
      </c>
      <c r="B120" t="inlineStr">
        <is>
          <t>SW-DAMPER-022</t>
        </is>
      </c>
      <c r="C120" t="inlineStr">
        <is>
          <t>Thân vỏ van VCD bích C30/TDF (0.95mm)</t>
        </is>
      </c>
      <c r="D120" t="inlineStr">
        <is>
          <t>TÔN_CUỘN_MẠ_KẼM</t>
        </is>
      </c>
      <c r="E120" t="inlineStr">
        <is>
          <t>MAT-STEEL-PN-0.95</t>
        </is>
      </c>
      <c r="F120" t="inlineStr">
        <is>
          <t>kg</t>
        </is>
      </c>
      <c r="G120" s="394" t="n">
        <v>5.5689627</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Kích thước vỏ 900x350x210mm</t>
        </is>
      </c>
    </row>
    <row r="121">
      <c r="A121" t="inlineStr">
        <is>
          <t>SW-DAMPER-022-BLADE</t>
        </is>
      </c>
      <c r="B121" t="inlineStr">
        <is>
          <t>SW-DAMPER-022</t>
        </is>
      </c>
      <c r="C121" t="inlineStr">
        <is>
          <t>Lá cánh / Tôn tấm bọc van (2 cánh)</t>
        </is>
      </c>
      <c r="D121" t="inlineStr">
        <is>
          <t>TÔN_CUỘN_MẠ_KẼM</t>
        </is>
      </c>
      <c r="E121" t="inlineStr">
        <is>
          <t>MAT-STEEL-PN-0.75</t>
        </is>
      </c>
      <c r="F121" t="inlineStr">
        <is>
          <t>kg</t>
        </is>
      </c>
      <c r="G121" s="394" t="n">
        <v>2.2318335</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 cánh cao 195mm</t>
        </is>
      </c>
    </row>
    <row r="122">
      <c r="A122" t="inlineStr">
        <is>
          <t>SW-DAMPER-022-AXLE</t>
        </is>
      </c>
      <c r="B122" t="inlineStr">
        <is>
          <t>SW-DAMPER-022</t>
        </is>
      </c>
      <c r="C122" t="inlineStr">
        <is>
          <t>Trục Sus 201 D10</t>
        </is>
      </c>
      <c r="D122" t="inlineStr">
        <is>
          <t>PHỤ_KIỆN_VAN</t>
        </is>
      </c>
      <c r="E122" t="inlineStr">
        <is>
          <t>MAT-DAMPER-TRUC-SUS-201-D10</t>
        </is>
      </c>
      <c r="F122" t="inlineStr">
        <is>
          <t>m</t>
        </is>
      </c>
      <c r="G122" s="394" t="n">
        <v>1.92</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2 trục dài 960mm</t>
        </is>
      </c>
    </row>
    <row r="123">
      <c r="A123" t="inlineStr">
        <is>
          <t>SW-DAMPER-022-BEARING</t>
        </is>
      </c>
      <c r="B123" t="inlineStr">
        <is>
          <t>SW-DAMPER-022</t>
        </is>
      </c>
      <c r="C123" t="inlineStr">
        <is>
          <t>Bạc đồng D10</t>
        </is>
      </c>
      <c r="D123" t="inlineStr">
        <is>
          <t>PHỤ_KIỆN_VAN</t>
        </is>
      </c>
      <c r="E123" t="inlineStr">
        <is>
          <t>MAT-DAMPER-BAC-DONG-D10</t>
        </is>
      </c>
      <c r="F123" t="inlineStr">
        <is>
          <t>Đôi</t>
        </is>
      </c>
      <c r="G123" s="394" t="n">
        <v>2</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2 đôi bạc đỡ 2 bên thân</t>
        </is>
      </c>
    </row>
    <row r="124">
      <c r="A124" t="inlineStr">
        <is>
          <t>SW-DAMPER-022-GEAR</t>
        </is>
      </c>
      <c r="B124" t="inlineStr">
        <is>
          <t>SW-DAMPER-022</t>
        </is>
      </c>
      <c r="C124" t="inlineStr">
        <is>
          <t>Bánh răng van nhôm</t>
        </is>
      </c>
      <c r="D124" t="inlineStr">
        <is>
          <t>PHỤ_KIỆN_VAN</t>
        </is>
      </c>
      <c r="E124" t="inlineStr">
        <is>
          <t>MAT-DAMPER-BANH-RANG-VAN-NHOM</t>
        </is>
      </c>
      <c r="F124" t="inlineStr">
        <is>
          <t>Bộ</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Cơ cấu liên động cánh (1 bộ)</t>
        </is>
      </c>
    </row>
    <row r="125">
      <c r="A125" t="inlineStr">
        <is>
          <t>SW-DAMPER-022-HANDLE</t>
        </is>
      </c>
      <c r="B125" t="inlineStr">
        <is>
          <t>SW-DAMPER-022</t>
        </is>
      </c>
      <c r="C125" t="inlineStr">
        <is>
          <t>Tay gạt nhỏ</t>
        </is>
      </c>
      <c r="D125" t="inlineStr">
        <is>
          <t>PHỤ_KIỆN_VAN</t>
        </is>
      </c>
      <c r="E125" t="inlineStr">
        <is>
          <t>MAT-DAMPER-TAY-GAT-NHO</t>
        </is>
      </c>
      <c r="F125" t="inlineStr">
        <is>
          <t>Bộ</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Tay gạt khóa vị trí nan (S=0.32m2)</t>
        </is>
      </c>
    </row>
    <row r="126">
      <c r="A126" t="inlineStr">
        <is>
          <t>SW-DAMPER-023-BODY</t>
        </is>
      </c>
      <c r="B126" t="inlineStr">
        <is>
          <t>SW-DAMPER-023</t>
        </is>
      </c>
      <c r="C126" t="inlineStr">
        <is>
          <t>Thân vỏ van VCD bích C30/TDF (0.75mm)</t>
        </is>
      </c>
      <c r="D126" t="inlineStr">
        <is>
          <t>TÔN_CUỘN_MẠ_KẼM</t>
        </is>
      </c>
      <c r="E126" t="inlineStr">
        <is>
          <t>MAT-STEEL-PN-0.75</t>
        </is>
      </c>
      <c r="F126" t="inlineStr">
        <is>
          <t>kg</t>
        </is>
      </c>
      <c r="G126" s="394" t="n">
        <v>3.184902</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Kích thước vỏ 600x300x210mm</t>
        </is>
      </c>
    </row>
    <row r="127">
      <c r="A127" t="inlineStr">
        <is>
          <t>SW-DAMPER-023-BLADE</t>
        </is>
      </c>
      <c r="B127" t="inlineStr">
        <is>
          <t>SW-DAMPER-023</t>
        </is>
      </c>
      <c r="C127" t="inlineStr">
        <is>
          <t>Lá cánh / Tôn tấm bọc van (2 cánh)</t>
        </is>
      </c>
      <c r="D127" t="inlineStr">
        <is>
          <t>TÔN_CUỘN_MẠ_KẼM</t>
        </is>
      </c>
      <c r="E127" t="inlineStr">
        <is>
          <t>MAT-STEEL-PN-0.75</t>
        </is>
      </c>
      <c r="F127" t="inlineStr">
        <is>
          <t>kg</t>
        </is>
      </c>
      <c r="G127" s="394" t="n">
        <v>1.297134</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2 cánh cao 170mm</t>
        </is>
      </c>
    </row>
    <row r="128">
      <c r="A128" t="inlineStr">
        <is>
          <t>SW-DAMPER-023-AXLE</t>
        </is>
      </c>
      <c r="B128" t="inlineStr">
        <is>
          <t>SW-DAMPER-023</t>
        </is>
      </c>
      <c r="C128" t="inlineStr">
        <is>
          <t>Trục Sus 201 D10</t>
        </is>
      </c>
      <c r="D128" t="inlineStr">
        <is>
          <t>PHỤ_KIỆN_VAN</t>
        </is>
      </c>
      <c r="E128" t="inlineStr">
        <is>
          <t>MAT-DAMPER-TRUC-SUS-201-D10</t>
        </is>
      </c>
      <c r="F128" t="inlineStr">
        <is>
          <t>m</t>
        </is>
      </c>
      <c r="G128" s="394" t="n">
        <v>1.32</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2 trục dài 660mm</t>
        </is>
      </c>
    </row>
    <row r="129">
      <c r="A129" t="inlineStr">
        <is>
          <t>SW-DAMPER-023-BEARING</t>
        </is>
      </c>
      <c r="B129" t="inlineStr">
        <is>
          <t>SW-DAMPER-023</t>
        </is>
      </c>
      <c r="C129" t="inlineStr">
        <is>
          <t>Bạc đồng D10</t>
        </is>
      </c>
      <c r="D129" t="inlineStr">
        <is>
          <t>PHỤ_KIỆN_VAN</t>
        </is>
      </c>
      <c r="E129" t="inlineStr">
        <is>
          <t>MAT-DAMPER-BAC-DONG-D10</t>
        </is>
      </c>
      <c r="F129" t="inlineStr">
        <is>
          <t>Đôi</t>
        </is>
      </c>
      <c r="G129" s="394" t="n">
        <v>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2 đôi bạc đỡ 2 bên thân</t>
        </is>
      </c>
    </row>
    <row r="130">
      <c r="A130" t="inlineStr">
        <is>
          <t>SW-DAMPER-023-GEAR</t>
        </is>
      </c>
      <c r="B130" t="inlineStr">
        <is>
          <t>SW-DAMPER-023</t>
        </is>
      </c>
      <c r="C130" t="inlineStr">
        <is>
          <t>Bánh răng van nhôm</t>
        </is>
      </c>
      <c r="D130" t="inlineStr">
        <is>
          <t>PHỤ_KIỆN_VAN</t>
        </is>
      </c>
      <c r="E130" t="inlineStr">
        <is>
          <t>MAT-DAMPER-BANH-RANG-VAN-NHOM</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Cơ cấu liên động cánh (1 bộ)</t>
        </is>
      </c>
    </row>
    <row r="131">
      <c r="A131" t="inlineStr">
        <is>
          <t>SW-DAMPER-023-HANDLE</t>
        </is>
      </c>
      <c r="B131" t="inlineStr">
        <is>
          <t>SW-DAMPER-023</t>
        </is>
      </c>
      <c r="C131" t="inlineStr">
        <is>
          <t>Tay gạt nhỏ</t>
        </is>
      </c>
      <c r="D131" t="inlineStr">
        <is>
          <t>PHỤ_KIỆN_VAN</t>
        </is>
      </c>
      <c r="E131" t="inlineStr">
        <is>
          <t>MAT-DAMPER-TAY-GAT-NHO</t>
        </is>
      </c>
      <c r="F131" t="inlineStr">
        <is>
          <t>Bộ</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Tay gạt khóa vị trí nan (S=0.18m2)</t>
        </is>
      </c>
    </row>
    <row r="132">
      <c r="A132" t="inlineStr">
        <is>
          <t>SW-DAMPER-044-BODY</t>
        </is>
      </c>
      <c r="B132" t="inlineStr">
        <is>
          <t>SW-DAMPER-044</t>
        </is>
      </c>
      <c r="C132" t="inlineStr">
        <is>
          <t>Thân vỏ van NRD bích C30/TDF (0.75mm)</t>
        </is>
      </c>
      <c r="D132" t="inlineStr">
        <is>
          <t>TÔN_CUỘN_MẠ_KẼM</t>
        </is>
      </c>
      <c r="E132" t="inlineStr">
        <is>
          <t>MAT-STEEL-PN-0.75</t>
        </is>
      </c>
      <c r="F132" t="inlineStr">
        <is>
          <t>kg</t>
        </is>
      </c>
      <c r="G132" s="394" t="n">
        <v>1.800162</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Kích thước vỏ 300x200x210mm</t>
        </is>
      </c>
    </row>
    <row r="133">
      <c r="A133" t="inlineStr">
        <is>
          <t>SW-DAMPER-044-BLADE</t>
        </is>
      </c>
      <c r="B133" t="inlineStr">
        <is>
          <t>SW-DAMPER-044</t>
        </is>
      </c>
      <c r="C133" t="inlineStr">
        <is>
          <t>Lá cánh / Tôn tấm bọc van (2 cánh)</t>
        </is>
      </c>
      <c r="D133" t="inlineStr">
        <is>
          <t>TÔN_CUỘN_MẠ_KẼM</t>
        </is>
      </c>
      <c r="E133" t="inlineStr">
        <is>
          <t>MAT-STEEL-PN-0.75</t>
        </is>
      </c>
      <c r="F133" t="inlineStr">
        <is>
          <t>kg</t>
        </is>
      </c>
      <c r="G133" s="394" t="n">
        <v>0.4578119999999999</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2 cánh cao 120mm</t>
        </is>
      </c>
    </row>
    <row r="134">
      <c r="A134" t="inlineStr">
        <is>
          <t>SW-DAMPER-044-AXLE</t>
        </is>
      </c>
      <c r="B134" t="inlineStr">
        <is>
          <t>SW-DAMPER-044</t>
        </is>
      </c>
      <c r="C134" t="inlineStr">
        <is>
          <t>Trục Sus 201 D10</t>
        </is>
      </c>
      <c r="D134" t="inlineStr">
        <is>
          <t>PHỤ_KIỆN_VAN</t>
        </is>
      </c>
      <c r="E134" t="inlineStr">
        <is>
          <t>MAT-DAMPER-TRUC-SUS-201-D10</t>
        </is>
      </c>
      <c r="F134" t="inlineStr">
        <is>
          <t>m</t>
        </is>
      </c>
      <c r="G134" s="394" t="n">
        <v>0.72</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2 trục dài 360mm</t>
        </is>
      </c>
    </row>
    <row r="135">
      <c r="A135" t="inlineStr">
        <is>
          <t>SW-DAMPER-044-BEARING</t>
        </is>
      </c>
      <c r="B135" t="inlineStr">
        <is>
          <t>SW-DAMPER-044</t>
        </is>
      </c>
      <c r="C135" t="inlineStr">
        <is>
          <t>Bạc đồng D10</t>
        </is>
      </c>
      <c r="D135" t="inlineStr">
        <is>
          <t>PHỤ_KIỆN_VAN</t>
        </is>
      </c>
      <c r="E135" t="inlineStr">
        <is>
          <t>MAT-DAMPER-BAC-DONG-D10</t>
        </is>
      </c>
      <c r="F135" t="inlineStr">
        <is>
          <t>Đôi</t>
        </is>
      </c>
      <c r="G135" s="394" t="n">
        <v>2</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2 đôi bạc đỡ 2 bên thân</t>
        </is>
      </c>
    </row>
    <row r="136">
      <c r="A136" t="inlineStr">
        <is>
          <t>SW-DAMPER-044-GEAR</t>
        </is>
      </c>
      <c r="B136" t="inlineStr">
        <is>
          <t>SW-DAMPER-044</t>
        </is>
      </c>
      <c r="C136" t="inlineStr">
        <is>
          <t>Bánh răng van nhôm</t>
        </is>
      </c>
      <c r="D136" t="inlineStr">
        <is>
          <t>PHỤ_KIỆN_VAN</t>
        </is>
      </c>
      <c r="E136" t="inlineStr">
        <is>
          <t>MAT-DAMPER-BANH-RANG-VAN-NHOM</t>
        </is>
      </c>
      <c r="F136" t="inlineStr">
        <is>
          <t>Bộ</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Cơ cấu liên động cánh (1 bộ)</t>
        </is>
      </c>
    </row>
    <row r="137">
      <c r="A137" t="inlineStr">
        <is>
          <t>SW-DAMPER-044-ECCENTRIC</t>
        </is>
      </c>
      <c r="B137" t="inlineStr">
        <is>
          <t>SW-DAMPER-044</t>
        </is>
      </c>
      <c r="C137" t="inlineStr">
        <is>
          <t>Cơ cấu lệch tâm / Lò xo đóng mở (NRD)</t>
        </is>
      </c>
      <c r="D137" t="inlineStr">
        <is>
          <t>PHỤ_KIỆN_VAN</t>
        </is>
      </c>
      <c r="E137" t="inlineStr">
        <is>
          <t>ECCENTRIC_SHAFT</t>
        </is>
      </c>
      <c r="F137" t="inlineStr">
        <is>
          <t>Bộ</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Cơ cấu đóng mở một chiều</t>
        </is>
      </c>
    </row>
    <row r="138">
      <c r="A138" t="inlineStr">
        <is>
          <t>SW-DAMPER-045-BODY</t>
        </is>
      </c>
      <c r="B138" t="inlineStr">
        <is>
          <t>SW-DAMPER-045</t>
        </is>
      </c>
      <c r="C138" t="inlineStr">
        <is>
          <t>Thân vỏ van NRD bích C30/TDF (0.75mm)</t>
        </is>
      </c>
      <c r="D138" t="inlineStr">
        <is>
          <t>TÔN_CUỘN_MẠ_KẼM</t>
        </is>
      </c>
      <c r="E138" t="inlineStr">
        <is>
          <t>MAT-STEEL-PN-0.75</t>
        </is>
      </c>
      <c r="F138" t="inlineStr">
        <is>
          <t>kg</t>
        </is>
      </c>
      <c r="G138" s="394" t="n">
        <v>4.223457</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Kích thước vỏ 700x500x210mm</t>
        </is>
      </c>
    </row>
    <row r="139">
      <c r="A139" t="inlineStr">
        <is>
          <t>SW-DAMPER-045-BLADE</t>
        </is>
      </c>
      <c r="B139" t="inlineStr">
        <is>
          <t>SW-DAMPER-045</t>
        </is>
      </c>
      <c r="C139" t="inlineStr">
        <is>
          <t>Lá cánh / Tôn tấm bọc van (3 cánh)</t>
        </is>
      </c>
      <c r="D139" t="inlineStr">
        <is>
          <t>TÔN_CUỘN_MẠ_KẼM</t>
        </is>
      </c>
      <c r="E139" t="inlineStr">
        <is>
          <t>MAT-STEEL-PN-0.75</t>
        </is>
      </c>
      <c r="F139" t="inlineStr">
        <is>
          <t>kg</t>
        </is>
      </c>
      <c r="G139" s="394" t="n">
        <v>2.492531999999999</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3 cánh cao 187mm</t>
        </is>
      </c>
    </row>
    <row r="140">
      <c r="A140" t="inlineStr">
        <is>
          <t>SW-DAMPER-045-AXLE</t>
        </is>
      </c>
      <c r="B140" t="inlineStr">
        <is>
          <t>SW-DAMPER-045</t>
        </is>
      </c>
      <c r="C140" t="inlineStr">
        <is>
          <t>Trục Sus 201 D10</t>
        </is>
      </c>
      <c r="D140" t="inlineStr">
        <is>
          <t>PHỤ_KIỆN_VAN</t>
        </is>
      </c>
      <c r="E140" t="inlineStr">
        <is>
          <t>MAT-DAMPER-TRUC-SUS-201-D10</t>
        </is>
      </c>
      <c r="F140" t="inlineStr">
        <is>
          <t>m</t>
        </is>
      </c>
      <c r="G140" s="394" t="n">
        <v>2.28</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3 trục dài 760mm</t>
        </is>
      </c>
    </row>
    <row r="141">
      <c r="A141" t="inlineStr">
        <is>
          <t>SW-DAMPER-045-BEARING</t>
        </is>
      </c>
      <c r="B141" t="inlineStr">
        <is>
          <t>SW-DAMPER-045</t>
        </is>
      </c>
      <c r="C141" t="inlineStr">
        <is>
          <t>Bạc đồng D10</t>
        </is>
      </c>
      <c r="D141" t="inlineStr">
        <is>
          <t>PHỤ_KIỆN_VAN</t>
        </is>
      </c>
      <c r="E141" t="inlineStr">
        <is>
          <t>MAT-DAMPER-BAC-DONG-D10</t>
        </is>
      </c>
      <c r="F141" t="inlineStr">
        <is>
          <t>Đôi</t>
        </is>
      </c>
      <c r="G141" s="394" t="n">
        <v>3</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3 đôi bạc đỡ 2 bên thân</t>
        </is>
      </c>
    </row>
    <row r="142">
      <c r="A142" t="inlineStr">
        <is>
          <t>SW-DAMPER-045-GEAR</t>
        </is>
      </c>
      <c r="B142" t="inlineStr">
        <is>
          <t>SW-DAMPER-045</t>
        </is>
      </c>
      <c r="C142" t="inlineStr">
        <is>
          <t>Bánh răng van nhôm</t>
        </is>
      </c>
      <c r="D142" t="inlineStr">
        <is>
          <t>PHỤ_KIỆN_VAN</t>
        </is>
      </c>
      <c r="E142" t="inlineStr">
        <is>
          <t>MAT-DAMPER-BANH-RANG-VAN-NHOM</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Cơ cấu liên động cánh (1 bộ)</t>
        </is>
      </c>
    </row>
    <row r="143">
      <c r="A143" t="inlineStr">
        <is>
          <t>SW-DAMPER-045-ECCENTRIC</t>
        </is>
      </c>
      <c r="B143" t="inlineStr">
        <is>
          <t>SW-DAMPER-045</t>
        </is>
      </c>
      <c r="C143" t="inlineStr">
        <is>
          <t>Cơ cấu lệch tâm / Lò xo đóng mở (NRD)</t>
        </is>
      </c>
      <c r="D143" t="inlineStr">
        <is>
          <t>PHỤ_KIỆN_VAN</t>
        </is>
      </c>
      <c r="E143" t="inlineStr">
        <is>
          <t>ECCENTRIC_SHAFT</t>
        </is>
      </c>
      <c r="F143" t="inlineStr">
        <is>
          <t>Bộ</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Cơ cấu đóng mở một chiều</t>
        </is>
      </c>
    </row>
    <row r="144">
      <c r="A144" t="inlineStr">
        <is>
          <t>SW-DAMPER-046-BODY</t>
        </is>
      </c>
      <c r="B144" t="inlineStr">
        <is>
          <t>SW-DAMPER-046</t>
        </is>
      </c>
      <c r="C144" t="inlineStr">
        <is>
          <t>Thân vỏ van NRD bích C30/TDF (0.75mm)</t>
        </is>
      </c>
      <c r="D144" t="inlineStr">
        <is>
          <t>TÔN_CUỘN_MẠ_KẼM</t>
        </is>
      </c>
      <c r="E144" t="inlineStr">
        <is>
          <t>MAT-STEEL-PN-0.75</t>
        </is>
      </c>
      <c r="F144" t="inlineStr">
        <is>
          <t>kg</t>
        </is>
      </c>
      <c r="G144" s="394" t="n">
        <v>5.262012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Kích thước vỏ 700x800x210mm</t>
        </is>
      </c>
    </row>
    <row r="145">
      <c r="A145" t="inlineStr">
        <is>
          <t>SW-DAMPER-046-BLADE</t>
        </is>
      </c>
      <c r="B145" t="inlineStr">
        <is>
          <t>SW-DAMPER-046</t>
        </is>
      </c>
      <c r="C145" t="inlineStr">
        <is>
          <t>Lá cánh / Tôn tấm bọc van (5 cánh)</t>
        </is>
      </c>
      <c r="D145" t="inlineStr">
        <is>
          <t>TÔN_CUỘN_MẠ_KẼM</t>
        </is>
      </c>
      <c r="E145" t="inlineStr">
        <is>
          <t>MAT-STEEL-PN-0.75</t>
        </is>
      </c>
      <c r="F145" t="inlineStr">
        <is>
          <t>kg</t>
        </is>
      </c>
      <c r="G145" s="394" t="n">
        <v>4.005854999999999</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5 cánh cao 180mm</t>
        </is>
      </c>
    </row>
    <row r="146">
      <c r="A146" t="inlineStr">
        <is>
          <t>SW-DAMPER-046-AXLE</t>
        </is>
      </c>
      <c r="B146" t="inlineStr">
        <is>
          <t>SW-DAMPER-046</t>
        </is>
      </c>
      <c r="C146" t="inlineStr">
        <is>
          <t>Trục Sus 201 D10</t>
        </is>
      </c>
      <c r="D146" t="inlineStr">
        <is>
          <t>PHỤ_KIỆN_VAN</t>
        </is>
      </c>
      <c r="E146" t="inlineStr">
        <is>
          <t>MAT-DAMPER-TRUC-SUS-201-D10</t>
        </is>
      </c>
      <c r="F146" t="inlineStr">
        <is>
          <t>m</t>
        </is>
      </c>
      <c r="G146" s="394" t="n">
        <v>3.8</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5 trục dài 760mm</t>
        </is>
      </c>
    </row>
    <row r="147">
      <c r="A147" t="inlineStr">
        <is>
          <t>SW-DAMPER-046-BEARING</t>
        </is>
      </c>
      <c r="B147" t="inlineStr">
        <is>
          <t>SW-DAMPER-046</t>
        </is>
      </c>
      <c r="C147" t="inlineStr">
        <is>
          <t>Bạc đồng D10</t>
        </is>
      </c>
      <c r="D147" t="inlineStr">
        <is>
          <t>PHỤ_KIỆN_VAN</t>
        </is>
      </c>
      <c r="E147" t="inlineStr">
        <is>
          <t>MAT-DAMPER-BAC-DONG-D10</t>
        </is>
      </c>
      <c r="F147" t="inlineStr">
        <is>
          <t>Đôi</t>
        </is>
      </c>
      <c r="G147" s="394" t="n">
        <v>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5 đôi bạc đỡ 2 bên thân</t>
        </is>
      </c>
    </row>
    <row r="148">
      <c r="A148" t="inlineStr">
        <is>
          <t>SW-DAMPER-046-GEAR</t>
        </is>
      </c>
      <c r="B148" t="inlineStr">
        <is>
          <t>SW-DAMPER-046</t>
        </is>
      </c>
      <c r="C148" t="inlineStr">
        <is>
          <t>Bánh răng van nhôm</t>
        </is>
      </c>
      <c r="D148" t="inlineStr">
        <is>
          <t>PHỤ_KIỆN_VAN</t>
        </is>
      </c>
      <c r="E148" t="inlineStr">
        <is>
          <t>MAT-DAMPER-BANH-RANG-VAN-NHOM</t>
        </is>
      </c>
      <c r="F148" t="inlineStr">
        <is>
          <t>Bộ</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Cơ cấu liên động cánh (1 bộ)</t>
        </is>
      </c>
    </row>
    <row r="149">
      <c r="A149" t="inlineStr">
        <is>
          <t>SW-DAMPER-046-ECCENTRIC</t>
        </is>
      </c>
      <c r="B149" t="inlineStr">
        <is>
          <t>SW-DAMPER-046</t>
        </is>
      </c>
      <c r="C149" t="inlineStr">
        <is>
          <t>Cơ cấu lệch tâm / Lò xo đóng mở (NRD)</t>
        </is>
      </c>
      <c r="D149" t="inlineStr">
        <is>
          <t>PHỤ_KIỆN_VAN</t>
        </is>
      </c>
      <c r="E149" t="inlineStr">
        <is>
          <t>ECCENTRIC_SHAFT</t>
        </is>
      </c>
      <c r="F149" t="inlineStr">
        <is>
          <t>Bộ</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Cơ cấu đóng mở một chiều</t>
        </is>
      </c>
    </row>
    <row r="150">
      <c r="A150" t="inlineStr">
        <is>
          <t>SW-DAMPER-047-BODY</t>
        </is>
      </c>
      <c r="B150" t="inlineStr">
        <is>
          <t>SW-DAMPER-047</t>
        </is>
      </c>
      <c r="C150" t="inlineStr">
        <is>
          <t>Thân vỏ van NRD bích C30/TDF (0.75mm)</t>
        </is>
      </c>
      <c r="D150" t="inlineStr">
        <is>
          <t>TÔN_CUỘN_MẠ_KẼM</t>
        </is>
      </c>
      <c r="E150" t="inlineStr">
        <is>
          <t>MAT-STEEL-PN-0.75</t>
        </is>
      </c>
      <c r="F150" t="inlineStr">
        <is>
          <t>kg</t>
        </is>
      </c>
      <c r="G150" s="394" t="n">
        <v>1.6270695</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Kích thước vỏ 250x200x210mm</t>
        </is>
      </c>
    </row>
    <row r="151">
      <c r="A151" t="inlineStr">
        <is>
          <t>SW-DAMPER-047-BLADE</t>
        </is>
      </c>
      <c r="B151" t="inlineStr">
        <is>
          <t>SW-DAMPER-047</t>
        </is>
      </c>
      <c r="C151" t="inlineStr">
        <is>
          <t>Lá cánh / Tôn tấm bọc van (2 cánh)</t>
        </is>
      </c>
      <c r="D151" t="inlineStr">
        <is>
          <t>TÔN_CUỘN_MẠ_KẼM</t>
        </is>
      </c>
      <c r="E151" t="inlineStr">
        <is>
          <t>MAT-STEEL-PN-0.75</t>
        </is>
      </c>
      <c r="F151" t="inlineStr">
        <is>
          <t>kg</t>
        </is>
      </c>
      <c r="G151" s="394" t="n">
        <v>0.38151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2 cánh cao 120mm</t>
        </is>
      </c>
    </row>
    <row r="152">
      <c r="A152" t="inlineStr">
        <is>
          <t>SW-DAMPER-047-AXLE</t>
        </is>
      </c>
      <c r="B152" t="inlineStr">
        <is>
          <t>SW-DAMPER-047</t>
        </is>
      </c>
      <c r="C152" t="inlineStr">
        <is>
          <t>Trục Sus 201 D10</t>
        </is>
      </c>
      <c r="D152" t="inlineStr">
        <is>
          <t>PHỤ_KIỆN_VAN</t>
        </is>
      </c>
      <c r="E152" t="inlineStr">
        <is>
          <t>MAT-DAMPER-TRUC-SUS-201-D10</t>
        </is>
      </c>
      <c r="F152" t="inlineStr">
        <is>
          <t>m</t>
        </is>
      </c>
      <c r="G152" s="394" t="n">
        <v>0.62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2 trục dài 310mm</t>
        </is>
      </c>
    </row>
    <row r="153">
      <c r="A153" t="inlineStr">
        <is>
          <t>SW-DAMPER-047-BEARING</t>
        </is>
      </c>
      <c r="B153" t="inlineStr">
        <is>
          <t>SW-DAMPER-047</t>
        </is>
      </c>
      <c r="C153" t="inlineStr">
        <is>
          <t>Bạc đồng D10</t>
        </is>
      </c>
      <c r="D153" t="inlineStr">
        <is>
          <t>PHỤ_KIỆN_VAN</t>
        </is>
      </c>
      <c r="E153" t="inlineStr">
        <is>
          <t>MAT-DAMPER-BAC-DONG-D10</t>
        </is>
      </c>
      <c r="F153" t="inlineStr">
        <is>
          <t>Đôi</t>
        </is>
      </c>
      <c r="G153" s="394" t="n">
        <v>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2 đôi bạc đỡ 2 bên thân</t>
        </is>
      </c>
    </row>
    <row r="154">
      <c r="A154" t="inlineStr">
        <is>
          <t>SW-DAMPER-047-GEAR</t>
        </is>
      </c>
      <c r="B154" t="inlineStr">
        <is>
          <t>SW-DAMPER-047</t>
        </is>
      </c>
      <c r="C154" t="inlineStr">
        <is>
          <t>Bánh răng van nhôm</t>
        </is>
      </c>
      <c r="D154" t="inlineStr">
        <is>
          <t>PHỤ_KIỆN_VAN</t>
        </is>
      </c>
      <c r="E154" t="inlineStr">
        <is>
          <t>MAT-DAMPER-BANH-RANG-VAN-NHOM</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Cơ cấu liên động cánh (1 bộ)</t>
        </is>
      </c>
    </row>
    <row r="155">
      <c r="A155" t="inlineStr">
        <is>
          <t>SW-DAMPER-047-ECCENTRIC</t>
        </is>
      </c>
      <c r="B155" t="inlineStr">
        <is>
          <t>SW-DAMPER-047</t>
        </is>
      </c>
      <c r="C155" t="inlineStr">
        <is>
          <t>Cơ cấu lệch tâm / Lò xo đóng mở (NRD)</t>
        </is>
      </c>
      <c r="D155" t="inlineStr">
        <is>
          <t>PHỤ_KIỆN_VAN</t>
        </is>
      </c>
      <c r="E155" t="inlineStr">
        <is>
          <t>ECCENTRIC_SHAFT</t>
        </is>
      </c>
      <c r="F155" t="inlineStr">
        <is>
          <t>Bộ</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Cơ cấu đóng mở một chiều</t>
        </is>
      </c>
    </row>
    <row r="156">
      <c r="A156" t="inlineStr">
        <is>
          <t>SW-DAMPER-048-BODY</t>
        </is>
      </c>
      <c r="B156" t="inlineStr">
        <is>
          <t>SW-DAMPER-048</t>
        </is>
      </c>
      <c r="C156" t="inlineStr">
        <is>
          <t>Thân vỏ van NRD bích C30/TDF (0.95mm)</t>
        </is>
      </c>
      <c r="D156" t="inlineStr">
        <is>
          <t>TÔN_CUỘN_MẠ_KẼM</t>
        </is>
      </c>
      <c r="E156" t="inlineStr">
        <is>
          <t>MAT-STEEL-PN-0.95</t>
        </is>
      </c>
      <c r="F156" t="inlineStr">
        <is>
          <t>kg</t>
        </is>
      </c>
      <c r="G156" s="394" t="n">
        <v>5.7882132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Kích thước vỏ 900x400x210mm</t>
        </is>
      </c>
    </row>
    <row r="157">
      <c r="A157" t="inlineStr">
        <is>
          <t>SW-DAMPER-048-BLADE</t>
        </is>
      </c>
      <c r="B157" t="inlineStr">
        <is>
          <t>SW-DAMPER-048</t>
        </is>
      </c>
      <c r="C157" t="inlineStr">
        <is>
          <t>Lá cánh / Tôn tấm bọc van (3 cánh)</t>
        </is>
      </c>
      <c r="D157" t="inlineStr">
        <is>
          <t>TÔN_CUỘN_MẠ_KẼM</t>
        </is>
      </c>
      <c r="E157" t="inlineStr">
        <is>
          <t>MAT-STEEL-PN-0.75</t>
        </is>
      </c>
      <c r="F157" t="inlineStr">
        <is>
          <t>kg</t>
        </is>
      </c>
      <c r="G157" s="394" t="n">
        <v>2.632419000000001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3 cánh cao 153mm</t>
        </is>
      </c>
    </row>
    <row r="158">
      <c r="A158" t="inlineStr">
        <is>
          <t>SW-DAMPER-048-AXLE</t>
        </is>
      </c>
      <c r="B158" t="inlineStr">
        <is>
          <t>SW-DAMPER-048</t>
        </is>
      </c>
      <c r="C158" t="inlineStr">
        <is>
          <t>Trục Sus 201 D10</t>
        </is>
      </c>
      <c r="D158" t="inlineStr">
        <is>
          <t>PHỤ_KIỆN_VAN</t>
        </is>
      </c>
      <c r="E158" t="inlineStr">
        <is>
          <t>MAT-DAMPER-TRUC-SUS-201-D10</t>
        </is>
      </c>
      <c r="F158" t="inlineStr">
        <is>
          <t>m</t>
        </is>
      </c>
      <c r="G158" s="394" t="n">
        <v>2.88</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3 trục dài 960mm</t>
        </is>
      </c>
    </row>
    <row r="159">
      <c r="A159" t="inlineStr">
        <is>
          <t>SW-DAMPER-048-BEARING</t>
        </is>
      </c>
      <c r="B159" t="inlineStr">
        <is>
          <t>SW-DAMPER-048</t>
        </is>
      </c>
      <c r="C159" t="inlineStr">
        <is>
          <t>Bạc đồng D10</t>
        </is>
      </c>
      <c r="D159" t="inlineStr">
        <is>
          <t>PHỤ_KIỆN_VAN</t>
        </is>
      </c>
      <c r="E159" t="inlineStr">
        <is>
          <t>MAT-DAMPER-BAC-DONG-D10</t>
        </is>
      </c>
      <c r="F159" t="inlineStr">
        <is>
          <t>Đôi</t>
        </is>
      </c>
      <c r="G159" s="394" t="n">
        <v>3</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3 đôi bạc đỡ 2 bên thân</t>
        </is>
      </c>
    </row>
    <row r="160">
      <c r="A160" t="inlineStr">
        <is>
          <t>SW-DAMPER-048-GEAR</t>
        </is>
      </c>
      <c r="B160" t="inlineStr">
        <is>
          <t>SW-DAMPER-048</t>
        </is>
      </c>
      <c r="C160" t="inlineStr">
        <is>
          <t>Bánh răng van nhôm</t>
        </is>
      </c>
      <c r="D160" t="inlineStr">
        <is>
          <t>PHỤ_KIỆN_VAN</t>
        </is>
      </c>
      <c r="E160" t="inlineStr">
        <is>
          <t>MAT-DAMPER-BANH-RANG-VAN-NHOM</t>
        </is>
      </c>
      <c r="F160" t="inlineStr">
        <is>
          <t>Bộ</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Cơ cấu liên động cánh (1 bộ)</t>
        </is>
      </c>
    </row>
    <row r="161">
      <c r="A161" t="inlineStr">
        <is>
          <t>SW-DAMPER-048-ECCENTRIC</t>
        </is>
      </c>
      <c r="B161" t="inlineStr">
        <is>
          <t>SW-DAMPER-048</t>
        </is>
      </c>
      <c r="C161" t="inlineStr">
        <is>
          <t>Cơ cấu lệch tâm / Lò xo đóng mở (NRD)</t>
        </is>
      </c>
      <c r="D161" t="inlineStr">
        <is>
          <t>PHỤ_KIỆN_VAN</t>
        </is>
      </c>
      <c r="E161" t="inlineStr">
        <is>
          <t>ECCENTRIC_SHAFT</t>
        </is>
      </c>
      <c r="F161" t="inlineStr">
        <is>
          <t>Bộ</t>
        </is>
      </c>
      <c r="G161" s="394" t="n">
        <v>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Cơ cấu đóng mở một chiều</t>
        </is>
      </c>
    </row>
    <row r="162">
      <c r="A162" t="inlineStr">
        <is>
          <t>SW-DAMPER-049-BODY</t>
        </is>
      </c>
      <c r="B162" t="inlineStr">
        <is>
          <t>SW-DAMPER-049</t>
        </is>
      </c>
      <c r="C162" t="inlineStr">
        <is>
          <t>Thân vỏ van NRD bích C30/TDF (0.75mm)</t>
        </is>
      </c>
      <c r="D162" t="inlineStr">
        <is>
          <t>TÔN_CUỘN_MẠ_KẼM</t>
        </is>
      </c>
      <c r="E162" t="inlineStr">
        <is>
          <t>MAT-STEEL-PN-0.75</t>
        </is>
      </c>
      <c r="F162" t="inlineStr">
        <is>
          <t>kg</t>
        </is>
      </c>
      <c r="G162" s="394" t="n">
        <v>2.146347</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Kích thước vỏ 300x300x210mm</t>
        </is>
      </c>
    </row>
    <row r="163">
      <c r="A163" t="inlineStr">
        <is>
          <t>SW-DAMPER-049-BLADE</t>
        </is>
      </c>
      <c r="B163" t="inlineStr">
        <is>
          <t>SW-DAMPER-049</t>
        </is>
      </c>
      <c r="C163" t="inlineStr">
        <is>
          <t>Lá cánh / Tôn tấm bọc van (2 cánh)</t>
        </is>
      </c>
      <c r="D163" t="inlineStr">
        <is>
          <t>TÔN_CUỘN_MẠ_KẼM</t>
        </is>
      </c>
      <c r="E163" t="inlineStr">
        <is>
          <t>MAT-STEEL-PN-0.75</t>
        </is>
      </c>
      <c r="F163" t="inlineStr">
        <is>
          <t>kg</t>
        </is>
      </c>
      <c r="G163" s="394" t="n">
        <v>0.648567</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2 cánh cao 170mm</t>
        </is>
      </c>
    </row>
    <row r="164">
      <c r="A164" t="inlineStr">
        <is>
          <t>SW-DAMPER-049-AXLE</t>
        </is>
      </c>
      <c r="B164" t="inlineStr">
        <is>
          <t>SW-DAMPER-049</t>
        </is>
      </c>
      <c r="C164" t="inlineStr">
        <is>
          <t>Trục Sus 201 D10</t>
        </is>
      </c>
      <c r="D164" t="inlineStr">
        <is>
          <t>PHỤ_KIỆN_VAN</t>
        </is>
      </c>
      <c r="E164" t="inlineStr">
        <is>
          <t>MAT-DAMPER-TRUC-SUS-201-D10</t>
        </is>
      </c>
      <c r="F164" t="inlineStr">
        <is>
          <t>m</t>
        </is>
      </c>
      <c r="G164" s="394" t="n">
        <v>0.72</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2 trục dài 360mm</t>
        </is>
      </c>
    </row>
    <row r="165">
      <c r="A165" t="inlineStr">
        <is>
          <t>SW-DAMPER-049-BEARING</t>
        </is>
      </c>
      <c r="B165" t="inlineStr">
        <is>
          <t>SW-DAMPER-049</t>
        </is>
      </c>
      <c r="C165" t="inlineStr">
        <is>
          <t>Bạc đồng D10</t>
        </is>
      </c>
      <c r="D165" t="inlineStr">
        <is>
          <t>PHỤ_KIỆN_VAN</t>
        </is>
      </c>
      <c r="E165" t="inlineStr">
        <is>
          <t>MAT-DAMPER-BAC-DONG-D10</t>
        </is>
      </c>
      <c r="F165" t="inlineStr">
        <is>
          <t>Đôi</t>
        </is>
      </c>
      <c r="G165" s="394" t="n">
        <v>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2 đôi bạc đỡ 2 bên thân</t>
        </is>
      </c>
    </row>
    <row r="166">
      <c r="A166" t="inlineStr">
        <is>
          <t>SW-DAMPER-049-GEAR</t>
        </is>
      </c>
      <c r="B166" t="inlineStr">
        <is>
          <t>SW-DAMPER-049</t>
        </is>
      </c>
      <c r="C166" t="inlineStr">
        <is>
          <t>Bánh răng van nhôm</t>
        </is>
      </c>
      <c r="D166" t="inlineStr">
        <is>
          <t>PHỤ_KIỆN_VAN</t>
        </is>
      </c>
      <c r="E166" t="inlineStr">
        <is>
          <t>MAT-DAMPER-BANH-RANG-VAN-NHOM</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Cơ cấu liên động cánh (1 bộ)</t>
        </is>
      </c>
    </row>
    <row r="167">
      <c r="A167" t="inlineStr">
        <is>
          <t>SW-DAMPER-049-ECCENTRIC</t>
        </is>
      </c>
      <c r="B167" t="inlineStr">
        <is>
          <t>SW-DAMPER-049</t>
        </is>
      </c>
      <c r="C167" t="inlineStr">
        <is>
          <t>Cơ cấu lệch tâm / Lò xo đóng mở (NRD)</t>
        </is>
      </c>
      <c r="D167" t="inlineStr">
        <is>
          <t>PHỤ_KIỆN_VAN</t>
        </is>
      </c>
      <c r="E167" t="inlineStr">
        <is>
          <t>ECCENTRIC_SHAFT</t>
        </is>
      </c>
      <c r="F167" t="inlineStr">
        <is>
          <t>Bộ</t>
        </is>
      </c>
      <c r="G167" s="394" t="n">
        <v>1</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Cơ cấu đóng mở một chiều</t>
        </is>
      </c>
    </row>
    <row r="168">
      <c r="A168" t="inlineStr">
        <is>
          <t>SW-DAMPER-050-BODY</t>
        </is>
      </c>
      <c r="B168" t="inlineStr">
        <is>
          <t>SW-DAMPER-050</t>
        </is>
      </c>
      <c r="C168" t="inlineStr">
        <is>
          <t>Thân vỏ van NRD bích C30/TDF (0.75mm)</t>
        </is>
      </c>
      <c r="D168" t="inlineStr">
        <is>
          <t>TÔN_CUỘN_MẠ_KẼM</t>
        </is>
      </c>
      <c r="E168" t="inlineStr">
        <is>
          <t>MAT-STEEL-PN-0.75</t>
        </is>
      </c>
      <c r="F168" t="inlineStr">
        <is>
          <t>kg</t>
        </is>
      </c>
      <c r="G168" s="394" t="n">
        <v>2.146347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Kích thước vỏ 350x250x210mm</t>
        </is>
      </c>
    </row>
    <row r="169">
      <c r="A169" t="inlineStr">
        <is>
          <t>SW-DAMPER-050-BLADE</t>
        </is>
      </c>
      <c r="B169" t="inlineStr">
        <is>
          <t>SW-DAMPER-050</t>
        </is>
      </c>
      <c r="C169" t="inlineStr">
        <is>
          <t>Lá cánh / Tôn tấm bọc van (2 cánh)</t>
        </is>
      </c>
      <c r="D169" t="inlineStr">
        <is>
          <t>TÔN_CUỘN_MẠ_KẼM</t>
        </is>
      </c>
      <c r="E169" t="inlineStr">
        <is>
          <t>MAT-STEEL-PN-0.75</t>
        </is>
      </c>
      <c r="F169" t="inlineStr">
        <is>
          <t>kg</t>
        </is>
      </c>
      <c r="G169" s="394" t="n">
        <v>0.6453877499999999</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2 cánh cao 145mm</t>
        </is>
      </c>
    </row>
    <row r="170">
      <c r="A170" t="inlineStr">
        <is>
          <t>SW-DAMPER-050-AXLE</t>
        </is>
      </c>
      <c r="B170" t="inlineStr">
        <is>
          <t>SW-DAMPER-050</t>
        </is>
      </c>
      <c r="C170" t="inlineStr">
        <is>
          <t>Trục Sus 201 D10</t>
        </is>
      </c>
      <c r="D170" t="inlineStr">
        <is>
          <t>PHỤ_KIỆN_VAN</t>
        </is>
      </c>
      <c r="E170" t="inlineStr">
        <is>
          <t>MAT-DAMPER-TRUC-SUS-201-D10</t>
        </is>
      </c>
      <c r="F170" t="inlineStr">
        <is>
          <t>m</t>
        </is>
      </c>
      <c r="G170" s="394" t="n">
        <v>0.82</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2 trục dài 410mm</t>
        </is>
      </c>
    </row>
    <row r="171">
      <c r="A171" t="inlineStr">
        <is>
          <t>SW-DAMPER-050-BEARING</t>
        </is>
      </c>
      <c r="B171" t="inlineStr">
        <is>
          <t>SW-DAMPER-050</t>
        </is>
      </c>
      <c r="C171" t="inlineStr">
        <is>
          <t>Bạc đồng D10</t>
        </is>
      </c>
      <c r="D171" t="inlineStr">
        <is>
          <t>PHỤ_KIỆN_VAN</t>
        </is>
      </c>
      <c r="E171" t="inlineStr">
        <is>
          <t>MAT-DAMPER-BAC-DONG-D10</t>
        </is>
      </c>
      <c r="F171" t="inlineStr">
        <is>
          <t>Đôi</t>
        </is>
      </c>
      <c r="G171" s="394" t="n">
        <v>2</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2 đôi bạc đỡ 2 bên thân</t>
        </is>
      </c>
    </row>
    <row r="172">
      <c r="A172" t="inlineStr">
        <is>
          <t>SW-DAMPER-050-GEAR</t>
        </is>
      </c>
      <c r="B172" t="inlineStr">
        <is>
          <t>SW-DAMPER-050</t>
        </is>
      </c>
      <c r="C172" t="inlineStr">
        <is>
          <t>Bánh răng van nhôm</t>
        </is>
      </c>
      <c r="D172" t="inlineStr">
        <is>
          <t>PHỤ_KIỆN_VAN</t>
        </is>
      </c>
      <c r="E172" t="inlineStr">
        <is>
          <t>MAT-DAMPER-BANH-RANG-VAN-NHOM</t>
        </is>
      </c>
      <c r="F172" t="inlineStr">
        <is>
          <t>Bộ</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Cơ cấu liên động cánh (1 bộ)</t>
        </is>
      </c>
    </row>
    <row r="173">
      <c r="A173" t="inlineStr">
        <is>
          <t>SW-DAMPER-050-ECCENTRIC</t>
        </is>
      </c>
      <c r="B173" t="inlineStr">
        <is>
          <t>SW-DAMPER-050</t>
        </is>
      </c>
      <c r="C173" t="inlineStr">
        <is>
          <t>Cơ cấu lệch tâm / Lò xo đóng mở (NRD)</t>
        </is>
      </c>
      <c r="D173" t="inlineStr">
        <is>
          <t>PHỤ_KIỆN_VAN</t>
        </is>
      </c>
      <c r="E173" t="inlineStr">
        <is>
          <t>ECCENTRIC_SHAFT</t>
        </is>
      </c>
      <c r="F173" t="inlineStr">
        <is>
          <t>Bộ</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Cơ cấu đóng mở một chiều</t>
        </is>
      </c>
    </row>
    <row r="174">
      <c r="A174" t="inlineStr">
        <is>
          <t>SW-DAMPER-051-BODY</t>
        </is>
      </c>
      <c r="B174" t="inlineStr">
        <is>
          <t>SW-DAMPER-051</t>
        </is>
      </c>
      <c r="C174" t="inlineStr">
        <is>
          <t>Thân vỏ van NRD bích C30/TDF (0.75mm)</t>
        </is>
      </c>
      <c r="D174" t="inlineStr">
        <is>
          <t>TÔN_CUỘN_MẠ_KẼM</t>
        </is>
      </c>
      <c r="E174" t="inlineStr">
        <is>
          <t>MAT-STEEL-PN-0.75</t>
        </is>
      </c>
      <c r="F174" t="inlineStr">
        <is>
          <t>kg</t>
        </is>
      </c>
      <c r="G174" s="394" t="n">
        <v>1.800162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Kích thước vỏ 350x150x210mm</t>
        </is>
      </c>
    </row>
    <row r="175">
      <c r="A175" t="inlineStr">
        <is>
          <t>SW-DAMPER-051-BLADE</t>
        </is>
      </c>
      <c r="B175" t="inlineStr">
        <is>
          <t>SW-DAMPER-051</t>
        </is>
      </c>
      <c r="C175" t="inlineStr">
        <is>
          <t>Lá cánh / Tôn tấm bọc van (1 cánh)</t>
        </is>
      </c>
      <c r="D175" t="inlineStr">
        <is>
          <t>TÔN_CUỘN_MẠ_KẼM</t>
        </is>
      </c>
      <c r="E175" t="inlineStr">
        <is>
          <t>MAT-STEEL-PN-0.75</t>
        </is>
      </c>
      <c r="F175" t="inlineStr">
        <is>
          <t>kg</t>
        </is>
      </c>
      <c r="G175" s="394" t="n">
        <v>0.3783307499999999</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1 cánh cao 170mm</t>
        </is>
      </c>
    </row>
    <row r="176">
      <c r="A176" t="inlineStr">
        <is>
          <t>SW-DAMPER-051-AXLE</t>
        </is>
      </c>
      <c r="B176" t="inlineStr">
        <is>
          <t>SW-DAMPER-051</t>
        </is>
      </c>
      <c r="C176" t="inlineStr">
        <is>
          <t>Trục Sus 201 D10</t>
        </is>
      </c>
      <c r="D176" t="inlineStr">
        <is>
          <t>PHỤ_KIỆN_VAN</t>
        </is>
      </c>
      <c r="E176" t="inlineStr">
        <is>
          <t>MAT-DAMPER-TRUC-SUS-201-D10</t>
        </is>
      </c>
      <c r="F176" t="inlineStr">
        <is>
          <t>m</t>
        </is>
      </c>
      <c r="G176" s="394" t="n">
        <v>0.41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1 trục dài 410mm</t>
        </is>
      </c>
    </row>
    <row r="177">
      <c r="A177" t="inlineStr">
        <is>
          <t>SW-DAMPER-051-BEARING</t>
        </is>
      </c>
      <c r="B177" t="inlineStr">
        <is>
          <t>SW-DAMPER-051</t>
        </is>
      </c>
      <c r="C177" t="inlineStr">
        <is>
          <t>Bạc đồng D10</t>
        </is>
      </c>
      <c r="D177" t="inlineStr">
        <is>
          <t>PHỤ_KIỆN_VAN</t>
        </is>
      </c>
      <c r="E177" t="inlineStr">
        <is>
          <t>MAT-DAMPER-BAC-DONG-D10</t>
        </is>
      </c>
      <c r="F177" t="inlineStr">
        <is>
          <t>Đôi</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 đôi bạc đỡ 2 bên thân</t>
        </is>
      </c>
    </row>
    <row r="178">
      <c r="A178" t="inlineStr">
        <is>
          <t>SW-DAMPER-051-ECCENTRIC</t>
        </is>
      </c>
      <c r="B178" t="inlineStr">
        <is>
          <t>SW-DAMPER-051</t>
        </is>
      </c>
      <c r="C178" t="inlineStr">
        <is>
          <t>Cơ cấu lệch tâm / Lò xo đóng mở (NRD)</t>
        </is>
      </c>
      <c r="D178" t="inlineStr">
        <is>
          <t>PHỤ_KIỆN_VAN</t>
        </is>
      </c>
      <c r="E178" t="inlineStr">
        <is>
          <t>ECCENTRIC_SHAFT</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Cơ cấu đóng mở một chiều</t>
        </is>
      </c>
    </row>
    <row r="179">
      <c r="A179" t="inlineStr">
        <is>
          <t>SW-DAMPER-052-BODY</t>
        </is>
      </c>
      <c r="B179" t="inlineStr">
        <is>
          <t>SW-DAMPER-052</t>
        </is>
      </c>
      <c r="C179" t="inlineStr">
        <is>
          <t>Thân vỏ van MFD bích C30/TDF (1.15mm)</t>
        </is>
      </c>
      <c r="D179" t="inlineStr">
        <is>
          <t>TÔN_CUỘN_MẠ_KẼM</t>
        </is>
      </c>
      <c r="E179" t="inlineStr">
        <is>
          <t>MAT-STEEL-PN-1.15</t>
        </is>
      </c>
      <c r="F179" t="inlineStr">
        <is>
          <t>kg</t>
        </is>
      </c>
      <c r="G179" s="394" t="n">
        <v>2.917597725</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Kích thước vỏ 350x200x200mm</t>
        </is>
      </c>
    </row>
    <row r="180">
      <c r="A180" t="inlineStr">
        <is>
          <t>SW-DAMPER-052-BLADE</t>
        </is>
      </c>
      <c r="B180" t="inlineStr">
        <is>
          <t>SW-DAMPER-052</t>
        </is>
      </c>
      <c r="C180" t="inlineStr">
        <is>
          <t>Lá cánh / Tôn tấm bọc van (1 cánh)</t>
        </is>
      </c>
      <c r="D180" t="inlineStr">
        <is>
          <t>TÔN_CUỘN_MẠ_KẼM</t>
        </is>
      </c>
      <c r="E180" t="inlineStr">
        <is>
          <t>MAT-STEEL-PN-1.15</t>
        </is>
      </c>
      <c r="F180" t="inlineStr">
        <is>
          <t>kg</t>
        </is>
      </c>
      <c r="G180" s="394" t="n">
        <v>1.26385</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Tôn bọc cánh &amp; thân (1 cánh/modul)</t>
        </is>
      </c>
    </row>
    <row r="181">
      <c r="A181" t="inlineStr">
        <is>
          <t>SW-DAMPER-052-AXLE</t>
        </is>
      </c>
      <c r="B181" t="inlineStr">
        <is>
          <t>SW-DAMPER-052</t>
        </is>
      </c>
      <c r="C181" t="inlineStr">
        <is>
          <t>Trục Sus 201 D10</t>
        </is>
      </c>
      <c r="D181" t="inlineStr">
        <is>
          <t>PHỤ_KIỆN_VAN</t>
        </is>
      </c>
      <c r="E181" t="inlineStr">
        <is>
          <t>MAT-DAMPER-TRUC-SUS-201-D10</t>
        </is>
      </c>
      <c r="F181" t="inlineStr">
        <is>
          <t>m</t>
        </is>
      </c>
      <c r="G181" s="394" t="n">
        <v>0.41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 trục dài 410mm</t>
        </is>
      </c>
    </row>
    <row r="182">
      <c r="A182" t="inlineStr">
        <is>
          <t>SW-DAMPER-052-BEARING</t>
        </is>
      </c>
      <c r="B182" t="inlineStr">
        <is>
          <t>SW-DAMPER-052</t>
        </is>
      </c>
      <c r="C182" t="inlineStr">
        <is>
          <t>Bạc đồng D10</t>
        </is>
      </c>
      <c r="D182" t="inlineStr">
        <is>
          <t>PHỤ_KIỆN_VAN</t>
        </is>
      </c>
      <c r="E182" t="inlineStr">
        <is>
          <t>MAT-DAMPER-BAC-DONG-D10</t>
        </is>
      </c>
      <c r="F182" t="inlineStr">
        <is>
          <t>Đôi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1 đôi bạc đỡ 2 bên thân</t>
        </is>
      </c>
    </row>
    <row r="183">
      <c r="A183" t="inlineStr">
        <is>
          <t>SW-DAMPER-052-ACTUATOR</t>
        </is>
      </c>
      <c r="B183" t="inlineStr">
        <is>
          <t>SW-DAMPER-052</t>
        </is>
      </c>
      <c r="C183" t="inlineStr">
        <is>
          <t>Động cơ chặn lửa ON/OFF 3.5Nm, 230V/24V (BELIMO FSLF24 / FSLF230)</t>
        </is>
      </c>
      <c r="D183" t="inlineStr">
        <is>
          <t>ĐỘNG_CƠ_VÀ_CẢM_BIẾN</t>
        </is>
      </c>
      <c r="E183" t="inlineStr">
        <is>
          <t>MAT-ACTUATOR-BELIMO-FSLF24</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Động cơ lò xo phản hồi MFD (1 bộ)</t>
        </is>
      </c>
    </row>
    <row r="184">
      <c r="A184" t="inlineStr">
        <is>
          <t>SW-DAMPER-052-FB10-BODY</t>
        </is>
      </c>
      <c r="B184" t="inlineStr">
        <is>
          <t>SW-DAMPER-052</t>
        </is>
      </c>
      <c r="C184" t="inlineStr">
        <is>
          <t>Tấm chống cháy dày 10mm bọc thân van FD/MFD (2 lớp)</t>
        </is>
      </c>
      <c r="D184" t="inlineStr">
        <is>
          <t>VẬT_LIỆU_CÁCH_NHIỆT</t>
        </is>
      </c>
      <c r="E184" t="inlineStr">
        <is>
          <t>MAT-FIREBOARD-10MM-BODY</t>
        </is>
      </c>
      <c r="F184" t="inlineStr">
        <is>
          <t>m2</t>
        </is>
      </c>
      <c r="G184" s="394" t="n">
        <v>0.66</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Bọc 2 lớp tấm 10mm quanh thân L=300mm</t>
        </is>
      </c>
    </row>
    <row r="185">
      <c r="A185" t="inlineStr">
        <is>
          <t>SW-DAMPER-052-FB20-BLADE</t>
        </is>
      </c>
      <c r="B185" t="inlineStr">
        <is>
          <t>SW-DAMPER-052</t>
        </is>
      </c>
      <c r="C185" t="inlineStr">
        <is>
          <t>Tấm chống cháy dày 20mm làm lõi cánh van FD/MFD</t>
        </is>
      </c>
      <c r="D185" t="inlineStr">
        <is>
          <t>VẬT_LIỆU_CÁCH_NHIỆT</t>
        </is>
      </c>
      <c r="E185" t="inlineStr">
        <is>
          <t>MAT-FIREBOARD-20MM-BLADE</t>
        </is>
      </c>
      <c r="F185" t="inlineStr">
        <is>
          <t>m2</t>
        </is>
      </c>
      <c r="G185" s="394" t="n">
        <v>0.06999999999999999</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Lõi cánh tấm 20mm (Cánh đơn 350x200mm)</t>
        </is>
      </c>
    </row>
    <row r="186">
      <c r="A186" t="inlineStr">
        <is>
          <t>SW-DAMPER-052-FB10-BLADE</t>
        </is>
      </c>
      <c r="B186" t="inlineStr">
        <is>
          <t>SW-DAMPER-052</t>
        </is>
      </c>
      <c r="C186" t="inlineStr">
        <is>
          <t>Tấm chống cháy dày 10mm ốp 2 mặt cánh van FD/MFD</t>
        </is>
      </c>
      <c r="D186" t="inlineStr">
        <is>
          <t>VẬT_LIỆU_CÁCH_NHIỆT</t>
        </is>
      </c>
      <c r="E186" t="inlineStr">
        <is>
          <t>MAT-FIREBOARD-10MM-BLADE</t>
        </is>
      </c>
      <c r="F186" t="inlineStr">
        <is>
          <t>m2</t>
        </is>
      </c>
      <c r="G186" s="394" t="n">
        <v>0.14</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Ốp 2 mặt cánh tấm 10mm (Cánh đơn 350x200mm)</t>
        </is>
      </c>
    </row>
    <row r="187">
      <c r="A187" t="inlineStr">
        <is>
          <t>SW-DAMPER-052-SPRING-BOX</t>
        </is>
      </c>
      <c r="B187" t="inlineStr">
        <is>
          <t>SW-DAMPER-052</t>
        </is>
      </c>
      <c r="C187" t="inlineStr">
        <is>
          <t>Hộp lò xo van chặn lửa FD/MFD</t>
        </is>
      </c>
      <c r="D187" t="inlineStr">
        <is>
          <t>PHỤ_KIỆN_VAN</t>
        </is>
      </c>
      <c r="E187" t="inlineStr">
        <is>
          <t>MAT-DAMPER-HOP-LO-XO</t>
        </is>
      </c>
      <c r="F187" t="inlineStr">
        <is>
          <t>Bộ</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Hộp lò xo cơ cấu đóng sập (1 bộ)</t>
        </is>
      </c>
    </row>
    <row r="188">
      <c r="A188" t="inlineStr">
        <is>
          <t>SW-DAMPER-052-SILICON-BOLT</t>
        </is>
      </c>
      <c r="B188" t="inlineStr">
        <is>
          <t>SW-DAMPER-052</t>
        </is>
      </c>
      <c r="C188" t="inlineStr">
        <is>
          <t>Silicon chống cháy + bu lông, ốc vít van FD/MFD</t>
        </is>
      </c>
      <c r="D188" t="inlineStr">
        <is>
          <t>PHỤ_KIỆN_VAN</t>
        </is>
      </c>
      <c r="E188" t="inlineStr">
        <is>
          <t>MAT-DAMPER-SILICON-BULONG-VIT</t>
        </is>
      </c>
      <c r="F188" t="inlineStr">
        <is>
          <t>Bộ</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Keo silicon chống cháy &amp; phụ kiện lắp ghép (1 bộ)</t>
        </is>
      </c>
    </row>
    <row r="189">
      <c r="A189" t="inlineStr">
        <is>
          <t>SW-DAMPER-053-BODY</t>
        </is>
      </c>
      <c r="B189" t="inlineStr">
        <is>
          <t>SW-DAMPER-053</t>
        </is>
      </c>
      <c r="C189" t="inlineStr">
        <is>
          <t>Thân vỏ van MFD bích C30/TDF (1.15mm)</t>
        </is>
      </c>
      <c r="D189" t="inlineStr">
        <is>
          <t>TÔN_CUỘN_MẠ_KẼM</t>
        </is>
      </c>
      <c r="E189" t="inlineStr">
        <is>
          <t>MAT-STEEL-PN-1.15</t>
        </is>
      </c>
      <c r="F189" t="inlineStr">
        <is>
          <t>kg</t>
        </is>
      </c>
      <c r="G189" s="394" t="n">
        <v>6.24468285</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Kích thước vỏ 700x500x200mm</t>
        </is>
      </c>
    </row>
    <row r="190">
      <c r="A190" t="inlineStr">
        <is>
          <t>SW-DAMPER-053-BLADE</t>
        </is>
      </c>
      <c r="B190" t="inlineStr">
        <is>
          <t>SW-DAMPER-053</t>
        </is>
      </c>
      <c r="C190" t="inlineStr">
        <is>
          <t>Lá cánh / Tôn tấm bọc van (3 cánh)</t>
        </is>
      </c>
      <c r="D190" t="inlineStr">
        <is>
          <t>TÔN_CUỘN_MẠ_KẼM</t>
        </is>
      </c>
      <c r="E190" t="inlineStr">
        <is>
          <t>MAT-STEEL-PN-1.15</t>
        </is>
      </c>
      <c r="F190" t="inlineStr">
        <is>
          <t>kg</t>
        </is>
      </c>
      <c r="G190" s="394" t="n">
        <v>6.319249999999998</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Tôn bọc cánh &amp; thân (3 cánh/modul)</t>
        </is>
      </c>
    </row>
    <row r="191">
      <c r="A191" t="inlineStr">
        <is>
          <t>SW-DAMPER-053-AXLE</t>
        </is>
      </c>
      <c r="B191" t="inlineStr">
        <is>
          <t>SW-DAMPER-053</t>
        </is>
      </c>
      <c r="C191" t="inlineStr">
        <is>
          <t>Trục Sus 201 D10</t>
        </is>
      </c>
      <c r="D191" t="inlineStr">
        <is>
          <t>PHỤ_KIỆN_VAN</t>
        </is>
      </c>
      <c r="E191" t="inlineStr">
        <is>
          <t>MAT-DAMPER-TRUC-SUS-201-D10</t>
        </is>
      </c>
      <c r="F191" t="inlineStr">
        <is>
          <t>m</t>
        </is>
      </c>
      <c r="G191" s="394" t="n">
        <v>2.28</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3 trục dài 760mm</t>
        </is>
      </c>
    </row>
    <row r="192">
      <c r="A192" t="inlineStr">
        <is>
          <t>SW-DAMPER-053-BEARING</t>
        </is>
      </c>
      <c r="B192" t="inlineStr">
        <is>
          <t>SW-DAMPER-053</t>
        </is>
      </c>
      <c r="C192" t="inlineStr">
        <is>
          <t>Bạc đồng D10</t>
        </is>
      </c>
      <c r="D192" t="inlineStr">
        <is>
          <t>PHỤ_KIỆN_VAN</t>
        </is>
      </c>
      <c r="E192" t="inlineStr">
        <is>
          <t>MAT-DAMPER-BAC-DONG-D10</t>
        </is>
      </c>
      <c r="F192" t="inlineStr">
        <is>
          <t>Đôi</t>
        </is>
      </c>
      <c r="G192" s="394" t="n">
        <v>3</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3 đôi bạc đỡ 2 bên thân</t>
        </is>
      </c>
    </row>
    <row r="193">
      <c r="A193" t="inlineStr">
        <is>
          <t>SW-DAMPER-053-GEAR</t>
        </is>
      </c>
      <c r="B193" t="inlineStr">
        <is>
          <t>SW-DAMPER-053</t>
        </is>
      </c>
      <c r="C193" t="inlineStr">
        <is>
          <t>Bánh răng van nhôm</t>
        </is>
      </c>
      <c r="D193" t="inlineStr">
        <is>
          <t>PHỤ_KIỆN_VAN</t>
        </is>
      </c>
      <c r="E193" t="inlineStr">
        <is>
          <t>MAT-DAMPER-BANH-RANG-VAN-NHOM</t>
        </is>
      </c>
      <c r="F193" t="inlineStr">
        <is>
          <t>Bộ</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Cơ cấu liên động cánh (1 bộ)</t>
        </is>
      </c>
    </row>
    <row r="194">
      <c r="A194" t="inlineStr">
        <is>
          <t>SW-DAMPER-053-ACTUATOR</t>
        </is>
      </c>
      <c r="B194" t="inlineStr">
        <is>
          <t>SW-DAMPER-053</t>
        </is>
      </c>
      <c r="C194" t="inlineStr">
        <is>
          <t>Động cơ chặn lửa ON/OFF 9Nm, 230V/24V (BELIMO BFN24 / BFN230)</t>
        </is>
      </c>
      <c r="D194" t="inlineStr">
        <is>
          <t>ĐỘNG_CƠ_VÀ_CẢM_BIẾN</t>
        </is>
      </c>
      <c r="E194" t="inlineStr">
        <is>
          <t>MAT-ACTUATOR-BELIMO-BFN24</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Động cơ lò xo phản hồi MFD (1 bộ)</t>
        </is>
      </c>
    </row>
    <row r="195">
      <c r="A195" t="inlineStr">
        <is>
          <t>SW-DAMPER-053-FB10-BODY</t>
        </is>
      </c>
      <c r="B195" t="inlineStr">
        <is>
          <t>SW-DAMPER-053</t>
        </is>
      </c>
      <c r="C195" t="inlineStr">
        <is>
          <t>Tấm chống cháy dày 10mm bọc thân van FD/MFD (2 lớp)</t>
        </is>
      </c>
      <c r="D195" t="inlineStr">
        <is>
          <t>VẬT_LIỆU_CÁCH_NHIỆT</t>
        </is>
      </c>
      <c r="E195" t="inlineStr">
        <is>
          <t>MAT-FIREBOARD-10MM-BODY</t>
        </is>
      </c>
      <c r="F195" t="inlineStr">
        <is>
          <t>m2</t>
        </is>
      </c>
      <c r="G195" s="394" t="n">
        <v>1.44</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Bọc 2 lớp tấm 10mm quanh thân L=300mm</t>
        </is>
      </c>
    </row>
    <row r="196">
      <c r="A196" t="inlineStr">
        <is>
          <t>SW-DAMPER-053-FB20-BLADE</t>
        </is>
      </c>
      <c r="B196" t="inlineStr">
        <is>
          <t>SW-DAMPER-053</t>
        </is>
      </c>
      <c r="C196" t="inlineStr">
        <is>
          <t>Tấm chống cháy dày 20mm làm lõi cánh van FD/MFD</t>
        </is>
      </c>
      <c r="D196" t="inlineStr">
        <is>
          <t>VẬT_LIỆU_CÁCH_NHIỆT</t>
        </is>
      </c>
      <c r="E196" t="inlineStr">
        <is>
          <t>MAT-FIREBOARD-20MM-BLADE</t>
        </is>
      </c>
      <c r="F196" t="inlineStr">
        <is>
          <t>m2</t>
        </is>
      </c>
      <c r="G196" s="394" t="n">
        <v>0.5218429530201343</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Lõi cánh tấm 20mm (Đa cánh hệ số (H-5)/149=3.32, bản rộng 210mm, hao hụt 10%)</t>
        </is>
      </c>
    </row>
    <row r="197">
      <c r="A197" t="inlineStr">
        <is>
          <t>SW-DAMPER-053-FB10-BLADE</t>
        </is>
      </c>
      <c r="B197" t="inlineStr">
        <is>
          <t>SW-DAMPER-053</t>
        </is>
      </c>
      <c r="C197" t="inlineStr">
        <is>
          <t>Tấm chống cháy dày 10mm ốp 2 mặt cánh van FD/MFD</t>
        </is>
      </c>
      <c r="D197" t="inlineStr">
        <is>
          <t>VẬT_LIỆU_CÁCH_NHIỆT</t>
        </is>
      </c>
      <c r="E197" t="inlineStr">
        <is>
          <t>MAT-FIREBOARD-10MM-BLADE</t>
        </is>
      </c>
      <c r="F197" t="inlineStr">
        <is>
          <t>m2</t>
        </is>
      </c>
      <c r="G197" s="394" t="n">
        <v>1.074382550335571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Ốp 2 mặt cánh tấm 10mm (Đa cánh hệ số (H-5)/149=3.32, bản rộng 210mm, hao hụt 10%)</t>
        </is>
      </c>
    </row>
    <row r="198">
      <c r="A198" t="inlineStr">
        <is>
          <t>SW-DAMPER-053-SPRING-BOX</t>
        </is>
      </c>
      <c r="B198" t="inlineStr">
        <is>
          <t>SW-DAMPER-053</t>
        </is>
      </c>
      <c r="C198" t="inlineStr">
        <is>
          <t>Hộp lò xo van chặn lửa FD/MFD</t>
        </is>
      </c>
      <c r="D198" t="inlineStr">
        <is>
          <t>PHỤ_KIỆN_VAN</t>
        </is>
      </c>
      <c r="E198" t="inlineStr">
        <is>
          <t>MAT-DAMPER-HOP-LO-XO</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Hộp lò xo cơ cấu đóng sập (1 bộ)</t>
        </is>
      </c>
    </row>
    <row r="199">
      <c r="A199" t="inlineStr">
        <is>
          <t>SW-DAMPER-053-SILICON-BOLT</t>
        </is>
      </c>
      <c r="B199" t="inlineStr">
        <is>
          <t>SW-DAMPER-053</t>
        </is>
      </c>
      <c r="C199" t="inlineStr">
        <is>
          <t>Silicon chống cháy + bu lông, ốc vít van FD/MFD</t>
        </is>
      </c>
      <c r="D199" t="inlineStr">
        <is>
          <t>PHỤ_KIỆN_VAN</t>
        </is>
      </c>
      <c r="E199" t="inlineStr">
        <is>
          <t>MAT-DAMPER-SILICON-BULONG-VIT</t>
        </is>
      </c>
      <c r="F199" t="inlineStr">
        <is>
          <t>Bộ</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Keo silicon chống cháy &amp; phụ kiện lắp ghép (1 bộ)</t>
        </is>
      </c>
    </row>
    <row r="200">
      <c r="A200" t="inlineStr">
        <is>
          <t>SW-DAMPER-054-BODY</t>
        </is>
      </c>
      <c r="B200" t="inlineStr">
        <is>
          <t>SW-DAMPER-054</t>
        </is>
      </c>
      <c r="C200" t="inlineStr">
        <is>
          <t>Thân vỏ van MFD bích C30/TDF (1.15mm)</t>
        </is>
      </c>
      <c r="D200" t="inlineStr">
        <is>
          <t>TÔN_CUỘN_MẠ_KẼM</t>
        </is>
      </c>
      <c r="E200" t="inlineStr">
        <is>
          <t>MAT-STEEL-PN-1.15</t>
        </is>
      </c>
      <c r="F200" t="inlineStr">
        <is>
          <t>kg</t>
        </is>
      </c>
      <c r="G200" s="394" t="n">
        <v>7.7802606</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Kích thước vỏ 700x800x200mm</t>
        </is>
      </c>
    </row>
    <row r="201">
      <c r="A201" t="inlineStr">
        <is>
          <t>SW-DAMPER-054-BLADE</t>
        </is>
      </c>
      <c r="B201" t="inlineStr">
        <is>
          <t>SW-DAMPER-054</t>
        </is>
      </c>
      <c r="C201" t="inlineStr">
        <is>
          <t>Lá cánh / Tôn tấm bọc van (5 cánh)</t>
        </is>
      </c>
      <c r="D201" t="inlineStr">
        <is>
          <t>TÔN_CUỘN_MẠ_KẼM</t>
        </is>
      </c>
      <c r="E201" t="inlineStr">
        <is>
          <t>MAT-STEEL-PN-1.15</t>
        </is>
      </c>
      <c r="F201" t="inlineStr">
        <is>
          <t>kg</t>
        </is>
      </c>
      <c r="G201" s="394" t="n">
        <v>10.1108</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Tôn bọc cánh &amp; thân (5 cánh/modul)</t>
        </is>
      </c>
    </row>
    <row r="202">
      <c r="A202" t="inlineStr">
        <is>
          <t>SW-DAMPER-054-AXLE</t>
        </is>
      </c>
      <c r="B202" t="inlineStr">
        <is>
          <t>SW-DAMPER-054</t>
        </is>
      </c>
      <c r="C202" t="inlineStr">
        <is>
          <t>Trục Sus 201 D10</t>
        </is>
      </c>
      <c r="D202" t="inlineStr">
        <is>
          <t>PHỤ_KIỆN_VAN</t>
        </is>
      </c>
      <c r="E202" t="inlineStr">
        <is>
          <t>MAT-DAMPER-TRUC-SUS-201-D10</t>
        </is>
      </c>
      <c r="F202" t="inlineStr">
        <is>
          <t>m</t>
        </is>
      </c>
      <c r="G202" s="394" t="n">
        <v>3.8</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5 trục dài 760mm</t>
        </is>
      </c>
    </row>
    <row r="203">
      <c r="A203" t="inlineStr">
        <is>
          <t>SW-DAMPER-054-BEARING</t>
        </is>
      </c>
      <c r="B203" t="inlineStr">
        <is>
          <t>SW-DAMPER-054</t>
        </is>
      </c>
      <c r="C203" t="inlineStr">
        <is>
          <t>Bạc đồng D10</t>
        </is>
      </c>
      <c r="D203" t="inlineStr">
        <is>
          <t>PHỤ_KIỆN_VAN</t>
        </is>
      </c>
      <c r="E203" t="inlineStr">
        <is>
          <t>MAT-DAMPER-BAC-DONG-D10</t>
        </is>
      </c>
      <c r="F203" t="inlineStr">
        <is>
          <t>Đôi</t>
        </is>
      </c>
      <c r="G203" s="394" t="n">
        <v>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5 đôi bạc đỡ 2 bên thân</t>
        </is>
      </c>
    </row>
    <row r="204">
      <c r="A204" t="inlineStr">
        <is>
          <t>SW-DAMPER-054-GEAR</t>
        </is>
      </c>
      <c r="B204" t="inlineStr">
        <is>
          <t>SW-DAMPER-054</t>
        </is>
      </c>
      <c r="C204" t="inlineStr">
        <is>
          <t>Bánh răng van nhôm</t>
        </is>
      </c>
      <c r="D204" t="inlineStr">
        <is>
          <t>PHỤ_KIỆN_VAN</t>
        </is>
      </c>
      <c r="E204" t="inlineStr">
        <is>
          <t>MAT-DAMPER-BANH-RANG-VAN-NHOM</t>
        </is>
      </c>
      <c r="F204" t="inlineStr">
        <is>
          <t>Bộ</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Cơ cấu liên động cánh (1 bộ)</t>
        </is>
      </c>
    </row>
    <row r="205">
      <c r="A205" t="inlineStr">
        <is>
          <t>SW-DAMPER-054-ACTUATOR</t>
        </is>
      </c>
      <c r="B205" t="inlineStr">
        <is>
          <t>SW-DAMPER-054</t>
        </is>
      </c>
      <c r="C205" t="inlineStr">
        <is>
          <t>Động cơ chặn lửa ON/OFF 9Nm, 230V/24V (BELIMO BFN24 / BFN230)</t>
        </is>
      </c>
      <c r="D205" t="inlineStr">
        <is>
          <t>ĐỘNG_CƠ_VÀ_CẢM_BIẾN</t>
        </is>
      </c>
      <c r="E205" t="inlineStr">
        <is>
          <t>MAT-ACTUATOR-BELIMO-BFN24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Động cơ lò xo phản hồi MFD (1 bộ)</t>
        </is>
      </c>
    </row>
    <row r="206">
      <c r="A206" t="inlineStr">
        <is>
          <t>SW-DAMPER-054-FB10-BODY</t>
        </is>
      </c>
      <c r="B206" t="inlineStr">
        <is>
          <t>SW-DAMPER-054</t>
        </is>
      </c>
      <c r="C206" t="inlineStr">
        <is>
          <t>Tấm chống cháy dày 10mm bọc thân van FD/MFD (2 lớp)</t>
        </is>
      </c>
      <c r="D206" t="inlineStr">
        <is>
          <t>VẬT_LIỆU_CÁCH_NHIỆT</t>
        </is>
      </c>
      <c r="E206" t="inlineStr">
        <is>
          <t>MAT-FIREBOARD-10MM-BODY</t>
        </is>
      </c>
      <c r="F206" t="inlineStr">
        <is>
          <t>m2</t>
        </is>
      </c>
      <c r="G206" s="394" t="n">
        <v>1.8</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Bọc 2 lớp tấm 10mm quanh thân L=300mm</t>
        </is>
      </c>
    </row>
    <row r="207">
      <c r="A207" t="inlineStr">
        <is>
          <t>SW-DAMPER-054-FB20-BLADE</t>
        </is>
      </c>
      <c r="B207" t="inlineStr">
        <is>
          <t>SW-DAMPER-054</t>
        </is>
      </c>
      <c r="C207" t="inlineStr">
        <is>
          <t>Tấm chống cháy dày 20mm làm lõi cánh van FD/MFD</t>
        </is>
      </c>
      <c r="D207" t="inlineStr">
        <is>
          <t>VẬT_LIỆU_CÁCH_NHIỆT</t>
        </is>
      </c>
      <c r="E207" t="inlineStr">
        <is>
          <t>MAT-FIREBOARD-20MM-BLADE</t>
        </is>
      </c>
      <c r="F207" t="inlineStr">
        <is>
          <t>m2</t>
        </is>
      </c>
      <c r="G207" s="394" t="n">
        <v>0.8381114093959733</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Lõi cánh tấm 20mm (Đa cánh hệ số (H-5)/149=5.34, bản rộng 210mm, hao hụt 10%)</t>
        </is>
      </c>
    </row>
    <row r="208">
      <c r="A208" t="inlineStr">
        <is>
          <t>SW-DAMPER-054-FB10-BLADE</t>
        </is>
      </c>
      <c r="B208" t="inlineStr">
        <is>
          <t>SW-DAMPER-054</t>
        </is>
      </c>
      <c r="C208" t="inlineStr">
        <is>
          <t>Tấm chống cháy dày 10mm ốp 2 mặt cánh van FD/MFD</t>
        </is>
      </c>
      <c r="D208" t="inlineStr">
        <is>
          <t>VẬT_LIỆU_CÁCH_NHIỆT</t>
        </is>
      </c>
      <c r="E208" t="inlineStr">
        <is>
          <t>MAT-FIREBOARD-10MM-BLADE</t>
        </is>
      </c>
      <c r="F208" t="inlineStr">
        <is>
          <t>m2</t>
        </is>
      </c>
      <c r="G208" s="394" t="n">
        <v>1.725523489932886</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Ốp 2 mặt cánh tấm 10mm (Đa cánh hệ số (H-5)/149=5.34, bản rộng 210mm, hao hụt 10%)</t>
        </is>
      </c>
    </row>
    <row r="209">
      <c r="A209" t="inlineStr">
        <is>
          <t>SW-DAMPER-054-SPRING-BOX</t>
        </is>
      </c>
      <c r="B209" t="inlineStr">
        <is>
          <t>SW-DAMPER-054</t>
        </is>
      </c>
      <c r="C209" t="inlineStr">
        <is>
          <t>Hộp lò xo van chặn lửa FD/MFD</t>
        </is>
      </c>
      <c r="D209" t="inlineStr">
        <is>
          <t>PHỤ_KIỆN_VAN</t>
        </is>
      </c>
      <c r="E209" t="inlineStr">
        <is>
          <t>MAT-DAMPER-HOP-LO-XO</t>
        </is>
      </c>
      <c r="F209" t="inlineStr">
        <is>
          <t>Bộ</t>
        </is>
      </c>
      <c r="G209" s="394" t="n">
        <v>1</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Hộp lò xo cơ cấu đóng sập (1 bộ)</t>
        </is>
      </c>
    </row>
    <row r="210">
      <c r="A210" t="inlineStr">
        <is>
          <t>SW-DAMPER-054-SILICON-BOLT</t>
        </is>
      </c>
      <c r="B210" t="inlineStr">
        <is>
          <t>SW-DAMPER-054</t>
        </is>
      </c>
      <c r="C210" t="inlineStr">
        <is>
          <t>Silicon chống cháy + bu lông, ốc vít van FD/MFD</t>
        </is>
      </c>
      <c r="D210" t="inlineStr">
        <is>
          <t>PHỤ_KIỆN_VAN</t>
        </is>
      </c>
      <c r="E210" t="inlineStr">
        <is>
          <t>MAT-DAMPER-SILICON-BULONG-VIT</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Keo silicon chống cháy &amp; phụ kiện lắp ghép (1 bộ)</t>
        </is>
      </c>
    </row>
    <row r="211">
      <c r="A211" t="inlineStr">
        <is>
          <t>SW-DAMPER-055-BODY</t>
        </is>
      </c>
      <c r="B211" t="inlineStr">
        <is>
          <t>SW-DAMPER-055</t>
        </is>
      </c>
      <c r="C211" t="inlineStr">
        <is>
          <t>Thân vỏ van MFD bích C30/TDF (1.15mm)</t>
        </is>
      </c>
      <c r="D211" t="inlineStr">
        <is>
          <t>TÔN_CUỘN_MẠ_KẼM</t>
        </is>
      </c>
      <c r="E211" t="inlineStr">
        <is>
          <t>MAT-STEEL-PN-1.15</t>
        </is>
      </c>
      <c r="F211" t="inlineStr">
        <is>
          <t>kg</t>
        </is>
      </c>
      <c r="G211" s="394" t="n">
        <v>12.4893657</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Kích thước vỏ 1200x600x200mm (2 modul 600x600mm)</t>
        </is>
      </c>
    </row>
    <row r="212">
      <c r="A212" t="inlineStr">
        <is>
          <t>SW-DAMPER-055-BLADE</t>
        </is>
      </c>
      <c r="B212" t="inlineStr">
        <is>
          <t>SW-DAMPER-055</t>
        </is>
      </c>
      <c r="C212" t="inlineStr">
        <is>
          <t>Lá cánh / Tôn tấm bọc van (8 cánh)</t>
        </is>
      </c>
      <c r="D212" t="inlineStr">
        <is>
          <t>TÔN_CUỘN_MẠ_KẼM</t>
        </is>
      </c>
      <c r="E212" t="inlineStr">
        <is>
          <t>MAT-STEEL-PN-1.15</t>
        </is>
      </c>
      <c r="F212" t="inlineStr">
        <is>
          <t>kg</t>
        </is>
      </c>
      <c r="G212" s="394" t="n">
        <v>12.9996</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Tôn bọc cánh &amp; thân (4 cánh/modul (2 modul 600x600mm))</t>
        </is>
      </c>
    </row>
    <row r="213">
      <c r="A213" t="inlineStr">
        <is>
          <t>SW-DAMPER-055-AXLE</t>
        </is>
      </c>
      <c r="B213" t="inlineStr">
        <is>
          <t>SW-DAMPER-055</t>
        </is>
      </c>
      <c r="C213" t="inlineStr">
        <is>
          <t>Trục Sus 201 D10</t>
        </is>
      </c>
      <c r="D213" t="inlineStr">
        <is>
          <t>PHỤ_KIỆN_VAN</t>
        </is>
      </c>
      <c r="E213" t="inlineStr">
        <is>
          <t>MAT-DAMPER-TRUC-SUS-201-D10</t>
        </is>
      </c>
      <c r="F213" t="inlineStr">
        <is>
          <t>m</t>
        </is>
      </c>
      <c r="G213" s="394" t="n">
        <v>5.28</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8 trục dài 660mm</t>
        </is>
      </c>
    </row>
    <row r="214">
      <c r="A214" t="inlineStr">
        <is>
          <t>SW-DAMPER-055-BEARING</t>
        </is>
      </c>
      <c r="B214" t="inlineStr">
        <is>
          <t>SW-DAMPER-055</t>
        </is>
      </c>
      <c r="C214" t="inlineStr">
        <is>
          <t>Bạc đồng D10</t>
        </is>
      </c>
      <c r="D214" t="inlineStr">
        <is>
          <t>PHỤ_KIỆN_VAN</t>
        </is>
      </c>
      <c r="E214" t="inlineStr">
        <is>
          <t>MAT-DAMPER-BAC-DONG-D10</t>
        </is>
      </c>
      <c r="F214" t="inlineStr">
        <is>
          <t>Đôi</t>
        </is>
      </c>
      <c r="G214" s="394" t="n">
        <v>8</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8 đôi bạc đỡ 2 bên thân</t>
        </is>
      </c>
    </row>
    <row r="215">
      <c r="A215" t="inlineStr">
        <is>
          <t>SW-DAMPER-055-GEAR</t>
        </is>
      </c>
      <c r="B215" t="inlineStr">
        <is>
          <t>SW-DAMPER-055</t>
        </is>
      </c>
      <c r="C215" t="inlineStr">
        <is>
          <t>Bánh răng van nhôm</t>
        </is>
      </c>
      <c r="D215" t="inlineStr">
        <is>
          <t>PHỤ_KIỆN_VAN</t>
        </is>
      </c>
      <c r="E215" t="inlineStr">
        <is>
          <t>MAT-DAMPER-BANH-RANG-VAN-NHOM</t>
        </is>
      </c>
      <c r="F215" t="inlineStr">
        <is>
          <t>Bộ</t>
        </is>
      </c>
      <c r="G215" s="394" t="n">
        <v>2</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Cơ cấu liên động cánh (2 bộ)</t>
        </is>
      </c>
    </row>
    <row r="216">
      <c r="A216" t="inlineStr">
        <is>
          <t>SW-DAMPER-055-ACTUATOR</t>
        </is>
      </c>
      <c r="B216" t="inlineStr">
        <is>
          <t>SW-DAMPER-055</t>
        </is>
      </c>
      <c r="C216" t="inlineStr">
        <is>
          <t>Động cơ chặn lửa ON/OFF 9Nm, 230V/24V (BELIMO BFN24 / BFN230)</t>
        </is>
      </c>
      <c r="D216" t="inlineStr">
        <is>
          <t>ĐỘNG_CƠ_VÀ_CẢM_BIẾN</t>
        </is>
      </c>
      <c r="E216" t="inlineStr">
        <is>
          <t>MAT-ACTUATOR-BELIMO-BFN24</t>
        </is>
      </c>
      <c r="F216" t="inlineStr">
        <is>
          <t>Cái</t>
        </is>
      </c>
      <c r="G216" s="394" t="n">
        <v>2</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Động cơ lò xo phản hồi MFD (2 bộ (2 modul 600x600mm))</t>
        </is>
      </c>
    </row>
    <row r="217">
      <c r="A217" t="inlineStr">
        <is>
          <t>SW-DAMPER-055-FB10-BODY</t>
        </is>
      </c>
      <c r="B217" t="inlineStr">
        <is>
          <t>SW-DAMPER-055</t>
        </is>
      </c>
      <c r="C217" t="inlineStr">
        <is>
          <t>Tấm chống cháy dày 10mm bọc thân van FD/MFD (2 lớp)</t>
        </is>
      </c>
      <c r="D217" t="inlineStr">
        <is>
          <t>VẬT_LIỆU_CÁCH_NHIỆT</t>
        </is>
      </c>
      <c r="E217" t="inlineStr">
        <is>
          <t>MAT-FIREBOARD-10MM-BODY</t>
        </is>
      </c>
      <c r="F217" t="inlineStr">
        <is>
          <t>m2</t>
        </is>
      </c>
      <c r="G217" s="394" t="n">
        <v>2.88</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Bọc 2 lớp tấm 10mm quanh thân L=300mm (2 modul 600x600mm)</t>
        </is>
      </c>
    </row>
    <row r="218">
      <c r="A218" t="inlineStr">
        <is>
          <t>SW-DAMPER-055-FB20-BLADE</t>
        </is>
      </c>
      <c r="B218" t="inlineStr">
        <is>
          <t>SW-DAMPER-055</t>
        </is>
      </c>
      <c r="C218" t="inlineStr">
        <is>
          <t>Tấm chống cháy dày 20mm làm lõi cánh van FD/MFD</t>
        </is>
      </c>
      <c r="D218" t="inlineStr">
        <is>
          <t>VẬT_LIỆU_CÁCH_NHIỆT</t>
        </is>
      </c>
      <c r="E218" t="inlineStr">
        <is>
          <t>MAT-FIREBOARD-20MM-BLADE</t>
        </is>
      </c>
      <c r="F218" t="inlineStr">
        <is>
          <t>m2</t>
        </is>
      </c>
      <c r="G218" s="394" t="n">
        <v>1.070041610738255</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Lõi cánh tấm 20mm (Đa cánh hệ số (H-5)/149=3.99, bản rộng 210mm, hao hụt 10% (2 modul 600x600mm))</t>
        </is>
      </c>
    </row>
    <row r="219">
      <c r="A219" t="inlineStr">
        <is>
          <t>SW-DAMPER-055-FB10-BLADE</t>
        </is>
      </c>
      <c r="B219" t="inlineStr">
        <is>
          <t>SW-DAMPER-055</t>
        </is>
      </c>
      <c r="C219" t="inlineStr">
        <is>
          <t>Tấm chống cháy dày 10mm ốp 2 mặt cánh van FD/MFD</t>
        </is>
      </c>
      <c r="D219" t="inlineStr">
        <is>
          <t>VẬT_LIỆU_CÁCH_NHIỆT</t>
        </is>
      </c>
      <c r="E219" t="inlineStr">
        <is>
          <t>MAT-FIREBOARD-10MM-BLADE</t>
        </is>
      </c>
      <c r="F219" t="inlineStr">
        <is>
          <t>m2</t>
        </is>
      </c>
      <c r="G219" s="394" t="n">
        <v>2.213879194630873</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Ốp 2 mặt cánh tấm 10mm (Đa cánh hệ số (H-5)/149=3.99, bản rộng 210mm, hao hụt 10% (2 modul 600x600mm))</t>
        </is>
      </c>
    </row>
    <row r="220">
      <c r="A220" t="inlineStr">
        <is>
          <t>SW-DAMPER-055-SPRING-BOX</t>
        </is>
      </c>
      <c r="B220" t="inlineStr">
        <is>
          <t>SW-DAMPER-055</t>
        </is>
      </c>
      <c r="C220" t="inlineStr">
        <is>
          <t>Hộp lò xo van chặn lửa FD/MFD</t>
        </is>
      </c>
      <c r="D220" t="inlineStr">
        <is>
          <t>PHỤ_KIỆN_VAN</t>
        </is>
      </c>
      <c r="E220" t="inlineStr">
        <is>
          <t>MAT-DAMPER-HOP-LO-XO</t>
        </is>
      </c>
      <c r="F220" t="inlineStr">
        <is>
          <t>Bộ</t>
        </is>
      </c>
      <c r="G220" s="394" t="n">
        <v>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Hộp lò xo cơ cấu đóng sập (2 bộ)</t>
        </is>
      </c>
    </row>
    <row r="221">
      <c r="A221" t="inlineStr">
        <is>
          <t>SW-DAMPER-055-SILICON-BOLT</t>
        </is>
      </c>
      <c r="B221" t="inlineStr">
        <is>
          <t>SW-DAMPER-055</t>
        </is>
      </c>
      <c r="C221" t="inlineStr">
        <is>
          <t>Silicon chống cháy + bu lông, ốc vít van FD/MFD</t>
        </is>
      </c>
      <c r="D221" t="inlineStr">
        <is>
          <t>PHỤ_KIỆN_VAN</t>
        </is>
      </c>
      <c r="E221" t="inlineStr">
        <is>
          <t>MAT-DAMPER-SILICON-BULONG-VIT</t>
        </is>
      </c>
      <c r="F221" t="inlineStr">
        <is>
          <t>Bộ</t>
        </is>
      </c>
      <c r="G221" s="394" t="n">
        <v>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Keo silicon chống cháy &amp; phụ kiện lắp ghép (2 bộ)</t>
        </is>
      </c>
    </row>
    <row r="222">
      <c r="A222" t="inlineStr">
        <is>
          <t>SW-DAMPER-056-BODY</t>
        </is>
      </c>
      <c r="B222" t="inlineStr">
        <is>
          <t>SW-DAMPER-056</t>
        </is>
      </c>
      <c r="C222" t="inlineStr">
        <is>
          <t>Thân vỏ van MFD bích C30/TDF (1.15mm)</t>
        </is>
      </c>
      <c r="D222" t="inlineStr">
        <is>
          <t>TÔN_CUỘN_MẠ_KẼM</t>
        </is>
      </c>
      <c r="E222" t="inlineStr">
        <is>
          <t>MAT-STEEL-PN-1.15</t>
        </is>
      </c>
      <c r="F222" t="inlineStr">
        <is>
          <t>kg</t>
        </is>
      </c>
      <c r="G222" s="394" t="n">
        <v>2.405738475</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250x200x200mm</t>
        </is>
      </c>
    </row>
    <row r="223">
      <c r="A223" t="inlineStr">
        <is>
          <t>SW-DAMPER-056-BLADE</t>
        </is>
      </c>
      <c r="B223" t="inlineStr">
        <is>
          <t>SW-DAMPER-056</t>
        </is>
      </c>
      <c r="C223" t="inlineStr">
        <is>
          <t>Lá cánh / Tôn tấm bọc van (1 cánh)</t>
        </is>
      </c>
      <c r="D223" t="inlineStr">
        <is>
          <t>TÔN_CUỘN_MẠ_KẼM</t>
        </is>
      </c>
      <c r="E223" t="inlineStr">
        <is>
          <t>MAT-STEEL-PN-1.15</t>
        </is>
      </c>
      <c r="F223" t="inlineStr">
        <is>
          <t>kg</t>
        </is>
      </c>
      <c r="G223" s="394" t="n">
        <v>0.9027499999999998</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Tôn bọc cánh &amp; thân (1 cánh/modul)</t>
        </is>
      </c>
    </row>
    <row r="224">
      <c r="A224" t="inlineStr">
        <is>
          <t>SW-DAMPER-056-AXLE</t>
        </is>
      </c>
      <c r="B224" t="inlineStr">
        <is>
          <t>SW-DAMPER-056</t>
        </is>
      </c>
      <c r="C224" t="inlineStr">
        <is>
          <t>Trục Sus 201 D10</t>
        </is>
      </c>
      <c r="D224" t="inlineStr">
        <is>
          <t>PHỤ_KIỆN_VAN</t>
        </is>
      </c>
      <c r="E224" t="inlineStr">
        <is>
          <t>MAT-DAMPER-TRUC-SUS-201-D10</t>
        </is>
      </c>
      <c r="F224" t="inlineStr">
        <is>
          <t>m</t>
        </is>
      </c>
      <c r="G224" s="394" t="n">
        <v>0.31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1 trục dài 310mm</t>
        </is>
      </c>
    </row>
    <row r="225">
      <c r="A225" t="inlineStr">
        <is>
          <t>SW-DAMPER-056-BEARING</t>
        </is>
      </c>
      <c r="B225" t="inlineStr">
        <is>
          <t>SW-DAMPER-056</t>
        </is>
      </c>
      <c r="C225" t="inlineStr">
        <is>
          <t>Bạc đồng D10</t>
        </is>
      </c>
      <c r="D225" t="inlineStr">
        <is>
          <t>PHỤ_KIỆN_VAN</t>
        </is>
      </c>
      <c r="E225" t="inlineStr">
        <is>
          <t>MAT-DAMPER-BAC-DONG-D10</t>
        </is>
      </c>
      <c r="F225" t="inlineStr">
        <is>
          <t>Đôi</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1 đôi bạc đỡ 2 bên thân</t>
        </is>
      </c>
    </row>
    <row r="226">
      <c r="A226" t="inlineStr">
        <is>
          <t>SW-DAMPER-056-ACTUATOR</t>
        </is>
      </c>
      <c r="B226" t="inlineStr">
        <is>
          <t>SW-DAMPER-056</t>
        </is>
      </c>
      <c r="C226" t="inlineStr">
        <is>
          <t>Động cơ chặn lửa ON/OFF 3.5Nm, 230V/24V (BELIMO FSLF24 / FSLF230)</t>
        </is>
      </c>
      <c r="D226" t="inlineStr">
        <is>
          <t>ĐỘNG_CƠ_VÀ_CẢM_BIẾN</t>
        </is>
      </c>
      <c r="E226" t="inlineStr">
        <is>
          <t>MAT-ACTUATOR-BELIMO-FSLF24</t>
        </is>
      </c>
      <c r="F226" t="inlineStr">
        <is>
          <t>Cái</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Động cơ lò xo phản hồi MFD (1 bộ)</t>
        </is>
      </c>
    </row>
    <row r="227">
      <c r="A227" t="inlineStr">
        <is>
          <t>SW-DAMPER-056-FB10-BODY</t>
        </is>
      </c>
      <c r="B227" t="inlineStr">
        <is>
          <t>SW-DAMPER-056</t>
        </is>
      </c>
      <c r="C227" t="inlineStr">
        <is>
          <t>Tấm chống cháy dày 10mm bọc thân van FD/MFD (2 lớp)</t>
        </is>
      </c>
      <c r="D227" t="inlineStr">
        <is>
          <t>VẬT_LIỆU_CÁCH_NHIỆT</t>
        </is>
      </c>
      <c r="E227" t="inlineStr">
        <is>
          <t>MAT-FIREBOARD-10MM-BODY</t>
        </is>
      </c>
      <c r="F227" t="inlineStr">
        <is>
          <t>m2</t>
        </is>
      </c>
      <c r="G227" s="394" t="n">
        <v>0.54</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Bọc 2 lớp tấm 10mm quanh thân L=300mm</t>
        </is>
      </c>
    </row>
    <row r="228">
      <c r="A228" t="inlineStr">
        <is>
          <t>SW-DAMPER-056-FB20-BLADE</t>
        </is>
      </c>
      <c r="B228" t="inlineStr">
        <is>
          <t>SW-DAMPER-056</t>
        </is>
      </c>
      <c r="C228" t="inlineStr">
        <is>
          <t>Tấm chống cháy dày 20mm làm lõi cánh van FD/MFD</t>
        </is>
      </c>
      <c r="D228" t="inlineStr">
        <is>
          <t>VẬT_LIỆU_CÁCH_NHIỆT</t>
        </is>
      </c>
      <c r="E228" t="inlineStr">
        <is>
          <t>MAT-FIREBOARD-20MM-BLADE</t>
        </is>
      </c>
      <c r="F228" t="inlineStr">
        <is>
          <t>m2</t>
        </is>
      </c>
      <c r="G228" s="394" t="n">
        <v>0.05</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Lõi cánh tấm 20mm (Cánh đơn 250x200mm)</t>
        </is>
      </c>
    </row>
    <row r="229">
      <c r="A229" t="inlineStr">
        <is>
          <t>SW-DAMPER-056-FB10-BLADE</t>
        </is>
      </c>
      <c r="B229" t="inlineStr">
        <is>
          <t>SW-DAMPER-056</t>
        </is>
      </c>
      <c r="C229" t="inlineStr">
        <is>
          <t>Tấm chống cháy dày 10mm ốp 2 mặt cánh van FD/MFD</t>
        </is>
      </c>
      <c r="D229" t="inlineStr">
        <is>
          <t>VẬT_LIỆU_CÁCH_NHIỆT</t>
        </is>
      </c>
      <c r="E229" t="inlineStr">
        <is>
          <t>MAT-FIREBOARD-10MM-BLADE</t>
        </is>
      </c>
      <c r="F229" t="inlineStr">
        <is>
          <t>m2</t>
        </is>
      </c>
      <c r="G229" s="394" t="n">
        <v>0.1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Ốp 2 mặt cánh tấm 10mm (Cánh đơn 250x200mm)</t>
        </is>
      </c>
    </row>
    <row r="230">
      <c r="A230" t="inlineStr">
        <is>
          <t>SW-DAMPER-056-SPRING-BOX</t>
        </is>
      </c>
      <c r="B230" t="inlineStr">
        <is>
          <t>SW-DAMPER-056</t>
        </is>
      </c>
      <c r="C230" t="inlineStr">
        <is>
          <t>Hộp lò xo van chặn lửa FD/MFD</t>
        </is>
      </c>
      <c r="D230" t="inlineStr">
        <is>
          <t>PHỤ_KIỆN_VAN</t>
        </is>
      </c>
      <c r="E230" t="inlineStr">
        <is>
          <t>MAT-DAMPER-HOP-LO-XO</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Hộp lò xo cơ cấu đóng sập (1 bộ)</t>
        </is>
      </c>
    </row>
    <row r="231">
      <c r="A231" t="inlineStr">
        <is>
          <t>SW-DAMPER-056-SILICON-BOLT</t>
        </is>
      </c>
      <c r="B231" t="inlineStr">
        <is>
          <t>SW-DAMPER-056</t>
        </is>
      </c>
      <c r="C231" t="inlineStr">
        <is>
          <t>Silicon chống cháy + bu lông, ốc vít van FD/MFD</t>
        </is>
      </c>
      <c r="D231" t="inlineStr">
        <is>
          <t>PHỤ_KIỆN_VAN</t>
        </is>
      </c>
      <c r="E231" t="inlineStr">
        <is>
          <t>MAT-DAMPER-SILICON-BULONG-VIT</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Keo silicon chống cháy &amp; phụ kiện lắp ghép (1 bộ)</t>
        </is>
      </c>
    </row>
    <row r="232">
      <c r="A232" t="inlineStr">
        <is>
          <t>SW-DAMPER-057-BODY</t>
        </is>
      </c>
      <c r="B232" t="inlineStr">
        <is>
          <t>SW-DAMPER-057</t>
        </is>
      </c>
      <c r="C232" t="inlineStr">
        <is>
          <t>Thân vỏ van MFD bích C30/TDF (1.15mm)</t>
        </is>
      </c>
      <c r="D232" t="inlineStr">
        <is>
          <t>TÔN_CUỘN_MẠ_KẼM</t>
        </is>
      </c>
      <c r="E232" t="inlineStr">
        <is>
          <t>MAT-STEEL-PN-1.15</t>
        </is>
      </c>
      <c r="F232" t="inlineStr">
        <is>
          <t>kg</t>
        </is>
      </c>
      <c r="G232" s="394" t="n">
        <v>6.7565421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Kích thước vỏ 900x400x200mm</t>
        </is>
      </c>
    </row>
    <row r="233">
      <c r="A233" t="inlineStr">
        <is>
          <t>SW-DAMPER-057-BLADE</t>
        </is>
      </c>
      <c r="B233" t="inlineStr">
        <is>
          <t>SW-DAMPER-057</t>
        </is>
      </c>
      <c r="C233" t="inlineStr">
        <is>
          <t>Lá cánh / Tôn tấm bọc van (3 cánh)</t>
        </is>
      </c>
      <c r="D233" t="inlineStr">
        <is>
          <t>TÔN_CUỘN_MẠ_KẼM</t>
        </is>
      </c>
      <c r="E233" t="inlineStr">
        <is>
          <t>MAT-STEEL-PN-1.15</t>
        </is>
      </c>
      <c r="F233" t="inlineStr">
        <is>
          <t>kg</t>
        </is>
      </c>
      <c r="G233" s="394" t="n">
        <v>6.4998</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Tôn bọc cánh &amp; thân (3 cánh/modul)</t>
        </is>
      </c>
    </row>
    <row r="234">
      <c r="A234" t="inlineStr">
        <is>
          <t>SW-DAMPER-057-AXLE</t>
        </is>
      </c>
      <c r="B234" t="inlineStr">
        <is>
          <t>SW-DAMPER-057</t>
        </is>
      </c>
      <c r="C234" t="inlineStr">
        <is>
          <t>Trục Sus 201 D10</t>
        </is>
      </c>
      <c r="D234" t="inlineStr">
        <is>
          <t>PHỤ_KIỆN_VAN</t>
        </is>
      </c>
      <c r="E234" t="inlineStr">
        <is>
          <t>MAT-DAMPER-TRUC-SUS-201-D10</t>
        </is>
      </c>
      <c r="F234" t="inlineStr">
        <is>
          <t>m</t>
        </is>
      </c>
      <c r="G234" s="394" t="n">
        <v>2.88</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3 trục dài 960mm</t>
        </is>
      </c>
    </row>
    <row r="235">
      <c r="A235" t="inlineStr">
        <is>
          <t>SW-DAMPER-057-BEARING</t>
        </is>
      </c>
      <c r="B235" t="inlineStr">
        <is>
          <t>SW-DAMPER-057</t>
        </is>
      </c>
      <c r="C235" t="inlineStr">
        <is>
          <t>Bạc đồng D10</t>
        </is>
      </c>
      <c r="D235" t="inlineStr">
        <is>
          <t>PHỤ_KIỆN_VAN</t>
        </is>
      </c>
      <c r="E235" t="inlineStr">
        <is>
          <t>MAT-DAMPER-BAC-DONG-D10</t>
        </is>
      </c>
      <c r="F235" t="inlineStr">
        <is>
          <t>Đôi</t>
        </is>
      </c>
      <c r="G235" s="394" t="n">
        <v>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3 đôi bạc đỡ 2 bên thân</t>
        </is>
      </c>
    </row>
    <row r="236">
      <c r="A236" t="inlineStr">
        <is>
          <t>SW-DAMPER-057-GEAR</t>
        </is>
      </c>
      <c r="B236" t="inlineStr">
        <is>
          <t>SW-DAMPER-057</t>
        </is>
      </c>
      <c r="C236" t="inlineStr">
        <is>
          <t>Bánh răng van nhôm</t>
        </is>
      </c>
      <c r="D236" t="inlineStr">
        <is>
          <t>PHỤ_KIỆN_VAN</t>
        </is>
      </c>
      <c r="E236" t="inlineStr">
        <is>
          <t>MAT-DAMPER-BANH-RANG-VAN-NHOM</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Cơ cấu liên động cánh (1 bộ)</t>
        </is>
      </c>
    </row>
    <row r="237">
      <c r="A237" t="inlineStr">
        <is>
          <t>SW-DAMPER-057-ACTUATOR</t>
        </is>
      </c>
      <c r="B237" t="inlineStr">
        <is>
          <t>SW-DAMPER-057</t>
        </is>
      </c>
      <c r="C237" t="inlineStr">
        <is>
          <t>Động cơ chặn lửa ON/OFF 9Nm, 230V/24V (BELIMO BFN24 / BFN230)</t>
        </is>
      </c>
      <c r="D237" t="inlineStr">
        <is>
          <t>ĐỘNG_CƠ_VÀ_CẢM_BIẾN</t>
        </is>
      </c>
      <c r="E237" t="inlineStr">
        <is>
          <t>MAT-ACTUATOR-BELIMO-BFN24</t>
        </is>
      </c>
      <c r="F237" t="inlineStr">
        <is>
          <t>Cái</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Động cơ lò xo phản hồi MFD (1 bộ)</t>
        </is>
      </c>
    </row>
    <row r="238">
      <c r="A238" t="inlineStr">
        <is>
          <t>SW-DAMPER-057-FB10-BODY</t>
        </is>
      </c>
      <c r="B238" t="inlineStr">
        <is>
          <t>SW-DAMPER-057</t>
        </is>
      </c>
      <c r="C238" t="inlineStr">
        <is>
          <t>Tấm chống cháy dày 10mm bọc thân van FD/MFD (2 lớp)</t>
        </is>
      </c>
      <c r="D238" t="inlineStr">
        <is>
          <t>VẬT_LIỆU_CÁCH_NHIỆT</t>
        </is>
      </c>
      <c r="E238" t="inlineStr">
        <is>
          <t>MAT-FIREBOARD-10MM-BODY</t>
        </is>
      </c>
      <c r="F238" t="inlineStr">
        <is>
          <t>m2</t>
        </is>
      </c>
      <c r="G238" s="394" t="n">
        <v>1.56</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Bọc 2 lớp tấm 10mm quanh thân L=300mm</t>
        </is>
      </c>
    </row>
    <row r="239">
      <c r="A239" t="inlineStr">
        <is>
          <t>SW-DAMPER-057-FB20-BLADE</t>
        </is>
      </c>
      <c r="B239" t="inlineStr">
        <is>
          <t>SW-DAMPER-057</t>
        </is>
      </c>
      <c r="C239" t="inlineStr">
        <is>
          <t>Tấm chống cháy dày 20mm làm lõi cánh van FD/MFD</t>
        </is>
      </c>
      <c r="D239" t="inlineStr">
        <is>
          <t>VẬT_LIỆU_CÁCH_NHIỆT</t>
        </is>
      </c>
      <c r="E239" t="inlineStr">
        <is>
          <t>MAT-FIREBOARD-20MM-BLADE</t>
        </is>
      </c>
      <c r="F239" t="inlineStr">
        <is>
          <t>m2</t>
        </is>
      </c>
      <c r="G239" s="394" t="n">
        <v>0.538896644295302</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Lõi cánh tấm 20mm (Đa cánh hệ số (H-5)/149=2.65, bản rộng 210mm, hao hụt 10%)</t>
        </is>
      </c>
    </row>
    <row r="240">
      <c r="A240" t="inlineStr">
        <is>
          <t>SW-DAMPER-057-FB10-BLADE</t>
        </is>
      </c>
      <c r="B240" t="inlineStr">
        <is>
          <t>SW-DAMPER-057</t>
        </is>
      </c>
      <c r="C240" t="inlineStr">
        <is>
          <t>Tấm chống cháy dày 10mm ốp 2 mặt cánh van FD/MFD</t>
        </is>
      </c>
      <c r="D240" t="inlineStr">
        <is>
          <t>VẬT_LIỆU_CÁCH_NHIỆT</t>
        </is>
      </c>
      <c r="E240" t="inlineStr">
        <is>
          <t>MAT-FIREBOARD-10MM-BLADE</t>
        </is>
      </c>
      <c r="F240" t="inlineStr">
        <is>
          <t>m2</t>
        </is>
      </c>
      <c r="G240" s="394" t="n">
        <v>1.102288590604027</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Ốp 2 mặt cánh tấm 10mm (Đa cánh hệ số (H-5)/149=2.65, bản rộng 210mm, hao hụt 10%)</t>
        </is>
      </c>
    </row>
    <row r="241">
      <c r="A241" t="inlineStr">
        <is>
          <t>SW-DAMPER-057-SPRING-BOX</t>
        </is>
      </c>
      <c r="B241" t="inlineStr">
        <is>
          <t>SW-DAMPER-057</t>
        </is>
      </c>
      <c r="C241" t="inlineStr">
        <is>
          <t>Hộp lò xo van chặn lửa FD/MFD</t>
        </is>
      </c>
      <c r="D241" t="inlineStr">
        <is>
          <t>PHỤ_KIỆN_VAN</t>
        </is>
      </c>
      <c r="E241" t="inlineStr">
        <is>
          <t>MAT-DAMPER-HOP-LO-XO</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Hộp lò xo cơ cấu đóng sập (1 bộ)</t>
        </is>
      </c>
    </row>
    <row r="242">
      <c r="A242" t="inlineStr">
        <is>
          <t>SW-DAMPER-057-SILICON-BOLT</t>
        </is>
      </c>
      <c r="B242" t="inlineStr">
        <is>
          <t>SW-DAMPER-057</t>
        </is>
      </c>
      <c r="C242" t="inlineStr">
        <is>
          <t>Silicon chống cháy + bu lông, ốc vít van FD/MFD</t>
        </is>
      </c>
      <c r="D242" t="inlineStr">
        <is>
          <t>PHỤ_KIỆN_VAN</t>
        </is>
      </c>
      <c r="E242" t="inlineStr">
        <is>
          <t>MAT-DAMPER-SILICON-BULONG-VIT</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Keo silicon chống cháy &amp; phụ kiện lắp ghép (1 bộ)</t>
        </is>
      </c>
    </row>
    <row r="243">
      <c r="A243" t="inlineStr">
        <is>
          <t>SW-DAMPER-058-BODY</t>
        </is>
      </c>
      <c r="B243" t="inlineStr">
        <is>
          <t>SW-DAMPER-058</t>
        </is>
      </c>
      <c r="C243" t="inlineStr">
        <is>
          <t>Thân vỏ van MFD bích C30/TDF (1.15mm)</t>
        </is>
      </c>
      <c r="D243" t="inlineStr">
        <is>
          <t>TÔN_CUỘN_MẠ_KẼM</t>
        </is>
      </c>
      <c r="E243" t="inlineStr">
        <is>
          <t>MAT-STEEL-PN-1.15</t>
        </is>
      </c>
      <c r="F243" t="inlineStr">
        <is>
          <t>kg</t>
        </is>
      </c>
      <c r="G243" s="394" t="n">
        <v>6.7565421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Kích thước vỏ 900x400x200mm</t>
        </is>
      </c>
    </row>
    <row r="244">
      <c r="A244" t="inlineStr">
        <is>
          <t>SW-DAMPER-058-BLADE</t>
        </is>
      </c>
      <c r="B244" t="inlineStr">
        <is>
          <t>SW-DAMPER-058</t>
        </is>
      </c>
      <c r="C244" t="inlineStr">
        <is>
          <t>Lá cánh / Tôn tấm bọc van (3 cánh)</t>
        </is>
      </c>
      <c r="D244" t="inlineStr">
        <is>
          <t>TÔN_CUỘN_MẠ_KẼM</t>
        </is>
      </c>
      <c r="E244" t="inlineStr">
        <is>
          <t>MAT-STEEL-PN-1.15</t>
        </is>
      </c>
      <c r="F244" t="inlineStr">
        <is>
          <t>kg</t>
        </is>
      </c>
      <c r="G244" s="394" t="n">
        <v>6.4998</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Tôn bọc cánh &amp; thân (3 cánh/modul)</t>
        </is>
      </c>
    </row>
    <row r="245">
      <c r="A245" t="inlineStr">
        <is>
          <t>SW-DAMPER-058-AXLE</t>
        </is>
      </c>
      <c r="B245" t="inlineStr">
        <is>
          <t>SW-DAMPER-058</t>
        </is>
      </c>
      <c r="C245" t="inlineStr">
        <is>
          <t>Trục Sus 201 D10</t>
        </is>
      </c>
      <c r="D245" t="inlineStr">
        <is>
          <t>PHỤ_KIỆN_VAN</t>
        </is>
      </c>
      <c r="E245" t="inlineStr">
        <is>
          <t>MAT-DAMPER-TRUC-SUS-201-D10</t>
        </is>
      </c>
      <c r="F245" t="inlineStr">
        <is>
          <t>m</t>
        </is>
      </c>
      <c r="G245" s="394" t="n">
        <v>2.88</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3 trục dài 960mm</t>
        </is>
      </c>
    </row>
    <row r="246">
      <c r="A246" t="inlineStr">
        <is>
          <t>SW-DAMPER-058-BEARING</t>
        </is>
      </c>
      <c r="B246" t="inlineStr">
        <is>
          <t>SW-DAMPER-058</t>
        </is>
      </c>
      <c r="C246" t="inlineStr">
        <is>
          <t>Bạc đồng D10</t>
        </is>
      </c>
      <c r="D246" t="inlineStr">
        <is>
          <t>PHỤ_KIỆN_VAN</t>
        </is>
      </c>
      <c r="E246" t="inlineStr">
        <is>
          <t>MAT-DAMPER-BAC-DONG-D10</t>
        </is>
      </c>
      <c r="F246" t="inlineStr">
        <is>
          <t>Đôi</t>
        </is>
      </c>
      <c r="G246" s="394" t="n">
        <v>3</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3 đôi bạc đỡ 2 bên thân</t>
        </is>
      </c>
    </row>
    <row r="247">
      <c r="A247" t="inlineStr">
        <is>
          <t>SW-DAMPER-058-GEAR</t>
        </is>
      </c>
      <c r="B247" t="inlineStr">
        <is>
          <t>SW-DAMPER-058</t>
        </is>
      </c>
      <c r="C247" t="inlineStr">
        <is>
          <t>Bánh răng van nhôm</t>
        </is>
      </c>
      <c r="D247" t="inlineStr">
        <is>
          <t>PHỤ_KIỆN_VAN</t>
        </is>
      </c>
      <c r="E247" t="inlineStr">
        <is>
          <t>MAT-DAMPER-BANH-RANG-VAN-NHOM</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Cơ cấu liên động cánh (1 bộ)</t>
        </is>
      </c>
    </row>
    <row r="248">
      <c r="A248" t="inlineStr">
        <is>
          <t>SW-DAMPER-058-ACTUATOR</t>
        </is>
      </c>
      <c r="B248" t="inlineStr">
        <is>
          <t>SW-DAMPER-058</t>
        </is>
      </c>
      <c r="C248" t="inlineStr">
        <is>
          <t>Động cơ chặn lửa ON/OFF 9Nm, 230V/24V (BELIMO BFN24 / BFN230)</t>
        </is>
      </c>
      <c r="D248" t="inlineStr">
        <is>
          <t>ĐỘNG_CƠ_VÀ_CẢM_BIẾN</t>
        </is>
      </c>
      <c r="E248" t="inlineStr">
        <is>
          <t>MAT-ACTUATOR-BELIMO-BFN24</t>
        </is>
      </c>
      <c r="F248" t="inlineStr">
        <is>
          <t>Cái</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Động cơ lò xo phản hồi MFD (1 bộ)</t>
        </is>
      </c>
    </row>
    <row r="249">
      <c r="A249" t="inlineStr">
        <is>
          <t>SW-DAMPER-058-FB10-BODY</t>
        </is>
      </c>
      <c r="B249" t="inlineStr">
        <is>
          <t>SW-DAMPER-058</t>
        </is>
      </c>
      <c r="C249" t="inlineStr">
        <is>
          <t>Tấm chống cháy dày 10mm bọc thân van FD/MFD (2 lớp)</t>
        </is>
      </c>
      <c r="D249" t="inlineStr">
        <is>
          <t>VẬT_LIỆU_CÁCH_NHIỆT</t>
        </is>
      </c>
      <c r="E249" t="inlineStr">
        <is>
          <t>MAT-FIREBOARD-10MM-BODY</t>
        </is>
      </c>
      <c r="F249" t="inlineStr">
        <is>
          <t>m2</t>
        </is>
      </c>
      <c r="G249" s="394" t="n">
        <v>1.56</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Bọc 2 lớp tấm 10mm quanh thân L=300mm</t>
        </is>
      </c>
    </row>
    <row r="250">
      <c r="A250" t="inlineStr">
        <is>
          <t>SW-DAMPER-058-FB20-BLADE</t>
        </is>
      </c>
      <c r="B250" t="inlineStr">
        <is>
          <t>SW-DAMPER-058</t>
        </is>
      </c>
      <c r="C250" t="inlineStr">
        <is>
          <t>Tấm chống cháy dày 20mm làm lõi cánh van FD/MFD</t>
        </is>
      </c>
      <c r="D250" t="inlineStr">
        <is>
          <t>VẬT_LIỆU_CÁCH_NHIỆT</t>
        </is>
      </c>
      <c r="E250" t="inlineStr">
        <is>
          <t>MAT-FIREBOARD-20MM-BLADE</t>
        </is>
      </c>
      <c r="F250" t="inlineStr">
        <is>
          <t>m2</t>
        </is>
      </c>
      <c r="G250" s="394" t="n">
        <v>0.538896644295302</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Lõi cánh tấm 20mm (Đa cánh hệ số (H-5)/149=2.65, bản rộng 210mm, hao hụt 10%)</t>
        </is>
      </c>
    </row>
    <row r="251">
      <c r="A251" t="inlineStr">
        <is>
          <t>SW-DAMPER-058-FB10-BLADE</t>
        </is>
      </c>
      <c r="B251" t="inlineStr">
        <is>
          <t>SW-DAMPER-058</t>
        </is>
      </c>
      <c r="C251" t="inlineStr">
        <is>
          <t>Tấm chống cháy dày 10mm ốp 2 mặt cánh van FD/MFD</t>
        </is>
      </c>
      <c r="D251" t="inlineStr">
        <is>
          <t>VẬT_LIỆU_CÁCH_NHIỆT</t>
        </is>
      </c>
      <c r="E251" t="inlineStr">
        <is>
          <t>MAT-FIREBOARD-10MM-BLADE</t>
        </is>
      </c>
      <c r="F251" t="inlineStr">
        <is>
          <t>m2</t>
        </is>
      </c>
      <c r="G251" s="394" t="n">
        <v>1.102288590604027</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Ốp 2 mặt cánh tấm 10mm (Đa cánh hệ số (H-5)/149=2.65, bản rộng 210mm, hao hụt 10%)</t>
        </is>
      </c>
    </row>
    <row r="252">
      <c r="A252" t="inlineStr">
        <is>
          <t>SW-DAMPER-058-SPRING-BOX</t>
        </is>
      </c>
      <c r="B252" t="inlineStr">
        <is>
          <t>SW-DAMPER-058</t>
        </is>
      </c>
      <c r="C252" t="inlineStr">
        <is>
          <t>Hộp lò xo van chặn lửa FD/MFD</t>
        </is>
      </c>
      <c r="D252" t="inlineStr">
        <is>
          <t>PHỤ_KIỆN_VAN</t>
        </is>
      </c>
      <c r="E252" t="inlineStr">
        <is>
          <t>MAT-DAMPER-HOP-LO-XO</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Hộp lò xo cơ cấu đóng sập (1 bộ)</t>
        </is>
      </c>
    </row>
    <row r="253">
      <c r="A253" t="inlineStr">
        <is>
          <t>SW-DAMPER-058-SILICON-BOLT</t>
        </is>
      </c>
      <c r="B253" t="inlineStr">
        <is>
          <t>SW-DAMPER-058</t>
        </is>
      </c>
      <c r="C253" t="inlineStr">
        <is>
          <t>Silicon chống cháy + bu lông, ốc vít van FD/MFD</t>
        </is>
      </c>
      <c r="D253" t="inlineStr">
        <is>
          <t>PHỤ_KIỆN_VAN</t>
        </is>
      </c>
      <c r="E253" t="inlineStr">
        <is>
          <t>MAT-DAMPER-SILICON-BULONG-VIT</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Keo silicon chống cháy &amp; phụ kiện lắp ghép (1 bộ)</t>
        </is>
      </c>
    </row>
    <row r="254">
      <c r="A254" t="inlineStr">
        <is>
          <t>SW-DAMPER-059-BODY</t>
        </is>
      </c>
      <c r="B254" t="inlineStr">
        <is>
          <t>SW-DAMPER-059</t>
        </is>
      </c>
      <c r="C254" t="inlineStr">
        <is>
          <t>Thân vỏ van MFD bích C30/TDF (1.15mm)</t>
        </is>
      </c>
      <c r="D254" t="inlineStr">
        <is>
          <t>TÔN_CUỘN_MẠ_KẼM</t>
        </is>
      </c>
      <c r="E254" t="inlineStr">
        <is>
          <t>MAT-STEEL-PN-1.15</t>
        </is>
      </c>
      <c r="F254" t="inlineStr">
        <is>
          <t>kg</t>
        </is>
      </c>
      <c r="G254" s="394" t="n">
        <v>3.17352735</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Kích thước vỏ 300x300x200mm</t>
        </is>
      </c>
    </row>
    <row r="255">
      <c r="A255" t="inlineStr">
        <is>
          <t>SW-DAMPER-059-BLADE</t>
        </is>
      </c>
      <c r="B255" t="inlineStr">
        <is>
          <t>SW-DAMPER-059</t>
        </is>
      </c>
      <c r="C255" t="inlineStr">
        <is>
          <t>Lá cánh / Tôn tấm bọc van (2 cánh)</t>
        </is>
      </c>
      <c r="D255" t="inlineStr">
        <is>
          <t>TÔN_CUỘN_MẠ_KẼM</t>
        </is>
      </c>
      <c r="E255" t="inlineStr">
        <is>
          <t>MAT-STEEL-PN-1.15</t>
        </is>
      </c>
      <c r="F255" t="inlineStr">
        <is>
          <t>kg</t>
        </is>
      </c>
      <c r="G255" s="394" t="n">
        <v>1.62495</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Tôn bọc cánh &amp; thân (2 cánh/modul)</t>
        </is>
      </c>
    </row>
    <row r="256">
      <c r="A256" t="inlineStr">
        <is>
          <t>SW-DAMPER-059-AXLE</t>
        </is>
      </c>
      <c r="B256" t="inlineStr">
        <is>
          <t>SW-DAMPER-059</t>
        </is>
      </c>
      <c r="C256" t="inlineStr">
        <is>
          <t>Trục Sus 201 D10</t>
        </is>
      </c>
      <c r="D256" t="inlineStr">
        <is>
          <t>PHỤ_KIỆN_VAN</t>
        </is>
      </c>
      <c r="E256" t="inlineStr">
        <is>
          <t>MAT-DAMPER-TRUC-SUS-201-D10</t>
        </is>
      </c>
      <c r="F256" t="inlineStr">
        <is>
          <t>m</t>
        </is>
      </c>
      <c r="G256" s="394" t="n">
        <v>0.72</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2 trục dài 360mm</t>
        </is>
      </c>
    </row>
    <row r="257">
      <c r="A257" t="inlineStr">
        <is>
          <t>SW-DAMPER-059-BEARING</t>
        </is>
      </c>
      <c r="B257" t="inlineStr">
        <is>
          <t>SW-DAMPER-059</t>
        </is>
      </c>
      <c r="C257" t="inlineStr">
        <is>
          <t>Bạc đồng D10</t>
        </is>
      </c>
      <c r="D257" t="inlineStr">
        <is>
          <t>PHỤ_KIỆN_VAN</t>
        </is>
      </c>
      <c r="E257" t="inlineStr">
        <is>
          <t>MAT-DAMPER-BAC-DONG-D10</t>
        </is>
      </c>
      <c r="F257" t="inlineStr">
        <is>
          <t>Đôi</t>
        </is>
      </c>
      <c r="G257" s="394" t="n">
        <v>2</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2 đôi bạc đỡ 2 bên thân</t>
        </is>
      </c>
    </row>
    <row r="258">
      <c r="A258" t="inlineStr">
        <is>
          <t>SW-DAMPER-059-GEAR</t>
        </is>
      </c>
      <c r="B258" t="inlineStr">
        <is>
          <t>SW-DAMPER-059</t>
        </is>
      </c>
      <c r="C258" t="inlineStr">
        <is>
          <t>Bánh răng van nhôm</t>
        </is>
      </c>
      <c r="D258" t="inlineStr">
        <is>
          <t>PHỤ_KIỆN_VAN</t>
        </is>
      </c>
      <c r="E258" t="inlineStr">
        <is>
          <t>MAT-DAMPER-BANH-RANG-VAN-NHOM</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Cơ cấu liên động cánh (1 bộ)</t>
        </is>
      </c>
    </row>
    <row r="259">
      <c r="A259" t="inlineStr">
        <is>
          <t>SW-DAMPER-059-ACTUATOR</t>
        </is>
      </c>
      <c r="B259" t="inlineStr">
        <is>
          <t>SW-DAMPER-059</t>
        </is>
      </c>
      <c r="C259" t="inlineStr">
        <is>
          <t>Động cơ chặn lửa ON/OFF 9Nm, 230V/24V (BELIMO BFN24 / BFN230)</t>
        </is>
      </c>
      <c r="D259" t="inlineStr">
        <is>
          <t>ĐỘNG_CƠ_VÀ_CẢM_BIẾN</t>
        </is>
      </c>
      <c r="E259" t="inlineStr">
        <is>
          <t>MAT-ACTUATOR-BELIMO-BFN24</t>
        </is>
      </c>
      <c r="F259" t="inlineStr">
        <is>
          <t>Cái</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Động cơ lò xo phản hồi MFD (1 bộ)</t>
        </is>
      </c>
    </row>
    <row r="260">
      <c r="A260" t="inlineStr">
        <is>
          <t>SW-DAMPER-059-FB10-BODY</t>
        </is>
      </c>
      <c r="B260" t="inlineStr">
        <is>
          <t>SW-DAMPER-059</t>
        </is>
      </c>
      <c r="C260" t="inlineStr">
        <is>
          <t>Tấm chống cháy dày 10mm bọc thân van FD/MFD (2 lớp)</t>
        </is>
      </c>
      <c r="D260" t="inlineStr">
        <is>
          <t>VẬT_LIỆU_CÁCH_NHIỆT</t>
        </is>
      </c>
      <c r="E260" t="inlineStr">
        <is>
          <t>MAT-FIREBOARD-10MM-BODY</t>
        </is>
      </c>
      <c r="F260" t="inlineStr">
        <is>
          <t>m2</t>
        </is>
      </c>
      <c r="G260" s="394" t="n">
        <v>0.72</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Bọc 2 lớp tấm 10mm quanh thân L=300mm</t>
        </is>
      </c>
    </row>
    <row r="261">
      <c r="A261" t="inlineStr">
        <is>
          <t>SW-DAMPER-059-FB20-BLADE</t>
        </is>
      </c>
      <c r="B261" t="inlineStr">
        <is>
          <t>SW-DAMPER-059</t>
        </is>
      </c>
      <c r="C261" t="inlineStr">
        <is>
          <t>Tấm chống cháy dày 20mm làm lõi cánh van FD/MFD</t>
        </is>
      </c>
      <c r="D261" t="inlineStr">
        <is>
          <t>VẬT_LIỆU_CÁCH_NHIỆT</t>
        </is>
      </c>
      <c r="E261" t="inlineStr">
        <is>
          <t>MAT-FIREBOARD-20MM-BLADE</t>
        </is>
      </c>
      <c r="F261" t="inlineStr">
        <is>
          <t>m2</t>
        </is>
      </c>
      <c r="G261" s="394" t="n">
        <v>0.1280577181208054</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Lõi cánh tấm 20mm (Đa cánh hệ số (H-5)/149=1.98, bản rộng 210mm, hao hụt 10%)</t>
        </is>
      </c>
    </row>
    <row r="262">
      <c r="A262" t="inlineStr">
        <is>
          <t>SW-DAMPER-059-FB10-BLADE</t>
        </is>
      </c>
      <c r="B262" t="inlineStr">
        <is>
          <t>SW-DAMPER-059</t>
        </is>
      </c>
      <c r="C262" t="inlineStr">
        <is>
          <t>Tấm chống cháy dày 10mm ốp 2 mặt cánh van FD/MFD</t>
        </is>
      </c>
      <c r="D262" t="inlineStr">
        <is>
          <t>VẬT_LIỆU_CÁCH_NHIỆT</t>
        </is>
      </c>
      <c r="E262" t="inlineStr">
        <is>
          <t>MAT-FIREBOARD-10MM-BLADE</t>
        </is>
      </c>
      <c r="F262" t="inlineStr">
        <is>
          <t>m2</t>
        </is>
      </c>
      <c r="G262" s="394" t="n">
        <v>0.2744093959731544</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Ốp 2 mặt cánh tấm 10mm (Đa cánh hệ số (H-5)/149=1.98, bản rộng 210mm, hao hụt 10%)</t>
        </is>
      </c>
    </row>
    <row r="263">
      <c r="A263" t="inlineStr">
        <is>
          <t>SW-DAMPER-059-SPRING-BOX</t>
        </is>
      </c>
      <c r="B263" t="inlineStr">
        <is>
          <t>SW-DAMPER-059</t>
        </is>
      </c>
      <c r="C263" t="inlineStr">
        <is>
          <t>Hộp lò xo van chặn lửa FD/MFD</t>
        </is>
      </c>
      <c r="D263" t="inlineStr">
        <is>
          <t>PHỤ_KIỆN_VAN</t>
        </is>
      </c>
      <c r="E263" t="inlineStr">
        <is>
          <t>MAT-DAMPER-HOP-LO-XO</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Hộp lò xo cơ cấu đóng sập (1 bộ)</t>
        </is>
      </c>
    </row>
    <row r="264">
      <c r="A264" t="inlineStr">
        <is>
          <t>SW-DAMPER-059-SILICON-BOLT</t>
        </is>
      </c>
      <c r="B264" t="inlineStr">
        <is>
          <t>SW-DAMPER-059</t>
        </is>
      </c>
      <c r="C264" t="inlineStr">
        <is>
          <t>Silicon chống cháy + bu lông, ốc vít van FD/MFD</t>
        </is>
      </c>
      <c r="D264" t="inlineStr">
        <is>
          <t>PHỤ_KIỆN_VAN</t>
        </is>
      </c>
      <c r="E264" t="inlineStr">
        <is>
          <t>MAT-DAMPER-SILICON-BULONG-VIT</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Keo silicon chống cháy &amp; phụ kiện lắp ghép (1 bộ)</t>
        </is>
      </c>
    </row>
    <row r="265">
      <c r="A265" t="inlineStr">
        <is>
          <t>SW-DAMPER-060-BODY</t>
        </is>
      </c>
      <c r="B265" t="inlineStr">
        <is>
          <t>SW-DAMPER-060</t>
        </is>
      </c>
      <c r="C265" t="inlineStr">
        <is>
          <t>Thân vỏ van MFD bích C30/TDF (1.15mm)</t>
        </is>
      </c>
      <c r="D265" t="inlineStr">
        <is>
          <t>TÔN_CUỘN_MẠ_KẼM</t>
        </is>
      </c>
      <c r="E265" t="inlineStr">
        <is>
          <t>MAT-STEEL-PN-1.15</t>
        </is>
      </c>
      <c r="F265" t="inlineStr">
        <is>
          <t>kg</t>
        </is>
      </c>
      <c r="G265" s="394" t="n">
        <v>2.405738475</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Kích thước vỏ 250x200x200mm</t>
        </is>
      </c>
    </row>
    <row r="266">
      <c r="A266" t="inlineStr">
        <is>
          <t>SW-DAMPER-060-BLADE</t>
        </is>
      </c>
      <c r="B266" t="inlineStr">
        <is>
          <t>SW-DAMPER-060</t>
        </is>
      </c>
      <c r="C266" t="inlineStr">
        <is>
          <t>Lá cánh / Tôn tấm bọc van (1 cánh)</t>
        </is>
      </c>
      <c r="D266" t="inlineStr">
        <is>
          <t>TÔN_CUỘN_MẠ_KẼM</t>
        </is>
      </c>
      <c r="E266" t="inlineStr">
        <is>
          <t>MAT-STEEL-PN-1.15</t>
        </is>
      </c>
      <c r="F266" t="inlineStr">
        <is>
          <t>kg</t>
        </is>
      </c>
      <c r="G266" s="394" t="n">
        <v>0.9027499999999998</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Tôn bọc cánh &amp; thân (1 cánh/modul)</t>
        </is>
      </c>
    </row>
    <row r="267">
      <c r="A267" t="inlineStr">
        <is>
          <t>SW-DAMPER-060-AXLE</t>
        </is>
      </c>
      <c r="B267" t="inlineStr">
        <is>
          <t>SW-DAMPER-060</t>
        </is>
      </c>
      <c r="C267" t="inlineStr">
        <is>
          <t>Trục Sus 201 D10</t>
        </is>
      </c>
      <c r="D267" t="inlineStr">
        <is>
          <t>PHỤ_KIỆN_VAN</t>
        </is>
      </c>
      <c r="E267" t="inlineStr">
        <is>
          <t>MAT-DAMPER-TRUC-SUS-201-D10</t>
        </is>
      </c>
      <c r="F267" t="inlineStr">
        <is>
          <t>m</t>
        </is>
      </c>
      <c r="G267" s="394" t="n">
        <v>0.31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1 trục dài 310mm</t>
        </is>
      </c>
    </row>
    <row r="268">
      <c r="A268" t="inlineStr">
        <is>
          <t>SW-DAMPER-060-BEARING</t>
        </is>
      </c>
      <c r="B268" t="inlineStr">
        <is>
          <t>SW-DAMPER-060</t>
        </is>
      </c>
      <c r="C268" t="inlineStr">
        <is>
          <t>Bạc đồng D10</t>
        </is>
      </c>
      <c r="D268" t="inlineStr">
        <is>
          <t>PHỤ_KIỆN_VAN</t>
        </is>
      </c>
      <c r="E268" t="inlineStr">
        <is>
          <t>MAT-DAMPER-BAC-DONG-D10</t>
        </is>
      </c>
      <c r="F268" t="inlineStr">
        <is>
          <t>Đôi</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1 đôi bạc đỡ 2 bên thân</t>
        </is>
      </c>
    </row>
    <row r="269">
      <c r="A269" t="inlineStr">
        <is>
          <t>SW-DAMPER-060-ACTUATOR</t>
        </is>
      </c>
      <c r="B269" t="inlineStr">
        <is>
          <t>SW-DAMPER-060</t>
        </is>
      </c>
      <c r="C269" t="inlineStr">
        <is>
          <t>Động cơ chặn lửa ON/OFF 3.5Nm, 230V/24V (BELIMO FSLF24 / FSLF230)</t>
        </is>
      </c>
      <c r="D269" t="inlineStr">
        <is>
          <t>ĐỘNG_CƠ_VÀ_CẢM_BIẾN</t>
        </is>
      </c>
      <c r="E269" t="inlineStr">
        <is>
          <t>MAT-ACTUATOR-BELIMO-FSLF24</t>
        </is>
      </c>
      <c r="F269" t="inlineStr">
        <is>
          <t>Cái</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Động cơ lò xo phản hồi MFD (1 bộ)</t>
        </is>
      </c>
    </row>
    <row r="270">
      <c r="A270" t="inlineStr">
        <is>
          <t>SW-DAMPER-060-FB10-BODY</t>
        </is>
      </c>
      <c r="B270" t="inlineStr">
        <is>
          <t>SW-DAMPER-060</t>
        </is>
      </c>
      <c r="C270" t="inlineStr">
        <is>
          <t>Tấm chống cháy dày 10mm bọc thân van FD/MFD (2 lớp)</t>
        </is>
      </c>
      <c r="D270" t="inlineStr">
        <is>
          <t>VẬT_LIỆU_CÁCH_NHIỆT</t>
        </is>
      </c>
      <c r="E270" t="inlineStr">
        <is>
          <t>MAT-FIREBOARD-10MM-BODY</t>
        </is>
      </c>
      <c r="F270" t="inlineStr">
        <is>
          <t>m2</t>
        </is>
      </c>
      <c r="G270" s="394" t="n">
        <v>0.54</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Bọc 2 lớp tấm 10mm quanh thân L=300mm</t>
        </is>
      </c>
    </row>
    <row r="271">
      <c r="A271" t="inlineStr">
        <is>
          <t>SW-DAMPER-060-FB20-BLADE</t>
        </is>
      </c>
      <c r="B271" t="inlineStr">
        <is>
          <t>SW-DAMPER-060</t>
        </is>
      </c>
      <c r="C271" t="inlineStr">
        <is>
          <t>Tấm chống cháy dày 20mm làm lõi cánh van FD/MFD</t>
        </is>
      </c>
      <c r="D271" t="inlineStr">
        <is>
          <t>VẬT_LIỆU_CÁCH_NHIỆT</t>
        </is>
      </c>
      <c r="E271" t="inlineStr">
        <is>
          <t>MAT-FIREBOARD-20MM-BLADE</t>
        </is>
      </c>
      <c r="F271" t="inlineStr">
        <is>
          <t>m2</t>
        </is>
      </c>
      <c r="G271" s="394" t="n">
        <v>0.05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Lõi cánh tấm 20mm (Cánh đơn 250x200mm)</t>
        </is>
      </c>
    </row>
    <row r="272">
      <c r="A272" t="inlineStr">
        <is>
          <t>SW-DAMPER-060-FB10-BLADE</t>
        </is>
      </c>
      <c r="B272" t="inlineStr">
        <is>
          <t>SW-DAMPER-060</t>
        </is>
      </c>
      <c r="C272" t="inlineStr">
        <is>
          <t>Tấm chống cháy dày 10mm ốp 2 mặt cánh van FD/MFD</t>
        </is>
      </c>
      <c r="D272" t="inlineStr">
        <is>
          <t>VẬT_LIỆU_CÁCH_NHIỆT</t>
        </is>
      </c>
      <c r="E272" t="inlineStr">
        <is>
          <t>MAT-FIREBOARD-10MM-BLADE</t>
        </is>
      </c>
      <c r="F272" t="inlineStr">
        <is>
          <t>m2</t>
        </is>
      </c>
      <c r="G272" s="394" t="n">
        <v>0.1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Ốp 2 mặt cánh tấm 10mm (Cánh đơn 250x200mm)</t>
        </is>
      </c>
    </row>
    <row r="273">
      <c r="A273" t="inlineStr">
        <is>
          <t>SW-DAMPER-060-SPRING-BOX</t>
        </is>
      </c>
      <c r="B273" t="inlineStr">
        <is>
          <t>SW-DAMPER-060</t>
        </is>
      </c>
      <c r="C273" t="inlineStr">
        <is>
          <t>Hộp lò xo van chặn lửa FD/MFD</t>
        </is>
      </c>
      <c r="D273" t="inlineStr">
        <is>
          <t>PHỤ_KIỆN_VAN</t>
        </is>
      </c>
      <c r="E273" t="inlineStr">
        <is>
          <t>MAT-DAMPER-HOP-LO-XO</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Hộp lò xo cơ cấu đóng sập (1 bộ)</t>
        </is>
      </c>
    </row>
    <row r="274">
      <c r="A274" t="inlineStr">
        <is>
          <t>SW-DAMPER-060-SILICON-BOLT</t>
        </is>
      </c>
      <c r="B274" t="inlineStr">
        <is>
          <t>SW-DAMPER-060</t>
        </is>
      </c>
      <c r="C274" t="inlineStr">
        <is>
          <t>Silicon chống cháy + bu lông, ốc vít van FD/MFD</t>
        </is>
      </c>
      <c r="D274" t="inlineStr">
        <is>
          <t>PHỤ_KIỆN_VAN</t>
        </is>
      </c>
      <c r="E274" t="inlineStr">
        <is>
          <t>MAT-DAMPER-SILICON-BULONG-VIT</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Keo silicon chống cháy &amp; phụ kiện lắp ghép (1 bộ)</t>
        </is>
      </c>
    </row>
    <row r="275">
      <c r="A275" t="inlineStr">
        <is>
          <t>SW-DAMPER-061-BODY</t>
        </is>
      </c>
      <c r="B275" t="inlineStr">
        <is>
          <t>SW-DAMPER-061</t>
        </is>
      </c>
      <c r="C275" t="inlineStr">
        <is>
          <t>Thân vỏ van MFD bích C30/TDF (1.15mm)</t>
        </is>
      </c>
      <c r="D275" t="inlineStr">
        <is>
          <t>TÔN_CUỘN_MẠ_KẼM</t>
        </is>
      </c>
      <c r="E275" t="inlineStr">
        <is>
          <t>MAT-STEEL-PN-1.15</t>
        </is>
      </c>
      <c r="F275" t="inlineStr">
        <is>
          <t>kg</t>
        </is>
      </c>
      <c r="G275" s="394" t="n">
        <v>2.917597725</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Kích thước vỏ 350x200x200mm</t>
        </is>
      </c>
    </row>
    <row r="276">
      <c r="A276" t="inlineStr">
        <is>
          <t>SW-DAMPER-061-BLADE</t>
        </is>
      </c>
      <c r="B276" t="inlineStr">
        <is>
          <t>SW-DAMPER-061</t>
        </is>
      </c>
      <c r="C276" t="inlineStr">
        <is>
          <t>Lá cánh / Tôn tấm bọc van (1 cánh)</t>
        </is>
      </c>
      <c r="D276" t="inlineStr">
        <is>
          <t>TÔN_CUỘN_MẠ_KẼM</t>
        </is>
      </c>
      <c r="E276" t="inlineStr">
        <is>
          <t>MAT-STEEL-PN-1.15</t>
        </is>
      </c>
      <c r="F276" t="inlineStr">
        <is>
          <t>kg</t>
        </is>
      </c>
      <c r="G276" s="394" t="n">
        <v>1.26385</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Tôn bọc cánh &amp; thân (1 cánh/modul)</t>
        </is>
      </c>
    </row>
    <row r="277">
      <c r="A277" t="inlineStr">
        <is>
          <t>SW-DAMPER-061-AXLE</t>
        </is>
      </c>
      <c r="B277" t="inlineStr">
        <is>
          <t>SW-DAMPER-061</t>
        </is>
      </c>
      <c r="C277" t="inlineStr">
        <is>
          <t>Trục Sus 201 D10</t>
        </is>
      </c>
      <c r="D277" t="inlineStr">
        <is>
          <t>PHỤ_KIỆN_VAN</t>
        </is>
      </c>
      <c r="E277" t="inlineStr">
        <is>
          <t>MAT-DAMPER-TRUC-SUS-201-D10</t>
        </is>
      </c>
      <c r="F277" t="inlineStr">
        <is>
          <t>m</t>
        </is>
      </c>
      <c r="G277" s="394" t="n">
        <v>0.41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1 trục dài 410mm</t>
        </is>
      </c>
    </row>
    <row r="278">
      <c r="A278" t="inlineStr">
        <is>
          <t>SW-DAMPER-061-BEARING</t>
        </is>
      </c>
      <c r="B278" t="inlineStr">
        <is>
          <t>SW-DAMPER-061</t>
        </is>
      </c>
      <c r="C278" t="inlineStr">
        <is>
          <t>Bạc đồng D10</t>
        </is>
      </c>
      <c r="D278" t="inlineStr">
        <is>
          <t>PHỤ_KIỆN_VAN</t>
        </is>
      </c>
      <c r="E278" t="inlineStr">
        <is>
          <t>MAT-DAMPER-BAC-DONG-D10</t>
        </is>
      </c>
      <c r="F278" t="inlineStr">
        <is>
          <t>Đôi</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1 đôi bạc đỡ 2 bên thân</t>
        </is>
      </c>
    </row>
    <row r="279">
      <c r="A279" t="inlineStr">
        <is>
          <t>SW-DAMPER-061-ACTUATOR</t>
        </is>
      </c>
      <c r="B279" t="inlineStr">
        <is>
          <t>SW-DAMPER-061</t>
        </is>
      </c>
      <c r="C279" t="inlineStr">
        <is>
          <t>Động cơ chặn lửa ON/OFF 3.5Nm, 230V/24V (BELIMO FSLF24 / FSLF230)</t>
        </is>
      </c>
      <c r="D279" t="inlineStr">
        <is>
          <t>ĐỘNG_CƠ_VÀ_CẢM_BIẾN</t>
        </is>
      </c>
      <c r="E279" t="inlineStr">
        <is>
          <t>MAT-ACTUATOR-BELIMO-FSLF24</t>
        </is>
      </c>
      <c r="F279" t="inlineStr">
        <is>
          <t>Cái</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Động cơ lò xo phản hồi MFD (1 bộ)</t>
        </is>
      </c>
    </row>
    <row r="280">
      <c r="A280" t="inlineStr">
        <is>
          <t>SW-DAMPER-061-FB10-BODY</t>
        </is>
      </c>
      <c r="B280" t="inlineStr">
        <is>
          <t>SW-DAMPER-061</t>
        </is>
      </c>
      <c r="C280" t="inlineStr">
        <is>
          <t>Tấm chống cháy dày 10mm bọc thân van FD/MFD (2 lớp)</t>
        </is>
      </c>
      <c r="D280" t="inlineStr">
        <is>
          <t>VẬT_LIỆU_CÁCH_NHIỆT</t>
        </is>
      </c>
      <c r="E280" t="inlineStr">
        <is>
          <t>MAT-FIREBOARD-10MM-BODY</t>
        </is>
      </c>
      <c r="F280" t="inlineStr">
        <is>
          <t>m2</t>
        </is>
      </c>
      <c r="G280" s="394" t="n">
        <v>0.66</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Bọc 2 lớp tấm 10mm quanh thân L=300mm</t>
        </is>
      </c>
    </row>
    <row r="281">
      <c r="A281" t="inlineStr">
        <is>
          <t>SW-DAMPER-061-FB20-BLADE</t>
        </is>
      </c>
      <c r="B281" t="inlineStr">
        <is>
          <t>SW-DAMPER-061</t>
        </is>
      </c>
      <c r="C281" t="inlineStr">
        <is>
          <t>Tấm chống cháy dày 20mm làm lõi cánh van FD/MFD</t>
        </is>
      </c>
      <c r="D281" t="inlineStr">
        <is>
          <t>VẬT_LIỆU_CÁCH_NHIỆT</t>
        </is>
      </c>
      <c r="E281" t="inlineStr">
        <is>
          <t>MAT-FIREBOARD-20MM-BLADE</t>
        </is>
      </c>
      <c r="F281" t="inlineStr">
        <is>
          <t>m2</t>
        </is>
      </c>
      <c r="G281" s="394" t="n">
        <v>0.06999999999999999</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Lõi cánh tấm 20mm (Cánh đơn 350x200mm)</t>
        </is>
      </c>
    </row>
    <row r="282">
      <c r="A282" t="inlineStr">
        <is>
          <t>SW-DAMPER-061-FB10-BLADE</t>
        </is>
      </c>
      <c r="B282" t="inlineStr">
        <is>
          <t>SW-DAMPER-061</t>
        </is>
      </c>
      <c r="C282" t="inlineStr">
        <is>
          <t>Tấm chống cháy dày 10mm ốp 2 mặt cánh van FD/MFD</t>
        </is>
      </c>
      <c r="D282" t="inlineStr">
        <is>
          <t>VẬT_LIỆU_CÁCH_NHIỆT</t>
        </is>
      </c>
      <c r="E282" t="inlineStr">
        <is>
          <t>MAT-FIREBOARD-10MM-BLADE</t>
        </is>
      </c>
      <c r="F282" t="inlineStr">
        <is>
          <t>m2</t>
        </is>
      </c>
      <c r="G282" s="394" t="n">
        <v>0.14</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Ốp 2 mặt cánh tấm 10mm (Cánh đơn 350x200mm)</t>
        </is>
      </c>
    </row>
    <row r="283">
      <c r="A283" t="inlineStr">
        <is>
          <t>SW-DAMPER-061-SPRING-BOX</t>
        </is>
      </c>
      <c r="B283" t="inlineStr">
        <is>
          <t>SW-DAMPER-061</t>
        </is>
      </c>
      <c r="C283" t="inlineStr">
        <is>
          <t>Hộp lò xo van chặn lửa FD/MFD</t>
        </is>
      </c>
      <c r="D283" t="inlineStr">
        <is>
          <t>PHỤ_KIỆN_VAN</t>
        </is>
      </c>
      <c r="E283" t="inlineStr">
        <is>
          <t>MAT-DAMPER-HOP-LO-XO</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Hộp lò xo cơ cấu đóng sập (1 bộ)</t>
        </is>
      </c>
    </row>
    <row r="284">
      <c r="A284" t="inlineStr">
        <is>
          <t>SW-DAMPER-061-SILICON-BOLT</t>
        </is>
      </c>
      <c r="B284" t="inlineStr">
        <is>
          <t>SW-DAMPER-061</t>
        </is>
      </c>
      <c r="C284" t="inlineStr">
        <is>
          <t>Silicon chống cháy + bu lông, ốc vít van FD/MFD</t>
        </is>
      </c>
      <c r="D284" t="inlineStr">
        <is>
          <t>PHỤ_KIỆN_VAN</t>
        </is>
      </c>
      <c r="E284" t="inlineStr">
        <is>
          <t>MAT-DAMPER-SILICON-BULONG-VIT</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Keo silicon chống cháy &amp; phụ kiện lắp ghép (1 bộ)</t>
        </is>
      </c>
    </row>
    <row r="285">
      <c r="A285" t="inlineStr">
        <is>
          <t>SW-DAMPER-062-BODY</t>
        </is>
      </c>
      <c r="B285" t="inlineStr">
        <is>
          <t>SW-DAMPER-062</t>
        </is>
      </c>
      <c r="C285" t="inlineStr">
        <is>
          <t>Thân vỏ van MFD bích C30/TDF (1.15mm)</t>
        </is>
      </c>
      <c r="D285" t="inlineStr">
        <is>
          <t>TÔN_CUỘN_MẠ_KẼM</t>
        </is>
      </c>
      <c r="E285" t="inlineStr">
        <is>
          <t>MAT-STEEL-PN-1.15</t>
        </is>
      </c>
      <c r="F285" t="inlineStr">
        <is>
          <t>kg</t>
        </is>
      </c>
      <c r="G285" s="394" t="n">
        <v>2.6616681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Kích thước vỏ 350x150x200mm</t>
        </is>
      </c>
    </row>
    <row r="286">
      <c r="A286" t="inlineStr">
        <is>
          <t>SW-DAMPER-062-BLADE</t>
        </is>
      </c>
      <c r="B286" t="inlineStr">
        <is>
          <t>SW-DAMPER-062</t>
        </is>
      </c>
      <c r="C286" t="inlineStr">
        <is>
          <t>Lá cánh / Tôn tấm bọc van (1 cánh)</t>
        </is>
      </c>
      <c r="D286" t="inlineStr">
        <is>
          <t>TÔN_CUỘN_MẠ_KẼM</t>
        </is>
      </c>
      <c r="E286" t="inlineStr">
        <is>
          <t>MAT-STEEL-PN-1.15</t>
        </is>
      </c>
      <c r="F286" t="inlineStr">
        <is>
          <t>kg</t>
        </is>
      </c>
      <c r="G286" s="394" t="n">
        <v>0.9478874999999998</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Tôn bọc cánh &amp; thân (1 cánh/modul)</t>
        </is>
      </c>
    </row>
    <row r="287">
      <c r="A287" t="inlineStr">
        <is>
          <t>SW-DAMPER-062-AXLE</t>
        </is>
      </c>
      <c r="B287" t="inlineStr">
        <is>
          <t>SW-DAMPER-062</t>
        </is>
      </c>
      <c r="C287" t="inlineStr">
        <is>
          <t>Trục Sus 201 D10</t>
        </is>
      </c>
      <c r="D287" t="inlineStr">
        <is>
          <t>PHỤ_KIỆN_VAN</t>
        </is>
      </c>
      <c r="E287" t="inlineStr">
        <is>
          <t>MAT-DAMPER-TRUC-SUS-201-D10</t>
        </is>
      </c>
      <c r="F287" t="inlineStr">
        <is>
          <t>m</t>
        </is>
      </c>
      <c r="G287" s="394" t="n">
        <v>0.41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1 trục dài 410mm</t>
        </is>
      </c>
    </row>
    <row r="288">
      <c r="A288" t="inlineStr">
        <is>
          <t>SW-DAMPER-062-BEARING</t>
        </is>
      </c>
      <c r="B288" t="inlineStr">
        <is>
          <t>SW-DAMPER-062</t>
        </is>
      </c>
      <c r="C288" t="inlineStr">
        <is>
          <t>Bạc đồng D10</t>
        </is>
      </c>
      <c r="D288" t="inlineStr">
        <is>
          <t>PHỤ_KIỆN_VAN</t>
        </is>
      </c>
      <c r="E288" t="inlineStr">
        <is>
          <t>MAT-DAMPER-BAC-DONG-D10</t>
        </is>
      </c>
      <c r="F288" t="inlineStr">
        <is>
          <t>Đôi</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1 đôi bạc đỡ 2 bên thân</t>
        </is>
      </c>
    </row>
    <row r="289">
      <c r="A289" t="inlineStr">
        <is>
          <t>SW-DAMPER-062-ACTUATOR</t>
        </is>
      </c>
      <c r="B289" t="inlineStr">
        <is>
          <t>SW-DAMPER-062</t>
        </is>
      </c>
      <c r="C289" t="inlineStr">
        <is>
          <t>Động cơ chặn lửa ON/OFF 3.5Nm, 230V/24V (BELIMO FSLF24 / FSLF230)</t>
        </is>
      </c>
      <c r="D289" t="inlineStr">
        <is>
          <t>ĐỘNG_CƠ_VÀ_CẢM_BIẾN</t>
        </is>
      </c>
      <c r="E289" t="inlineStr">
        <is>
          <t>MAT-ACTUATOR-BELIMO-FSLF24</t>
        </is>
      </c>
      <c r="F289" t="inlineStr">
        <is>
          <t>Cái</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Động cơ lò xo phản hồi MFD (1 bộ)</t>
        </is>
      </c>
    </row>
    <row r="290">
      <c r="A290" t="inlineStr">
        <is>
          <t>SW-DAMPER-062-FB10-BODY</t>
        </is>
      </c>
      <c r="B290" t="inlineStr">
        <is>
          <t>SW-DAMPER-062</t>
        </is>
      </c>
      <c r="C290" t="inlineStr">
        <is>
          <t>Tấm chống cháy dày 10mm bọc thân van FD/MFD (2 lớp)</t>
        </is>
      </c>
      <c r="D290" t="inlineStr">
        <is>
          <t>VẬT_LIỆU_CÁCH_NHIỆT</t>
        </is>
      </c>
      <c r="E290" t="inlineStr">
        <is>
          <t>MAT-FIREBOARD-10MM-BODY</t>
        </is>
      </c>
      <c r="F290" t="inlineStr">
        <is>
          <t>m2</t>
        </is>
      </c>
      <c r="G290" s="394" t="n">
        <v>0.6</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Bọc 2 lớp tấm 10mm quanh thân L=300mm</t>
        </is>
      </c>
    </row>
    <row r="291">
      <c r="A291" t="inlineStr">
        <is>
          <t>SW-DAMPER-062-FB20-BLADE</t>
        </is>
      </c>
      <c r="B291" t="inlineStr">
        <is>
          <t>SW-DAMPER-062</t>
        </is>
      </c>
      <c r="C291" t="inlineStr">
        <is>
          <t>Tấm chống cháy dày 20mm làm lõi cánh van FD/MFD</t>
        </is>
      </c>
      <c r="D291" t="inlineStr">
        <is>
          <t>VẬT_LIỆU_CÁCH_NHIỆT</t>
        </is>
      </c>
      <c r="E291" t="inlineStr">
        <is>
          <t>MAT-FIREBOARD-20MM-BLADE</t>
        </is>
      </c>
      <c r="F291" t="inlineStr">
        <is>
          <t>m2</t>
        </is>
      </c>
      <c r="G291" s="394" t="n">
        <v>0.0525</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Lõi cánh tấm 20mm (Cánh đơn 350x150mm)</t>
        </is>
      </c>
    </row>
    <row r="292">
      <c r="A292" t="inlineStr">
        <is>
          <t>SW-DAMPER-062-FB10-BLADE</t>
        </is>
      </c>
      <c r="B292" t="inlineStr">
        <is>
          <t>SW-DAMPER-062</t>
        </is>
      </c>
      <c r="C292" t="inlineStr">
        <is>
          <t>Tấm chống cháy dày 10mm ốp 2 mặt cánh van FD/MFD</t>
        </is>
      </c>
      <c r="D292" t="inlineStr">
        <is>
          <t>VẬT_LIỆU_CÁCH_NHIỆT</t>
        </is>
      </c>
      <c r="E292" t="inlineStr">
        <is>
          <t>MAT-FIREBOARD-10MM-BLADE</t>
        </is>
      </c>
      <c r="F292" t="inlineStr">
        <is>
          <t>m2</t>
        </is>
      </c>
      <c r="G292" s="394" t="n">
        <v>0.105</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Ốp 2 mặt cánh tấm 10mm (Cánh đơn 350x150mm)</t>
        </is>
      </c>
    </row>
    <row r="293">
      <c r="A293" t="inlineStr">
        <is>
          <t>SW-DAMPER-062-SPRING-BOX</t>
        </is>
      </c>
      <c r="B293" t="inlineStr">
        <is>
          <t>SW-DAMPER-062</t>
        </is>
      </c>
      <c r="C293" t="inlineStr">
        <is>
          <t>Hộp lò xo van chặn lửa FD/MFD</t>
        </is>
      </c>
      <c r="D293" t="inlineStr">
        <is>
          <t>PHỤ_KIỆN_VAN</t>
        </is>
      </c>
      <c r="E293" t="inlineStr">
        <is>
          <t>MAT-DAMPER-HOP-LO-XO</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Hộp lò xo cơ cấu đóng sập (1 bộ)</t>
        </is>
      </c>
    </row>
    <row r="294">
      <c r="A294" t="inlineStr">
        <is>
          <t>SW-DAMPER-062-SILICON-BOLT</t>
        </is>
      </c>
      <c r="B294" t="inlineStr">
        <is>
          <t>SW-DAMPER-062</t>
        </is>
      </c>
      <c r="C294" t="inlineStr">
        <is>
          <t>Silicon chống cháy + bu lông, ốc vít van FD/MFD</t>
        </is>
      </c>
      <c r="D294" t="inlineStr">
        <is>
          <t>PHỤ_KIỆN_VAN</t>
        </is>
      </c>
      <c r="E294" t="inlineStr">
        <is>
          <t>MAT-DAMPER-SILICON-BULONG-VIT</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Keo silicon chống cháy &amp; phụ kiện lắp ghép (1 bộ)</t>
        </is>
      </c>
    </row>
    <row r="295">
      <c r="A295" t="inlineStr">
        <is>
          <t>SW-DAMPER-063-BODY</t>
        </is>
      </c>
      <c r="B295" t="inlineStr">
        <is>
          <t>SW-DAMPER-063</t>
        </is>
      </c>
      <c r="C295" t="inlineStr">
        <is>
          <t>Thân vỏ van MFD bích C30/TDF (1.15mm)</t>
        </is>
      </c>
      <c r="D295" t="inlineStr">
        <is>
          <t>TÔN_CUỘN_MẠ_KẼM</t>
        </is>
      </c>
      <c r="E295" t="inlineStr">
        <is>
          <t>MAT-STEEL-PN-1.15</t>
        </is>
      </c>
      <c r="F295" t="inlineStr">
        <is>
          <t>kg</t>
        </is>
      </c>
      <c r="G295" s="394" t="n">
        <v>6.7565421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Kích thước vỏ 1000x300x200mm</t>
        </is>
      </c>
    </row>
    <row r="296">
      <c r="A296" t="inlineStr">
        <is>
          <t>SW-DAMPER-063-BLADE</t>
        </is>
      </c>
      <c r="B296" t="inlineStr">
        <is>
          <t>SW-DAMPER-063</t>
        </is>
      </c>
      <c r="C296" t="inlineStr">
        <is>
          <t>Lá cánh / Tôn tấm bọc van (2 cánh)</t>
        </is>
      </c>
      <c r="D296" t="inlineStr">
        <is>
          <t>TÔN_CUỘN_MẠ_KẼM</t>
        </is>
      </c>
      <c r="E296" t="inlineStr">
        <is>
          <t>MAT-STEEL-PN-1.15</t>
        </is>
      </c>
      <c r="F296" t="inlineStr">
        <is>
          <t>kg</t>
        </is>
      </c>
      <c r="G296" s="394" t="n">
        <v>5.416499999999998</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Tôn bọc cánh &amp; thân (2 cánh/modul)</t>
        </is>
      </c>
    </row>
    <row r="297">
      <c r="A297" t="inlineStr">
        <is>
          <t>SW-DAMPER-063-AXLE</t>
        </is>
      </c>
      <c r="B297" t="inlineStr">
        <is>
          <t>SW-DAMPER-063</t>
        </is>
      </c>
      <c r="C297" t="inlineStr">
        <is>
          <t>Trục Sus 201 D10</t>
        </is>
      </c>
      <c r="D297" t="inlineStr">
        <is>
          <t>PHỤ_KIỆN_VAN</t>
        </is>
      </c>
      <c r="E297" t="inlineStr">
        <is>
          <t>MAT-DAMPER-TRUC-SUS-201-D10</t>
        </is>
      </c>
      <c r="F297" t="inlineStr">
        <is>
          <t>m</t>
        </is>
      </c>
      <c r="G297" s="394" t="n">
        <v>2.12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2 trục dài 1060mm</t>
        </is>
      </c>
    </row>
    <row r="298">
      <c r="A298" t="inlineStr">
        <is>
          <t>SW-DAMPER-063-BEARING</t>
        </is>
      </c>
      <c r="B298" t="inlineStr">
        <is>
          <t>SW-DAMPER-063</t>
        </is>
      </c>
      <c r="C298" t="inlineStr">
        <is>
          <t>Bạc đồng D10</t>
        </is>
      </c>
      <c r="D298" t="inlineStr">
        <is>
          <t>PHỤ_KIỆN_VAN</t>
        </is>
      </c>
      <c r="E298" t="inlineStr">
        <is>
          <t>MAT-DAMPER-BAC-DONG-D10</t>
        </is>
      </c>
      <c r="F298" t="inlineStr">
        <is>
          <t>Đôi</t>
        </is>
      </c>
      <c r="G298" s="394" t="n">
        <v>2</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2 đôi bạc đỡ 2 bên thân</t>
        </is>
      </c>
    </row>
    <row r="299">
      <c r="A299" t="inlineStr">
        <is>
          <t>SW-DAMPER-063-GEAR</t>
        </is>
      </c>
      <c r="B299" t="inlineStr">
        <is>
          <t>SW-DAMPER-063</t>
        </is>
      </c>
      <c r="C299" t="inlineStr">
        <is>
          <t>Bánh răng van nhôm</t>
        </is>
      </c>
      <c r="D299" t="inlineStr">
        <is>
          <t>PHỤ_KIỆN_VAN</t>
        </is>
      </c>
      <c r="E299" t="inlineStr">
        <is>
          <t>MAT-DAMPER-BANH-RANG-VAN-NHOM</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Cơ cấu liên động cánh (1 bộ)</t>
        </is>
      </c>
    </row>
    <row r="300">
      <c r="A300" t="inlineStr">
        <is>
          <t>SW-DAMPER-063-ACTUATOR</t>
        </is>
      </c>
      <c r="B300" t="inlineStr">
        <is>
          <t>SW-DAMPER-063</t>
        </is>
      </c>
      <c r="C300" t="inlineStr">
        <is>
          <t>Động cơ chặn lửa ON/OFF 9Nm, 230V/24V (BELIMO BFN24 / BFN230)</t>
        </is>
      </c>
      <c r="D300" t="inlineStr">
        <is>
          <t>ĐỘNG_CƠ_VÀ_CẢM_BIẾN</t>
        </is>
      </c>
      <c r="E300" t="inlineStr">
        <is>
          <t>MAT-ACTUATOR-BELIMO-BFN24</t>
        </is>
      </c>
      <c r="F300" t="inlineStr">
        <is>
          <t>Cái</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Động cơ lò xo phản hồi MFD (1 bộ)</t>
        </is>
      </c>
    </row>
    <row r="301">
      <c r="A301" t="inlineStr">
        <is>
          <t>SW-DAMPER-063-FB10-BODY</t>
        </is>
      </c>
      <c r="B301" t="inlineStr">
        <is>
          <t>SW-DAMPER-063</t>
        </is>
      </c>
      <c r="C301" t="inlineStr">
        <is>
          <t>Tấm chống cháy dày 10mm bọc thân van FD/MFD (2 lớp)</t>
        </is>
      </c>
      <c r="D301" t="inlineStr">
        <is>
          <t>VẬT_LIỆU_CÁCH_NHIỆT</t>
        </is>
      </c>
      <c r="E301" t="inlineStr">
        <is>
          <t>MAT-FIREBOARD-10MM-BODY</t>
        </is>
      </c>
      <c r="F301" t="inlineStr">
        <is>
          <t>m2</t>
        </is>
      </c>
      <c r="G301" s="394" t="n">
        <v>1.56</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Bọc 2 lớp tấm 10mm quanh thân L=300mm</t>
        </is>
      </c>
    </row>
    <row r="302">
      <c r="A302" t="inlineStr">
        <is>
          <t>SW-DAMPER-063-FB20-BLADE</t>
        </is>
      </c>
      <c r="B302" t="inlineStr">
        <is>
          <t>SW-DAMPER-063</t>
        </is>
      </c>
      <c r="C302" t="inlineStr">
        <is>
          <t>Tấm chống cháy dày 20mm làm lõi cánh van FD/MFD</t>
        </is>
      </c>
      <c r="D302" t="inlineStr">
        <is>
          <t>VẬT_LIỆU_CÁCH_NHIỆT</t>
        </is>
      </c>
      <c r="E302" t="inlineStr">
        <is>
          <t>MAT-FIREBOARD-20MM-BLADE</t>
        </is>
      </c>
      <c r="F302" t="inlineStr">
        <is>
          <t>m2</t>
        </is>
      </c>
      <c r="G302" s="394" t="n">
        <v>0.4482020134228188</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Lõi cánh tấm 20mm (Đa cánh hệ số (H-5)/149=1.98, bản rộng 210mm, hao hụt 10%)</t>
        </is>
      </c>
    </row>
    <row r="303">
      <c r="A303" t="inlineStr">
        <is>
          <t>SW-DAMPER-063-FB10-BLADE</t>
        </is>
      </c>
      <c r="B303" t="inlineStr">
        <is>
          <t>SW-DAMPER-063</t>
        </is>
      </c>
      <c r="C303" t="inlineStr">
        <is>
          <t>Tấm chống cháy dày 10mm ốp 2 mặt cánh van FD/MFD</t>
        </is>
      </c>
      <c r="D303" t="inlineStr">
        <is>
          <t>VẬT_LIỆU_CÁCH_NHIỆT</t>
        </is>
      </c>
      <c r="E303" t="inlineStr">
        <is>
          <t>MAT-FIREBOARD-10MM-BLADE</t>
        </is>
      </c>
      <c r="F303" t="inlineStr">
        <is>
          <t>m2</t>
        </is>
      </c>
      <c r="G303" s="394" t="n">
        <v>0.9146979865771812</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Ốp 2 mặt cánh tấm 10mm (Đa cánh hệ số (H-5)/149=1.98, bản rộng 210mm, hao hụt 10%)</t>
        </is>
      </c>
    </row>
    <row r="304">
      <c r="A304" t="inlineStr">
        <is>
          <t>SW-DAMPER-063-SPRING-BOX</t>
        </is>
      </c>
      <c r="B304" t="inlineStr">
        <is>
          <t>SW-DAMPER-063</t>
        </is>
      </c>
      <c r="C304" t="inlineStr">
        <is>
          <t>Hộp lò xo van chặn lửa FD/MFD</t>
        </is>
      </c>
      <c r="D304" t="inlineStr">
        <is>
          <t>PHỤ_KIỆN_VAN</t>
        </is>
      </c>
      <c r="E304" t="inlineStr">
        <is>
          <t>MAT-DAMPER-HOP-LO-XO</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Hộp lò xo cơ cấu đóng sập (1 bộ)</t>
        </is>
      </c>
    </row>
    <row r="305">
      <c r="A305" t="inlineStr">
        <is>
          <t>SW-DAMPER-063-SILICON-BOLT</t>
        </is>
      </c>
      <c r="B305" t="inlineStr">
        <is>
          <t>SW-DAMPER-063</t>
        </is>
      </c>
      <c r="C305" t="inlineStr">
        <is>
          <t>Silicon chống cháy + bu lông, ốc vít van FD/MFD</t>
        </is>
      </c>
      <c r="D305" t="inlineStr">
        <is>
          <t>PHỤ_KIỆN_VAN</t>
        </is>
      </c>
      <c r="E305" t="inlineStr">
        <is>
          <t>MAT-DAMPER-SILICON-BULONG-VIT</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Keo silicon chống cháy &amp; phụ kiện lắp ghép (1 bộ)</t>
        </is>
      </c>
    </row>
    <row r="306">
      <c r="A306" t="inlineStr">
        <is>
          <t>SW-DAMPER-064-BODY</t>
        </is>
      </c>
      <c r="B306" t="inlineStr">
        <is>
          <t>SW-DAMPER-064</t>
        </is>
      </c>
      <c r="C306" t="inlineStr">
        <is>
          <t>Thân vỏ van MFD bích C30/TDF (1.15mm)</t>
        </is>
      </c>
      <c r="D306" t="inlineStr">
        <is>
          <t>TÔN_CUỘN_MẠ_KẼM</t>
        </is>
      </c>
      <c r="E306" t="inlineStr">
        <is>
          <t>MAT-STEEL-PN-1.15</t>
        </is>
      </c>
      <c r="F306" t="inlineStr">
        <is>
          <t>kg</t>
        </is>
      </c>
      <c r="G306" s="394" t="n">
        <v>5.988753224999999</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Kích thước vỏ 850x300x200mm</t>
        </is>
      </c>
    </row>
    <row r="307">
      <c r="A307" t="inlineStr">
        <is>
          <t>SW-DAMPER-064-BLADE</t>
        </is>
      </c>
      <c r="B307" t="inlineStr">
        <is>
          <t>SW-DAMPER-064</t>
        </is>
      </c>
      <c r="C307" t="inlineStr">
        <is>
          <t>Lá cánh / Tôn tấm bọc van (2 cánh)</t>
        </is>
      </c>
      <c r="D307" t="inlineStr">
        <is>
          <t>TÔN_CUỘN_MẠ_KẼM</t>
        </is>
      </c>
      <c r="E307" t="inlineStr">
        <is>
          <t>MAT-STEEL-PN-1.15</t>
        </is>
      </c>
      <c r="F307" t="inlineStr">
        <is>
          <t>kg</t>
        </is>
      </c>
      <c r="G307" s="394" t="n">
        <v>4.604024999999999</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Tôn bọc cánh &amp; thân (2 cánh/modul)</t>
        </is>
      </c>
    </row>
    <row r="308">
      <c r="A308" t="inlineStr">
        <is>
          <t>SW-DAMPER-064-AXLE</t>
        </is>
      </c>
      <c r="B308" t="inlineStr">
        <is>
          <t>SW-DAMPER-064</t>
        </is>
      </c>
      <c r="C308" t="inlineStr">
        <is>
          <t>Trục Sus 201 D10</t>
        </is>
      </c>
      <c r="D308" t="inlineStr">
        <is>
          <t>PHỤ_KIỆN_VAN</t>
        </is>
      </c>
      <c r="E308" t="inlineStr">
        <is>
          <t>MAT-DAMPER-TRUC-SUS-201-D10</t>
        </is>
      </c>
      <c r="F308" t="inlineStr">
        <is>
          <t>m</t>
        </is>
      </c>
      <c r="G308" s="394" t="n">
        <v>1.82</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2 trục dài 910mm</t>
        </is>
      </c>
    </row>
    <row r="309">
      <c r="A309" t="inlineStr">
        <is>
          <t>SW-DAMPER-064-BEARING</t>
        </is>
      </c>
      <c r="B309" t="inlineStr">
        <is>
          <t>SW-DAMPER-064</t>
        </is>
      </c>
      <c r="C309" t="inlineStr">
        <is>
          <t>Bạc đồng D10</t>
        </is>
      </c>
      <c r="D309" t="inlineStr">
        <is>
          <t>PHỤ_KIỆN_VAN</t>
        </is>
      </c>
      <c r="E309" t="inlineStr">
        <is>
          <t>MAT-DAMPER-BAC-DONG-D10</t>
        </is>
      </c>
      <c r="F309" t="inlineStr">
        <is>
          <t>Đôi</t>
        </is>
      </c>
      <c r="G309" s="394" t="n">
        <v>2</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2 đôi bạc đỡ 2 bên thân</t>
        </is>
      </c>
    </row>
    <row r="310">
      <c r="A310" t="inlineStr">
        <is>
          <t>SW-DAMPER-064-GEAR</t>
        </is>
      </c>
      <c r="B310" t="inlineStr">
        <is>
          <t>SW-DAMPER-064</t>
        </is>
      </c>
      <c r="C310" t="inlineStr">
        <is>
          <t>Bánh răng van nhôm</t>
        </is>
      </c>
      <c r="D310" t="inlineStr">
        <is>
          <t>PHỤ_KIỆN_VAN</t>
        </is>
      </c>
      <c r="E310" t="inlineStr">
        <is>
          <t>MAT-DAMPER-BANH-RANG-VAN-NHOM</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Cơ cấu liên động cánh (1 bộ)</t>
        </is>
      </c>
    </row>
    <row r="311">
      <c r="A311" t="inlineStr">
        <is>
          <t>SW-DAMPER-064-ACTUATOR</t>
        </is>
      </c>
      <c r="B311" t="inlineStr">
        <is>
          <t>SW-DAMPER-064</t>
        </is>
      </c>
      <c r="C311" t="inlineStr">
        <is>
          <t>Động cơ chặn lửa ON/OFF 9Nm, 230V/24V (BELIMO BFN24 / BFN230)</t>
        </is>
      </c>
      <c r="D311" t="inlineStr">
        <is>
          <t>ĐỘNG_CƠ_VÀ_CẢM_BIẾN</t>
        </is>
      </c>
      <c r="E311" t="inlineStr">
        <is>
          <t>MAT-ACTUATOR-BELIMO-BFN24</t>
        </is>
      </c>
      <c r="F311" t="inlineStr">
        <is>
          <t>Cái</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Động cơ lò xo phản hồi MFD (1 bộ)</t>
        </is>
      </c>
    </row>
    <row r="312">
      <c r="A312" t="inlineStr">
        <is>
          <t>SW-DAMPER-064-FB10-BODY</t>
        </is>
      </c>
      <c r="B312" t="inlineStr">
        <is>
          <t>SW-DAMPER-064</t>
        </is>
      </c>
      <c r="C312" t="inlineStr">
        <is>
          <t>Tấm chống cháy dày 10mm bọc thân van FD/MFD (2 lớp)</t>
        </is>
      </c>
      <c r="D312" t="inlineStr">
        <is>
          <t>VẬT_LIỆU_CÁCH_NHIỆT</t>
        </is>
      </c>
      <c r="E312" t="inlineStr">
        <is>
          <t>MAT-FIREBOARD-10MM-BODY</t>
        </is>
      </c>
      <c r="F312" t="inlineStr">
        <is>
          <t>m2</t>
        </is>
      </c>
      <c r="G312" s="394" t="n">
        <v>1.38</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Bọc 2 lớp tấm 10mm quanh thân L=300mm</t>
        </is>
      </c>
    </row>
    <row r="313">
      <c r="A313" t="inlineStr">
        <is>
          <t>SW-DAMPER-064-FB20-BLADE</t>
        </is>
      </c>
      <c r="B313" t="inlineStr">
        <is>
          <t>SW-DAMPER-064</t>
        </is>
      </c>
      <c r="C313" t="inlineStr">
        <is>
          <t>Tấm chống cháy dày 20mm làm lõi cánh van FD/MFD</t>
        </is>
      </c>
      <c r="D313" t="inlineStr">
        <is>
          <t>VẬT_LIỆU_CÁCH_NHIỆT</t>
        </is>
      </c>
      <c r="E313" t="inlineStr">
        <is>
          <t>MAT-FIREBOARD-20MM-BLADE</t>
        </is>
      </c>
      <c r="F313" t="inlineStr">
        <is>
          <t>m2</t>
        </is>
      </c>
      <c r="G313" s="394" t="n">
        <v>0.3795996644295302</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Lõi cánh tấm 20mm (Đa cánh hệ số (H-5)/149=1.98, bản rộng 210mm, hao hụt 10%)</t>
        </is>
      </c>
    </row>
    <row r="314">
      <c r="A314" t="inlineStr">
        <is>
          <t>SW-DAMPER-064-FB10-BLADE</t>
        </is>
      </c>
      <c r="B314" t="inlineStr">
        <is>
          <t>SW-DAMPER-064</t>
        </is>
      </c>
      <c r="C314" t="inlineStr">
        <is>
          <t>Tấm chống cháy dày 10mm ốp 2 mặt cánh van FD/MFD</t>
        </is>
      </c>
      <c r="D314" t="inlineStr">
        <is>
          <t>VẬT_LIỆU_CÁCH_NHIỆT</t>
        </is>
      </c>
      <c r="E314" t="inlineStr">
        <is>
          <t>MAT-FIREBOARD-10MM-BLADE</t>
        </is>
      </c>
      <c r="F314" t="inlineStr">
        <is>
          <t>m2</t>
        </is>
      </c>
      <c r="G314" s="394" t="n">
        <v>0.7774932885906041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Ốp 2 mặt cánh tấm 10mm (Đa cánh hệ số (H-5)/149=1.98, bản rộng 210mm, hao hụt 10%)</t>
        </is>
      </c>
    </row>
    <row r="315">
      <c r="A315" t="inlineStr">
        <is>
          <t>SW-DAMPER-064-SPRING-BOX</t>
        </is>
      </c>
      <c r="B315" t="inlineStr">
        <is>
          <t>SW-DAMPER-064</t>
        </is>
      </c>
      <c r="C315" t="inlineStr">
        <is>
          <t>Hộp lò xo van chặn lửa FD/MFD</t>
        </is>
      </c>
      <c r="D315" t="inlineStr">
        <is>
          <t>PHỤ_KIỆN_VAN</t>
        </is>
      </c>
      <c r="E315" t="inlineStr">
        <is>
          <t>MAT-DAMPER-HOP-LO-XO</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Hộp lò xo cơ cấu đóng sập (1 bộ)</t>
        </is>
      </c>
    </row>
    <row r="316">
      <c r="A316" t="inlineStr">
        <is>
          <t>SW-DAMPER-064-SILICON-BOLT</t>
        </is>
      </c>
      <c r="B316" t="inlineStr">
        <is>
          <t>SW-DAMPER-064</t>
        </is>
      </c>
      <c r="C316" t="inlineStr">
        <is>
          <t>Silicon chống cháy + bu lông, ốc vít van FD/MFD</t>
        </is>
      </c>
      <c r="D316" t="inlineStr">
        <is>
          <t>PHỤ_KIỆN_VAN</t>
        </is>
      </c>
      <c r="E316" t="inlineStr">
        <is>
          <t>MAT-DAMPER-SILICON-BULONG-VIT</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Keo silicon chống cháy &amp; phụ kiện lắp ghép (1 bộ)</t>
        </is>
      </c>
    </row>
    <row r="317">
      <c r="A317" t="inlineStr">
        <is>
          <t>SW-DAMPER-065-BODY</t>
        </is>
      </c>
      <c r="B317" t="inlineStr">
        <is>
          <t>SW-DAMPER-065</t>
        </is>
      </c>
      <c r="C317" t="inlineStr">
        <is>
          <t>Thân vỏ van MFD bích C30/TDF (1.15mm)</t>
        </is>
      </c>
      <c r="D317" t="inlineStr">
        <is>
          <t>TÔN_CUỘN_MẠ_KẼM</t>
        </is>
      </c>
      <c r="E317" t="inlineStr">
        <is>
          <t>MAT-STEEL-PN-1.15</t>
        </is>
      </c>
      <c r="F317" t="inlineStr">
        <is>
          <t>kg</t>
        </is>
      </c>
      <c r="G317" s="394" t="n">
        <v>5.988753224999999</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Kích thước vỏ 800x350x200mm</t>
        </is>
      </c>
    </row>
    <row r="318">
      <c r="A318" t="inlineStr">
        <is>
          <t>SW-DAMPER-065-BLADE</t>
        </is>
      </c>
      <c r="B318" t="inlineStr">
        <is>
          <t>SW-DAMPER-065</t>
        </is>
      </c>
      <c r="C318" t="inlineStr">
        <is>
          <t>Lá cánh / Tôn tấm bọc van (2 cánh)</t>
        </is>
      </c>
      <c r="D318" t="inlineStr">
        <is>
          <t>TÔN_CUỘN_MẠ_KẼM</t>
        </is>
      </c>
      <c r="E318" t="inlineStr">
        <is>
          <t>MAT-STEEL-PN-1.15</t>
        </is>
      </c>
      <c r="F318" t="inlineStr">
        <is>
          <t>kg</t>
        </is>
      </c>
      <c r="G318" s="394" t="n">
        <v>5.055399999999999</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Tôn bọc cánh &amp; thân (2 cánh/modul)</t>
        </is>
      </c>
    </row>
    <row r="319">
      <c r="A319" t="inlineStr">
        <is>
          <t>SW-DAMPER-065-AXLE</t>
        </is>
      </c>
      <c r="B319" t="inlineStr">
        <is>
          <t>SW-DAMPER-065</t>
        </is>
      </c>
      <c r="C319" t="inlineStr">
        <is>
          <t>Trục Sus 201 D10</t>
        </is>
      </c>
      <c r="D319" t="inlineStr">
        <is>
          <t>PHỤ_KIỆN_VAN</t>
        </is>
      </c>
      <c r="E319" t="inlineStr">
        <is>
          <t>MAT-DAMPER-TRUC-SUS-201-D10</t>
        </is>
      </c>
      <c r="F319" t="inlineStr">
        <is>
          <t>m</t>
        </is>
      </c>
      <c r="G319" s="394" t="n">
        <v>1.72</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2 trục dài 860mm</t>
        </is>
      </c>
    </row>
    <row r="320">
      <c r="A320" t="inlineStr">
        <is>
          <t>SW-DAMPER-065-BEARING</t>
        </is>
      </c>
      <c r="B320" t="inlineStr">
        <is>
          <t>SW-DAMPER-065</t>
        </is>
      </c>
      <c r="C320" t="inlineStr">
        <is>
          <t>Bạc đồng D10</t>
        </is>
      </c>
      <c r="D320" t="inlineStr">
        <is>
          <t>PHỤ_KIỆN_VAN</t>
        </is>
      </c>
      <c r="E320" t="inlineStr">
        <is>
          <t>MAT-DAMPER-BAC-DONG-D10</t>
        </is>
      </c>
      <c r="F320" t="inlineStr">
        <is>
          <t>Đôi</t>
        </is>
      </c>
      <c r="G320" s="394" t="n">
        <v>2</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đôi bạc đỡ 2 bên thân</t>
        </is>
      </c>
    </row>
    <row r="321">
      <c r="A321" t="inlineStr">
        <is>
          <t>SW-DAMPER-065-GEAR</t>
        </is>
      </c>
      <c r="B321" t="inlineStr">
        <is>
          <t>SW-DAMPER-065</t>
        </is>
      </c>
      <c r="C321" t="inlineStr">
        <is>
          <t>Bánh răng van nhôm</t>
        </is>
      </c>
      <c r="D321" t="inlineStr">
        <is>
          <t>PHỤ_KIỆN_VAN</t>
        </is>
      </c>
      <c r="E321" t="inlineStr">
        <is>
          <t>MAT-DAMPER-BANH-RANG-VAN-NHOM</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Cơ cấu liên động cánh (1 bộ)</t>
        </is>
      </c>
    </row>
    <row r="322">
      <c r="A322" t="inlineStr">
        <is>
          <t>SW-DAMPER-065-ACTUATOR</t>
        </is>
      </c>
      <c r="B322" t="inlineStr">
        <is>
          <t>SW-DAMPER-065</t>
        </is>
      </c>
      <c r="C322" t="inlineStr">
        <is>
          <t>Động cơ chặn lửa ON/OFF 9Nm, 230V/24V (BELIMO BFN24 / BFN230)</t>
        </is>
      </c>
      <c r="D322" t="inlineStr">
        <is>
          <t>ĐỘNG_CƠ_VÀ_CẢM_BIẾN</t>
        </is>
      </c>
      <c r="E322" t="inlineStr">
        <is>
          <t>MAT-ACTUATOR-BELIMO-BFN24</t>
        </is>
      </c>
      <c r="F322" t="inlineStr">
        <is>
          <t>Cái</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Động cơ lò xo phản hồi MFD (1 bộ)</t>
        </is>
      </c>
    </row>
    <row r="323">
      <c r="A323" t="inlineStr">
        <is>
          <t>SW-DAMPER-065-FB10-BODY</t>
        </is>
      </c>
      <c r="B323" t="inlineStr">
        <is>
          <t>SW-DAMPER-065</t>
        </is>
      </c>
      <c r="C323" t="inlineStr">
        <is>
          <t>Tấm chống cháy dày 10mm bọc thân van FD/MFD (2 lớp)</t>
        </is>
      </c>
      <c r="D323" t="inlineStr">
        <is>
          <t>VẬT_LIỆU_CÁCH_NHIỆT</t>
        </is>
      </c>
      <c r="E323" t="inlineStr">
        <is>
          <t>MAT-FIREBOARD-10MM-BODY</t>
        </is>
      </c>
      <c r="F323" t="inlineStr">
        <is>
          <t>m2</t>
        </is>
      </c>
      <c r="G323" s="394" t="n">
        <v>1.38</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Bọc 2 lớp tấm 10mm quanh thân L=300mm</t>
        </is>
      </c>
    </row>
    <row r="324">
      <c r="A324" t="inlineStr">
        <is>
          <t>SW-DAMPER-065-FB20-BLADE</t>
        </is>
      </c>
      <c r="B324" t="inlineStr">
        <is>
          <t>SW-DAMPER-065</t>
        </is>
      </c>
      <c r="C324" t="inlineStr">
        <is>
          <t>Tấm chống cháy dày 20mm làm lõi cánh van FD/MFD</t>
        </is>
      </c>
      <c r="D324" t="inlineStr">
        <is>
          <t>VẬT_LIỆU_CÁCH_NHIỆT</t>
        </is>
      </c>
      <c r="E324" t="inlineStr">
        <is>
          <t>MAT-FIREBOARD-20MM-BLADE</t>
        </is>
      </c>
      <c r="F324" t="inlineStr">
        <is>
          <t>m2</t>
        </is>
      </c>
      <c r="G324" s="394" t="n">
        <v>0.4171953020134228</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Lõi cánh tấm 20mm (Đa cánh hệ số (H-5)/149=2.32, bản rộng 210mm, hao hụt 10%)</t>
        </is>
      </c>
    </row>
    <row r="325">
      <c r="A325" t="inlineStr">
        <is>
          <t>SW-DAMPER-065-FB10-BLADE</t>
        </is>
      </c>
      <c r="B325" t="inlineStr">
        <is>
          <t>SW-DAMPER-065</t>
        </is>
      </c>
      <c r="C325" t="inlineStr">
        <is>
          <t>Tấm chống cháy dày 10mm ốp 2 mặt cánh van FD/MFD</t>
        </is>
      </c>
      <c r="D325" t="inlineStr">
        <is>
          <t>VẬT_LIỆU_CÁCH_NHIỆT</t>
        </is>
      </c>
      <c r="E325" t="inlineStr">
        <is>
          <t>MAT-FIREBOARD-10MM-BLADE</t>
        </is>
      </c>
      <c r="F325" t="inlineStr">
        <is>
          <t>m2</t>
        </is>
      </c>
      <c r="G325" s="394" t="n">
        <v>0.8557852348993289</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Ốp 2 mặt cánh tấm 10mm (Đa cánh hệ số (H-5)/149=2.32, bản rộng 210mm, hao hụt 10%)</t>
        </is>
      </c>
    </row>
    <row r="326">
      <c r="A326" t="inlineStr">
        <is>
          <t>SW-DAMPER-065-SPRING-BOX</t>
        </is>
      </c>
      <c r="B326" t="inlineStr">
        <is>
          <t>SW-DAMPER-065</t>
        </is>
      </c>
      <c r="C326" t="inlineStr">
        <is>
          <t>Hộp lò xo van chặn lửa FD/MFD</t>
        </is>
      </c>
      <c r="D326" t="inlineStr">
        <is>
          <t>PHỤ_KIỆN_VAN</t>
        </is>
      </c>
      <c r="E326" t="inlineStr">
        <is>
          <t>MAT-DAMPER-HOP-LO-XO</t>
        </is>
      </c>
      <c r="F326" t="inlineStr">
        <is>
          <t>Bộ</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Hộp lò xo cơ cấu đóng sập (1 bộ)</t>
        </is>
      </c>
    </row>
    <row r="327">
      <c r="A327" t="inlineStr">
        <is>
          <t>SW-DAMPER-065-SILICON-BOLT</t>
        </is>
      </c>
      <c r="B327" t="inlineStr">
        <is>
          <t>SW-DAMPER-065</t>
        </is>
      </c>
      <c r="C327" t="inlineStr">
        <is>
          <t>Silicon chống cháy + bu lông, ốc vít van FD/MFD</t>
        </is>
      </c>
      <c r="D327" t="inlineStr">
        <is>
          <t>PHỤ_KIỆN_VAN</t>
        </is>
      </c>
      <c r="E327" t="inlineStr">
        <is>
          <t>MAT-DAMPER-SILICON-BULONG-VIT</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Keo silicon chống cháy &amp; phụ kiện lắp ghép (1 bộ)</t>
        </is>
      </c>
    </row>
    <row r="328">
      <c r="A328" t="inlineStr">
        <is>
          <t>SW-DAMPER-066-BODY</t>
        </is>
      </c>
      <c r="B328" t="inlineStr">
        <is>
          <t>SW-DAMPER-066</t>
        </is>
      </c>
      <c r="C328" t="inlineStr">
        <is>
          <t>Thân vỏ van MFD bích C30/TDF (1.15mm)</t>
        </is>
      </c>
      <c r="D328" t="inlineStr">
        <is>
          <t>TÔN_CUỘN_MẠ_KẼM</t>
        </is>
      </c>
      <c r="E328" t="inlineStr">
        <is>
          <t>MAT-STEEL-PN-1.15</t>
        </is>
      </c>
      <c r="F328" t="inlineStr">
        <is>
          <t>kg</t>
        </is>
      </c>
      <c r="G328" s="394" t="n">
        <v>17.09609895</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Kích thước vỏ 2000x650x200mm (2 modul 1000x650mm)</t>
        </is>
      </c>
    </row>
    <row r="329">
      <c r="A329" t="inlineStr">
        <is>
          <t>SW-DAMPER-066-BLADE</t>
        </is>
      </c>
      <c r="B329" t="inlineStr">
        <is>
          <t>SW-DAMPER-066</t>
        </is>
      </c>
      <c r="C329" t="inlineStr">
        <is>
          <t>Lá cánh / Tôn tấm bọc van (8 cánh)</t>
        </is>
      </c>
      <c r="D329" t="inlineStr">
        <is>
          <t>TÔN_CUỘN_MẠ_KẼM</t>
        </is>
      </c>
      <c r="E329" t="inlineStr">
        <is>
          <t>MAT-STEEL-PN-1.15</t>
        </is>
      </c>
      <c r="F329" t="inlineStr">
        <is>
          <t>kg</t>
        </is>
      </c>
      <c r="G329" s="394" t="n">
        <v>23.4715</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Tôn bọc cánh &amp; thân (4 cánh/modul (2 modul 1000x650mm))</t>
        </is>
      </c>
    </row>
    <row r="330">
      <c r="A330" t="inlineStr">
        <is>
          <t>SW-DAMPER-066-AXLE</t>
        </is>
      </c>
      <c r="B330" t="inlineStr">
        <is>
          <t>SW-DAMPER-066</t>
        </is>
      </c>
      <c r="C330" t="inlineStr">
        <is>
          <t>Trục Sus 201 D10</t>
        </is>
      </c>
      <c r="D330" t="inlineStr">
        <is>
          <t>PHỤ_KIỆN_VAN</t>
        </is>
      </c>
      <c r="E330" t="inlineStr">
        <is>
          <t>MAT-DAMPER-TRUC-SUS-201-D10</t>
        </is>
      </c>
      <c r="F330" t="inlineStr">
        <is>
          <t>m</t>
        </is>
      </c>
      <c r="G330" s="394" t="n">
        <v>8.48</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8 trục dài 1060mm</t>
        </is>
      </c>
    </row>
    <row r="331">
      <c r="A331" t="inlineStr">
        <is>
          <t>SW-DAMPER-066-BEARING</t>
        </is>
      </c>
      <c r="B331" t="inlineStr">
        <is>
          <t>SW-DAMPER-066</t>
        </is>
      </c>
      <c r="C331" t="inlineStr">
        <is>
          <t>Bạc đồng D10</t>
        </is>
      </c>
      <c r="D331" t="inlineStr">
        <is>
          <t>PHỤ_KIỆN_VAN</t>
        </is>
      </c>
      <c r="E331" t="inlineStr">
        <is>
          <t>MAT-DAMPER-BAC-DONG-D10</t>
        </is>
      </c>
      <c r="F331" t="inlineStr">
        <is>
          <t>Đôi</t>
        </is>
      </c>
      <c r="G331" s="394" t="n">
        <v>8</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8 đôi bạc đỡ 2 bên thân</t>
        </is>
      </c>
    </row>
    <row r="332">
      <c r="A332" t="inlineStr">
        <is>
          <t>SW-DAMPER-066-GEAR</t>
        </is>
      </c>
      <c r="B332" t="inlineStr">
        <is>
          <t>SW-DAMPER-066</t>
        </is>
      </c>
      <c r="C332" t="inlineStr">
        <is>
          <t>Bánh răng van nhôm</t>
        </is>
      </c>
      <c r="D332" t="inlineStr">
        <is>
          <t>PHỤ_KIỆN_VAN</t>
        </is>
      </c>
      <c r="E332" t="inlineStr">
        <is>
          <t>MAT-DAMPER-BANH-RANG-VAN-NHOM</t>
        </is>
      </c>
      <c r="F332" t="inlineStr">
        <is>
          <t>Bộ</t>
        </is>
      </c>
      <c r="G332" s="394" t="n">
        <v>2</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Cơ cấu liên động cánh (2 bộ)</t>
        </is>
      </c>
    </row>
    <row r="333">
      <c r="A333" t="inlineStr">
        <is>
          <t>SW-DAMPER-066-ACTUATOR</t>
        </is>
      </c>
      <c r="B333" t="inlineStr">
        <is>
          <t>SW-DAMPER-066</t>
        </is>
      </c>
      <c r="C333" t="inlineStr">
        <is>
          <t>Động cơ chặn lửa ON/OFF 9Nm, 230V/24V (BELIMO BFN24 / BFN230)</t>
        </is>
      </c>
      <c r="D333" t="inlineStr">
        <is>
          <t>ĐỘNG_CƠ_VÀ_CẢM_BIẾN</t>
        </is>
      </c>
      <c r="E333" t="inlineStr">
        <is>
          <t>MAT-ACTUATOR-BELIMO-BFN24</t>
        </is>
      </c>
      <c r="F333" t="inlineStr">
        <is>
          <t>Cái</t>
        </is>
      </c>
      <c r="G333" s="394" t="n">
        <v>2</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Động cơ lò xo phản hồi MFD (2 bộ (2 modul 1000x650mm))</t>
        </is>
      </c>
    </row>
    <row r="334">
      <c r="A334" t="inlineStr">
        <is>
          <t>SW-DAMPER-066-FB10-BODY</t>
        </is>
      </c>
      <c r="B334" t="inlineStr">
        <is>
          <t>SW-DAMPER-066</t>
        </is>
      </c>
      <c r="C334" t="inlineStr">
        <is>
          <t>Tấm chống cháy dày 10mm bọc thân van FD/MFD (2 lớp)</t>
        </is>
      </c>
      <c r="D334" t="inlineStr">
        <is>
          <t>VẬT_LIỆU_CÁCH_NHIỆT</t>
        </is>
      </c>
      <c r="E334" t="inlineStr">
        <is>
          <t>MAT-FIREBOARD-10MM-BODY</t>
        </is>
      </c>
      <c r="F334" t="inlineStr">
        <is>
          <t>m2</t>
        </is>
      </c>
      <c r="G334" s="394" t="n">
        <v>3.96</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Bọc 2 lớp tấm 10mm quanh thân L=300mm (2 modul 1000x650mm)</t>
        </is>
      </c>
    </row>
    <row r="335">
      <c r="A335" t="inlineStr">
        <is>
          <t>SW-DAMPER-066-FB20-BLADE</t>
        </is>
      </c>
      <c r="B335" t="inlineStr">
        <is>
          <t>SW-DAMPER-066</t>
        </is>
      </c>
      <c r="C335" t="inlineStr">
        <is>
          <t>Tấm chống cháy dày 20mm làm lõi cánh van FD/MFD</t>
        </is>
      </c>
      <c r="D335" t="inlineStr">
        <is>
          <t>VẬT_LIỆU_CÁCH_NHIỆT</t>
        </is>
      </c>
      <c r="E335" t="inlineStr">
        <is>
          <t>MAT-FIREBOARD-20MM-BLADE</t>
        </is>
      </c>
      <c r="F335" t="inlineStr">
        <is>
          <t>m2</t>
        </is>
      </c>
      <c r="G335" s="394" t="n">
        <v>1.959934228187919</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Lõi cánh tấm 20mm (Đa cánh hệ số (H-5)/149=4.33, bản rộng 210mm, hao hụt 10% (2 modul 1000x650mm))</t>
        </is>
      </c>
    </row>
    <row r="336">
      <c r="A336" t="inlineStr">
        <is>
          <t>SW-DAMPER-066-FB10-BLADE</t>
        </is>
      </c>
      <c r="B336" t="inlineStr">
        <is>
          <t>SW-DAMPER-066</t>
        </is>
      </c>
      <c r="C336" t="inlineStr">
        <is>
          <t>Tấm chống cháy dày 10mm ốp 2 mặt cánh van FD/MFD</t>
        </is>
      </c>
      <c r="D336" t="inlineStr">
        <is>
          <t>VẬT_LIỆU_CÁCH_NHIỆT</t>
        </is>
      </c>
      <c r="E336" t="inlineStr">
        <is>
          <t>MAT-FIREBOARD-10MM-BLADE</t>
        </is>
      </c>
      <c r="F336" t="inlineStr">
        <is>
          <t>m2</t>
        </is>
      </c>
      <c r="G336" s="394" t="n">
        <v>3.999865771812081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Ốp 2 mặt cánh tấm 10mm (Đa cánh hệ số (H-5)/149=4.33, bản rộng 210mm, hao hụt 10% (2 modul 1000x650mm))</t>
        </is>
      </c>
    </row>
    <row r="337">
      <c r="A337" t="inlineStr">
        <is>
          <t>SW-DAMPER-066-SPRING-BOX</t>
        </is>
      </c>
      <c r="B337" t="inlineStr">
        <is>
          <t>SW-DAMPER-066</t>
        </is>
      </c>
      <c r="C337" t="inlineStr">
        <is>
          <t>Hộp lò xo van chặn lửa FD/MFD</t>
        </is>
      </c>
      <c r="D337" t="inlineStr">
        <is>
          <t>PHỤ_KIỆN_VAN</t>
        </is>
      </c>
      <c r="E337" t="inlineStr">
        <is>
          <t>MAT-DAMPER-HOP-LO-XO</t>
        </is>
      </c>
      <c r="F337" t="inlineStr">
        <is>
          <t>Bộ</t>
        </is>
      </c>
      <c r="G337" s="394" t="n">
        <v>2</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Hộp lò xo cơ cấu đóng sập (2 bộ)</t>
        </is>
      </c>
    </row>
    <row r="338">
      <c r="A338" t="inlineStr">
        <is>
          <t>SW-DAMPER-066-SILICON-BOLT</t>
        </is>
      </c>
      <c r="B338" t="inlineStr">
        <is>
          <t>SW-DAMPER-066</t>
        </is>
      </c>
      <c r="C338" t="inlineStr">
        <is>
          <t>Silicon chống cháy + bu lông, ốc vít van FD/MFD</t>
        </is>
      </c>
      <c r="D338" t="inlineStr">
        <is>
          <t>PHỤ_KIỆN_VAN</t>
        </is>
      </c>
      <c r="E338" t="inlineStr">
        <is>
          <t>MAT-DAMPER-SILICON-BULONG-VIT</t>
        </is>
      </c>
      <c r="F338" t="inlineStr">
        <is>
          <t>Bộ</t>
        </is>
      </c>
      <c r="G338" s="394" t="n">
        <v>2</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Keo silicon chống cháy &amp; phụ kiện lắp ghép (2 bộ)</t>
        </is>
      </c>
    </row>
    <row r="339">
      <c r="A339" t="inlineStr">
        <is>
          <t>SW-DAMPER-067-BODY</t>
        </is>
      </c>
      <c r="B339" t="inlineStr">
        <is>
          <t>SW-DAMPER-067</t>
        </is>
      </c>
      <c r="C339" t="inlineStr">
        <is>
          <t>Thân vỏ van MFD bích C30/TDF (1.15mm)</t>
        </is>
      </c>
      <c r="D339" t="inlineStr">
        <is>
          <t>TÔN_CUỘN_MẠ_KẼM</t>
        </is>
      </c>
      <c r="E339" t="inlineStr">
        <is>
          <t>MAT-STEEL-PN-1.15</t>
        </is>
      </c>
      <c r="F339" t="inlineStr">
        <is>
          <t>kg</t>
        </is>
      </c>
      <c r="G339" s="394" t="n">
        <v>7.012471725</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Kích thước vỏ 1000x350x200mm</t>
        </is>
      </c>
    </row>
    <row r="340">
      <c r="A340" t="inlineStr">
        <is>
          <t>SW-DAMPER-067-BLADE</t>
        </is>
      </c>
      <c r="B340" t="inlineStr">
        <is>
          <t>SW-DAMPER-067</t>
        </is>
      </c>
      <c r="C340" t="inlineStr">
        <is>
          <t>Lá cánh / Tôn tấm bọc van (2 cánh)</t>
        </is>
      </c>
      <c r="D340" t="inlineStr">
        <is>
          <t>TÔN_CUỘN_MẠ_KẼM</t>
        </is>
      </c>
      <c r="E340" t="inlineStr">
        <is>
          <t>MAT-STEEL-PN-1.15</t>
        </is>
      </c>
      <c r="F340" t="inlineStr">
        <is>
          <t>kg</t>
        </is>
      </c>
      <c r="G340" s="394" t="n">
        <v>6.319249999999998</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Tôn bọc cánh &amp; thân (2 cánh/modul)</t>
        </is>
      </c>
    </row>
    <row r="341">
      <c r="A341" t="inlineStr">
        <is>
          <t>SW-DAMPER-067-AXLE</t>
        </is>
      </c>
      <c r="B341" t="inlineStr">
        <is>
          <t>SW-DAMPER-067</t>
        </is>
      </c>
      <c r="C341" t="inlineStr">
        <is>
          <t>Trục Sus 201 D10</t>
        </is>
      </c>
      <c r="D341" t="inlineStr">
        <is>
          <t>PHỤ_KIỆN_VAN</t>
        </is>
      </c>
      <c r="E341" t="inlineStr">
        <is>
          <t>MAT-DAMPER-TRUC-SUS-201-D10</t>
        </is>
      </c>
      <c r="F341" t="inlineStr">
        <is>
          <t>m</t>
        </is>
      </c>
      <c r="G341" s="394" t="n">
        <v>2.12</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2 trục dài 1060mm</t>
        </is>
      </c>
    </row>
    <row r="342">
      <c r="A342" t="inlineStr">
        <is>
          <t>SW-DAMPER-067-BEARING</t>
        </is>
      </c>
      <c r="B342" t="inlineStr">
        <is>
          <t>SW-DAMPER-067</t>
        </is>
      </c>
      <c r="C342" t="inlineStr">
        <is>
          <t>Bạc đồng D10</t>
        </is>
      </c>
      <c r="D342" t="inlineStr">
        <is>
          <t>PHỤ_KIỆN_VAN</t>
        </is>
      </c>
      <c r="E342" t="inlineStr">
        <is>
          <t>MAT-DAMPER-BAC-DONG-D10</t>
        </is>
      </c>
      <c r="F342" t="inlineStr">
        <is>
          <t>Đôi</t>
        </is>
      </c>
      <c r="G342" s="394" t="n">
        <v>2</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2 đôi bạc đỡ 2 bên thân</t>
        </is>
      </c>
    </row>
    <row r="343">
      <c r="A343" t="inlineStr">
        <is>
          <t>SW-DAMPER-067-GEAR</t>
        </is>
      </c>
      <c r="B343" t="inlineStr">
        <is>
          <t>SW-DAMPER-067</t>
        </is>
      </c>
      <c r="C343" t="inlineStr">
        <is>
          <t>Bánh răng van nhôm</t>
        </is>
      </c>
      <c r="D343" t="inlineStr">
        <is>
          <t>PHỤ_KIỆN_VAN</t>
        </is>
      </c>
      <c r="E343" t="inlineStr">
        <is>
          <t>MAT-DAMPER-BANH-RANG-VAN-NHOM</t>
        </is>
      </c>
      <c r="F343" t="inlineStr">
        <is>
          <t>Bộ</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Cơ cấu liên động cánh (1 bộ)</t>
        </is>
      </c>
    </row>
    <row r="344">
      <c r="A344" t="inlineStr">
        <is>
          <t>SW-DAMPER-067-ACTUATOR</t>
        </is>
      </c>
      <c r="B344" t="inlineStr">
        <is>
          <t>SW-DAMPER-067</t>
        </is>
      </c>
      <c r="C344" t="inlineStr">
        <is>
          <t>Động cơ chặn lửa ON/OFF 9Nm, 230V/24V (BELIMO BFN24 / BFN230)</t>
        </is>
      </c>
      <c r="D344" t="inlineStr">
        <is>
          <t>ĐỘNG_CƠ_VÀ_CẢM_BIẾN</t>
        </is>
      </c>
      <c r="E344" t="inlineStr">
        <is>
          <t>MAT-ACTUATOR-BELIMO-BFN24</t>
        </is>
      </c>
      <c r="F344" t="inlineStr">
        <is>
          <t>Cái</t>
        </is>
      </c>
      <c r="G344" s="394" t="n">
        <v>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Động cơ lò xo phản hồi MFD (1 bộ)</t>
        </is>
      </c>
    </row>
    <row r="345">
      <c r="A345" t="inlineStr">
        <is>
          <t>SW-DAMPER-067-FB10-BODY</t>
        </is>
      </c>
      <c r="B345" t="inlineStr">
        <is>
          <t>SW-DAMPER-067</t>
        </is>
      </c>
      <c r="C345" t="inlineStr">
        <is>
          <t>Tấm chống cháy dày 10mm bọc thân van FD/MFD (2 lớp)</t>
        </is>
      </c>
      <c r="D345" t="inlineStr">
        <is>
          <t>VẬT_LIỆU_CÁCH_NHIỆT</t>
        </is>
      </c>
      <c r="E345" t="inlineStr">
        <is>
          <t>MAT-FIREBOARD-10MM-BODY</t>
        </is>
      </c>
      <c r="F345" t="inlineStr">
        <is>
          <t>m2</t>
        </is>
      </c>
      <c r="G345" s="394" t="n">
        <v>1.62</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Bọc 2 lớp tấm 10mm quanh thân L=300mm</t>
        </is>
      </c>
    </row>
    <row r="346">
      <c r="A346" t="inlineStr">
        <is>
          <t>SW-DAMPER-067-FB20-BLADE</t>
        </is>
      </c>
      <c r="B346" t="inlineStr">
        <is>
          <t>SW-DAMPER-067</t>
        </is>
      </c>
      <c r="C346" t="inlineStr">
        <is>
          <t>Tấm chống cháy dày 20mm làm lõi cánh van FD/MFD</t>
        </is>
      </c>
      <c r="D346" t="inlineStr">
        <is>
          <t>VẬT_LIỆU_CÁCH_NHIỆT</t>
        </is>
      </c>
      <c r="E346" t="inlineStr">
        <is>
          <t>MAT-FIREBOARD-20MM-BLADE</t>
        </is>
      </c>
      <c r="F346" t="inlineStr">
        <is>
          <t>m2</t>
        </is>
      </c>
      <c r="G346" s="394" t="n">
        <v>0.524168456375839</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Lõi cánh tấm 20mm (Đa cánh hệ số (H-5)/149=2.32, bản rộng 210mm, hao hụt 10%)</t>
        </is>
      </c>
    </row>
    <row r="347">
      <c r="A347" t="inlineStr">
        <is>
          <t>SW-DAMPER-067-FB10-BLADE</t>
        </is>
      </c>
      <c r="B347" t="inlineStr">
        <is>
          <t>SW-DAMPER-067</t>
        </is>
      </c>
      <c r="C347" t="inlineStr">
        <is>
          <t>Tấm chống cháy dày 10mm ốp 2 mặt cánh van FD/MFD</t>
        </is>
      </c>
      <c r="D347" t="inlineStr">
        <is>
          <t>VẬT_LIỆU_CÁCH_NHIỆT</t>
        </is>
      </c>
      <c r="E347" t="inlineStr">
        <is>
          <t>MAT-FIREBOARD-10MM-BLADE</t>
        </is>
      </c>
      <c r="F347" t="inlineStr">
        <is>
          <t>m2</t>
        </is>
      </c>
      <c r="G347" s="394" t="n">
        <v>1.069731543624161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Ốp 2 mặt cánh tấm 10mm (Đa cánh hệ số (H-5)/149=2.32, bản rộng 210mm, hao hụt 10%)</t>
        </is>
      </c>
    </row>
    <row r="348">
      <c r="A348" t="inlineStr">
        <is>
          <t>SW-DAMPER-067-SPRING-BOX</t>
        </is>
      </c>
      <c r="B348" t="inlineStr">
        <is>
          <t>SW-DAMPER-067</t>
        </is>
      </c>
      <c r="C348" t="inlineStr">
        <is>
          <t>Hộp lò xo van chặn lửa FD/MFD</t>
        </is>
      </c>
      <c r="D348" t="inlineStr">
        <is>
          <t>PHỤ_KIỆN_VAN</t>
        </is>
      </c>
      <c r="E348" t="inlineStr">
        <is>
          <t>MAT-DAMPER-HOP-LO-XO</t>
        </is>
      </c>
      <c r="F348" t="inlineStr">
        <is>
          <t>Bộ</t>
        </is>
      </c>
      <c r="G348" s="394" t="n">
        <v>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Hộp lò xo cơ cấu đóng sập (1 bộ)</t>
        </is>
      </c>
    </row>
    <row r="349">
      <c r="A349" t="inlineStr">
        <is>
          <t>SW-DAMPER-067-SILICON-BOLT</t>
        </is>
      </c>
      <c r="B349" t="inlineStr">
        <is>
          <t>SW-DAMPER-067</t>
        </is>
      </c>
      <c r="C349" t="inlineStr">
        <is>
          <t>Silicon chống cháy + bu lông, ốc vít van FD/MFD</t>
        </is>
      </c>
      <c r="D349" t="inlineStr">
        <is>
          <t>PHỤ_KIỆN_VAN</t>
        </is>
      </c>
      <c r="E349" t="inlineStr">
        <is>
          <t>MAT-DAMPER-SILICON-BULONG-VIT</t>
        </is>
      </c>
      <c r="F349" t="inlineStr">
        <is>
          <t>Bộ</t>
        </is>
      </c>
      <c r="G349" s="394" t="n">
        <v>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Keo silicon chống cháy &amp; phụ kiện lắp ghép (1 bộ)</t>
        </is>
      </c>
    </row>
    <row r="350">
      <c r="A350" t="inlineStr">
        <is>
          <t>SW-DAMPER-068-BODY</t>
        </is>
      </c>
      <c r="B350" t="inlineStr">
        <is>
          <t>SW-DAMPER-068</t>
        </is>
      </c>
      <c r="C350" t="inlineStr">
        <is>
          <t>Thân vỏ van MFD bích C30/TDF (1.15mm)</t>
        </is>
      </c>
      <c r="D350" t="inlineStr">
        <is>
          <t>TÔN_CUỘN_MẠ_KẼM</t>
        </is>
      </c>
      <c r="E350" t="inlineStr">
        <is>
          <t>MAT-STEEL-PN-1.15</t>
        </is>
      </c>
      <c r="F350" t="inlineStr">
        <is>
          <t>kg</t>
        </is>
      </c>
      <c r="G350" s="394" t="n">
        <v>9.93006945</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Kích thước vỏ 1200x350x200mm (2 modul 600x350mm)</t>
        </is>
      </c>
    </row>
    <row r="351">
      <c r="A351" t="inlineStr">
        <is>
          <t>SW-DAMPER-068-BLADE</t>
        </is>
      </c>
      <c r="B351" t="inlineStr">
        <is>
          <t>SW-DAMPER-068</t>
        </is>
      </c>
      <c r="C351" t="inlineStr">
        <is>
          <t>Lá cánh / Tôn tấm bọc van (4 cánh)</t>
        </is>
      </c>
      <c r="D351" t="inlineStr">
        <is>
          <t>TÔN_CUỘN_MẠ_KẼM</t>
        </is>
      </c>
      <c r="E351" t="inlineStr">
        <is>
          <t>MAT-STEEL-PN-1.15</t>
        </is>
      </c>
      <c r="F351" t="inlineStr">
        <is>
          <t>kg</t>
        </is>
      </c>
      <c r="G351" s="394" t="n">
        <v>7.583099999999998</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Tôn bọc cánh &amp; thân (2 cánh/modul (2 modul 600x350mm))</t>
        </is>
      </c>
    </row>
    <row r="352">
      <c r="A352" t="inlineStr">
        <is>
          <t>SW-DAMPER-068-AXLE</t>
        </is>
      </c>
      <c r="B352" t="inlineStr">
        <is>
          <t>SW-DAMPER-068</t>
        </is>
      </c>
      <c r="C352" t="inlineStr">
        <is>
          <t>Trục Sus 201 D10</t>
        </is>
      </c>
      <c r="D352" t="inlineStr">
        <is>
          <t>PHỤ_KIỆN_VAN</t>
        </is>
      </c>
      <c r="E352" t="inlineStr">
        <is>
          <t>MAT-DAMPER-TRUC-SUS-201-D10</t>
        </is>
      </c>
      <c r="F352" t="inlineStr">
        <is>
          <t>m</t>
        </is>
      </c>
      <c r="G352" s="394" t="n">
        <v>2.64</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4 trục dài 660mm</t>
        </is>
      </c>
    </row>
    <row r="353">
      <c r="A353" t="inlineStr">
        <is>
          <t>SW-DAMPER-068-BEARING</t>
        </is>
      </c>
      <c r="B353" t="inlineStr">
        <is>
          <t>SW-DAMPER-068</t>
        </is>
      </c>
      <c r="C353" t="inlineStr">
        <is>
          <t>Bạc đồng D10</t>
        </is>
      </c>
      <c r="D353" t="inlineStr">
        <is>
          <t>PHỤ_KIỆN_VAN</t>
        </is>
      </c>
      <c r="E353" t="inlineStr">
        <is>
          <t>MAT-DAMPER-BAC-DONG-D10</t>
        </is>
      </c>
      <c r="F353" t="inlineStr">
        <is>
          <t>Đôi</t>
        </is>
      </c>
      <c r="G353" s="394" t="n">
        <v>4</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4 đôi bạc đỡ 2 bên thân</t>
        </is>
      </c>
    </row>
    <row r="354">
      <c r="A354" t="inlineStr">
        <is>
          <t>SW-DAMPER-068-GEAR</t>
        </is>
      </c>
      <c r="B354" t="inlineStr">
        <is>
          <t>SW-DAMPER-068</t>
        </is>
      </c>
      <c r="C354" t="inlineStr">
        <is>
          <t>Bánh răng van nhôm</t>
        </is>
      </c>
      <c r="D354" t="inlineStr">
        <is>
          <t>PHỤ_KIỆN_VAN</t>
        </is>
      </c>
      <c r="E354" t="inlineStr">
        <is>
          <t>MAT-DAMPER-BANH-RANG-VAN-NHOM</t>
        </is>
      </c>
      <c r="F354" t="inlineStr">
        <is>
          <t>Bộ</t>
        </is>
      </c>
      <c r="G354" s="394" t="n">
        <v>2</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Cơ cấu liên động cánh (2 bộ)</t>
        </is>
      </c>
    </row>
    <row r="355">
      <c r="A355" t="inlineStr">
        <is>
          <t>SW-DAMPER-068-ACTUATOR</t>
        </is>
      </c>
      <c r="B355" t="inlineStr">
        <is>
          <t>SW-DAMPER-068</t>
        </is>
      </c>
      <c r="C355" t="inlineStr">
        <is>
          <t>Động cơ chặn lửa ON/OFF 9Nm, 230V/24V (BELIMO BFN24 / BFN230)</t>
        </is>
      </c>
      <c r="D355" t="inlineStr">
        <is>
          <t>ĐỘNG_CƠ_VÀ_CẢM_BIẾN</t>
        </is>
      </c>
      <c r="E355" t="inlineStr">
        <is>
          <t>MAT-ACTUATOR-BELIMO-BFN24</t>
        </is>
      </c>
      <c r="F355" t="inlineStr">
        <is>
          <t>Cái</t>
        </is>
      </c>
      <c r="G355" s="394" t="n">
        <v>2</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Động cơ lò xo phản hồi MFD (2 bộ (2 modul 600x350mm))</t>
        </is>
      </c>
    </row>
    <row r="356">
      <c r="A356" t="inlineStr">
        <is>
          <t>SW-DAMPER-068-FB10-BODY</t>
        </is>
      </c>
      <c r="B356" t="inlineStr">
        <is>
          <t>SW-DAMPER-068</t>
        </is>
      </c>
      <c r="C356" t="inlineStr">
        <is>
          <t>Tấm chống cháy dày 10mm bọc thân van FD/MFD (2 lớp)</t>
        </is>
      </c>
      <c r="D356" t="inlineStr">
        <is>
          <t>VẬT_LIỆU_CÁCH_NHIỆT</t>
        </is>
      </c>
      <c r="E356" t="inlineStr">
        <is>
          <t>MAT-FIREBOARD-10MM-BODY</t>
        </is>
      </c>
      <c r="F356" t="inlineStr">
        <is>
          <t>m2</t>
        </is>
      </c>
      <c r="G356" s="394" t="n">
        <v>2.28</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Bọc 2 lớp tấm 10mm quanh thân L=300mm (2 modul 600x350mm)</t>
        </is>
      </c>
    </row>
    <row r="357">
      <c r="A357" t="inlineStr">
        <is>
          <t>SW-DAMPER-068-FB20-BLADE</t>
        </is>
      </c>
      <c r="B357" t="inlineStr">
        <is>
          <t>SW-DAMPER-068</t>
        </is>
      </c>
      <c r="C357" t="inlineStr">
        <is>
          <t>Tấm chống cháy dày 20mm làm lõi cánh van FD/MFD</t>
        </is>
      </c>
      <c r="D357" t="inlineStr">
        <is>
          <t>VẬT_LIỆU_CÁCH_NHIỆT</t>
        </is>
      </c>
      <c r="E357" t="inlineStr">
        <is>
          <t>MAT-FIREBOARD-20MM-BLADE</t>
        </is>
      </c>
      <c r="F357" t="inlineStr">
        <is>
          <t>m2</t>
        </is>
      </c>
      <c r="G357" s="394" t="n">
        <v>0.6204442953020134</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Lõi cánh tấm 20mm (Đa cánh hệ số (H-5)/149=2.32, bản rộng 210mm, hao hụt 10% (2 modul 600x350mm))</t>
        </is>
      </c>
    </row>
    <row r="358">
      <c r="A358" t="inlineStr">
        <is>
          <t>SW-DAMPER-068-FB10-BLADE</t>
        </is>
      </c>
      <c r="B358" t="inlineStr">
        <is>
          <t>SW-DAMPER-068</t>
        </is>
      </c>
      <c r="C358" t="inlineStr">
        <is>
          <t>Tấm chống cháy dày 10mm ốp 2 mặt cánh van FD/MFD</t>
        </is>
      </c>
      <c r="D358" t="inlineStr">
        <is>
          <t>VẬT_LIỆU_CÁCH_NHIỆT</t>
        </is>
      </c>
      <c r="E358" t="inlineStr">
        <is>
          <t>MAT-FIREBOARD-10MM-BLADE</t>
        </is>
      </c>
      <c r="F358" t="inlineStr">
        <is>
          <t>m2</t>
        </is>
      </c>
      <c r="G358" s="394" t="n">
        <v>1.283677852348993</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Ốp 2 mặt cánh tấm 10mm (Đa cánh hệ số (H-5)/149=2.32, bản rộng 210mm, hao hụt 10% (2 modul 600x350mm))</t>
        </is>
      </c>
    </row>
    <row r="359">
      <c r="A359" t="inlineStr">
        <is>
          <t>SW-DAMPER-068-SPRING-BOX</t>
        </is>
      </c>
      <c r="B359" t="inlineStr">
        <is>
          <t>SW-DAMPER-068</t>
        </is>
      </c>
      <c r="C359" t="inlineStr">
        <is>
          <t>Hộp lò xo van chặn lửa FD/MFD</t>
        </is>
      </c>
      <c r="D359" t="inlineStr">
        <is>
          <t>PHỤ_KIỆN_VAN</t>
        </is>
      </c>
      <c r="E359" t="inlineStr">
        <is>
          <t>MAT-DAMPER-HOP-LO-XO</t>
        </is>
      </c>
      <c r="F359" t="inlineStr">
        <is>
          <t>Bộ</t>
        </is>
      </c>
      <c r="G359" s="394" t="n">
        <v>2</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Hộp lò xo cơ cấu đóng sập (2 bộ)</t>
        </is>
      </c>
    </row>
    <row r="360">
      <c r="A360" t="inlineStr">
        <is>
          <t>SW-DAMPER-068-SILICON-BOLT</t>
        </is>
      </c>
      <c r="B360" t="inlineStr">
        <is>
          <t>SW-DAMPER-068</t>
        </is>
      </c>
      <c r="C360" t="inlineStr">
        <is>
          <t>Silicon chống cháy + bu lông, ốc vít van FD/MFD</t>
        </is>
      </c>
      <c r="D360" t="inlineStr">
        <is>
          <t>PHỤ_KIỆN_VAN</t>
        </is>
      </c>
      <c r="E360" t="inlineStr">
        <is>
          <t>MAT-DAMPER-SILICON-BULONG-VIT</t>
        </is>
      </c>
      <c r="F360" t="inlineStr">
        <is>
          <t>Bộ</t>
        </is>
      </c>
      <c r="G360" s="394" t="n">
        <v>2</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Keo silicon chống cháy &amp; phụ kiện lắp ghép (2 bộ)</t>
        </is>
      </c>
    </row>
    <row r="361">
      <c r="A361" t="inlineStr">
        <is>
          <t>SW-DAMPER-069-BODY</t>
        </is>
      </c>
      <c r="B361" t="inlineStr">
        <is>
          <t>SW-DAMPER-069</t>
        </is>
      </c>
      <c r="C361" t="inlineStr">
        <is>
          <t>Thân vỏ van MFD bích C30/TDF (1.15mm)</t>
        </is>
      </c>
      <c r="D361" t="inlineStr">
        <is>
          <t>TÔN_CUỘN_MẠ_KẼM</t>
        </is>
      </c>
      <c r="E361" t="inlineStr">
        <is>
          <t>MAT-STEEL-PN-1.15</t>
        </is>
      </c>
      <c r="F361" t="inlineStr">
        <is>
          <t>kg</t>
        </is>
      </c>
      <c r="G361" s="394" t="n">
        <v>9.418210200000001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Kích thước vỏ 1100x350x200mm (2 modul 550x350mm)</t>
        </is>
      </c>
    </row>
    <row r="362">
      <c r="A362" t="inlineStr">
        <is>
          <t>SW-DAMPER-069-BLADE</t>
        </is>
      </c>
      <c r="B362" t="inlineStr">
        <is>
          <t>SW-DAMPER-069</t>
        </is>
      </c>
      <c r="C362" t="inlineStr">
        <is>
          <t>Lá cánh / Tôn tấm bọc van (4 cánh)</t>
        </is>
      </c>
      <c r="D362" t="inlineStr">
        <is>
          <t>TÔN_CUỘN_MẠ_KẼM</t>
        </is>
      </c>
      <c r="E362" t="inlineStr">
        <is>
          <t>MAT-STEEL-PN-1.15</t>
        </is>
      </c>
      <c r="F362" t="inlineStr">
        <is>
          <t>kg</t>
        </is>
      </c>
      <c r="G362" s="394" t="n">
        <v>6.951174999999998</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Tôn bọc cánh &amp; thân (2 cánh/modul (2 modul 550x350mm))</t>
        </is>
      </c>
    </row>
    <row r="363">
      <c r="A363" t="inlineStr">
        <is>
          <t>SW-DAMPER-069-AXLE</t>
        </is>
      </c>
      <c r="B363" t="inlineStr">
        <is>
          <t>SW-DAMPER-069</t>
        </is>
      </c>
      <c r="C363" t="inlineStr">
        <is>
          <t>Trục Sus 201 D10</t>
        </is>
      </c>
      <c r="D363" t="inlineStr">
        <is>
          <t>PHỤ_KIỆN_VAN</t>
        </is>
      </c>
      <c r="E363" t="inlineStr">
        <is>
          <t>MAT-DAMPER-TRUC-SUS-201-D10</t>
        </is>
      </c>
      <c r="F363" t="inlineStr">
        <is>
          <t>m</t>
        </is>
      </c>
      <c r="G363" s="394" t="n">
        <v>2.44</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4 trục dài 610mm</t>
        </is>
      </c>
    </row>
    <row r="364">
      <c r="A364" t="inlineStr">
        <is>
          <t>SW-DAMPER-069-BEARING</t>
        </is>
      </c>
      <c r="B364" t="inlineStr">
        <is>
          <t>SW-DAMPER-069</t>
        </is>
      </c>
      <c r="C364" t="inlineStr">
        <is>
          <t>Bạc đồng D10</t>
        </is>
      </c>
      <c r="D364" t="inlineStr">
        <is>
          <t>PHỤ_KIỆN_VAN</t>
        </is>
      </c>
      <c r="E364" t="inlineStr">
        <is>
          <t>MAT-DAMPER-BAC-DONG-D10</t>
        </is>
      </c>
      <c r="F364" t="inlineStr">
        <is>
          <t>Đôi</t>
        </is>
      </c>
      <c r="G364" s="394" t="n">
        <v>4</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4 đôi bạc đỡ 2 bên thân</t>
        </is>
      </c>
    </row>
    <row r="365">
      <c r="A365" t="inlineStr">
        <is>
          <t>SW-DAMPER-069-GEAR</t>
        </is>
      </c>
      <c r="B365" t="inlineStr">
        <is>
          <t>SW-DAMPER-069</t>
        </is>
      </c>
      <c r="C365" t="inlineStr">
        <is>
          <t>Bánh răng van nhôm</t>
        </is>
      </c>
      <c r="D365" t="inlineStr">
        <is>
          <t>PHỤ_KIỆN_VAN</t>
        </is>
      </c>
      <c r="E365" t="inlineStr">
        <is>
          <t>MAT-DAMPER-BANH-RANG-VAN-NHOM</t>
        </is>
      </c>
      <c r="F365" t="inlineStr">
        <is>
          <t>Bộ</t>
        </is>
      </c>
      <c r="G365" s="394" t="n">
        <v>2</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Cơ cấu liên động cánh (2 bộ)</t>
        </is>
      </c>
    </row>
    <row r="366">
      <c r="A366" t="inlineStr">
        <is>
          <t>SW-DAMPER-069-ACTUATOR</t>
        </is>
      </c>
      <c r="B366" t="inlineStr">
        <is>
          <t>SW-DAMPER-069</t>
        </is>
      </c>
      <c r="C366" t="inlineStr">
        <is>
          <t>Động cơ chặn lửa ON/OFF 9Nm, 230V/24V (BELIMO BFN24 / BFN230)</t>
        </is>
      </c>
      <c r="D366" t="inlineStr">
        <is>
          <t>ĐỘNG_CƠ_VÀ_CẢM_BIẾN</t>
        </is>
      </c>
      <c r="E366" t="inlineStr">
        <is>
          <t>MAT-ACTUATOR-BELIMO-BFN24</t>
        </is>
      </c>
      <c r="F366" t="inlineStr">
        <is>
          <t>Cái</t>
        </is>
      </c>
      <c r="G366" s="394" t="n">
        <v>2</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Động cơ lò xo phản hồi MFD (2 bộ (2 modul 550x350mm))</t>
        </is>
      </c>
    </row>
    <row r="367">
      <c r="A367" t="inlineStr">
        <is>
          <t>SW-DAMPER-069-FB10-BODY</t>
        </is>
      </c>
      <c r="B367" t="inlineStr">
        <is>
          <t>SW-DAMPER-069</t>
        </is>
      </c>
      <c r="C367" t="inlineStr">
        <is>
          <t>Tấm chống cháy dày 10mm bọc thân van FD/MFD (2 lớp)</t>
        </is>
      </c>
      <c r="D367" t="inlineStr">
        <is>
          <t>VẬT_LIỆU_CÁCH_NHIỆT</t>
        </is>
      </c>
      <c r="E367" t="inlineStr">
        <is>
          <t>MAT-FIREBOARD-10MM-BODY</t>
        </is>
      </c>
      <c r="F367" t="inlineStr">
        <is>
          <t>m2</t>
        </is>
      </c>
      <c r="G367" s="394" t="n">
        <v>2.16</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2 lớp tấm 10mm quanh thân L=300mm (2 modul 550x350mm)</t>
        </is>
      </c>
    </row>
    <row r="368">
      <c r="A368" t="inlineStr">
        <is>
          <t>SW-DAMPER-069-FB20-BLADE</t>
        </is>
      </c>
      <c r="B368" t="inlineStr">
        <is>
          <t>SW-DAMPER-069</t>
        </is>
      </c>
      <c r="C368" t="inlineStr">
        <is>
          <t>Tấm chống cháy dày 20mm làm lõi cánh van FD/MFD</t>
        </is>
      </c>
      <c r="D368" t="inlineStr">
        <is>
          <t>VẬT_LIỆU_CÁCH_NHIỆT</t>
        </is>
      </c>
      <c r="E368" t="inlineStr">
        <is>
          <t>MAT-FIREBOARD-20MM-BLADE</t>
        </is>
      </c>
      <c r="F368" t="inlineStr">
        <is>
          <t>m2</t>
        </is>
      </c>
      <c r="G368" s="394" t="n">
        <v>0.5669577181208053</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Lõi cánh tấm 20mm (Đa cánh hệ số (H-5)/149=2.32, bản rộng 210mm, hao hụt 10% (2 modul 550x350mm))</t>
        </is>
      </c>
    </row>
    <row r="369">
      <c r="A369" t="inlineStr">
        <is>
          <t>SW-DAMPER-069-FB10-BLADE</t>
        </is>
      </c>
      <c r="B369" t="inlineStr">
        <is>
          <t>SW-DAMPER-069</t>
        </is>
      </c>
      <c r="C369" t="inlineStr">
        <is>
          <t>Tấm chống cháy dày 10mm ốp 2 mặt cánh van FD/MFD</t>
        </is>
      </c>
      <c r="D369" t="inlineStr">
        <is>
          <t>VẬT_LIỆU_CÁCH_NHIỆT</t>
        </is>
      </c>
      <c r="E369" t="inlineStr">
        <is>
          <t>MAT-FIREBOARD-10MM-BLADE</t>
        </is>
      </c>
      <c r="F369" t="inlineStr">
        <is>
          <t>m2</t>
        </is>
      </c>
      <c r="G369" s="394" t="n">
        <v>1.176704697986577</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Ốp 2 mặt cánh tấm 10mm (Đa cánh hệ số (H-5)/149=2.32, bản rộng 210mm, hao hụt 10% (2 modul 550x350mm))</t>
        </is>
      </c>
    </row>
    <row r="370">
      <c r="A370" t="inlineStr">
        <is>
          <t>SW-DAMPER-069-SPRING-BOX</t>
        </is>
      </c>
      <c r="B370" t="inlineStr">
        <is>
          <t>SW-DAMPER-069</t>
        </is>
      </c>
      <c r="C370" t="inlineStr">
        <is>
          <t>Hộp lò xo van chặn lửa FD/MFD</t>
        </is>
      </c>
      <c r="D370" t="inlineStr">
        <is>
          <t>PHỤ_KIỆN_VAN</t>
        </is>
      </c>
      <c r="E370" t="inlineStr">
        <is>
          <t>MAT-DAMPER-HOP-LO-XO</t>
        </is>
      </c>
      <c r="F370" t="inlineStr">
        <is>
          <t>Bộ</t>
        </is>
      </c>
      <c r="G370" s="394" t="n">
        <v>2</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Hộp lò xo cơ cấu đóng sập (2 bộ)</t>
        </is>
      </c>
    </row>
    <row r="371">
      <c r="A371" t="inlineStr">
        <is>
          <t>SW-DAMPER-069-SILICON-BOLT</t>
        </is>
      </c>
      <c r="B371" t="inlineStr">
        <is>
          <t>SW-DAMPER-069</t>
        </is>
      </c>
      <c r="C371" t="inlineStr">
        <is>
          <t>Silicon chống cháy + bu lông, ốc vít van FD/MFD</t>
        </is>
      </c>
      <c r="D371" t="inlineStr">
        <is>
          <t>PHỤ_KIỆN_VAN</t>
        </is>
      </c>
      <c r="E371" t="inlineStr">
        <is>
          <t>MAT-DAMPER-SILICON-BULONG-VIT</t>
        </is>
      </c>
      <c r="F371" t="inlineStr">
        <is>
          <t>Bộ</t>
        </is>
      </c>
      <c r="G371" s="394" t="n">
        <v>2</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Keo silicon chống cháy &amp; phụ kiện lắp ghép (2 bộ)</t>
        </is>
      </c>
    </row>
    <row r="372">
      <c r="A372" t="inlineStr">
        <is>
          <t>SW-DAMPER-070-BODY</t>
        </is>
      </c>
      <c r="B372" t="inlineStr">
        <is>
          <t>SW-DAMPER-070</t>
        </is>
      </c>
      <c r="C372" t="inlineStr">
        <is>
          <t>Thân vỏ van MFD bích C30/TDF (1.15mm)</t>
        </is>
      </c>
      <c r="D372" t="inlineStr">
        <is>
          <t>TÔN_CUỘN_MẠ_KẼM</t>
        </is>
      </c>
      <c r="E372" t="inlineStr">
        <is>
          <t>MAT-STEEL-PN-1.15</t>
        </is>
      </c>
      <c r="F372" t="inlineStr">
        <is>
          <t>kg</t>
        </is>
      </c>
      <c r="G372" s="394" t="n">
        <v>9.418210200000001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Kích thước vỏ 1200x300x200mm (2 modul 600x300mm)</t>
        </is>
      </c>
    </row>
    <row r="373">
      <c r="A373" t="inlineStr">
        <is>
          <t>SW-DAMPER-070-BLADE</t>
        </is>
      </c>
      <c r="B373" t="inlineStr">
        <is>
          <t>SW-DAMPER-070</t>
        </is>
      </c>
      <c r="C373" t="inlineStr">
        <is>
          <t>Lá cánh / Tôn tấm bọc van (4 cánh)</t>
        </is>
      </c>
      <c r="D373" t="inlineStr">
        <is>
          <t>TÔN_CUỘN_MẠ_KẼM</t>
        </is>
      </c>
      <c r="E373" t="inlineStr">
        <is>
          <t>MAT-STEEL-PN-1.15</t>
        </is>
      </c>
      <c r="F373" t="inlineStr">
        <is>
          <t>kg</t>
        </is>
      </c>
      <c r="G373" s="394" t="n">
        <v>6.499799999999999</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Tôn bọc cánh &amp; thân (2 cánh/modul (2 modul 600x300mm))</t>
        </is>
      </c>
    </row>
    <row r="374">
      <c r="A374" t="inlineStr">
        <is>
          <t>SW-DAMPER-070-AXLE</t>
        </is>
      </c>
      <c r="B374" t="inlineStr">
        <is>
          <t>SW-DAMPER-070</t>
        </is>
      </c>
      <c r="C374" t="inlineStr">
        <is>
          <t>Trục Sus 201 D10</t>
        </is>
      </c>
      <c r="D374" t="inlineStr">
        <is>
          <t>PHỤ_KIỆN_VAN</t>
        </is>
      </c>
      <c r="E374" t="inlineStr">
        <is>
          <t>MAT-DAMPER-TRUC-SUS-201-D10</t>
        </is>
      </c>
      <c r="F374" t="inlineStr">
        <is>
          <t>m</t>
        </is>
      </c>
      <c r="G374" s="394" t="n">
        <v>2.64</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4 trục dài 660mm</t>
        </is>
      </c>
    </row>
    <row r="375">
      <c r="A375" t="inlineStr">
        <is>
          <t>SW-DAMPER-070-BEARING</t>
        </is>
      </c>
      <c r="B375" t="inlineStr">
        <is>
          <t>SW-DAMPER-070</t>
        </is>
      </c>
      <c r="C375" t="inlineStr">
        <is>
          <t>Bạc đồng D10</t>
        </is>
      </c>
      <c r="D375" t="inlineStr">
        <is>
          <t>PHỤ_KIỆN_VAN</t>
        </is>
      </c>
      <c r="E375" t="inlineStr">
        <is>
          <t>MAT-DAMPER-BAC-DONG-D10</t>
        </is>
      </c>
      <c r="F375" t="inlineStr">
        <is>
          <t>Đôi</t>
        </is>
      </c>
      <c r="G375" s="394" t="n">
        <v>4</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4 đôi bạc đỡ 2 bên thân</t>
        </is>
      </c>
    </row>
    <row r="376">
      <c r="A376" t="inlineStr">
        <is>
          <t>SW-DAMPER-070-GEAR</t>
        </is>
      </c>
      <c r="B376" t="inlineStr">
        <is>
          <t>SW-DAMPER-070</t>
        </is>
      </c>
      <c r="C376" t="inlineStr">
        <is>
          <t>Bánh răng van nhôm</t>
        </is>
      </c>
      <c r="D376" t="inlineStr">
        <is>
          <t>PHỤ_KIỆN_VAN</t>
        </is>
      </c>
      <c r="E376" t="inlineStr">
        <is>
          <t>MAT-DAMPER-BANH-RANG-VAN-NHOM</t>
        </is>
      </c>
      <c r="F376" t="inlineStr">
        <is>
          <t>Bộ</t>
        </is>
      </c>
      <c r="G376" s="394" t="n">
        <v>2</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liên động cánh (2 bộ)</t>
        </is>
      </c>
    </row>
    <row r="377">
      <c r="A377" t="inlineStr">
        <is>
          <t>SW-DAMPER-070-ACTUATOR</t>
        </is>
      </c>
      <c r="B377" t="inlineStr">
        <is>
          <t>SW-DAMPER-070</t>
        </is>
      </c>
      <c r="C377" t="inlineStr">
        <is>
          <t>Động cơ chặn lửa ON/OFF 9Nm, 230V/24V (BELIMO BFN24 / BFN230)</t>
        </is>
      </c>
      <c r="D377" t="inlineStr">
        <is>
          <t>ĐỘNG_CƠ_VÀ_CẢM_BIẾN</t>
        </is>
      </c>
      <c r="E377" t="inlineStr">
        <is>
          <t>MAT-ACTUATOR-BELIMO-BFN24</t>
        </is>
      </c>
      <c r="F377" t="inlineStr">
        <is>
          <t>Cái</t>
        </is>
      </c>
      <c r="G377" s="394" t="n">
        <v>2</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Động cơ lò xo phản hồi MFD (2 bộ (2 modul 600x300mm))</t>
        </is>
      </c>
    </row>
    <row r="378">
      <c r="A378" t="inlineStr">
        <is>
          <t>SW-DAMPER-070-FB10-BODY</t>
        </is>
      </c>
      <c r="B378" t="inlineStr">
        <is>
          <t>SW-DAMPER-070</t>
        </is>
      </c>
      <c r="C378" t="inlineStr">
        <is>
          <t>Tấm chống cháy dày 10mm bọc thân van FD/MFD (2 lớp)</t>
        </is>
      </c>
      <c r="D378" t="inlineStr">
        <is>
          <t>VẬT_LIỆU_CÁCH_NHIỆT</t>
        </is>
      </c>
      <c r="E378" t="inlineStr">
        <is>
          <t>MAT-FIREBOARD-10MM-BODY</t>
        </is>
      </c>
      <c r="F378" t="inlineStr">
        <is>
          <t>m2</t>
        </is>
      </c>
      <c r="G378" s="394" t="n">
        <v>2.16</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Bọc 2 lớp tấm 10mm quanh thân L=300mm (2 modul 600x300mm)</t>
        </is>
      </c>
    </row>
    <row r="379">
      <c r="A379" t="inlineStr">
        <is>
          <t>SW-DAMPER-070-FB20-BLADE</t>
        </is>
      </c>
      <c r="B379" t="inlineStr">
        <is>
          <t>SW-DAMPER-070</t>
        </is>
      </c>
      <c r="C379" t="inlineStr">
        <is>
          <t>Tấm chống cháy dày 20mm làm lõi cánh van FD/MFD</t>
        </is>
      </c>
      <c r="D379" t="inlineStr">
        <is>
          <t>VẬT_LIỆU_CÁCH_NHIỆT</t>
        </is>
      </c>
      <c r="E379" t="inlineStr">
        <is>
          <t>MAT-FIREBOARD-20MM-BLADE</t>
        </is>
      </c>
      <c r="F379" t="inlineStr">
        <is>
          <t>m2</t>
        </is>
      </c>
      <c r="G379" s="394" t="n">
        <v>0.5305248322147651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Lõi cánh tấm 20mm (Đa cánh hệ số (H-5)/149=1.98, bản rộng 210mm, hao hụt 10% (2 modul 600x300mm))</t>
        </is>
      </c>
    </row>
    <row r="380">
      <c r="A380" t="inlineStr">
        <is>
          <t>SW-DAMPER-070-FB10-BLADE</t>
        </is>
      </c>
      <c r="B380" t="inlineStr">
        <is>
          <t>SW-DAMPER-070</t>
        </is>
      </c>
      <c r="C380" t="inlineStr">
        <is>
          <t>Tấm chống cháy dày 10mm ốp 2 mặt cánh van FD/MFD</t>
        </is>
      </c>
      <c r="D380" t="inlineStr">
        <is>
          <t>VẬT_LIỆU_CÁCH_NHIỆT</t>
        </is>
      </c>
      <c r="E380" t="inlineStr">
        <is>
          <t>MAT-FIREBOARD-10MM-BLADE</t>
        </is>
      </c>
      <c r="F380" t="inlineStr">
        <is>
          <t>m2</t>
        </is>
      </c>
      <c r="G380" s="394" t="n">
        <v>1.097637583892618</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Ốp 2 mặt cánh tấm 10mm (Đa cánh hệ số (H-5)/149=1.98, bản rộng 210mm, hao hụt 10% (2 modul 600x300mm))</t>
        </is>
      </c>
    </row>
    <row r="381">
      <c r="A381" t="inlineStr">
        <is>
          <t>SW-DAMPER-070-SPRING-BOX</t>
        </is>
      </c>
      <c r="B381" t="inlineStr">
        <is>
          <t>SW-DAMPER-070</t>
        </is>
      </c>
      <c r="C381" t="inlineStr">
        <is>
          <t>Hộp lò xo van chặn lửa FD/MFD</t>
        </is>
      </c>
      <c r="D381" t="inlineStr">
        <is>
          <t>PHỤ_KIỆN_VAN</t>
        </is>
      </c>
      <c r="E381" t="inlineStr">
        <is>
          <t>MAT-DAMPER-HOP-LO-XO</t>
        </is>
      </c>
      <c r="F381" t="inlineStr">
        <is>
          <t>Bộ</t>
        </is>
      </c>
      <c r="G381" s="394" t="n">
        <v>2</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Hộp lò xo cơ cấu đóng sập (2 bộ)</t>
        </is>
      </c>
    </row>
    <row r="382">
      <c r="A382" t="inlineStr">
        <is>
          <t>SW-DAMPER-070-SILICON-BOLT</t>
        </is>
      </c>
      <c r="B382" t="inlineStr">
        <is>
          <t>SW-DAMPER-070</t>
        </is>
      </c>
      <c r="C382" t="inlineStr">
        <is>
          <t>Silicon chống cháy + bu lông, ốc vít van FD/MFD</t>
        </is>
      </c>
      <c r="D382" t="inlineStr">
        <is>
          <t>PHỤ_KIỆN_VAN</t>
        </is>
      </c>
      <c r="E382" t="inlineStr">
        <is>
          <t>MAT-DAMPER-SILICON-BULONG-VIT</t>
        </is>
      </c>
      <c r="F382" t="inlineStr">
        <is>
          <t>Bộ</t>
        </is>
      </c>
      <c r="G382" s="394" t="n">
        <v>2</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Keo silicon chống cháy &amp; phụ kiện lắp ghép (2 bộ)</t>
        </is>
      </c>
    </row>
    <row r="383">
      <c r="A383" t="inlineStr">
        <is>
          <t>SW-DAMPER-071-BODY</t>
        </is>
      </c>
      <c r="B383" t="inlineStr">
        <is>
          <t>SW-DAMPER-071</t>
        </is>
      </c>
      <c r="C383" t="inlineStr">
        <is>
          <t>Thân vỏ van MFD bích C30/TDF (1.15mm)</t>
        </is>
      </c>
      <c r="D383" t="inlineStr">
        <is>
          <t>TÔN_CUỘN_MẠ_KẼM</t>
        </is>
      </c>
      <c r="E383" t="inlineStr">
        <is>
          <t>MAT-STEEL-PN-1.15</t>
        </is>
      </c>
      <c r="F383" t="inlineStr">
        <is>
          <t>kg</t>
        </is>
      </c>
      <c r="G383" s="394" t="n">
        <v>9.418210200000001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Kích thước vỏ 1200x300x200mm (2 modul 600x300mm)</t>
        </is>
      </c>
    </row>
    <row r="384">
      <c r="A384" t="inlineStr">
        <is>
          <t>SW-DAMPER-071-BLADE</t>
        </is>
      </c>
      <c r="B384" t="inlineStr">
        <is>
          <t>SW-DAMPER-071</t>
        </is>
      </c>
      <c r="C384" t="inlineStr">
        <is>
          <t>Lá cánh / Tôn tấm bọc van (4 cánh)</t>
        </is>
      </c>
      <c r="D384" t="inlineStr">
        <is>
          <t>TÔN_CUỘN_MẠ_KẼM</t>
        </is>
      </c>
      <c r="E384" t="inlineStr">
        <is>
          <t>MAT-STEEL-PN-1.15</t>
        </is>
      </c>
      <c r="F384" t="inlineStr">
        <is>
          <t>kg</t>
        </is>
      </c>
      <c r="G384" s="394" t="n">
        <v>6.499799999999999</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Tôn bọc cánh &amp; thân (2 cánh/modul (2 modul 600x300mm))</t>
        </is>
      </c>
    </row>
    <row r="385">
      <c r="A385" t="inlineStr">
        <is>
          <t>SW-DAMPER-071-AXLE</t>
        </is>
      </c>
      <c r="B385" t="inlineStr">
        <is>
          <t>SW-DAMPER-071</t>
        </is>
      </c>
      <c r="C385" t="inlineStr">
        <is>
          <t>Trục Sus 201 D10</t>
        </is>
      </c>
      <c r="D385" t="inlineStr">
        <is>
          <t>PHỤ_KIỆN_VAN</t>
        </is>
      </c>
      <c r="E385" t="inlineStr">
        <is>
          <t>MAT-DAMPER-TRUC-SUS-201-D10</t>
        </is>
      </c>
      <c r="F385" t="inlineStr">
        <is>
          <t>m</t>
        </is>
      </c>
      <c r="G385" s="394" t="n">
        <v>2.64</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4 trục dài 660mm</t>
        </is>
      </c>
    </row>
    <row r="386">
      <c r="A386" t="inlineStr">
        <is>
          <t>SW-DAMPER-071-BEARING</t>
        </is>
      </c>
      <c r="B386" t="inlineStr">
        <is>
          <t>SW-DAMPER-071</t>
        </is>
      </c>
      <c r="C386" t="inlineStr">
        <is>
          <t>Bạc đồng D10</t>
        </is>
      </c>
      <c r="D386" t="inlineStr">
        <is>
          <t>PHỤ_KIỆN_VAN</t>
        </is>
      </c>
      <c r="E386" t="inlineStr">
        <is>
          <t>MAT-DAMPER-BAC-DONG-D10</t>
        </is>
      </c>
      <c r="F386" t="inlineStr">
        <is>
          <t>Đôi</t>
        </is>
      </c>
      <c r="G386" s="394" t="n">
        <v>4</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4 đôi bạc đỡ 2 bên thân</t>
        </is>
      </c>
    </row>
    <row r="387">
      <c r="A387" t="inlineStr">
        <is>
          <t>SW-DAMPER-071-GEAR</t>
        </is>
      </c>
      <c r="B387" t="inlineStr">
        <is>
          <t>SW-DAMPER-071</t>
        </is>
      </c>
      <c r="C387" t="inlineStr">
        <is>
          <t>Bánh răng van nhôm</t>
        </is>
      </c>
      <c r="D387" t="inlineStr">
        <is>
          <t>PHỤ_KIỆN_VAN</t>
        </is>
      </c>
      <c r="E387" t="inlineStr">
        <is>
          <t>MAT-DAMPER-BANH-RANG-VAN-NHOM</t>
        </is>
      </c>
      <c r="F387" t="inlineStr">
        <is>
          <t>Bộ</t>
        </is>
      </c>
      <c r="G387" s="394" t="n">
        <v>2</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Cơ cấu liên động cánh (2 bộ)</t>
        </is>
      </c>
    </row>
    <row r="388">
      <c r="A388" t="inlineStr">
        <is>
          <t>SW-DAMPER-071-ACTUATOR</t>
        </is>
      </c>
      <c r="B388" t="inlineStr">
        <is>
          <t>SW-DAMPER-071</t>
        </is>
      </c>
      <c r="C388" t="inlineStr">
        <is>
          <t>Động cơ chặn lửa ON/OFF 9Nm, 230V/24V (BELIMO BFN24 / BFN230)</t>
        </is>
      </c>
      <c r="D388" t="inlineStr">
        <is>
          <t>ĐỘNG_CƠ_VÀ_CẢM_BIẾN</t>
        </is>
      </c>
      <c r="E388" t="inlineStr">
        <is>
          <t>MAT-ACTUATOR-BELIMO-BFN24</t>
        </is>
      </c>
      <c r="F388" t="inlineStr">
        <is>
          <t>Cái</t>
        </is>
      </c>
      <c r="G388" s="394" t="n">
        <v>2</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Động cơ lò xo phản hồi MFD (2 bộ (2 modul 600x300mm))</t>
        </is>
      </c>
    </row>
    <row r="389">
      <c r="A389" t="inlineStr">
        <is>
          <t>SW-DAMPER-071-FB10-BODY</t>
        </is>
      </c>
      <c r="B389" t="inlineStr">
        <is>
          <t>SW-DAMPER-071</t>
        </is>
      </c>
      <c r="C389" t="inlineStr">
        <is>
          <t>Tấm chống cháy dày 10mm bọc thân van FD/MFD (2 lớp)</t>
        </is>
      </c>
      <c r="D389" t="inlineStr">
        <is>
          <t>VẬT_LIỆU_CÁCH_NHIỆT</t>
        </is>
      </c>
      <c r="E389" t="inlineStr">
        <is>
          <t>MAT-FIREBOARD-10MM-BODY</t>
        </is>
      </c>
      <c r="F389" t="inlineStr">
        <is>
          <t>m2</t>
        </is>
      </c>
      <c r="G389" s="394" t="n">
        <v>2.16</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Bọc 2 lớp tấm 10mm quanh thân L=300mm (2 modul 600x300mm)</t>
        </is>
      </c>
    </row>
    <row r="390">
      <c r="A390" t="inlineStr">
        <is>
          <t>SW-DAMPER-071-FB20-BLADE</t>
        </is>
      </c>
      <c r="B390" t="inlineStr">
        <is>
          <t>SW-DAMPER-071</t>
        </is>
      </c>
      <c r="C390" t="inlineStr">
        <is>
          <t>Tấm chống cháy dày 20mm làm lõi cánh van FD/MFD</t>
        </is>
      </c>
      <c r="D390" t="inlineStr">
        <is>
          <t>VẬT_LIỆU_CÁCH_NHIỆT</t>
        </is>
      </c>
      <c r="E390" t="inlineStr">
        <is>
          <t>MAT-FIREBOARD-20MM-BLADE</t>
        </is>
      </c>
      <c r="F390" t="inlineStr">
        <is>
          <t>m2</t>
        </is>
      </c>
      <c r="G390" s="394" t="n">
        <v>0.5305248322147651</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Lõi cánh tấm 20mm (Đa cánh hệ số (H-5)/149=1.98, bản rộng 210mm, hao hụt 10% (2 modul 600x300mm))</t>
        </is>
      </c>
    </row>
    <row r="391">
      <c r="A391" t="inlineStr">
        <is>
          <t>SW-DAMPER-071-FB10-BLADE</t>
        </is>
      </c>
      <c r="B391" t="inlineStr">
        <is>
          <t>SW-DAMPER-071</t>
        </is>
      </c>
      <c r="C391" t="inlineStr">
        <is>
          <t>Tấm chống cháy dày 10mm ốp 2 mặt cánh van FD/MFD</t>
        </is>
      </c>
      <c r="D391" t="inlineStr">
        <is>
          <t>VẬT_LIỆU_CÁCH_NHIỆT</t>
        </is>
      </c>
      <c r="E391" t="inlineStr">
        <is>
          <t>MAT-FIREBOARD-10MM-BLADE</t>
        </is>
      </c>
      <c r="F391" t="inlineStr">
        <is>
          <t>m2</t>
        </is>
      </c>
      <c r="G391" s="394" t="n">
        <v>1.097637583892618</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Ốp 2 mặt cánh tấm 10mm (Đa cánh hệ số (H-5)/149=1.98, bản rộng 210mm, hao hụt 10% (2 modul 600x300mm))</t>
        </is>
      </c>
    </row>
    <row r="392">
      <c r="A392" t="inlineStr">
        <is>
          <t>SW-DAMPER-071-SPRING-BOX</t>
        </is>
      </c>
      <c r="B392" t="inlineStr">
        <is>
          <t>SW-DAMPER-071</t>
        </is>
      </c>
      <c r="C392" t="inlineStr">
        <is>
          <t>Hộp lò xo van chặn lửa FD/MFD</t>
        </is>
      </c>
      <c r="D392" t="inlineStr">
        <is>
          <t>PHỤ_KIỆN_VAN</t>
        </is>
      </c>
      <c r="E392" t="inlineStr">
        <is>
          <t>MAT-DAMPER-HOP-LO-XO</t>
        </is>
      </c>
      <c r="F392" t="inlineStr">
        <is>
          <t>Bộ</t>
        </is>
      </c>
      <c r="G392" s="394" t="n">
        <v>2</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Hộp lò xo cơ cấu đóng sập (2 bộ)</t>
        </is>
      </c>
    </row>
    <row r="393">
      <c r="A393" t="inlineStr">
        <is>
          <t>SW-DAMPER-071-SILICON-BOLT</t>
        </is>
      </c>
      <c r="B393" t="inlineStr">
        <is>
          <t>SW-DAMPER-071</t>
        </is>
      </c>
      <c r="C393" t="inlineStr">
        <is>
          <t>Silicon chống cháy + bu lông, ốc vít van FD/MFD</t>
        </is>
      </c>
      <c r="D393" t="inlineStr">
        <is>
          <t>PHỤ_KIỆN_VAN</t>
        </is>
      </c>
      <c r="E393" t="inlineStr">
        <is>
          <t>MAT-DAMPER-SILICON-BULONG-VIT</t>
        </is>
      </c>
      <c r="F393" t="inlineStr">
        <is>
          <t>Bộ</t>
        </is>
      </c>
      <c r="G393" s="394" t="n">
        <v>2</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Keo silicon chống cháy &amp; phụ kiện lắp ghép (2 bộ)</t>
        </is>
      </c>
    </row>
    <row r="394">
      <c r="A394" t="inlineStr">
        <is>
          <t>SW-DAMPER-072-BODY</t>
        </is>
      </c>
      <c r="B394" t="inlineStr">
        <is>
          <t>SW-DAMPER-072</t>
        </is>
      </c>
      <c r="C394" t="inlineStr">
        <is>
          <t>Thân vỏ van MFD bích C30/TDF (1.15mm)</t>
        </is>
      </c>
      <c r="D394" t="inlineStr">
        <is>
          <t>TÔN_CUỘN_MẠ_KẼM</t>
        </is>
      </c>
      <c r="E394" t="inlineStr">
        <is>
          <t>MAT-STEEL-PN-1.15</t>
        </is>
      </c>
      <c r="F394" t="inlineStr">
        <is>
          <t>kg</t>
        </is>
      </c>
      <c r="G394" s="394" t="n">
        <v>6.500612475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Kích thước vỏ 900x350x200mm</t>
        </is>
      </c>
    </row>
    <row r="395">
      <c r="A395" t="inlineStr">
        <is>
          <t>SW-DAMPER-072-BLADE</t>
        </is>
      </c>
      <c r="B395" t="inlineStr">
        <is>
          <t>SW-DAMPER-072</t>
        </is>
      </c>
      <c r="C395" t="inlineStr">
        <is>
          <t>Lá cánh / Tôn tấm bọc van (2 cánh)</t>
        </is>
      </c>
      <c r="D395" t="inlineStr">
        <is>
          <t>TÔN_CUỘN_MẠ_KẼM</t>
        </is>
      </c>
      <c r="E395" t="inlineStr">
        <is>
          <t>MAT-STEEL-PN-1.15</t>
        </is>
      </c>
      <c r="F395" t="inlineStr">
        <is>
          <t>kg</t>
        </is>
      </c>
      <c r="G395" s="394" t="n">
        <v>5.687324999999999</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Tôn bọc cánh &amp; thân (2 cánh/modul)</t>
        </is>
      </c>
    </row>
    <row r="396">
      <c r="A396" t="inlineStr">
        <is>
          <t>SW-DAMPER-072-AXLE</t>
        </is>
      </c>
      <c r="B396" t="inlineStr">
        <is>
          <t>SW-DAMPER-072</t>
        </is>
      </c>
      <c r="C396" t="inlineStr">
        <is>
          <t>Trục Sus 201 D10</t>
        </is>
      </c>
      <c r="D396" t="inlineStr">
        <is>
          <t>PHỤ_KIỆN_VAN</t>
        </is>
      </c>
      <c r="E396" t="inlineStr">
        <is>
          <t>MAT-DAMPER-TRUC-SUS-201-D10</t>
        </is>
      </c>
      <c r="F396" t="inlineStr">
        <is>
          <t>m</t>
        </is>
      </c>
      <c r="G396" s="394" t="n">
        <v>1.92</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2 trục dài 960mm</t>
        </is>
      </c>
    </row>
    <row r="397">
      <c r="A397" t="inlineStr">
        <is>
          <t>SW-DAMPER-072-BEARING</t>
        </is>
      </c>
      <c r="B397" t="inlineStr">
        <is>
          <t>SW-DAMPER-072</t>
        </is>
      </c>
      <c r="C397" t="inlineStr">
        <is>
          <t>Bạc đồng D10</t>
        </is>
      </c>
      <c r="D397" t="inlineStr">
        <is>
          <t>PHỤ_KIỆN_VAN</t>
        </is>
      </c>
      <c r="E397" t="inlineStr">
        <is>
          <t>MAT-DAMPER-BAC-DONG-D10</t>
        </is>
      </c>
      <c r="F397" t="inlineStr">
        <is>
          <t>Đôi</t>
        </is>
      </c>
      <c r="G397" s="394" t="n">
        <v>2</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2 đôi bạc đỡ 2 bên thân</t>
        </is>
      </c>
    </row>
    <row r="398">
      <c r="A398" t="inlineStr">
        <is>
          <t>SW-DAMPER-072-GEAR</t>
        </is>
      </c>
      <c r="B398" t="inlineStr">
        <is>
          <t>SW-DAMPER-072</t>
        </is>
      </c>
      <c r="C398" t="inlineStr">
        <is>
          <t>Bánh răng van nhôm</t>
        </is>
      </c>
      <c r="D398" t="inlineStr">
        <is>
          <t>PHỤ_KIỆN_VAN</t>
        </is>
      </c>
      <c r="E398" t="inlineStr">
        <is>
          <t>MAT-DAMPER-BANH-RANG-VAN-NHOM</t>
        </is>
      </c>
      <c r="F398" t="inlineStr">
        <is>
          <t>Bộ</t>
        </is>
      </c>
      <c r="G398" s="394" t="n">
        <v>1</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Cơ cấu liên động cánh (1 bộ)</t>
        </is>
      </c>
    </row>
    <row r="399">
      <c r="A399" t="inlineStr">
        <is>
          <t>SW-DAMPER-072-ACTUATOR</t>
        </is>
      </c>
      <c r="B399" t="inlineStr">
        <is>
          <t>SW-DAMPER-072</t>
        </is>
      </c>
      <c r="C399" t="inlineStr">
        <is>
          <t>Động cơ chặn lửa ON/OFF 9Nm, 230V/24V (BELIMO BFN24 / BFN230)</t>
        </is>
      </c>
      <c r="D399" t="inlineStr">
        <is>
          <t>ĐỘNG_CƠ_VÀ_CẢM_BIẾN</t>
        </is>
      </c>
      <c r="E399" t="inlineStr">
        <is>
          <t>MAT-ACTUATOR-BELIMO-BFN24</t>
        </is>
      </c>
      <c r="F399" t="inlineStr">
        <is>
          <t>Cái</t>
        </is>
      </c>
      <c r="G399" s="394" t="n">
        <v>1</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Động cơ lò xo phản hồi MFD (1 bộ)</t>
        </is>
      </c>
    </row>
    <row r="400">
      <c r="A400" t="inlineStr">
        <is>
          <t>SW-DAMPER-072-FB10-BODY</t>
        </is>
      </c>
      <c r="B400" t="inlineStr">
        <is>
          <t>SW-DAMPER-072</t>
        </is>
      </c>
      <c r="C400" t="inlineStr">
        <is>
          <t>Tấm chống cháy dày 10mm bọc thân van FD/MFD (2 lớp)</t>
        </is>
      </c>
      <c r="D400" t="inlineStr">
        <is>
          <t>VẬT_LIỆU_CÁCH_NHIỆT</t>
        </is>
      </c>
      <c r="E400" t="inlineStr">
        <is>
          <t>MAT-FIREBOARD-10MM-BODY</t>
        </is>
      </c>
      <c r="F400" t="inlineStr">
        <is>
          <t>m2</t>
        </is>
      </c>
      <c r="G400" s="394" t="n">
        <v>1.5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Bọc 2 lớp tấm 10mm quanh thân L=300mm</t>
        </is>
      </c>
    </row>
    <row r="401">
      <c r="A401" t="inlineStr">
        <is>
          <t>SW-DAMPER-072-FB20-BLADE</t>
        </is>
      </c>
      <c r="B401" t="inlineStr">
        <is>
          <t>SW-DAMPER-072</t>
        </is>
      </c>
      <c r="C401" t="inlineStr">
        <is>
          <t>Tấm chống cháy dày 20mm làm lõi cánh van FD/MFD</t>
        </is>
      </c>
      <c r="D401" t="inlineStr">
        <is>
          <t>VẬT_LIỆU_CÁCH_NHIỆT</t>
        </is>
      </c>
      <c r="E401" t="inlineStr">
        <is>
          <t>MAT-FIREBOARD-20MM-BLADE</t>
        </is>
      </c>
      <c r="F401" t="inlineStr">
        <is>
          <t>m2</t>
        </is>
      </c>
      <c r="G401" s="394" t="n">
        <v>0.4706818791946309</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Lõi cánh tấm 20mm (Đa cánh hệ số (H-5)/149=2.32, bản rộng 210mm, hao hụt 10%)</t>
        </is>
      </c>
    </row>
    <row r="402">
      <c r="A402" t="inlineStr">
        <is>
          <t>SW-DAMPER-072-FB10-BLADE</t>
        </is>
      </c>
      <c r="B402" t="inlineStr">
        <is>
          <t>SW-DAMPER-072</t>
        </is>
      </c>
      <c r="C402" t="inlineStr">
        <is>
          <t>Tấm chống cháy dày 10mm ốp 2 mặt cánh van FD/MFD</t>
        </is>
      </c>
      <c r="D402" t="inlineStr">
        <is>
          <t>VẬT_LIỆU_CÁCH_NHIỆT</t>
        </is>
      </c>
      <c r="E402" t="inlineStr">
        <is>
          <t>MAT-FIREBOARD-10MM-BLADE</t>
        </is>
      </c>
      <c r="F402" t="inlineStr">
        <is>
          <t>m2</t>
        </is>
      </c>
      <c r="G402" s="394" t="n">
        <v>0.962758389261745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Ốp 2 mặt cánh tấm 10mm (Đa cánh hệ số (H-5)/149=2.32, bản rộng 210mm, hao hụt 10%)</t>
        </is>
      </c>
    </row>
    <row r="403">
      <c r="A403" t="inlineStr">
        <is>
          <t>SW-DAMPER-072-SPRING-BOX</t>
        </is>
      </c>
      <c r="B403" t="inlineStr">
        <is>
          <t>SW-DAMPER-072</t>
        </is>
      </c>
      <c r="C403" t="inlineStr">
        <is>
          <t>Hộp lò xo van chặn lửa FD/MFD</t>
        </is>
      </c>
      <c r="D403" t="inlineStr">
        <is>
          <t>PHỤ_KIỆN_VAN</t>
        </is>
      </c>
      <c r="E403" t="inlineStr">
        <is>
          <t>MAT-DAMPER-HOP-LO-XO</t>
        </is>
      </c>
      <c r="F403" t="inlineStr">
        <is>
          <t>Bộ</t>
        </is>
      </c>
      <c r="G403" s="394" t="n">
        <v>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Hộp lò xo cơ cấu đóng sập (1 bộ)</t>
        </is>
      </c>
    </row>
    <row r="404">
      <c r="A404" t="inlineStr">
        <is>
          <t>SW-DAMPER-072-SILICON-BOLT</t>
        </is>
      </c>
      <c r="B404" t="inlineStr">
        <is>
          <t>SW-DAMPER-072</t>
        </is>
      </c>
      <c r="C404" t="inlineStr">
        <is>
          <t>Silicon chống cháy + bu lông, ốc vít van FD/MFD</t>
        </is>
      </c>
      <c r="D404" t="inlineStr">
        <is>
          <t>PHỤ_KIỆN_VAN</t>
        </is>
      </c>
      <c r="E404" t="inlineStr">
        <is>
          <t>MAT-DAMPER-SILICON-BULONG-VIT</t>
        </is>
      </c>
      <c r="F404" t="inlineStr">
        <is>
          <t>Bộ</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Keo silicon chống cháy &amp; phụ kiện lắp ghép (1 bộ)</t>
        </is>
      </c>
    </row>
    <row r="405">
      <c r="A405" t="inlineStr">
        <is>
          <t>SW-DAMPER-073-BODY</t>
        </is>
      </c>
      <c r="B405" t="inlineStr">
        <is>
          <t>SW-DAMPER-073</t>
        </is>
      </c>
      <c r="C405" t="inlineStr">
        <is>
          <t>Thân vỏ van MFD bích C30/TDF (1.15mm)</t>
        </is>
      </c>
      <c r="D405" t="inlineStr">
        <is>
          <t>TÔN_CUỘN_MẠ_KẼM</t>
        </is>
      </c>
      <c r="E405" t="inlineStr">
        <is>
          <t>MAT-STEEL-PN-1.15</t>
        </is>
      </c>
      <c r="F405" t="inlineStr">
        <is>
          <t>kg</t>
        </is>
      </c>
      <c r="G405" s="394" t="n">
        <v>9.674139824999999</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Kích thước vỏ 1150x350x200mm (2 modul 575x350mm)</t>
        </is>
      </c>
    </row>
    <row r="406">
      <c r="A406" t="inlineStr">
        <is>
          <t>SW-DAMPER-073-BLADE</t>
        </is>
      </c>
      <c r="B406" t="inlineStr">
        <is>
          <t>SW-DAMPER-073</t>
        </is>
      </c>
      <c r="C406" t="inlineStr">
        <is>
          <t>Lá cánh / Tôn tấm bọc van (4 cánh)</t>
        </is>
      </c>
      <c r="D406" t="inlineStr">
        <is>
          <t>TÔN_CUỘN_MẠ_KẼM</t>
        </is>
      </c>
      <c r="E406" t="inlineStr">
        <is>
          <t>MAT-STEEL-PN-1.15</t>
        </is>
      </c>
      <c r="F406" t="inlineStr">
        <is>
          <t>kg</t>
        </is>
      </c>
      <c r="G406" s="394" t="n">
        <v>7.267137499999998</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Tôn bọc cánh &amp; thân (2 cánh/modul (2 modul 575x350mm))</t>
        </is>
      </c>
    </row>
    <row r="407">
      <c r="A407" t="inlineStr">
        <is>
          <t>SW-DAMPER-073-AXLE</t>
        </is>
      </c>
      <c r="B407" t="inlineStr">
        <is>
          <t>SW-DAMPER-073</t>
        </is>
      </c>
      <c r="C407" t="inlineStr">
        <is>
          <t>Trục Sus 201 D10</t>
        </is>
      </c>
      <c r="D407" t="inlineStr">
        <is>
          <t>PHỤ_KIỆN_VAN</t>
        </is>
      </c>
      <c r="E407" t="inlineStr">
        <is>
          <t>MAT-DAMPER-TRUC-SUS-201-D10</t>
        </is>
      </c>
      <c r="F407" t="inlineStr">
        <is>
          <t>m</t>
        </is>
      </c>
      <c r="G407" s="394" t="n">
        <v>2.54</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4 trục dài 635mm</t>
        </is>
      </c>
    </row>
    <row r="408">
      <c r="A408" t="inlineStr">
        <is>
          <t>SW-DAMPER-073-BEARING</t>
        </is>
      </c>
      <c r="B408" t="inlineStr">
        <is>
          <t>SW-DAMPER-073</t>
        </is>
      </c>
      <c r="C408" t="inlineStr">
        <is>
          <t>Bạc đồng D10</t>
        </is>
      </c>
      <c r="D408" t="inlineStr">
        <is>
          <t>PHỤ_KIỆN_VAN</t>
        </is>
      </c>
      <c r="E408" t="inlineStr">
        <is>
          <t>MAT-DAMPER-BAC-DONG-D10</t>
        </is>
      </c>
      <c r="F408" t="inlineStr">
        <is>
          <t>Đôi</t>
        </is>
      </c>
      <c r="G408" s="394" t="n">
        <v>4</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4 đôi bạc đỡ 2 bên thân</t>
        </is>
      </c>
    </row>
    <row r="409">
      <c r="A409" t="inlineStr">
        <is>
          <t>SW-DAMPER-073-GEAR</t>
        </is>
      </c>
      <c r="B409" t="inlineStr">
        <is>
          <t>SW-DAMPER-073</t>
        </is>
      </c>
      <c r="C409" t="inlineStr">
        <is>
          <t>Bánh răng van nhôm</t>
        </is>
      </c>
      <c r="D409" t="inlineStr">
        <is>
          <t>PHỤ_KIỆN_VAN</t>
        </is>
      </c>
      <c r="E409" t="inlineStr">
        <is>
          <t>MAT-DAMPER-BANH-RANG-VAN-NHOM</t>
        </is>
      </c>
      <c r="F409" t="inlineStr">
        <is>
          <t>Bộ</t>
        </is>
      </c>
      <c r="G409" s="394" t="n">
        <v>2</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Cơ cấu liên động cánh (2 bộ)</t>
        </is>
      </c>
    </row>
    <row r="410">
      <c r="A410" t="inlineStr">
        <is>
          <t>SW-DAMPER-073-ACTUATOR</t>
        </is>
      </c>
      <c r="B410" t="inlineStr">
        <is>
          <t>SW-DAMPER-073</t>
        </is>
      </c>
      <c r="C410" t="inlineStr">
        <is>
          <t>Động cơ chặn lửa ON/OFF 9Nm, 230V/24V (BELIMO BFN24 / BFN230)</t>
        </is>
      </c>
      <c r="D410" t="inlineStr">
        <is>
          <t>ĐỘNG_CƠ_VÀ_CẢM_BIẾN</t>
        </is>
      </c>
      <c r="E410" t="inlineStr">
        <is>
          <t>MAT-ACTUATOR-BELIMO-BFN24</t>
        </is>
      </c>
      <c r="F410" t="inlineStr">
        <is>
          <t>Cái</t>
        </is>
      </c>
      <c r="G410" s="394" t="n">
        <v>2</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Động cơ lò xo phản hồi MFD (2 bộ (2 modul 575x350mm))</t>
        </is>
      </c>
    </row>
    <row r="411">
      <c r="A411" t="inlineStr">
        <is>
          <t>SW-DAMPER-073-FB10-BODY</t>
        </is>
      </c>
      <c r="B411" t="inlineStr">
        <is>
          <t>SW-DAMPER-073</t>
        </is>
      </c>
      <c r="C411" t="inlineStr">
        <is>
          <t>Tấm chống cháy dày 10mm bọc thân van FD/MFD (2 lớp)</t>
        </is>
      </c>
      <c r="D411" t="inlineStr">
        <is>
          <t>VẬT_LIỆU_CÁCH_NHIỆT</t>
        </is>
      </c>
      <c r="E411" t="inlineStr">
        <is>
          <t>MAT-FIREBOARD-10MM-BODY</t>
        </is>
      </c>
      <c r="F411" t="inlineStr">
        <is>
          <t>m2</t>
        </is>
      </c>
      <c r="G411" s="394" t="n">
        <v>2.22</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Bọc 2 lớp tấm 10mm quanh thân L=300mm (2 modul 575x350mm)</t>
        </is>
      </c>
    </row>
    <row r="412">
      <c r="A412" t="inlineStr">
        <is>
          <t>SW-DAMPER-073-FB20-BLADE</t>
        </is>
      </c>
      <c r="B412" t="inlineStr">
        <is>
          <t>SW-DAMPER-073</t>
        </is>
      </c>
      <c r="C412" t="inlineStr">
        <is>
          <t>Tấm chống cháy dày 20mm làm lõi cánh van FD/MFD</t>
        </is>
      </c>
      <c r="D412" t="inlineStr">
        <is>
          <t>VẬT_LIỆU_CÁCH_NHIỆT</t>
        </is>
      </c>
      <c r="E412" t="inlineStr">
        <is>
          <t>MAT-FIREBOARD-20MM-BLADE</t>
        </is>
      </c>
      <c r="F412" t="inlineStr">
        <is>
          <t>m2</t>
        </is>
      </c>
      <c r="G412" s="394" t="n">
        <v>0.5937010067114095</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Lõi cánh tấm 20mm (Đa cánh hệ số (H-5)/149=2.32, bản rộng 210mm, hao hụt 10% (2 modul 575x350mm))</t>
        </is>
      </c>
    </row>
    <row r="413">
      <c r="A413" t="inlineStr">
        <is>
          <t>SW-DAMPER-073-FB10-BLADE</t>
        </is>
      </c>
      <c r="B413" t="inlineStr">
        <is>
          <t>SW-DAMPER-073</t>
        </is>
      </c>
      <c r="C413" t="inlineStr">
        <is>
          <t>Tấm chống cháy dày 10mm ốp 2 mặt cánh van FD/MFD</t>
        </is>
      </c>
      <c r="D413" t="inlineStr">
        <is>
          <t>VẬT_LIỆU_CÁCH_NHIỆT</t>
        </is>
      </c>
      <c r="E413" t="inlineStr">
        <is>
          <t>MAT-FIREBOARD-10MM-BLADE</t>
        </is>
      </c>
      <c r="F413" t="inlineStr">
        <is>
          <t>m2</t>
        </is>
      </c>
      <c r="G413" s="394" t="n">
        <v>1.230191275167785</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Ốp 2 mặt cánh tấm 10mm (Đa cánh hệ số (H-5)/149=2.32, bản rộng 210mm, hao hụt 10% (2 modul 575x350mm))</t>
        </is>
      </c>
    </row>
    <row r="414">
      <c r="A414" t="inlineStr">
        <is>
          <t>SW-DAMPER-073-SPRING-BOX</t>
        </is>
      </c>
      <c r="B414" t="inlineStr">
        <is>
          <t>SW-DAMPER-073</t>
        </is>
      </c>
      <c r="C414" t="inlineStr">
        <is>
          <t>Hộp lò xo van chặn lửa FD/MFD</t>
        </is>
      </c>
      <c r="D414" t="inlineStr">
        <is>
          <t>PHỤ_KIỆN_VAN</t>
        </is>
      </c>
      <c r="E414" t="inlineStr">
        <is>
          <t>MAT-DAMPER-HOP-LO-XO</t>
        </is>
      </c>
      <c r="F414" t="inlineStr">
        <is>
          <t>Bộ</t>
        </is>
      </c>
      <c r="G414" s="394" t="n">
        <v>2</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Hộp lò xo cơ cấu đóng sập (2 bộ)</t>
        </is>
      </c>
    </row>
    <row r="415">
      <c r="A415" t="inlineStr">
        <is>
          <t>SW-DAMPER-073-SILICON-BOLT</t>
        </is>
      </c>
      <c r="B415" t="inlineStr">
        <is>
          <t>SW-DAMPER-073</t>
        </is>
      </c>
      <c r="C415" t="inlineStr">
        <is>
          <t>Silicon chống cháy + bu lông, ốc vít van FD/MFD</t>
        </is>
      </c>
      <c r="D415" t="inlineStr">
        <is>
          <t>PHỤ_KIỆN_VAN</t>
        </is>
      </c>
      <c r="E415" t="inlineStr">
        <is>
          <t>MAT-DAMPER-SILICON-BULONG-VIT</t>
        </is>
      </c>
      <c r="F415" t="inlineStr">
        <is>
          <t>Bộ</t>
        </is>
      </c>
      <c r="G415" s="394" t="n">
        <v>2</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Keo silicon chống cháy &amp; phụ kiện lắp ghép (2 bộ)</t>
        </is>
      </c>
    </row>
    <row r="416">
      <c r="A416" t="inlineStr">
        <is>
          <t>SW-DAMPER-074-BODY</t>
        </is>
      </c>
      <c r="B416" t="inlineStr">
        <is>
          <t>SW-DAMPER-074</t>
        </is>
      </c>
      <c r="C416" t="inlineStr">
        <is>
          <t>Thân vỏ van MFD bích C30/TDF (1.15mm)</t>
        </is>
      </c>
      <c r="D416" t="inlineStr">
        <is>
          <t>TÔN_CUỘN_MẠ_KẼM</t>
        </is>
      </c>
      <c r="E416" t="inlineStr">
        <is>
          <t>MAT-STEEL-PN-1.15</t>
        </is>
      </c>
      <c r="F416" t="inlineStr">
        <is>
          <t>kg</t>
        </is>
      </c>
      <c r="G416" s="394" t="n">
        <v>10.95378795</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Kích thước vỏ 1200x450x200mm (2 modul 600x450mm)</t>
        </is>
      </c>
    </row>
    <row r="417">
      <c r="A417" t="inlineStr">
        <is>
          <t>SW-DAMPER-074-BLADE</t>
        </is>
      </c>
      <c r="B417" t="inlineStr">
        <is>
          <t>SW-DAMPER-074</t>
        </is>
      </c>
      <c r="C417" t="inlineStr">
        <is>
          <t>Lá cánh / Tôn tấm bọc van (6 cánh)</t>
        </is>
      </c>
      <c r="D417" t="inlineStr">
        <is>
          <t>TÔN_CUỘN_MẠ_KẼM</t>
        </is>
      </c>
      <c r="E417" t="inlineStr">
        <is>
          <t>MAT-STEEL-PN-1.15</t>
        </is>
      </c>
      <c r="F417" t="inlineStr">
        <is>
          <t>kg</t>
        </is>
      </c>
      <c r="G417" s="394" t="n">
        <v>9.749699999999999</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Tôn bọc cánh &amp; thân (3 cánh/modul (2 modul 600x450mm))</t>
        </is>
      </c>
    </row>
    <row r="418">
      <c r="A418" t="inlineStr">
        <is>
          <t>SW-DAMPER-074-AXLE</t>
        </is>
      </c>
      <c r="B418" t="inlineStr">
        <is>
          <t>SW-DAMPER-074</t>
        </is>
      </c>
      <c r="C418" t="inlineStr">
        <is>
          <t>Trục Sus 201 D10</t>
        </is>
      </c>
      <c r="D418" t="inlineStr">
        <is>
          <t>PHỤ_KIỆN_VAN</t>
        </is>
      </c>
      <c r="E418" t="inlineStr">
        <is>
          <t>MAT-DAMPER-TRUC-SUS-201-D10</t>
        </is>
      </c>
      <c r="F418" t="inlineStr">
        <is>
          <t>m</t>
        </is>
      </c>
      <c r="G418" s="394" t="n">
        <v>3.96</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6 trục dài 660mm</t>
        </is>
      </c>
    </row>
    <row r="419">
      <c r="A419" t="inlineStr">
        <is>
          <t>SW-DAMPER-074-BEARING</t>
        </is>
      </c>
      <c r="B419" t="inlineStr">
        <is>
          <t>SW-DAMPER-074</t>
        </is>
      </c>
      <c r="C419" t="inlineStr">
        <is>
          <t>Bạc đồng D10</t>
        </is>
      </c>
      <c r="D419" t="inlineStr">
        <is>
          <t>PHỤ_KIỆN_VAN</t>
        </is>
      </c>
      <c r="E419" t="inlineStr">
        <is>
          <t>MAT-DAMPER-BAC-DONG-D10</t>
        </is>
      </c>
      <c r="F419" t="inlineStr">
        <is>
          <t>Đôi</t>
        </is>
      </c>
      <c r="G419" s="394" t="n">
        <v>6</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6 đôi bạc đỡ 2 bên thân</t>
        </is>
      </c>
    </row>
    <row r="420">
      <c r="A420" t="inlineStr">
        <is>
          <t>SW-DAMPER-074-GEAR</t>
        </is>
      </c>
      <c r="B420" t="inlineStr">
        <is>
          <t>SW-DAMPER-074</t>
        </is>
      </c>
      <c r="C420" t="inlineStr">
        <is>
          <t>Bánh răng van nhôm</t>
        </is>
      </c>
      <c r="D420" t="inlineStr">
        <is>
          <t>PHỤ_KIỆN_VAN</t>
        </is>
      </c>
      <c r="E420" t="inlineStr">
        <is>
          <t>MAT-DAMPER-BANH-RANG-VAN-NHOM</t>
        </is>
      </c>
      <c r="F420" t="inlineStr">
        <is>
          <t>Bộ</t>
        </is>
      </c>
      <c r="G420" s="394" t="n">
        <v>2</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Cơ cấu liên động cánh (2 bộ)</t>
        </is>
      </c>
    </row>
    <row r="421">
      <c r="A421" t="inlineStr">
        <is>
          <t>SW-DAMPER-074-ACTUATOR</t>
        </is>
      </c>
      <c r="B421" t="inlineStr">
        <is>
          <t>SW-DAMPER-074</t>
        </is>
      </c>
      <c r="C421" t="inlineStr">
        <is>
          <t>Động cơ chặn lửa ON/OFF 9Nm, 230V/24V (BELIMO BFN24 / BFN230)</t>
        </is>
      </c>
      <c r="D421" t="inlineStr">
        <is>
          <t>ĐỘNG_CƠ_VÀ_CẢM_BIẾN</t>
        </is>
      </c>
      <c r="E421" t="inlineStr">
        <is>
          <t>MAT-ACTUATOR-BELIMO-BFN24</t>
        </is>
      </c>
      <c r="F421" t="inlineStr">
        <is>
          <t>Cái</t>
        </is>
      </c>
      <c r="G421" s="394" t="n">
        <v>2</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Động cơ lò xo phản hồi MFD (2 bộ (2 modul 600x450mm))</t>
        </is>
      </c>
    </row>
    <row r="422">
      <c r="A422" t="inlineStr">
        <is>
          <t>SW-DAMPER-074-FB10-BODY</t>
        </is>
      </c>
      <c r="B422" t="inlineStr">
        <is>
          <t>SW-DAMPER-074</t>
        </is>
      </c>
      <c r="C422" t="inlineStr">
        <is>
          <t>Tấm chống cháy dày 10mm bọc thân van FD/MFD (2 lớp)</t>
        </is>
      </c>
      <c r="D422" t="inlineStr">
        <is>
          <t>VẬT_LIỆU_CÁCH_NHIỆT</t>
        </is>
      </c>
      <c r="E422" t="inlineStr">
        <is>
          <t>MAT-FIREBOARD-10MM-BODY</t>
        </is>
      </c>
      <c r="F422" t="inlineStr">
        <is>
          <t>m2</t>
        </is>
      </c>
      <c r="G422" s="394" t="n">
        <v>2.52</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Bọc 2 lớp tấm 10mm quanh thân L=300mm (2 modul 600x450mm)</t>
        </is>
      </c>
    </row>
    <row r="423">
      <c r="A423" t="inlineStr">
        <is>
          <t>SW-DAMPER-074-FB20-BLADE</t>
        </is>
      </c>
      <c r="B423" t="inlineStr">
        <is>
          <t>SW-DAMPER-074</t>
        </is>
      </c>
      <c r="C423" t="inlineStr">
        <is>
          <t>Tấm chống cháy dày 20mm làm lõi cánh van FD/MFD</t>
        </is>
      </c>
      <c r="D423" t="inlineStr">
        <is>
          <t>VẬT_LIỆU_CÁCH_NHIỆT</t>
        </is>
      </c>
      <c r="E423" t="inlineStr">
        <is>
          <t>MAT-FIREBOARD-20MM-BLADE</t>
        </is>
      </c>
      <c r="F423" t="inlineStr">
        <is>
          <t>m2</t>
        </is>
      </c>
      <c r="G423" s="394" t="n">
        <v>0.80028322147651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Lõi cánh tấm 20mm (Đa cánh hệ số (H-5)/149=2.99, bản rộng 210mm, hao hụt 10% (2 modul 600x450mm))</t>
        </is>
      </c>
    </row>
    <row r="424">
      <c r="A424" t="inlineStr">
        <is>
          <t>SW-DAMPER-074-FB10-BLADE</t>
        </is>
      </c>
      <c r="B424" t="inlineStr">
        <is>
          <t>SW-DAMPER-074</t>
        </is>
      </c>
      <c r="C424" t="inlineStr">
        <is>
          <t>Tấm chống cháy dày 10mm ốp 2 mặt cánh van FD/MFD</t>
        </is>
      </c>
      <c r="D424" t="inlineStr">
        <is>
          <t>VẬT_LIỆU_CÁCH_NHIỆT</t>
        </is>
      </c>
      <c r="E424" t="inlineStr">
        <is>
          <t>MAT-FIREBOARD-10MM-BLADE</t>
        </is>
      </c>
      <c r="F424" t="inlineStr">
        <is>
          <t>m2</t>
        </is>
      </c>
      <c r="G424" s="394" t="n">
        <v>1.655758389261745</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Ốp 2 mặt cánh tấm 10mm (Đa cánh hệ số (H-5)/149=2.99, bản rộng 210mm, hao hụt 10% (2 modul 600x450mm))</t>
        </is>
      </c>
    </row>
    <row r="425">
      <c r="A425" t="inlineStr">
        <is>
          <t>SW-DAMPER-074-SPRING-BOX</t>
        </is>
      </c>
      <c r="B425" t="inlineStr">
        <is>
          <t>SW-DAMPER-074</t>
        </is>
      </c>
      <c r="C425" t="inlineStr">
        <is>
          <t>Hộp lò xo van chặn lửa FD/MFD</t>
        </is>
      </c>
      <c r="D425" t="inlineStr">
        <is>
          <t>PHỤ_KIỆN_VAN</t>
        </is>
      </c>
      <c r="E425" t="inlineStr">
        <is>
          <t>MAT-DAMPER-HOP-LO-XO</t>
        </is>
      </c>
      <c r="F425" t="inlineStr">
        <is>
          <t>Bộ</t>
        </is>
      </c>
      <c r="G425" s="394" t="n">
        <v>2</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Hộp lò xo cơ cấu đóng sập (2 bộ)</t>
        </is>
      </c>
    </row>
    <row r="426">
      <c r="A426" t="inlineStr">
        <is>
          <t>SW-DAMPER-074-SILICON-BOLT</t>
        </is>
      </c>
      <c r="B426" t="inlineStr">
        <is>
          <t>SW-DAMPER-074</t>
        </is>
      </c>
      <c r="C426" t="inlineStr">
        <is>
          <t>Silicon chống cháy + bu lông, ốc vít van FD/MFD</t>
        </is>
      </c>
      <c r="D426" t="inlineStr">
        <is>
          <t>PHỤ_KIỆN_VAN</t>
        </is>
      </c>
      <c r="E426" t="inlineStr">
        <is>
          <t>MAT-DAMPER-SILICON-BULONG-VIT</t>
        </is>
      </c>
      <c r="F426" t="inlineStr">
        <is>
          <t>Bộ</t>
        </is>
      </c>
      <c r="G426" s="394" t="n">
        <v>2</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Keo silicon chống cháy &amp; phụ kiện lắp ghép (2 bộ)</t>
        </is>
      </c>
    </row>
    <row r="427">
      <c r="A427" t="inlineStr">
        <is>
          <t>SW-DAMPER-075-BODY</t>
        </is>
      </c>
      <c r="B427" t="inlineStr">
        <is>
          <t>SW-DAMPER-075</t>
        </is>
      </c>
      <c r="C427" t="inlineStr">
        <is>
          <t>Thân vỏ van MFD bích C30/TDF (1.15mm)</t>
        </is>
      </c>
      <c r="D427" t="inlineStr">
        <is>
          <t>TÔN_CUỘN_MẠ_KẼM</t>
        </is>
      </c>
      <c r="E427" t="inlineStr">
        <is>
          <t>MAT-STEEL-PN-1.15</t>
        </is>
      </c>
      <c r="F427" t="inlineStr">
        <is>
          <t>kg</t>
        </is>
      </c>
      <c r="G427" s="394" t="n">
        <v>4.965034725</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Kích thước vỏ 350x600x200mm</t>
        </is>
      </c>
    </row>
    <row r="428">
      <c r="A428" t="inlineStr">
        <is>
          <t>SW-DAMPER-075-BLADE</t>
        </is>
      </c>
      <c r="B428" t="inlineStr">
        <is>
          <t>SW-DAMPER-075</t>
        </is>
      </c>
      <c r="C428" t="inlineStr">
        <is>
          <t>Lá cánh / Tôn tấm bọc van (4 cánh)</t>
        </is>
      </c>
      <c r="D428" t="inlineStr">
        <is>
          <t>TÔN_CUỘN_MẠ_KẼM</t>
        </is>
      </c>
      <c r="E428" t="inlineStr">
        <is>
          <t>MAT-STEEL-PN-1.15</t>
        </is>
      </c>
      <c r="F428" t="inlineStr">
        <is>
          <t>kg</t>
        </is>
      </c>
      <c r="G428" s="394" t="n">
        <v>3.791549999999999</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Tôn bọc cánh &amp; thân (4 cánh/modul)</t>
        </is>
      </c>
    </row>
    <row r="429">
      <c r="A429" t="inlineStr">
        <is>
          <t>SW-DAMPER-075-AXLE</t>
        </is>
      </c>
      <c r="B429" t="inlineStr">
        <is>
          <t>SW-DAMPER-075</t>
        </is>
      </c>
      <c r="C429" t="inlineStr">
        <is>
          <t>Trục Sus 201 D10</t>
        </is>
      </c>
      <c r="D429" t="inlineStr">
        <is>
          <t>PHỤ_KIỆN_VAN</t>
        </is>
      </c>
      <c r="E429" t="inlineStr">
        <is>
          <t>MAT-DAMPER-TRUC-SUS-201-D10</t>
        </is>
      </c>
      <c r="F429" t="inlineStr">
        <is>
          <t>m</t>
        </is>
      </c>
      <c r="G429" s="394" t="n">
        <v>1.64</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4 trục dài 410mm</t>
        </is>
      </c>
    </row>
    <row r="430">
      <c r="A430" t="inlineStr">
        <is>
          <t>SW-DAMPER-075-BEARING</t>
        </is>
      </c>
      <c r="B430" t="inlineStr">
        <is>
          <t>SW-DAMPER-075</t>
        </is>
      </c>
      <c r="C430" t="inlineStr">
        <is>
          <t>Bạc đồng D10</t>
        </is>
      </c>
      <c r="D430" t="inlineStr">
        <is>
          <t>PHỤ_KIỆN_VAN</t>
        </is>
      </c>
      <c r="E430" t="inlineStr">
        <is>
          <t>MAT-DAMPER-BAC-DONG-D10</t>
        </is>
      </c>
      <c r="F430" t="inlineStr">
        <is>
          <t>Đôi</t>
        </is>
      </c>
      <c r="G430" s="394" t="n">
        <v>4</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4 đôi bạc đỡ 2 bên thân</t>
        </is>
      </c>
    </row>
    <row r="431">
      <c r="A431" t="inlineStr">
        <is>
          <t>SW-DAMPER-075-GEAR</t>
        </is>
      </c>
      <c r="B431" t="inlineStr">
        <is>
          <t>SW-DAMPER-075</t>
        </is>
      </c>
      <c r="C431" t="inlineStr">
        <is>
          <t>Bánh răng van nhôm</t>
        </is>
      </c>
      <c r="D431" t="inlineStr">
        <is>
          <t>PHỤ_KIỆN_VAN</t>
        </is>
      </c>
      <c r="E431" t="inlineStr">
        <is>
          <t>MAT-DAMPER-BANH-RANG-VAN-NHOM</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Cơ cấu liên động cánh (1 bộ)</t>
        </is>
      </c>
    </row>
    <row r="432">
      <c r="A432" t="inlineStr">
        <is>
          <t>SW-DAMPER-075-ACTUATOR</t>
        </is>
      </c>
      <c r="B432" t="inlineStr">
        <is>
          <t>SW-DAMPER-075</t>
        </is>
      </c>
      <c r="C432" t="inlineStr">
        <is>
          <t>Động cơ chặn lửa ON/OFF 9Nm, 230V/24V (BELIMO BFN24 / BFN230)</t>
        </is>
      </c>
      <c r="D432" t="inlineStr">
        <is>
          <t>ĐỘNG_CƠ_VÀ_CẢM_BIẾN</t>
        </is>
      </c>
      <c r="E432" t="inlineStr">
        <is>
          <t>MAT-ACTUATOR-BELIMO-BFN24</t>
        </is>
      </c>
      <c r="F432" t="inlineStr">
        <is>
          <t>Cái</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Động cơ lò xo phản hồi MFD (1 bộ)</t>
        </is>
      </c>
    </row>
    <row r="433">
      <c r="A433" t="inlineStr">
        <is>
          <t>SW-DAMPER-075-FB10-BODY</t>
        </is>
      </c>
      <c r="B433" t="inlineStr">
        <is>
          <t>SW-DAMPER-075</t>
        </is>
      </c>
      <c r="C433" t="inlineStr">
        <is>
          <t>Tấm chống cháy dày 10mm bọc thân van FD/MFD (2 lớp)</t>
        </is>
      </c>
      <c r="D433" t="inlineStr">
        <is>
          <t>VẬT_LIỆU_CÁCH_NHIỆT</t>
        </is>
      </c>
      <c r="E433" t="inlineStr">
        <is>
          <t>MAT-FIREBOARD-10MM-BODY</t>
        </is>
      </c>
      <c r="F433" t="inlineStr">
        <is>
          <t>m2</t>
        </is>
      </c>
      <c r="G433" s="394" t="n">
        <v>1.14</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Bọc 2 lớp tấm 10mm quanh thân L=300mm</t>
        </is>
      </c>
    </row>
    <row r="434">
      <c r="A434" t="inlineStr">
        <is>
          <t>SW-DAMPER-075-FB20-BLADE</t>
        </is>
      </c>
      <c r="B434" t="inlineStr">
        <is>
          <t>SW-DAMPER-075</t>
        </is>
      </c>
      <c r="C434" t="inlineStr">
        <is>
          <t>Tấm chống cháy dày 20mm làm lõi cánh van FD/MFD</t>
        </is>
      </c>
      <c r="D434" t="inlineStr">
        <is>
          <t>VẬT_LIỆU_CÁCH_NHIỆT</t>
        </is>
      </c>
      <c r="E434" t="inlineStr">
        <is>
          <t>MAT-FIREBOARD-20MM-BLADE</t>
        </is>
      </c>
      <c r="F434" t="inlineStr">
        <is>
          <t>m2</t>
        </is>
      </c>
      <c r="G434" s="394" t="n">
        <v>0.304408389261745</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Lõi cánh tấm 20mm (Đa cánh hệ số (H-5)/149=3.99, bản rộng 210mm, hao hụt 10%)</t>
        </is>
      </c>
    </row>
    <row r="435">
      <c r="A435" t="inlineStr">
        <is>
          <t>SW-DAMPER-075-FB10-BLADE</t>
        </is>
      </c>
      <c r="B435" t="inlineStr">
        <is>
          <t>SW-DAMPER-075</t>
        </is>
      </c>
      <c r="C435" t="inlineStr">
        <is>
          <t>Tấm chống cháy dày 10mm ốp 2 mặt cánh van FD/MFD</t>
        </is>
      </c>
      <c r="D435" t="inlineStr">
        <is>
          <t>VẬT_LIỆU_CÁCH_NHIỆT</t>
        </is>
      </c>
      <c r="E435" t="inlineStr">
        <is>
          <t>MAT-FIREBOARD-10MM-BLADE</t>
        </is>
      </c>
      <c r="F435" t="inlineStr">
        <is>
          <t>m2</t>
        </is>
      </c>
      <c r="G435" s="394" t="n">
        <v>0.6457147651006712</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Ốp 2 mặt cánh tấm 10mm (Đa cánh hệ số (H-5)/149=3.99, bản rộng 210mm, hao hụt 10%)</t>
        </is>
      </c>
    </row>
    <row r="436">
      <c r="A436" t="inlineStr">
        <is>
          <t>SW-DAMPER-075-SPRING-BOX</t>
        </is>
      </c>
      <c r="B436" t="inlineStr">
        <is>
          <t>SW-DAMPER-075</t>
        </is>
      </c>
      <c r="C436" t="inlineStr">
        <is>
          <t>Hộp lò xo van chặn lửa FD/MFD</t>
        </is>
      </c>
      <c r="D436" t="inlineStr">
        <is>
          <t>PHỤ_KIỆN_VAN</t>
        </is>
      </c>
      <c r="E436" t="inlineStr">
        <is>
          <t>MAT-DAMPER-HOP-LO-XO</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Hộp lò xo cơ cấu đóng sập (1 bộ)</t>
        </is>
      </c>
    </row>
    <row r="437">
      <c r="A437" t="inlineStr">
        <is>
          <t>SW-DAMPER-075-SILICON-BOLT</t>
        </is>
      </c>
      <c r="B437" t="inlineStr">
        <is>
          <t>SW-DAMPER-075</t>
        </is>
      </c>
      <c r="C437" t="inlineStr">
        <is>
          <t>Silicon chống cháy + bu lông, ốc vít van FD/MFD</t>
        </is>
      </c>
      <c r="D437" t="inlineStr">
        <is>
          <t>PHỤ_KIỆN_VAN</t>
        </is>
      </c>
      <c r="E437" t="inlineStr">
        <is>
          <t>MAT-DAMPER-SILICON-BULONG-VIT</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Keo silicon chống cháy &amp; phụ kiện lắp ghép (1 bộ)</t>
        </is>
      </c>
    </row>
    <row r="438">
      <c r="A438" t="inlineStr">
        <is>
          <t>SW-DAMPER-076-BODY</t>
        </is>
      </c>
      <c r="B438" t="inlineStr">
        <is>
          <t>SW-DAMPER-076</t>
        </is>
      </c>
      <c r="C438" t="inlineStr">
        <is>
          <t>Thân vỏ van MFD bích C30/TDF (1.15mm)</t>
        </is>
      </c>
      <c r="D438" t="inlineStr">
        <is>
          <t>TÔN_CUỘN_MẠ_KẼM</t>
        </is>
      </c>
      <c r="E438" t="inlineStr">
        <is>
          <t>MAT-STEEL-PN-1.15</t>
        </is>
      </c>
      <c r="F438" t="inlineStr">
        <is>
          <t>kg</t>
        </is>
      </c>
      <c r="G438" s="394" t="n">
        <v>9.418210200000001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Kích thước vỏ 1100x350x200mm (2 modul 550x350mm)</t>
        </is>
      </c>
    </row>
    <row r="439">
      <c r="A439" t="inlineStr">
        <is>
          <t>SW-DAMPER-076-BLADE</t>
        </is>
      </c>
      <c r="B439" t="inlineStr">
        <is>
          <t>SW-DAMPER-076</t>
        </is>
      </c>
      <c r="C439" t="inlineStr">
        <is>
          <t>Lá cánh / Tôn tấm bọc van (4 cánh)</t>
        </is>
      </c>
      <c r="D439" t="inlineStr">
        <is>
          <t>TÔN_CUỘN_MẠ_KẼM</t>
        </is>
      </c>
      <c r="E439" t="inlineStr">
        <is>
          <t>MAT-STEEL-PN-1.15</t>
        </is>
      </c>
      <c r="F439" t="inlineStr">
        <is>
          <t>kg</t>
        </is>
      </c>
      <c r="G439" s="394" t="n">
        <v>6.951174999999998</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Tôn bọc cánh &amp; thân (2 cánh/modul (2 modul 550x350mm))</t>
        </is>
      </c>
    </row>
    <row r="440">
      <c r="A440" t="inlineStr">
        <is>
          <t>SW-DAMPER-076-AXLE</t>
        </is>
      </c>
      <c r="B440" t="inlineStr">
        <is>
          <t>SW-DAMPER-076</t>
        </is>
      </c>
      <c r="C440" t="inlineStr">
        <is>
          <t>Trục Sus 201 D10</t>
        </is>
      </c>
      <c r="D440" t="inlineStr">
        <is>
          <t>PHỤ_KIỆN_VAN</t>
        </is>
      </c>
      <c r="E440" t="inlineStr">
        <is>
          <t>MAT-DAMPER-TRUC-SUS-201-D10</t>
        </is>
      </c>
      <c r="F440" t="inlineStr">
        <is>
          <t>m</t>
        </is>
      </c>
      <c r="G440" s="394" t="n">
        <v>2.44</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4 trục dài 610mm</t>
        </is>
      </c>
    </row>
    <row r="441">
      <c r="A441" t="inlineStr">
        <is>
          <t>SW-DAMPER-076-BEARING</t>
        </is>
      </c>
      <c r="B441" t="inlineStr">
        <is>
          <t>SW-DAMPER-076</t>
        </is>
      </c>
      <c r="C441" t="inlineStr">
        <is>
          <t>Bạc đồng D10</t>
        </is>
      </c>
      <c r="D441" t="inlineStr">
        <is>
          <t>PHỤ_KIỆN_VAN</t>
        </is>
      </c>
      <c r="E441" t="inlineStr">
        <is>
          <t>MAT-DAMPER-BAC-DONG-D10</t>
        </is>
      </c>
      <c r="F441" t="inlineStr">
        <is>
          <t>Đôi</t>
        </is>
      </c>
      <c r="G441" s="394" t="n">
        <v>4</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4 đôi bạc đỡ 2 bên thân</t>
        </is>
      </c>
    </row>
    <row r="442">
      <c r="A442" t="inlineStr">
        <is>
          <t>SW-DAMPER-076-GEAR</t>
        </is>
      </c>
      <c r="B442" t="inlineStr">
        <is>
          <t>SW-DAMPER-076</t>
        </is>
      </c>
      <c r="C442" t="inlineStr">
        <is>
          <t>Bánh răng van nhôm</t>
        </is>
      </c>
      <c r="D442" t="inlineStr">
        <is>
          <t>PHỤ_KIỆN_VAN</t>
        </is>
      </c>
      <c r="E442" t="inlineStr">
        <is>
          <t>MAT-DAMPER-BANH-RANG-VAN-NHOM</t>
        </is>
      </c>
      <c r="F442" t="inlineStr">
        <is>
          <t>Bộ</t>
        </is>
      </c>
      <c r="G442" s="394" t="n">
        <v>2</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Cơ cấu liên động cánh (2 bộ)</t>
        </is>
      </c>
    </row>
    <row r="443">
      <c r="A443" t="inlineStr">
        <is>
          <t>SW-DAMPER-076-ACTUATOR</t>
        </is>
      </c>
      <c r="B443" t="inlineStr">
        <is>
          <t>SW-DAMPER-076</t>
        </is>
      </c>
      <c r="C443" t="inlineStr">
        <is>
          <t>Động cơ chặn lửa ON/OFF 9Nm, 230V/24V (BELIMO BFN24 / BFN230)</t>
        </is>
      </c>
      <c r="D443" t="inlineStr">
        <is>
          <t>ĐỘNG_CƠ_VÀ_CẢM_BIẾN</t>
        </is>
      </c>
      <c r="E443" t="inlineStr">
        <is>
          <t>MAT-ACTUATOR-BELIMO-BFN24</t>
        </is>
      </c>
      <c r="F443" t="inlineStr">
        <is>
          <t>Cái</t>
        </is>
      </c>
      <c r="G443" s="394" t="n">
        <v>2</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Động cơ lò xo phản hồi MFD (2 bộ (2 modul 550x350mm))</t>
        </is>
      </c>
    </row>
    <row r="444">
      <c r="A444" t="inlineStr">
        <is>
          <t>SW-DAMPER-076-FB10-BODY</t>
        </is>
      </c>
      <c r="B444" t="inlineStr">
        <is>
          <t>SW-DAMPER-076</t>
        </is>
      </c>
      <c r="C444" t="inlineStr">
        <is>
          <t>Tấm chống cháy dày 10mm bọc thân van FD/MFD (2 lớp)</t>
        </is>
      </c>
      <c r="D444" t="inlineStr">
        <is>
          <t>VẬT_LIỆU_CÁCH_NHIỆT</t>
        </is>
      </c>
      <c r="E444" t="inlineStr">
        <is>
          <t>MAT-FIREBOARD-10MM-BODY</t>
        </is>
      </c>
      <c r="F444" t="inlineStr">
        <is>
          <t>m2</t>
        </is>
      </c>
      <c r="G444" s="394" t="n">
        <v>2.16</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Bọc 2 lớp tấm 10mm quanh thân L=300mm (2 modul 550x350mm)</t>
        </is>
      </c>
    </row>
    <row r="445">
      <c r="A445" t="inlineStr">
        <is>
          <t>SW-DAMPER-076-FB20-BLADE</t>
        </is>
      </c>
      <c r="B445" t="inlineStr">
        <is>
          <t>SW-DAMPER-076</t>
        </is>
      </c>
      <c r="C445" t="inlineStr">
        <is>
          <t>Tấm chống cháy dày 20mm làm lõi cánh van FD/MFD</t>
        </is>
      </c>
      <c r="D445" t="inlineStr">
        <is>
          <t>VẬT_LIỆU_CÁCH_NHIỆT</t>
        </is>
      </c>
      <c r="E445" t="inlineStr">
        <is>
          <t>MAT-FIREBOARD-20MM-BLADE</t>
        </is>
      </c>
      <c r="F445" t="inlineStr">
        <is>
          <t>m2</t>
        </is>
      </c>
      <c r="G445" s="394" t="n">
        <v>0.5669577181208053</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Lõi cánh tấm 20mm (Đa cánh hệ số (H-5)/149=2.32, bản rộng 210mm, hao hụt 10% (2 modul 550x350mm))</t>
        </is>
      </c>
    </row>
    <row r="446">
      <c r="A446" t="inlineStr">
        <is>
          <t>SW-DAMPER-076-FB10-BLADE</t>
        </is>
      </c>
      <c r="B446" t="inlineStr">
        <is>
          <t>SW-DAMPER-076</t>
        </is>
      </c>
      <c r="C446" t="inlineStr">
        <is>
          <t>Tấm chống cháy dày 10mm ốp 2 mặt cánh van FD/MFD</t>
        </is>
      </c>
      <c r="D446" t="inlineStr">
        <is>
          <t>VẬT_LIỆU_CÁCH_NHIỆT</t>
        </is>
      </c>
      <c r="E446" t="inlineStr">
        <is>
          <t>MAT-FIREBOARD-10MM-BLADE</t>
        </is>
      </c>
      <c r="F446" t="inlineStr">
        <is>
          <t>m2</t>
        </is>
      </c>
      <c r="G446" s="394" t="n">
        <v>1.176704697986577</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Ốp 2 mặt cánh tấm 10mm (Đa cánh hệ số (H-5)/149=2.32, bản rộng 210mm, hao hụt 10% (2 modul 550x350mm))</t>
        </is>
      </c>
    </row>
    <row r="447">
      <c r="A447" t="inlineStr">
        <is>
          <t>SW-DAMPER-076-SPRING-BOX</t>
        </is>
      </c>
      <c r="B447" t="inlineStr">
        <is>
          <t>SW-DAMPER-076</t>
        </is>
      </c>
      <c r="C447" t="inlineStr">
        <is>
          <t>Hộp lò xo van chặn lửa FD/MFD</t>
        </is>
      </c>
      <c r="D447" t="inlineStr">
        <is>
          <t>PHỤ_KIỆN_VAN</t>
        </is>
      </c>
      <c r="E447" t="inlineStr">
        <is>
          <t>MAT-DAMPER-HOP-LO-XO</t>
        </is>
      </c>
      <c r="F447" t="inlineStr">
        <is>
          <t>Bộ</t>
        </is>
      </c>
      <c r="G447" s="394" t="n">
        <v>2</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Hộp lò xo cơ cấu đóng sập (2 bộ)</t>
        </is>
      </c>
    </row>
    <row r="448">
      <c r="A448" t="inlineStr">
        <is>
          <t>SW-DAMPER-076-SILICON-BOLT</t>
        </is>
      </c>
      <c r="B448" t="inlineStr">
        <is>
          <t>SW-DAMPER-076</t>
        </is>
      </c>
      <c r="C448" t="inlineStr">
        <is>
          <t>Silicon chống cháy + bu lông, ốc vít van FD/MFD</t>
        </is>
      </c>
      <c r="D448" t="inlineStr">
        <is>
          <t>PHỤ_KIỆN_VAN</t>
        </is>
      </c>
      <c r="E448" t="inlineStr">
        <is>
          <t>MAT-DAMPER-SILICON-BULONG-VIT</t>
        </is>
      </c>
      <c r="F448" t="inlineStr">
        <is>
          <t>Bộ</t>
        </is>
      </c>
      <c r="G448" s="394" t="n">
        <v>2</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Keo silicon chống cháy &amp; phụ kiện lắp ghép (2 bộ)</t>
        </is>
      </c>
    </row>
    <row r="449">
      <c r="A449" t="inlineStr">
        <is>
          <t>SW-DAMPER-077-BODY</t>
        </is>
      </c>
      <c r="B449" t="inlineStr">
        <is>
          <t>SW-DAMPER-077</t>
        </is>
      </c>
      <c r="C449" t="inlineStr">
        <is>
          <t>Thân vỏ van MFD bích C30/TDF (1.15mm)</t>
        </is>
      </c>
      <c r="D449" t="inlineStr">
        <is>
          <t>TÔN_CUỘN_MẠ_KẼM</t>
        </is>
      </c>
      <c r="E449" t="inlineStr">
        <is>
          <t>MAT-STEEL-PN-1.15</t>
        </is>
      </c>
      <c r="F449" t="inlineStr">
        <is>
          <t>kg</t>
        </is>
      </c>
      <c r="G449" s="394" t="n">
        <v>7.012471725</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Kích thước vỏ 1000x350x200mm</t>
        </is>
      </c>
    </row>
    <row r="450">
      <c r="A450" t="inlineStr">
        <is>
          <t>SW-DAMPER-077-BLADE</t>
        </is>
      </c>
      <c r="B450" t="inlineStr">
        <is>
          <t>SW-DAMPER-077</t>
        </is>
      </c>
      <c r="C450" t="inlineStr">
        <is>
          <t>Lá cánh / Tôn tấm bọc van (2 cánh)</t>
        </is>
      </c>
      <c r="D450" t="inlineStr">
        <is>
          <t>TÔN_CUỘN_MẠ_KẼM</t>
        </is>
      </c>
      <c r="E450" t="inlineStr">
        <is>
          <t>MAT-STEEL-PN-1.15</t>
        </is>
      </c>
      <c r="F450" t="inlineStr">
        <is>
          <t>kg</t>
        </is>
      </c>
      <c r="G450" s="394" t="n">
        <v>6.319249999999998</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Tôn bọc cánh &amp; thân (2 cánh/modul)</t>
        </is>
      </c>
    </row>
    <row r="451">
      <c r="A451" t="inlineStr">
        <is>
          <t>SW-DAMPER-077-AXLE</t>
        </is>
      </c>
      <c r="B451" t="inlineStr">
        <is>
          <t>SW-DAMPER-077</t>
        </is>
      </c>
      <c r="C451" t="inlineStr">
        <is>
          <t>Trục Sus 201 D10</t>
        </is>
      </c>
      <c r="D451" t="inlineStr">
        <is>
          <t>PHỤ_KIỆN_VAN</t>
        </is>
      </c>
      <c r="E451" t="inlineStr">
        <is>
          <t>MAT-DAMPER-TRUC-SUS-201-D10</t>
        </is>
      </c>
      <c r="F451" t="inlineStr">
        <is>
          <t>m</t>
        </is>
      </c>
      <c r="G451" s="394" t="n">
        <v>2.12</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2 trục dài 1060mm</t>
        </is>
      </c>
    </row>
    <row r="452">
      <c r="A452" t="inlineStr">
        <is>
          <t>SW-DAMPER-077-BEARING</t>
        </is>
      </c>
      <c r="B452" t="inlineStr">
        <is>
          <t>SW-DAMPER-077</t>
        </is>
      </c>
      <c r="C452" t="inlineStr">
        <is>
          <t>Bạc đồng D10</t>
        </is>
      </c>
      <c r="D452" t="inlineStr">
        <is>
          <t>PHỤ_KIỆN_VAN</t>
        </is>
      </c>
      <c r="E452" t="inlineStr">
        <is>
          <t>MAT-DAMPER-BAC-DONG-D10</t>
        </is>
      </c>
      <c r="F452" t="inlineStr">
        <is>
          <t>Đôi</t>
        </is>
      </c>
      <c r="G452" s="394" t="n">
        <v>2</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2 đôi bạc đỡ 2 bên thân</t>
        </is>
      </c>
    </row>
    <row r="453">
      <c r="A453" t="inlineStr">
        <is>
          <t>SW-DAMPER-077-GEAR</t>
        </is>
      </c>
      <c r="B453" t="inlineStr">
        <is>
          <t>SW-DAMPER-077</t>
        </is>
      </c>
      <c r="C453" t="inlineStr">
        <is>
          <t>Bánh răng van nhôm</t>
        </is>
      </c>
      <c r="D453" t="inlineStr">
        <is>
          <t>PHỤ_KIỆN_VAN</t>
        </is>
      </c>
      <c r="E453" t="inlineStr">
        <is>
          <t>MAT-DAMPER-BANH-RANG-VAN-NHOM</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Cơ cấu liên động cánh (1 bộ)</t>
        </is>
      </c>
    </row>
    <row r="454">
      <c r="A454" t="inlineStr">
        <is>
          <t>SW-DAMPER-077-ACTUATOR</t>
        </is>
      </c>
      <c r="B454" t="inlineStr">
        <is>
          <t>SW-DAMPER-077</t>
        </is>
      </c>
      <c r="C454" t="inlineStr">
        <is>
          <t>Động cơ chặn lửa ON/OFF 9Nm, 230V/24V (BELIMO BFN24 / BFN230)</t>
        </is>
      </c>
      <c r="D454" t="inlineStr">
        <is>
          <t>ĐỘNG_CƠ_VÀ_CẢM_BIẾN</t>
        </is>
      </c>
      <c r="E454" t="inlineStr">
        <is>
          <t>MAT-ACTUATOR-BELIMO-BFN24</t>
        </is>
      </c>
      <c r="F454" t="inlineStr">
        <is>
          <t>Cái</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Động cơ lò xo phản hồi MFD (1 bộ)</t>
        </is>
      </c>
    </row>
    <row r="455">
      <c r="A455" t="inlineStr">
        <is>
          <t>SW-DAMPER-077-FB10-BODY</t>
        </is>
      </c>
      <c r="B455" t="inlineStr">
        <is>
          <t>SW-DAMPER-077</t>
        </is>
      </c>
      <c r="C455" t="inlineStr">
        <is>
          <t>Tấm chống cháy dày 10mm bọc thân van FD/MFD (2 lớp)</t>
        </is>
      </c>
      <c r="D455" t="inlineStr">
        <is>
          <t>VẬT_LIỆU_CÁCH_NHIỆT</t>
        </is>
      </c>
      <c r="E455" t="inlineStr">
        <is>
          <t>MAT-FIREBOARD-10MM-BODY</t>
        </is>
      </c>
      <c r="F455" t="inlineStr">
        <is>
          <t>m2</t>
        </is>
      </c>
      <c r="G455" s="394" t="n">
        <v>1.62</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Bọc 2 lớp tấm 10mm quanh thân L=300mm</t>
        </is>
      </c>
    </row>
    <row r="456">
      <c r="A456" t="inlineStr">
        <is>
          <t>SW-DAMPER-077-FB20-BLADE</t>
        </is>
      </c>
      <c r="B456" t="inlineStr">
        <is>
          <t>SW-DAMPER-077</t>
        </is>
      </c>
      <c r="C456" t="inlineStr">
        <is>
          <t>Tấm chống cháy dày 20mm làm lõi cánh van FD/MFD</t>
        </is>
      </c>
      <c r="D456" t="inlineStr">
        <is>
          <t>VẬT_LIỆU_CÁCH_NHIỆT</t>
        </is>
      </c>
      <c r="E456" t="inlineStr">
        <is>
          <t>MAT-FIREBOARD-20MM-BLADE</t>
        </is>
      </c>
      <c r="F456" t="inlineStr">
        <is>
          <t>m2</t>
        </is>
      </c>
      <c r="G456" s="394" t="n">
        <v>0.524168456375839</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Lõi cánh tấm 20mm (Đa cánh hệ số (H-5)/149=2.32, bản rộng 210mm, hao hụt 10%)</t>
        </is>
      </c>
    </row>
    <row r="457">
      <c r="A457" t="inlineStr">
        <is>
          <t>SW-DAMPER-077-FB10-BLADE</t>
        </is>
      </c>
      <c r="B457" t="inlineStr">
        <is>
          <t>SW-DAMPER-077</t>
        </is>
      </c>
      <c r="C457" t="inlineStr">
        <is>
          <t>Tấm chống cháy dày 10mm ốp 2 mặt cánh van FD/MFD</t>
        </is>
      </c>
      <c r="D457" t="inlineStr">
        <is>
          <t>VẬT_LIỆU_CÁCH_NHIỆT</t>
        </is>
      </c>
      <c r="E457" t="inlineStr">
        <is>
          <t>MAT-FIREBOARD-10MM-BLADE</t>
        </is>
      </c>
      <c r="F457" t="inlineStr">
        <is>
          <t>m2</t>
        </is>
      </c>
      <c r="G457" s="394" t="n">
        <v>1.069731543624161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Ốp 2 mặt cánh tấm 10mm (Đa cánh hệ số (H-5)/149=2.32, bản rộng 210mm, hao hụt 10%)</t>
        </is>
      </c>
    </row>
    <row r="458">
      <c r="A458" t="inlineStr">
        <is>
          <t>SW-DAMPER-077-SPRING-BOX</t>
        </is>
      </c>
      <c r="B458" t="inlineStr">
        <is>
          <t>SW-DAMPER-077</t>
        </is>
      </c>
      <c r="C458" t="inlineStr">
        <is>
          <t>Hộp lò xo van chặn lửa FD/MFD</t>
        </is>
      </c>
      <c r="D458" t="inlineStr">
        <is>
          <t>PHỤ_KIỆN_VAN</t>
        </is>
      </c>
      <c r="E458" t="inlineStr">
        <is>
          <t>MAT-DAMPER-HOP-LO-XO</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Hộp lò xo cơ cấu đóng sập (1 bộ)</t>
        </is>
      </c>
    </row>
    <row r="459">
      <c r="A459" t="inlineStr">
        <is>
          <t>SW-DAMPER-077-SILICON-BOLT</t>
        </is>
      </c>
      <c r="B459" t="inlineStr">
        <is>
          <t>SW-DAMPER-077</t>
        </is>
      </c>
      <c r="C459" t="inlineStr">
        <is>
          <t>Silicon chống cháy + bu lông, ốc vít van FD/MFD</t>
        </is>
      </c>
      <c r="D459" t="inlineStr">
        <is>
          <t>PHỤ_KIỆN_VAN</t>
        </is>
      </c>
      <c r="E459" t="inlineStr">
        <is>
          <t>MAT-DAMPER-SILICON-BULONG-VIT</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Keo silicon chống cháy &amp; phụ kiện lắp ghép (1 bộ)</t>
        </is>
      </c>
    </row>
    <row r="460">
      <c r="A460" t="inlineStr">
        <is>
          <t>SW-DAMPER-078-BODY</t>
        </is>
      </c>
      <c r="B460" t="inlineStr">
        <is>
          <t>SW-DAMPER-078</t>
        </is>
      </c>
      <c r="C460" t="inlineStr">
        <is>
          <t>Thân vỏ van MFD bích C30/TDF (1.15mm)</t>
        </is>
      </c>
      <c r="D460" t="inlineStr">
        <is>
          <t>TÔN_CUỘN_MẠ_KẼM</t>
        </is>
      </c>
      <c r="E460" t="inlineStr">
        <is>
          <t>MAT-STEEL-PN-1.15</t>
        </is>
      </c>
      <c r="F460" t="inlineStr">
        <is>
          <t>kg</t>
        </is>
      </c>
      <c r="G460" s="394" t="n">
        <v>5.732823600000001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800x300x200mm</t>
        </is>
      </c>
    </row>
    <row r="461">
      <c r="A461" t="inlineStr">
        <is>
          <t>SW-DAMPER-078-BLADE</t>
        </is>
      </c>
      <c r="B461" t="inlineStr">
        <is>
          <t>SW-DAMPER-078</t>
        </is>
      </c>
      <c r="C461" t="inlineStr">
        <is>
          <t>Lá cánh / Tôn tấm bọc van (2 cánh)</t>
        </is>
      </c>
      <c r="D461" t="inlineStr">
        <is>
          <t>TÔN_CUỘN_MẠ_KẼM</t>
        </is>
      </c>
      <c r="E461" t="inlineStr">
        <is>
          <t>MAT-STEEL-PN-1.15</t>
        </is>
      </c>
      <c r="F461" t="inlineStr">
        <is>
          <t>kg</t>
        </is>
      </c>
      <c r="G461" s="394" t="n">
        <v>4.333199999999999</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Tôn bọc cánh &amp; thân (2 cánh/modul)</t>
        </is>
      </c>
    </row>
    <row r="462">
      <c r="A462" t="inlineStr">
        <is>
          <t>SW-DAMPER-078-AXLE</t>
        </is>
      </c>
      <c r="B462" t="inlineStr">
        <is>
          <t>SW-DAMPER-078</t>
        </is>
      </c>
      <c r="C462" t="inlineStr">
        <is>
          <t>Trục Sus 201 D10</t>
        </is>
      </c>
      <c r="D462" t="inlineStr">
        <is>
          <t>PHỤ_KIỆN_VAN</t>
        </is>
      </c>
      <c r="E462" t="inlineStr">
        <is>
          <t>MAT-DAMPER-TRUC-SUS-201-D10</t>
        </is>
      </c>
      <c r="F462" t="inlineStr">
        <is>
          <t>m</t>
        </is>
      </c>
      <c r="G462" s="394" t="n">
        <v>1.72</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2 trục dài 860mm</t>
        </is>
      </c>
    </row>
    <row r="463">
      <c r="A463" t="inlineStr">
        <is>
          <t>SW-DAMPER-078-BEARING</t>
        </is>
      </c>
      <c r="B463" t="inlineStr">
        <is>
          <t>SW-DAMPER-078</t>
        </is>
      </c>
      <c r="C463" t="inlineStr">
        <is>
          <t>Bạc đồng D10</t>
        </is>
      </c>
      <c r="D463" t="inlineStr">
        <is>
          <t>PHỤ_KIỆN_VAN</t>
        </is>
      </c>
      <c r="E463" t="inlineStr">
        <is>
          <t>MAT-DAMPER-BAC-DONG-D10</t>
        </is>
      </c>
      <c r="F463" t="inlineStr">
        <is>
          <t>Đôi</t>
        </is>
      </c>
      <c r="G463" s="394" t="n">
        <v>2</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2 đôi bạc đỡ 2 bên thân</t>
        </is>
      </c>
    </row>
    <row r="464">
      <c r="A464" t="inlineStr">
        <is>
          <t>SW-DAMPER-078-GEAR</t>
        </is>
      </c>
      <c r="B464" t="inlineStr">
        <is>
          <t>SW-DAMPER-078</t>
        </is>
      </c>
      <c r="C464" t="inlineStr">
        <is>
          <t>Bánh răng van nhôm</t>
        </is>
      </c>
      <c r="D464" t="inlineStr">
        <is>
          <t>PHỤ_KIỆN_VAN</t>
        </is>
      </c>
      <c r="E464" t="inlineStr">
        <is>
          <t>MAT-DAMPER-BANH-RANG-VAN-NHOM</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Cơ cấu liên động cánh (1 bộ)</t>
        </is>
      </c>
    </row>
    <row r="465">
      <c r="A465" t="inlineStr">
        <is>
          <t>SW-DAMPER-078-ACTUATOR</t>
        </is>
      </c>
      <c r="B465" t="inlineStr">
        <is>
          <t>SW-DAMPER-078</t>
        </is>
      </c>
      <c r="C465" t="inlineStr">
        <is>
          <t>Động cơ chặn lửa ON/OFF 9Nm, 230V/24V (BELIMO BFN24 / BFN230)</t>
        </is>
      </c>
      <c r="D465" t="inlineStr">
        <is>
          <t>ĐỘNG_CƠ_VÀ_CẢM_BIẾN</t>
        </is>
      </c>
      <c r="E465" t="inlineStr">
        <is>
          <t>MAT-ACTUATOR-BELIMO-BFN24</t>
        </is>
      </c>
      <c r="F465" t="inlineStr">
        <is>
          <t>Cái</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Động cơ lò xo phản hồi MFD (1 bộ)</t>
        </is>
      </c>
    </row>
    <row r="466">
      <c r="A466" t="inlineStr">
        <is>
          <t>SW-DAMPER-078-FB10-BODY</t>
        </is>
      </c>
      <c r="B466" t="inlineStr">
        <is>
          <t>SW-DAMPER-078</t>
        </is>
      </c>
      <c r="C466" t="inlineStr">
        <is>
          <t>Tấm chống cháy dày 10mm bọc thân van FD/MFD (2 lớp)</t>
        </is>
      </c>
      <c r="D466" t="inlineStr">
        <is>
          <t>VẬT_LIỆU_CÁCH_NHIỆT</t>
        </is>
      </c>
      <c r="E466" t="inlineStr">
        <is>
          <t>MAT-FIREBOARD-10MM-BODY</t>
        </is>
      </c>
      <c r="F466" t="inlineStr">
        <is>
          <t>m2</t>
        </is>
      </c>
      <c r="G466" s="394" t="n">
        <v>1.32</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Bọc 2 lớp tấm 10mm quanh thân L=300mm</t>
        </is>
      </c>
    </row>
    <row r="467">
      <c r="A467" t="inlineStr">
        <is>
          <t>SW-DAMPER-078-FB20-BLADE</t>
        </is>
      </c>
      <c r="B467" t="inlineStr">
        <is>
          <t>SW-DAMPER-078</t>
        </is>
      </c>
      <c r="C467" t="inlineStr">
        <is>
          <t>Tấm chống cháy dày 20mm làm lõi cánh van FD/MFD</t>
        </is>
      </c>
      <c r="D467" t="inlineStr">
        <is>
          <t>VẬT_LIỆU_CÁCH_NHIỆT</t>
        </is>
      </c>
      <c r="E467" t="inlineStr">
        <is>
          <t>MAT-FIREBOARD-20MM-BLADE</t>
        </is>
      </c>
      <c r="F467" t="inlineStr">
        <is>
          <t>m2</t>
        </is>
      </c>
      <c r="G467" s="394" t="n">
        <v>0.3567322147651007</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Lõi cánh tấm 20mm (Đa cánh hệ số (H-5)/149=1.98, bản rộng 210mm, hao hụt 10%)</t>
        </is>
      </c>
    </row>
    <row r="468">
      <c r="A468" t="inlineStr">
        <is>
          <t>SW-DAMPER-078-FB10-BLADE</t>
        </is>
      </c>
      <c r="B468" t="inlineStr">
        <is>
          <t>SW-DAMPER-078</t>
        </is>
      </c>
      <c r="C468" t="inlineStr">
        <is>
          <t>Tấm chống cháy dày 10mm ốp 2 mặt cánh van FD/MFD</t>
        </is>
      </c>
      <c r="D468" t="inlineStr">
        <is>
          <t>VẬT_LIỆU_CÁCH_NHIỆT</t>
        </is>
      </c>
      <c r="E468" t="inlineStr">
        <is>
          <t>MAT-FIREBOARD-10MM-BLADE</t>
        </is>
      </c>
      <c r="F468" t="inlineStr">
        <is>
          <t>m2</t>
        </is>
      </c>
      <c r="G468" s="394" t="n">
        <v>0.731758389261745</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Ốp 2 mặt cánh tấm 10mm (Đa cánh hệ số (H-5)/149=1.98, bản rộng 210mm, hao hụt 10%)</t>
        </is>
      </c>
    </row>
    <row r="469">
      <c r="A469" t="inlineStr">
        <is>
          <t>SW-DAMPER-078-SPRING-BOX</t>
        </is>
      </c>
      <c r="B469" t="inlineStr">
        <is>
          <t>SW-DAMPER-078</t>
        </is>
      </c>
      <c r="C469" t="inlineStr">
        <is>
          <t>Hộp lò xo van chặn lửa FD/MFD</t>
        </is>
      </c>
      <c r="D469" t="inlineStr">
        <is>
          <t>PHỤ_KIỆN_VAN</t>
        </is>
      </c>
      <c r="E469" t="inlineStr">
        <is>
          <t>MAT-DAMPER-HOP-LO-XO</t>
        </is>
      </c>
      <c r="F469" t="inlineStr">
        <is>
          <t>Bộ</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Hộp lò xo cơ cấu đóng sập (1 bộ)</t>
        </is>
      </c>
    </row>
    <row r="470">
      <c r="A470" t="inlineStr">
        <is>
          <t>SW-DAMPER-078-SILICON-BOLT</t>
        </is>
      </c>
      <c r="B470" t="inlineStr">
        <is>
          <t>SW-DAMPER-078</t>
        </is>
      </c>
      <c r="C470" t="inlineStr">
        <is>
          <t>Silicon chống cháy + bu lông, ốc vít van FD/MFD</t>
        </is>
      </c>
      <c r="D470" t="inlineStr">
        <is>
          <t>PHỤ_KIỆN_VAN</t>
        </is>
      </c>
      <c r="E470" t="inlineStr">
        <is>
          <t>MAT-DAMPER-SILICON-BULONG-VIT</t>
        </is>
      </c>
      <c r="F470" t="inlineStr">
        <is>
          <t>Bộ</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Keo silicon chống cháy &amp; phụ kiện lắp ghép (1 bộ)</t>
        </is>
      </c>
    </row>
    <row r="471">
      <c r="A471" t="inlineStr">
        <is>
          <t>SW-DAMPER-079-BODY</t>
        </is>
      </c>
      <c r="B471" t="inlineStr">
        <is>
          <t>SW-DAMPER-079</t>
        </is>
      </c>
      <c r="C471" t="inlineStr">
        <is>
          <t>Thân vỏ van MFD bích C30/TDF (1.15mm)</t>
        </is>
      </c>
      <c r="D471" t="inlineStr">
        <is>
          <t>TÔN_CUỘN_MẠ_KẼM</t>
        </is>
      </c>
      <c r="E471" t="inlineStr">
        <is>
          <t>MAT-STEEL-PN-1.15</t>
        </is>
      </c>
      <c r="F471" t="inlineStr">
        <is>
          <t>kg</t>
        </is>
      </c>
      <c r="G471" s="394" t="n">
        <v>5.476893975</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Kích thước vỏ 650x400x200mm</t>
        </is>
      </c>
    </row>
    <row r="472">
      <c r="A472" t="inlineStr">
        <is>
          <t>SW-DAMPER-079-BLADE</t>
        </is>
      </c>
      <c r="B472" t="inlineStr">
        <is>
          <t>SW-DAMPER-079</t>
        </is>
      </c>
      <c r="C472" t="inlineStr">
        <is>
          <t>Lá cánh / Tôn tấm bọc van (3 cánh)</t>
        </is>
      </c>
      <c r="D472" t="inlineStr">
        <is>
          <t>TÔN_CUỘN_MẠ_KẼM</t>
        </is>
      </c>
      <c r="E472" t="inlineStr">
        <is>
          <t>MAT-STEEL-PN-1.15</t>
        </is>
      </c>
      <c r="F472" t="inlineStr">
        <is>
          <t>kg</t>
        </is>
      </c>
      <c r="G472" s="394" t="n">
        <v>4.694299999999999</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Tôn bọc cánh &amp; thân (3 cánh/modul)</t>
        </is>
      </c>
    </row>
    <row r="473">
      <c r="A473" t="inlineStr">
        <is>
          <t>SW-DAMPER-079-AXLE</t>
        </is>
      </c>
      <c r="B473" t="inlineStr">
        <is>
          <t>SW-DAMPER-079</t>
        </is>
      </c>
      <c r="C473" t="inlineStr">
        <is>
          <t>Trục Sus 201 D10</t>
        </is>
      </c>
      <c r="D473" t="inlineStr">
        <is>
          <t>PHỤ_KIỆN_VAN</t>
        </is>
      </c>
      <c r="E473" t="inlineStr">
        <is>
          <t>MAT-DAMPER-TRUC-SUS-201-D10</t>
        </is>
      </c>
      <c r="F473" t="inlineStr">
        <is>
          <t>m</t>
        </is>
      </c>
      <c r="G473" s="394" t="n">
        <v>2.13</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3 trục dài 710mm</t>
        </is>
      </c>
    </row>
    <row r="474">
      <c r="A474" t="inlineStr">
        <is>
          <t>SW-DAMPER-079-BEARING</t>
        </is>
      </c>
      <c r="B474" t="inlineStr">
        <is>
          <t>SW-DAMPER-079</t>
        </is>
      </c>
      <c r="C474" t="inlineStr">
        <is>
          <t>Bạc đồng D10</t>
        </is>
      </c>
      <c r="D474" t="inlineStr">
        <is>
          <t>PHỤ_KIỆN_VAN</t>
        </is>
      </c>
      <c r="E474" t="inlineStr">
        <is>
          <t>MAT-DAMPER-BAC-DONG-D10</t>
        </is>
      </c>
      <c r="F474" t="inlineStr">
        <is>
          <t>Đôi</t>
        </is>
      </c>
      <c r="G474" s="394" t="n">
        <v>3</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3 đôi bạc đỡ 2 bên thân</t>
        </is>
      </c>
    </row>
    <row r="475">
      <c r="A475" t="inlineStr">
        <is>
          <t>SW-DAMPER-079-GEAR</t>
        </is>
      </c>
      <c r="B475" t="inlineStr">
        <is>
          <t>SW-DAMPER-079</t>
        </is>
      </c>
      <c r="C475" t="inlineStr">
        <is>
          <t>Bánh răng van nhôm</t>
        </is>
      </c>
      <c r="D475" t="inlineStr">
        <is>
          <t>PHỤ_KIỆN_VAN</t>
        </is>
      </c>
      <c r="E475" t="inlineStr">
        <is>
          <t>MAT-DAMPER-BANH-RANG-VAN-NHOM</t>
        </is>
      </c>
      <c r="F475" t="inlineStr">
        <is>
          <t>Bộ</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Cơ cấu liên động cánh (1 bộ)</t>
        </is>
      </c>
    </row>
    <row r="476">
      <c r="A476" t="inlineStr">
        <is>
          <t>SW-DAMPER-079-ACTUATOR</t>
        </is>
      </c>
      <c r="B476" t="inlineStr">
        <is>
          <t>SW-DAMPER-079</t>
        </is>
      </c>
      <c r="C476" t="inlineStr">
        <is>
          <t>Động cơ chặn lửa ON/OFF 9Nm, 230V/24V (BELIMO BFN24 / BFN230)</t>
        </is>
      </c>
      <c r="D476" t="inlineStr">
        <is>
          <t>ĐỘNG_CƠ_VÀ_CẢM_BIẾN</t>
        </is>
      </c>
      <c r="E476" t="inlineStr">
        <is>
          <t>MAT-ACTUATOR-BELIMO-BFN24</t>
        </is>
      </c>
      <c r="F476" t="inlineStr">
        <is>
          <t>Cái</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Động cơ lò xo phản hồi MFD (1 bộ)</t>
        </is>
      </c>
    </row>
    <row r="477">
      <c r="A477" t="inlineStr">
        <is>
          <t>SW-DAMPER-079-FB10-BODY</t>
        </is>
      </c>
      <c r="B477" t="inlineStr">
        <is>
          <t>SW-DAMPER-079</t>
        </is>
      </c>
      <c r="C477" t="inlineStr">
        <is>
          <t>Tấm chống cháy dày 10mm bọc thân van FD/MFD (2 lớp)</t>
        </is>
      </c>
      <c r="D477" t="inlineStr">
        <is>
          <t>VẬT_LIỆU_CÁCH_NHIỆT</t>
        </is>
      </c>
      <c r="E477" t="inlineStr">
        <is>
          <t>MAT-FIREBOARD-10MM-BODY</t>
        </is>
      </c>
      <c r="F477" t="inlineStr">
        <is>
          <t>m2</t>
        </is>
      </c>
      <c r="G477" s="394" t="n">
        <v>1.26</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Bọc 2 lớp tấm 10mm quanh thân L=300mm</t>
        </is>
      </c>
    </row>
    <row r="478">
      <c r="A478" t="inlineStr">
        <is>
          <t>SW-DAMPER-079-FB20-BLADE</t>
        </is>
      </c>
      <c r="B478" t="inlineStr">
        <is>
          <t>SW-DAMPER-079</t>
        </is>
      </c>
      <c r="C478" t="inlineStr">
        <is>
          <t>Tấm chống cháy dày 20mm làm lõi cánh van FD/MFD</t>
        </is>
      </c>
      <c r="D478" t="inlineStr">
        <is>
          <t>VẬT_LIỆU_CÁCH_NHIỆT</t>
        </is>
      </c>
      <c r="E478" t="inlineStr">
        <is>
          <t>MAT-FIREBOARD-20MM-BLADE</t>
        </is>
      </c>
      <c r="F478" t="inlineStr">
        <is>
          <t>m2</t>
        </is>
      </c>
      <c r="G478" s="394" t="n">
        <v>0.3858010067114094</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Lõi cánh tấm 20mm (Đa cánh hệ số (H-5)/149=2.65, bản rộng 210mm, hao hụt 10%)</t>
        </is>
      </c>
    </row>
    <row r="479">
      <c r="A479" t="inlineStr">
        <is>
          <t>SW-DAMPER-079-FB10-BLADE</t>
        </is>
      </c>
      <c r="B479" t="inlineStr">
        <is>
          <t>SW-DAMPER-079</t>
        </is>
      </c>
      <c r="C479" t="inlineStr">
        <is>
          <t>Tấm chống cháy dày 10mm ốp 2 mặt cánh van FD/MFD</t>
        </is>
      </c>
      <c r="D479" t="inlineStr">
        <is>
          <t>VẬT_LIỆU_CÁCH_NHIỆT</t>
        </is>
      </c>
      <c r="E479" t="inlineStr">
        <is>
          <t>MAT-FIREBOARD-10MM-BLADE</t>
        </is>
      </c>
      <c r="F479" t="inlineStr">
        <is>
          <t>m2</t>
        </is>
      </c>
      <c r="G479" s="394" t="n">
        <v>0.7960973154362417</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Ốp 2 mặt cánh tấm 10mm (Đa cánh hệ số (H-5)/149=2.65, bản rộng 210mm, hao hụt 10%)</t>
        </is>
      </c>
    </row>
    <row r="480">
      <c r="A480" t="inlineStr">
        <is>
          <t>SW-DAMPER-079-SPRING-BOX</t>
        </is>
      </c>
      <c r="B480" t="inlineStr">
        <is>
          <t>SW-DAMPER-079</t>
        </is>
      </c>
      <c r="C480" t="inlineStr">
        <is>
          <t>Hộp lò xo van chặn lửa FD/MFD</t>
        </is>
      </c>
      <c r="D480" t="inlineStr">
        <is>
          <t>PHỤ_KIỆN_VAN</t>
        </is>
      </c>
      <c r="E480" t="inlineStr">
        <is>
          <t>MAT-DAMPER-HOP-LO-XO</t>
        </is>
      </c>
      <c r="F480" t="inlineStr">
        <is>
          <t>Bộ</t>
        </is>
      </c>
      <c r="G480" s="394" t="n">
        <v>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Hộp lò xo cơ cấu đóng sập (1 bộ)</t>
        </is>
      </c>
    </row>
    <row r="481">
      <c r="A481" t="inlineStr">
        <is>
          <t>SW-DAMPER-079-SILICON-BOLT</t>
        </is>
      </c>
      <c r="B481" t="inlineStr">
        <is>
          <t>SW-DAMPER-079</t>
        </is>
      </c>
      <c r="C481" t="inlineStr">
        <is>
          <t>Silicon chống cháy + bu lông, ốc vít van FD/MFD</t>
        </is>
      </c>
      <c r="D481" t="inlineStr">
        <is>
          <t>PHỤ_KIỆN_VAN</t>
        </is>
      </c>
      <c r="E481" t="inlineStr">
        <is>
          <t>MAT-DAMPER-SILICON-BULONG-VIT</t>
        </is>
      </c>
      <c r="F481" t="inlineStr">
        <is>
          <t>Bộ</t>
        </is>
      </c>
      <c r="G481" s="394" t="n">
        <v>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Keo silicon chống cháy &amp; phụ kiện lắp ghép (1 bộ)</t>
        </is>
      </c>
    </row>
    <row r="482">
      <c r="A482" t="inlineStr">
        <is>
          <t>SW-DAMPER-080-BODY</t>
        </is>
      </c>
      <c r="B482" t="inlineStr">
        <is>
          <t>SW-DAMPER-080</t>
        </is>
      </c>
      <c r="C482" t="inlineStr">
        <is>
          <t>Thân vỏ van VCD bích C30/TDF (0.75mm)</t>
        </is>
      </c>
      <c r="D482" t="inlineStr">
        <is>
          <t>TÔN_CUỘN_MẠ_KẼM</t>
        </is>
      </c>
      <c r="E482" t="inlineStr">
        <is>
          <t>MAT-STEEL-PN-0.75</t>
        </is>
      </c>
      <c r="F482" t="inlineStr">
        <is>
          <t>kg</t>
        </is>
      </c>
      <c r="G482" s="394" t="n">
        <v>2.146347</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Kích thước vỏ 300x300x210mm</t>
        </is>
      </c>
    </row>
    <row r="483">
      <c r="A483" t="inlineStr">
        <is>
          <t>SW-DAMPER-080-BLADE</t>
        </is>
      </c>
      <c r="B483" t="inlineStr">
        <is>
          <t>SW-DAMPER-080</t>
        </is>
      </c>
      <c r="C483" t="inlineStr">
        <is>
          <t>Lá cánh / Tôn tấm bọc van (2 cánh)</t>
        </is>
      </c>
      <c r="D483" t="inlineStr">
        <is>
          <t>TÔN_CUỘN_MẠ_KẼM</t>
        </is>
      </c>
      <c r="E483" t="inlineStr">
        <is>
          <t>MAT-STEEL-PN-0.75</t>
        </is>
      </c>
      <c r="F483" t="inlineStr">
        <is>
          <t>kg</t>
        </is>
      </c>
      <c r="G483" s="394" t="n">
        <v>0.648567</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2 cánh cao 170mm</t>
        </is>
      </c>
    </row>
    <row r="484">
      <c r="A484" t="inlineStr">
        <is>
          <t>SW-DAMPER-080-AXLE</t>
        </is>
      </c>
      <c r="B484" t="inlineStr">
        <is>
          <t>SW-DAMPER-080</t>
        </is>
      </c>
      <c r="C484" t="inlineStr">
        <is>
          <t>Trục Sus 201 D10</t>
        </is>
      </c>
      <c r="D484" t="inlineStr">
        <is>
          <t>PHỤ_KIỆN_VAN</t>
        </is>
      </c>
      <c r="E484" t="inlineStr">
        <is>
          <t>MAT-DAMPER-TRUC-SUS-201-D10</t>
        </is>
      </c>
      <c r="F484" t="inlineStr">
        <is>
          <t>m</t>
        </is>
      </c>
      <c r="G484" s="394" t="n">
        <v>0.72</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2 trục dài 360mm</t>
        </is>
      </c>
    </row>
    <row r="485">
      <c r="A485" t="inlineStr">
        <is>
          <t>SW-DAMPER-080-BEARING</t>
        </is>
      </c>
      <c r="B485" t="inlineStr">
        <is>
          <t>SW-DAMPER-080</t>
        </is>
      </c>
      <c r="C485" t="inlineStr">
        <is>
          <t>Bạc đồng D10</t>
        </is>
      </c>
      <c r="D485" t="inlineStr">
        <is>
          <t>PHỤ_KIỆN_VAN</t>
        </is>
      </c>
      <c r="E485" t="inlineStr">
        <is>
          <t>MAT-DAMPER-BAC-DONG-D10</t>
        </is>
      </c>
      <c r="F485" t="inlineStr">
        <is>
          <t>Đôi</t>
        </is>
      </c>
      <c r="G485" s="394" t="n">
        <v>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2 đôi bạc đỡ 2 bên thân</t>
        </is>
      </c>
    </row>
    <row r="486">
      <c r="A486" t="inlineStr">
        <is>
          <t>SW-DAMPER-080-GEAR</t>
        </is>
      </c>
      <c r="B486" t="inlineStr">
        <is>
          <t>SW-DAMPER-080</t>
        </is>
      </c>
      <c r="C486" t="inlineStr">
        <is>
          <t>Bánh răng van nhôm</t>
        </is>
      </c>
      <c r="D486" t="inlineStr">
        <is>
          <t>PHỤ_KIỆN_VAN</t>
        </is>
      </c>
      <c r="E486" t="inlineStr">
        <is>
          <t>MAT-DAMPER-BANH-RANG-VAN-NHOM</t>
        </is>
      </c>
      <c r="F486" t="inlineStr">
        <is>
          <t>Bộ</t>
        </is>
      </c>
      <c r="G486" s="394" t="n">
        <v>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Cơ cấu liên động cánh (1 bộ)</t>
        </is>
      </c>
    </row>
    <row r="487">
      <c r="A487" t="inlineStr">
        <is>
          <t>SW-DAMPER-080-HANDLE</t>
        </is>
      </c>
      <c r="B487" t="inlineStr">
        <is>
          <t>SW-DAMPER-080</t>
        </is>
      </c>
      <c r="C487" t="inlineStr">
        <is>
          <t>Tay gạt nhỏ</t>
        </is>
      </c>
      <c r="D487" t="inlineStr">
        <is>
          <t>PHỤ_KIỆN_VAN</t>
        </is>
      </c>
      <c r="E487" t="inlineStr">
        <is>
          <t>MAT-DAMPER-TAY-GAT-NHO</t>
        </is>
      </c>
      <c r="F487" t="inlineStr">
        <is>
          <t>Bộ</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Tay gạt khóa vị trí nan (S=0.09m2)</t>
        </is>
      </c>
    </row>
    <row r="488">
      <c r="A488" t="inlineStr">
        <is>
          <t>SW-DAMPER-081-BODY</t>
        </is>
      </c>
      <c r="B488" t="inlineStr">
        <is>
          <t>SW-DAMPER-081</t>
        </is>
      </c>
      <c r="C488" t="inlineStr">
        <is>
          <t>Thân vỏ van VCD bích C30/TDF (0.75mm)</t>
        </is>
      </c>
      <c r="D488" t="inlineStr">
        <is>
          <t>TÔN_CUỘN_MẠ_KẼM</t>
        </is>
      </c>
      <c r="E488" t="inlineStr">
        <is>
          <t>MAT-STEEL-PN-0.75</t>
        </is>
      </c>
      <c r="F488" t="inlineStr">
        <is>
          <t>kg</t>
        </is>
      </c>
      <c r="G488" s="394" t="n">
        <v>1.6270695</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Kích thước vỏ 250x200x210mm</t>
        </is>
      </c>
    </row>
    <row r="489">
      <c r="A489" t="inlineStr">
        <is>
          <t>SW-DAMPER-081-BLADE</t>
        </is>
      </c>
      <c r="B489" t="inlineStr">
        <is>
          <t>SW-DAMPER-081</t>
        </is>
      </c>
      <c r="C489" t="inlineStr">
        <is>
          <t>Lá cánh / Tôn tấm bọc van (2 cánh)</t>
        </is>
      </c>
      <c r="D489" t="inlineStr">
        <is>
          <t>TÔN_CUỘN_MẠ_KẼM</t>
        </is>
      </c>
      <c r="E489" t="inlineStr">
        <is>
          <t>MAT-STEEL-PN-0.75</t>
        </is>
      </c>
      <c r="F489" t="inlineStr">
        <is>
          <t>kg</t>
        </is>
      </c>
      <c r="G489" s="394" t="n">
        <v>0.38151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cánh cao 120mm</t>
        </is>
      </c>
    </row>
    <row r="490">
      <c r="A490" t="inlineStr">
        <is>
          <t>SW-DAMPER-081-AXLE</t>
        </is>
      </c>
      <c r="B490" t="inlineStr">
        <is>
          <t>SW-DAMPER-081</t>
        </is>
      </c>
      <c r="C490" t="inlineStr">
        <is>
          <t>Trục Sus 201 D10</t>
        </is>
      </c>
      <c r="D490" t="inlineStr">
        <is>
          <t>PHỤ_KIỆN_VAN</t>
        </is>
      </c>
      <c r="E490" t="inlineStr">
        <is>
          <t>MAT-DAMPER-TRUC-SUS-201-D10</t>
        </is>
      </c>
      <c r="F490" t="inlineStr">
        <is>
          <t>m</t>
        </is>
      </c>
      <c r="G490" s="394" t="n">
        <v>0.62</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2 trục dài 310mm</t>
        </is>
      </c>
    </row>
    <row r="491">
      <c r="A491" t="inlineStr">
        <is>
          <t>SW-DAMPER-081-BEARING</t>
        </is>
      </c>
      <c r="B491" t="inlineStr">
        <is>
          <t>SW-DAMPER-081</t>
        </is>
      </c>
      <c r="C491" t="inlineStr">
        <is>
          <t>Bạc đồng D10</t>
        </is>
      </c>
      <c r="D491" t="inlineStr">
        <is>
          <t>PHỤ_KIỆN_VAN</t>
        </is>
      </c>
      <c r="E491" t="inlineStr">
        <is>
          <t>MAT-DAMPER-BAC-DONG-D10</t>
        </is>
      </c>
      <c r="F491" t="inlineStr">
        <is>
          <t>Đôi</t>
        </is>
      </c>
      <c r="G491" s="394" t="n">
        <v>2</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2 đôi bạc đỡ 2 bên thân</t>
        </is>
      </c>
    </row>
    <row r="492">
      <c r="A492" t="inlineStr">
        <is>
          <t>SW-DAMPER-081-GEAR</t>
        </is>
      </c>
      <c r="B492" t="inlineStr">
        <is>
          <t>SW-DAMPER-081</t>
        </is>
      </c>
      <c r="C492" t="inlineStr">
        <is>
          <t>Bánh răng van nhôm</t>
        </is>
      </c>
      <c r="D492" t="inlineStr">
        <is>
          <t>PHỤ_KIỆN_VAN</t>
        </is>
      </c>
      <c r="E492" t="inlineStr">
        <is>
          <t>MAT-DAMPER-BANH-RANG-VAN-NHOM</t>
        </is>
      </c>
      <c r="F492" t="inlineStr">
        <is>
          <t>Bộ</t>
        </is>
      </c>
      <c r="G492" s="394" t="n">
        <v>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Cơ cấu liên động cánh (1 bộ)</t>
        </is>
      </c>
    </row>
    <row r="493">
      <c r="A493" t="inlineStr">
        <is>
          <t>SW-DAMPER-081-HANDLE</t>
        </is>
      </c>
      <c r="B493" t="inlineStr">
        <is>
          <t>SW-DAMPER-081</t>
        </is>
      </c>
      <c r="C493" t="inlineStr">
        <is>
          <t>Tay gạt nhỏ</t>
        </is>
      </c>
      <c r="D493" t="inlineStr">
        <is>
          <t>PHỤ_KIỆN_VAN</t>
        </is>
      </c>
      <c r="E493" t="inlineStr">
        <is>
          <t>MAT-DAMPER-TAY-GAT-NHO</t>
        </is>
      </c>
      <c r="F493" t="inlineStr">
        <is>
          <t>Bộ</t>
        </is>
      </c>
      <c r="G493" s="394" t="n">
        <v>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Tay gạt khóa vị trí nan (S=0.05m2)</t>
        </is>
      </c>
    </row>
    <row r="494">
      <c r="A494" t="inlineStr">
        <is>
          <t>SW-DAMPER-107-BODY</t>
        </is>
      </c>
      <c r="B494" t="inlineStr">
        <is>
          <t>SW-DAMPER-107</t>
        </is>
      </c>
      <c r="C494" t="inlineStr">
        <is>
          <t>Thân vỏ van NRD bích C30/TDF (0.75mm)</t>
        </is>
      </c>
      <c r="D494" t="inlineStr">
        <is>
          <t>TÔN_CUỘN_MẠ_KẼM</t>
        </is>
      </c>
      <c r="E494" t="inlineStr">
        <is>
          <t>MAT-STEEL-PN-0.75</t>
        </is>
      </c>
      <c r="F494" t="inlineStr">
        <is>
          <t>kg</t>
        </is>
      </c>
      <c r="G494" s="394" t="n">
        <v>18.278568</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Kích thước vỏ 1350x1250x210mm (4 modul 675x625mm)</t>
        </is>
      </c>
    </row>
    <row r="495">
      <c r="A495" t="inlineStr">
        <is>
          <t>SW-DAMPER-107-BLADE</t>
        </is>
      </c>
      <c r="B495" t="inlineStr">
        <is>
          <t>SW-DAMPER-107</t>
        </is>
      </c>
      <c r="C495" t="inlineStr">
        <is>
          <t>Lá cánh / Tôn tấm bọc van (16 cánh)</t>
        </is>
      </c>
      <c r="D495" t="inlineStr">
        <is>
          <t>TÔN_CUỘN_MẠ_KẼM</t>
        </is>
      </c>
      <c r="E495" t="inlineStr">
        <is>
          <t>MAT-STEEL-PN-0.75</t>
        </is>
      </c>
      <c r="F495" t="inlineStr">
        <is>
          <t>kg</t>
        </is>
      </c>
      <c r="G495" s="394" t="n">
        <v>12.10340475</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16 cánh cao 176mm (4 modul 675x625mm)</t>
        </is>
      </c>
    </row>
    <row r="496">
      <c r="A496" t="inlineStr">
        <is>
          <t>SW-DAMPER-107-AXLE</t>
        </is>
      </c>
      <c r="B496" t="inlineStr">
        <is>
          <t>SW-DAMPER-107</t>
        </is>
      </c>
      <c r="C496" t="inlineStr">
        <is>
          <t>Trục Sus 201 D10</t>
        </is>
      </c>
      <c r="D496" t="inlineStr">
        <is>
          <t>PHỤ_KIỆN_VAN</t>
        </is>
      </c>
      <c r="E496" t="inlineStr">
        <is>
          <t>MAT-DAMPER-TRUC-SUS-201-D10</t>
        </is>
      </c>
      <c r="F496" t="inlineStr">
        <is>
          <t>m</t>
        </is>
      </c>
      <c r="G496" s="394" t="n">
        <v>11.76</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16 trục dài 735mm</t>
        </is>
      </c>
    </row>
    <row r="497">
      <c r="A497" t="inlineStr">
        <is>
          <t>SW-DAMPER-107-BEARING</t>
        </is>
      </c>
      <c r="B497" t="inlineStr">
        <is>
          <t>SW-DAMPER-107</t>
        </is>
      </c>
      <c r="C497" t="inlineStr">
        <is>
          <t>Bạc đồng D10</t>
        </is>
      </c>
      <c r="D497" t="inlineStr">
        <is>
          <t>PHỤ_KIỆN_VAN</t>
        </is>
      </c>
      <c r="E497" t="inlineStr">
        <is>
          <t>MAT-DAMPER-BAC-DONG-D10</t>
        </is>
      </c>
      <c r="F497" t="inlineStr">
        <is>
          <t>Đôi</t>
        </is>
      </c>
      <c r="G497" s="394" t="n">
        <v>16</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16 đôi bạc đỡ 2 bên thân</t>
        </is>
      </c>
    </row>
    <row r="498">
      <c r="A498" t="inlineStr">
        <is>
          <t>SW-DAMPER-107-GEAR</t>
        </is>
      </c>
      <c r="B498" t="inlineStr">
        <is>
          <t>SW-DAMPER-107</t>
        </is>
      </c>
      <c r="C498" t="inlineStr">
        <is>
          <t>Bánh răng van nhôm</t>
        </is>
      </c>
      <c r="D498" t="inlineStr">
        <is>
          <t>PHỤ_KIỆN_VAN</t>
        </is>
      </c>
      <c r="E498" t="inlineStr">
        <is>
          <t>MAT-DAMPER-BANH-RANG-VAN-NHOM</t>
        </is>
      </c>
      <c r="F498" t="inlineStr">
        <is>
          <t>Bộ</t>
        </is>
      </c>
      <c r="G498" s="394" t="n">
        <v>4</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Cơ cấu liên động cánh (4 bộ)</t>
        </is>
      </c>
    </row>
    <row r="499">
      <c r="A499" t="inlineStr">
        <is>
          <t>SW-DAMPER-107-ECCENTRIC</t>
        </is>
      </c>
      <c r="B499" t="inlineStr">
        <is>
          <t>SW-DAMPER-107</t>
        </is>
      </c>
      <c r="C499" t="inlineStr">
        <is>
          <t>Cơ cấu lệch tâm / Lò xo đóng mở (NRD)</t>
        </is>
      </c>
      <c r="D499" t="inlineStr">
        <is>
          <t>PHỤ_KIỆN_VAN</t>
        </is>
      </c>
      <c r="E499" t="inlineStr">
        <is>
          <t>ECCENTRIC_SHAFT</t>
        </is>
      </c>
      <c r="F499" t="inlineStr">
        <is>
          <t>Bộ</t>
        </is>
      </c>
      <c r="G499" s="394" t="n">
        <v>4</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Cơ cấu đóng mở một chiều</t>
        </is>
      </c>
    </row>
    <row r="500">
      <c r="A500" t="inlineStr">
        <is>
          <t>SW-DAMPER-108-BODY</t>
        </is>
      </c>
      <c r="B500" t="inlineStr">
        <is>
          <t>SW-DAMPER-108</t>
        </is>
      </c>
      <c r="C500" t="inlineStr">
        <is>
          <t>Thân vỏ van NRD bích C30/TDF (0.75mm)</t>
        </is>
      </c>
      <c r="D500" t="inlineStr">
        <is>
          <t>TÔN_CUỘN_MẠ_KẼM</t>
        </is>
      </c>
      <c r="E500" t="inlineStr">
        <is>
          <t>MAT-STEEL-PN-0.75</t>
        </is>
      </c>
      <c r="F500" t="inlineStr">
        <is>
          <t>kg</t>
        </is>
      </c>
      <c r="G500" s="394" t="n">
        <v>8.620006500000001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1250x600x210mm (2 modul 625x600mm)</t>
        </is>
      </c>
    </row>
    <row r="501">
      <c r="A501" t="inlineStr">
        <is>
          <t>SW-DAMPER-108-BLADE</t>
        </is>
      </c>
      <c r="B501" t="inlineStr">
        <is>
          <t>SW-DAMPER-108</t>
        </is>
      </c>
      <c r="C501" t="inlineStr">
        <is>
          <t>Lá cánh / Tôn tấm bọc van (8 cánh)</t>
        </is>
      </c>
      <c r="D501" t="inlineStr">
        <is>
          <t>TÔN_CUỘN_MẠ_KẼM</t>
        </is>
      </c>
      <c r="E501" t="inlineStr">
        <is>
          <t>MAT-STEEL-PN-0.75</t>
        </is>
      </c>
      <c r="F501" t="inlineStr">
        <is>
          <t>kg</t>
        </is>
      </c>
      <c r="G501" s="394" t="n">
        <v>5.404725</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8 cánh cao 170mm (2 modul 625x600mm)</t>
        </is>
      </c>
    </row>
    <row r="502">
      <c r="A502" t="inlineStr">
        <is>
          <t>SW-DAMPER-108-AXLE</t>
        </is>
      </c>
      <c r="B502" t="inlineStr">
        <is>
          <t>SW-DAMPER-108</t>
        </is>
      </c>
      <c r="C502" t="inlineStr">
        <is>
          <t>Trục Sus 201 D10</t>
        </is>
      </c>
      <c r="D502" t="inlineStr">
        <is>
          <t>PHỤ_KIỆN_VAN</t>
        </is>
      </c>
      <c r="E502" t="inlineStr">
        <is>
          <t>MAT-DAMPER-TRUC-SUS-201-D10</t>
        </is>
      </c>
      <c r="F502" t="inlineStr">
        <is>
          <t>m</t>
        </is>
      </c>
      <c r="G502" s="394" t="n">
        <v>5.48</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8 trục dài 685mm</t>
        </is>
      </c>
    </row>
    <row r="503">
      <c r="A503" t="inlineStr">
        <is>
          <t>SW-DAMPER-108-BEARING</t>
        </is>
      </c>
      <c r="B503" t="inlineStr">
        <is>
          <t>SW-DAMPER-108</t>
        </is>
      </c>
      <c r="C503" t="inlineStr">
        <is>
          <t>Bạc đồng D10</t>
        </is>
      </c>
      <c r="D503" t="inlineStr">
        <is>
          <t>PHỤ_KIỆN_VAN</t>
        </is>
      </c>
      <c r="E503" t="inlineStr">
        <is>
          <t>MAT-DAMPER-BAC-DONG-D10</t>
        </is>
      </c>
      <c r="F503" t="inlineStr">
        <is>
          <t>Đôi</t>
        </is>
      </c>
      <c r="G503" s="394" t="n">
        <v>8</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8 đôi bạc đỡ 2 bên thân</t>
        </is>
      </c>
    </row>
    <row r="504">
      <c r="A504" t="inlineStr">
        <is>
          <t>SW-DAMPER-108-GEAR</t>
        </is>
      </c>
      <c r="B504" t="inlineStr">
        <is>
          <t>SW-DAMPER-108</t>
        </is>
      </c>
      <c r="C504" t="inlineStr">
        <is>
          <t>Bánh răng van nhôm</t>
        </is>
      </c>
      <c r="D504" t="inlineStr">
        <is>
          <t>PHỤ_KIỆN_VAN</t>
        </is>
      </c>
      <c r="E504" t="inlineStr">
        <is>
          <t>MAT-DAMPER-BANH-RANG-VAN-NHOM</t>
        </is>
      </c>
      <c r="F504" t="inlineStr">
        <is>
          <t>Bộ</t>
        </is>
      </c>
      <c r="G504" s="394" t="n">
        <v>2</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cánh (2 bộ)</t>
        </is>
      </c>
    </row>
    <row r="505">
      <c r="A505" t="inlineStr">
        <is>
          <t>SW-DAMPER-108-ECCENTRIC</t>
        </is>
      </c>
      <c r="B505" t="inlineStr">
        <is>
          <t>SW-DAMPER-108</t>
        </is>
      </c>
      <c r="C505" t="inlineStr">
        <is>
          <t>Cơ cấu lệch tâm / Lò xo đóng mở (NRD)</t>
        </is>
      </c>
      <c r="D505" t="inlineStr">
        <is>
          <t>PHỤ_KIỆN_VAN</t>
        </is>
      </c>
      <c r="E505" t="inlineStr">
        <is>
          <t>ECCENTRIC_SHAFT</t>
        </is>
      </c>
      <c r="F505" t="inlineStr">
        <is>
          <t>Bộ</t>
        </is>
      </c>
      <c r="G505" s="394" t="n">
        <v>2</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Cơ cấu đóng mở một chiều</t>
        </is>
      </c>
    </row>
    <row r="506">
      <c r="A506" t="inlineStr">
        <is>
          <t>SW-DAMPER-109-BODY</t>
        </is>
      </c>
      <c r="B506" t="inlineStr">
        <is>
          <t>SW-DAMPER-109</t>
        </is>
      </c>
      <c r="C506" t="inlineStr">
        <is>
          <t>Thân vỏ van NRD bích C30/TDF (0.75mm)</t>
        </is>
      </c>
      <c r="D506" t="inlineStr">
        <is>
          <t>TÔN_CUỘN_MẠ_KẼM</t>
        </is>
      </c>
      <c r="E506" t="inlineStr">
        <is>
          <t>MAT-STEEL-PN-0.75</t>
        </is>
      </c>
      <c r="F506" t="inlineStr">
        <is>
          <t>kg</t>
        </is>
      </c>
      <c r="G506" s="394" t="n">
        <v>3.7041795</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Kích thước vỏ 800x250x210mm</t>
        </is>
      </c>
    </row>
    <row r="507">
      <c r="A507" t="inlineStr">
        <is>
          <t>SW-DAMPER-109-BLADE</t>
        </is>
      </c>
      <c r="B507" t="inlineStr">
        <is>
          <t>SW-DAMPER-109</t>
        </is>
      </c>
      <c r="C507" t="inlineStr">
        <is>
          <t>Lá cánh / Tôn tấm bọc van (2 cánh)</t>
        </is>
      </c>
      <c r="D507" t="inlineStr">
        <is>
          <t>TÔN_CUỘN_MẠ_KẼM</t>
        </is>
      </c>
      <c r="E507" t="inlineStr">
        <is>
          <t>MAT-STEEL-PN-0.75</t>
        </is>
      </c>
      <c r="F507" t="inlineStr">
        <is>
          <t>kg</t>
        </is>
      </c>
      <c r="G507" s="394" t="n">
        <v>1.475172</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2 cánh cao 145mm</t>
        </is>
      </c>
    </row>
    <row r="508">
      <c r="A508" t="inlineStr">
        <is>
          <t>SW-DAMPER-109-AXLE</t>
        </is>
      </c>
      <c r="B508" t="inlineStr">
        <is>
          <t>SW-DAMPER-109</t>
        </is>
      </c>
      <c r="C508" t="inlineStr">
        <is>
          <t>Trục Sus 201 D10</t>
        </is>
      </c>
      <c r="D508" t="inlineStr">
        <is>
          <t>PHỤ_KIỆN_VAN</t>
        </is>
      </c>
      <c r="E508" t="inlineStr">
        <is>
          <t>MAT-DAMPER-TRUC-SUS-201-D10</t>
        </is>
      </c>
      <c r="F508" t="inlineStr">
        <is>
          <t>m</t>
        </is>
      </c>
      <c r="G508" s="394" t="n">
        <v>1.72</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trục dài 860mm</t>
        </is>
      </c>
    </row>
    <row r="509">
      <c r="A509" t="inlineStr">
        <is>
          <t>SW-DAMPER-109-BEARING</t>
        </is>
      </c>
      <c r="B509" t="inlineStr">
        <is>
          <t>SW-DAMPER-109</t>
        </is>
      </c>
      <c r="C509" t="inlineStr">
        <is>
          <t>Bạc đồng D10</t>
        </is>
      </c>
      <c r="D509" t="inlineStr">
        <is>
          <t>PHỤ_KIỆN_VAN</t>
        </is>
      </c>
      <c r="E509" t="inlineStr">
        <is>
          <t>MAT-DAMPER-BAC-DONG-D10</t>
        </is>
      </c>
      <c r="F509" t="inlineStr">
        <is>
          <t>Đôi</t>
        </is>
      </c>
      <c r="G509" s="394" t="n">
        <v>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đôi bạc đỡ 2 bên thân</t>
        </is>
      </c>
    </row>
    <row r="510">
      <c r="A510" t="inlineStr">
        <is>
          <t>SW-DAMPER-109-GEAR</t>
        </is>
      </c>
      <c r="B510" t="inlineStr">
        <is>
          <t>SW-DAMPER-109</t>
        </is>
      </c>
      <c r="C510" t="inlineStr">
        <is>
          <t>Bánh răng van nhôm</t>
        </is>
      </c>
      <c r="D510" t="inlineStr">
        <is>
          <t>PHỤ_KIỆN_VAN</t>
        </is>
      </c>
      <c r="E510" t="inlineStr">
        <is>
          <t>MAT-DAMPER-BANH-RANG-VAN-NHOM</t>
        </is>
      </c>
      <c r="F510" t="inlineStr">
        <is>
          <t>Bộ</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Cơ cấu liên động cánh (1 bộ)</t>
        </is>
      </c>
    </row>
    <row r="511">
      <c r="A511" t="inlineStr">
        <is>
          <t>SW-DAMPER-109-ECCENTRIC</t>
        </is>
      </c>
      <c r="B511" t="inlineStr">
        <is>
          <t>SW-DAMPER-109</t>
        </is>
      </c>
      <c r="C511" t="inlineStr">
        <is>
          <t>Cơ cấu lệch tâm / Lò xo đóng mở (NRD)</t>
        </is>
      </c>
      <c r="D511" t="inlineStr">
        <is>
          <t>PHỤ_KIỆN_VAN</t>
        </is>
      </c>
      <c r="E511" t="inlineStr">
        <is>
          <t>ECCENTRIC_SHAFT</t>
        </is>
      </c>
      <c r="F511" t="inlineStr">
        <is>
          <t>Bộ</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Cơ cấu đóng mở một chiều</t>
        </is>
      </c>
    </row>
    <row r="512">
      <c r="A512" t="inlineStr">
        <is>
          <t>SW-DAMPER-110-BODY</t>
        </is>
      </c>
      <c r="B512" t="inlineStr">
        <is>
          <t>SW-DAMPER-110</t>
        </is>
      </c>
      <c r="C512" t="inlineStr">
        <is>
          <t>Thân vỏ van NRD bích C30/TDF (0.75mm)</t>
        </is>
      </c>
      <c r="D512" t="inlineStr">
        <is>
          <t>TÔN_CUỘN_MẠ_KẼM</t>
        </is>
      </c>
      <c r="E512" t="inlineStr">
        <is>
          <t>MAT-STEEL-PN-0.75</t>
        </is>
      </c>
      <c r="F512" t="inlineStr">
        <is>
          <t>kg</t>
        </is>
      </c>
      <c r="G512" s="394" t="n">
        <v>4.3965495</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Kích thước vỏ 800x450x210mm</t>
        </is>
      </c>
    </row>
    <row r="513">
      <c r="A513" t="inlineStr">
        <is>
          <t>SW-DAMPER-110-BLADE</t>
        </is>
      </c>
      <c r="B513" t="inlineStr">
        <is>
          <t>SW-DAMPER-110</t>
        </is>
      </c>
      <c r="C513" t="inlineStr">
        <is>
          <t>Lá cánh / Tôn tấm bọc van (3 cánh)</t>
        </is>
      </c>
      <c r="D513" t="inlineStr">
        <is>
          <t>TÔN_CUỘN_MẠ_KẼM</t>
        </is>
      </c>
      <c r="E513" t="inlineStr">
        <is>
          <t>MAT-STEEL-PN-0.75</t>
        </is>
      </c>
      <c r="F513" t="inlineStr">
        <is>
          <t>kg</t>
        </is>
      </c>
      <c r="G513" s="394" t="n">
        <v>2.594268</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3 cánh cao 170mm</t>
        </is>
      </c>
    </row>
    <row r="514">
      <c r="A514" t="inlineStr">
        <is>
          <t>SW-DAMPER-110-AXLE</t>
        </is>
      </c>
      <c r="B514" t="inlineStr">
        <is>
          <t>SW-DAMPER-110</t>
        </is>
      </c>
      <c r="C514" t="inlineStr">
        <is>
          <t>Trục Sus 201 D10</t>
        </is>
      </c>
      <c r="D514" t="inlineStr">
        <is>
          <t>PHỤ_KIỆN_VAN</t>
        </is>
      </c>
      <c r="E514" t="inlineStr">
        <is>
          <t>MAT-DAMPER-TRUC-SUS-201-D10</t>
        </is>
      </c>
      <c r="F514" t="inlineStr">
        <is>
          <t>m</t>
        </is>
      </c>
      <c r="G514" s="394" t="n">
        <v>2.58</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3 trục dài 860mm</t>
        </is>
      </c>
    </row>
    <row r="515">
      <c r="A515" t="inlineStr">
        <is>
          <t>SW-DAMPER-110-BEARING</t>
        </is>
      </c>
      <c r="B515" t="inlineStr">
        <is>
          <t>SW-DAMPER-110</t>
        </is>
      </c>
      <c r="C515" t="inlineStr">
        <is>
          <t>Bạc đồng D10</t>
        </is>
      </c>
      <c r="D515" t="inlineStr">
        <is>
          <t>PHỤ_KIỆN_VAN</t>
        </is>
      </c>
      <c r="E515" t="inlineStr">
        <is>
          <t>MAT-DAMPER-BAC-DONG-D10</t>
        </is>
      </c>
      <c r="F515" t="inlineStr">
        <is>
          <t>Đôi</t>
        </is>
      </c>
      <c r="G515" s="394" t="n">
        <v>3</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3 đôi bạc đỡ 2 bên thân</t>
        </is>
      </c>
    </row>
    <row r="516">
      <c r="A516" t="inlineStr">
        <is>
          <t>SW-DAMPER-110-GEAR</t>
        </is>
      </c>
      <c r="B516" t="inlineStr">
        <is>
          <t>SW-DAMPER-110</t>
        </is>
      </c>
      <c r="C516" t="inlineStr">
        <is>
          <t>Bánh răng van nhôm</t>
        </is>
      </c>
      <c r="D516" t="inlineStr">
        <is>
          <t>PHỤ_KIỆN_VAN</t>
        </is>
      </c>
      <c r="E516" t="inlineStr">
        <is>
          <t>MAT-DAMPER-BANH-RANG-VAN-NHOM</t>
        </is>
      </c>
      <c r="F516" t="inlineStr">
        <is>
          <t>Bộ</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Cơ cấu liên động cánh (1 bộ)</t>
        </is>
      </c>
    </row>
    <row r="517">
      <c r="A517" t="inlineStr">
        <is>
          <t>SW-DAMPER-110-ECCENTRIC</t>
        </is>
      </c>
      <c r="B517" t="inlineStr">
        <is>
          <t>SW-DAMPER-110</t>
        </is>
      </c>
      <c r="C517" t="inlineStr">
        <is>
          <t>Cơ cấu lệch tâm / Lò xo đóng mở (NRD)</t>
        </is>
      </c>
      <c r="D517" t="inlineStr">
        <is>
          <t>PHỤ_KIỆN_VAN</t>
        </is>
      </c>
      <c r="E517" t="inlineStr">
        <is>
          <t>ECCENTRIC_SHAFT</t>
        </is>
      </c>
      <c r="F517" t="inlineStr">
        <is>
          <t>Bộ</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Cơ cấu đóng mở một chiều</t>
        </is>
      </c>
    </row>
    <row r="518">
      <c r="A518" t="inlineStr">
        <is>
          <t>SW-DAMPER-111-BODY</t>
        </is>
      </c>
      <c r="B518" t="inlineStr">
        <is>
          <t>SW-DAMPER-111</t>
        </is>
      </c>
      <c r="C518" t="inlineStr">
        <is>
          <t>Thân vỏ van MFD bích C30/TDF (1.15mm)</t>
        </is>
      </c>
      <c r="D518" t="inlineStr">
        <is>
          <t>TÔN_CUỘN_MẠ_KẼM</t>
        </is>
      </c>
      <c r="E518" t="inlineStr">
        <is>
          <t>MAT-STEEL-PN-1.15</t>
        </is>
      </c>
      <c r="F518" t="inlineStr">
        <is>
          <t>kg</t>
        </is>
      </c>
      <c r="G518" s="394" t="n">
        <v>27.0261684</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Kích thước vỏ 1350x1250x200mm (4 modul 675x625mm)</t>
        </is>
      </c>
    </row>
    <row r="519">
      <c r="A519" t="inlineStr">
        <is>
          <t>SW-DAMPER-111-BLADE</t>
        </is>
      </c>
      <c r="B519" t="inlineStr">
        <is>
          <t>SW-DAMPER-111</t>
        </is>
      </c>
      <c r="C519" t="inlineStr">
        <is>
          <t>Lá cánh / Tôn tấm bọc van (16 cánh)</t>
        </is>
      </c>
      <c r="D519" t="inlineStr">
        <is>
          <t>TÔN_CUỘN_MẠ_KẼM</t>
        </is>
      </c>
      <c r="E519" t="inlineStr">
        <is>
          <t>MAT-STEEL-PN-1.15</t>
        </is>
      </c>
      <c r="F519" t="inlineStr">
        <is>
          <t>kg</t>
        </is>
      </c>
      <c r="G519" s="394" t="n">
        <v>30.46781249999999</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Tôn bọc cánh &amp; thân (4 cánh/modul (4 modul 675x625mm))</t>
        </is>
      </c>
    </row>
    <row r="520">
      <c r="A520" t="inlineStr">
        <is>
          <t>SW-DAMPER-111-AXLE</t>
        </is>
      </c>
      <c r="B520" t="inlineStr">
        <is>
          <t>SW-DAMPER-111</t>
        </is>
      </c>
      <c r="C520" t="inlineStr">
        <is>
          <t>Trục Sus 201 D10</t>
        </is>
      </c>
      <c r="D520" t="inlineStr">
        <is>
          <t>PHỤ_KIỆN_VAN</t>
        </is>
      </c>
      <c r="E520" t="inlineStr">
        <is>
          <t>MAT-DAMPER-TRUC-SUS-201-D10</t>
        </is>
      </c>
      <c r="F520" t="inlineStr">
        <is>
          <t>m</t>
        </is>
      </c>
      <c r="G520" s="394" t="n">
        <v>11.76</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16 trục dài 735mm</t>
        </is>
      </c>
    </row>
    <row r="521">
      <c r="A521" t="inlineStr">
        <is>
          <t>SW-DAMPER-111-BEARING</t>
        </is>
      </c>
      <c r="B521" t="inlineStr">
        <is>
          <t>SW-DAMPER-111</t>
        </is>
      </c>
      <c r="C521" t="inlineStr">
        <is>
          <t>Bạc đồng D10</t>
        </is>
      </c>
      <c r="D521" t="inlineStr">
        <is>
          <t>PHỤ_KIỆN_VAN</t>
        </is>
      </c>
      <c r="E521" t="inlineStr">
        <is>
          <t>MAT-DAMPER-BAC-DONG-D10</t>
        </is>
      </c>
      <c r="F521" t="inlineStr">
        <is>
          <t>Đôi</t>
        </is>
      </c>
      <c r="G521" s="394" t="n">
        <v>16</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16 đôi bạc đỡ 2 bên thân</t>
        </is>
      </c>
    </row>
    <row r="522">
      <c r="A522" t="inlineStr">
        <is>
          <t>SW-DAMPER-111-GEAR</t>
        </is>
      </c>
      <c r="B522" t="inlineStr">
        <is>
          <t>SW-DAMPER-111</t>
        </is>
      </c>
      <c r="C522" t="inlineStr">
        <is>
          <t>Bánh răng van nhôm</t>
        </is>
      </c>
      <c r="D522" t="inlineStr">
        <is>
          <t>PHỤ_KIỆN_VAN</t>
        </is>
      </c>
      <c r="E522" t="inlineStr">
        <is>
          <t>MAT-DAMPER-BANH-RANG-VAN-NHOM</t>
        </is>
      </c>
      <c r="F522" t="inlineStr">
        <is>
          <t>Bộ</t>
        </is>
      </c>
      <c r="G522" s="394" t="n">
        <v>4</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Cơ cấu liên động cánh (4 bộ)</t>
        </is>
      </c>
    </row>
    <row r="523">
      <c r="A523" t="inlineStr">
        <is>
          <t>SW-DAMPER-111-ACTUATOR</t>
        </is>
      </c>
      <c r="B523" t="inlineStr">
        <is>
          <t>SW-DAMPER-111</t>
        </is>
      </c>
      <c r="C523" t="inlineStr">
        <is>
          <t>Động cơ chặn lửa ON/OFF 9Nm, 230V/24V (BELIMO BFN24 / BFN230)</t>
        </is>
      </c>
      <c r="D523" t="inlineStr">
        <is>
          <t>ĐỘNG_CƠ_VÀ_CẢM_BIẾN</t>
        </is>
      </c>
      <c r="E523" t="inlineStr">
        <is>
          <t>MAT-ACTUATOR-BELIMO-BFN24</t>
        </is>
      </c>
      <c r="F523" t="inlineStr">
        <is>
          <t>Cái</t>
        </is>
      </c>
      <c r="G523" s="394" t="n">
        <v>4</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Động cơ lò xo phản hồi MFD (4 bộ (4 modul 675x625mm))</t>
        </is>
      </c>
    </row>
    <row r="524">
      <c r="A524" t="inlineStr">
        <is>
          <t>SW-DAMPER-111-FB10-BODY</t>
        </is>
      </c>
      <c r="B524" t="inlineStr">
        <is>
          <t>SW-DAMPER-111</t>
        </is>
      </c>
      <c r="C524" t="inlineStr">
        <is>
          <t>Tấm chống cháy dày 10mm bọc thân van FD/MFD (2 lớp)</t>
        </is>
      </c>
      <c r="D524" t="inlineStr">
        <is>
          <t>VẬT_LIỆU_CÁCH_NHIỆT</t>
        </is>
      </c>
      <c r="E524" t="inlineStr">
        <is>
          <t>MAT-FIREBOARD-10MM-BODY</t>
        </is>
      </c>
      <c r="F524" t="inlineStr">
        <is>
          <t>m2</t>
        </is>
      </c>
      <c r="G524" s="394" t="n">
        <v>6.24</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Bọc 2 lớp tấm 10mm quanh thân L=300mm (4 modul 675x625mm)</t>
        </is>
      </c>
    </row>
    <row r="525">
      <c r="A525" t="inlineStr">
        <is>
          <t>SW-DAMPER-111-FB20-BLADE</t>
        </is>
      </c>
      <c r="B525" t="inlineStr">
        <is>
          <t>SW-DAMPER-111</t>
        </is>
      </c>
      <c r="C525" t="inlineStr">
        <is>
          <t>Tấm chống cháy dày 20mm làm lõi cánh van FD/MFD</t>
        </is>
      </c>
      <c r="D525" t="inlineStr">
        <is>
          <t>VẬT_LIỆU_CÁCH_NHIỆT</t>
        </is>
      </c>
      <c r="E525" t="inlineStr">
        <is>
          <t>MAT-FIREBOARD-20MM-BLADE</t>
        </is>
      </c>
      <c r="F525" t="inlineStr">
        <is>
          <t>m2</t>
        </is>
      </c>
      <c r="G525" s="394" t="n">
        <v>2.518365100671141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Lõi cánh tấm 20mm (Đa cánh hệ số (H-5)/149=4.16, bản rộng 210mm, hao hụt 10% (4 modul 675x625mm))</t>
        </is>
      </c>
    </row>
    <row r="526">
      <c r="A526" t="inlineStr">
        <is>
          <t>SW-DAMPER-111-FB10-BLADE</t>
        </is>
      </c>
      <c r="B526" t="inlineStr">
        <is>
          <t>SW-DAMPER-111</t>
        </is>
      </c>
      <c r="C526" t="inlineStr">
        <is>
          <t>Tấm chống cháy dày 10mm ốp 2 mặt cánh van FD/MFD</t>
        </is>
      </c>
      <c r="D526" t="inlineStr">
        <is>
          <t>VẬT_LIỆU_CÁCH_NHIỆT</t>
        </is>
      </c>
      <c r="E526" t="inlineStr">
        <is>
          <t>MAT-FIREBOARD-10MM-BLADE</t>
        </is>
      </c>
      <c r="F526" t="inlineStr">
        <is>
          <t>m2</t>
        </is>
      </c>
      <c r="G526" s="394" t="n">
        <v>5.190523489932887</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Ốp 2 mặt cánh tấm 10mm (Đa cánh hệ số (H-5)/149=4.16, bản rộng 210mm, hao hụt 10% (4 modul 675x625mm))</t>
        </is>
      </c>
    </row>
    <row r="527">
      <c r="A527" t="inlineStr">
        <is>
          <t>SW-DAMPER-111-SPRING-BOX</t>
        </is>
      </c>
      <c r="B527" t="inlineStr">
        <is>
          <t>SW-DAMPER-111</t>
        </is>
      </c>
      <c r="C527" t="inlineStr">
        <is>
          <t>Hộp lò xo van chặn lửa FD/MFD</t>
        </is>
      </c>
      <c r="D527" t="inlineStr">
        <is>
          <t>PHỤ_KIỆN_VAN</t>
        </is>
      </c>
      <c r="E527" t="inlineStr">
        <is>
          <t>MAT-DAMPER-HOP-LO-XO</t>
        </is>
      </c>
      <c r="F527" t="inlineStr">
        <is>
          <t>Bộ</t>
        </is>
      </c>
      <c r="G527" s="394" t="n">
        <v>4</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Hộp lò xo cơ cấu đóng sập (4 bộ)</t>
        </is>
      </c>
    </row>
    <row r="528">
      <c r="A528" t="inlineStr">
        <is>
          <t>SW-DAMPER-111-SILICON-BOLT</t>
        </is>
      </c>
      <c r="B528" t="inlineStr">
        <is>
          <t>SW-DAMPER-111</t>
        </is>
      </c>
      <c r="C528" t="inlineStr">
        <is>
          <t>Silicon chống cháy + bu lông, ốc vít van FD/MFD</t>
        </is>
      </c>
      <c r="D528" t="inlineStr">
        <is>
          <t>PHỤ_KIỆN_VAN</t>
        </is>
      </c>
      <c r="E528" t="inlineStr">
        <is>
          <t>MAT-DAMPER-SILICON-BULONG-VIT</t>
        </is>
      </c>
      <c r="F528" t="inlineStr">
        <is>
          <t>Bộ</t>
        </is>
      </c>
      <c r="G528" s="394" t="n">
        <v>4</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Keo silicon chống cháy &amp; phụ kiện lắp ghép (4 bộ)</t>
        </is>
      </c>
    </row>
    <row r="529">
      <c r="A529" t="inlineStr">
        <is>
          <t>SW-DAMPER-112-BODY</t>
        </is>
      </c>
      <c r="B529" t="inlineStr">
        <is>
          <t>SW-DAMPER-112</t>
        </is>
      </c>
      <c r="C529" t="inlineStr">
        <is>
          <t>Thân vỏ van MFD bích C30/TDF (1.15mm)</t>
        </is>
      </c>
      <c r="D529" t="inlineStr">
        <is>
          <t>TÔN_CUỘN_MẠ_KẼM</t>
        </is>
      </c>
      <c r="E529" t="inlineStr">
        <is>
          <t>MAT-STEEL-PN-1.15</t>
        </is>
      </c>
      <c r="F529" t="inlineStr">
        <is>
          <t>kg</t>
        </is>
      </c>
      <c r="G529" s="394" t="n">
        <v>12.745295325</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Kích thước vỏ 1250x600x200mm (2 modul 625x600mm)</t>
        </is>
      </c>
    </row>
    <row r="530">
      <c r="A530" t="inlineStr">
        <is>
          <t>SW-DAMPER-112-BLADE</t>
        </is>
      </c>
      <c r="B530" t="inlineStr">
        <is>
          <t>SW-DAMPER-112</t>
        </is>
      </c>
      <c r="C530" t="inlineStr">
        <is>
          <t>Lá cánh / Tôn tấm bọc van (8 cánh)</t>
        </is>
      </c>
      <c r="D530" t="inlineStr">
        <is>
          <t>TÔN_CUỘN_MẠ_KẼM</t>
        </is>
      </c>
      <c r="E530" t="inlineStr">
        <is>
          <t>MAT-STEEL-PN-1.15</t>
        </is>
      </c>
      <c r="F530" t="inlineStr">
        <is>
          <t>kg</t>
        </is>
      </c>
      <c r="G530" s="394" t="n">
        <v>13.54125</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Tôn bọc cánh &amp; thân (4 cánh/modul (2 modul 625x600mm))</t>
        </is>
      </c>
    </row>
    <row r="531">
      <c r="A531" t="inlineStr">
        <is>
          <t>SW-DAMPER-112-AXLE</t>
        </is>
      </c>
      <c r="B531" t="inlineStr">
        <is>
          <t>SW-DAMPER-112</t>
        </is>
      </c>
      <c r="C531" t="inlineStr">
        <is>
          <t>Trục Sus 201 D10</t>
        </is>
      </c>
      <c r="D531" t="inlineStr">
        <is>
          <t>PHỤ_KIỆN_VAN</t>
        </is>
      </c>
      <c r="E531" t="inlineStr">
        <is>
          <t>MAT-DAMPER-TRUC-SUS-201-D10</t>
        </is>
      </c>
      <c r="F531" t="inlineStr">
        <is>
          <t>m</t>
        </is>
      </c>
      <c r="G531" s="394" t="n">
        <v>5.48</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8 trục dài 685mm</t>
        </is>
      </c>
    </row>
    <row r="532">
      <c r="A532" t="inlineStr">
        <is>
          <t>SW-DAMPER-112-BEARING</t>
        </is>
      </c>
      <c r="B532" t="inlineStr">
        <is>
          <t>SW-DAMPER-112</t>
        </is>
      </c>
      <c r="C532" t="inlineStr">
        <is>
          <t>Bạc đồng D10</t>
        </is>
      </c>
      <c r="D532" t="inlineStr">
        <is>
          <t>PHỤ_KIỆN_VAN</t>
        </is>
      </c>
      <c r="E532" t="inlineStr">
        <is>
          <t>MAT-DAMPER-BAC-DONG-D10</t>
        </is>
      </c>
      <c r="F532" t="inlineStr">
        <is>
          <t>Đôi</t>
        </is>
      </c>
      <c r="G532" s="394" t="n">
        <v>8</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8 đôi bạc đỡ 2 bên thân</t>
        </is>
      </c>
    </row>
    <row r="533">
      <c r="A533" t="inlineStr">
        <is>
          <t>SW-DAMPER-112-GEAR</t>
        </is>
      </c>
      <c r="B533" t="inlineStr">
        <is>
          <t>SW-DAMPER-112</t>
        </is>
      </c>
      <c r="C533" t="inlineStr">
        <is>
          <t>Bánh răng van nhôm</t>
        </is>
      </c>
      <c r="D533" t="inlineStr">
        <is>
          <t>PHỤ_KIỆN_VAN</t>
        </is>
      </c>
      <c r="E533" t="inlineStr">
        <is>
          <t>MAT-DAMPER-BANH-RANG-VAN-NHOM</t>
        </is>
      </c>
      <c r="F533" t="inlineStr">
        <is>
          <t>Bộ</t>
        </is>
      </c>
      <c r="G533" s="394" t="n">
        <v>2</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Cơ cấu liên động cánh (2 bộ)</t>
        </is>
      </c>
    </row>
    <row r="534">
      <c r="A534" t="inlineStr">
        <is>
          <t>SW-DAMPER-112-ACTUATOR</t>
        </is>
      </c>
      <c r="B534" t="inlineStr">
        <is>
          <t>SW-DAMPER-112</t>
        </is>
      </c>
      <c r="C534" t="inlineStr">
        <is>
          <t>Động cơ chặn lửa ON/OFF 9Nm, 230V/24V (BELIMO BFN24 / BFN230)</t>
        </is>
      </c>
      <c r="D534" t="inlineStr">
        <is>
          <t>ĐỘNG_CƠ_VÀ_CẢM_BIẾN</t>
        </is>
      </c>
      <c r="E534" t="inlineStr">
        <is>
          <t>MAT-ACTUATOR-BELIMO-BFN24</t>
        </is>
      </c>
      <c r="F534" t="inlineStr">
        <is>
          <t>Cái</t>
        </is>
      </c>
      <c r="G534" s="394" t="n">
        <v>2</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Động cơ lò xo phản hồi MFD (2 bộ (2 modul 625x600mm))</t>
        </is>
      </c>
    </row>
    <row r="535">
      <c r="A535" t="inlineStr">
        <is>
          <t>SW-DAMPER-112-FB10-BODY</t>
        </is>
      </c>
      <c r="B535" t="inlineStr">
        <is>
          <t>SW-DAMPER-112</t>
        </is>
      </c>
      <c r="C535" t="inlineStr">
        <is>
          <t>Tấm chống cháy dày 10mm bọc thân van FD/MFD (2 lớp)</t>
        </is>
      </c>
      <c r="D535" t="inlineStr">
        <is>
          <t>VẬT_LIỆU_CÁCH_NHIỆT</t>
        </is>
      </c>
      <c r="E535" t="inlineStr">
        <is>
          <t>MAT-FIREBOARD-10MM-BODY</t>
        </is>
      </c>
      <c r="F535" t="inlineStr">
        <is>
          <t>m2</t>
        </is>
      </c>
      <c r="G535" s="394" t="n">
        <v>2.94</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Bọc 2 lớp tấm 10mm quanh thân L=300mm (2 modul 625x600mm)</t>
        </is>
      </c>
    </row>
    <row r="536">
      <c r="A536" t="inlineStr">
        <is>
          <t>SW-DAMPER-112-FB20-BLADE</t>
        </is>
      </c>
      <c r="B536" t="inlineStr">
        <is>
          <t>SW-DAMPER-112</t>
        </is>
      </c>
      <c r="C536" t="inlineStr">
        <is>
          <t>Tấm chống cháy dày 20mm làm lõi cánh van FD/MFD</t>
        </is>
      </c>
      <c r="D536" t="inlineStr">
        <is>
          <t>VẬT_LIỆU_CÁCH_NHIỆT</t>
        </is>
      </c>
      <c r="E536" t="inlineStr">
        <is>
          <t>MAT-FIREBOARD-20MM-BLADE</t>
        </is>
      </c>
      <c r="F536" t="inlineStr">
        <is>
          <t>m2</t>
        </is>
      </c>
      <c r="G536" s="394" t="n">
        <v>1.116164093959731</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Lõi cánh tấm 20mm (Đa cánh hệ số (H-5)/149=3.99, bản rộng 210mm, hao hụt 10% (2 modul 625x600mm))</t>
        </is>
      </c>
    </row>
    <row r="537">
      <c r="A537" t="inlineStr">
        <is>
          <t>SW-DAMPER-112-FB10-BLADE</t>
        </is>
      </c>
      <c r="B537" t="inlineStr">
        <is>
          <t>SW-DAMPER-112</t>
        </is>
      </c>
      <c r="C537" t="inlineStr">
        <is>
          <t>Tấm chống cháy dày 10mm ốp 2 mặt cánh van FD/MFD</t>
        </is>
      </c>
      <c r="D537" t="inlineStr">
        <is>
          <t>VẬT_LIỆU_CÁCH_NHIỆT</t>
        </is>
      </c>
      <c r="E537" t="inlineStr">
        <is>
          <t>MAT-FIREBOARD-10MM-BLADE</t>
        </is>
      </c>
      <c r="F537" t="inlineStr">
        <is>
          <t>m2</t>
        </is>
      </c>
      <c r="G537" s="394" t="n">
        <v>2.306124161073826</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Ốp 2 mặt cánh tấm 10mm (Đa cánh hệ số (H-5)/149=3.99, bản rộng 210mm, hao hụt 10% (2 modul 625x600mm))</t>
        </is>
      </c>
    </row>
    <row r="538">
      <c r="A538" t="inlineStr">
        <is>
          <t>SW-DAMPER-112-SPRING-BOX</t>
        </is>
      </c>
      <c r="B538" t="inlineStr">
        <is>
          <t>SW-DAMPER-112</t>
        </is>
      </c>
      <c r="C538" t="inlineStr">
        <is>
          <t>Hộp lò xo van chặn lửa FD/MFD</t>
        </is>
      </c>
      <c r="D538" t="inlineStr">
        <is>
          <t>PHỤ_KIỆN_VAN</t>
        </is>
      </c>
      <c r="E538" t="inlineStr">
        <is>
          <t>MAT-DAMPER-HOP-LO-XO</t>
        </is>
      </c>
      <c r="F538" t="inlineStr">
        <is>
          <t>Bộ</t>
        </is>
      </c>
      <c r="G538" s="394" t="n">
        <v>2</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Hộp lò xo cơ cấu đóng sập (2 bộ)</t>
        </is>
      </c>
    </row>
    <row r="539">
      <c r="A539" t="inlineStr">
        <is>
          <t>SW-DAMPER-112-SILICON-BOLT</t>
        </is>
      </c>
      <c r="B539" t="inlineStr">
        <is>
          <t>SW-DAMPER-112</t>
        </is>
      </c>
      <c r="C539" t="inlineStr">
        <is>
          <t>Silicon chống cháy + bu lông, ốc vít van FD/MFD</t>
        </is>
      </c>
      <c r="D539" t="inlineStr">
        <is>
          <t>PHỤ_KIỆN_VAN</t>
        </is>
      </c>
      <c r="E539" t="inlineStr">
        <is>
          <t>MAT-DAMPER-SILICON-BULONG-VIT</t>
        </is>
      </c>
      <c r="F539" t="inlineStr">
        <is>
          <t>Bộ</t>
        </is>
      </c>
      <c r="G539" s="394" t="n">
        <v>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Keo silicon chống cháy &amp; phụ kiện lắp ghép (2 bộ)</t>
        </is>
      </c>
    </row>
    <row r="540">
      <c r="A540" t="inlineStr">
        <is>
          <t>SW-DAMPER-113-BODY</t>
        </is>
      </c>
      <c r="B540" t="inlineStr">
        <is>
          <t>SW-DAMPER-113</t>
        </is>
      </c>
      <c r="C540" t="inlineStr">
        <is>
          <t>Thân vỏ van MFD bích C30/TDF (1.15mm)</t>
        </is>
      </c>
      <c r="D540" t="inlineStr">
        <is>
          <t>TÔN_CUỘN_MẠ_KẼM</t>
        </is>
      </c>
      <c r="E540" t="inlineStr">
        <is>
          <t>MAT-STEEL-PN-1.15</t>
        </is>
      </c>
      <c r="F540" t="inlineStr">
        <is>
          <t>kg</t>
        </is>
      </c>
      <c r="G540" s="394" t="n">
        <v>9.162280574999999</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Kích thước vỏ 1050x350x200mm (2 modul 525x350mm)</t>
        </is>
      </c>
    </row>
    <row r="541">
      <c r="A541" t="inlineStr">
        <is>
          <t>SW-DAMPER-113-BLADE</t>
        </is>
      </c>
      <c r="B541" t="inlineStr">
        <is>
          <t>SW-DAMPER-113</t>
        </is>
      </c>
      <c r="C541" t="inlineStr">
        <is>
          <t>Lá cánh / Tôn tấm bọc van (4 cánh)</t>
        </is>
      </c>
      <c r="D541" t="inlineStr">
        <is>
          <t>TÔN_CUỘN_MẠ_KẼM</t>
        </is>
      </c>
      <c r="E541" t="inlineStr">
        <is>
          <t>MAT-STEEL-PN-1.15</t>
        </is>
      </c>
      <c r="F541" t="inlineStr">
        <is>
          <t>kg</t>
        </is>
      </c>
      <c r="G541" s="394" t="n">
        <v>6.635212499999999</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Tôn bọc cánh &amp; thân (2 cánh/modul (2 modul 525x350mm))</t>
        </is>
      </c>
    </row>
    <row r="542">
      <c r="A542" t="inlineStr">
        <is>
          <t>SW-DAMPER-113-AXLE</t>
        </is>
      </c>
      <c r="B542" t="inlineStr">
        <is>
          <t>SW-DAMPER-113</t>
        </is>
      </c>
      <c r="C542" t="inlineStr">
        <is>
          <t>Trục Sus 201 D10</t>
        </is>
      </c>
      <c r="D542" t="inlineStr">
        <is>
          <t>PHỤ_KIỆN_VAN</t>
        </is>
      </c>
      <c r="E542" t="inlineStr">
        <is>
          <t>MAT-DAMPER-TRUC-SUS-201-D10</t>
        </is>
      </c>
      <c r="F542" t="inlineStr">
        <is>
          <t>m</t>
        </is>
      </c>
      <c r="G542" s="394" t="n">
        <v>2.34</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4 trục dài 585mm</t>
        </is>
      </c>
    </row>
    <row r="543">
      <c r="A543" t="inlineStr">
        <is>
          <t>SW-DAMPER-113-BEARING</t>
        </is>
      </c>
      <c r="B543" t="inlineStr">
        <is>
          <t>SW-DAMPER-113</t>
        </is>
      </c>
      <c r="C543" t="inlineStr">
        <is>
          <t>Bạc đồng D10</t>
        </is>
      </c>
      <c r="D543" t="inlineStr">
        <is>
          <t>PHỤ_KIỆN_VAN</t>
        </is>
      </c>
      <c r="E543" t="inlineStr">
        <is>
          <t>MAT-DAMPER-BAC-DONG-D10</t>
        </is>
      </c>
      <c r="F543" t="inlineStr">
        <is>
          <t>Đôi</t>
        </is>
      </c>
      <c r="G543" s="394" t="n">
        <v>4</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4 đôi bạc đỡ 2 bên thân</t>
        </is>
      </c>
    </row>
    <row r="544">
      <c r="A544" t="inlineStr">
        <is>
          <t>SW-DAMPER-113-GEAR</t>
        </is>
      </c>
      <c r="B544" t="inlineStr">
        <is>
          <t>SW-DAMPER-113</t>
        </is>
      </c>
      <c r="C544" t="inlineStr">
        <is>
          <t>Bánh răng van nhôm</t>
        </is>
      </c>
      <c r="D544" t="inlineStr">
        <is>
          <t>PHỤ_KIỆN_VAN</t>
        </is>
      </c>
      <c r="E544" t="inlineStr">
        <is>
          <t>MAT-DAMPER-BANH-RANG-VAN-NHOM</t>
        </is>
      </c>
      <c r="F544" t="inlineStr">
        <is>
          <t>Bộ</t>
        </is>
      </c>
      <c r="G544" s="394" t="n">
        <v>2</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Cơ cấu liên động cánh (2 bộ)</t>
        </is>
      </c>
    </row>
    <row r="545">
      <c r="A545" t="inlineStr">
        <is>
          <t>SW-DAMPER-113-ACTUATOR</t>
        </is>
      </c>
      <c r="B545" t="inlineStr">
        <is>
          <t>SW-DAMPER-113</t>
        </is>
      </c>
      <c r="C545" t="inlineStr">
        <is>
          <t>Động cơ chặn lửa ON/OFF 9Nm, 230V/24V (BELIMO BFN24 / BFN230)</t>
        </is>
      </c>
      <c r="D545" t="inlineStr">
        <is>
          <t>ĐỘNG_CƠ_VÀ_CẢM_BIẾN</t>
        </is>
      </c>
      <c r="E545" t="inlineStr">
        <is>
          <t>MAT-ACTUATOR-BELIMO-BFN24</t>
        </is>
      </c>
      <c r="F545" t="inlineStr">
        <is>
          <t>Cái</t>
        </is>
      </c>
      <c r="G545" s="394" t="n">
        <v>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Động cơ lò xo phản hồi MFD (2 bộ (2 modul 525x350mm))</t>
        </is>
      </c>
    </row>
    <row r="546">
      <c r="A546" t="inlineStr">
        <is>
          <t>SW-DAMPER-113-FB10-BODY</t>
        </is>
      </c>
      <c r="B546" t="inlineStr">
        <is>
          <t>SW-DAMPER-113</t>
        </is>
      </c>
      <c r="C546" t="inlineStr">
        <is>
          <t>Tấm chống cháy dày 10mm bọc thân van FD/MFD (2 lớp)</t>
        </is>
      </c>
      <c r="D546" t="inlineStr">
        <is>
          <t>VẬT_LIỆU_CÁCH_NHIỆT</t>
        </is>
      </c>
      <c r="E546" t="inlineStr">
        <is>
          <t>MAT-FIREBOARD-10MM-BODY</t>
        </is>
      </c>
      <c r="F546" t="inlineStr">
        <is>
          <t>m2</t>
        </is>
      </c>
      <c r="G546" s="394" t="n">
        <v>2.1</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Bọc 2 lớp tấm 10mm quanh thân L=300mm (2 modul 525x350mm)</t>
        </is>
      </c>
    </row>
    <row r="547">
      <c r="A547" t="inlineStr">
        <is>
          <t>SW-DAMPER-113-FB20-BLADE</t>
        </is>
      </c>
      <c r="B547" t="inlineStr">
        <is>
          <t>SW-DAMPER-113</t>
        </is>
      </c>
      <c r="C547" t="inlineStr">
        <is>
          <t>Tấm chống cháy dày 20mm làm lõi cánh van FD/MFD</t>
        </is>
      </c>
      <c r="D547" t="inlineStr">
        <is>
          <t>VẬT_LIỆU_CÁCH_NHIỆT</t>
        </is>
      </c>
      <c r="E547" t="inlineStr">
        <is>
          <t>MAT-FIREBOARD-20MM-BLADE</t>
        </is>
      </c>
      <c r="F547" t="inlineStr">
        <is>
          <t>m2</t>
        </is>
      </c>
      <c r="G547" s="394" t="n">
        <v>0.5402144295302014</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Lõi cánh tấm 20mm (Đa cánh hệ số (H-5)/149=2.32, bản rộng 210mm, hao hụt 10% (2 modul 525x350mm))</t>
        </is>
      </c>
    </row>
    <row r="548">
      <c r="A548" t="inlineStr">
        <is>
          <t>SW-DAMPER-113-FB10-BLADE</t>
        </is>
      </c>
      <c r="B548" t="inlineStr">
        <is>
          <t>SW-DAMPER-113</t>
        </is>
      </c>
      <c r="C548" t="inlineStr">
        <is>
          <t>Tấm chống cháy dày 10mm ốp 2 mặt cánh van FD/MFD</t>
        </is>
      </c>
      <c r="D548" t="inlineStr">
        <is>
          <t>VẬT_LIỆU_CÁCH_NHIỆT</t>
        </is>
      </c>
      <c r="E548" t="inlineStr">
        <is>
          <t>MAT-FIREBOARD-10MM-BLADE</t>
        </is>
      </c>
      <c r="F548" t="inlineStr">
        <is>
          <t>m2</t>
        </is>
      </c>
      <c r="G548" s="394" t="n">
        <v>1.123218120805369</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Ốp 2 mặt cánh tấm 10mm (Đa cánh hệ số (H-5)/149=2.32, bản rộng 210mm, hao hụt 10% (2 modul 525x350mm))</t>
        </is>
      </c>
    </row>
    <row r="549">
      <c r="A549" t="inlineStr">
        <is>
          <t>SW-DAMPER-113-SPRING-BOX</t>
        </is>
      </c>
      <c r="B549" t="inlineStr">
        <is>
          <t>SW-DAMPER-113</t>
        </is>
      </c>
      <c r="C549" t="inlineStr">
        <is>
          <t>Hộp lò xo van chặn lửa FD/MFD</t>
        </is>
      </c>
      <c r="D549" t="inlineStr">
        <is>
          <t>PHỤ_KIỆN_VAN</t>
        </is>
      </c>
      <c r="E549" t="inlineStr">
        <is>
          <t>MAT-DAMPER-HOP-LO-XO</t>
        </is>
      </c>
      <c r="F549" t="inlineStr">
        <is>
          <t>Bộ</t>
        </is>
      </c>
      <c r="G549" s="394" t="n">
        <v>2</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Hộp lò xo cơ cấu đóng sập (2 bộ)</t>
        </is>
      </c>
    </row>
    <row r="550">
      <c r="A550" t="inlineStr">
        <is>
          <t>SW-DAMPER-113-SILICON-BOLT</t>
        </is>
      </c>
      <c r="B550" t="inlineStr">
        <is>
          <t>SW-DAMPER-113</t>
        </is>
      </c>
      <c r="C550" t="inlineStr">
        <is>
          <t>Silicon chống cháy + bu lông, ốc vít van FD/MFD</t>
        </is>
      </c>
      <c r="D550" t="inlineStr">
        <is>
          <t>PHỤ_KIỆN_VAN</t>
        </is>
      </c>
      <c r="E550" t="inlineStr">
        <is>
          <t>MAT-DAMPER-SILICON-BULONG-VIT</t>
        </is>
      </c>
      <c r="F550" t="inlineStr">
        <is>
          <t>Bộ</t>
        </is>
      </c>
      <c r="G550" s="394" t="n">
        <v>2</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Keo silicon chống cháy &amp; phụ kiện lắp ghép (2 bộ)</t>
        </is>
      </c>
    </row>
    <row r="551">
      <c r="A551" t="inlineStr">
        <is>
          <t>SW-DAMPER-114-BODY</t>
        </is>
      </c>
      <c r="B551" t="inlineStr">
        <is>
          <t>SW-DAMPER-114</t>
        </is>
      </c>
      <c r="C551" t="inlineStr">
        <is>
          <t>Thân vỏ van MFD bích C30/TDF (1.15mm)</t>
        </is>
      </c>
      <c r="D551" t="inlineStr">
        <is>
          <t>TÔN_CUỘN_MẠ_KẼM</t>
        </is>
      </c>
      <c r="E551" t="inlineStr">
        <is>
          <t>MAT-STEEL-PN-1.15</t>
        </is>
      </c>
      <c r="F551" t="inlineStr">
        <is>
          <t>kg</t>
        </is>
      </c>
      <c r="G551" s="394" t="n">
        <v>5.988753224999999</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Kích thước vỏ 800x350x200mm</t>
        </is>
      </c>
    </row>
    <row r="552">
      <c r="A552" t="inlineStr">
        <is>
          <t>SW-DAMPER-114-BLADE</t>
        </is>
      </c>
      <c r="B552" t="inlineStr">
        <is>
          <t>SW-DAMPER-114</t>
        </is>
      </c>
      <c r="C552" t="inlineStr">
        <is>
          <t>Lá cánh / Tôn tấm bọc van (2 cánh)</t>
        </is>
      </c>
      <c r="D552" t="inlineStr">
        <is>
          <t>TÔN_CUỘN_MẠ_KẼM</t>
        </is>
      </c>
      <c r="E552" t="inlineStr">
        <is>
          <t>MAT-STEEL-PN-1.15</t>
        </is>
      </c>
      <c r="F552" t="inlineStr">
        <is>
          <t>kg</t>
        </is>
      </c>
      <c r="G552" s="394" t="n">
        <v>5.055399999999999</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Tôn bọc cánh &amp; thân (2 cánh/modul)</t>
        </is>
      </c>
    </row>
    <row r="553">
      <c r="A553" t="inlineStr">
        <is>
          <t>SW-DAMPER-114-AXLE</t>
        </is>
      </c>
      <c r="B553" t="inlineStr">
        <is>
          <t>SW-DAMPER-114</t>
        </is>
      </c>
      <c r="C553" t="inlineStr">
        <is>
          <t>Trục Sus 201 D10</t>
        </is>
      </c>
      <c r="D553" t="inlineStr">
        <is>
          <t>PHỤ_KIỆN_VAN</t>
        </is>
      </c>
      <c r="E553" t="inlineStr">
        <is>
          <t>MAT-DAMPER-TRUC-SUS-201-D10</t>
        </is>
      </c>
      <c r="F553" t="inlineStr">
        <is>
          <t>m</t>
        </is>
      </c>
      <c r="G553" s="394" t="n">
        <v>1.72</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2 trục dài 860mm</t>
        </is>
      </c>
    </row>
    <row r="554">
      <c r="A554" t="inlineStr">
        <is>
          <t>SW-DAMPER-114-BEARING</t>
        </is>
      </c>
      <c r="B554" t="inlineStr">
        <is>
          <t>SW-DAMPER-114</t>
        </is>
      </c>
      <c r="C554" t="inlineStr">
        <is>
          <t>Bạc đồng D10</t>
        </is>
      </c>
      <c r="D554" t="inlineStr">
        <is>
          <t>PHỤ_KIỆN_VAN</t>
        </is>
      </c>
      <c r="E554" t="inlineStr">
        <is>
          <t>MAT-DAMPER-BAC-DONG-D10</t>
        </is>
      </c>
      <c r="F554" t="inlineStr">
        <is>
          <t>Đôi</t>
        </is>
      </c>
      <c r="G554" s="394" t="n">
        <v>2</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2 đôi bạc đỡ 2 bên thân</t>
        </is>
      </c>
    </row>
    <row r="555">
      <c r="A555" t="inlineStr">
        <is>
          <t>SW-DAMPER-114-GEAR</t>
        </is>
      </c>
      <c r="B555" t="inlineStr">
        <is>
          <t>SW-DAMPER-114</t>
        </is>
      </c>
      <c r="C555" t="inlineStr">
        <is>
          <t>Bánh răng van nhôm</t>
        </is>
      </c>
      <c r="D555" t="inlineStr">
        <is>
          <t>PHỤ_KIỆN_VAN</t>
        </is>
      </c>
      <c r="E555" t="inlineStr">
        <is>
          <t>MAT-DAMPER-BANH-RANG-VAN-NHOM</t>
        </is>
      </c>
      <c r="F555" t="inlineStr">
        <is>
          <t>Bộ</t>
        </is>
      </c>
      <c r="G555" s="394" t="n">
        <v>1</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Cơ cấu liên động cánh (1 bộ)</t>
        </is>
      </c>
    </row>
    <row r="556">
      <c r="A556" t="inlineStr">
        <is>
          <t>SW-DAMPER-114-ACTUATOR</t>
        </is>
      </c>
      <c r="B556" t="inlineStr">
        <is>
          <t>SW-DAMPER-114</t>
        </is>
      </c>
      <c r="C556" t="inlineStr">
        <is>
          <t>Động cơ chặn lửa ON/OFF 9Nm, 230V/24V (BELIMO BFN24 / BFN230)</t>
        </is>
      </c>
      <c r="D556" t="inlineStr">
        <is>
          <t>ĐỘNG_CƠ_VÀ_CẢM_BIẾN</t>
        </is>
      </c>
      <c r="E556" t="inlineStr">
        <is>
          <t>MAT-ACTUATOR-BELIMO-BFN24</t>
        </is>
      </c>
      <c r="F556" t="inlineStr">
        <is>
          <t>Cái</t>
        </is>
      </c>
      <c r="G556" s="394" t="n">
        <v>1</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Động cơ lò xo phản hồi MFD (1 bộ)</t>
        </is>
      </c>
    </row>
    <row r="557">
      <c r="A557" t="inlineStr">
        <is>
          <t>SW-DAMPER-114-FB10-BODY</t>
        </is>
      </c>
      <c r="B557" t="inlineStr">
        <is>
          <t>SW-DAMPER-114</t>
        </is>
      </c>
      <c r="C557" t="inlineStr">
        <is>
          <t>Tấm chống cháy dày 10mm bọc thân van FD/MFD (2 lớp)</t>
        </is>
      </c>
      <c r="D557" t="inlineStr">
        <is>
          <t>VẬT_LIỆU_CÁCH_NHIỆT</t>
        </is>
      </c>
      <c r="E557" t="inlineStr">
        <is>
          <t>MAT-FIREBOARD-10MM-BODY</t>
        </is>
      </c>
      <c r="F557" t="inlineStr">
        <is>
          <t>m2</t>
        </is>
      </c>
      <c r="G557" s="394" t="n">
        <v>1.38</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Bọc 2 lớp tấm 10mm quanh thân L=300mm</t>
        </is>
      </c>
    </row>
    <row r="558">
      <c r="A558" t="inlineStr">
        <is>
          <t>SW-DAMPER-114-FB20-BLADE</t>
        </is>
      </c>
      <c r="B558" t="inlineStr">
        <is>
          <t>SW-DAMPER-114</t>
        </is>
      </c>
      <c r="C558" t="inlineStr">
        <is>
          <t>Tấm chống cháy dày 20mm làm lõi cánh van FD/MFD</t>
        </is>
      </c>
      <c r="D558" t="inlineStr">
        <is>
          <t>VẬT_LIỆU_CÁCH_NHIỆT</t>
        </is>
      </c>
      <c r="E558" t="inlineStr">
        <is>
          <t>MAT-FIREBOARD-20MM-BLADE</t>
        </is>
      </c>
      <c r="F558" t="inlineStr">
        <is>
          <t>m2</t>
        </is>
      </c>
      <c r="G558" s="394" t="n">
        <v>0.4171953020134228</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Lõi cánh tấm 20mm (Đa cánh hệ số (H-5)/149=2.32, bản rộng 210mm, hao hụt 10%)</t>
        </is>
      </c>
    </row>
    <row r="559">
      <c r="A559" t="inlineStr">
        <is>
          <t>SW-DAMPER-114-FB10-BLADE</t>
        </is>
      </c>
      <c r="B559" t="inlineStr">
        <is>
          <t>SW-DAMPER-114</t>
        </is>
      </c>
      <c r="C559" t="inlineStr">
        <is>
          <t>Tấm chống cháy dày 10mm ốp 2 mặt cánh van FD/MFD</t>
        </is>
      </c>
      <c r="D559" t="inlineStr">
        <is>
          <t>VẬT_LIỆU_CÁCH_NHIỆT</t>
        </is>
      </c>
      <c r="E559" t="inlineStr">
        <is>
          <t>MAT-FIREBOARD-10MM-BLADE</t>
        </is>
      </c>
      <c r="F559" t="inlineStr">
        <is>
          <t>m2</t>
        </is>
      </c>
      <c r="G559" s="394" t="n">
        <v>0.8557852348993289</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Ốp 2 mặt cánh tấm 10mm (Đa cánh hệ số (H-5)/149=2.32, bản rộng 210mm, hao hụt 10%)</t>
        </is>
      </c>
    </row>
    <row r="560">
      <c r="A560" t="inlineStr">
        <is>
          <t>SW-DAMPER-114-SPRING-BOX</t>
        </is>
      </c>
      <c r="B560" t="inlineStr">
        <is>
          <t>SW-DAMPER-114</t>
        </is>
      </c>
      <c r="C560" t="inlineStr">
        <is>
          <t>Hộp lò xo van chặn lửa FD/MFD</t>
        </is>
      </c>
      <c r="D560" t="inlineStr">
        <is>
          <t>PHỤ_KIỆN_VAN</t>
        </is>
      </c>
      <c r="E560" t="inlineStr">
        <is>
          <t>MAT-DAMPER-HOP-LO-XO</t>
        </is>
      </c>
      <c r="F560" t="inlineStr">
        <is>
          <t>Bộ</t>
        </is>
      </c>
      <c r="G560" s="394" t="n">
        <v>1</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Hộp lò xo cơ cấu đóng sập (1 bộ)</t>
        </is>
      </c>
    </row>
    <row r="561">
      <c r="A561" t="inlineStr">
        <is>
          <t>SW-DAMPER-114-SILICON-BOLT</t>
        </is>
      </c>
      <c r="B561" t="inlineStr">
        <is>
          <t>SW-DAMPER-114</t>
        </is>
      </c>
      <c r="C561" t="inlineStr">
        <is>
          <t>Silicon chống cháy + bu lông, ốc vít van FD/MFD</t>
        </is>
      </c>
      <c r="D561" t="inlineStr">
        <is>
          <t>PHỤ_KIỆN_VAN</t>
        </is>
      </c>
      <c r="E561" t="inlineStr">
        <is>
          <t>MAT-DAMPER-SILICON-BULONG-VIT</t>
        </is>
      </c>
      <c r="F561" t="inlineStr">
        <is>
          <t>Bộ</t>
        </is>
      </c>
      <c r="G561" s="394" t="n">
        <v>1</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Keo silicon chống cháy &amp; phụ kiện lắp ghép (1 bộ)</t>
        </is>
      </c>
    </row>
    <row r="562">
      <c r="A562" t="inlineStr">
        <is>
          <t>SW-DAMPER-115-BODY</t>
        </is>
      </c>
      <c r="B562" t="inlineStr">
        <is>
          <t>SW-DAMPER-115</t>
        </is>
      </c>
      <c r="C562" t="inlineStr">
        <is>
          <t>Thân vỏ van MFD bích C30/TDF (1.15mm)</t>
        </is>
      </c>
      <c r="D562" t="inlineStr">
        <is>
          <t>TÔN_CUỘN_MẠ_KẼM</t>
        </is>
      </c>
      <c r="E562" t="inlineStr">
        <is>
          <t>MAT-STEEL-PN-1.15</t>
        </is>
      </c>
      <c r="F562" t="inlineStr">
        <is>
          <t>kg</t>
        </is>
      </c>
      <c r="G562" s="394" t="n">
        <v>6.500612475</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Kích thước vỏ 900x350x200mm</t>
        </is>
      </c>
    </row>
    <row r="563">
      <c r="A563" t="inlineStr">
        <is>
          <t>SW-DAMPER-115-BLADE</t>
        </is>
      </c>
      <c r="B563" t="inlineStr">
        <is>
          <t>SW-DAMPER-115</t>
        </is>
      </c>
      <c r="C563" t="inlineStr">
        <is>
          <t>Lá cánh / Tôn tấm bọc van (2 cánh)</t>
        </is>
      </c>
      <c r="D563" t="inlineStr">
        <is>
          <t>TÔN_CUỘN_MẠ_KẼM</t>
        </is>
      </c>
      <c r="E563" t="inlineStr">
        <is>
          <t>MAT-STEEL-PN-1.15</t>
        </is>
      </c>
      <c r="F563" t="inlineStr">
        <is>
          <t>kg</t>
        </is>
      </c>
      <c r="G563" s="394" t="n">
        <v>5.687324999999999</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Tôn bọc cánh &amp; thân (2 cánh/modul)</t>
        </is>
      </c>
    </row>
    <row r="564">
      <c r="A564" t="inlineStr">
        <is>
          <t>SW-DAMPER-115-AXLE</t>
        </is>
      </c>
      <c r="B564" t="inlineStr">
        <is>
          <t>SW-DAMPER-115</t>
        </is>
      </c>
      <c r="C564" t="inlineStr">
        <is>
          <t>Trục Sus 201 D10</t>
        </is>
      </c>
      <c r="D564" t="inlineStr">
        <is>
          <t>PHỤ_KIỆN_VAN</t>
        </is>
      </c>
      <c r="E564" t="inlineStr">
        <is>
          <t>MAT-DAMPER-TRUC-SUS-201-D10</t>
        </is>
      </c>
      <c r="F564" t="inlineStr">
        <is>
          <t>m</t>
        </is>
      </c>
      <c r="G564" s="394" t="n">
        <v>1.92</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2 trục dài 960mm</t>
        </is>
      </c>
    </row>
    <row r="565">
      <c r="A565" t="inlineStr">
        <is>
          <t>SW-DAMPER-115-BEARING</t>
        </is>
      </c>
      <c r="B565" t="inlineStr">
        <is>
          <t>SW-DAMPER-115</t>
        </is>
      </c>
      <c r="C565" t="inlineStr">
        <is>
          <t>Bạc đồng D10</t>
        </is>
      </c>
      <c r="D565" t="inlineStr">
        <is>
          <t>PHỤ_KIỆN_VAN</t>
        </is>
      </c>
      <c r="E565" t="inlineStr">
        <is>
          <t>MAT-DAMPER-BAC-DONG-D10</t>
        </is>
      </c>
      <c r="F565" t="inlineStr">
        <is>
          <t>Đôi</t>
        </is>
      </c>
      <c r="G565" s="394" t="n">
        <v>2</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2 đôi bạc đỡ 2 bên thân</t>
        </is>
      </c>
    </row>
    <row r="566">
      <c r="A566" t="inlineStr">
        <is>
          <t>SW-DAMPER-115-GEAR</t>
        </is>
      </c>
      <c r="B566" t="inlineStr">
        <is>
          <t>SW-DAMPER-115</t>
        </is>
      </c>
      <c r="C566" t="inlineStr">
        <is>
          <t>Bánh răng van nhôm</t>
        </is>
      </c>
      <c r="D566" t="inlineStr">
        <is>
          <t>PHỤ_KIỆN_VAN</t>
        </is>
      </c>
      <c r="E566" t="inlineStr">
        <is>
          <t>MAT-DAMPER-BANH-RANG-VAN-NHOM</t>
        </is>
      </c>
      <c r="F566" t="inlineStr">
        <is>
          <t>Bộ</t>
        </is>
      </c>
      <c r="G566" s="394" t="n">
        <v>1</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Cơ cấu liên động cánh (1 bộ)</t>
        </is>
      </c>
    </row>
    <row r="567">
      <c r="A567" t="inlineStr">
        <is>
          <t>SW-DAMPER-115-ACTUATOR</t>
        </is>
      </c>
      <c r="B567" t="inlineStr">
        <is>
          <t>SW-DAMPER-115</t>
        </is>
      </c>
      <c r="C567" t="inlineStr">
        <is>
          <t>Động cơ chặn lửa ON/OFF 9Nm, 230V/24V (BELIMO BFN24 / BFN230)</t>
        </is>
      </c>
      <c r="D567" t="inlineStr">
        <is>
          <t>ĐỘNG_CƠ_VÀ_CẢM_BIẾN</t>
        </is>
      </c>
      <c r="E567" t="inlineStr">
        <is>
          <t>MAT-ACTUATOR-BELIMO-BFN24</t>
        </is>
      </c>
      <c r="F567" t="inlineStr">
        <is>
          <t>Cái</t>
        </is>
      </c>
      <c r="G567" s="394" t="n">
        <v>1</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Động cơ lò xo phản hồi MFD (1 bộ)</t>
        </is>
      </c>
    </row>
    <row r="568">
      <c r="A568" t="inlineStr">
        <is>
          <t>SW-DAMPER-115-FB10-BODY</t>
        </is>
      </c>
      <c r="B568" t="inlineStr">
        <is>
          <t>SW-DAMPER-115</t>
        </is>
      </c>
      <c r="C568" t="inlineStr">
        <is>
          <t>Tấm chống cháy dày 10mm bọc thân van FD/MFD (2 lớp)</t>
        </is>
      </c>
      <c r="D568" t="inlineStr">
        <is>
          <t>VẬT_LIỆU_CÁCH_NHIỆT</t>
        </is>
      </c>
      <c r="E568" t="inlineStr">
        <is>
          <t>MAT-FIREBOARD-10MM-BODY</t>
        </is>
      </c>
      <c r="F568" t="inlineStr">
        <is>
          <t>m2</t>
        </is>
      </c>
      <c r="G568" s="394" t="n">
        <v>1.5</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Bọc 2 lớp tấm 10mm quanh thân L=300mm</t>
        </is>
      </c>
    </row>
    <row r="569">
      <c r="A569" t="inlineStr">
        <is>
          <t>SW-DAMPER-115-FB20-BLADE</t>
        </is>
      </c>
      <c r="B569" t="inlineStr">
        <is>
          <t>SW-DAMPER-115</t>
        </is>
      </c>
      <c r="C569" t="inlineStr">
        <is>
          <t>Tấm chống cháy dày 20mm làm lõi cánh van FD/MFD</t>
        </is>
      </c>
      <c r="D569" t="inlineStr">
        <is>
          <t>VẬT_LIỆU_CÁCH_NHIỆT</t>
        </is>
      </c>
      <c r="E569" t="inlineStr">
        <is>
          <t>MAT-FIREBOARD-20MM-BLADE</t>
        </is>
      </c>
      <c r="F569" t="inlineStr">
        <is>
          <t>m2</t>
        </is>
      </c>
      <c r="G569" s="394" t="n">
        <v>0.4706818791946309</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Lõi cánh tấm 20mm (Đa cánh hệ số (H-5)/149=2.32, bản rộng 210mm, hao hụt 10%)</t>
        </is>
      </c>
    </row>
    <row r="570">
      <c r="A570" t="inlineStr">
        <is>
          <t>SW-DAMPER-115-FB10-BLADE</t>
        </is>
      </c>
      <c r="B570" t="inlineStr">
        <is>
          <t>SW-DAMPER-115</t>
        </is>
      </c>
      <c r="C570" t="inlineStr">
        <is>
          <t>Tấm chống cháy dày 10mm ốp 2 mặt cánh van FD/MFD</t>
        </is>
      </c>
      <c r="D570" t="inlineStr">
        <is>
          <t>VẬT_LIỆU_CÁCH_NHIỆT</t>
        </is>
      </c>
      <c r="E570" t="inlineStr">
        <is>
          <t>MAT-FIREBOARD-10MM-BLADE</t>
        </is>
      </c>
      <c r="F570" t="inlineStr">
        <is>
          <t>m2</t>
        </is>
      </c>
      <c r="G570" s="394" t="n">
        <v>0.962758389261745</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Ốp 2 mặt cánh tấm 10mm (Đa cánh hệ số (H-5)/149=2.32, bản rộng 210mm, hao hụt 10%)</t>
        </is>
      </c>
    </row>
    <row r="571">
      <c r="A571" t="inlineStr">
        <is>
          <t>SW-DAMPER-115-SPRING-BOX</t>
        </is>
      </c>
      <c r="B571" t="inlineStr">
        <is>
          <t>SW-DAMPER-115</t>
        </is>
      </c>
      <c r="C571" t="inlineStr">
        <is>
          <t>Hộp lò xo van chặn lửa FD/MFD</t>
        </is>
      </c>
      <c r="D571" t="inlineStr">
        <is>
          <t>PHỤ_KIỆN_VAN</t>
        </is>
      </c>
      <c r="E571" t="inlineStr">
        <is>
          <t>MAT-DAMPER-HOP-LO-XO</t>
        </is>
      </c>
      <c r="F571" t="inlineStr">
        <is>
          <t>Bộ</t>
        </is>
      </c>
      <c r="G571" s="394" t="n">
        <v>1</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Hộp lò xo cơ cấu đóng sập (1 bộ)</t>
        </is>
      </c>
    </row>
    <row r="572">
      <c r="A572" t="inlineStr">
        <is>
          <t>SW-DAMPER-115-SILICON-BOLT</t>
        </is>
      </c>
      <c r="B572" t="inlineStr">
        <is>
          <t>SW-DAMPER-115</t>
        </is>
      </c>
      <c r="C572" t="inlineStr">
        <is>
          <t>Silicon chống cháy + bu lông, ốc vít van FD/MFD</t>
        </is>
      </c>
      <c r="D572" t="inlineStr">
        <is>
          <t>PHỤ_KIỆN_VAN</t>
        </is>
      </c>
      <c r="E572" t="inlineStr">
        <is>
          <t>MAT-DAMPER-SILICON-BULONG-VIT</t>
        </is>
      </c>
      <c r="F572" t="inlineStr">
        <is>
          <t>Bộ</t>
        </is>
      </c>
      <c r="G572" s="394" t="n">
        <v>1</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Keo silicon chống cháy &amp; phụ kiện lắp ghép (1 bộ)</t>
        </is>
      </c>
    </row>
    <row r="573">
      <c r="A573" t="inlineStr">
        <is>
          <t>SW-DAMPER-116-BODY</t>
        </is>
      </c>
      <c r="B573" t="inlineStr">
        <is>
          <t>SW-DAMPER-116</t>
        </is>
      </c>
      <c r="C573" t="inlineStr">
        <is>
          <t>Thân vỏ van MFD bích C30/TDF (1.15mm)</t>
        </is>
      </c>
      <c r="D573" t="inlineStr">
        <is>
          <t>TÔN_CUỘN_MẠ_KẼM</t>
        </is>
      </c>
      <c r="E573" t="inlineStr">
        <is>
          <t>MAT-STEEL-PN-1.15</t>
        </is>
      </c>
      <c r="F573" t="inlineStr">
        <is>
          <t>kg</t>
        </is>
      </c>
      <c r="G573" s="394" t="n">
        <v>6.500612475</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Kích thước vỏ 900x350x200mm</t>
        </is>
      </c>
    </row>
    <row r="574">
      <c r="A574" t="inlineStr">
        <is>
          <t>SW-DAMPER-116-BLADE</t>
        </is>
      </c>
      <c r="B574" t="inlineStr">
        <is>
          <t>SW-DAMPER-116</t>
        </is>
      </c>
      <c r="C574" t="inlineStr">
        <is>
          <t>Lá cánh / Tôn tấm bọc van (2 cánh)</t>
        </is>
      </c>
      <c r="D574" t="inlineStr">
        <is>
          <t>TÔN_CUỘN_MẠ_KẼM</t>
        </is>
      </c>
      <c r="E574" t="inlineStr">
        <is>
          <t>MAT-STEEL-PN-1.15</t>
        </is>
      </c>
      <c r="F574" t="inlineStr">
        <is>
          <t>kg</t>
        </is>
      </c>
      <c r="G574" s="394" t="n">
        <v>5.687324999999999</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Tôn bọc cánh &amp; thân (2 cánh/modul)</t>
        </is>
      </c>
    </row>
    <row r="575">
      <c r="A575" t="inlineStr">
        <is>
          <t>SW-DAMPER-116-AXLE</t>
        </is>
      </c>
      <c r="B575" t="inlineStr">
        <is>
          <t>SW-DAMPER-116</t>
        </is>
      </c>
      <c r="C575" t="inlineStr">
        <is>
          <t>Trục Sus 201 D10</t>
        </is>
      </c>
      <c r="D575" t="inlineStr">
        <is>
          <t>PHỤ_KIỆN_VAN</t>
        </is>
      </c>
      <c r="E575" t="inlineStr">
        <is>
          <t>MAT-DAMPER-TRUC-SUS-201-D10</t>
        </is>
      </c>
      <c r="F575" t="inlineStr">
        <is>
          <t>m</t>
        </is>
      </c>
      <c r="G575" s="394" t="n">
        <v>1.92</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2 trục dài 960mm</t>
        </is>
      </c>
    </row>
    <row r="576">
      <c r="A576" t="inlineStr">
        <is>
          <t>SW-DAMPER-116-BEARING</t>
        </is>
      </c>
      <c r="B576" t="inlineStr">
        <is>
          <t>SW-DAMPER-116</t>
        </is>
      </c>
      <c r="C576" t="inlineStr">
        <is>
          <t>Bạc đồng D10</t>
        </is>
      </c>
      <c r="D576" t="inlineStr">
        <is>
          <t>PHỤ_KIỆN_VAN</t>
        </is>
      </c>
      <c r="E576" t="inlineStr">
        <is>
          <t>MAT-DAMPER-BAC-DONG-D10</t>
        </is>
      </c>
      <c r="F576" t="inlineStr">
        <is>
          <t>Đôi</t>
        </is>
      </c>
      <c r="G576" s="394" t="n">
        <v>2</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2 đôi bạc đỡ 2 bên thân</t>
        </is>
      </c>
    </row>
    <row r="577">
      <c r="A577" t="inlineStr">
        <is>
          <t>SW-DAMPER-116-GEAR</t>
        </is>
      </c>
      <c r="B577" t="inlineStr">
        <is>
          <t>SW-DAMPER-116</t>
        </is>
      </c>
      <c r="C577" t="inlineStr">
        <is>
          <t>Bánh răng van nhôm</t>
        </is>
      </c>
      <c r="D577" t="inlineStr">
        <is>
          <t>PHỤ_KIỆN_VAN</t>
        </is>
      </c>
      <c r="E577" t="inlineStr">
        <is>
          <t>MAT-DAMPER-BANH-RANG-VAN-NHOM</t>
        </is>
      </c>
      <c r="F577" t="inlineStr">
        <is>
          <t>Bộ</t>
        </is>
      </c>
      <c r="G577" s="394" t="n">
        <v>1</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Cơ cấu liên động cánh (1 bộ)</t>
        </is>
      </c>
    </row>
    <row r="578">
      <c r="A578" t="inlineStr">
        <is>
          <t>SW-DAMPER-116-ACTUATOR</t>
        </is>
      </c>
      <c r="B578" t="inlineStr">
        <is>
          <t>SW-DAMPER-116</t>
        </is>
      </c>
      <c r="C578" t="inlineStr">
        <is>
          <t>Động cơ chặn lửa ON/OFF 9Nm, 230V/24V (BELIMO BFN24 / BFN230)</t>
        </is>
      </c>
      <c r="D578" t="inlineStr">
        <is>
          <t>ĐỘNG_CƠ_VÀ_CẢM_BIẾN</t>
        </is>
      </c>
      <c r="E578" t="inlineStr">
        <is>
          <t>MAT-ACTUATOR-BELIMO-BFN24</t>
        </is>
      </c>
      <c r="F578" t="inlineStr">
        <is>
          <t>Cái</t>
        </is>
      </c>
      <c r="G578" s="394" t="n">
        <v>1</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Động cơ lò xo phản hồi MFD (1 bộ)</t>
        </is>
      </c>
    </row>
    <row r="579">
      <c r="A579" t="inlineStr">
        <is>
          <t>SW-DAMPER-116-FB10-BODY</t>
        </is>
      </c>
      <c r="B579" t="inlineStr">
        <is>
          <t>SW-DAMPER-116</t>
        </is>
      </c>
      <c r="C579" t="inlineStr">
        <is>
          <t>Tấm chống cháy dày 10mm bọc thân van FD/MFD (2 lớp)</t>
        </is>
      </c>
      <c r="D579" t="inlineStr">
        <is>
          <t>VẬT_LIỆU_CÁCH_NHIỆT</t>
        </is>
      </c>
      <c r="E579" t="inlineStr">
        <is>
          <t>MAT-FIREBOARD-10MM-BODY</t>
        </is>
      </c>
      <c r="F579" t="inlineStr">
        <is>
          <t>m2</t>
        </is>
      </c>
      <c r="G579" s="394" t="n">
        <v>1.5</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Bọc 2 lớp tấm 10mm quanh thân L=300mm</t>
        </is>
      </c>
    </row>
    <row r="580">
      <c r="A580" t="inlineStr">
        <is>
          <t>SW-DAMPER-116-FB20-BLADE</t>
        </is>
      </c>
      <c r="B580" t="inlineStr">
        <is>
          <t>SW-DAMPER-116</t>
        </is>
      </c>
      <c r="C580" t="inlineStr">
        <is>
          <t>Tấm chống cháy dày 20mm làm lõi cánh van FD/MFD</t>
        </is>
      </c>
      <c r="D580" t="inlineStr">
        <is>
          <t>VẬT_LIỆU_CÁCH_NHIỆT</t>
        </is>
      </c>
      <c r="E580" t="inlineStr">
        <is>
          <t>MAT-FIREBOARD-20MM-BLADE</t>
        </is>
      </c>
      <c r="F580" t="inlineStr">
        <is>
          <t>m2</t>
        </is>
      </c>
      <c r="G580" s="394" t="n">
        <v>0.4706818791946309</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Lõi cánh tấm 20mm (Đa cánh hệ số (H-5)/149=2.32, bản rộng 210mm, hao hụt 10%)</t>
        </is>
      </c>
    </row>
    <row r="581">
      <c r="A581" t="inlineStr">
        <is>
          <t>SW-DAMPER-116-FB10-BLADE</t>
        </is>
      </c>
      <c r="B581" t="inlineStr">
        <is>
          <t>SW-DAMPER-116</t>
        </is>
      </c>
      <c r="C581" t="inlineStr">
        <is>
          <t>Tấm chống cháy dày 10mm ốp 2 mặt cánh van FD/MFD</t>
        </is>
      </c>
      <c r="D581" t="inlineStr">
        <is>
          <t>VẬT_LIỆU_CÁCH_NHIỆT</t>
        </is>
      </c>
      <c r="E581" t="inlineStr">
        <is>
          <t>MAT-FIREBOARD-10MM-BLADE</t>
        </is>
      </c>
      <c r="F581" t="inlineStr">
        <is>
          <t>m2</t>
        </is>
      </c>
      <c r="G581" s="394" t="n">
        <v>0.962758389261745</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Ốp 2 mặt cánh tấm 10mm (Đa cánh hệ số (H-5)/149=2.32, bản rộng 210mm, hao hụt 10%)</t>
        </is>
      </c>
    </row>
    <row r="582">
      <c r="A582" t="inlineStr">
        <is>
          <t>SW-DAMPER-116-SPRING-BOX</t>
        </is>
      </c>
      <c r="B582" t="inlineStr">
        <is>
          <t>SW-DAMPER-116</t>
        </is>
      </c>
      <c r="C582" t="inlineStr">
        <is>
          <t>Hộp lò xo van chặn lửa FD/MFD</t>
        </is>
      </c>
      <c r="D582" t="inlineStr">
        <is>
          <t>PHỤ_KIỆN_VAN</t>
        </is>
      </c>
      <c r="E582" t="inlineStr">
        <is>
          <t>MAT-DAMPER-HOP-LO-XO</t>
        </is>
      </c>
      <c r="F582" t="inlineStr">
        <is>
          <t>Bộ</t>
        </is>
      </c>
      <c r="G582" s="394" t="n">
        <v>1</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Hộp lò xo cơ cấu đóng sập (1 bộ)</t>
        </is>
      </c>
    </row>
    <row r="583">
      <c r="A583" t="inlineStr">
        <is>
          <t>SW-DAMPER-116-SILICON-BOLT</t>
        </is>
      </c>
      <c r="B583" t="inlineStr">
        <is>
          <t>SW-DAMPER-116</t>
        </is>
      </c>
      <c r="C583" t="inlineStr">
        <is>
          <t>Silicon chống cháy + bu lông, ốc vít van FD/MFD</t>
        </is>
      </c>
      <c r="D583" t="inlineStr">
        <is>
          <t>PHỤ_KIỆN_VAN</t>
        </is>
      </c>
      <c r="E583" t="inlineStr">
        <is>
          <t>MAT-DAMPER-SILICON-BULONG-VIT</t>
        </is>
      </c>
      <c r="F583" t="inlineStr">
        <is>
          <t>Bộ</t>
        </is>
      </c>
      <c r="G583" s="394" t="n">
        <v>1</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Keo silicon chống cháy &amp; phụ kiện lắp ghép (1 bộ)</t>
        </is>
      </c>
    </row>
    <row r="584">
      <c r="A584" t="inlineStr">
        <is>
          <t>SW-DAMPER-117-BODY</t>
        </is>
      </c>
      <c r="B584" t="inlineStr">
        <is>
          <t>SW-DAMPER-117</t>
        </is>
      </c>
      <c r="C584" t="inlineStr">
        <is>
          <t>Thân vỏ van MFD bích C30/TDF (1.15mm)</t>
        </is>
      </c>
      <c r="D584" t="inlineStr">
        <is>
          <t>TÔN_CUỘN_MẠ_KẼM</t>
        </is>
      </c>
      <c r="E584" t="inlineStr">
        <is>
          <t>MAT-STEEL-PN-1.15</t>
        </is>
      </c>
      <c r="F584" t="inlineStr">
        <is>
          <t>kg</t>
        </is>
      </c>
      <c r="G584" s="394" t="n">
        <v>2.6616681</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Kích thước vỏ 150x350x200mm (Thu côn từ 150x350mm về 110x350mm)</t>
        </is>
      </c>
    </row>
    <row r="585">
      <c r="A585" t="inlineStr">
        <is>
          <t>SW-DAMPER-117-BLADE</t>
        </is>
      </c>
      <c r="B585" t="inlineStr">
        <is>
          <t>SW-DAMPER-117</t>
        </is>
      </c>
      <c r="C585" t="inlineStr">
        <is>
          <t>Lá cánh / Tôn tấm bọc van (2 cánh)</t>
        </is>
      </c>
      <c r="D585" t="inlineStr">
        <is>
          <t>TÔN_CUỘN_MẠ_KẼM</t>
        </is>
      </c>
      <c r="E585" t="inlineStr">
        <is>
          <t>MAT-STEEL-PN-1.15</t>
        </is>
      </c>
      <c r="F585" t="inlineStr">
        <is>
          <t>kg</t>
        </is>
      </c>
      <c r="G585" s="394" t="n">
        <v>0.9478874999999998</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Tôn bọc cánh &amp; thân (2 cánh/modul)</t>
        </is>
      </c>
    </row>
    <row r="586">
      <c r="A586" t="inlineStr">
        <is>
          <t>SW-DAMPER-117-AXLE</t>
        </is>
      </c>
      <c r="B586" t="inlineStr">
        <is>
          <t>SW-DAMPER-117</t>
        </is>
      </c>
      <c r="C586" t="inlineStr">
        <is>
          <t>Trục Sus 201 D10</t>
        </is>
      </c>
      <c r="D586" t="inlineStr">
        <is>
          <t>PHỤ_KIỆN_VAN</t>
        </is>
      </c>
      <c r="E586" t="inlineStr">
        <is>
          <t>MAT-DAMPER-TRUC-SUS-201-D10</t>
        </is>
      </c>
      <c r="F586" t="inlineStr">
        <is>
          <t>m</t>
        </is>
      </c>
      <c r="G586" s="394" t="n">
        <v>0.42</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2 trục dài 210mm</t>
        </is>
      </c>
    </row>
    <row r="587">
      <c r="A587" t="inlineStr">
        <is>
          <t>SW-DAMPER-117-BEARING</t>
        </is>
      </c>
      <c r="B587" t="inlineStr">
        <is>
          <t>SW-DAMPER-117</t>
        </is>
      </c>
      <c r="C587" t="inlineStr">
        <is>
          <t>Bạc đồng D10</t>
        </is>
      </c>
      <c r="D587" t="inlineStr">
        <is>
          <t>PHỤ_KIỆN_VAN</t>
        </is>
      </c>
      <c r="E587" t="inlineStr">
        <is>
          <t>MAT-DAMPER-BAC-DONG-D10</t>
        </is>
      </c>
      <c r="F587" t="inlineStr">
        <is>
          <t>Đôi</t>
        </is>
      </c>
      <c r="G587" s="394" t="n">
        <v>2</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2 đôi bạc đỡ 2 bên thân</t>
        </is>
      </c>
    </row>
    <row r="588">
      <c r="A588" t="inlineStr">
        <is>
          <t>SW-DAMPER-117-GEAR</t>
        </is>
      </c>
      <c r="B588" t="inlineStr">
        <is>
          <t>SW-DAMPER-117</t>
        </is>
      </c>
      <c r="C588" t="inlineStr">
        <is>
          <t>Bánh răng van nhôm</t>
        </is>
      </c>
      <c r="D588" t="inlineStr">
        <is>
          <t>PHỤ_KIỆN_VAN</t>
        </is>
      </c>
      <c r="E588" t="inlineStr">
        <is>
          <t>MAT-DAMPER-BANH-RANG-VAN-NHOM</t>
        </is>
      </c>
      <c r="F588" t="inlineStr">
        <is>
          <t>Bộ</t>
        </is>
      </c>
      <c r="G588" s="394" t="n">
        <v>1</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Cơ cấu liên động cánh (1 bộ)</t>
        </is>
      </c>
    </row>
    <row r="589">
      <c r="A589" t="inlineStr">
        <is>
          <t>SW-DAMPER-117-ACTUATOR</t>
        </is>
      </c>
      <c r="B589" t="inlineStr">
        <is>
          <t>SW-DAMPER-117</t>
        </is>
      </c>
      <c r="C589" t="inlineStr">
        <is>
          <t>Động cơ chặn lửa ON/OFF 9Nm, 230V/24V (BELIMO BFN24 / BFN230)</t>
        </is>
      </c>
      <c r="D589" t="inlineStr">
        <is>
          <t>ĐỘNG_CƠ_VÀ_CẢM_BIẾN</t>
        </is>
      </c>
      <c r="E589" t="inlineStr">
        <is>
          <t>MAT-ACTUATOR-BELIMO-BFN24</t>
        </is>
      </c>
      <c r="F589" t="inlineStr">
        <is>
          <t>Cái</t>
        </is>
      </c>
      <c r="G589" s="394" t="n">
        <v>1</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Động cơ lò xo phản hồi MFD (1 bộ)</t>
        </is>
      </c>
    </row>
    <row r="590">
      <c r="A590" t="inlineStr">
        <is>
          <t>SW-DAMPER-117-FB10-BODY</t>
        </is>
      </c>
      <c r="B590" t="inlineStr">
        <is>
          <t>SW-DAMPER-117</t>
        </is>
      </c>
      <c r="C590" t="inlineStr">
        <is>
          <t>Tấm chống cháy dày 10mm bọc thân van FD/MFD (2 lớp)</t>
        </is>
      </c>
      <c r="D590" t="inlineStr">
        <is>
          <t>VẬT_LIỆU_CÁCH_NHIỆT</t>
        </is>
      </c>
      <c r="E590" t="inlineStr">
        <is>
          <t>MAT-FIREBOARD-10MM-BODY</t>
        </is>
      </c>
      <c r="F590" t="inlineStr">
        <is>
          <t>m2</t>
        </is>
      </c>
      <c r="G590" s="394" t="n">
        <v>0.6</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Bọc 2 lớp tấm 10mm quanh thân L=300mm</t>
        </is>
      </c>
    </row>
    <row r="591">
      <c r="A591" t="inlineStr">
        <is>
          <t>SW-DAMPER-117-FB20-BLADE</t>
        </is>
      </c>
      <c r="B591" t="inlineStr">
        <is>
          <t>SW-DAMPER-117</t>
        </is>
      </c>
      <c r="C591" t="inlineStr">
        <is>
          <t>Tấm chống cháy dày 20mm làm lõi cánh van FD/MFD</t>
        </is>
      </c>
      <c r="D591" t="inlineStr">
        <is>
          <t>VẬT_LIỆU_CÁCH_NHIỆT</t>
        </is>
      </c>
      <c r="E591" t="inlineStr">
        <is>
          <t>MAT-FIREBOARD-20MM-BLADE</t>
        </is>
      </c>
      <c r="F591" t="inlineStr">
        <is>
          <t>m2</t>
        </is>
      </c>
      <c r="G591" s="394" t="n">
        <v>0.06953255033557047</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Lõi cánh tấm 20mm (Đa cánh hệ số (H-5)/149=2.32, bản rộng 210mm, hao hụt 10%)</t>
        </is>
      </c>
    </row>
    <row r="592">
      <c r="A592" t="inlineStr">
        <is>
          <t>SW-DAMPER-117-FB10-BLADE</t>
        </is>
      </c>
      <c r="B592" t="inlineStr">
        <is>
          <t>SW-DAMPER-117</t>
        </is>
      </c>
      <c r="C592" t="inlineStr">
        <is>
          <t>Tấm chống cháy dày 10mm ốp 2 mặt cánh van FD/MFD</t>
        </is>
      </c>
      <c r="D592" t="inlineStr">
        <is>
          <t>VẬT_LIỆU_CÁCH_NHIỆT</t>
        </is>
      </c>
      <c r="E592" t="inlineStr">
        <is>
          <t>MAT-FIREBOARD-10MM-BLADE</t>
        </is>
      </c>
      <c r="F592" t="inlineStr">
        <is>
          <t>m2</t>
        </is>
      </c>
      <c r="G592" s="394" t="n">
        <v>0.1604597315436242</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Ốp 2 mặt cánh tấm 10mm (Đa cánh hệ số (H-5)/149=2.32, bản rộng 210mm, hao hụt 10%)</t>
        </is>
      </c>
    </row>
    <row r="593">
      <c r="A593" t="inlineStr">
        <is>
          <t>SW-DAMPER-117-SPRING-BOX</t>
        </is>
      </c>
      <c r="B593" t="inlineStr">
        <is>
          <t>SW-DAMPER-117</t>
        </is>
      </c>
      <c r="C593" t="inlineStr">
        <is>
          <t>Hộp lò xo van chặn lửa FD/MFD</t>
        </is>
      </c>
      <c r="D593" t="inlineStr">
        <is>
          <t>PHỤ_KIỆN_VAN</t>
        </is>
      </c>
      <c r="E593" t="inlineStr">
        <is>
          <t>MAT-DAMPER-HOP-LO-XO</t>
        </is>
      </c>
      <c r="F593" t="inlineStr">
        <is>
          <t>Bộ</t>
        </is>
      </c>
      <c r="G593" s="394" t="n">
        <v>1</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Hộp lò xo cơ cấu đóng sập (1 bộ)</t>
        </is>
      </c>
    </row>
    <row r="594">
      <c r="A594" t="inlineStr">
        <is>
          <t>SW-DAMPER-117-SILICON-BOLT</t>
        </is>
      </c>
      <c r="B594" t="inlineStr">
        <is>
          <t>SW-DAMPER-117</t>
        </is>
      </c>
      <c r="C594" t="inlineStr">
        <is>
          <t>Silicon chống cháy + bu lông, ốc vít van FD/MFD</t>
        </is>
      </c>
      <c r="D594" t="inlineStr">
        <is>
          <t>PHỤ_KIỆN_VAN</t>
        </is>
      </c>
      <c r="E594" t="inlineStr">
        <is>
          <t>MAT-DAMPER-SILICON-BULONG-VIT</t>
        </is>
      </c>
      <c r="F594" t="inlineStr">
        <is>
          <t>Bộ</t>
        </is>
      </c>
      <c r="G594" s="394" t="n">
        <v>1</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Keo silicon chống cháy &amp; phụ kiện lắp ghép (1 bộ)</t>
        </is>
      </c>
    </row>
    <row r="595">
      <c r="A595" t="inlineStr">
        <is>
          <t>SW-DAMPER-118-BODY</t>
        </is>
      </c>
      <c r="B595" t="inlineStr">
        <is>
          <t>SW-DAMPER-118</t>
        </is>
      </c>
      <c r="C595" t="inlineStr">
        <is>
          <t>Thân vỏ van MFD bích C30/TDF (1.15mm)</t>
        </is>
      </c>
      <c r="D595" t="inlineStr">
        <is>
          <t>TÔN_CUỘN_MẠ_KẼM</t>
        </is>
      </c>
      <c r="E595" t="inlineStr">
        <is>
          <t>MAT-STEEL-PN-1.15</t>
        </is>
      </c>
      <c r="F595" t="inlineStr">
        <is>
          <t>kg</t>
        </is>
      </c>
      <c r="G595" s="394" t="n">
        <v>9.418210200000001</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Kích thước vỏ 1100x350x200mm (2 modul 550x350mm)</t>
        </is>
      </c>
    </row>
    <row r="596">
      <c r="A596" t="inlineStr">
        <is>
          <t>SW-DAMPER-118-BLADE</t>
        </is>
      </c>
      <c r="B596" t="inlineStr">
        <is>
          <t>SW-DAMPER-118</t>
        </is>
      </c>
      <c r="C596" t="inlineStr">
        <is>
          <t>Lá cánh / Tôn tấm bọc van (4 cánh)</t>
        </is>
      </c>
      <c r="D596" t="inlineStr">
        <is>
          <t>TÔN_CUỘN_MẠ_KẼM</t>
        </is>
      </c>
      <c r="E596" t="inlineStr">
        <is>
          <t>MAT-STEEL-PN-1.15</t>
        </is>
      </c>
      <c r="F596" t="inlineStr">
        <is>
          <t>kg</t>
        </is>
      </c>
      <c r="G596" s="394" t="n">
        <v>6.951174999999998</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Tôn bọc cánh &amp; thân (2 cánh/modul (2 modul 550x350mm))</t>
        </is>
      </c>
    </row>
    <row r="597">
      <c r="A597" t="inlineStr">
        <is>
          <t>SW-DAMPER-118-AXLE</t>
        </is>
      </c>
      <c r="B597" t="inlineStr">
        <is>
          <t>SW-DAMPER-118</t>
        </is>
      </c>
      <c r="C597" t="inlineStr">
        <is>
          <t>Trục Sus 201 D10</t>
        </is>
      </c>
      <c r="D597" t="inlineStr">
        <is>
          <t>PHỤ_KIỆN_VAN</t>
        </is>
      </c>
      <c r="E597" t="inlineStr">
        <is>
          <t>MAT-DAMPER-TRUC-SUS-201-D10</t>
        </is>
      </c>
      <c r="F597" t="inlineStr">
        <is>
          <t>m</t>
        </is>
      </c>
      <c r="G597" s="394" t="n">
        <v>2.44</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4 trục dài 610mm</t>
        </is>
      </c>
    </row>
    <row r="598">
      <c r="A598" t="inlineStr">
        <is>
          <t>SW-DAMPER-118-BEARING</t>
        </is>
      </c>
      <c r="B598" t="inlineStr">
        <is>
          <t>SW-DAMPER-118</t>
        </is>
      </c>
      <c r="C598" t="inlineStr">
        <is>
          <t>Bạc đồng D10</t>
        </is>
      </c>
      <c r="D598" t="inlineStr">
        <is>
          <t>PHỤ_KIỆN_VAN</t>
        </is>
      </c>
      <c r="E598" t="inlineStr">
        <is>
          <t>MAT-DAMPER-BAC-DONG-D10</t>
        </is>
      </c>
      <c r="F598" t="inlineStr">
        <is>
          <t>Đôi</t>
        </is>
      </c>
      <c r="G598" s="394" t="n">
        <v>4</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4 đôi bạc đỡ 2 bên thân</t>
        </is>
      </c>
    </row>
    <row r="599">
      <c r="A599" t="inlineStr">
        <is>
          <t>SW-DAMPER-118-GEAR</t>
        </is>
      </c>
      <c r="B599" t="inlineStr">
        <is>
          <t>SW-DAMPER-118</t>
        </is>
      </c>
      <c r="C599" t="inlineStr">
        <is>
          <t>Bánh răng van nhôm</t>
        </is>
      </c>
      <c r="D599" t="inlineStr">
        <is>
          <t>PHỤ_KIỆN_VAN</t>
        </is>
      </c>
      <c r="E599" t="inlineStr">
        <is>
          <t>MAT-DAMPER-BANH-RANG-VAN-NHOM</t>
        </is>
      </c>
      <c r="F599" t="inlineStr">
        <is>
          <t>Bộ</t>
        </is>
      </c>
      <c r="G599" s="394" t="n">
        <v>2</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Cơ cấu liên động cánh (2 bộ)</t>
        </is>
      </c>
    </row>
    <row r="600">
      <c r="A600" t="inlineStr">
        <is>
          <t>SW-DAMPER-118-ACTUATOR</t>
        </is>
      </c>
      <c r="B600" t="inlineStr">
        <is>
          <t>SW-DAMPER-118</t>
        </is>
      </c>
      <c r="C600" t="inlineStr">
        <is>
          <t>Động cơ chặn lửa ON/OFF 9Nm, 230V/24V (BELIMO BFN24 / BFN230)</t>
        </is>
      </c>
      <c r="D600" t="inlineStr">
        <is>
          <t>ĐỘNG_CƠ_VÀ_CẢM_BIẾN</t>
        </is>
      </c>
      <c r="E600" t="inlineStr">
        <is>
          <t>MAT-ACTUATOR-BELIMO-BFN24</t>
        </is>
      </c>
      <c r="F600" t="inlineStr">
        <is>
          <t>Cái</t>
        </is>
      </c>
      <c r="G600" s="394" t="n">
        <v>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Động cơ lò xo phản hồi MFD (2 bộ (2 modul 550x350mm))</t>
        </is>
      </c>
    </row>
    <row r="601">
      <c r="A601" t="inlineStr">
        <is>
          <t>SW-DAMPER-118-FB10-BODY</t>
        </is>
      </c>
      <c r="B601" t="inlineStr">
        <is>
          <t>SW-DAMPER-118</t>
        </is>
      </c>
      <c r="C601" t="inlineStr">
        <is>
          <t>Tấm chống cháy dày 10mm bọc thân van FD/MFD (2 lớp)</t>
        </is>
      </c>
      <c r="D601" t="inlineStr">
        <is>
          <t>VẬT_LIỆU_CÁCH_NHIỆT</t>
        </is>
      </c>
      <c r="E601" t="inlineStr">
        <is>
          <t>MAT-FIREBOARD-10MM-BODY</t>
        </is>
      </c>
      <c r="F601" t="inlineStr">
        <is>
          <t>m2</t>
        </is>
      </c>
      <c r="G601" s="394" t="n">
        <v>2.16</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Bọc 2 lớp tấm 10mm quanh thân L=300mm (2 modul 550x350mm)</t>
        </is>
      </c>
    </row>
    <row r="602">
      <c r="A602" t="inlineStr">
        <is>
          <t>SW-DAMPER-118-FB20-BLADE</t>
        </is>
      </c>
      <c r="B602" t="inlineStr">
        <is>
          <t>SW-DAMPER-118</t>
        </is>
      </c>
      <c r="C602" t="inlineStr">
        <is>
          <t>Tấm chống cháy dày 20mm làm lõi cánh van FD/MFD</t>
        </is>
      </c>
      <c r="D602" t="inlineStr">
        <is>
          <t>VẬT_LIỆU_CÁCH_NHIỆT</t>
        </is>
      </c>
      <c r="E602" t="inlineStr">
        <is>
          <t>MAT-FIREBOARD-20MM-BLADE</t>
        </is>
      </c>
      <c r="F602" t="inlineStr">
        <is>
          <t>m2</t>
        </is>
      </c>
      <c r="G602" s="394" t="n">
        <v>0.5669577181208053</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Lõi cánh tấm 20mm (Đa cánh hệ số (H-5)/149=2.32, bản rộng 210mm, hao hụt 10% (2 modul 550x350mm))</t>
        </is>
      </c>
    </row>
    <row r="603">
      <c r="A603" t="inlineStr">
        <is>
          <t>SW-DAMPER-118-FB10-BLADE</t>
        </is>
      </c>
      <c r="B603" t="inlineStr">
        <is>
          <t>SW-DAMPER-118</t>
        </is>
      </c>
      <c r="C603" t="inlineStr">
        <is>
          <t>Tấm chống cháy dày 10mm ốp 2 mặt cánh van FD/MFD</t>
        </is>
      </c>
      <c r="D603" t="inlineStr">
        <is>
          <t>VẬT_LIỆU_CÁCH_NHIỆT</t>
        </is>
      </c>
      <c r="E603" t="inlineStr">
        <is>
          <t>MAT-FIREBOARD-10MM-BLADE</t>
        </is>
      </c>
      <c r="F603" t="inlineStr">
        <is>
          <t>m2</t>
        </is>
      </c>
      <c r="G603" s="394" t="n">
        <v>1.176704697986577</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Ốp 2 mặt cánh tấm 10mm (Đa cánh hệ số (H-5)/149=2.32, bản rộng 210mm, hao hụt 10% (2 modul 550x350mm))</t>
        </is>
      </c>
    </row>
    <row r="604">
      <c r="A604" t="inlineStr">
        <is>
          <t>SW-DAMPER-118-SPRING-BOX</t>
        </is>
      </c>
      <c r="B604" t="inlineStr">
        <is>
          <t>SW-DAMPER-118</t>
        </is>
      </c>
      <c r="C604" t="inlineStr">
        <is>
          <t>Hộp lò xo van chặn lửa FD/MFD</t>
        </is>
      </c>
      <c r="D604" t="inlineStr">
        <is>
          <t>PHỤ_KIỆN_VAN</t>
        </is>
      </c>
      <c r="E604" t="inlineStr">
        <is>
          <t>MAT-DAMPER-HOP-LO-XO</t>
        </is>
      </c>
      <c r="F604" t="inlineStr">
        <is>
          <t>Bộ</t>
        </is>
      </c>
      <c r="G604" s="394" t="n">
        <v>2</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Hộp lò xo cơ cấu đóng sập (2 bộ)</t>
        </is>
      </c>
    </row>
    <row r="605">
      <c r="A605" t="inlineStr">
        <is>
          <t>SW-DAMPER-118-SILICON-BOLT</t>
        </is>
      </c>
      <c r="B605" t="inlineStr">
        <is>
          <t>SW-DAMPER-118</t>
        </is>
      </c>
      <c r="C605" t="inlineStr">
        <is>
          <t>Silicon chống cháy + bu lông, ốc vít van FD/MFD</t>
        </is>
      </c>
      <c r="D605" t="inlineStr">
        <is>
          <t>PHỤ_KIỆN_VAN</t>
        </is>
      </c>
      <c r="E605" t="inlineStr">
        <is>
          <t>MAT-DAMPER-SILICON-BULONG-VIT</t>
        </is>
      </c>
      <c r="F605" t="inlineStr">
        <is>
          <t>Bộ</t>
        </is>
      </c>
      <c r="G605" s="394" t="n">
        <v>2</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Keo silicon chống cháy &amp; phụ kiện lắp ghép (2 bộ)</t>
        </is>
      </c>
    </row>
    <row r="606">
      <c r="A606" t="inlineStr">
        <is>
          <t>SW-DAMPER-119-BODY</t>
        </is>
      </c>
      <c r="B606" t="inlineStr">
        <is>
          <t>SW-DAMPER-119</t>
        </is>
      </c>
      <c r="C606" t="inlineStr">
        <is>
          <t>Thân vỏ van MFD bích C30/TDF (1.15mm)</t>
        </is>
      </c>
      <c r="D606" t="inlineStr">
        <is>
          <t>TÔN_CUỘN_MẠ_KẼM</t>
        </is>
      </c>
      <c r="E606" t="inlineStr">
        <is>
          <t>MAT-STEEL-PN-1.15</t>
        </is>
      </c>
      <c r="F606" t="inlineStr">
        <is>
          <t>kg</t>
        </is>
      </c>
      <c r="G606" s="394" t="n">
        <v>5.732823600000001</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Kích thước vỏ 800x300x200mm</t>
        </is>
      </c>
    </row>
    <row r="607">
      <c r="A607" t="inlineStr">
        <is>
          <t>SW-DAMPER-119-BLADE</t>
        </is>
      </c>
      <c r="B607" t="inlineStr">
        <is>
          <t>SW-DAMPER-119</t>
        </is>
      </c>
      <c r="C607" t="inlineStr">
        <is>
          <t>Lá cánh / Tôn tấm bọc van (2 cánh)</t>
        </is>
      </c>
      <c r="D607" t="inlineStr">
        <is>
          <t>TÔN_CUỘN_MẠ_KẼM</t>
        </is>
      </c>
      <c r="E607" t="inlineStr">
        <is>
          <t>MAT-STEEL-PN-1.15</t>
        </is>
      </c>
      <c r="F607" t="inlineStr">
        <is>
          <t>kg</t>
        </is>
      </c>
      <c r="G607" s="394" t="n">
        <v>4.333199999999999</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Tôn bọc cánh &amp; thân (2 cánh/modul)</t>
        </is>
      </c>
    </row>
    <row r="608">
      <c r="A608" t="inlineStr">
        <is>
          <t>SW-DAMPER-119-AXLE</t>
        </is>
      </c>
      <c r="B608" t="inlineStr">
        <is>
          <t>SW-DAMPER-119</t>
        </is>
      </c>
      <c r="C608" t="inlineStr">
        <is>
          <t>Trục Sus 201 D10</t>
        </is>
      </c>
      <c r="D608" t="inlineStr">
        <is>
          <t>PHỤ_KIỆN_VAN</t>
        </is>
      </c>
      <c r="E608" t="inlineStr">
        <is>
          <t>MAT-DAMPER-TRUC-SUS-201-D10</t>
        </is>
      </c>
      <c r="F608" t="inlineStr">
        <is>
          <t>m</t>
        </is>
      </c>
      <c r="G608" s="394" t="n">
        <v>1.72</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2 trục dài 860mm</t>
        </is>
      </c>
    </row>
    <row r="609">
      <c r="A609" t="inlineStr">
        <is>
          <t>SW-DAMPER-119-BEARING</t>
        </is>
      </c>
      <c r="B609" t="inlineStr">
        <is>
          <t>SW-DAMPER-119</t>
        </is>
      </c>
      <c r="C609" t="inlineStr">
        <is>
          <t>Bạc đồng D10</t>
        </is>
      </c>
      <c r="D609" t="inlineStr">
        <is>
          <t>PHỤ_KIỆN_VAN</t>
        </is>
      </c>
      <c r="E609" t="inlineStr">
        <is>
          <t>MAT-DAMPER-BAC-DONG-D10</t>
        </is>
      </c>
      <c r="F609" t="inlineStr">
        <is>
          <t>Đôi</t>
        </is>
      </c>
      <c r="G609" s="394" t="n">
        <v>2</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2 đôi bạc đỡ 2 bên thân</t>
        </is>
      </c>
    </row>
    <row r="610">
      <c r="A610" t="inlineStr">
        <is>
          <t>SW-DAMPER-119-GEAR</t>
        </is>
      </c>
      <c r="B610" t="inlineStr">
        <is>
          <t>SW-DAMPER-119</t>
        </is>
      </c>
      <c r="C610" t="inlineStr">
        <is>
          <t>Bánh răng van nhôm</t>
        </is>
      </c>
      <c r="D610" t="inlineStr">
        <is>
          <t>PHỤ_KIỆN_VAN</t>
        </is>
      </c>
      <c r="E610" t="inlineStr">
        <is>
          <t>MAT-DAMPER-BANH-RANG-VAN-NHOM</t>
        </is>
      </c>
      <c r="F610" t="inlineStr">
        <is>
          <t>Bộ</t>
        </is>
      </c>
      <c r="G610" s="394" t="n">
        <v>1</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Cơ cấu liên động cánh (1 bộ)</t>
        </is>
      </c>
    </row>
    <row r="611">
      <c r="A611" t="inlineStr">
        <is>
          <t>SW-DAMPER-119-ACTUATOR</t>
        </is>
      </c>
      <c r="B611" t="inlineStr">
        <is>
          <t>SW-DAMPER-119</t>
        </is>
      </c>
      <c r="C611" t="inlineStr">
        <is>
          <t>Động cơ chặn lửa ON/OFF 9Nm, 230V/24V (BELIMO BFN24 / BFN230)</t>
        </is>
      </c>
      <c r="D611" t="inlineStr">
        <is>
          <t>ĐỘNG_CƠ_VÀ_CẢM_BIẾN</t>
        </is>
      </c>
      <c r="E611" t="inlineStr">
        <is>
          <t>MAT-ACTUATOR-BELIMO-BFN24</t>
        </is>
      </c>
      <c r="F611" t="inlineStr">
        <is>
          <t>Cái</t>
        </is>
      </c>
      <c r="G611" s="394" t="n">
        <v>1</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Động cơ lò xo phản hồi MFD (1 bộ)</t>
        </is>
      </c>
    </row>
    <row r="612">
      <c r="A612" t="inlineStr">
        <is>
          <t>SW-DAMPER-119-FB10-BODY</t>
        </is>
      </c>
      <c r="B612" t="inlineStr">
        <is>
          <t>SW-DAMPER-119</t>
        </is>
      </c>
      <c r="C612" t="inlineStr">
        <is>
          <t>Tấm chống cháy dày 10mm bọc thân van FD/MFD (2 lớp)</t>
        </is>
      </c>
      <c r="D612" t="inlineStr">
        <is>
          <t>VẬT_LIỆU_CÁCH_NHIỆT</t>
        </is>
      </c>
      <c r="E612" t="inlineStr">
        <is>
          <t>MAT-FIREBOARD-10MM-BODY</t>
        </is>
      </c>
      <c r="F612" t="inlineStr">
        <is>
          <t>m2</t>
        </is>
      </c>
      <c r="G612" s="394" t="n">
        <v>1.32</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Bọc 2 lớp tấm 10mm quanh thân L=300mm</t>
        </is>
      </c>
    </row>
    <row r="613">
      <c r="A613" t="inlineStr">
        <is>
          <t>SW-DAMPER-119-FB20-BLADE</t>
        </is>
      </c>
      <c r="B613" t="inlineStr">
        <is>
          <t>SW-DAMPER-119</t>
        </is>
      </c>
      <c r="C613" t="inlineStr">
        <is>
          <t>Tấm chống cháy dày 20mm làm lõi cánh van FD/MFD</t>
        </is>
      </c>
      <c r="D613" t="inlineStr">
        <is>
          <t>VẬT_LIỆU_CÁCH_NHIỆT</t>
        </is>
      </c>
      <c r="E613" t="inlineStr">
        <is>
          <t>MAT-FIREBOARD-20MM-BLADE</t>
        </is>
      </c>
      <c r="F613" t="inlineStr">
        <is>
          <t>m2</t>
        </is>
      </c>
      <c r="G613" s="394" t="n">
        <v>0.3567322147651007</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Lõi cánh tấm 20mm (Đa cánh hệ số (H-5)/149=1.98, bản rộng 210mm, hao hụt 10%)</t>
        </is>
      </c>
    </row>
    <row r="614">
      <c r="A614" t="inlineStr">
        <is>
          <t>SW-DAMPER-119-FB10-BLADE</t>
        </is>
      </c>
      <c r="B614" t="inlineStr">
        <is>
          <t>SW-DAMPER-119</t>
        </is>
      </c>
      <c r="C614" t="inlineStr">
        <is>
          <t>Tấm chống cháy dày 10mm ốp 2 mặt cánh van FD/MFD</t>
        </is>
      </c>
      <c r="D614" t="inlineStr">
        <is>
          <t>VẬT_LIỆU_CÁCH_NHIỆT</t>
        </is>
      </c>
      <c r="E614" t="inlineStr">
        <is>
          <t>MAT-FIREBOARD-10MM-BLADE</t>
        </is>
      </c>
      <c r="F614" t="inlineStr">
        <is>
          <t>m2</t>
        </is>
      </c>
      <c r="G614" s="394" t="n">
        <v>0.731758389261745</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Ốp 2 mặt cánh tấm 10mm (Đa cánh hệ số (H-5)/149=1.98, bản rộng 210mm, hao hụt 10%)</t>
        </is>
      </c>
    </row>
    <row r="615">
      <c r="A615" t="inlineStr">
        <is>
          <t>SW-DAMPER-119-SPRING-BOX</t>
        </is>
      </c>
      <c r="B615" t="inlineStr">
        <is>
          <t>SW-DAMPER-119</t>
        </is>
      </c>
      <c r="C615" t="inlineStr">
        <is>
          <t>Hộp lò xo van chặn lửa FD/MFD</t>
        </is>
      </c>
      <c r="D615" t="inlineStr">
        <is>
          <t>PHỤ_KIỆN_VAN</t>
        </is>
      </c>
      <c r="E615" t="inlineStr">
        <is>
          <t>MAT-DAMPER-HOP-LO-XO</t>
        </is>
      </c>
      <c r="F615" t="inlineStr">
        <is>
          <t>Bộ</t>
        </is>
      </c>
      <c r="G615" s="394" t="n">
        <v>1</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Hộp lò xo cơ cấu đóng sập (1 bộ)</t>
        </is>
      </c>
    </row>
    <row r="616">
      <c r="A616" t="inlineStr">
        <is>
          <t>SW-DAMPER-119-SILICON-BOLT</t>
        </is>
      </c>
      <c r="B616" t="inlineStr">
        <is>
          <t>SW-DAMPER-119</t>
        </is>
      </c>
      <c r="C616" t="inlineStr">
        <is>
          <t>Silicon chống cháy + bu lông, ốc vít van FD/MFD</t>
        </is>
      </c>
      <c r="D616" t="inlineStr">
        <is>
          <t>PHỤ_KIỆN_VAN</t>
        </is>
      </c>
      <c r="E616" t="inlineStr">
        <is>
          <t>MAT-DAMPER-SILICON-BULONG-VIT</t>
        </is>
      </c>
      <c r="F616" t="inlineStr">
        <is>
          <t>Bộ</t>
        </is>
      </c>
      <c r="G616" s="394" t="n">
        <v>1</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Keo silicon chống cháy &amp; phụ kiện lắp ghép (1 bộ)</t>
        </is>
      </c>
    </row>
    <row r="617">
      <c r="A617" t="inlineStr">
        <is>
          <t>SW-DAMPER-120-BODY</t>
        </is>
      </c>
      <c r="B617" t="inlineStr">
        <is>
          <t>SW-DAMPER-120</t>
        </is>
      </c>
      <c r="C617" t="inlineStr">
        <is>
          <t>Thân vỏ van MFD bích C30/TDF (1.15mm)</t>
        </is>
      </c>
      <c r="D617" t="inlineStr">
        <is>
          <t>TÔN_CUỘN_MẠ_KẼM</t>
        </is>
      </c>
      <c r="E617" t="inlineStr">
        <is>
          <t>MAT-STEEL-PN-1.15</t>
        </is>
      </c>
      <c r="F617" t="inlineStr">
        <is>
          <t>kg</t>
        </is>
      </c>
      <c r="G617" s="394" t="n">
        <v>6.500612475</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Kích thước vỏ 900x350x200mm</t>
        </is>
      </c>
    </row>
    <row r="618">
      <c r="A618" t="inlineStr">
        <is>
          <t>SW-DAMPER-120-BLADE</t>
        </is>
      </c>
      <c r="B618" t="inlineStr">
        <is>
          <t>SW-DAMPER-120</t>
        </is>
      </c>
      <c r="C618" t="inlineStr">
        <is>
          <t>Lá cánh / Tôn tấm bọc van (2 cánh)</t>
        </is>
      </c>
      <c r="D618" t="inlineStr">
        <is>
          <t>TÔN_CUỘN_MẠ_KẼM</t>
        </is>
      </c>
      <c r="E618" t="inlineStr">
        <is>
          <t>MAT-STEEL-PN-1.15</t>
        </is>
      </c>
      <c r="F618" t="inlineStr">
        <is>
          <t>kg</t>
        </is>
      </c>
      <c r="G618" s="394" t="n">
        <v>5.687324999999999</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Tôn bọc cánh &amp; thân (2 cánh/modul)</t>
        </is>
      </c>
    </row>
    <row r="619">
      <c r="A619" t="inlineStr">
        <is>
          <t>SW-DAMPER-120-AXLE</t>
        </is>
      </c>
      <c r="B619" t="inlineStr">
        <is>
          <t>SW-DAMPER-120</t>
        </is>
      </c>
      <c r="C619" t="inlineStr">
        <is>
          <t>Trục Sus 201 D10</t>
        </is>
      </c>
      <c r="D619" t="inlineStr">
        <is>
          <t>PHỤ_KIỆN_VAN</t>
        </is>
      </c>
      <c r="E619" t="inlineStr">
        <is>
          <t>MAT-DAMPER-TRUC-SUS-201-D10</t>
        </is>
      </c>
      <c r="F619" t="inlineStr">
        <is>
          <t>m</t>
        </is>
      </c>
      <c r="G619" s="394" t="n">
        <v>1.92</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2 trục dài 960mm</t>
        </is>
      </c>
    </row>
    <row r="620">
      <c r="A620" t="inlineStr">
        <is>
          <t>SW-DAMPER-120-BEARING</t>
        </is>
      </c>
      <c r="B620" t="inlineStr">
        <is>
          <t>SW-DAMPER-120</t>
        </is>
      </c>
      <c r="C620" t="inlineStr">
        <is>
          <t>Bạc đồng D10</t>
        </is>
      </c>
      <c r="D620" t="inlineStr">
        <is>
          <t>PHỤ_KIỆN_VAN</t>
        </is>
      </c>
      <c r="E620" t="inlineStr">
        <is>
          <t>MAT-DAMPER-BAC-DONG-D10</t>
        </is>
      </c>
      <c r="F620" t="inlineStr">
        <is>
          <t>Đôi</t>
        </is>
      </c>
      <c r="G620" s="394" t="n">
        <v>2</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2 đôi bạc đỡ 2 bên thân</t>
        </is>
      </c>
    </row>
    <row r="621">
      <c r="A621" t="inlineStr">
        <is>
          <t>SW-DAMPER-120-GEAR</t>
        </is>
      </c>
      <c r="B621" t="inlineStr">
        <is>
          <t>SW-DAMPER-120</t>
        </is>
      </c>
      <c r="C621" t="inlineStr">
        <is>
          <t>Bánh răng van nhôm</t>
        </is>
      </c>
      <c r="D621" t="inlineStr">
        <is>
          <t>PHỤ_KIỆN_VAN</t>
        </is>
      </c>
      <c r="E621" t="inlineStr">
        <is>
          <t>MAT-DAMPER-BANH-RANG-VAN-NHOM</t>
        </is>
      </c>
      <c r="F621" t="inlineStr">
        <is>
          <t>Bộ</t>
        </is>
      </c>
      <c r="G621" s="394" t="n">
        <v>1</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Cơ cấu liên động cánh (1 bộ)</t>
        </is>
      </c>
    </row>
    <row r="622">
      <c r="A622" t="inlineStr">
        <is>
          <t>SW-DAMPER-120-ACTUATOR</t>
        </is>
      </c>
      <c r="B622" t="inlineStr">
        <is>
          <t>SW-DAMPER-120</t>
        </is>
      </c>
      <c r="C622" t="inlineStr">
        <is>
          <t>Động cơ chặn lửa ON/OFF 9Nm, 230V/24V (BELIMO BFN24 / BFN230)</t>
        </is>
      </c>
      <c r="D622" t="inlineStr">
        <is>
          <t>ĐỘNG_CƠ_VÀ_CẢM_BIẾN</t>
        </is>
      </c>
      <c r="E622" t="inlineStr">
        <is>
          <t>MAT-ACTUATOR-BELIMO-BFN24</t>
        </is>
      </c>
      <c r="F622" t="inlineStr">
        <is>
          <t>Cái</t>
        </is>
      </c>
      <c r="G622" s="394" t="n">
        <v>1</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Động cơ lò xo phản hồi MFD (1 bộ)</t>
        </is>
      </c>
    </row>
    <row r="623">
      <c r="A623" t="inlineStr">
        <is>
          <t>SW-DAMPER-120-FB10-BODY</t>
        </is>
      </c>
      <c r="B623" t="inlineStr">
        <is>
          <t>SW-DAMPER-120</t>
        </is>
      </c>
      <c r="C623" t="inlineStr">
        <is>
          <t>Tấm chống cháy dày 10mm bọc thân van FD/MFD (2 lớp)</t>
        </is>
      </c>
      <c r="D623" t="inlineStr">
        <is>
          <t>VẬT_LIỆU_CÁCH_NHIỆT</t>
        </is>
      </c>
      <c r="E623" t="inlineStr">
        <is>
          <t>MAT-FIREBOARD-10MM-BODY</t>
        </is>
      </c>
      <c r="F623" t="inlineStr">
        <is>
          <t>m2</t>
        </is>
      </c>
      <c r="G623" s="394" t="n">
        <v>1.5</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Bọc 2 lớp tấm 10mm quanh thân L=300mm</t>
        </is>
      </c>
    </row>
    <row r="624">
      <c r="A624" t="inlineStr">
        <is>
          <t>SW-DAMPER-120-FB20-BLADE</t>
        </is>
      </c>
      <c r="B624" t="inlineStr">
        <is>
          <t>SW-DAMPER-120</t>
        </is>
      </c>
      <c r="C624" t="inlineStr">
        <is>
          <t>Tấm chống cháy dày 20mm làm lõi cánh van FD/MFD</t>
        </is>
      </c>
      <c r="D624" t="inlineStr">
        <is>
          <t>VẬT_LIỆU_CÁCH_NHIỆT</t>
        </is>
      </c>
      <c r="E624" t="inlineStr">
        <is>
          <t>MAT-FIREBOARD-20MM-BLADE</t>
        </is>
      </c>
      <c r="F624" t="inlineStr">
        <is>
          <t>m2</t>
        </is>
      </c>
      <c r="G624" s="394" t="n">
        <v>0.4706818791946309</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Lõi cánh tấm 20mm (Đa cánh hệ số (H-5)/149=2.32, bản rộng 210mm, hao hụt 10%)</t>
        </is>
      </c>
    </row>
    <row r="625">
      <c r="A625" t="inlineStr">
        <is>
          <t>SW-DAMPER-120-FB10-BLADE</t>
        </is>
      </c>
      <c r="B625" t="inlineStr">
        <is>
          <t>SW-DAMPER-120</t>
        </is>
      </c>
      <c r="C625" t="inlineStr">
        <is>
          <t>Tấm chống cháy dày 10mm ốp 2 mặt cánh van FD/MFD</t>
        </is>
      </c>
      <c r="D625" t="inlineStr">
        <is>
          <t>VẬT_LIỆU_CÁCH_NHIỆT</t>
        </is>
      </c>
      <c r="E625" t="inlineStr">
        <is>
          <t>MAT-FIREBOARD-10MM-BLADE</t>
        </is>
      </c>
      <c r="F625" t="inlineStr">
        <is>
          <t>m2</t>
        </is>
      </c>
      <c r="G625" s="394" t="n">
        <v>0.962758389261745</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Ốp 2 mặt cánh tấm 10mm (Đa cánh hệ số (H-5)/149=2.32, bản rộng 210mm, hao hụt 10%)</t>
        </is>
      </c>
    </row>
    <row r="626">
      <c r="A626" t="inlineStr">
        <is>
          <t>SW-DAMPER-120-SPRING-BOX</t>
        </is>
      </c>
      <c r="B626" t="inlineStr">
        <is>
          <t>SW-DAMPER-120</t>
        </is>
      </c>
      <c r="C626" t="inlineStr">
        <is>
          <t>Hộp lò xo van chặn lửa FD/MFD</t>
        </is>
      </c>
      <c r="D626" t="inlineStr">
        <is>
          <t>PHỤ_KIỆN_VAN</t>
        </is>
      </c>
      <c r="E626" t="inlineStr">
        <is>
          <t>MAT-DAMPER-HOP-LO-XO</t>
        </is>
      </c>
      <c r="F626" t="inlineStr">
        <is>
          <t>Bộ</t>
        </is>
      </c>
      <c r="G626" s="394" t="n">
        <v>1</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Hộp lò xo cơ cấu đóng sập (1 bộ)</t>
        </is>
      </c>
    </row>
    <row r="627">
      <c r="A627" t="inlineStr">
        <is>
          <t>SW-DAMPER-120-SILICON-BOLT</t>
        </is>
      </c>
      <c r="B627" t="inlineStr">
        <is>
          <t>SW-DAMPER-120</t>
        </is>
      </c>
      <c r="C627" t="inlineStr">
        <is>
          <t>Silicon chống cháy + bu lông, ốc vít van FD/MFD</t>
        </is>
      </c>
      <c r="D627" t="inlineStr">
        <is>
          <t>PHỤ_KIỆN_VAN</t>
        </is>
      </c>
      <c r="E627" t="inlineStr">
        <is>
          <t>MAT-DAMPER-SILICON-BULONG-VIT</t>
        </is>
      </c>
      <c r="F627" t="inlineStr">
        <is>
          <t>Bộ</t>
        </is>
      </c>
      <c r="G627" s="394" t="n">
        <v>1</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Keo silicon chống cháy &amp; phụ kiện lắp ghép (1 bộ)</t>
        </is>
      </c>
    </row>
    <row r="628">
      <c r="A628" t="inlineStr">
        <is>
          <t>SW-DAMPER-121-BODY</t>
        </is>
      </c>
      <c r="B628" t="inlineStr">
        <is>
          <t>SW-DAMPER-121</t>
        </is>
      </c>
      <c r="C628" t="inlineStr">
        <is>
          <t>Thân vỏ van MFD bích C30/TDF (1.15mm)</t>
        </is>
      </c>
      <c r="D628" t="inlineStr">
        <is>
          <t>TÔN_CUỘN_MẠ_KẼM</t>
        </is>
      </c>
      <c r="E628" t="inlineStr">
        <is>
          <t>MAT-STEEL-PN-1.15</t>
        </is>
      </c>
      <c r="F628" t="inlineStr">
        <is>
          <t>kg</t>
        </is>
      </c>
      <c r="G628" s="394" t="n">
        <v>10.95378795</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Kích thước vỏ 1400x350x200mm (2 modul 700x350mm)</t>
        </is>
      </c>
    </row>
    <row r="629">
      <c r="A629" t="inlineStr">
        <is>
          <t>SW-DAMPER-121-BLADE</t>
        </is>
      </c>
      <c r="B629" t="inlineStr">
        <is>
          <t>SW-DAMPER-121</t>
        </is>
      </c>
      <c r="C629" t="inlineStr">
        <is>
          <t>Lá cánh / Tôn tấm bọc van (4 cánh)</t>
        </is>
      </c>
      <c r="D629" t="inlineStr">
        <is>
          <t>TÔN_CUỘN_MẠ_KẼM</t>
        </is>
      </c>
      <c r="E629" t="inlineStr">
        <is>
          <t>MAT-STEEL-PN-1.15</t>
        </is>
      </c>
      <c r="F629" t="inlineStr">
        <is>
          <t>kg</t>
        </is>
      </c>
      <c r="G629" s="394" t="n">
        <v>8.846949999999996</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Tôn bọc cánh &amp; thân (2 cánh/modul (2 modul 700x350mm))</t>
        </is>
      </c>
    </row>
    <row r="630">
      <c r="A630" t="inlineStr">
        <is>
          <t>SW-DAMPER-121-AXLE</t>
        </is>
      </c>
      <c r="B630" t="inlineStr">
        <is>
          <t>SW-DAMPER-121</t>
        </is>
      </c>
      <c r="C630" t="inlineStr">
        <is>
          <t>Trục Sus 201 D10</t>
        </is>
      </c>
      <c r="D630" t="inlineStr">
        <is>
          <t>PHỤ_KIỆN_VAN</t>
        </is>
      </c>
      <c r="E630" t="inlineStr">
        <is>
          <t>MAT-DAMPER-TRUC-SUS-201-D10</t>
        </is>
      </c>
      <c r="F630" t="inlineStr">
        <is>
          <t>m</t>
        </is>
      </c>
      <c r="G630" s="394" t="n">
        <v>3.04</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4 trục dài 760mm</t>
        </is>
      </c>
    </row>
    <row r="631">
      <c r="A631" t="inlineStr">
        <is>
          <t>SW-DAMPER-121-BEARING</t>
        </is>
      </c>
      <c r="B631" t="inlineStr">
        <is>
          <t>SW-DAMPER-121</t>
        </is>
      </c>
      <c r="C631" t="inlineStr">
        <is>
          <t>Bạc đồng D10</t>
        </is>
      </c>
      <c r="D631" t="inlineStr">
        <is>
          <t>PHỤ_KIỆN_VAN</t>
        </is>
      </c>
      <c r="E631" t="inlineStr">
        <is>
          <t>MAT-DAMPER-BAC-DONG-D10</t>
        </is>
      </c>
      <c r="F631" t="inlineStr">
        <is>
          <t>Đôi</t>
        </is>
      </c>
      <c r="G631" s="394" t="n">
        <v>4</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4 đôi bạc đỡ 2 bên thân</t>
        </is>
      </c>
    </row>
    <row r="632">
      <c r="A632" t="inlineStr">
        <is>
          <t>SW-DAMPER-121-GEAR</t>
        </is>
      </c>
      <c r="B632" t="inlineStr">
        <is>
          <t>SW-DAMPER-121</t>
        </is>
      </c>
      <c r="C632" t="inlineStr">
        <is>
          <t>Bánh răng van nhôm</t>
        </is>
      </c>
      <c r="D632" t="inlineStr">
        <is>
          <t>PHỤ_KIỆN_VAN</t>
        </is>
      </c>
      <c r="E632" t="inlineStr">
        <is>
          <t>MAT-DAMPER-BANH-RANG-VAN-NHOM</t>
        </is>
      </c>
      <c r="F632" t="inlineStr">
        <is>
          <t>Bộ</t>
        </is>
      </c>
      <c r="G632" s="394" t="n">
        <v>2</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Cơ cấu liên động cánh (2 bộ)</t>
        </is>
      </c>
    </row>
    <row r="633">
      <c r="A633" t="inlineStr">
        <is>
          <t>SW-DAMPER-121-ACTUATOR</t>
        </is>
      </c>
      <c r="B633" t="inlineStr">
        <is>
          <t>SW-DAMPER-121</t>
        </is>
      </c>
      <c r="C633" t="inlineStr">
        <is>
          <t>Động cơ chặn lửa ON/OFF 9Nm, 230V/24V (BELIMO BFN24 / BFN230)</t>
        </is>
      </c>
      <c r="D633" t="inlineStr">
        <is>
          <t>ĐỘNG_CƠ_VÀ_CẢM_BIẾN</t>
        </is>
      </c>
      <c r="E633" t="inlineStr">
        <is>
          <t>MAT-ACTUATOR-BELIMO-BFN24</t>
        </is>
      </c>
      <c r="F633" t="inlineStr">
        <is>
          <t>Cái</t>
        </is>
      </c>
      <c r="G633" s="394" t="n">
        <v>2</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Động cơ lò xo phản hồi MFD (2 bộ (2 modul 700x350mm))</t>
        </is>
      </c>
    </row>
    <row r="634">
      <c r="A634" t="inlineStr">
        <is>
          <t>SW-DAMPER-121-FB10-BODY</t>
        </is>
      </c>
      <c r="B634" t="inlineStr">
        <is>
          <t>SW-DAMPER-121</t>
        </is>
      </c>
      <c r="C634" t="inlineStr">
        <is>
          <t>Tấm chống cháy dày 10mm bọc thân van FD/MFD (2 lớp)</t>
        </is>
      </c>
      <c r="D634" t="inlineStr">
        <is>
          <t>VẬT_LIỆU_CÁCH_NHIỆT</t>
        </is>
      </c>
      <c r="E634" t="inlineStr">
        <is>
          <t>MAT-FIREBOARD-10MM-BODY</t>
        </is>
      </c>
      <c r="F634" t="inlineStr">
        <is>
          <t>m2</t>
        </is>
      </c>
      <c r="G634" s="394" t="n">
        <v>2.52</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Bọc 2 lớp tấm 10mm quanh thân L=300mm (2 modul 700x350mm)</t>
        </is>
      </c>
    </row>
    <row r="635">
      <c r="A635" t="inlineStr">
        <is>
          <t>SW-DAMPER-121-FB20-BLADE</t>
        </is>
      </c>
      <c r="B635" t="inlineStr">
        <is>
          <t>SW-DAMPER-121</t>
        </is>
      </c>
      <c r="C635" t="inlineStr">
        <is>
          <t>Tấm chống cháy dày 20mm làm lõi cánh van FD/MFD</t>
        </is>
      </c>
      <c r="D635" t="inlineStr">
        <is>
          <t>VẬT_LIỆU_CÁCH_NHIỆT</t>
        </is>
      </c>
      <c r="E635" t="inlineStr">
        <is>
          <t>MAT-FIREBOARD-20MM-BLADE</t>
        </is>
      </c>
      <c r="F635" t="inlineStr">
        <is>
          <t>m2</t>
        </is>
      </c>
      <c r="G635" s="394" t="n">
        <v>0.7274174496644297</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Lõi cánh tấm 20mm (Đa cánh hệ số (H-5)/149=2.32, bản rộng 210mm, hao hụt 10% (2 modul 700x350mm))</t>
        </is>
      </c>
    </row>
    <row r="636">
      <c r="A636" t="inlineStr">
        <is>
          <t>SW-DAMPER-121-FB10-BLADE</t>
        </is>
      </c>
      <c r="B636" t="inlineStr">
        <is>
          <t>SW-DAMPER-121</t>
        </is>
      </c>
      <c r="C636" t="inlineStr">
        <is>
          <t>Tấm chống cháy dày 10mm ốp 2 mặt cánh van FD/MFD</t>
        </is>
      </c>
      <c r="D636" t="inlineStr">
        <is>
          <t>VẬT_LIỆU_CÁCH_NHIỆT</t>
        </is>
      </c>
      <c r="E636" t="inlineStr">
        <is>
          <t>MAT-FIREBOARD-10MM-BLADE</t>
        </is>
      </c>
      <c r="F636" t="inlineStr">
        <is>
          <t>m2</t>
        </is>
      </c>
      <c r="G636" s="394" t="n">
        <v>1.497624161073825</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Ốp 2 mặt cánh tấm 10mm (Đa cánh hệ số (H-5)/149=2.32, bản rộng 210mm, hao hụt 10% (2 modul 700x350mm))</t>
        </is>
      </c>
    </row>
    <row r="637">
      <c r="A637" t="inlineStr">
        <is>
          <t>SW-DAMPER-121-SPRING-BOX</t>
        </is>
      </c>
      <c r="B637" t="inlineStr">
        <is>
          <t>SW-DAMPER-121</t>
        </is>
      </c>
      <c r="C637" t="inlineStr">
        <is>
          <t>Hộp lò xo van chặn lửa FD/MFD</t>
        </is>
      </c>
      <c r="D637" t="inlineStr">
        <is>
          <t>PHỤ_KIỆN_VAN</t>
        </is>
      </c>
      <c r="E637" t="inlineStr">
        <is>
          <t>MAT-DAMPER-HOP-LO-XO</t>
        </is>
      </c>
      <c r="F637" t="inlineStr">
        <is>
          <t>Bộ</t>
        </is>
      </c>
      <c r="G637" s="394" t="n">
        <v>2</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Hộp lò xo cơ cấu đóng sập (2 bộ)</t>
        </is>
      </c>
    </row>
    <row r="638">
      <c r="A638" t="inlineStr">
        <is>
          <t>SW-DAMPER-121-SILICON-BOLT</t>
        </is>
      </c>
      <c r="B638" t="inlineStr">
        <is>
          <t>SW-DAMPER-121</t>
        </is>
      </c>
      <c r="C638" t="inlineStr">
        <is>
          <t>Silicon chống cháy + bu lông, ốc vít van FD/MFD</t>
        </is>
      </c>
      <c r="D638" t="inlineStr">
        <is>
          <t>PHỤ_KIỆN_VAN</t>
        </is>
      </c>
      <c r="E638" t="inlineStr">
        <is>
          <t>MAT-DAMPER-SILICON-BULONG-VIT</t>
        </is>
      </c>
      <c r="F638" t="inlineStr">
        <is>
          <t>Bộ</t>
        </is>
      </c>
      <c r="G638" s="394" t="n">
        <v>2</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Keo silicon chống cháy &amp; phụ kiện lắp ghép (2 bộ)</t>
        </is>
      </c>
    </row>
    <row r="639">
      <c r="A639" t="inlineStr">
        <is>
          <t>SW-DAMPER-122-BODY</t>
        </is>
      </c>
      <c r="B639" t="inlineStr">
        <is>
          <t>SW-DAMPER-122</t>
        </is>
      </c>
      <c r="C639" t="inlineStr">
        <is>
          <t>Thân vỏ van MFD bích C30/TDF (1.15mm)</t>
        </is>
      </c>
      <c r="D639" t="inlineStr">
        <is>
          <t>TÔN_CUỘN_MẠ_KẼM</t>
        </is>
      </c>
      <c r="E639" t="inlineStr">
        <is>
          <t>MAT-STEEL-PN-1.15</t>
        </is>
      </c>
      <c r="F639" t="inlineStr">
        <is>
          <t>kg</t>
        </is>
      </c>
      <c r="G639" s="394" t="n">
        <v>1.6379496</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Kích thước vỏ 150x150x200mm (Thu côn từ 150x150mm về 100x100mm)</t>
        </is>
      </c>
    </row>
    <row r="640">
      <c r="A640" t="inlineStr">
        <is>
          <t>SW-DAMPER-122-BLADE</t>
        </is>
      </c>
      <c r="B640" t="inlineStr">
        <is>
          <t>SW-DAMPER-122</t>
        </is>
      </c>
      <c r="C640" t="inlineStr">
        <is>
          <t>Lá cánh / Tôn tấm bọc van (1 cánh)</t>
        </is>
      </c>
      <c r="D640" t="inlineStr">
        <is>
          <t>TÔN_CUỘN_MẠ_KẼM</t>
        </is>
      </c>
      <c r="E640" t="inlineStr">
        <is>
          <t>MAT-STEEL-PN-1.15</t>
        </is>
      </c>
      <c r="F640" t="inlineStr">
        <is>
          <t>kg</t>
        </is>
      </c>
      <c r="G640" s="394" t="n">
        <v>0.4062374999999999</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Tôn bọc cánh &amp; thân (1 cánh/modul)</t>
        </is>
      </c>
    </row>
    <row r="641">
      <c r="A641" t="inlineStr">
        <is>
          <t>SW-DAMPER-122-AXLE</t>
        </is>
      </c>
      <c r="B641" t="inlineStr">
        <is>
          <t>SW-DAMPER-122</t>
        </is>
      </c>
      <c r="C641" t="inlineStr">
        <is>
          <t>Trục Sus 201 D10</t>
        </is>
      </c>
      <c r="D641" t="inlineStr">
        <is>
          <t>PHỤ_KIỆN_VAN</t>
        </is>
      </c>
      <c r="E641" t="inlineStr">
        <is>
          <t>MAT-DAMPER-TRUC-SUS-201-D10</t>
        </is>
      </c>
      <c r="F641" t="inlineStr">
        <is>
          <t>m</t>
        </is>
      </c>
      <c r="G641" s="394" t="n">
        <v>0.21</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1 trục dài 210mm</t>
        </is>
      </c>
    </row>
    <row r="642">
      <c r="A642" t="inlineStr">
        <is>
          <t>SW-DAMPER-122-BEARING</t>
        </is>
      </c>
      <c r="B642" t="inlineStr">
        <is>
          <t>SW-DAMPER-122</t>
        </is>
      </c>
      <c r="C642" t="inlineStr">
        <is>
          <t>Bạc đồng D10</t>
        </is>
      </c>
      <c r="D642" t="inlineStr">
        <is>
          <t>PHỤ_KIỆN_VAN</t>
        </is>
      </c>
      <c r="E642" t="inlineStr">
        <is>
          <t>MAT-DAMPER-BAC-DONG-D10</t>
        </is>
      </c>
      <c r="F642" t="inlineStr">
        <is>
          <t>Đôi</t>
        </is>
      </c>
      <c r="G642" s="394" t="n">
        <v>1</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1 đôi bạc đỡ 2 bên thân</t>
        </is>
      </c>
    </row>
    <row r="643">
      <c r="A643" t="inlineStr">
        <is>
          <t>SW-DAMPER-122-ACTUATOR</t>
        </is>
      </c>
      <c r="B643" t="inlineStr">
        <is>
          <t>SW-DAMPER-122</t>
        </is>
      </c>
      <c r="C643" t="inlineStr">
        <is>
          <t>Động cơ chặn lửa ON/OFF 3.5Nm, 230V/24V (BELIMO FSLF24 / FSLF230)</t>
        </is>
      </c>
      <c r="D643" t="inlineStr">
        <is>
          <t>ĐỘNG_CƠ_VÀ_CẢM_BIẾN</t>
        </is>
      </c>
      <c r="E643" t="inlineStr">
        <is>
          <t>MAT-ACTUATOR-BELIMO-FSLF24</t>
        </is>
      </c>
      <c r="F643" t="inlineStr">
        <is>
          <t>Cái</t>
        </is>
      </c>
      <c r="G643" s="394" t="n">
        <v>1</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Động cơ lò xo phản hồi MFD (1 bộ)</t>
        </is>
      </c>
    </row>
    <row r="644">
      <c r="A644" t="inlineStr">
        <is>
          <t>SW-DAMPER-122-FB10-BODY</t>
        </is>
      </c>
      <c r="B644" t="inlineStr">
        <is>
          <t>SW-DAMPER-122</t>
        </is>
      </c>
      <c r="C644" t="inlineStr">
        <is>
          <t>Tấm chống cháy dày 10mm bọc thân van FD/MFD (2 lớp)</t>
        </is>
      </c>
      <c r="D644" t="inlineStr">
        <is>
          <t>VẬT_LIỆU_CÁCH_NHIỆT</t>
        </is>
      </c>
      <c r="E644" t="inlineStr">
        <is>
          <t>MAT-FIREBOARD-10MM-BODY</t>
        </is>
      </c>
      <c r="F644" t="inlineStr">
        <is>
          <t>m2</t>
        </is>
      </c>
      <c r="G644" s="394" t="n">
        <v>0.36</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Bọc 2 lớp tấm 10mm quanh thân L=300mm</t>
        </is>
      </c>
    </row>
    <row r="645">
      <c r="A645" t="inlineStr">
        <is>
          <t>SW-DAMPER-122-FB20-BLADE</t>
        </is>
      </c>
      <c r="B645" t="inlineStr">
        <is>
          <t>SW-DAMPER-122</t>
        </is>
      </c>
      <c r="C645" t="inlineStr">
        <is>
          <t>Tấm chống cháy dày 20mm làm lõi cánh van FD/MFD</t>
        </is>
      </c>
      <c r="D645" t="inlineStr">
        <is>
          <t>VẬT_LIỆU_CÁCH_NHIỆT</t>
        </is>
      </c>
      <c r="E645" t="inlineStr">
        <is>
          <t>MAT-FIREBOARD-20MM-BLADE</t>
        </is>
      </c>
      <c r="F645" t="inlineStr">
        <is>
          <t>m2</t>
        </is>
      </c>
      <c r="G645" s="394" t="n">
        <v>0.0225</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Lõi cánh tấm 20mm (Cánh đơn 150x150mm)</t>
        </is>
      </c>
    </row>
    <row r="646">
      <c r="A646" t="inlineStr">
        <is>
          <t>SW-DAMPER-122-FB10-BLADE</t>
        </is>
      </c>
      <c r="B646" t="inlineStr">
        <is>
          <t>SW-DAMPER-122</t>
        </is>
      </c>
      <c r="C646" t="inlineStr">
        <is>
          <t>Tấm chống cháy dày 10mm ốp 2 mặt cánh van FD/MFD</t>
        </is>
      </c>
      <c r="D646" t="inlineStr">
        <is>
          <t>VẬT_LIỆU_CÁCH_NHIỆT</t>
        </is>
      </c>
      <c r="E646" t="inlineStr">
        <is>
          <t>MAT-FIREBOARD-10MM-BLADE</t>
        </is>
      </c>
      <c r="F646" t="inlineStr">
        <is>
          <t>m2</t>
        </is>
      </c>
      <c r="G646" s="394" t="n">
        <v>0.045</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Ốp 2 mặt cánh tấm 10mm (Cánh đơn 150x150mm)</t>
        </is>
      </c>
    </row>
    <row r="647">
      <c r="A647" t="inlineStr">
        <is>
          <t>SW-DAMPER-122-SPRING-BOX</t>
        </is>
      </c>
      <c r="B647" t="inlineStr">
        <is>
          <t>SW-DAMPER-122</t>
        </is>
      </c>
      <c r="C647" t="inlineStr">
        <is>
          <t>Hộp lò xo van chặn lửa FD/MFD</t>
        </is>
      </c>
      <c r="D647" t="inlineStr">
        <is>
          <t>PHỤ_KIỆN_VAN</t>
        </is>
      </c>
      <c r="E647" t="inlineStr">
        <is>
          <t>MAT-DAMPER-HOP-LO-XO</t>
        </is>
      </c>
      <c r="F647" t="inlineStr">
        <is>
          <t>Bộ</t>
        </is>
      </c>
      <c r="G647" s="394" t="n">
        <v>1</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Hộp lò xo cơ cấu đóng sập (1 bộ)</t>
        </is>
      </c>
    </row>
    <row r="648">
      <c r="A648" t="inlineStr">
        <is>
          <t>SW-DAMPER-122-SILICON-BOLT</t>
        </is>
      </c>
      <c r="B648" t="inlineStr">
        <is>
          <t>SW-DAMPER-122</t>
        </is>
      </c>
      <c r="C648" t="inlineStr">
        <is>
          <t>Silicon chống cháy + bu lông, ốc vít van FD/MFD</t>
        </is>
      </c>
      <c r="D648" t="inlineStr">
        <is>
          <t>PHỤ_KIỆN_VAN</t>
        </is>
      </c>
      <c r="E648" t="inlineStr">
        <is>
          <t>MAT-DAMPER-SILICON-BULONG-VIT</t>
        </is>
      </c>
      <c r="F648" t="inlineStr">
        <is>
          <t>Bộ</t>
        </is>
      </c>
      <c r="G648" s="394" t="n">
        <v>1</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Keo silicon chống cháy &amp; phụ kiện lắp ghép (1 bộ)</t>
        </is>
      </c>
    </row>
    <row r="649">
      <c r="A649" t="inlineStr">
        <is>
          <t>SW-DAMPER-123-BODY</t>
        </is>
      </c>
      <c r="B649" t="inlineStr">
        <is>
          <t>SW-DAMPER-123</t>
        </is>
      </c>
      <c r="C649" t="inlineStr">
        <is>
          <t>Thân vỏ van MFD bích C30/TDF (1.15mm)</t>
        </is>
      </c>
      <c r="D649" t="inlineStr">
        <is>
          <t>TÔN_CUỘN_MẠ_KẼM</t>
        </is>
      </c>
      <c r="E649" t="inlineStr">
        <is>
          <t>MAT-STEEL-PN-1.15</t>
        </is>
      </c>
      <c r="F649" t="inlineStr">
        <is>
          <t>kg</t>
        </is>
      </c>
      <c r="G649" s="394" t="n">
        <v>1.6379496</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Kích thước vỏ 150x150x200mm</t>
        </is>
      </c>
    </row>
    <row r="650">
      <c r="A650" t="inlineStr">
        <is>
          <t>SW-DAMPER-123-BLADE</t>
        </is>
      </c>
      <c r="B650" t="inlineStr">
        <is>
          <t>SW-DAMPER-123</t>
        </is>
      </c>
      <c r="C650" t="inlineStr">
        <is>
          <t>Lá cánh / Tôn tấm bọc van (1 cánh)</t>
        </is>
      </c>
      <c r="D650" t="inlineStr">
        <is>
          <t>TÔN_CUỘN_MẠ_KẼM</t>
        </is>
      </c>
      <c r="E650" t="inlineStr">
        <is>
          <t>MAT-STEEL-PN-1.15</t>
        </is>
      </c>
      <c r="F650" t="inlineStr">
        <is>
          <t>kg</t>
        </is>
      </c>
      <c r="G650" s="394" t="n">
        <v>0.4062374999999999</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Tôn bọc cánh &amp; thân (1 cánh/modul)</t>
        </is>
      </c>
    </row>
    <row r="651">
      <c r="A651" t="inlineStr">
        <is>
          <t>SW-DAMPER-123-AXLE</t>
        </is>
      </c>
      <c r="B651" t="inlineStr">
        <is>
          <t>SW-DAMPER-123</t>
        </is>
      </c>
      <c r="C651" t="inlineStr">
        <is>
          <t>Trục Sus 201 D10</t>
        </is>
      </c>
      <c r="D651" t="inlineStr">
        <is>
          <t>PHỤ_KIỆN_VAN</t>
        </is>
      </c>
      <c r="E651" t="inlineStr">
        <is>
          <t>MAT-DAMPER-TRUC-SUS-201-D10</t>
        </is>
      </c>
      <c r="F651" t="inlineStr">
        <is>
          <t>m</t>
        </is>
      </c>
      <c r="G651" s="394" t="n">
        <v>0.21</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1 trục dài 210mm</t>
        </is>
      </c>
    </row>
    <row r="652">
      <c r="A652" t="inlineStr">
        <is>
          <t>SW-DAMPER-123-BEARING</t>
        </is>
      </c>
      <c r="B652" t="inlineStr">
        <is>
          <t>SW-DAMPER-123</t>
        </is>
      </c>
      <c r="C652" t="inlineStr">
        <is>
          <t>Bạc đồng D10</t>
        </is>
      </c>
      <c r="D652" t="inlineStr">
        <is>
          <t>PHỤ_KIỆN_VAN</t>
        </is>
      </c>
      <c r="E652" t="inlineStr">
        <is>
          <t>MAT-DAMPER-BAC-DONG-D10</t>
        </is>
      </c>
      <c r="F652" t="inlineStr">
        <is>
          <t>Đôi</t>
        </is>
      </c>
      <c r="G652" s="394" t="n">
        <v>1</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1 đôi bạc đỡ 2 bên thân</t>
        </is>
      </c>
    </row>
    <row r="653">
      <c r="A653" t="inlineStr">
        <is>
          <t>SW-DAMPER-123-ACTUATOR</t>
        </is>
      </c>
      <c r="B653" t="inlineStr">
        <is>
          <t>SW-DAMPER-123</t>
        </is>
      </c>
      <c r="C653" t="inlineStr">
        <is>
          <t>Động cơ chặn lửa ON/OFF 3.5Nm, 230V/24V (BELIMO FSLF24 / FSLF230)</t>
        </is>
      </c>
      <c r="D653" t="inlineStr">
        <is>
          <t>ĐỘNG_CƠ_VÀ_CẢM_BIẾN</t>
        </is>
      </c>
      <c r="E653" t="inlineStr">
        <is>
          <t>MAT-ACTUATOR-BELIMO-FSLF24</t>
        </is>
      </c>
      <c r="F653" t="inlineStr">
        <is>
          <t>Cái</t>
        </is>
      </c>
      <c r="G653" s="394" t="n">
        <v>1</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Động cơ lò xo phản hồi MFD (1 bộ)</t>
        </is>
      </c>
    </row>
    <row r="654">
      <c r="A654" t="inlineStr">
        <is>
          <t>SW-DAMPER-123-FB10-BODY</t>
        </is>
      </c>
      <c r="B654" t="inlineStr">
        <is>
          <t>SW-DAMPER-123</t>
        </is>
      </c>
      <c r="C654" t="inlineStr">
        <is>
          <t>Tấm chống cháy dày 10mm bọc thân van FD/MFD (2 lớp)</t>
        </is>
      </c>
      <c r="D654" t="inlineStr">
        <is>
          <t>VẬT_LIỆU_CÁCH_NHIỆT</t>
        </is>
      </c>
      <c r="E654" t="inlineStr">
        <is>
          <t>MAT-FIREBOARD-10MM-BODY</t>
        </is>
      </c>
      <c r="F654" t="inlineStr">
        <is>
          <t>m2</t>
        </is>
      </c>
      <c r="G654" s="394" t="n">
        <v>0.36</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Bọc 2 lớp tấm 10mm quanh thân L=300mm</t>
        </is>
      </c>
    </row>
    <row r="655">
      <c r="A655" t="inlineStr">
        <is>
          <t>SW-DAMPER-123-FB20-BLADE</t>
        </is>
      </c>
      <c r="B655" t="inlineStr">
        <is>
          <t>SW-DAMPER-123</t>
        </is>
      </c>
      <c r="C655" t="inlineStr">
        <is>
          <t>Tấm chống cháy dày 20mm làm lõi cánh van FD/MFD</t>
        </is>
      </c>
      <c r="D655" t="inlineStr">
        <is>
          <t>VẬT_LIỆU_CÁCH_NHIỆT</t>
        </is>
      </c>
      <c r="E655" t="inlineStr">
        <is>
          <t>MAT-FIREBOARD-20MM-BLADE</t>
        </is>
      </c>
      <c r="F655" t="inlineStr">
        <is>
          <t>m2</t>
        </is>
      </c>
      <c r="G655" s="394" t="n">
        <v>0.0225</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Lõi cánh tấm 20mm (Cánh đơn 150x150mm)</t>
        </is>
      </c>
    </row>
    <row r="656">
      <c r="A656" t="inlineStr">
        <is>
          <t>SW-DAMPER-123-FB10-BLADE</t>
        </is>
      </c>
      <c r="B656" t="inlineStr">
        <is>
          <t>SW-DAMPER-123</t>
        </is>
      </c>
      <c r="C656" t="inlineStr">
        <is>
          <t>Tấm chống cháy dày 10mm ốp 2 mặt cánh van FD/MFD</t>
        </is>
      </c>
      <c r="D656" t="inlineStr">
        <is>
          <t>VẬT_LIỆU_CÁCH_NHIỆT</t>
        </is>
      </c>
      <c r="E656" t="inlineStr">
        <is>
          <t>MAT-FIREBOARD-10MM-BLADE</t>
        </is>
      </c>
      <c r="F656" t="inlineStr">
        <is>
          <t>m2</t>
        </is>
      </c>
      <c r="G656" s="394" t="n">
        <v>0.045</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Ốp 2 mặt cánh tấm 10mm (Cánh đơn 150x150mm)</t>
        </is>
      </c>
    </row>
    <row r="657">
      <c r="A657" t="inlineStr">
        <is>
          <t>SW-DAMPER-123-SPRING-BOX</t>
        </is>
      </c>
      <c r="B657" t="inlineStr">
        <is>
          <t>SW-DAMPER-123</t>
        </is>
      </c>
      <c r="C657" t="inlineStr">
        <is>
          <t>Hộp lò xo van chặn lửa FD/MFD</t>
        </is>
      </c>
      <c r="D657" t="inlineStr">
        <is>
          <t>PHỤ_KIỆN_VAN</t>
        </is>
      </c>
      <c r="E657" t="inlineStr">
        <is>
          <t>MAT-DAMPER-HOP-LO-XO</t>
        </is>
      </c>
      <c r="F657" t="inlineStr">
        <is>
          <t>Bộ</t>
        </is>
      </c>
      <c r="G657" s="394" t="n">
        <v>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Hộp lò xo cơ cấu đóng sập (1 bộ)</t>
        </is>
      </c>
    </row>
    <row r="658">
      <c r="A658" t="inlineStr">
        <is>
          <t>SW-DAMPER-123-SILICON-BOLT</t>
        </is>
      </c>
      <c r="B658" t="inlineStr">
        <is>
          <t>SW-DAMPER-123</t>
        </is>
      </c>
      <c r="C658" t="inlineStr">
        <is>
          <t>Silicon chống cháy + bu lông, ốc vít van FD/MFD</t>
        </is>
      </c>
      <c r="D658" t="inlineStr">
        <is>
          <t>PHỤ_KIỆN_VAN</t>
        </is>
      </c>
      <c r="E658" t="inlineStr">
        <is>
          <t>MAT-DAMPER-SILICON-BULONG-VIT</t>
        </is>
      </c>
      <c r="F658" t="inlineStr">
        <is>
          <t>Bộ</t>
        </is>
      </c>
      <c r="G658" s="394" t="n">
        <v>1</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Keo silicon chống cháy &amp; phụ kiện lắp ghép (1 bộ)</t>
        </is>
      </c>
    </row>
    <row r="659">
      <c r="A659" t="inlineStr">
        <is>
          <t>SW-DAMPER-124-BODY</t>
        </is>
      </c>
      <c r="B659" t="inlineStr">
        <is>
          <t>SW-DAMPER-124</t>
        </is>
      </c>
      <c r="C659" t="inlineStr">
        <is>
          <t>Thân vỏ van MFD bích C30/TDF (1.15mm)</t>
        </is>
      </c>
      <c r="D659" t="inlineStr">
        <is>
          <t>TÔN_CUỘN_MẠ_KẼM</t>
        </is>
      </c>
      <c r="E659" t="inlineStr">
        <is>
          <t>MAT-STEEL-PN-1.15</t>
        </is>
      </c>
      <c r="F659" t="inlineStr">
        <is>
          <t>kg</t>
        </is>
      </c>
      <c r="G659" s="394" t="n">
        <v>3.941316225</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Kích thước vỏ 450x300x200mm</t>
        </is>
      </c>
    </row>
    <row r="660">
      <c r="A660" t="inlineStr">
        <is>
          <t>SW-DAMPER-124-BLADE</t>
        </is>
      </c>
      <c r="B660" t="inlineStr">
        <is>
          <t>SW-DAMPER-124</t>
        </is>
      </c>
      <c r="C660" t="inlineStr">
        <is>
          <t>Lá cánh / Tôn tấm bọc van (2 cánh)</t>
        </is>
      </c>
      <c r="D660" t="inlineStr">
        <is>
          <t>TÔN_CUỘN_MẠ_KẼM</t>
        </is>
      </c>
      <c r="E660" t="inlineStr">
        <is>
          <t>MAT-STEEL-PN-1.15</t>
        </is>
      </c>
      <c r="F660" t="inlineStr">
        <is>
          <t>kg</t>
        </is>
      </c>
      <c r="G660" s="394" t="n">
        <v>2.437425</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Tôn bọc cánh &amp; thân (2 cánh/modul)</t>
        </is>
      </c>
    </row>
    <row r="661">
      <c r="A661" t="inlineStr">
        <is>
          <t>SW-DAMPER-124-AXLE</t>
        </is>
      </c>
      <c r="B661" t="inlineStr">
        <is>
          <t>SW-DAMPER-124</t>
        </is>
      </c>
      <c r="C661" t="inlineStr">
        <is>
          <t>Trục Sus 201 D10</t>
        </is>
      </c>
      <c r="D661" t="inlineStr">
        <is>
          <t>PHỤ_KIỆN_VAN</t>
        </is>
      </c>
      <c r="E661" t="inlineStr">
        <is>
          <t>MAT-DAMPER-TRUC-SUS-201-D10</t>
        </is>
      </c>
      <c r="F661" t="inlineStr">
        <is>
          <t>m</t>
        </is>
      </c>
      <c r="G661" s="394" t="n">
        <v>1.02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trục dài 510mm</t>
        </is>
      </c>
    </row>
    <row r="662">
      <c r="A662" t="inlineStr">
        <is>
          <t>SW-DAMPER-124-BEARING</t>
        </is>
      </c>
      <c r="B662" t="inlineStr">
        <is>
          <t>SW-DAMPER-124</t>
        </is>
      </c>
      <c r="C662" t="inlineStr">
        <is>
          <t>Bạc đồng D10</t>
        </is>
      </c>
      <c r="D662" t="inlineStr">
        <is>
          <t>PHỤ_KIỆN_VAN</t>
        </is>
      </c>
      <c r="E662" t="inlineStr">
        <is>
          <t>MAT-DAMPER-BAC-DONG-D10</t>
        </is>
      </c>
      <c r="F662" t="inlineStr">
        <is>
          <t>Đôi</t>
        </is>
      </c>
      <c r="G662" s="394" t="n">
        <v>2</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2 đôi bạc đỡ 2 bên thân</t>
        </is>
      </c>
    </row>
    <row r="663">
      <c r="A663" t="inlineStr">
        <is>
          <t>SW-DAMPER-124-GEAR</t>
        </is>
      </c>
      <c r="B663" t="inlineStr">
        <is>
          <t>SW-DAMPER-124</t>
        </is>
      </c>
      <c r="C663" t="inlineStr">
        <is>
          <t>Bánh răng van nhôm</t>
        </is>
      </c>
      <c r="D663" t="inlineStr">
        <is>
          <t>PHỤ_KIỆN_VAN</t>
        </is>
      </c>
      <c r="E663" t="inlineStr">
        <is>
          <t>MAT-DAMPER-BANH-RANG-VAN-NHOM</t>
        </is>
      </c>
      <c r="F663" t="inlineStr">
        <is>
          <t>Bộ</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Cơ cấu liên động cánh (1 bộ)</t>
        </is>
      </c>
    </row>
    <row r="664">
      <c r="A664" t="inlineStr">
        <is>
          <t>SW-DAMPER-124-ACTUATOR</t>
        </is>
      </c>
      <c r="B664" t="inlineStr">
        <is>
          <t>SW-DAMPER-124</t>
        </is>
      </c>
      <c r="C664" t="inlineStr">
        <is>
          <t>Động cơ chặn lửa ON/OFF 9Nm, 230V/24V (BELIMO BFN24 / BFN230)</t>
        </is>
      </c>
      <c r="D664" t="inlineStr">
        <is>
          <t>ĐỘNG_CƠ_VÀ_CẢM_BIẾN</t>
        </is>
      </c>
      <c r="E664" t="inlineStr">
        <is>
          <t>MAT-ACTUATOR-BELIMO-BFN24</t>
        </is>
      </c>
      <c r="F664" t="inlineStr">
        <is>
          <t>Cái</t>
        </is>
      </c>
      <c r="G664" s="394" t="n">
        <v>1</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Động cơ lò xo phản hồi MFD (1 bộ)</t>
        </is>
      </c>
    </row>
    <row r="665">
      <c r="A665" t="inlineStr">
        <is>
          <t>SW-DAMPER-124-FB10-BODY</t>
        </is>
      </c>
      <c r="B665" t="inlineStr">
        <is>
          <t>SW-DAMPER-124</t>
        </is>
      </c>
      <c r="C665" t="inlineStr">
        <is>
          <t>Tấm chống cháy dày 10mm bọc thân van FD/MFD (2 lớp)</t>
        </is>
      </c>
      <c r="D665" t="inlineStr">
        <is>
          <t>VẬT_LIỆU_CÁCH_NHIỆT</t>
        </is>
      </c>
      <c r="E665" t="inlineStr">
        <is>
          <t>MAT-FIREBOARD-10MM-BODY</t>
        </is>
      </c>
      <c r="F665" t="inlineStr">
        <is>
          <t>m2</t>
        </is>
      </c>
      <c r="G665" s="394" t="n">
        <v>0.9</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Bọc 2 lớp tấm 10mm quanh thân L=300mm</t>
        </is>
      </c>
    </row>
    <row r="666">
      <c r="A666" t="inlineStr">
        <is>
          <t>SW-DAMPER-124-FB20-BLADE</t>
        </is>
      </c>
      <c r="B666" t="inlineStr">
        <is>
          <t>SW-DAMPER-124</t>
        </is>
      </c>
      <c r="C666" t="inlineStr">
        <is>
          <t>Tấm chống cháy dày 20mm làm lõi cánh van FD/MFD</t>
        </is>
      </c>
      <c r="D666" t="inlineStr">
        <is>
          <t>VẬT_LIỆU_CÁCH_NHIỆT</t>
        </is>
      </c>
      <c r="E666" t="inlineStr">
        <is>
          <t>MAT-FIREBOARD-20MM-BLADE</t>
        </is>
      </c>
      <c r="F666" t="inlineStr">
        <is>
          <t>m2</t>
        </is>
      </c>
      <c r="G666" s="394" t="n">
        <v>0.196660067114094</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Lõi cánh tấm 20mm (Đa cánh hệ số (H-5)/149=1.98, bản rộng 210mm, hao hụt 10%)</t>
        </is>
      </c>
    </row>
    <row r="667">
      <c r="A667" t="inlineStr">
        <is>
          <t>SW-DAMPER-124-FB10-BLADE</t>
        </is>
      </c>
      <c r="B667" t="inlineStr">
        <is>
          <t>SW-DAMPER-124</t>
        </is>
      </c>
      <c r="C667" t="inlineStr">
        <is>
          <t>Tấm chống cháy dày 10mm ốp 2 mặt cánh van FD/MFD</t>
        </is>
      </c>
      <c r="D667" t="inlineStr">
        <is>
          <t>VẬT_LIỆU_CÁCH_NHIỆT</t>
        </is>
      </c>
      <c r="E667" t="inlineStr">
        <is>
          <t>MAT-FIREBOARD-10MM-BLADE</t>
        </is>
      </c>
      <c r="F667" t="inlineStr">
        <is>
          <t>m2</t>
        </is>
      </c>
      <c r="G667" s="394" t="n">
        <v>0.4116140939597316</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Ốp 2 mặt cánh tấm 10mm (Đa cánh hệ số (H-5)/149=1.98, bản rộng 210mm, hao hụt 10%)</t>
        </is>
      </c>
    </row>
    <row r="668">
      <c r="A668" t="inlineStr">
        <is>
          <t>SW-DAMPER-124-SPRING-BOX</t>
        </is>
      </c>
      <c r="B668" t="inlineStr">
        <is>
          <t>SW-DAMPER-124</t>
        </is>
      </c>
      <c r="C668" t="inlineStr">
        <is>
          <t>Hộp lò xo van chặn lửa FD/MFD</t>
        </is>
      </c>
      <c r="D668" t="inlineStr">
        <is>
          <t>PHỤ_KIỆN_VAN</t>
        </is>
      </c>
      <c r="E668" t="inlineStr">
        <is>
          <t>MAT-DAMPER-HOP-LO-XO</t>
        </is>
      </c>
      <c r="F668" t="inlineStr">
        <is>
          <t>Bộ</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Hộp lò xo cơ cấu đóng sập (1 bộ)</t>
        </is>
      </c>
    </row>
    <row r="669">
      <c r="A669" t="inlineStr">
        <is>
          <t>SW-DAMPER-124-SILICON-BOLT</t>
        </is>
      </c>
      <c r="B669" t="inlineStr">
        <is>
          <t>SW-DAMPER-124</t>
        </is>
      </c>
      <c r="C669" t="inlineStr">
        <is>
          <t>Silicon chống cháy + bu lông, ốc vít van FD/MFD</t>
        </is>
      </c>
      <c r="D669" t="inlineStr">
        <is>
          <t>PHỤ_KIỆN_VAN</t>
        </is>
      </c>
      <c r="E669" t="inlineStr">
        <is>
          <t>MAT-DAMPER-SILICON-BULONG-VIT</t>
        </is>
      </c>
      <c r="F669" t="inlineStr">
        <is>
          <t>Bộ</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Keo silicon chống cháy &amp; phụ kiện lắp ghép (1 bộ)</t>
        </is>
      </c>
    </row>
    <row r="670">
      <c r="A670" t="inlineStr">
        <is>
          <t>SW-DAMPER-125-BODY</t>
        </is>
      </c>
      <c r="B670" t="inlineStr">
        <is>
          <t>SW-DAMPER-125</t>
        </is>
      </c>
      <c r="C670" t="inlineStr">
        <is>
          <t>Thân vỏ van FD bích C30/TDF (1.15mm)</t>
        </is>
      </c>
      <c r="D670" t="inlineStr">
        <is>
          <t>TÔN_CUỘN_MẠ_KẼM</t>
        </is>
      </c>
      <c r="E670" t="inlineStr">
        <is>
          <t>MAT-STEEL-PN-1.15</t>
        </is>
      </c>
      <c r="F670" t="inlineStr">
        <is>
          <t>kg</t>
        </is>
      </c>
      <c r="G670" s="394" t="n">
        <v>5.476893975</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Kích thước vỏ 800x250x200mm</t>
        </is>
      </c>
    </row>
    <row r="671">
      <c r="A671" t="inlineStr">
        <is>
          <t>SW-DAMPER-125-BLADE</t>
        </is>
      </c>
      <c r="B671" t="inlineStr">
        <is>
          <t>SW-DAMPER-125</t>
        </is>
      </c>
      <c r="C671" t="inlineStr">
        <is>
          <t>Lá cánh / Tôn tấm bọc van (1 cánh)</t>
        </is>
      </c>
      <c r="D671" t="inlineStr">
        <is>
          <t>TÔN_CUỘN_MẠ_KẼM</t>
        </is>
      </c>
      <c r="E671" t="inlineStr">
        <is>
          <t>MAT-STEEL-PN-1.15</t>
        </is>
      </c>
      <c r="F671" t="inlineStr">
        <is>
          <t>kg</t>
        </is>
      </c>
      <c r="G671" s="394" t="n">
        <v>3.610999999999999</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Tôn bọc cánh &amp; thân (1 cánh/modul)</t>
        </is>
      </c>
    </row>
    <row r="672">
      <c r="A672" t="inlineStr">
        <is>
          <t>SW-DAMPER-125-AXLE</t>
        </is>
      </c>
      <c r="B672" t="inlineStr">
        <is>
          <t>SW-DAMPER-125</t>
        </is>
      </c>
      <c r="C672" t="inlineStr">
        <is>
          <t>Trục Sus 201 D10</t>
        </is>
      </c>
      <c r="D672" t="inlineStr">
        <is>
          <t>PHỤ_KIỆN_VAN</t>
        </is>
      </c>
      <c r="E672" t="inlineStr">
        <is>
          <t>MAT-DAMPER-TRUC-SUS-201-D10</t>
        </is>
      </c>
      <c r="F672" t="inlineStr">
        <is>
          <t>m</t>
        </is>
      </c>
      <c r="G672" s="394" t="n">
        <v>0.86</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1 trục dài 860mm</t>
        </is>
      </c>
    </row>
    <row r="673">
      <c r="A673" t="inlineStr">
        <is>
          <t>SW-DAMPER-125-BEARING</t>
        </is>
      </c>
      <c r="B673" t="inlineStr">
        <is>
          <t>SW-DAMPER-125</t>
        </is>
      </c>
      <c r="C673" t="inlineStr">
        <is>
          <t>Bạc đồng D10</t>
        </is>
      </c>
      <c r="D673" t="inlineStr">
        <is>
          <t>PHỤ_KIỆN_VAN</t>
        </is>
      </c>
      <c r="E673" t="inlineStr">
        <is>
          <t>MAT-DAMPER-BAC-DONG-D10</t>
        </is>
      </c>
      <c r="F673" t="inlineStr">
        <is>
          <t>Đôi</t>
        </is>
      </c>
      <c r="G673" s="394" t="n">
        <v>1</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1 đôi bạc đỡ 2 bên thân</t>
        </is>
      </c>
    </row>
    <row r="674">
      <c r="A674" t="inlineStr">
        <is>
          <t>SW-DAMPER-125-FUSE</t>
        </is>
      </c>
      <c r="B674" t="inlineStr">
        <is>
          <t>SW-DAMPER-125</t>
        </is>
      </c>
      <c r="C674" t="inlineStr">
        <is>
          <t>Cầu chì nhiệt nóng chảy 70°C/74°C (Elsie/USA)</t>
        </is>
      </c>
      <c r="D674" t="inlineStr">
        <is>
          <t>PHỤ_KIỆN_VAN</t>
        </is>
      </c>
      <c r="E674" t="inlineStr">
        <is>
          <t>MAT-DAMPER-CAU-CHI-USA-2-400X400</t>
        </is>
      </c>
      <c r="F674" t="inlineStr">
        <is>
          <t>Cái</t>
        </is>
      </c>
      <c r="G674" s="394" t="n">
        <v>1</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Cầu chì kiểm định PCCC (1 cái)</t>
        </is>
      </c>
    </row>
    <row r="675">
      <c r="A675" t="inlineStr">
        <is>
          <t>SW-DAMPER-125-FUSE-HANDLE</t>
        </is>
      </c>
      <c r="B675" t="inlineStr">
        <is>
          <t>SW-DAMPER-125</t>
        </is>
      </c>
      <c r="C675" t="inlineStr">
        <is>
          <t>Tay gạt cầu chì van FD</t>
        </is>
      </c>
      <c r="D675" t="inlineStr">
        <is>
          <t>PHỤ_KIỆN_VAN</t>
        </is>
      </c>
      <c r="E675" t="inlineStr">
        <is>
          <t>MAT-DAMPER-TAY-GAT-CAU-CHI-1</t>
        </is>
      </c>
      <c r="F675" t="inlineStr">
        <is>
          <t>Bộ</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Cơ cấu tay gạt giữ cầu chì (1 bộ)</t>
        </is>
      </c>
    </row>
    <row r="676">
      <c r="A676" t="inlineStr">
        <is>
          <t>SW-DAMPER-125-FB10-BODY</t>
        </is>
      </c>
      <c r="B676" t="inlineStr">
        <is>
          <t>SW-DAMPER-125</t>
        </is>
      </c>
      <c r="C676" t="inlineStr">
        <is>
          <t>Tấm chống cháy dày 10mm bọc thân van FD/MFD (2 lớp)</t>
        </is>
      </c>
      <c r="D676" t="inlineStr">
        <is>
          <t>VẬT_LIỆU_CÁCH_NHIỆT</t>
        </is>
      </c>
      <c r="E676" t="inlineStr">
        <is>
          <t>MAT-FIREBOARD-10MM-BODY</t>
        </is>
      </c>
      <c r="F676" t="inlineStr">
        <is>
          <t>m2</t>
        </is>
      </c>
      <c r="G676" s="394" t="n">
        <v>1.26</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Bọc 2 lớp tấm 10mm quanh thân L=300mm</t>
        </is>
      </c>
    </row>
    <row r="677">
      <c r="A677" t="inlineStr">
        <is>
          <t>SW-DAMPER-125-FB20-BLADE</t>
        </is>
      </c>
      <c r="B677" t="inlineStr">
        <is>
          <t>SW-DAMPER-125</t>
        </is>
      </c>
      <c r="C677" t="inlineStr">
        <is>
          <t>Tấm chống cháy dày 20mm làm lõi cánh van FD/MFD</t>
        </is>
      </c>
      <c r="D677" t="inlineStr">
        <is>
          <t>VẬT_LIỆU_CÁCH_NHIỆT</t>
        </is>
      </c>
      <c r="E677" t="inlineStr">
        <is>
          <t>MAT-FIREBOARD-20MM-BLADE</t>
        </is>
      </c>
      <c r="F677" t="inlineStr">
        <is>
          <t>m2</t>
        </is>
      </c>
      <c r="G677" s="394" t="n">
        <v>0.2</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Lõi cánh tấm 20mm (Cánh đơn 800x250mm)</t>
        </is>
      </c>
    </row>
    <row r="678">
      <c r="A678" t="inlineStr">
        <is>
          <t>SW-DAMPER-125-FB10-BLADE</t>
        </is>
      </c>
      <c r="B678" t="inlineStr">
        <is>
          <t>SW-DAMPER-125</t>
        </is>
      </c>
      <c r="C678" t="inlineStr">
        <is>
          <t>Tấm chống cháy dày 10mm ốp 2 mặt cánh van FD/MFD</t>
        </is>
      </c>
      <c r="D678" t="inlineStr">
        <is>
          <t>VẬT_LIỆU_CÁCH_NHIỆT</t>
        </is>
      </c>
      <c r="E678" t="inlineStr">
        <is>
          <t>MAT-FIREBOARD-10MM-BLADE</t>
        </is>
      </c>
      <c r="F678" t="inlineStr">
        <is>
          <t>m2</t>
        </is>
      </c>
      <c r="G678" s="394" t="n">
        <v>0.4</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Ốp 2 mặt cánh tấm 10mm (Cánh đơn 800x250mm)</t>
        </is>
      </c>
    </row>
    <row r="679">
      <c r="A679" t="inlineStr">
        <is>
          <t>SW-DAMPER-125-SPRING-BOX</t>
        </is>
      </c>
      <c r="B679" t="inlineStr">
        <is>
          <t>SW-DAMPER-125</t>
        </is>
      </c>
      <c r="C679" t="inlineStr">
        <is>
          <t>Hộp lò xo van chặn lửa FD/MFD</t>
        </is>
      </c>
      <c r="D679" t="inlineStr">
        <is>
          <t>PHỤ_KIỆN_VAN</t>
        </is>
      </c>
      <c r="E679" t="inlineStr">
        <is>
          <t>MAT-DAMPER-HOP-LO-XO</t>
        </is>
      </c>
      <c r="F679" t="inlineStr">
        <is>
          <t>Bộ</t>
        </is>
      </c>
      <c r="G679" s="394" t="n">
        <v>1</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Hộp lò xo cơ cấu đóng sập (1 bộ)</t>
        </is>
      </c>
    </row>
    <row r="680">
      <c r="A680" t="inlineStr">
        <is>
          <t>SW-DAMPER-125-SILICON-BOLT</t>
        </is>
      </c>
      <c r="B680" t="inlineStr">
        <is>
          <t>SW-DAMPER-125</t>
        </is>
      </c>
      <c r="C680" t="inlineStr">
        <is>
          <t>Silicon chống cháy + bu lông, ốc vít van FD/MFD</t>
        </is>
      </c>
      <c r="D680" t="inlineStr">
        <is>
          <t>PHỤ_KIỆN_VAN</t>
        </is>
      </c>
      <c r="E680" t="inlineStr">
        <is>
          <t>MAT-DAMPER-SILICON-BULONG-VIT</t>
        </is>
      </c>
      <c r="F680" t="inlineStr">
        <is>
          <t>Bộ</t>
        </is>
      </c>
      <c r="G680" s="394" t="n">
        <v>1</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Keo silicon chống cháy &amp; phụ kiện lắp ghép (1 bộ)</t>
        </is>
      </c>
    </row>
    <row r="681">
      <c r="A681" t="inlineStr">
        <is>
          <t>SW-DAMPER-126-BODY</t>
        </is>
      </c>
      <c r="B681" t="inlineStr">
        <is>
          <t>SW-DAMPER-126</t>
        </is>
      </c>
      <c r="C681" t="inlineStr">
        <is>
          <t>Thân vỏ van FD bích C30/TDF (1.15mm)</t>
        </is>
      </c>
      <c r="D681" t="inlineStr">
        <is>
          <t>TÔN_CUỘN_MẠ_KẼM</t>
        </is>
      </c>
      <c r="E681" t="inlineStr">
        <is>
          <t>MAT-STEEL-PN-1.15</t>
        </is>
      </c>
      <c r="F681" t="inlineStr">
        <is>
          <t>kg</t>
        </is>
      </c>
      <c r="G681" s="394" t="n">
        <v>2.6616681</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Kích thước vỏ 300x200x200mm</t>
        </is>
      </c>
    </row>
    <row r="682">
      <c r="A682" t="inlineStr">
        <is>
          <t>SW-DAMPER-126-BLADE</t>
        </is>
      </c>
      <c r="B682" t="inlineStr">
        <is>
          <t>SW-DAMPER-126</t>
        </is>
      </c>
      <c r="C682" t="inlineStr">
        <is>
          <t>Lá cánh / Tôn tấm bọc van (1 cánh)</t>
        </is>
      </c>
      <c r="D682" t="inlineStr">
        <is>
          <t>TÔN_CUỘN_MẠ_KẼM</t>
        </is>
      </c>
      <c r="E682" t="inlineStr">
        <is>
          <t>MAT-STEEL-PN-1.15</t>
        </is>
      </c>
      <c r="F682" t="inlineStr">
        <is>
          <t>kg</t>
        </is>
      </c>
      <c r="G682" s="394" t="n">
        <v>1.0833</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Tôn bọc cánh &amp; thân (1 cánh/modul)</t>
        </is>
      </c>
    </row>
    <row r="683">
      <c r="A683" t="inlineStr">
        <is>
          <t>SW-DAMPER-126-AXLE</t>
        </is>
      </c>
      <c r="B683" t="inlineStr">
        <is>
          <t>SW-DAMPER-126</t>
        </is>
      </c>
      <c r="C683" t="inlineStr">
        <is>
          <t>Trục Sus 201 D10</t>
        </is>
      </c>
      <c r="D683" t="inlineStr">
        <is>
          <t>PHỤ_KIỆN_VAN</t>
        </is>
      </c>
      <c r="E683" t="inlineStr">
        <is>
          <t>MAT-DAMPER-TRUC-SUS-201-D10</t>
        </is>
      </c>
      <c r="F683" t="inlineStr">
        <is>
          <t>m</t>
        </is>
      </c>
      <c r="G683" s="394" t="n">
        <v>0.36</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1 trục dài 360mm</t>
        </is>
      </c>
    </row>
    <row r="684">
      <c r="A684" t="inlineStr">
        <is>
          <t>SW-DAMPER-126-BEARING</t>
        </is>
      </c>
      <c r="B684" t="inlineStr">
        <is>
          <t>SW-DAMPER-126</t>
        </is>
      </c>
      <c r="C684" t="inlineStr">
        <is>
          <t>Bạc đồng D10</t>
        </is>
      </c>
      <c r="D684" t="inlineStr">
        <is>
          <t>PHỤ_KIỆN_VAN</t>
        </is>
      </c>
      <c r="E684" t="inlineStr">
        <is>
          <t>MAT-DAMPER-BAC-DONG-D10</t>
        </is>
      </c>
      <c r="F684" t="inlineStr">
        <is>
          <t>Đôi</t>
        </is>
      </c>
      <c r="G684" s="394" t="n">
        <v>1</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1 đôi bạc đỡ 2 bên thân</t>
        </is>
      </c>
    </row>
    <row r="685">
      <c r="A685" t="inlineStr">
        <is>
          <t>SW-DAMPER-126-FUSE</t>
        </is>
      </c>
      <c r="B685" t="inlineStr">
        <is>
          <t>SW-DAMPER-126</t>
        </is>
      </c>
      <c r="C685" t="inlineStr">
        <is>
          <t>Cầu chì nhiệt nóng chảy 70°C/74°C (Elsie/USA)</t>
        </is>
      </c>
      <c r="D685" t="inlineStr">
        <is>
          <t>PHỤ_KIỆN_VAN</t>
        </is>
      </c>
      <c r="E685" t="inlineStr">
        <is>
          <t>MAT-DAMPER-CAU-CHI-USA-1-400X400</t>
        </is>
      </c>
      <c r="F685" t="inlineStr">
        <is>
          <t>Cái</t>
        </is>
      </c>
      <c r="G685" s="394" t="n">
        <v>1</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Cầu chì kiểm định PCCC (1 cái)</t>
        </is>
      </c>
    </row>
    <row r="686">
      <c r="A686" t="inlineStr">
        <is>
          <t>SW-DAMPER-126-FUSE-HANDLE</t>
        </is>
      </c>
      <c r="B686" t="inlineStr">
        <is>
          <t>SW-DAMPER-126</t>
        </is>
      </c>
      <c r="C686" t="inlineStr">
        <is>
          <t>Tay gạt cầu chì van FD</t>
        </is>
      </c>
      <c r="D686" t="inlineStr">
        <is>
          <t>PHỤ_KIỆN_VAN</t>
        </is>
      </c>
      <c r="E686" t="inlineStr">
        <is>
          <t>MAT-DAMPER-TAY-GAT-CAU-CHI-1</t>
        </is>
      </c>
      <c r="F686" t="inlineStr">
        <is>
          <t>Bộ</t>
        </is>
      </c>
      <c r="G686" s="394" t="n">
        <v>1</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Cơ cấu tay gạt giữ cầu chì (1 bộ)</t>
        </is>
      </c>
    </row>
    <row r="687">
      <c r="A687" t="inlineStr">
        <is>
          <t>SW-DAMPER-126-FB10-BODY</t>
        </is>
      </c>
      <c r="B687" t="inlineStr">
        <is>
          <t>SW-DAMPER-126</t>
        </is>
      </c>
      <c r="C687" t="inlineStr">
        <is>
          <t>Tấm chống cháy dày 10mm bọc thân van FD/MFD (2 lớp)</t>
        </is>
      </c>
      <c r="D687" t="inlineStr">
        <is>
          <t>VẬT_LIỆU_CÁCH_NHIỆT</t>
        </is>
      </c>
      <c r="E687" t="inlineStr">
        <is>
          <t>MAT-FIREBOARD-10MM-BODY</t>
        </is>
      </c>
      <c r="F687" t="inlineStr">
        <is>
          <t>m2</t>
        </is>
      </c>
      <c r="G687" s="394" t="n">
        <v>0.6</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Bọc 2 lớp tấm 10mm quanh thân L=300mm</t>
        </is>
      </c>
    </row>
    <row r="688">
      <c r="A688" t="inlineStr">
        <is>
          <t>SW-DAMPER-126-FB20-BLADE</t>
        </is>
      </c>
      <c r="B688" t="inlineStr">
        <is>
          <t>SW-DAMPER-126</t>
        </is>
      </c>
      <c r="C688" t="inlineStr">
        <is>
          <t>Tấm chống cháy dày 20mm làm lõi cánh van FD/MFD</t>
        </is>
      </c>
      <c r="D688" t="inlineStr">
        <is>
          <t>VẬT_LIỆU_CÁCH_NHIỆT</t>
        </is>
      </c>
      <c r="E688" t="inlineStr">
        <is>
          <t>MAT-FIREBOARD-20MM-BLADE</t>
        </is>
      </c>
      <c r="F688" t="inlineStr">
        <is>
          <t>m2</t>
        </is>
      </c>
      <c r="G688" s="394" t="n">
        <v>0.06</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Lõi cánh tấm 20mm (Cánh đơn 300x200mm)</t>
        </is>
      </c>
    </row>
    <row r="689">
      <c r="A689" t="inlineStr">
        <is>
          <t>SW-DAMPER-126-FB10-BLADE</t>
        </is>
      </c>
      <c r="B689" t="inlineStr">
        <is>
          <t>SW-DAMPER-126</t>
        </is>
      </c>
      <c r="C689" t="inlineStr">
        <is>
          <t>Tấm chống cháy dày 10mm ốp 2 mặt cánh van FD/MFD</t>
        </is>
      </c>
      <c r="D689" t="inlineStr">
        <is>
          <t>VẬT_LIỆU_CÁCH_NHIỆT</t>
        </is>
      </c>
      <c r="E689" t="inlineStr">
        <is>
          <t>MAT-FIREBOARD-10MM-BLADE</t>
        </is>
      </c>
      <c r="F689" t="inlineStr">
        <is>
          <t>m2</t>
        </is>
      </c>
      <c r="G689" s="394" t="n">
        <v>0.12</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Ốp 2 mặt cánh tấm 10mm (Cánh đơn 300x200mm)</t>
        </is>
      </c>
    </row>
    <row r="690">
      <c r="A690" t="inlineStr">
        <is>
          <t>SW-DAMPER-126-SPRING-BOX</t>
        </is>
      </c>
      <c r="B690" t="inlineStr">
        <is>
          <t>SW-DAMPER-126</t>
        </is>
      </c>
      <c r="C690" t="inlineStr">
        <is>
          <t>Hộp lò xo van chặn lửa FD/MFD</t>
        </is>
      </c>
      <c r="D690" t="inlineStr">
        <is>
          <t>PHỤ_KIỆN_VAN</t>
        </is>
      </c>
      <c r="E690" t="inlineStr">
        <is>
          <t>MAT-DAMPER-HOP-LO-XO</t>
        </is>
      </c>
      <c r="F690" t="inlineStr">
        <is>
          <t>Bộ</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Hộp lò xo cơ cấu đóng sập (1 bộ)</t>
        </is>
      </c>
    </row>
    <row r="691">
      <c r="A691" t="inlineStr">
        <is>
          <t>SW-DAMPER-126-SILICON-BOLT</t>
        </is>
      </c>
      <c r="B691" t="inlineStr">
        <is>
          <t>SW-DAMPER-126</t>
        </is>
      </c>
      <c r="C691" t="inlineStr">
        <is>
          <t>Silicon chống cháy + bu lông, ốc vít van FD/MFD</t>
        </is>
      </c>
      <c r="D691" t="inlineStr">
        <is>
          <t>PHỤ_KIỆN_VAN</t>
        </is>
      </c>
      <c r="E691" t="inlineStr">
        <is>
          <t>MAT-DAMPER-SILICON-BULONG-VIT</t>
        </is>
      </c>
      <c r="F691" t="inlineStr">
        <is>
          <t>Bộ</t>
        </is>
      </c>
      <c r="G691" s="394" t="n">
        <v>1</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Keo silicon chống cháy &amp; phụ kiện lắp ghép (1 bộ)</t>
        </is>
      </c>
    </row>
    <row r="692">
      <c r="A692" t="inlineStr">
        <is>
          <t>SW-DAMPER-127-BODY</t>
        </is>
      </c>
      <c r="B692" t="inlineStr">
        <is>
          <t>SW-DAMPER-127</t>
        </is>
      </c>
      <c r="C692" t="inlineStr">
        <is>
          <t>Thân vỏ van FD bích C30/TDF (1.15mm)</t>
        </is>
      </c>
      <c r="D692" t="inlineStr">
        <is>
          <t>TÔN_CUỘN_MẠ_KẼM</t>
        </is>
      </c>
      <c r="E692" t="inlineStr">
        <is>
          <t>MAT-STEEL-PN-1.15</t>
        </is>
      </c>
      <c r="F692" t="inlineStr">
        <is>
          <t>kg</t>
        </is>
      </c>
      <c r="G692" s="394" t="n">
        <v>2.14980885</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Kích thước vỏ 200x200x200mm</t>
        </is>
      </c>
    </row>
    <row r="693">
      <c r="A693" t="inlineStr">
        <is>
          <t>SW-DAMPER-127-BLADE</t>
        </is>
      </c>
      <c r="B693" t="inlineStr">
        <is>
          <t>SW-DAMPER-127</t>
        </is>
      </c>
      <c r="C693" t="inlineStr">
        <is>
          <t>Lá cánh / Tôn tấm bọc van (1 cánh)</t>
        </is>
      </c>
      <c r="D693" t="inlineStr">
        <is>
          <t>TÔN_CUỘN_MẠ_KẼM</t>
        </is>
      </c>
      <c r="E693" t="inlineStr">
        <is>
          <t>MAT-STEEL-PN-1.15</t>
        </is>
      </c>
      <c r="F693" t="inlineStr">
        <is>
          <t>kg</t>
        </is>
      </c>
      <c r="G693" s="394" t="n">
        <v>0.7222</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Tôn bọc cánh &amp; thân (1 cánh/modul)</t>
        </is>
      </c>
    </row>
    <row r="694">
      <c r="A694" t="inlineStr">
        <is>
          <t>SW-DAMPER-127-AXLE</t>
        </is>
      </c>
      <c r="B694" t="inlineStr">
        <is>
          <t>SW-DAMPER-127</t>
        </is>
      </c>
      <c r="C694" t="inlineStr">
        <is>
          <t>Trục Sus 201 D10</t>
        </is>
      </c>
      <c r="D694" t="inlineStr">
        <is>
          <t>PHỤ_KIỆN_VAN</t>
        </is>
      </c>
      <c r="E694" t="inlineStr">
        <is>
          <t>MAT-DAMPER-TRUC-SUS-201-D10</t>
        </is>
      </c>
      <c r="F694" t="inlineStr">
        <is>
          <t>m</t>
        </is>
      </c>
      <c r="G694" s="394" t="n">
        <v>0.26</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1 trục dài 260mm</t>
        </is>
      </c>
    </row>
    <row r="695">
      <c r="A695" t="inlineStr">
        <is>
          <t>SW-DAMPER-127-BEARING</t>
        </is>
      </c>
      <c r="B695" t="inlineStr">
        <is>
          <t>SW-DAMPER-127</t>
        </is>
      </c>
      <c r="C695" t="inlineStr">
        <is>
          <t>Bạc đồng D10</t>
        </is>
      </c>
      <c r="D695" t="inlineStr">
        <is>
          <t>PHỤ_KIỆN_VAN</t>
        </is>
      </c>
      <c r="E695" t="inlineStr">
        <is>
          <t>MAT-DAMPER-BAC-DONG-D10</t>
        </is>
      </c>
      <c r="F695" t="inlineStr">
        <is>
          <t>Đôi</t>
        </is>
      </c>
      <c r="G695" s="394" t="n">
        <v>1</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1 đôi bạc đỡ 2 bên thân</t>
        </is>
      </c>
    </row>
    <row r="696">
      <c r="A696" t="inlineStr">
        <is>
          <t>SW-DAMPER-127-FUSE</t>
        </is>
      </c>
      <c r="B696" t="inlineStr">
        <is>
          <t>SW-DAMPER-127</t>
        </is>
      </c>
      <c r="C696" t="inlineStr">
        <is>
          <t>Cầu chì nhiệt nóng chảy 70°C/74°C (Elsie/USA)</t>
        </is>
      </c>
      <c r="D696" t="inlineStr">
        <is>
          <t>PHỤ_KIỆN_VAN</t>
        </is>
      </c>
      <c r="E696" t="inlineStr">
        <is>
          <t>MAT-DAMPER-CAU-CHI-USA-1-400X400</t>
        </is>
      </c>
      <c r="F696" t="inlineStr">
        <is>
          <t>Cái</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Cầu chì kiểm định PCCC (1 cái)</t>
        </is>
      </c>
    </row>
    <row r="697">
      <c r="A697" t="inlineStr">
        <is>
          <t>SW-DAMPER-127-FUSE-HANDLE</t>
        </is>
      </c>
      <c r="B697" t="inlineStr">
        <is>
          <t>SW-DAMPER-127</t>
        </is>
      </c>
      <c r="C697" t="inlineStr">
        <is>
          <t>Tay gạt cầu chì van FD</t>
        </is>
      </c>
      <c r="D697" t="inlineStr">
        <is>
          <t>PHỤ_KIỆN_VAN</t>
        </is>
      </c>
      <c r="E697" t="inlineStr">
        <is>
          <t>MAT-DAMPER-TAY-GAT-CAU-CHI-1</t>
        </is>
      </c>
      <c r="F697" t="inlineStr">
        <is>
          <t>Bộ</t>
        </is>
      </c>
      <c r="G697" s="394" t="n">
        <v>1</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Cơ cấu tay gạt giữ cầu chì (1 bộ)</t>
        </is>
      </c>
    </row>
    <row r="698">
      <c r="A698" t="inlineStr">
        <is>
          <t>SW-DAMPER-127-FB10-BODY</t>
        </is>
      </c>
      <c r="B698" t="inlineStr">
        <is>
          <t>SW-DAMPER-127</t>
        </is>
      </c>
      <c r="C698" t="inlineStr">
        <is>
          <t>Tấm chống cháy dày 10mm bọc thân van FD/MFD (2 lớp)</t>
        </is>
      </c>
      <c r="D698" t="inlineStr">
        <is>
          <t>VẬT_LIỆU_CÁCH_NHIỆT</t>
        </is>
      </c>
      <c r="E698" t="inlineStr">
        <is>
          <t>MAT-FIREBOARD-10MM-BODY</t>
        </is>
      </c>
      <c r="F698" t="inlineStr">
        <is>
          <t>m2</t>
        </is>
      </c>
      <c r="G698" s="394" t="n">
        <v>0.48</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Bọc 2 lớp tấm 10mm quanh thân L=300mm</t>
        </is>
      </c>
    </row>
    <row r="699">
      <c r="A699" t="inlineStr">
        <is>
          <t>SW-DAMPER-127-FB20-BLADE</t>
        </is>
      </c>
      <c r="B699" t="inlineStr">
        <is>
          <t>SW-DAMPER-127</t>
        </is>
      </c>
      <c r="C699" t="inlineStr">
        <is>
          <t>Tấm chống cháy dày 20mm làm lõi cánh van FD/MFD</t>
        </is>
      </c>
      <c r="D699" t="inlineStr">
        <is>
          <t>VẬT_LIỆU_CÁCH_NHIỆT</t>
        </is>
      </c>
      <c r="E699" t="inlineStr">
        <is>
          <t>MAT-FIREBOARD-20MM-BLADE</t>
        </is>
      </c>
      <c r="F699" t="inlineStr">
        <is>
          <t>m2</t>
        </is>
      </c>
      <c r="G699" s="394" t="n">
        <v>0.04000000000000001</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Lõi cánh tấm 20mm (Cánh đơn 200x200mm)</t>
        </is>
      </c>
    </row>
    <row r="700">
      <c r="A700" t="inlineStr">
        <is>
          <t>SW-DAMPER-127-FB10-BLADE</t>
        </is>
      </c>
      <c r="B700" t="inlineStr">
        <is>
          <t>SW-DAMPER-127</t>
        </is>
      </c>
      <c r="C700" t="inlineStr">
        <is>
          <t>Tấm chống cháy dày 10mm ốp 2 mặt cánh van FD/MFD</t>
        </is>
      </c>
      <c r="D700" t="inlineStr">
        <is>
          <t>VẬT_LIỆU_CÁCH_NHIỆT</t>
        </is>
      </c>
      <c r="E700" t="inlineStr">
        <is>
          <t>MAT-FIREBOARD-10MM-BLADE</t>
        </is>
      </c>
      <c r="F700" t="inlineStr">
        <is>
          <t>m2</t>
        </is>
      </c>
      <c r="G700" s="394" t="n">
        <v>0.08000000000000002</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Ốp 2 mặt cánh tấm 10mm (Cánh đơn 200x200mm)</t>
        </is>
      </c>
    </row>
    <row r="701">
      <c r="A701" t="inlineStr">
        <is>
          <t>SW-DAMPER-127-SPRING-BOX</t>
        </is>
      </c>
      <c r="B701" t="inlineStr">
        <is>
          <t>SW-DAMPER-127</t>
        </is>
      </c>
      <c r="C701" t="inlineStr">
        <is>
          <t>Hộp lò xo van chặn lửa FD/MFD</t>
        </is>
      </c>
      <c r="D701" t="inlineStr">
        <is>
          <t>PHỤ_KIỆN_VAN</t>
        </is>
      </c>
      <c r="E701" t="inlineStr">
        <is>
          <t>MAT-DAMPER-HOP-LO-XO</t>
        </is>
      </c>
      <c r="F701" t="inlineStr">
        <is>
          <t>Bộ</t>
        </is>
      </c>
      <c r="G701" s="394" t="n">
        <v>1</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Hộp lò xo cơ cấu đóng sập (1 bộ)</t>
        </is>
      </c>
    </row>
    <row r="702">
      <c r="A702" t="inlineStr">
        <is>
          <t>SW-DAMPER-127-SILICON-BOLT</t>
        </is>
      </c>
      <c r="B702" t="inlineStr">
        <is>
          <t>SW-DAMPER-127</t>
        </is>
      </c>
      <c r="C702" t="inlineStr">
        <is>
          <t>Silicon chống cháy + bu lông, ốc vít van FD/MFD</t>
        </is>
      </c>
      <c r="D702" t="inlineStr">
        <is>
          <t>PHỤ_KIỆN_VAN</t>
        </is>
      </c>
      <c r="E702" t="inlineStr">
        <is>
          <t>MAT-DAMPER-SILICON-BULONG-VIT</t>
        </is>
      </c>
      <c r="F702" t="inlineStr">
        <is>
          <t>Bộ</t>
        </is>
      </c>
      <c r="G702" s="394" t="n">
        <v>1</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Keo silicon chống cháy &amp; phụ kiện lắp ghép (1 bộ)</t>
        </is>
      </c>
    </row>
    <row r="703">
      <c r="A703" t="inlineStr">
        <is>
          <t>SW-DAMPER-128-BODY</t>
        </is>
      </c>
      <c r="B703" t="inlineStr">
        <is>
          <t>SW-DAMPER-128</t>
        </is>
      </c>
      <c r="C703" t="inlineStr">
        <is>
          <t>Thân vỏ van FD bích C30/TDF (1.15mm)</t>
        </is>
      </c>
      <c r="D703" t="inlineStr">
        <is>
          <t>TÔN_CUỘN_MẠ_KẼM</t>
        </is>
      </c>
      <c r="E703" t="inlineStr">
        <is>
          <t>MAT-STEEL-PN-1.15</t>
        </is>
      </c>
      <c r="F703" t="inlineStr">
        <is>
          <t>kg</t>
        </is>
      </c>
      <c r="G703" s="394" t="n">
        <v>2.917597725</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Kích thước vỏ 350x200x200mm</t>
        </is>
      </c>
    </row>
    <row r="704">
      <c r="A704" t="inlineStr">
        <is>
          <t>SW-DAMPER-128-BLADE</t>
        </is>
      </c>
      <c r="B704" t="inlineStr">
        <is>
          <t>SW-DAMPER-128</t>
        </is>
      </c>
      <c r="C704" t="inlineStr">
        <is>
          <t>Lá cánh / Tôn tấm bọc van (1 cánh)</t>
        </is>
      </c>
      <c r="D704" t="inlineStr">
        <is>
          <t>TÔN_CUỘN_MẠ_KẼM</t>
        </is>
      </c>
      <c r="E704" t="inlineStr">
        <is>
          <t>MAT-STEEL-PN-1.15</t>
        </is>
      </c>
      <c r="F704" t="inlineStr">
        <is>
          <t>kg</t>
        </is>
      </c>
      <c r="G704" s="394" t="n">
        <v>1.26385</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Tôn bọc cánh &amp; thân (1 cánh/modul)</t>
        </is>
      </c>
    </row>
    <row r="705">
      <c r="A705" t="inlineStr">
        <is>
          <t>SW-DAMPER-128-AXLE</t>
        </is>
      </c>
      <c r="B705" t="inlineStr">
        <is>
          <t>SW-DAMPER-128</t>
        </is>
      </c>
      <c r="C705" t="inlineStr">
        <is>
          <t>Trục Sus 201 D10</t>
        </is>
      </c>
      <c r="D705" t="inlineStr">
        <is>
          <t>PHỤ_KIỆN_VAN</t>
        </is>
      </c>
      <c r="E705" t="inlineStr">
        <is>
          <t>MAT-DAMPER-TRUC-SUS-201-D10</t>
        </is>
      </c>
      <c r="F705" t="inlineStr">
        <is>
          <t>m</t>
        </is>
      </c>
      <c r="G705" s="394" t="n">
        <v>0.41</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1 trục dài 410mm</t>
        </is>
      </c>
    </row>
    <row r="706">
      <c r="A706" t="inlineStr">
        <is>
          <t>SW-DAMPER-128-BEARING</t>
        </is>
      </c>
      <c r="B706" t="inlineStr">
        <is>
          <t>SW-DAMPER-128</t>
        </is>
      </c>
      <c r="C706" t="inlineStr">
        <is>
          <t>Bạc đồng D10</t>
        </is>
      </c>
      <c r="D706" t="inlineStr">
        <is>
          <t>PHỤ_KIỆN_VAN</t>
        </is>
      </c>
      <c r="E706" t="inlineStr">
        <is>
          <t>MAT-DAMPER-BAC-DONG-D10</t>
        </is>
      </c>
      <c r="F706" t="inlineStr">
        <is>
          <t>Đôi</t>
        </is>
      </c>
      <c r="G706" s="394" t="n">
        <v>1</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1 đôi bạc đỡ 2 bên thân</t>
        </is>
      </c>
    </row>
    <row r="707">
      <c r="A707" t="inlineStr">
        <is>
          <t>SW-DAMPER-128-FUSE</t>
        </is>
      </c>
      <c r="B707" t="inlineStr">
        <is>
          <t>SW-DAMPER-128</t>
        </is>
      </c>
      <c r="C707" t="inlineStr">
        <is>
          <t>Cầu chì nhiệt nóng chảy 70°C/74°C (Elsie/USA)</t>
        </is>
      </c>
      <c r="D707" t="inlineStr">
        <is>
          <t>PHỤ_KIỆN_VAN</t>
        </is>
      </c>
      <c r="E707" t="inlineStr">
        <is>
          <t>MAT-DAMPER-CAU-CHI-USA-1-400X400</t>
        </is>
      </c>
      <c r="F707" t="inlineStr">
        <is>
          <t>Cái</t>
        </is>
      </c>
      <c r="G707" s="394" t="n">
        <v>1</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Cầu chì kiểm định PCCC (1 cái)</t>
        </is>
      </c>
    </row>
    <row r="708">
      <c r="A708" t="inlineStr">
        <is>
          <t>SW-DAMPER-128-FUSE-HANDLE</t>
        </is>
      </c>
      <c r="B708" t="inlineStr">
        <is>
          <t>SW-DAMPER-128</t>
        </is>
      </c>
      <c r="C708" t="inlineStr">
        <is>
          <t>Tay gạt cầu chì van FD</t>
        </is>
      </c>
      <c r="D708" t="inlineStr">
        <is>
          <t>PHỤ_KIỆN_VAN</t>
        </is>
      </c>
      <c r="E708" t="inlineStr">
        <is>
          <t>MAT-DAMPER-TAY-GAT-CAU-CHI-1</t>
        </is>
      </c>
      <c r="F708" t="inlineStr">
        <is>
          <t>Bộ</t>
        </is>
      </c>
      <c r="G708" s="394" t="n">
        <v>1</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Cơ cấu tay gạt giữ cầu chì (1 bộ)</t>
        </is>
      </c>
    </row>
    <row r="709">
      <c r="A709" t="inlineStr">
        <is>
          <t>SW-DAMPER-128-FB10-BODY</t>
        </is>
      </c>
      <c r="B709" t="inlineStr">
        <is>
          <t>SW-DAMPER-128</t>
        </is>
      </c>
      <c r="C709" t="inlineStr">
        <is>
          <t>Tấm chống cháy dày 10mm bọc thân van FD/MFD (2 lớp)</t>
        </is>
      </c>
      <c r="D709" t="inlineStr">
        <is>
          <t>VẬT_LIỆU_CÁCH_NHIỆT</t>
        </is>
      </c>
      <c r="E709" t="inlineStr">
        <is>
          <t>MAT-FIREBOARD-10MM-BODY</t>
        </is>
      </c>
      <c r="F709" t="inlineStr">
        <is>
          <t>m2</t>
        </is>
      </c>
      <c r="G709" s="394" t="n">
        <v>0.66</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Bọc 2 lớp tấm 10mm quanh thân L=300mm</t>
        </is>
      </c>
    </row>
    <row r="710">
      <c r="A710" t="inlineStr">
        <is>
          <t>SW-DAMPER-128-FB20-BLADE</t>
        </is>
      </c>
      <c r="B710" t="inlineStr">
        <is>
          <t>SW-DAMPER-128</t>
        </is>
      </c>
      <c r="C710" t="inlineStr">
        <is>
          <t>Tấm chống cháy dày 20mm làm lõi cánh van FD/MFD</t>
        </is>
      </c>
      <c r="D710" t="inlineStr">
        <is>
          <t>VẬT_LIỆU_CÁCH_NHIỆT</t>
        </is>
      </c>
      <c r="E710" t="inlineStr">
        <is>
          <t>MAT-FIREBOARD-20MM-BLADE</t>
        </is>
      </c>
      <c r="F710" t="inlineStr">
        <is>
          <t>m2</t>
        </is>
      </c>
      <c r="G710" s="394" t="n">
        <v>0.06999999999999999</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Lõi cánh tấm 20mm (Cánh đơn 350x200mm)</t>
        </is>
      </c>
    </row>
    <row r="711">
      <c r="A711" t="inlineStr">
        <is>
          <t>SW-DAMPER-128-FB10-BLADE</t>
        </is>
      </c>
      <c r="B711" t="inlineStr">
        <is>
          <t>SW-DAMPER-128</t>
        </is>
      </c>
      <c r="C711" t="inlineStr">
        <is>
          <t>Tấm chống cháy dày 10mm ốp 2 mặt cánh van FD/MFD</t>
        </is>
      </c>
      <c r="D711" t="inlineStr">
        <is>
          <t>VẬT_LIỆU_CÁCH_NHIỆT</t>
        </is>
      </c>
      <c r="E711" t="inlineStr">
        <is>
          <t>MAT-FIREBOARD-10MM-BLADE</t>
        </is>
      </c>
      <c r="F711" t="inlineStr">
        <is>
          <t>m2</t>
        </is>
      </c>
      <c r="G711" s="394" t="n">
        <v>0.14</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Ốp 2 mặt cánh tấm 10mm (Cánh đơn 350x200mm)</t>
        </is>
      </c>
    </row>
    <row r="712">
      <c r="A712" t="inlineStr">
        <is>
          <t>SW-DAMPER-128-SPRING-BOX</t>
        </is>
      </c>
      <c r="B712" t="inlineStr">
        <is>
          <t>SW-DAMPER-128</t>
        </is>
      </c>
      <c r="C712" t="inlineStr">
        <is>
          <t>Hộp lò xo van chặn lửa FD/MFD</t>
        </is>
      </c>
      <c r="D712" t="inlineStr">
        <is>
          <t>PHỤ_KIỆN_VAN</t>
        </is>
      </c>
      <c r="E712" t="inlineStr">
        <is>
          <t>MAT-DAMPER-HOP-LO-XO</t>
        </is>
      </c>
      <c r="F712" t="inlineStr">
        <is>
          <t>Bộ</t>
        </is>
      </c>
      <c r="G712" s="394" t="n">
        <v>1</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Hộp lò xo cơ cấu đóng sập (1 bộ)</t>
        </is>
      </c>
    </row>
    <row r="713">
      <c r="A713" t="inlineStr">
        <is>
          <t>SW-DAMPER-128-SILICON-BOLT</t>
        </is>
      </c>
      <c r="B713" t="inlineStr">
        <is>
          <t>SW-DAMPER-128</t>
        </is>
      </c>
      <c r="C713" t="inlineStr">
        <is>
          <t>Silicon chống cháy + bu lông, ốc vít van FD/MFD</t>
        </is>
      </c>
      <c r="D713" t="inlineStr">
        <is>
          <t>PHỤ_KIỆN_VAN</t>
        </is>
      </c>
      <c r="E713" t="inlineStr">
        <is>
          <t>MAT-DAMPER-SILICON-BULONG-VIT</t>
        </is>
      </c>
      <c r="F713" t="inlineStr">
        <is>
          <t>Bộ</t>
        </is>
      </c>
      <c r="G713" s="394" t="n">
        <v>1</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Keo silicon chống cháy &amp; phụ kiện lắp ghép (1 bộ)</t>
        </is>
      </c>
    </row>
    <row r="714">
      <c r="A714" t="inlineStr">
        <is>
          <t>SW-DAMPER-129-BODY</t>
        </is>
      </c>
      <c r="B714" t="inlineStr">
        <is>
          <t>SW-DAMPER-129</t>
        </is>
      </c>
      <c r="C714" t="inlineStr">
        <is>
          <t>Thân vỏ van FD bích C30/TDF (1.15mm)</t>
        </is>
      </c>
      <c r="D714" t="inlineStr">
        <is>
          <t>TÔN_CUỘN_MẠ_KẼM</t>
        </is>
      </c>
      <c r="E714" t="inlineStr">
        <is>
          <t>MAT-STEEL-PN-1.15</t>
        </is>
      </c>
      <c r="F714" t="inlineStr">
        <is>
          <t>kg</t>
        </is>
      </c>
      <c r="G714" s="394" t="n">
        <v>3.429456975</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Kích thước vỏ 450x200x200mm</t>
        </is>
      </c>
    </row>
    <row r="715">
      <c r="A715" t="inlineStr">
        <is>
          <t>SW-DAMPER-129-BLADE</t>
        </is>
      </c>
      <c r="B715" t="inlineStr">
        <is>
          <t>SW-DAMPER-129</t>
        </is>
      </c>
      <c r="C715" t="inlineStr">
        <is>
          <t>Lá cánh / Tôn tấm bọc van (1 cánh)</t>
        </is>
      </c>
      <c r="D715" t="inlineStr">
        <is>
          <t>TÔN_CUỘN_MẠ_KẼM</t>
        </is>
      </c>
      <c r="E715" t="inlineStr">
        <is>
          <t>MAT-STEEL-PN-1.15</t>
        </is>
      </c>
      <c r="F715" t="inlineStr">
        <is>
          <t>kg</t>
        </is>
      </c>
      <c r="G715" s="394" t="n">
        <v>1.62495</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Tôn bọc cánh &amp; thân (1 cánh/modul)</t>
        </is>
      </c>
    </row>
    <row r="716">
      <c r="A716" t="inlineStr">
        <is>
          <t>SW-DAMPER-129-AXLE</t>
        </is>
      </c>
      <c r="B716" t="inlineStr">
        <is>
          <t>SW-DAMPER-129</t>
        </is>
      </c>
      <c r="C716" t="inlineStr">
        <is>
          <t>Trục Sus 201 D10</t>
        </is>
      </c>
      <c r="D716" t="inlineStr">
        <is>
          <t>PHỤ_KIỆN_VAN</t>
        </is>
      </c>
      <c r="E716" t="inlineStr">
        <is>
          <t>MAT-DAMPER-TRUC-SUS-201-D10</t>
        </is>
      </c>
      <c r="F716" t="inlineStr">
        <is>
          <t>m</t>
        </is>
      </c>
      <c r="G716" s="394" t="n">
        <v>0.51</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1 trục dài 510mm</t>
        </is>
      </c>
    </row>
    <row r="717">
      <c r="A717" t="inlineStr">
        <is>
          <t>SW-DAMPER-129-BEARING</t>
        </is>
      </c>
      <c r="B717" t="inlineStr">
        <is>
          <t>SW-DAMPER-129</t>
        </is>
      </c>
      <c r="C717" t="inlineStr">
        <is>
          <t>Bạc đồng D10</t>
        </is>
      </c>
      <c r="D717" t="inlineStr">
        <is>
          <t>PHỤ_KIỆN_VAN</t>
        </is>
      </c>
      <c r="E717" t="inlineStr">
        <is>
          <t>MAT-DAMPER-BAC-DONG-D10</t>
        </is>
      </c>
      <c r="F717" t="inlineStr">
        <is>
          <t>Đôi</t>
        </is>
      </c>
      <c r="G717" s="394" t="n">
        <v>1</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1 đôi bạc đỡ 2 bên thân</t>
        </is>
      </c>
    </row>
    <row r="718">
      <c r="A718" t="inlineStr">
        <is>
          <t>SW-DAMPER-129-FUSE</t>
        </is>
      </c>
      <c r="B718" t="inlineStr">
        <is>
          <t>SW-DAMPER-129</t>
        </is>
      </c>
      <c r="C718" t="inlineStr">
        <is>
          <t>Cầu chì nhiệt nóng chảy 70°C/74°C (Elsie/USA)</t>
        </is>
      </c>
      <c r="D718" t="inlineStr">
        <is>
          <t>PHỤ_KIỆN_VAN</t>
        </is>
      </c>
      <c r="E718" t="inlineStr">
        <is>
          <t>MAT-DAMPER-CAU-CHI-USA-2-400X400</t>
        </is>
      </c>
      <c r="F718" t="inlineStr">
        <is>
          <t>Cái</t>
        </is>
      </c>
      <c r="G718" s="394" t="n">
        <v>1</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Cầu chì kiểm định PCCC (1 cái)</t>
        </is>
      </c>
    </row>
    <row r="719">
      <c r="A719" t="inlineStr">
        <is>
          <t>SW-DAMPER-129-FUSE-HANDLE</t>
        </is>
      </c>
      <c r="B719" t="inlineStr">
        <is>
          <t>SW-DAMPER-129</t>
        </is>
      </c>
      <c r="C719" t="inlineStr">
        <is>
          <t>Tay gạt cầu chì van FD</t>
        </is>
      </c>
      <c r="D719" t="inlineStr">
        <is>
          <t>PHỤ_KIỆN_VAN</t>
        </is>
      </c>
      <c r="E719" t="inlineStr">
        <is>
          <t>MAT-DAMPER-TAY-GAT-CAU-CHI-1</t>
        </is>
      </c>
      <c r="F719" t="inlineStr">
        <is>
          <t>Bộ</t>
        </is>
      </c>
      <c r="G719" s="394" t="n">
        <v>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Cơ cấu tay gạt giữ cầu chì (1 bộ)</t>
        </is>
      </c>
    </row>
    <row r="720">
      <c r="A720" t="inlineStr">
        <is>
          <t>SW-DAMPER-129-FB10-BODY</t>
        </is>
      </c>
      <c r="B720" t="inlineStr">
        <is>
          <t>SW-DAMPER-129</t>
        </is>
      </c>
      <c r="C720" t="inlineStr">
        <is>
          <t>Tấm chống cháy dày 10mm bọc thân van FD/MFD (2 lớp)</t>
        </is>
      </c>
      <c r="D720" t="inlineStr">
        <is>
          <t>VẬT_LIỆU_CÁCH_NHIỆT</t>
        </is>
      </c>
      <c r="E720" t="inlineStr">
        <is>
          <t>MAT-FIREBOARD-10MM-BODY</t>
        </is>
      </c>
      <c r="F720" t="inlineStr">
        <is>
          <t>m2</t>
        </is>
      </c>
      <c r="G720" s="394" t="n">
        <v>0.78</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Bọc 2 lớp tấm 10mm quanh thân L=300mm</t>
        </is>
      </c>
    </row>
    <row r="721">
      <c r="A721" t="inlineStr">
        <is>
          <t>SW-DAMPER-129-FB20-BLADE</t>
        </is>
      </c>
      <c r="B721" t="inlineStr">
        <is>
          <t>SW-DAMPER-129</t>
        </is>
      </c>
      <c r="C721" t="inlineStr">
        <is>
          <t>Tấm chống cháy dày 20mm làm lõi cánh van FD/MFD</t>
        </is>
      </c>
      <c r="D721" t="inlineStr">
        <is>
          <t>VẬT_LIỆU_CÁCH_NHIỆT</t>
        </is>
      </c>
      <c r="E721" t="inlineStr">
        <is>
          <t>MAT-FIREBOARD-20MM-BLADE</t>
        </is>
      </c>
      <c r="F721" t="inlineStr">
        <is>
          <t>m2</t>
        </is>
      </c>
      <c r="G721" s="394" t="n">
        <v>0.09000000000000001</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Lõi cánh tấm 20mm (Cánh đơn 450x200mm)</t>
        </is>
      </c>
    </row>
    <row r="722">
      <c r="A722" t="inlineStr">
        <is>
          <t>SW-DAMPER-129-FB10-BLADE</t>
        </is>
      </c>
      <c r="B722" t="inlineStr">
        <is>
          <t>SW-DAMPER-129</t>
        </is>
      </c>
      <c r="C722" t="inlineStr">
        <is>
          <t>Tấm chống cháy dày 10mm ốp 2 mặt cánh van FD/MFD</t>
        </is>
      </c>
      <c r="D722" t="inlineStr">
        <is>
          <t>VẬT_LIỆU_CÁCH_NHIỆT</t>
        </is>
      </c>
      <c r="E722" t="inlineStr">
        <is>
          <t>MAT-FIREBOARD-10MM-BLADE</t>
        </is>
      </c>
      <c r="F722" t="inlineStr">
        <is>
          <t>m2</t>
        </is>
      </c>
      <c r="G722" s="394" t="n">
        <v>0.18</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Ốp 2 mặt cánh tấm 10mm (Cánh đơn 450x200mm)</t>
        </is>
      </c>
    </row>
    <row r="723">
      <c r="A723" t="inlineStr">
        <is>
          <t>SW-DAMPER-129-SPRING-BOX</t>
        </is>
      </c>
      <c r="B723" t="inlineStr">
        <is>
          <t>SW-DAMPER-129</t>
        </is>
      </c>
      <c r="C723" t="inlineStr">
        <is>
          <t>Hộp lò xo van chặn lửa FD/MFD</t>
        </is>
      </c>
      <c r="D723" t="inlineStr">
        <is>
          <t>PHỤ_KIỆN_VAN</t>
        </is>
      </c>
      <c r="E723" t="inlineStr">
        <is>
          <t>MAT-DAMPER-HOP-LO-XO</t>
        </is>
      </c>
      <c r="F723" t="inlineStr">
        <is>
          <t>Bộ</t>
        </is>
      </c>
      <c r="G723" s="394" t="n">
        <v>1</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Hộp lò xo cơ cấu đóng sập (1 bộ)</t>
        </is>
      </c>
    </row>
    <row r="724">
      <c r="A724" t="inlineStr">
        <is>
          <t>SW-DAMPER-129-SILICON-BOLT</t>
        </is>
      </c>
      <c r="B724" t="inlineStr">
        <is>
          <t>SW-DAMPER-129</t>
        </is>
      </c>
      <c r="C724" t="inlineStr">
        <is>
          <t>Silicon chống cháy + bu lông, ốc vít van FD/MFD</t>
        </is>
      </c>
      <c r="D724" t="inlineStr">
        <is>
          <t>PHỤ_KIỆN_VAN</t>
        </is>
      </c>
      <c r="E724" t="inlineStr">
        <is>
          <t>MAT-DAMPER-SILICON-BULONG-VIT</t>
        </is>
      </c>
      <c r="F724" t="inlineStr">
        <is>
          <t>Bộ</t>
        </is>
      </c>
      <c r="G724" s="394" t="n">
        <v>1</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Keo silicon chống cháy &amp; phụ kiện lắp ghép (1 bộ)</t>
        </is>
      </c>
    </row>
    <row r="725">
      <c r="A725" t="inlineStr">
        <is>
          <t>SW-DAMPER-130-BODY</t>
        </is>
      </c>
      <c r="B725" t="inlineStr">
        <is>
          <t>SW-DAMPER-130</t>
        </is>
      </c>
      <c r="C725" t="inlineStr">
        <is>
          <t>Thân vỏ van MD bích C30/TDF (0.75mm)</t>
        </is>
      </c>
      <c r="D725" t="inlineStr">
        <is>
          <t>TÔN_CUỘN_MẠ_KẼM</t>
        </is>
      </c>
      <c r="E725" t="inlineStr">
        <is>
          <t>MAT-STEEL-PN-0.75</t>
        </is>
      </c>
      <c r="F725" t="inlineStr">
        <is>
          <t>kg</t>
        </is>
      </c>
      <c r="G725" s="394" t="n">
        <v>1.6270695</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Kích thước vỏ 300x150x210mm</t>
        </is>
      </c>
    </row>
    <row r="726">
      <c r="A726" t="inlineStr">
        <is>
          <t>SW-DAMPER-130-BLADE</t>
        </is>
      </c>
      <c r="B726" t="inlineStr">
        <is>
          <t>SW-DAMPER-130</t>
        </is>
      </c>
      <c r="C726" t="inlineStr">
        <is>
          <t>Lá cánh / Tôn tấm bọc van (1 cánh)</t>
        </is>
      </c>
      <c r="D726" t="inlineStr">
        <is>
          <t>TÔN_CUỘN_MẠ_KẼM</t>
        </is>
      </c>
      <c r="E726" t="inlineStr">
        <is>
          <t>MAT-STEEL-PN-0.75</t>
        </is>
      </c>
      <c r="F726" t="inlineStr">
        <is>
          <t>kg</t>
        </is>
      </c>
      <c r="G726" s="394" t="n">
        <v>0.3242835</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1 cánh cao 170mm</t>
        </is>
      </c>
    </row>
    <row r="727">
      <c r="A727" t="inlineStr">
        <is>
          <t>SW-DAMPER-130-AXLE</t>
        </is>
      </c>
      <c r="B727" t="inlineStr">
        <is>
          <t>SW-DAMPER-130</t>
        </is>
      </c>
      <c r="C727" t="inlineStr">
        <is>
          <t>Trục Sus 201 D10</t>
        </is>
      </c>
      <c r="D727" t="inlineStr">
        <is>
          <t>PHỤ_KIỆN_VAN</t>
        </is>
      </c>
      <c r="E727" t="inlineStr">
        <is>
          <t>MAT-DAMPER-TRUC-SUS-201-D10</t>
        </is>
      </c>
      <c r="F727" t="inlineStr">
        <is>
          <t>m</t>
        </is>
      </c>
      <c r="G727" s="394" t="n">
        <v>0.36</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1 trục dài 360mm</t>
        </is>
      </c>
    </row>
    <row r="728">
      <c r="A728" t="inlineStr">
        <is>
          <t>SW-DAMPER-130-BEARING</t>
        </is>
      </c>
      <c r="B728" t="inlineStr">
        <is>
          <t>SW-DAMPER-130</t>
        </is>
      </c>
      <c r="C728" t="inlineStr">
        <is>
          <t>Bạc đồng D10</t>
        </is>
      </c>
      <c r="D728" t="inlineStr">
        <is>
          <t>PHỤ_KIỆN_VAN</t>
        </is>
      </c>
      <c r="E728" t="inlineStr">
        <is>
          <t>MAT-DAMPER-BAC-DONG-D10</t>
        </is>
      </c>
      <c r="F728" t="inlineStr">
        <is>
          <t>Đôi</t>
        </is>
      </c>
      <c r="G728" s="394" t="n">
        <v>1</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1 đôi bạc đỡ 2 bên thân</t>
        </is>
      </c>
    </row>
    <row r="729">
      <c r="A729" t="inlineStr">
        <is>
          <t>SW-DAMPER-130-ACTUATOR</t>
        </is>
      </c>
      <c r="B729" t="inlineStr">
        <is>
          <t>SW-DAMPER-130</t>
        </is>
      </c>
      <c r="C729" t="inlineStr">
        <is>
          <t>Model: NACA 2-05 (5Nm, 220VAC)</t>
        </is>
      </c>
      <c r="D729" t="inlineStr">
        <is>
          <t>ĐỘNG_CƠ_VÀ_CẢM_BIẾN</t>
        </is>
      </c>
      <c r="E729" t="inlineStr">
        <is>
          <t>MAT-ACTUATOR-NACA-2-05</t>
        </is>
      </c>
      <c r="F729" t="inlineStr">
        <is>
          <t>Cái</t>
        </is>
      </c>
      <c r="G729" s="394" t="n">
        <v>1</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Tiết diện 0.04m2/modul (1 bộ)</t>
        </is>
      </c>
    </row>
    <row r="730">
      <c r="A730" t="inlineStr">
        <is>
          <t>SW-DAMPER-131-BODY</t>
        </is>
      </c>
      <c r="B730" t="inlineStr">
        <is>
          <t>SW-DAMPER-131</t>
        </is>
      </c>
      <c r="C730" t="inlineStr">
        <is>
          <t>Thân vỏ van VCD bích C30/TDF (0.75mm)</t>
        </is>
      </c>
      <c r="D730" t="inlineStr">
        <is>
          <t>TÔN_CUỘN_MẠ_KẼM</t>
        </is>
      </c>
      <c r="E730" t="inlineStr">
        <is>
          <t>MAT-STEEL-PN-0.75</t>
        </is>
      </c>
      <c r="F730" t="inlineStr">
        <is>
          <t>kg</t>
        </is>
      </c>
      <c r="G730" s="394" t="n">
        <v>2.146347</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Kích thước vỏ 300x300x210mm</t>
        </is>
      </c>
    </row>
    <row r="731">
      <c r="A731" t="inlineStr">
        <is>
          <t>SW-DAMPER-131-BLADE</t>
        </is>
      </c>
      <c r="B731" t="inlineStr">
        <is>
          <t>SW-DAMPER-131</t>
        </is>
      </c>
      <c r="C731" t="inlineStr">
        <is>
          <t>Lá cánh / Tôn tấm bọc van (2 cánh)</t>
        </is>
      </c>
      <c r="D731" t="inlineStr">
        <is>
          <t>TÔN_CUỘN_MẠ_KẼM</t>
        </is>
      </c>
      <c r="E731" t="inlineStr">
        <is>
          <t>MAT-STEEL-PN-0.75</t>
        </is>
      </c>
      <c r="F731" t="inlineStr">
        <is>
          <t>kg</t>
        </is>
      </c>
      <c r="G731" s="394" t="n">
        <v>0.648567</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2 cánh cao 170mm</t>
        </is>
      </c>
    </row>
    <row r="732">
      <c r="A732" t="inlineStr">
        <is>
          <t>SW-DAMPER-131-AXLE</t>
        </is>
      </c>
      <c r="B732" t="inlineStr">
        <is>
          <t>SW-DAMPER-131</t>
        </is>
      </c>
      <c r="C732" t="inlineStr">
        <is>
          <t>Trục Sus 201 D10</t>
        </is>
      </c>
      <c r="D732" t="inlineStr">
        <is>
          <t>PHỤ_KIỆN_VAN</t>
        </is>
      </c>
      <c r="E732" t="inlineStr">
        <is>
          <t>MAT-DAMPER-TRUC-SUS-201-D10</t>
        </is>
      </c>
      <c r="F732" t="inlineStr">
        <is>
          <t>m</t>
        </is>
      </c>
      <c r="G732" s="394" t="n">
        <v>0.72</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2 trục dài 360mm</t>
        </is>
      </c>
    </row>
    <row r="733">
      <c r="A733" t="inlineStr">
        <is>
          <t>SW-DAMPER-131-BEARING</t>
        </is>
      </c>
      <c r="B733" t="inlineStr">
        <is>
          <t>SW-DAMPER-131</t>
        </is>
      </c>
      <c r="C733" t="inlineStr">
        <is>
          <t>Bạc đồng D10</t>
        </is>
      </c>
      <c r="D733" t="inlineStr">
        <is>
          <t>PHỤ_KIỆN_VAN</t>
        </is>
      </c>
      <c r="E733" t="inlineStr">
        <is>
          <t>MAT-DAMPER-BAC-DONG-D10</t>
        </is>
      </c>
      <c r="F733" t="inlineStr">
        <is>
          <t>Đôi</t>
        </is>
      </c>
      <c r="G733" s="394" t="n">
        <v>2</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2 đôi bạc đỡ 2 bên thân</t>
        </is>
      </c>
    </row>
    <row r="734">
      <c r="A734" t="inlineStr">
        <is>
          <t>SW-DAMPER-131-GEAR</t>
        </is>
      </c>
      <c r="B734" t="inlineStr">
        <is>
          <t>SW-DAMPER-131</t>
        </is>
      </c>
      <c r="C734" t="inlineStr">
        <is>
          <t>Bánh răng van nhôm</t>
        </is>
      </c>
      <c r="D734" t="inlineStr">
        <is>
          <t>PHỤ_KIỆN_VAN</t>
        </is>
      </c>
      <c r="E734" t="inlineStr">
        <is>
          <t>MAT-DAMPER-BANH-RANG-VAN-NHOM</t>
        </is>
      </c>
      <c r="F734" t="inlineStr">
        <is>
          <t>Bộ</t>
        </is>
      </c>
      <c r="G734" s="394" t="n">
        <v>1</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Cơ cấu liên động cánh (1 bộ)</t>
        </is>
      </c>
    </row>
    <row r="735">
      <c r="A735" t="inlineStr">
        <is>
          <t>SW-DAMPER-131-HANDLE</t>
        </is>
      </c>
      <c r="B735" t="inlineStr">
        <is>
          <t>SW-DAMPER-131</t>
        </is>
      </c>
      <c r="C735" t="inlineStr">
        <is>
          <t>Tay gạt nhỏ</t>
        </is>
      </c>
      <c r="D735" t="inlineStr">
        <is>
          <t>PHỤ_KIỆN_VAN</t>
        </is>
      </c>
      <c r="E735" t="inlineStr">
        <is>
          <t>MAT-DAMPER-TAY-GAT-NHO</t>
        </is>
      </c>
      <c r="F735" t="inlineStr">
        <is>
          <t>Bộ</t>
        </is>
      </c>
      <c r="G735" s="394" t="n">
        <v>1</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Tay gạt khóa vị trí nan (S=0.09m2)</t>
        </is>
      </c>
    </row>
    <row r="736">
      <c r="A736" t="inlineStr">
        <is>
          <t>SW-DAMPER-132-BODY</t>
        </is>
      </c>
      <c r="B736" t="inlineStr">
        <is>
          <t>SW-DAMPER-132</t>
        </is>
      </c>
      <c r="C736" t="inlineStr">
        <is>
          <t>Thân vỏ van VCD bích C30/TDF (0.75mm)</t>
        </is>
      </c>
      <c r="D736" t="inlineStr">
        <is>
          <t>TÔN_CUỘN_MẠ_KẼM</t>
        </is>
      </c>
      <c r="E736" t="inlineStr">
        <is>
          <t>MAT-STEEL-PN-0.75</t>
        </is>
      </c>
      <c r="F736" t="inlineStr">
        <is>
          <t>kg</t>
        </is>
      </c>
      <c r="G736" s="394" t="n">
        <v>6.715989</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Kích thước vỏ 1300x300x210mm (2 modul 650x300mm)</t>
        </is>
      </c>
    </row>
    <row r="737">
      <c r="A737" t="inlineStr">
        <is>
          <t>SW-DAMPER-132-BLADE</t>
        </is>
      </c>
      <c r="B737" t="inlineStr">
        <is>
          <t>SW-DAMPER-132</t>
        </is>
      </c>
      <c r="C737" t="inlineStr">
        <is>
          <t>Lá cánh / Tôn tấm bọc van (4 cánh)</t>
        </is>
      </c>
      <c r="D737" t="inlineStr">
        <is>
          <t>TÔN_CUỘN_MẠ_KẼM</t>
        </is>
      </c>
      <c r="E737" t="inlineStr">
        <is>
          <t>MAT-STEEL-PN-0.75</t>
        </is>
      </c>
      <c r="F737" t="inlineStr">
        <is>
          <t>kg</t>
        </is>
      </c>
      <c r="G737" s="394" t="n">
        <v>2.810457</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4 cánh cao 170mm (2 modul 650x300mm)</t>
        </is>
      </c>
    </row>
    <row r="738">
      <c r="A738" t="inlineStr">
        <is>
          <t>SW-DAMPER-132-AXLE</t>
        </is>
      </c>
      <c r="B738" t="inlineStr">
        <is>
          <t>SW-DAMPER-132</t>
        </is>
      </c>
      <c r="C738" t="inlineStr">
        <is>
          <t>Trục Sus 201 D10</t>
        </is>
      </c>
      <c r="D738" t="inlineStr">
        <is>
          <t>PHỤ_KIỆN_VAN</t>
        </is>
      </c>
      <c r="E738" t="inlineStr">
        <is>
          <t>MAT-DAMPER-TRUC-SUS-201-D10</t>
        </is>
      </c>
      <c r="F738" t="inlineStr">
        <is>
          <t>m</t>
        </is>
      </c>
      <c r="G738" s="394" t="n">
        <v>2.84</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4 trục dài 710mm</t>
        </is>
      </c>
    </row>
    <row r="739">
      <c r="A739" t="inlineStr">
        <is>
          <t>SW-DAMPER-132-BEARING</t>
        </is>
      </c>
      <c r="B739" t="inlineStr">
        <is>
          <t>SW-DAMPER-132</t>
        </is>
      </c>
      <c r="C739" t="inlineStr">
        <is>
          <t>Bạc đồng D10</t>
        </is>
      </c>
      <c r="D739" t="inlineStr">
        <is>
          <t>PHỤ_KIỆN_VAN</t>
        </is>
      </c>
      <c r="E739" t="inlineStr">
        <is>
          <t>MAT-DAMPER-BAC-DONG-D10</t>
        </is>
      </c>
      <c r="F739" t="inlineStr">
        <is>
          <t>Đôi</t>
        </is>
      </c>
      <c r="G739" s="394" t="n">
        <v>4</v>
      </c>
      <c r="H739" s="390">
        <f>IFERROR(INDEX('00_TONG_HOP_BAO_GIA'!$G$1:$G$5000, MATCH(B739, '00_TONG_HOP_BAO_GIA'!$B$1:$B$5000, 0)), 1)</f>
        <v/>
      </c>
      <c r="I739" s="395">
        <f>G739*H739</f>
        <v/>
      </c>
      <c r="J739" s="390">
        <f>IFERROR(INDEX('06_BANG_GIA_VAT_TU_AP_DUNG'!$E$1:$E$5000, MATCH(E739, '06_BANG_GIA_VAT_TU_AP_DUNG'!$B$1:$B$5000, 0)), 0)</f>
        <v/>
      </c>
      <c r="K739" s="390">
        <f>I739*J739</f>
        <v/>
      </c>
      <c r="L739" t="inlineStr">
        <is>
          <t>4 đôi bạc đỡ 2 bên thân</t>
        </is>
      </c>
    </row>
    <row r="740">
      <c r="A740" t="inlineStr">
        <is>
          <t>SW-DAMPER-132-GEAR</t>
        </is>
      </c>
      <c r="B740" t="inlineStr">
        <is>
          <t>SW-DAMPER-132</t>
        </is>
      </c>
      <c r="C740" t="inlineStr">
        <is>
          <t>Bánh răng van nhôm</t>
        </is>
      </c>
      <c r="D740" t="inlineStr">
        <is>
          <t>PHỤ_KIỆN_VAN</t>
        </is>
      </c>
      <c r="E740" t="inlineStr">
        <is>
          <t>MAT-DAMPER-BANH-RANG-VAN-NHOM</t>
        </is>
      </c>
      <c r="F740" t="inlineStr">
        <is>
          <t>Bộ</t>
        </is>
      </c>
      <c r="G740" s="394" t="n">
        <v>2</v>
      </c>
      <c r="H740" s="390">
        <f>IFERROR(INDEX('00_TONG_HOP_BAO_GIA'!$G$1:$G$5000, MATCH(B740, '00_TONG_HOP_BAO_GIA'!$B$1:$B$5000, 0)), 1)</f>
        <v/>
      </c>
      <c r="I740" s="395">
        <f>G740*H740</f>
        <v/>
      </c>
      <c r="J740" s="390">
        <f>IFERROR(INDEX('06_BANG_GIA_VAT_TU_AP_DUNG'!$E$1:$E$5000, MATCH(E740, '06_BANG_GIA_VAT_TU_AP_DUNG'!$B$1:$B$5000, 0)), 0)</f>
        <v/>
      </c>
      <c r="K740" s="390">
        <f>I740*J740</f>
        <v/>
      </c>
      <c r="L740" t="inlineStr">
        <is>
          <t>Cơ cấu liên động cánh (2 bộ)</t>
        </is>
      </c>
    </row>
    <row r="741">
      <c r="A741" t="inlineStr">
        <is>
          <t>SW-DAMPER-132-HANDLE</t>
        </is>
      </c>
      <c r="B741" t="inlineStr">
        <is>
          <t>SW-DAMPER-132</t>
        </is>
      </c>
      <c r="C741" t="inlineStr">
        <is>
          <t>Tay gạt nhỏ</t>
        </is>
      </c>
      <c r="D741" t="inlineStr">
        <is>
          <t>PHỤ_KIỆN_VAN</t>
        </is>
      </c>
      <c r="E741" t="inlineStr">
        <is>
          <t>MAT-DAMPER-TAY-GAT-NHO</t>
        </is>
      </c>
      <c r="F741" t="inlineStr">
        <is>
          <t>Bộ</t>
        </is>
      </c>
      <c r="G741" s="394" t="n">
        <v>2</v>
      </c>
      <c r="H741" s="390">
        <f>IFERROR(INDEX('00_TONG_HOP_BAO_GIA'!$G$1:$G$5000, MATCH(B741, '00_TONG_HOP_BAO_GIA'!$B$1:$B$5000, 0)), 1)</f>
        <v/>
      </c>
      <c r="I741" s="395">
        <f>G741*H741</f>
        <v/>
      </c>
      <c r="J741" s="390">
        <f>IFERROR(INDEX('06_BANG_GIA_VAT_TU_AP_DUNG'!$E$1:$E$5000, MATCH(E741, '06_BANG_GIA_VAT_TU_AP_DUNG'!$B$1:$B$5000, 0)), 0)</f>
        <v/>
      </c>
      <c r="K741" s="390">
        <f>I741*J741</f>
        <v/>
      </c>
      <c r="L741" t="inlineStr">
        <is>
          <t>Tay gạt khóa vị trí nan (S=0.20m2)</t>
        </is>
      </c>
    </row>
    <row r="742">
      <c r="A742" t="inlineStr">
        <is>
          <t>SW-DAMPER-133-BODY</t>
        </is>
      </c>
      <c r="B742" t="inlineStr">
        <is>
          <t>SW-DAMPER-133</t>
        </is>
      </c>
      <c r="C742" t="inlineStr">
        <is>
          <t>Thân vỏ van VCD bích C30/TDF (0.75mm)</t>
        </is>
      </c>
      <c r="D742" t="inlineStr">
        <is>
          <t>TÔN_CUỘN_MẠ_KẼM</t>
        </is>
      </c>
      <c r="E742" t="inlineStr">
        <is>
          <t>MAT-STEEL-PN-0.75</t>
        </is>
      </c>
      <c r="F742" t="inlineStr">
        <is>
          <t>kg</t>
        </is>
      </c>
      <c r="G742" s="394" t="n">
        <v>1.107792</v>
      </c>
      <c r="H742" s="390">
        <f>IFERROR(INDEX('00_TONG_HOP_BAO_GIA'!$G$1:$G$5000, MATCH(B742, '00_TONG_HOP_BAO_GIA'!$B$1:$B$5000, 0)), 1)</f>
        <v/>
      </c>
      <c r="I742" s="395">
        <f>G742*H742</f>
        <v/>
      </c>
      <c r="J742" s="390">
        <f>IFERROR(INDEX('06_BANG_GIA_VAT_TU_AP_DUNG'!$E$1:$E$5000, MATCH(E742, '06_BANG_GIA_VAT_TU_AP_DUNG'!$B$1:$B$5000, 0)), 0)</f>
        <v/>
      </c>
      <c r="K742" s="390">
        <f>I742*J742</f>
        <v/>
      </c>
      <c r="L742" t="inlineStr">
        <is>
          <t>Kích thước vỏ 150x150x210mm</t>
        </is>
      </c>
    </row>
    <row r="743">
      <c r="A743" t="inlineStr">
        <is>
          <t>SW-DAMPER-133-BLADE</t>
        </is>
      </c>
      <c r="B743" t="inlineStr">
        <is>
          <t>SW-DAMPER-133</t>
        </is>
      </c>
      <c r="C743" t="inlineStr">
        <is>
          <t>Lá cánh / Tôn tấm bọc van (1 cánh)</t>
        </is>
      </c>
      <c r="D743" t="inlineStr">
        <is>
          <t>TÔN_CUỘN_MẠ_KẼM</t>
        </is>
      </c>
      <c r="E743" t="inlineStr">
        <is>
          <t>MAT-STEEL-PN-0.75</t>
        </is>
      </c>
      <c r="F743" t="inlineStr">
        <is>
          <t>kg</t>
        </is>
      </c>
      <c r="G743" s="394" t="n">
        <v>0.16214175</v>
      </c>
      <c r="H743" s="390">
        <f>IFERROR(INDEX('00_TONG_HOP_BAO_GIA'!$G$1:$G$5000, MATCH(B743, '00_TONG_HOP_BAO_GIA'!$B$1:$B$5000, 0)), 1)</f>
        <v/>
      </c>
      <c r="I743" s="395">
        <f>G743*H743</f>
        <v/>
      </c>
      <c r="J743" s="390">
        <f>IFERROR(INDEX('06_BANG_GIA_VAT_TU_AP_DUNG'!$E$1:$E$5000, MATCH(E743, '06_BANG_GIA_VAT_TU_AP_DUNG'!$B$1:$B$5000, 0)), 0)</f>
        <v/>
      </c>
      <c r="K743" s="390">
        <f>I743*J743</f>
        <v/>
      </c>
      <c r="L743" t="inlineStr">
        <is>
          <t>1 cánh cao 170mm</t>
        </is>
      </c>
    </row>
    <row r="744">
      <c r="A744" t="inlineStr">
        <is>
          <t>SW-DAMPER-133-AXLE</t>
        </is>
      </c>
      <c r="B744" t="inlineStr">
        <is>
          <t>SW-DAMPER-133</t>
        </is>
      </c>
      <c r="C744" t="inlineStr">
        <is>
          <t>Trục Sus 201 D10</t>
        </is>
      </c>
      <c r="D744" t="inlineStr">
        <is>
          <t>PHỤ_KIỆN_VAN</t>
        </is>
      </c>
      <c r="E744" t="inlineStr">
        <is>
          <t>MAT-DAMPER-TRUC-SUS-201-D10</t>
        </is>
      </c>
      <c r="F744" t="inlineStr">
        <is>
          <t>m</t>
        </is>
      </c>
      <c r="G744" s="394" t="n">
        <v>0.21</v>
      </c>
      <c r="H744" s="390">
        <f>IFERROR(INDEX('00_TONG_HOP_BAO_GIA'!$G$1:$G$5000, MATCH(B744, '00_TONG_HOP_BAO_GIA'!$B$1:$B$5000, 0)), 1)</f>
        <v/>
      </c>
      <c r="I744" s="395">
        <f>G744*H744</f>
        <v/>
      </c>
      <c r="J744" s="390">
        <f>IFERROR(INDEX('06_BANG_GIA_VAT_TU_AP_DUNG'!$E$1:$E$5000, MATCH(E744, '06_BANG_GIA_VAT_TU_AP_DUNG'!$B$1:$B$5000, 0)), 0)</f>
        <v/>
      </c>
      <c r="K744" s="390">
        <f>I744*J744</f>
        <v/>
      </c>
      <c r="L744" t="inlineStr">
        <is>
          <t>1 trục dài 210mm</t>
        </is>
      </c>
    </row>
    <row r="745">
      <c r="A745" t="inlineStr">
        <is>
          <t>SW-DAMPER-133-BEARING</t>
        </is>
      </c>
      <c r="B745" t="inlineStr">
        <is>
          <t>SW-DAMPER-133</t>
        </is>
      </c>
      <c r="C745" t="inlineStr">
        <is>
          <t>Bạc đồng D10</t>
        </is>
      </c>
      <c r="D745" t="inlineStr">
        <is>
          <t>PHỤ_KIỆN_VAN</t>
        </is>
      </c>
      <c r="E745" t="inlineStr">
        <is>
          <t>MAT-DAMPER-BAC-DONG-D10</t>
        </is>
      </c>
      <c r="F745" t="inlineStr">
        <is>
          <t>Đôi</t>
        </is>
      </c>
      <c r="G745" s="394" t="n">
        <v>1</v>
      </c>
      <c r="H745" s="390">
        <f>IFERROR(INDEX('00_TONG_HOP_BAO_GIA'!$G$1:$G$5000, MATCH(B745, '00_TONG_HOP_BAO_GIA'!$B$1:$B$5000, 0)), 1)</f>
        <v/>
      </c>
      <c r="I745" s="395">
        <f>G745*H745</f>
        <v/>
      </c>
      <c r="J745" s="390">
        <f>IFERROR(INDEX('06_BANG_GIA_VAT_TU_AP_DUNG'!$E$1:$E$5000, MATCH(E745, '06_BANG_GIA_VAT_TU_AP_DUNG'!$B$1:$B$5000, 0)), 0)</f>
        <v/>
      </c>
      <c r="K745" s="390">
        <f>I745*J745</f>
        <v/>
      </c>
      <c r="L745" t="inlineStr">
        <is>
          <t>1 đôi bạc đỡ 2 bên thân</t>
        </is>
      </c>
    </row>
    <row r="746">
      <c r="A746" t="inlineStr">
        <is>
          <t>SW-DAMPER-133-HANDLE</t>
        </is>
      </c>
      <c r="B746" t="inlineStr">
        <is>
          <t>SW-DAMPER-133</t>
        </is>
      </c>
      <c r="C746" t="inlineStr">
        <is>
          <t>Tay gạt nhỏ</t>
        </is>
      </c>
      <c r="D746" t="inlineStr">
        <is>
          <t>PHỤ_KIỆN_VAN</t>
        </is>
      </c>
      <c r="E746" t="inlineStr">
        <is>
          <t>MAT-DAMPER-TAY-GAT-NHO</t>
        </is>
      </c>
      <c r="F746" t="inlineStr">
        <is>
          <t>Bộ</t>
        </is>
      </c>
      <c r="G746" s="394" t="n">
        <v>1</v>
      </c>
      <c r="H746" s="390">
        <f>IFERROR(INDEX('00_TONG_HOP_BAO_GIA'!$G$1:$G$5000, MATCH(B746, '00_TONG_HOP_BAO_GIA'!$B$1:$B$5000, 0)), 1)</f>
        <v/>
      </c>
      <c r="I746" s="395">
        <f>G746*H746</f>
        <v/>
      </c>
      <c r="J746" s="390">
        <f>IFERROR(INDEX('06_BANG_GIA_VAT_TU_AP_DUNG'!$E$1:$E$5000, MATCH(E746, '06_BANG_GIA_VAT_TU_AP_DUNG'!$B$1:$B$5000, 0)), 0)</f>
        <v/>
      </c>
      <c r="K746" s="390">
        <f>I746*J746</f>
        <v/>
      </c>
      <c r="L746" t="inlineStr">
        <is>
          <t>Tay gạt khóa vị trí nan (S=0.02m2)</t>
        </is>
      </c>
    </row>
    <row r="747">
      <c r="A747" t="inlineStr">
        <is>
          <t>SW-DAMPER-134-BODY</t>
        </is>
      </c>
      <c r="B747" t="inlineStr">
        <is>
          <t>SW-DAMPER-134</t>
        </is>
      </c>
      <c r="C747" t="inlineStr">
        <is>
          <t>Thân vỏ van VCD bích C30/TDF (0.75mm)</t>
        </is>
      </c>
      <c r="D747" t="inlineStr">
        <is>
          <t>TÔN_CUỘN_MẠ_KẼM</t>
        </is>
      </c>
      <c r="E747" t="inlineStr">
        <is>
          <t>MAT-STEEL-PN-0.75</t>
        </is>
      </c>
      <c r="F747" t="inlineStr">
        <is>
          <t>kg</t>
        </is>
      </c>
      <c r="G747" s="394" t="n">
        <v>1.107792</v>
      </c>
      <c r="H747" s="390">
        <f>IFERROR(INDEX('00_TONG_HOP_BAO_GIA'!$G$1:$G$5000, MATCH(B747, '00_TONG_HOP_BAO_GIA'!$B$1:$B$5000, 0)), 1)</f>
        <v/>
      </c>
      <c r="I747" s="395">
        <f>G747*H747</f>
        <v/>
      </c>
      <c r="J747" s="390">
        <f>IFERROR(INDEX('06_BANG_GIA_VAT_TU_AP_DUNG'!$E$1:$E$5000, MATCH(E747, '06_BANG_GIA_VAT_TU_AP_DUNG'!$B$1:$B$5000, 0)), 0)</f>
        <v/>
      </c>
      <c r="K747" s="390">
        <f>I747*J747</f>
        <v/>
      </c>
      <c r="L747" t="inlineStr">
        <is>
          <t>Kích thước vỏ 150x150x210mm</t>
        </is>
      </c>
    </row>
    <row r="748">
      <c r="A748" t="inlineStr">
        <is>
          <t>SW-DAMPER-134-BLADE</t>
        </is>
      </c>
      <c r="B748" t="inlineStr">
        <is>
          <t>SW-DAMPER-134</t>
        </is>
      </c>
      <c r="C748" t="inlineStr">
        <is>
          <t>Lá cánh / Tôn tấm bọc van (1 cánh)</t>
        </is>
      </c>
      <c r="D748" t="inlineStr">
        <is>
          <t>TÔN_CUỘN_MẠ_KẼM</t>
        </is>
      </c>
      <c r="E748" t="inlineStr">
        <is>
          <t>MAT-STEEL-PN-0.75</t>
        </is>
      </c>
      <c r="F748" t="inlineStr">
        <is>
          <t>kg</t>
        </is>
      </c>
      <c r="G748" s="394" t="n">
        <v>0.16214175</v>
      </c>
      <c r="H748" s="390">
        <f>IFERROR(INDEX('00_TONG_HOP_BAO_GIA'!$G$1:$G$5000, MATCH(B748, '00_TONG_HOP_BAO_GIA'!$B$1:$B$5000, 0)), 1)</f>
        <v/>
      </c>
      <c r="I748" s="395">
        <f>G748*H748</f>
        <v/>
      </c>
      <c r="J748" s="390">
        <f>IFERROR(INDEX('06_BANG_GIA_VAT_TU_AP_DUNG'!$E$1:$E$5000, MATCH(E748, '06_BANG_GIA_VAT_TU_AP_DUNG'!$B$1:$B$5000, 0)), 0)</f>
        <v/>
      </c>
      <c r="K748" s="390">
        <f>I748*J748</f>
        <v/>
      </c>
      <c r="L748" t="inlineStr">
        <is>
          <t>1 cánh cao 170mm</t>
        </is>
      </c>
    </row>
    <row r="749">
      <c r="A749" t="inlineStr">
        <is>
          <t>SW-DAMPER-134-AXLE</t>
        </is>
      </c>
      <c r="B749" t="inlineStr">
        <is>
          <t>SW-DAMPER-134</t>
        </is>
      </c>
      <c r="C749" t="inlineStr">
        <is>
          <t>Trục Sus 201 D10</t>
        </is>
      </c>
      <c r="D749" t="inlineStr">
        <is>
          <t>PHỤ_KIỆN_VAN</t>
        </is>
      </c>
      <c r="E749" t="inlineStr">
        <is>
          <t>MAT-DAMPER-TRUC-SUS-201-D10</t>
        </is>
      </c>
      <c r="F749" t="inlineStr">
        <is>
          <t>m</t>
        </is>
      </c>
      <c r="G749" s="394" t="n">
        <v>0.21</v>
      </c>
      <c r="H749" s="390">
        <f>IFERROR(INDEX('00_TONG_HOP_BAO_GIA'!$G$1:$G$5000, MATCH(B749, '00_TONG_HOP_BAO_GIA'!$B$1:$B$5000, 0)), 1)</f>
        <v/>
      </c>
      <c r="I749" s="395">
        <f>G749*H749</f>
        <v/>
      </c>
      <c r="J749" s="390">
        <f>IFERROR(INDEX('06_BANG_GIA_VAT_TU_AP_DUNG'!$E$1:$E$5000, MATCH(E749, '06_BANG_GIA_VAT_TU_AP_DUNG'!$B$1:$B$5000, 0)), 0)</f>
        <v/>
      </c>
      <c r="K749" s="390">
        <f>I749*J749</f>
        <v/>
      </c>
      <c r="L749" t="inlineStr">
        <is>
          <t>1 trục dài 210mm</t>
        </is>
      </c>
    </row>
    <row r="750">
      <c r="A750" t="inlineStr">
        <is>
          <t>SW-DAMPER-134-BEARING</t>
        </is>
      </c>
      <c r="B750" t="inlineStr">
        <is>
          <t>SW-DAMPER-134</t>
        </is>
      </c>
      <c r="C750" t="inlineStr">
        <is>
          <t>Bạc đồng D10</t>
        </is>
      </c>
      <c r="D750" t="inlineStr">
        <is>
          <t>PHỤ_KIỆN_VAN</t>
        </is>
      </c>
      <c r="E750" t="inlineStr">
        <is>
          <t>MAT-DAMPER-BAC-DONG-D10</t>
        </is>
      </c>
      <c r="F750" t="inlineStr">
        <is>
          <t>Đôi</t>
        </is>
      </c>
      <c r="G750" s="394" t="n">
        <v>1</v>
      </c>
      <c r="H750" s="390">
        <f>IFERROR(INDEX('00_TONG_HOP_BAO_GIA'!$G$1:$G$5000, MATCH(B750, '00_TONG_HOP_BAO_GIA'!$B$1:$B$5000, 0)), 1)</f>
        <v/>
      </c>
      <c r="I750" s="395">
        <f>G750*H750</f>
        <v/>
      </c>
      <c r="J750" s="390">
        <f>IFERROR(INDEX('06_BANG_GIA_VAT_TU_AP_DUNG'!$E$1:$E$5000, MATCH(E750, '06_BANG_GIA_VAT_TU_AP_DUNG'!$B$1:$B$5000, 0)), 0)</f>
        <v/>
      </c>
      <c r="K750" s="390">
        <f>I750*J750</f>
        <v/>
      </c>
      <c r="L750" t="inlineStr">
        <is>
          <t>1 đôi bạc đỡ 2 bên thân</t>
        </is>
      </c>
    </row>
    <row r="751">
      <c r="A751" t="inlineStr">
        <is>
          <t>SW-DAMPER-134-HANDLE</t>
        </is>
      </c>
      <c r="B751" t="inlineStr">
        <is>
          <t>SW-DAMPER-134</t>
        </is>
      </c>
      <c r="C751" t="inlineStr">
        <is>
          <t>Tay gạt nhỏ</t>
        </is>
      </c>
      <c r="D751" t="inlineStr">
        <is>
          <t>PHỤ_KIỆN_VAN</t>
        </is>
      </c>
      <c r="E751" t="inlineStr">
        <is>
          <t>MAT-DAMPER-TAY-GAT-NHO</t>
        </is>
      </c>
      <c r="F751" t="inlineStr">
        <is>
          <t>Bộ</t>
        </is>
      </c>
      <c r="G751" s="394" t="n">
        <v>1</v>
      </c>
      <c r="H751" s="390">
        <f>IFERROR(INDEX('00_TONG_HOP_BAO_GIA'!$G$1:$G$5000, MATCH(B751, '00_TONG_HOP_BAO_GIA'!$B$1:$B$5000, 0)), 1)</f>
        <v/>
      </c>
      <c r="I751" s="395">
        <f>G751*H751</f>
        <v/>
      </c>
      <c r="J751" s="390">
        <f>IFERROR(INDEX('06_BANG_GIA_VAT_TU_AP_DUNG'!$E$1:$E$5000, MATCH(E751, '06_BANG_GIA_VAT_TU_AP_DUNG'!$B$1:$B$5000, 0)), 0)</f>
        <v/>
      </c>
      <c r="K751" s="390">
        <f>I751*J751</f>
        <v/>
      </c>
      <c r="L751" t="inlineStr">
        <is>
          <t>Tay gạt khóa vị trí nan (S=0.02m2)</t>
        </is>
      </c>
    </row>
    <row r="752">
      <c r="A752" t="inlineStr">
        <is>
          <t>SW-DAMPER-135-BODY</t>
        </is>
      </c>
      <c r="B752" t="inlineStr">
        <is>
          <t>SW-DAMPER-135</t>
        </is>
      </c>
      <c r="C752" t="inlineStr">
        <is>
          <t>Thân vỏ van VCD bích C30/TDF (0.75mm)</t>
        </is>
      </c>
      <c r="D752" t="inlineStr">
        <is>
          <t>TÔN_CUỘN_MẠ_KẼM</t>
        </is>
      </c>
      <c r="E752" t="inlineStr">
        <is>
          <t>MAT-STEEL-PN-0.75</t>
        </is>
      </c>
      <c r="F752" t="inlineStr">
        <is>
          <t>kg</t>
        </is>
      </c>
      <c r="G752" s="394" t="n">
        <v>1.453977</v>
      </c>
      <c r="H752" s="390">
        <f>IFERROR(INDEX('00_TONG_HOP_BAO_GIA'!$G$1:$G$5000, MATCH(B752, '00_TONG_HOP_BAO_GIA'!$B$1:$B$5000, 0)), 1)</f>
        <v/>
      </c>
      <c r="I752" s="395">
        <f>G752*H752</f>
        <v/>
      </c>
      <c r="J752" s="390">
        <f>IFERROR(INDEX('06_BANG_GIA_VAT_TU_AP_DUNG'!$E$1:$E$5000, MATCH(E752, '06_BANG_GIA_VAT_TU_AP_DUNG'!$B$1:$B$5000, 0)), 0)</f>
        <v/>
      </c>
      <c r="K752" s="390">
        <f>I752*J752</f>
        <v/>
      </c>
      <c r="L752" t="inlineStr">
        <is>
          <t>Kích thước vỏ 200x200x210mm</t>
        </is>
      </c>
    </row>
    <row r="753">
      <c r="A753" t="inlineStr">
        <is>
          <t>SW-DAMPER-135-BLADE</t>
        </is>
      </c>
      <c r="B753" t="inlineStr">
        <is>
          <t>SW-DAMPER-135</t>
        </is>
      </c>
      <c r="C753" t="inlineStr">
        <is>
          <t>Lá cánh / Tôn tấm bọc van (2 cánh)</t>
        </is>
      </c>
      <c r="D753" t="inlineStr">
        <is>
          <t>TÔN_CUỘN_MẠ_KẼM</t>
        </is>
      </c>
      <c r="E753" t="inlineStr">
        <is>
          <t>MAT-STEEL-PN-0.75</t>
        </is>
      </c>
      <c r="F753" t="inlineStr">
        <is>
          <t>kg</t>
        </is>
      </c>
      <c r="G753" s="394" t="n">
        <v>0.305208</v>
      </c>
      <c r="H753" s="390">
        <f>IFERROR(INDEX('00_TONG_HOP_BAO_GIA'!$G$1:$G$5000, MATCH(B753, '00_TONG_HOP_BAO_GIA'!$B$1:$B$5000, 0)), 1)</f>
        <v/>
      </c>
      <c r="I753" s="395">
        <f>G753*H753</f>
        <v/>
      </c>
      <c r="J753" s="390">
        <f>IFERROR(INDEX('06_BANG_GIA_VAT_TU_AP_DUNG'!$E$1:$E$5000, MATCH(E753, '06_BANG_GIA_VAT_TU_AP_DUNG'!$B$1:$B$5000, 0)), 0)</f>
        <v/>
      </c>
      <c r="K753" s="390">
        <f>I753*J753</f>
        <v/>
      </c>
      <c r="L753" t="inlineStr">
        <is>
          <t>2 cánh cao 120mm</t>
        </is>
      </c>
    </row>
    <row r="754">
      <c r="A754" t="inlineStr">
        <is>
          <t>SW-DAMPER-135-AXLE</t>
        </is>
      </c>
      <c r="B754" t="inlineStr">
        <is>
          <t>SW-DAMPER-135</t>
        </is>
      </c>
      <c r="C754" t="inlineStr">
        <is>
          <t>Trục Sus 201 D10</t>
        </is>
      </c>
      <c r="D754" t="inlineStr">
        <is>
          <t>PHỤ_KIỆN_VAN</t>
        </is>
      </c>
      <c r="E754" t="inlineStr">
        <is>
          <t>MAT-DAMPER-TRUC-SUS-201-D10</t>
        </is>
      </c>
      <c r="F754" t="inlineStr">
        <is>
          <t>m</t>
        </is>
      </c>
      <c r="G754" s="394" t="n">
        <v>0.52</v>
      </c>
      <c r="H754" s="390">
        <f>IFERROR(INDEX('00_TONG_HOP_BAO_GIA'!$G$1:$G$5000, MATCH(B754, '00_TONG_HOP_BAO_GIA'!$B$1:$B$5000, 0)), 1)</f>
        <v/>
      </c>
      <c r="I754" s="395">
        <f>G754*H754</f>
        <v/>
      </c>
      <c r="J754" s="390">
        <f>IFERROR(INDEX('06_BANG_GIA_VAT_TU_AP_DUNG'!$E$1:$E$5000, MATCH(E754, '06_BANG_GIA_VAT_TU_AP_DUNG'!$B$1:$B$5000, 0)), 0)</f>
        <v/>
      </c>
      <c r="K754" s="390">
        <f>I754*J754</f>
        <v/>
      </c>
      <c r="L754" t="inlineStr">
        <is>
          <t>2 trục dài 260mm</t>
        </is>
      </c>
    </row>
    <row r="755">
      <c r="A755" t="inlineStr">
        <is>
          <t>SW-DAMPER-135-BEARING</t>
        </is>
      </c>
      <c r="B755" t="inlineStr">
        <is>
          <t>SW-DAMPER-135</t>
        </is>
      </c>
      <c r="C755" t="inlineStr">
        <is>
          <t>Bạc đồng D10</t>
        </is>
      </c>
      <c r="D755" t="inlineStr">
        <is>
          <t>PHỤ_KIỆN_VAN</t>
        </is>
      </c>
      <c r="E755" t="inlineStr">
        <is>
          <t>MAT-DAMPER-BAC-DONG-D10</t>
        </is>
      </c>
      <c r="F755" t="inlineStr">
        <is>
          <t>Đôi</t>
        </is>
      </c>
      <c r="G755" s="394" t="n">
        <v>2</v>
      </c>
      <c r="H755" s="390">
        <f>IFERROR(INDEX('00_TONG_HOP_BAO_GIA'!$G$1:$G$5000, MATCH(B755, '00_TONG_HOP_BAO_GIA'!$B$1:$B$5000, 0)), 1)</f>
        <v/>
      </c>
      <c r="I755" s="395">
        <f>G755*H755</f>
        <v/>
      </c>
      <c r="J755" s="390">
        <f>IFERROR(INDEX('06_BANG_GIA_VAT_TU_AP_DUNG'!$E$1:$E$5000, MATCH(E755, '06_BANG_GIA_VAT_TU_AP_DUNG'!$B$1:$B$5000, 0)), 0)</f>
        <v/>
      </c>
      <c r="K755" s="390">
        <f>I755*J755</f>
        <v/>
      </c>
      <c r="L755" t="inlineStr">
        <is>
          <t>2 đôi bạc đỡ 2 bên thân</t>
        </is>
      </c>
    </row>
    <row r="756">
      <c r="A756" t="inlineStr">
        <is>
          <t>SW-DAMPER-135-GEAR</t>
        </is>
      </c>
      <c r="B756" t="inlineStr">
        <is>
          <t>SW-DAMPER-135</t>
        </is>
      </c>
      <c r="C756" t="inlineStr">
        <is>
          <t>Bánh răng van nhôm</t>
        </is>
      </c>
      <c r="D756" t="inlineStr">
        <is>
          <t>PHỤ_KIỆN_VAN</t>
        </is>
      </c>
      <c r="E756" t="inlineStr">
        <is>
          <t>MAT-DAMPER-BANH-RANG-VAN-NHOM</t>
        </is>
      </c>
      <c r="F756" t="inlineStr">
        <is>
          <t>Bộ</t>
        </is>
      </c>
      <c r="G756" s="394" t="n">
        <v>1</v>
      </c>
      <c r="H756" s="390">
        <f>IFERROR(INDEX('00_TONG_HOP_BAO_GIA'!$G$1:$G$5000, MATCH(B756, '00_TONG_HOP_BAO_GIA'!$B$1:$B$5000, 0)), 1)</f>
        <v/>
      </c>
      <c r="I756" s="395">
        <f>G756*H756</f>
        <v/>
      </c>
      <c r="J756" s="390">
        <f>IFERROR(INDEX('06_BANG_GIA_VAT_TU_AP_DUNG'!$E$1:$E$5000, MATCH(E756, '06_BANG_GIA_VAT_TU_AP_DUNG'!$B$1:$B$5000, 0)), 0)</f>
        <v/>
      </c>
      <c r="K756" s="390">
        <f>I756*J756</f>
        <v/>
      </c>
      <c r="L756" t="inlineStr">
        <is>
          <t>Cơ cấu liên động cánh (1 bộ)</t>
        </is>
      </c>
    </row>
    <row r="757">
      <c r="A757" t="inlineStr">
        <is>
          <t>SW-DAMPER-135-HANDLE</t>
        </is>
      </c>
      <c r="B757" t="inlineStr">
        <is>
          <t>SW-DAMPER-135</t>
        </is>
      </c>
      <c r="C757" t="inlineStr">
        <is>
          <t>Tay gạt nhỏ</t>
        </is>
      </c>
      <c r="D757" t="inlineStr">
        <is>
          <t>PHỤ_KIỆN_VAN</t>
        </is>
      </c>
      <c r="E757" t="inlineStr">
        <is>
          <t>MAT-DAMPER-TAY-GAT-NHO</t>
        </is>
      </c>
      <c r="F757" t="inlineStr">
        <is>
          <t>Bộ</t>
        </is>
      </c>
      <c r="G757" s="394" t="n">
        <v>1</v>
      </c>
      <c r="H757" s="390">
        <f>IFERROR(INDEX('00_TONG_HOP_BAO_GIA'!$G$1:$G$5000, MATCH(B757, '00_TONG_HOP_BAO_GIA'!$B$1:$B$5000, 0)), 1)</f>
        <v/>
      </c>
      <c r="I757" s="395">
        <f>G757*H757</f>
        <v/>
      </c>
      <c r="J757" s="390">
        <f>IFERROR(INDEX('06_BANG_GIA_VAT_TU_AP_DUNG'!$E$1:$E$5000, MATCH(E757, '06_BANG_GIA_VAT_TU_AP_DUNG'!$B$1:$B$5000, 0)), 0)</f>
        <v/>
      </c>
      <c r="K757" s="390">
        <f>I757*J757</f>
        <v/>
      </c>
      <c r="L757" t="inlineStr">
        <is>
          <t>Tay gạt khóa vị trí nan (S=0.04m2)</t>
        </is>
      </c>
    </row>
    <row r="758">
      <c r="A758" t="inlineStr">
        <is>
          <t>SW-DAMPER-167-BODY</t>
        </is>
      </c>
      <c r="B758" t="inlineStr">
        <is>
          <t>SW-DAMPER-167</t>
        </is>
      </c>
      <c r="C758" t="inlineStr">
        <is>
          <t>Thân vỏ van FD bích C30/TDF (1.15mm)</t>
        </is>
      </c>
      <c r="D758" t="inlineStr">
        <is>
          <t>TÔN_CUỘN_MẠ_KẼM</t>
        </is>
      </c>
      <c r="E758" t="inlineStr">
        <is>
          <t>MAT-STEEL-PN-1.15</t>
        </is>
      </c>
      <c r="F758" t="inlineStr">
        <is>
          <t>kg</t>
        </is>
      </c>
      <c r="G758" s="394" t="n">
        <v>1.6379496</v>
      </c>
      <c r="H758" s="390">
        <f>IFERROR(INDEX('00_TONG_HOP_BAO_GIA'!$G$1:$G$5000, MATCH(B758, '00_TONG_HOP_BAO_GIA'!$B$1:$B$5000, 0)), 1)</f>
        <v/>
      </c>
      <c r="I758" s="395">
        <f>G758*H758</f>
        <v/>
      </c>
      <c r="J758" s="390">
        <f>IFERROR(INDEX('06_BANG_GIA_VAT_TU_AP_DUNG'!$E$1:$E$5000, MATCH(E758, '06_BANG_GIA_VAT_TU_AP_DUNG'!$B$1:$B$5000, 0)), 0)</f>
        <v/>
      </c>
      <c r="K758" s="390">
        <f>I758*J758</f>
        <v/>
      </c>
      <c r="L758" t="inlineStr">
        <is>
          <t>Kích thước vỏ 150x150x200mm</t>
        </is>
      </c>
    </row>
    <row r="759">
      <c r="A759" t="inlineStr">
        <is>
          <t>SW-DAMPER-167-BLADE</t>
        </is>
      </c>
      <c r="B759" t="inlineStr">
        <is>
          <t>SW-DAMPER-167</t>
        </is>
      </c>
      <c r="C759" t="inlineStr">
        <is>
          <t>Lá cánh / Tôn tấm bọc van (1 cánh)</t>
        </is>
      </c>
      <c r="D759" t="inlineStr">
        <is>
          <t>TÔN_CUỘN_MẠ_KẼM</t>
        </is>
      </c>
      <c r="E759" t="inlineStr">
        <is>
          <t>MAT-STEEL-PN-1.15</t>
        </is>
      </c>
      <c r="F759" t="inlineStr">
        <is>
          <t>kg</t>
        </is>
      </c>
      <c r="G759" s="394" t="n">
        <v>0.4062374999999999</v>
      </c>
      <c r="H759" s="390">
        <f>IFERROR(INDEX('00_TONG_HOP_BAO_GIA'!$G$1:$G$5000, MATCH(B759, '00_TONG_HOP_BAO_GIA'!$B$1:$B$5000, 0)), 1)</f>
        <v/>
      </c>
      <c r="I759" s="395">
        <f>G759*H759</f>
        <v/>
      </c>
      <c r="J759" s="390">
        <f>IFERROR(INDEX('06_BANG_GIA_VAT_TU_AP_DUNG'!$E$1:$E$5000, MATCH(E759, '06_BANG_GIA_VAT_TU_AP_DUNG'!$B$1:$B$5000, 0)), 0)</f>
        <v/>
      </c>
      <c r="K759" s="390">
        <f>I759*J759</f>
        <v/>
      </c>
      <c r="L759" t="inlineStr">
        <is>
          <t>Tôn bọc cánh &amp; thân (1 cánh/modul)</t>
        </is>
      </c>
    </row>
    <row r="760">
      <c r="A760" t="inlineStr">
        <is>
          <t>SW-DAMPER-167-AXLE</t>
        </is>
      </c>
      <c r="B760" t="inlineStr">
        <is>
          <t>SW-DAMPER-167</t>
        </is>
      </c>
      <c r="C760" t="inlineStr">
        <is>
          <t>Trục Sus 201 D10</t>
        </is>
      </c>
      <c r="D760" t="inlineStr">
        <is>
          <t>PHỤ_KIỆN_VAN</t>
        </is>
      </c>
      <c r="E760" t="inlineStr">
        <is>
          <t>MAT-DAMPER-TRUC-SUS-201-D10</t>
        </is>
      </c>
      <c r="F760" t="inlineStr">
        <is>
          <t>m</t>
        </is>
      </c>
      <c r="G760" s="394" t="n">
        <v>0.21</v>
      </c>
      <c r="H760" s="390">
        <f>IFERROR(INDEX('00_TONG_HOP_BAO_GIA'!$G$1:$G$5000, MATCH(B760, '00_TONG_HOP_BAO_GIA'!$B$1:$B$5000, 0)), 1)</f>
        <v/>
      </c>
      <c r="I760" s="395">
        <f>G760*H760</f>
        <v/>
      </c>
      <c r="J760" s="390">
        <f>IFERROR(INDEX('06_BANG_GIA_VAT_TU_AP_DUNG'!$E$1:$E$5000, MATCH(E760, '06_BANG_GIA_VAT_TU_AP_DUNG'!$B$1:$B$5000, 0)), 0)</f>
        <v/>
      </c>
      <c r="K760" s="390">
        <f>I760*J760</f>
        <v/>
      </c>
      <c r="L760" t="inlineStr">
        <is>
          <t>1 trục dài 210mm</t>
        </is>
      </c>
    </row>
    <row r="761">
      <c r="A761" t="inlineStr">
        <is>
          <t>SW-DAMPER-167-BEARING</t>
        </is>
      </c>
      <c r="B761" t="inlineStr">
        <is>
          <t>SW-DAMPER-167</t>
        </is>
      </c>
      <c r="C761" t="inlineStr">
        <is>
          <t>Bạc đồng D10</t>
        </is>
      </c>
      <c r="D761" t="inlineStr">
        <is>
          <t>PHỤ_KIỆN_VAN</t>
        </is>
      </c>
      <c r="E761" t="inlineStr">
        <is>
          <t>MAT-DAMPER-BAC-DONG-D10</t>
        </is>
      </c>
      <c r="F761" t="inlineStr">
        <is>
          <t>Đôi</t>
        </is>
      </c>
      <c r="G761" s="394" t="n">
        <v>1</v>
      </c>
      <c r="H761" s="390">
        <f>IFERROR(INDEX('00_TONG_HOP_BAO_GIA'!$G$1:$G$5000, MATCH(B761, '00_TONG_HOP_BAO_GIA'!$B$1:$B$5000, 0)), 1)</f>
        <v/>
      </c>
      <c r="I761" s="395">
        <f>G761*H761</f>
        <v/>
      </c>
      <c r="J761" s="390">
        <f>IFERROR(INDEX('06_BANG_GIA_VAT_TU_AP_DUNG'!$E$1:$E$5000, MATCH(E761, '06_BANG_GIA_VAT_TU_AP_DUNG'!$B$1:$B$5000, 0)), 0)</f>
        <v/>
      </c>
      <c r="K761" s="390">
        <f>I761*J761</f>
        <v/>
      </c>
      <c r="L761" t="inlineStr">
        <is>
          <t>1 đôi bạc đỡ 2 bên thân</t>
        </is>
      </c>
    </row>
    <row r="762">
      <c r="A762" t="inlineStr">
        <is>
          <t>SW-DAMPER-167-FUSE</t>
        </is>
      </c>
      <c r="B762" t="inlineStr">
        <is>
          <t>SW-DAMPER-167</t>
        </is>
      </c>
      <c r="C762" t="inlineStr">
        <is>
          <t>Cầu chì nhiệt nóng chảy 70°C/74°C (Elsie/USA)</t>
        </is>
      </c>
      <c r="D762" t="inlineStr">
        <is>
          <t>PHỤ_KIỆN_VAN</t>
        </is>
      </c>
      <c r="E762" t="inlineStr">
        <is>
          <t>MAT-DAMPER-CAU-CHI-USA-1-400X400</t>
        </is>
      </c>
      <c r="F762" t="inlineStr">
        <is>
          <t>Cái</t>
        </is>
      </c>
      <c r="G762" s="394" t="n">
        <v>1</v>
      </c>
      <c r="H762" s="390">
        <f>IFERROR(INDEX('00_TONG_HOP_BAO_GIA'!$G$1:$G$5000, MATCH(B762, '00_TONG_HOP_BAO_GIA'!$B$1:$B$5000, 0)), 1)</f>
        <v/>
      </c>
      <c r="I762" s="395">
        <f>G762*H762</f>
        <v/>
      </c>
      <c r="J762" s="390">
        <f>IFERROR(INDEX('06_BANG_GIA_VAT_TU_AP_DUNG'!$E$1:$E$5000, MATCH(E762, '06_BANG_GIA_VAT_TU_AP_DUNG'!$B$1:$B$5000, 0)), 0)</f>
        <v/>
      </c>
      <c r="K762" s="390">
        <f>I762*J762</f>
        <v/>
      </c>
      <c r="L762" t="inlineStr">
        <is>
          <t>Cầu chì kiểm định PCCC (1 cái)</t>
        </is>
      </c>
    </row>
    <row r="763">
      <c r="A763" t="inlineStr">
        <is>
          <t>SW-DAMPER-167-FUSE-HANDLE</t>
        </is>
      </c>
      <c r="B763" t="inlineStr">
        <is>
          <t>SW-DAMPER-167</t>
        </is>
      </c>
      <c r="C763" t="inlineStr">
        <is>
          <t>Tay gạt cầu chì van FD</t>
        </is>
      </c>
      <c r="D763" t="inlineStr">
        <is>
          <t>PHỤ_KIỆN_VAN</t>
        </is>
      </c>
      <c r="E763" t="inlineStr">
        <is>
          <t>MAT-DAMPER-TAY-GAT-CAU-CHI-1</t>
        </is>
      </c>
      <c r="F763" t="inlineStr">
        <is>
          <t>Bộ</t>
        </is>
      </c>
      <c r="G763" s="394" t="n">
        <v>1</v>
      </c>
      <c r="H763" s="390">
        <f>IFERROR(INDEX('00_TONG_HOP_BAO_GIA'!$G$1:$G$5000, MATCH(B763, '00_TONG_HOP_BAO_GIA'!$B$1:$B$5000, 0)), 1)</f>
        <v/>
      </c>
      <c r="I763" s="395">
        <f>G763*H763</f>
        <v/>
      </c>
      <c r="J763" s="390">
        <f>IFERROR(INDEX('06_BANG_GIA_VAT_TU_AP_DUNG'!$E$1:$E$5000, MATCH(E763, '06_BANG_GIA_VAT_TU_AP_DUNG'!$B$1:$B$5000, 0)), 0)</f>
        <v/>
      </c>
      <c r="K763" s="390">
        <f>I763*J763</f>
        <v/>
      </c>
      <c r="L763" t="inlineStr">
        <is>
          <t>Cơ cấu tay gạt giữ cầu chì (1 bộ)</t>
        </is>
      </c>
    </row>
    <row r="764">
      <c r="A764" t="inlineStr">
        <is>
          <t>SW-DAMPER-167-FB10-BODY</t>
        </is>
      </c>
      <c r="B764" t="inlineStr">
        <is>
          <t>SW-DAMPER-167</t>
        </is>
      </c>
      <c r="C764" t="inlineStr">
        <is>
          <t>Tấm chống cháy dày 10mm bọc thân van FD/MFD (2 lớp)</t>
        </is>
      </c>
      <c r="D764" t="inlineStr">
        <is>
          <t>VẬT_LIỆU_CÁCH_NHIỆT</t>
        </is>
      </c>
      <c r="E764" t="inlineStr">
        <is>
          <t>MAT-FIREBOARD-10MM-BODY</t>
        </is>
      </c>
      <c r="F764" t="inlineStr">
        <is>
          <t>m2</t>
        </is>
      </c>
      <c r="G764" s="394" t="n">
        <v>0.36</v>
      </c>
      <c r="H764" s="390">
        <f>IFERROR(INDEX('00_TONG_HOP_BAO_GIA'!$G$1:$G$5000, MATCH(B764, '00_TONG_HOP_BAO_GIA'!$B$1:$B$5000, 0)), 1)</f>
        <v/>
      </c>
      <c r="I764" s="395">
        <f>G764*H764</f>
        <v/>
      </c>
      <c r="J764" s="390">
        <f>IFERROR(INDEX('06_BANG_GIA_VAT_TU_AP_DUNG'!$E$1:$E$5000, MATCH(E764, '06_BANG_GIA_VAT_TU_AP_DUNG'!$B$1:$B$5000, 0)), 0)</f>
        <v/>
      </c>
      <c r="K764" s="390">
        <f>I764*J764</f>
        <v/>
      </c>
      <c r="L764" t="inlineStr">
        <is>
          <t>Bọc 2 lớp tấm 10mm quanh thân L=300mm</t>
        </is>
      </c>
    </row>
    <row r="765">
      <c r="A765" t="inlineStr">
        <is>
          <t>SW-DAMPER-167-FB20-BLADE</t>
        </is>
      </c>
      <c r="B765" t="inlineStr">
        <is>
          <t>SW-DAMPER-167</t>
        </is>
      </c>
      <c r="C765" t="inlineStr">
        <is>
          <t>Tấm chống cháy dày 20mm làm lõi cánh van FD/MFD</t>
        </is>
      </c>
      <c r="D765" t="inlineStr">
        <is>
          <t>VẬT_LIỆU_CÁCH_NHIỆT</t>
        </is>
      </c>
      <c r="E765" t="inlineStr">
        <is>
          <t>MAT-FIREBOARD-20MM-BLADE</t>
        </is>
      </c>
      <c r="F765" t="inlineStr">
        <is>
          <t>m2</t>
        </is>
      </c>
      <c r="G765" s="394" t="n">
        <v>0.0225</v>
      </c>
      <c r="H765" s="390">
        <f>IFERROR(INDEX('00_TONG_HOP_BAO_GIA'!$G$1:$G$5000, MATCH(B765, '00_TONG_HOP_BAO_GIA'!$B$1:$B$5000, 0)), 1)</f>
        <v/>
      </c>
      <c r="I765" s="395">
        <f>G765*H765</f>
        <v/>
      </c>
      <c r="J765" s="390">
        <f>IFERROR(INDEX('06_BANG_GIA_VAT_TU_AP_DUNG'!$E$1:$E$5000, MATCH(E765, '06_BANG_GIA_VAT_TU_AP_DUNG'!$B$1:$B$5000, 0)), 0)</f>
        <v/>
      </c>
      <c r="K765" s="390">
        <f>I765*J765</f>
        <v/>
      </c>
      <c r="L765" t="inlineStr">
        <is>
          <t>Lõi cánh tấm 20mm (Cánh đơn 150x150mm)</t>
        </is>
      </c>
    </row>
    <row r="766">
      <c r="A766" t="inlineStr">
        <is>
          <t>SW-DAMPER-167-FB10-BLADE</t>
        </is>
      </c>
      <c r="B766" t="inlineStr">
        <is>
          <t>SW-DAMPER-167</t>
        </is>
      </c>
      <c r="C766" t="inlineStr">
        <is>
          <t>Tấm chống cháy dày 10mm ốp 2 mặt cánh van FD/MFD</t>
        </is>
      </c>
      <c r="D766" t="inlineStr">
        <is>
          <t>VẬT_LIỆU_CÁCH_NHIỆT</t>
        </is>
      </c>
      <c r="E766" t="inlineStr">
        <is>
          <t>MAT-FIREBOARD-10MM-BLADE</t>
        </is>
      </c>
      <c r="F766" t="inlineStr">
        <is>
          <t>m2</t>
        </is>
      </c>
      <c r="G766" s="394" t="n">
        <v>0.045</v>
      </c>
      <c r="H766" s="390">
        <f>IFERROR(INDEX('00_TONG_HOP_BAO_GIA'!$G$1:$G$5000, MATCH(B766, '00_TONG_HOP_BAO_GIA'!$B$1:$B$5000, 0)), 1)</f>
        <v/>
      </c>
      <c r="I766" s="395">
        <f>G766*H766</f>
        <v/>
      </c>
      <c r="J766" s="390">
        <f>IFERROR(INDEX('06_BANG_GIA_VAT_TU_AP_DUNG'!$E$1:$E$5000, MATCH(E766, '06_BANG_GIA_VAT_TU_AP_DUNG'!$B$1:$B$5000, 0)), 0)</f>
        <v/>
      </c>
      <c r="K766" s="390">
        <f>I766*J766</f>
        <v/>
      </c>
      <c r="L766" t="inlineStr">
        <is>
          <t>Ốp 2 mặt cánh tấm 10mm (Cánh đơn 150x150mm)</t>
        </is>
      </c>
    </row>
    <row r="767">
      <c r="A767" t="inlineStr">
        <is>
          <t>SW-DAMPER-167-SPRING-BOX</t>
        </is>
      </c>
      <c r="B767" t="inlineStr">
        <is>
          <t>SW-DAMPER-167</t>
        </is>
      </c>
      <c r="C767" t="inlineStr">
        <is>
          <t>Hộp lò xo van chặn lửa FD/MFD</t>
        </is>
      </c>
      <c r="D767" t="inlineStr">
        <is>
          <t>PHỤ_KIỆN_VAN</t>
        </is>
      </c>
      <c r="E767" t="inlineStr">
        <is>
          <t>MAT-DAMPER-HOP-LO-XO</t>
        </is>
      </c>
      <c r="F767" t="inlineStr">
        <is>
          <t>Bộ</t>
        </is>
      </c>
      <c r="G767" s="394" t="n">
        <v>1</v>
      </c>
      <c r="H767" s="390">
        <f>IFERROR(INDEX('00_TONG_HOP_BAO_GIA'!$G$1:$G$5000, MATCH(B767, '00_TONG_HOP_BAO_GIA'!$B$1:$B$5000, 0)), 1)</f>
        <v/>
      </c>
      <c r="I767" s="395">
        <f>G767*H767</f>
        <v/>
      </c>
      <c r="J767" s="390">
        <f>IFERROR(INDEX('06_BANG_GIA_VAT_TU_AP_DUNG'!$E$1:$E$5000, MATCH(E767, '06_BANG_GIA_VAT_TU_AP_DUNG'!$B$1:$B$5000, 0)), 0)</f>
        <v/>
      </c>
      <c r="K767" s="390">
        <f>I767*J767</f>
        <v/>
      </c>
      <c r="L767" t="inlineStr">
        <is>
          <t>Hộp lò xo cơ cấu đóng sập (1 bộ)</t>
        </is>
      </c>
    </row>
    <row r="768">
      <c r="A768" t="inlineStr">
        <is>
          <t>SW-DAMPER-167-SILICON-BOLT</t>
        </is>
      </c>
      <c r="B768" t="inlineStr">
        <is>
          <t>SW-DAMPER-167</t>
        </is>
      </c>
      <c r="C768" t="inlineStr">
        <is>
          <t>Silicon chống cháy + bu lông, ốc vít van FD/MFD</t>
        </is>
      </c>
      <c r="D768" t="inlineStr">
        <is>
          <t>PHỤ_KIỆN_VAN</t>
        </is>
      </c>
      <c r="E768" t="inlineStr">
        <is>
          <t>MAT-DAMPER-SILICON-BULONG-VIT</t>
        </is>
      </c>
      <c r="F768" t="inlineStr">
        <is>
          <t>Bộ</t>
        </is>
      </c>
      <c r="G768" s="394" t="n">
        <v>1</v>
      </c>
      <c r="H768" s="390">
        <f>IFERROR(INDEX('00_TONG_HOP_BAO_GIA'!$G$1:$G$5000, MATCH(B768, '00_TONG_HOP_BAO_GIA'!$B$1:$B$5000, 0)), 1)</f>
        <v/>
      </c>
      <c r="I768" s="395">
        <f>G768*H768</f>
        <v/>
      </c>
      <c r="J768" s="390">
        <f>IFERROR(INDEX('06_BANG_GIA_VAT_TU_AP_DUNG'!$E$1:$E$5000, MATCH(E768, '06_BANG_GIA_VAT_TU_AP_DUNG'!$B$1:$B$5000, 0)), 0)</f>
        <v/>
      </c>
      <c r="K768" s="390">
        <f>I768*J768</f>
        <v/>
      </c>
      <c r="L768" t="inlineStr">
        <is>
          <t>Keo silicon chống cháy &amp; phụ kiện lắp ghép (1 bộ)</t>
        </is>
      </c>
    </row>
    <row r="769">
      <c r="A769" t="inlineStr">
        <is>
          <t>SW-DAMPER-168-BODY</t>
        </is>
      </c>
      <c r="B769" t="inlineStr">
        <is>
          <t>SW-DAMPER-168</t>
        </is>
      </c>
      <c r="C769" t="inlineStr">
        <is>
          <t>Thân vỏ van FD bích C30/TDF (1.15mm)</t>
        </is>
      </c>
      <c r="D769" t="inlineStr">
        <is>
          <t>TÔN_CUỘN_MẠ_KẼM</t>
        </is>
      </c>
      <c r="E769" t="inlineStr">
        <is>
          <t>MAT-STEEL-PN-1.15</t>
        </is>
      </c>
      <c r="F769" t="inlineStr">
        <is>
          <t>kg</t>
        </is>
      </c>
      <c r="G769" s="394" t="n">
        <v>2.917597725</v>
      </c>
      <c r="H769" s="390">
        <f>IFERROR(INDEX('00_TONG_HOP_BAO_GIA'!$G$1:$G$5000, MATCH(B769, '00_TONG_HOP_BAO_GIA'!$B$1:$B$5000, 0)), 1)</f>
        <v/>
      </c>
      <c r="I769" s="395">
        <f>G769*H769</f>
        <v/>
      </c>
      <c r="J769" s="390">
        <f>IFERROR(INDEX('06_BANG_GIA_VAT_TU_AP_DUNG'!$E$1:$E$5000, MATCH(E769, '06_BANG_GIA_VAT_TU_AP_DUNG'!$B$1:$B$5000, 0)), 0)</f>
        <v/>
      </c>
      <c r="K769" s="390">
        <f>I769*J769</f>
        <v/>
      </c>
      <c r="L769" t="inlineStr">
        <is>
          <t>Kích thước vỏ 400x150x200mm</t>
        </is>
      </c>
    </row>
    <row r="770">
      <c r="A770" t="inlineStr">
        <is>
          <t>SW-DAMPER-168-BLADE</t>
        </is>
      </c>
      <c r="B770" t="inlineStr">
        <is>
          <t>SW-DAMPER-168</t>
        </is>
      </c>
      <c r="C770" t="inlineStr">
        <is>
          <t>Lá cánh / Tôn tấm bọc van (1 cánh)</t>
        </is>
      </c>
      <c r="D770" t="inlineStr">
        <is>
          <t>TÔN_CUỘN_MẠ_KẼM</t>
        </is>
      </c>
      <c r="E770" t="inlineStr">
        <is>
          <t>MAT-STEEL-PN-1.15</t>
        </is>
      </c>
      <c r="F770" t="inlineStr">
        <is>
          <t>kg</t>
        </is>
      </c>
      <c r="G770" s="394" t="n">
        <v>1.0833</v>
      </c>
      <c r="H770" s="390">
        <f>IFERROR(INDEX('00_TONG_HOP_BAO_GIA'!$G$1:$G$5000, MATCH(B770, '00_TONG_HOP_BAO_GIA'!$B$1:$B$5000, 0)), 1)</f>
        <v/>
      </c>
      <c r="I770" s="395">
        <f>G770*H770</f>
        <v/>
      </c>
      <c r="J770" s="390">
        <f>IFERROR(INDEX('06_BANG_GIA_VAT_TU_AP_DUNG'!$E$1:$E$5000, MATCH(E770, '06_BANG_GIA_VAT_TU_AP_DUNG'!$B$1:$B$5000, 0)), 0)</f>
        <v/>
      </c>
      <c r="K770" s="390">
        <f>I770*J770</f>
        <v/>
      </c>
      <c r="L770" t="inlineStr">
        <is>
          <t>Tôn bọc cánh &amp; thân (1 cánh/modul)</t>
        </is>
      </c>
    </row>
    <row r="771">
      <c r="A771" t="inlineStr">
        <is>
          <t>SW-DAMPER-168-AXLE</t>
        </is>
      </c>
      <c r="B771" t="inlineStr">
        <is>
          <t>SW-DAMPER-168</t>
        </is>
      </c>
      <c r="C771" t="inlineStr">
        <is>
          <t>Trục Sus 201 D10</t>
        </is>
      </c>
      <c r="D771" t="inlineStr">
        <is>
          <t>PHỤ_KIỆN_VAN</t>
        </is>
      </c>
      <c r="E771" t="inlineStr">
        <is>
          <t>MAT-DAMPER-TRUC-SUS-201-D10</t>
        </is>
      </c>
      <c r="F771" t="inlineStr">
        <is>
          <t>m</t>
        </is>
      </c>
      <c r="G771" s="394" t="n">
        <v>0.46</v>
      </c>
      <c r="H771" s="390">
        <f>IFERROR(INDEX('00_TONG_HOP_BAO_GIA'!$G$1:$G$5000, MATCH(B771, '00_TONG_HOP_BAO_GIA'!$B$1:$B$5000, 0)), 1)</f>
        <v/>
      </c>
      <c r="I771" s="395">
        <f>G771*H771</f>
        <v/>
      </c>
      <c r="J771" s="390">
        <f>IFERROR(INDEX('06_BANG_GIA_VAT_TU_AP_DUNG'!$E$1:$E$5000, MATCH(E771, '06_BANG_GIA_VAT_TU_AP_DUNG'!$B$1:$B$5000, 0)), 0)</f>
        <v/>
      </c>
      <c r="K771" s="390">
        <f>I771*J771</f>
        <v/>
      </c>
      <c r="L771" t="inlineStr">
        <is>
          <t>1 trục dài 460mm</t>
        </is>
      </c>
    </row>
    <row r="772">
      <c r="A772" t="inlineStr">
        <is>
          <t>SW-DAMPER-168-BEARING</t>
        </is>
      </c>
      <c r="B772" t="inlineStr">
        <is>
          <t>SW-DAMPER-168</t>
        </is>
      </c>
      <c r="C772" t="inlineStr">
        <is>
          <t>Bạc đồng D10</t>
        </is>
      </c>
      <c r="D772" t="inlineStr">
        <is>
          <t>PHỤ_KIỆN_VAN</t>
        </is>
      </c>
      <c r="E772" t="inlineStr">
        <is>
          <t>MAT-DAMPER-BAC-DONG-D10</t>
        </is>
      </c>
      <c r="F772" t="inlineStr">
        <is>
          <t>Đôi</t>
        </is>
      </c>
      <c r="G772" s="394" t="n">
        <v>1</v>
      </c>
      <c r="H772" s="390">
        <f>IFERROR(INDEX('00_TONG_HOP_BAO_GIA'!$G$1:$G$5000, MATCH(B772, '00_TONG_HOP_BAO_GIA'!$B$1:$B$5000, 0)), 1)</f>
        <v/>
      </c>
      <c r="I772" s="395">
        <f>G772*H772</f>
        <v/>
      </c>
      <c r="J772" s="390">
        <f>IFERROR(INDEX('06_BANG_GIA_VAT_TU_AP_DUNG'!$E$1:$E$5000, MATCH(E772, '06_BANG_GIA_VAT_TU_AP_DUNG'!$B$1:$B$5000, 0)), 0)</f>
        <v/>
      </c>
      <c r="K772" s="390">
        <f>I772*J772</f>
        <v/>
      </c>
      <c r="L772" t="inlineStr">
        <is>
          <t>1 đôi bạc đỡ 2 bên thân</t>
        </is>
      </c>
    </row>
    <row r="773">
      <c r="A773" t="inlineStr">
        <is>
          <t>SW-DAMPER-168-FUSE</t>
        </is>
      </c>
      <c r="B773" t="inlineStr">
        <is>
          <t>SW-DAMPER-168</t>
        </is>
      </c>
      <c r="C773" t="inlineStr">
        <is>
          <t>Cầu chì nhiệt nóng chảy 70°C/74°C (Elsie/USA)</t>
        </is>
      </c>
      <c r="D773" t="inlineStr">
        <is>
          <t>PHỤ_KIỆN_VAN</t>
        </is>
      </c>
      <c r="E773" t="inlineStr">
        <is>
          <t>MAT-DAMPER-CAU-CHI-USA-2-400X400</t>
        </is>
      </c>
      <c r="F773" t="inlineStr">
        <is>
          <t>Cái</t>
        </is>
      </c>
      <c r="G773" s="394" t="n">
        <v>1</v>
      </c>
      <c r="H773" s="390">
        <f>IFERROR(INDEX('00_TONG_HOP_BAO_GIA'!$G$1:$G$5000, MATCH(B773, '00_TONG_HOP_BAO_GIA'!$B$1:$B$5000, 0)), 1)</f>
        <v/>
      </c>
      <c r="I773" s="395">
        <f>G773*H773</f>
        <v/>
      </c>
      <c r="J773" s="390">
        <f>IFERROR(INDEX('06_BANG_GIA_VAT_TU_AP_DUNG'!$E$1:$E$5000, MATCH(E773, '06_BANG_GIA_VAT_TU_AP_DUNG'!$B$1:$B$5000, 0)), 0)</f>
        <v/>
      </c>
      <c r="K773" s="390">
        <f>I773*J773</f>
        <v/>
      </c>
      <c r="L773" t="inlineStr">
        <is>
          <t>Cầu chì kiểm định PCCC (1 cái)</t>
        </is>
      </c>
    </row>
    <row r="774">
      <c r="A774" t="inlineStr">
        <is>
          <t>SW-DAMPER-168-FUSE-HANDLE</t>
        </is>
      </c>
      <c r="B774" t="inlineStr">
        <is>
          <t>SW-DAMPER-168</t>
        </is>
      </c>
      <c r="C774" t="inlineStr">
        <is>
          <t>Tay gạt cầu chì van FD</t>
        </is>
      </c>
      <c r="D774" t="inlineStr">
        <is>
          <t>PHỤ_KIỆN_VAN</t>
        </is>
      </c>
      <c r="E774" t="inlineStr">
        <is>
          <t>MAT-DAMPER-TAY-GAT-CAU-CHI-1</t>
        </is>
      </c>
      <c r="F774" t="inlineStr">
        <is>
          <t>Bộ</t>
        </is>
      </c>
      <c r="G774" s="394" t="n">
        <v>1</v>
      </c>
      <c r="H774" s="390">
        <f>IFERROR(INDEX('00_TONG_HOP_BAO_GIA'!$G$1:$G$5000, MATCH(B774, '00_TONG_HOP_BAO_GIA'!$B$1:$B$5000, 0)), 1)</f>
        <v/>
      </c>
      <c r="I774" s="395">
        <f>G774*H774</f>
        <v/>
      </c>
      <c r="J774" s="390">
        <f>IFERROR(INDEX('06_BANG_GIA_VAT_TU_AP_DUNG'!$E$1:$E$5000, MATCH(E774, '06_BANG_GIA_VAT_TU_AP_DUNG'!$B$1:$B$5000, 0)), 0)</f>
        <v/>
      </c>
      <c r="K774" s="390">
        <f>I774*J774</f>
        <v/>
      </c>
      <c r="L774" t="inlineStr">
        <is>
          <t>Cơ cấu tay gạt giữ cầu chì (1 bộ)</t>
        </is>
      </c>
    </row>
    <row r="775">
      <c r="A775" t="inlineStr">
        <is>
          <t>SW-DAMPER-168-FB10-BODY</t>
        </is>
      </c>
      <c r="B775" t="inlineStr">
        <is>
          <t>SW-DAMPER-168</t>
        </is>
      </c>
      <c r="C775" t="inlineStr">
        <is>
          <t>Tấm chống cháy dày 10mm bọc thân van FD/MFD (2 lớp)</t>
        </is>
      </c>
      <c r="D775" t="inlineStr">
        <is>
          <t>VẬT_LIỆU_CÁCH_NHIỆT</t>
        </is>
      </c>
      <c r="E775" t="inlineStr">
        <is>
          <t>MAT-FIREBOARD-10MM-BODY</t>
        </is>
      </c>
      <c r="F775" t="inlineStr">
        <is>
          <t>m2</t>
        </is>
      </c>
      <c r="G775" s="394" t="n">
        <v>0.66</v>
      </c>
      <c r="H775" s="390">
        <f>IFERROR(INDEX('00_TONG_HOP_BAO_GIA'!$G$1:$G$5000, MATCH(B775, '00_TONG_HOP_BAO_GIA'!$B$1:$B$5000, 0)), 1)</f>
        <v/>
      </c>
      <c r="I775" s="395">
        <f>G775*H775</f>
        <v/>
      </c>
      <c r="J775" s="390">
        <f>IFERROR(INDEX('06_BANG_GIA_VAT_TU_AP_DUNG'!$E$1:$E$5000, MATCH(E775, '06_BANG_GIA_VAT_TU_AP_DUNG'!$B$1:$B$5000, 0)), 0)</f>
        <v/>
      </c>
      <c r="K775" s="390">
        <f>I775*J775</f>
        <v/>
      </c>
      <c r="L775" t="inlineStr">
        <is>
          <t>Bọc 2 lớp tấm 10mm quanh thân L=300mm</t>
        </is>
      </c>
    </row>
    <row r="776">
      <c r="A776" t="inlineStr">
        <is>
          <t>SW-DAMPER-168-FB20-BLADE</t>
        </is>
      </c>
      <c r="B776" t="inlineStr">
        <is>
          <t>SW-DAMPER-168</t>
        </is>
      </c>
      <c r="C776" t="inlineStr">
        <is>
          <t>Tấm chống cháy dày 20mm làm lõi cánh van FD/MFD</t>
        </is>
      </c>
      <c r="D776" t="inlineStr">
        <is>
          <t>VẬT_LIỆU_CÁCH_NHIỆT</t>
        </is>
      </c>
      <c r="E776" t="inlineStr">
        <is>
          <t>MAT-FIREBOARD-20MM-BLADE</t>
        </is>
      </c>
      <c r="F776" t="inlineStr">
        <is>
          <t>m2</t>
        </is>
      </c>
      <c r="G776" s="394" t="n">
        <v>0.06</v>
      </c>
      <c r="H776" s="390">
        <f>IFERROR(INDEX('00_TONG_HOP_BAO_GIA'!$G$1:$G$5000, MATCH(B776, '00_TONG_HOP_BAO_GIA'!$B$1:$B$5000, 0)), 1)</f>
        <v/>
      </c>
      <c r="I776" s="395">
        <f>G776*H776</f>
        <v/>
      </c>
      <c r="J776" s="390">
        <f>IFERROR(INDEX('06_BANG_GIA_VAT_TU_AP_DUNG'!$E$1:$E$5000, MATCH(E776, '06_BANG_GIA_VAT_TU_AP_DUNG'!$B$1:$B$5000, 0)), 0)</f>
        <v/>
      </c>
      <c r="K776" s="390">
        <f>I776*J776</f>
        <v/>
      </c>
      <c r="L776" t="inlineStr">
        <is>
          <t>Lõi cánh tấm 20mm (Cánh đơn 400x150mm)</t>
        </is>
      </c>
    </row>
    <row r="777">
      <c r="A777" t="inlineStr">
        <is>
          <t>SW-DAMPER-168-FB10-BLADE</t>
        </is>
      </c>
      <c r="B777" t="inlineStr">
        <is>
          <t>SW-DAMPER-168</t>
        </is>
      </c>
      <c r="C777" t="inlineStr">
        <is>
          <t>Tấm chống cháy dày 10mm ốp 2 mặt cánh van FD/MFD</t>
        </is>
      </c>
      <c r="D777" t="inlineStr">
        <is>
          <t>VẬT_LIỆU_CÁCH_NHIỆT</t>
        </is>
      </c>
      <c r="E777" t="inlineStr">
        <is>
          <t>MAT-FIREBOARD-10MM-BLADE</t>
        </is>
      </c>
      <c r="F777" t="inlineStr">
        <is>
          <t>m2</t>
        </is>
      </c>
      <c r="G777" s="394" t="n">
        <v>0.12</v>
      </c>
      <c r="H777" s="390">
        <f>IFERROR(INDEX('00_TONG_HOP_BAO_GIA'!$G$1:$G$5000, MATCH(B777, '00_TONG_HOP_BAO_GIA'!$B$1:$B$5000, 0)), 1)</f>
        <v/>
      </c>
      <c r="I777" s="395">
        <f>G777*H777</f>
        <v/>
      </c>
      <c r="J777" s="390">
        <f>IFERROR(INDEX('06_BANG_GIA_VAT_TU_AP_DUNG'!$E$1:$E$5000, MATCH(E777, '06_BANG_GIA_VAT_TU_AP_DUNG'!$B$1:$B$5000, 0)), 0)</f>
        <v/>
      </c>
      <c r="K777" s="390">
        <f>I777*J777</f>
        <v/>
      </c>
      <c r="L777" t="inlineStr">
        <is>
          <t>Ốp 2 mặt cánh tấm 10mm (Cánh đơn 400x150mm)</t>
        </is>
      </c>
    </row>
    <row r="778">
      <c r="A778" t="inlineStr">
        <is>
          <t>SW-DAMPER-168-SPRING-BOX</t>
        </is>
      </c>
      <c r="B778" t="inlineStr">
        <is>
          <t>SW-DAMPER-168</t>
        </is>
      </c>
      <c r="C778" t="inlineStr">
        <is>
          <t>Hộp lò xo van chặn lửa FD/MFD</t>
        </is>
      </c>
      <c r="D778" t="inlineStr">
        <is>
          <t>PHỤ_KIỆN_VAN</t>
        </is>
      </c>
      <c r="E778" t="inlineStr">
        <is>
          <t>MAT-DAMPER-HOP-LO-XO</t>
        </is>
      </c>
      <c r="F778" t="inlineStr">
        <is>
          <t>Bộ</t>
        </is>
      </c>
      <c r="G778" s="394" t="n">
        <v>1</v>
      </c>
      <c r="H778" s="390">
        <f>IFERROR(INDEX('00_TONG_HOP_BAO_GIA'!$G$1:$G$5000, MATCH(B778, '00_TONG_HOP_BAO_GIA'!$B$1:$B$5000, 0)), 1)</f>
        <v/>
      </c>
      <c r="I778" s="395">
        <f>G778*H778</f>
        <v/>
      </c>
      <c r="J778" s="390">
        <f>IFERROR(INDEX('06_BANG_GIA_VAT_TU_AP_DUNG'!$E$1:$E$5000, MATCH(E778, '06_BANG_GIA_VAT_TU_AP_DUNG'!$B$1:$B$5000, 0)), 0)</f>
        <v/>
      </c>
      <c r="K778" s="390">
        <f>I778*J778</f>
        <v/>
      </c>
      <c r="L778" t="inlineStr">
        <is>
          <t>Hộp lò xo cơ cấu đóng sập (1 bộ)</t>
        </is>
      </c>
    </row>
    <row r="779">
      <c r="A779" t="inlineStr">
        <is>
          <t>SW-DAMPER-168-SILICON-BOLT</t>
        </is>
      </c>
      <c r="B779" t="inlineStr">
        <is>
          <t>SW-DAMPER-168</t>
        </is>
      </c>
      <c r="C779" t="inlineStr">
        <is>
          <t>Silicon chống cháy + bu lông, ốc vít van FD/MFD</t>
        </is>
      </c>
      <c r="D779" t="inlineStr">
        <is>
          <t>PHỤ_KIỆN_VAN</t>
        </is>
      </c>
      <c r="E779" t="inlineStr">
        <is>
          <t>MAT-DAMPER-SILICON-BULONG-VIT</t>
        </is>
      </c>
      <c r="F779" t="inlineStr">
        <is>
          <t>Bộ</t>
        </is>
      </c>
      <c r="G779" s="394" t="n">
        <v>1</v>
      </c>
      <c r="H779" s="390">
        <f>IFERROR(INDEX('00_TONG_HOP_BAO_GIA'!$G$1:$G$5000, MATCH(B779, '00_TONG_HOP_BAO_GIA'!$B$1:$B$5000, 0)), 1)</f>
        <v/>
      </c>
      <c r="I779" s="395">
        <f>G779*H779</f>
        <v/>
      </c>
      <c r="J779" s="390">
        <f>IFERROR(INDEX('06_BANG_GIA_VAT_TU_AP_DUNG'!$E$1:$E$5000, MATCH(E779, '06_BANG_GIA_VAT_TU_AP_DUNG'!$B$1:$B$5000, 0)), 0)</f>
        <v/>
      </c>
      <c r="K779" s="390">
        <f>I779*J779</f>
        <v/>
      </c>
      <c r="L779" t="inlineStr">
        <is>
          <t>Keo silicon chống cháy &amp; phụ kiện lắp ghép (1 bộ)</t>
        </is>
      </c>
    </row>
    <row r="780">
      <c r="A780" t="inlineStr">
        <is>
          <t>SW-DAMPER-169-BODY</t>
        </is>
      </c>
      <c r="B780" t="inlineStr">
        <is>
          <t>SW-DAMPER-169</t>
        </is>
      </c>
      <c r="C780" t="inlineStr">
        <is>
          <t>Thân vỏ van FD bích C30/TDF (1.15mm)</t>
        </is>
      </c>
      <c r="D780" t="inlineStr">
        <is>
          <t>TÔN_CUỘN_MẠ_KẼM</t>
        </is>
      </c>
      <c r="E780" t="inlineStr">
        <is>
          <t>MAT-STEEL-PN-1.15</t>
        </is>
      </c>
      <c r="F780" t="inlineStr">
        <is>
          <t>kg</t>
        </is>
      </c>
      <c r="G780" s="394" t="n">
        <v>3.17352735</v>
      </c>
      <c r="H780" s="390">
        <f>IFERROR(INDEX('00_TONG_HOP_BAO_GIA'!$G$1:$G$5000, MATCH(B780, '00_TONG_HOP_BAO_GIA'!$B$1:$B$5000, 0)), 1)</f>
        <v/>
      </c>
      <c r="I780" s="395">
        <f>G780*H780</f>
        <v/>
      </c>
      <c r="J780" s="390">
        <f>IFERROR(INDEX('06_BANG_GIA_VAT_TU_AP_DUNG'!$E$1:$E$5000, MATCH(E780, '06_BANG_GIA_VAT_TU_AP_DUNG'!$B$1:$B$5000, 0)), 0)</f>
        <v/>
      </c>
      <c r="K780" s="390">
        <f>I780*J780</f>
        <v/>
      </c>
      <c r="L780" t="inlineStr">
        <is>
          <t>Kích thước vỏ 400x200x200mm</t>
        </is>
      </c>
    </row>
    <row r="781">
      <c r="A781" t="inlineStr">
        <is>
          <t>SW-DAMPER-169-BLADE</t>
        </is>
      </c>
      <c r="B781" t="inlineStr">
        <is>
          <t>SW-DAMPER-169</t>
        </is>
      </c>
      <c r="C781" t="inlineStr">
        <is>
          <t>Lá cánh / Tôn tấm bọc van (1 cánh)</t>
        </is>
      </c>
      <c r="D781" t="inlineStr">
        <is>
          <t>TÔN_CUỘN_MẠ_KẼM</t>
        </is>
      </c>
      <c r="E781" t="inlineStr">
        <is>
          <t>MAT-STEEL-PN-1.15</t>
        </is>
      </c>
      <c r="F781" t="inlineStr">
        <is>
          <t>kg</t>
        </is>
      </c>
      <c r="G781" s="394" t="n">
        <v>1.4444</v>
      </c>
      <c r="H781" s="390">
        <f>IFERROR(INDEX('00_TONG_HOP_BAO_GIA'!$G$1:$G$5000, MATCH(B781, '00_TONG_HOP_BAO_GIA'!$B$1:$B$5000, 0)), 1)</f>
        <v/>
      </c>
      <c r="I781" s="395">
        <f>G781*H781</f>
        <v/>
      </c>
      <c r="J781" s="390">
        <f>IFERROR(INDEX('06_BANG_GIA_VAT_TU_AP_DUNG'!$E$1:$E$5000, MATCH(E781, '06_BANG_GIA_VAT_TU_AP_DUNG'!$B$1:$B$5000, 0)), 0)</f>
        <v/>
      </c>
      <c r="K781" s="390">
        <f>I781*J781</f>
        <v/>
      </c>
      <c r="L781" t="inlineStr">
        <is>
          <t>Tôn bọc cánh &amp; thân (1 cánh/modul)</t>
        </is>
      </c>
    </row>
    <row r="782">
      <c r="A782" t="inlineStr">
        <is>
          <t>SW-DAMPER-169-AXLE</t>
        </is>
      </c>
      <c r="B782" t="inlineStr">
        <is>
          <t>SW-DAMPER-169</t>
        </is>
      </c>
      <c r="C782" t="inlineStr">
        <is>
          <t>Trục Sus 201 D10</t>
        </is>
      </c>
      <c r="D782" t="inlineStr">
        <is>
          <t>PHỤ_KIỆN_VAN</t>
        </is>
      </c>
      <c r="E782" t="inlineStr">
        <is>
          <t>MAT-DAMPER-TRUC-SUS-201-D10</t>
        </is>
      </c>
      <c r="F782" t="inlineStr">
        <is>
          <t>m</t>
        </is>
      </c>
      <c r="G782" s="394" t="n">
        <v>0.46</v>
      </c>
      <c r="H782" s="390">
        <f>IFERROR(INDEX('00_TONG_HOP_BAO_GIA'!$G$1:$G$5000, MATCH(B782, '00_TONG_HOP_BAO_GIA'!$B$1:$B$5000, 0)), 1)</f>
        <v/>
      </c>
      <c r="I782" s="395">
        <f>G782*H782</f>
        <v/>
      </c>
      <c r="J782" s="390">
        <f>IFERROR(INDEX('06_BANG_GIA_VAT_TU_AP_DUNG'!$E$1:$E$5000, MATCH(E782, '06_BANG_GIA_VAT_TU_AP_DUNG'!$B$1:$B$5000, 0)), 0)</f>
        <v/>
      </c>
      <c r="K782" s="390">
        <f>I782*J782</f>
        <v/>
      </c>
      <c r="L782" t="inlineStr">
        <is>
          <t>1 trục dài 460mm</t>
        </is>
      </c>
    </row>
    <row r="783">
      <c r="A783" t="inlineStr">
        <is>
          <t>SW-DAMPER-169-BEARING</t>
        </is>
      </c>
      <c r="B783" t="inlineStr">
        <is>
          <t>SW-DAMPER-169</t>
        </is>
      </c>
      <c r="C783" t="inlineStr">
        <is>
          <t>Bạc đồng D10</t>
        </is>
      </c>
      <c r="D783" t="inlineStr">
        <is>
          <t>PHỤ_KIỆN_VAN</t>
        </is>
      </c>
      <c r="E783" t="inlineStr">
        <is>
          <t>MAT-DAMPER-BAC-DONG-D10</t>
        </is>
      </c>
      <c r="F783" t="inlineStr">
        <is>
          <t>Đôi</t>
        </is>
      </c>
      <c r="G783" s="394" t="n">
        <v>1</v>
      </c>
      <c r="H783" s="390">
        <f>IFERROR(INDEX('00_TONG_HOP_BAO_GIA'!$G$1:$G$5000, MATCH(B783, '00_TONG_HOP_BAO_GIA'!$B$1:$B$5000, 0)), 1)</f>
        <v/>
      </c>
      <c r="I783" s="395">
        <f>G783*H783</f>
        <v/>
      </c>
      <c r="J783" s="390">
        <f>IFERROR(INDEX('06_BANG_GIA_VAT_TU_AP_DUNG'!$E$1:$E$5000, MATCH(E783, '06_BANG_GIA_VAT_TU_AP_DUNG'!$B$1:$B$5000, 0)), 0)</f>
        <v/>
      </c>
      <c r="K783" s="390">
        <f>I783*J783</f>
        <v/>
      </c>
      <c r="L783" t="inlineStr">
        <is>
          <t>1 đôi bạc đỡ 2 bên thân</t>
        </is>
      </c>
    </row>
    <row r="784">
      <c r="A784" t="inlineStr">
        <is>
          <t>SW-DAMPER-169-FUSE</t>
        </is>
      </c>
      <c r="B784" t="inlineStr">
        <is>
          <t>SW-DAMPER-169</t>
        </is>
      </c>
      <c r="C784" t="inlineStr">
        <is>
          <t>Cầu chì nhiệt nóng chảy 70°C/74°C (Elsie/USA)</t>
        </is>
      </c>
      <c r="D784" t="inlineStr">
        <is>
          <t>PHỤ_KIỆN_VAN</t>
        </is>
      </c>
      <c r="E784" t="inlineStr">
        <is>
          <t>MAT-DAMPER-CAU-CHI-USA-2-400X400</t>
        </is>
      </c>
      <c r="F784" t="inlineStr">
        <is>
          <t>Cái</t>
        </is>
      </c>
      <c r="G784" s="394" t="n">
        <v>1</v>
      </c>
      <c r="H784" s="390">
        <f>IFERROR(INDEX('00_TONG_HOP_BAO_GIA'!$G$1:$G$5000, MATCH(B784, '00_TONG_HOP_BAO_GIA'!$B$1:$B$5000, 0)), 1)</f>
        <v/>
      </c>
      <c r="I784" s="395">
        <f>G784*H784</f>
        <v/>
      </c>
      <c r="J784" s="390">
        <f>IFERROR(INDEX('06_BANG_GIA_VAT_TU_AP_DUNG'!$E$1:$E$5000, MATCH(E784, '06_BANG_GIA_VAT_TU_AP_DUNG'!$B$1:$B$5000, 0)), 0)</f>
        <v/>
      </c>
      <c r="K784" s="390">
        <f>I784*J784</f>
        <v/>
      </c>
      <c r="L784" t="inlineStr">
        <is>
          <t>Cầu chì kiểm định PCCC (1 cái)</t>
        </is>
      </c>
    </row>
    <row r="785">
      <c r="A785" t="inlineStr">
        <is>
          <t>SW-DAMPER-169-FUSE-HANDLE</t>
        </is>
      </c>
      <c r="B785" t="inlineStr">
        <is>
          <t>SW-DAMPER-169</t>
        </is>
      </c>
      <c r="C785" t="inlineStr">
        <is>
          <t>Tay gạt cầu chì van FD</t>
        </is>
      </c>
      <c r="D785" t="inlineStr">
        <is>
          <t>PHỤ_KIỆN_VAN</t>
        </is>
      </c>
      <c r="E785" t="inlineStr">
        <is>
          <t>MAT-DAMPER-TAY-GAT-CAU-CHI-1</t>
        </is>
      </c>
      <c r="F785" t="inlineStr">
        <is>
          <t>Bộ</t>
        </is>
      </c>
      <c r="G785" s="394" t="n">
        <v>1</v>
      </c>
      <c r="H785" s="390">
        <f>IFERROR(INDEX('00_TONG_HOP_BAO_GIA'!$G$1:$G$5000, MATCH(B785, '00_TONG_HOP_BAO_GIA'!$B$1:$B$5000, 0)), 1)</f>
        <v/>
      </c>
      <c r="I785" s="395">
        <f>G785*H785</f>
        <v/>
      </c>
      <c r="J785" s="390">
        <f>IFERROR(INDEX('06_BANG_GIA_VAT_TU_AP_DUNG'!$E$1:$E$5000, MATCH(E785, '06_BANG_GIA_VAT_TU_AP_DUNG'!$B$1:$B$5000, 0)), 0)</f>
        <v/>
      </c>
      <c r="K785" s="390">
        <f>I785*J785</f>
        <v/>
      </c>
      <c r="L785" t="inlineStr">
        <is>
          <t>Cơ cấu tay gạt giữ cầu chì (1 bộ)</t>
        </is>
      </c>
    </row>
    <row r="786">
      <c r="A786" t="inlineStr">
        <is>
          <t>SW-DAMPER-169-FB10-BODY</t>
        </is>
      </c>
      <c r="B786" t="inlineStr">
        <is>
          <t>SW-DAMPER-169</t>
        </is>
      </c>
      <c r="C786" t="inlineStr">
        <is>
          <t>Tấm chống cháy dày 10mm bọc thân van FD/MFD (2 lớp)</t>
        </is>
      </c>
      <c r="D786" t="inlineStr">
        <is>
          <t>VẬT_LIỆU_CÁCH_NHIỆT</t>
        </is>
      </c>
      <c r="E786" t="inlineStr">
        <is>
          <t>MAT-FIREBOARD-10MM-BODY</t>
        </is>
      </c>
      <c r="F786" t="inlineStr">
        <is>
          <t>m2</t>
        </is>
      </c>
      <c r="G786" s="394" t="n">
        <v>0.72</v>
      </c>
      <c r="H786" s="390">
        <f>IFERROR(INDEX('00_TONG_HOP_BAO_GIA'!$G$1:$G$5000, MATCH(B786, '00_TONG_HOP_BAO_GIA'!$B$1:$B$5000, 0)), 1)</f>
        <v/>
      </c>
      <c r="I786" s="395">
        <f>G786*H786</f>
        <v/>
      </c>
      <c r="J786" s="390">
        <f>IFERROR(INDEX('06_BANG_GIA_VAT_TU_AP_DUNG'!$E$1:$E$5000, MATCH(E786, '06_BANG_GIA_VAT_TU_AP_DUNG'!$B$1:$B$5000, 0)), 0)</f>
        <v/>
      </c>
      <c r="K786" s="390">
        <f>I786*J786</f>
        <v/>
      </c>
      <c r="L786" t="inlineStr">
        <is>
          <t>Bọc 2 lớp tấm 10mm quanh thân L=300mm</t>
        </is>
      </c>
    </row>
    <row r="787">
      <c r="A787" t="inlineStr">
        <is>
          <t>SW-DAMPER-169-FB20-BLADE</t>
        </is>
      </c>
      <c r="B787" t="inlineStr">
        <is>
          <t>SW-DAMPER-169</t>
        </is>
      </c>
      <c r="C787" t="inlineStr">
        <is>
          <t>Tấm chống cháy dày 20mm làm lõi cánh van FD/MFD</t>
        </is>
      </c>
      <c r="D787" t="inlineStr">
        <is>
          <t>VẬT_LIỆU_CÁCH_NHIỆT</t>
        </is>
      </c>
      <c r="E787" t="inlineStr">
        <is>
          <t>MAT-FIREBOARD-20MM-BLADE</t>
        </is>
      </c>
      <c r="F787" t="inlineStr">
        <is>
          <t>m2</t>
        </is>
      </c>
      <c r="G787" s="394" t="n">
        <v>0.08000000000000002</v>
      </c>
      <c r="H787" s="390">
        <f>IFERROR(INDEX('00_TONG_HOP_BAO_GIA'!$G$1:$G$5000, MATCH(B787, '00_TONG_HOP_BAO_GIA'!$B$1:$B$5000, 0)), 1)</f>
        <v/>
      </c>
      <c r="I787" s="395">
        <f>G787*H787</f>
        <v/>
      </c>
      <c r="J787" s="390">
        <f>IFERROR(INDEX('06_BANG_GIA_VAT_TU_AP_DUNG'!$E$1:$E$5000, MATCH(E787, '06_BANG_GIA_VAT_TU_AP_DUNG'!$B$1:$B$5000, 0)), 0)</f>
        <v/>
      </c>
      <c r="K787" s="390">
        <f>I787*J787</f>
        <v/>
      </c>
      <c r="L787" t="inlineStr">
        <is>
          <t>Lõi cánh tấm 20mm (Cánh đơn 400x200mm)</t>
        </is>
      </c>
    </row>
    <row r="788">
      <c r="A788" t="inlineStr">
        <is>
          <t>SW-DAMPER-169-FB10-BLADE</t>
        </is>
      </c>
      <c r="B788" t="inlineStr">
        <is>
          <t>SW-DAMPER-169</t>
        </is>
      </c>
      <c r="C788" t="inlineStr">
        <is>
          <t>Tấm chống cháy dày 10mm ốp 2 mặt cánh van FD/MFD</t>
        </is>
      </c>
      <c r="D788" t="inlineStr">
        <is>
          <t>VẬT_LIỆU_CÁCH_NHIỆT</t>
        </is>
      </c>
      <c r="E788" t="inlineStr">
        <is>
          <t>MAT-FIREBOARD-10MM-BLADE</t>
        </is>
      </c>
      <c r="F788" t="inlineStr">
        <is>
          <t>m2</t>
        </is>
      </c>
      <c r="G788" s="394" t="n">
        <v>0.16</v>
      </c>
      <c r="H788" s="390">
        <f>IFERROR(INDEX('00_TONG_HOP_BAO_GIA'!$G$1:$G$5000, MATCH(B788, '00_TONG_HOP_BAO_GIA'!$B$1:$B$5000, 0)), 1)</f>
        <v/>
      </c>
      <c r="I788" s="395">
        <f>G788*H788</f>
        <v/>
      </c>
      <c r="J788" s="390">
        <f>IFERROR(INDEX('06_BANG_GIA_VAT_TU_AP_DUNG'!$E$1:$E$5000, MATCH(E788, '06_BANG_GIA_VAT_TU_AP_DUNG'!$B$1:$B$5000, 0)), 0)</f>
        <v/>
      </c>
      <c r="K788" s="390">
        <f>I788*J788</f>
        <v/>
      </c>
      <c r="L788" t="inlineStr">
        <is>
          <t>Ốp 2 mặt cánh tấm 10mm (Cánh đơn 400x200mm)</t>
        </is>
      </c>
    </row>
    <row r="789">
      <c r="A789" t="inlineStr">
        <is>
          <t>SW-DAMPER-169-SPRING-BOX</t>
        </is>
      </c>
      <c r="B789" t="inlineStr">
        <is>
          <t>SW-DAMPER-169</t>
        </is>
      </c>
      <c r="C789" t="inlineStr">
        <is>
          <t>Hộp lò xo van chặn lửa FD/MFD</t>
        </is>
      </c>
      <c r="D789" t="inlineStr">
        <is>
          <t>PHỤ_KIỆN_VAN</t>
        </is>
      </c>
      <c r="E789" t="inlineStr">
        <is>
          <t>MAT-DAMPER-HOP-LO-XO</t>
        </is>
      </c>
      <c r="F789" t="inlineStr">
        <is>
          <t>Bộ</t>
        </is>
      </c>
      <c r="G789" s="394" t="n">
        <v>1</v>
      </c>
      <c r="H789" s="390">
        <f>IFERROR(INDEX('00_TONG_HOP_BAO_GIA'!$G$1:$G$5000, MATCH(B789, '00_TONG_HOP_BAO_GIA'!$B$1:$B$5000, 0)), 1)</f>
        <v/>
      </c>
      <c r="I789" s="395">
        <f>G789*H789</f>
        <v/>
      </c>
      <c r="J789" s="390">
        <f>IFERROR(INDEX('06_BANG_GIA_VAT_TU_AP_DUNG'!$E$1:$E$5000, MATCH(E789, '06_BANG_GIA_VAT_TU_AP_DUNG'!$B$1:$B$5000, 0)), 0)</f>
        <v/>
      </c>
      <c r="K789" s="390">
        <f>I789*J789</f>
        <v/>
      </c>
      <c r="L789" t="inlineStr">
        <is>
          <t>Hộp lò xo cơ cấu đóng sập (1 bộ)</t>
        </is>
      </c>
    </row>
    <row r="790">
      <c r="A790" t="inlineStr">
        <is>
          <t>SW-DAMPER-169-SILICON-BOLT</t>
        </is>
      </c>
      <c r="B790" t="inlineStr">
        <is>
          <t>SW-DAMPER-169</t>
        </is>
      </c>
      <c r="C790" t="inlineStr">
        <is>
          <t>Silicon chống cháy + bu lông, ốc vít van FD/MFD</t>
        </is>
      </c>
      <c r="D790" t="inlineStr">
        <is>
          <t>PHỤ_KIỆN_VAN</t>
        </is>
      </c>
      <c r="E790" t="inlineStr">
        <is>
          <t>MAT-DAMPER-SILICON-BULONG-VIT</t>
        </is>
      </c>
      <c r="F790" t="inlineStr">
        <is>
          <t>Bộ</t>
        </is>
      </c>
      <c r="G790" s="394" t="n">
        <v>1</v>
      </c>
      <c r="H790" s="390">
        <f>IFERROR(INDEX('00_TONG_HOP_BAO_GIA'!$G$1:$G$5000, MATCH(B790, '00_TONG_HOP_BAO_GIA'!$B$1:$B$5000, 0)), 1)</f>
        <v/>
      </c>
      <c r="I790" s="395">
        <f>G790*H790</f>
        <v/>
      </c>
      <c r="J790" s="390">
        <f>IFERROR(INDEX('06_BANG_GIA_VAT_TU_AP_DUNG'!$E$1:$E$5000, MATCH(E790, '06_BANG_GIA_VAT_TU_AP_DUNG'!$B$1:$B$5000, 0)), 0)</f>
        <v/>
      </c>
      <c r="K790" s="390">
        <f>I790*J790</f>
        <v/>
      </c>
      <c r="L790" t="inlineStr">
        <is>
          <t>Keo silicon chống cháy &amp; phụ kiện lắp ghép (1 bộ)</t>
        </is>
      </c>
    </row>
    <row r="791">
      <c r="A791" t="inlineStr">
        <is>
          <t>SW-DAMPER-170-BODY</t>
        </is>
      </c>
      <c r="B791" t="inlineStr">
        <is>
          <t>SW-DAMPER-170</t>
        </is>
      </c>
      <c r="C791" t="inlineStr">
        <is>
          <t>Thân vỏ van FD bích C30/TDF (1.15mm)</t>
        </is>
      </c>
      <c r="D791" t="inlineStr">
        <is>
          <t>TÔN_CUỘN_MẠ_KẼM</t>
        </is>
      </c>
      <c r="E791" t="inlineStr">
        <is>
          <t>MAT-STEEL-PN-1.15</t>
        </is>
      </c>
      <c r="F791" t="inlineStr">
        <is>
          <t>kg</t>
        </is>
      </c>
      <c r="G791" s="394" t="n">
        <v>2.405738475</v>
      </c>
      <c r="H791" s="390">
        <f>IFERROR(INDEX('00_TONG_HOP_BAO_GIA'!$G$1:$G$5000, MATCH(B791, '00_TONG_HOP_BAO_GIA'!$B$1:$B$5000, 0)), 1)</f>
        <v/>
      </c>
      <c r="I791" s="395">
        <f>G791*H791</f>
        <v/>
      </c>
      <c r="J791" s="390">
        <f>IFERROR(INDEX('06_BANG_GIA_VAT_TU_AP_DUNG'!$E$1:$E$5000, MATCH(E791, '06_BANG_GIA_VAT_TU_AP_DUNG'!$B$1:$B$5000, 0)), 0)</f>
        <v/>
      </c>
      <c r="K791" s="390">
        <f>I791*J791</f>
        <v/>
      </c>
      <c r="L791" t="inlineStr">
        <is>
          <t>Kích thước vỏ 300x150x200mm</t>
        </is>
      </c>
    </row>
    <row r="792">
      <c r="A792" t="inlineStr">
        <is>
          <t>SW-DAMPER-170-BLADE</t>
        </is>
      </c>
      <c r="B792" t="inlineStr">
        <is>
          <t>SW-DAMPER-170</t>
        </is>
      </c>
      <c r="C792" t="inlineStr">
        <is>
          <t>Lá cánh / Tôn tấm bọc van (1 cánh)</t>
        </is>
      </c>
      <c r="D792" t="inlineStr">
        <is>
          <t>TÔN_CUỘN_MẠ_KẼM</t>
        </is>
      </c>
      <c r="E792" t="inlineStr">
        <is>
          <t>MAT-STEEL-PN-1.15</t>
        </is>
      </c>
      <c r="F792" t="inlineStr">
        <is>
          <t>kg</t>
        </is>
      </c>
      <c r="G792" s="394" t="n">
        <v>0.8124749999999998</v>
      </c>
      <c r="H792" s="390">
        <f>IFERROR(INDEX('00_TONG_HOP_BAO_GIA'!$G$1:$G$5000, MATCH(B792, '00_TONG_HOP_BAO_GIA'!$B$1:$B$5000, 0)), 1)</f>
        <v/>
      </c>
      <c r="I792" s="395">
        <f>G792*H792</f>
        <v/>
      </c>
      <c r="J792" s="390">
        <f>IFERROR(INDEX('06_BANG_GIA_VAT_TU_AP_DUNG'!$E$1:$E$5000, MATCH(E792, '06_BANG_GIA_VAT_TU_AP_DUNG'!$B$1:$B$5000, 0)), 0)</f>
        <v/>
      </c>
      <c r="K792" s="390">
        <f>I792*J792</f>
        <v/>
      </c>
      <c r="L792" t="inlineStr">
        <is>
          <t>Tôn bọc cánh &amp; thân (1 cánh/modul)</t>
        </is>
      </c>
    </row>
    <row r="793">
      <c r="A793" t="inlineStr">
        <is>
          <t>SW-DAMPER-170-AXLE</t>
        </is>
      </c>
      <c r="B793" t="inlineStr">
        <is>
          <t>SW-DAMPER-170</t>
        </is>
      </c>
      <c r="C793" t="inlineStr">
        <is>
          <t>Trục Sus 201 D10</t>
        </is>
      </c>
      <c r="D793" t="inlineStr">
        <is>
          <t>PHỤ_KIỆN_VAN</t>
        </is>
      </c>
      <c r="E793" t="inlineStr">
        <is>
          <t>MAT-DAMPER-TRUC-SUS-201-D10</t>
        </is>
      </c>
      <c r="F793" t="inlineStr">
        <is>
          <t>m</t>
        </is>
      </c>
      <c r="G793" s="394" t="n">
        <v>0.36</v>
      </c>
      <c r="H793" s="390">
        <f>IFERROR(INDEX('00_TONG_HOP_BAO_GIA'!$G$1:$G$5000, MATCH(B793, '00_TONG_HOP_BAO_GIA'!$B$1:$B$5000, 0)), 1)</f>
        <v/>
      </c>
      <c r="I793" s="395">
        <f>G793*H793</f>
        <v/>
      </c>
      <c r="J793" s="390">
        <f>IFERROR(INDEX('06_BANG_GIA_VAT_TU_AP_DUNG'!$E$1:$E$5000, MATCH(E793, '06_BANG_GIA_VAT_TU_AP_DUNG'!$B$1:$B$5000, 0)), 0)</f>
        <v/>
      </c>
      <c r="K793" s="390">
        <f>I793*J793</f>
        <v/>
      </c>
      <c r="L793" t="inlineStr">
        <is>
          <t>1 trục dài 360mm</t>
        </is>
      </c>
    </row>
    <row r="794">
      <c r="A794" t="inlineStr">
        <is>
          <t>SW-DAMPER-170-BEARING</t>
        </is>
      </c>
      <c r="B794" t="inlineStr">
        <is>
          <t>SW-DAMPER-170</t>
        </is>
      </c>
      <c r="C794" t="inlineStr">
        <is>
          <t>Bạc đồng D10</t>
        </is>
      </c>
      <c r="D794" t="inlineStr">
        <is>
          <t>PHỤ_KIỆN_VAN</t>
        </is>
      </c>
      <c r="E794" t="inlineStr">
        <is>
          <t>MAT-DAMPER-BAC-DONG-D10</t>
        </is>
      </c>
      <c r="F794" t="inlineStr">
        <is>
          <t>Đôi</t>
        </is>
      </c>
      <c r="G794" s="394" t="n">
        <v>1</v>
      </c>
      <c r="H794" s="390">
        <f>IFERROR(INDEX('00_TONG_HOP_BAO_GIA'!$G$1:$G$5000, MATCH(B794, '00_TONG_HOP_BAO_GIA'!$B$1:$B$5000, 0)), 1)</f>
        <v/>
      </c>
      <c r="I794" s="395">
        <f>G794*H794</f>
        <v/>
      </c>
      <c r="J794" s="390">
        <f>IFERROR(INDEX('06_BANG_GIA_VAT_TU_AP_DUNG'!$E$1:$E$5000, MATCH(E794, '06_BANG_GIA_VAT_TU_AP_DUNG'!$B$1:$B$5000, 0)), 0)</f>
        <v/>
      </c>
      <c r="K794" s="390">
        <f>I794*J794</f>
        <v/>
      </c>
      <c r="L794" t="inlineStr">
        <is>
          <t>1 đôi bạc đỡ 2 bên thân</t>
        </is>
      </c>
    </row>
    <row r="795">
      <c r="A795" t="inlineStr">
        <is>
          <t>SW-DAMPER-170-FUSE</t>
        </is>
      </c>
      <c r="B795" t="inlineStr">
        <is>
          <t>SW-DAMPER-170</t>
        </is>
      </c>
      <c r="C795" t="inlineStr">
        <is>
          <t>Cầu chì nhiệt nóng chảy 70°C/74°C (Elsie/USA)</t>
        </is>
      </c>
      <c r="D795" t="inlineStr">
        <is>
          <t>PHỤ_KIỆN_VAN</t>
        </is>
      </c>
      <c r="E795" t="inlineStr">
        <is>
          <t>MAT-DAMPER-CAU-CHI-USA-1-400X400</t>
        </is>
      </c>
      <c r="F795" t="inlineStr">
        <is>
          <t>Cái</t>
        </is>
      </c>
      <c r="G795" s="394" t="n">
        <v>1</v>
      </c>
      <c r="H795" s="390">
        <f>IFERROR(INDEX('00_TONG_HOP_BAO_GIA'!$G$1:$G$5000, MATCH(B795, '00_TONG_HOP_BAO_GIA'!$B$1:$B$5000, 0)), 1)</f>
        <v/>
      </c>
      <c r="I795" s="395">
        <f>G795*H795</f>
        <v/>
      </c>
      <c r="J795" s="390">
        <f>IFERROR(INDEX('06_BANG_GIA_VAT_TU_AP_DUNG'!$E$1:$E$5000, MATCH(E795, '06_BANG_GIA_VAT_TU_AP_DUNG'!$B$1:$B$5000, 0)), 0)</f>
        <v/>
      </c>
      <c r="K795" s="390">
        <f>I795*J795</f>
        <v/>
      </c>
      <c r="L795" t="inlineStr">
        <is>
          <t>Cầu chì kiểm định PCCC (1 cái)</t>
        </is>
      </c>
    </row>
    <row r="796">
      <c r="A796" t="inlineStr">
        <is>
          <t>SW-DAMPER-170-FUSE-HANDLE</t>
        </is>
      </c>
      <c r="B796" t="inlineStr">
        <is>
          <t>SW-DAMPER-170</t>
        </is>
      </c>
      <c r="C796" t="inlineStr">
        <is>
          <t>Tay gạt cầu chì van FD</t>
        </is>
      </c>
      <c r="D796" t="inlineStr">
        <is>
          <t>PHỤ_KIỆN_VAN</t>
        </is>
      </c>
      <c r="E796" t="inlineStr">
        <is>
          <t>MAT-DAMPER-TAY-GAT-CAU-CHI-1</t>
        </is>
      </c>
      <c r="F796" t="inlineStr">
        <is>
          <t>Bộ</t>
        </is>
      </c>
      <c r="G796" s="394" t="n">
        <v>1</v>
      </c>
      <c r="H796" s="390">
        <f>IFERROR(INDEX('00_TONG_HOP_BAO_GIA'!$G$1:$G$5000, MATCH(B796, '00_TONG_HOP_BAO_GIA'!$B$1:$B$5000, 0)), 1)</f>
        <v/>
      </c>
      <c r="I796" s="395">
        <f>G796*H796</f>
        <v/>
      </c>
      <c r="J796" s="390">
        <f>IFERROR(INDEX('06_BANG_GIA_VAT_TU_AP_DUNG'!$E$1:$E$5000, MATCH(E796, '06_BANG_GIA_VAT_TU_AP_DUNG'!$B$1:$B$5000, 0)), 0)</f>
        <v/>
      </c>
      <c r="K796" s="390">
        <f>I796*J796</f>
        <v/>
      </c>
      <c r="L796" t="inlineStr">
        <is>
          <t>Cơ cấu tay gạt giữ cầu chì (1 bộ)</t>
        </is>
      </c>
    </row>
    <row r="797">
      <c r="A797" t="inlineStr">
        <is>
          <t>SW-DAMPER-170-FB10-BODY</t>
        </is>
      </c>
      <c r="B797" t="inlineStr">
        <is>
          <t>SW-DAMPER-170</t>
        </is>
      </c>
      <c r="C797" t="inlineStr">
        <is>
          <t>Tấm chống cháy dày 10mm bọc thân van FD/MFD (2 lớp)</t>
        </is>
      </c>
      <c r="D797" t="inlineStr">
        <is>
          <t>VẬT_LIỆU_CÁCH_NHIỆT</t>
        </is>
      </c>
      <c r="E797" t="inlineStr">
        <is>
          <t>MAT-FIREBOARD-10MM-BODY</t>
        </is>
      </c>
      <c r="F797" t="inlineStr">
        <is>
          <t>m2</t>
        </is>
      </c>
      <c r="G797" s="394" t="n">
        <v>0.54</v>
      </c>
      <c r="H797" s="390">
        <f>IFERROR(INDEX('00_TONG_HOP_BAO_GIA'!$G$1:$G$5000, MATCH(B797, '00_TONG_HOP_BAO_GIA'!$B$1:$B$5000, 0)), 1)</f>
        <v/>
      </c>
      <c r="I797" s="395">
        <f>G797*H797</f>
        <v/>
      </c>
      <c r="J797" s="390">
        <f>IFERROR(INDEX('06_BANG_GIA_VAT_TU_AP_DUNG'!$E$1:$E$5000, MATCH(E797, '06_BANG_GIA_VAT_TU_AP_DUNG'!$B$1:$B$5000, 0)), 0)</f>
        <v/>
      </c>
      <c r="K797" s="390">
        <f>I797*J797</f>
        <v/>
      </c>
      <c r="L797" t="inlineStr">
        <is>
          <t>Bọc 2 lớp tấm 10mm quanh thân L=300mm</t>
        </is>
      </c>
    </row>
    <row r="798">
      <c r="A798" t="inlineStr">
        <is>
          <t>SW-DAMPER-170-FB20-BLADE</t>
        </is>
      </c>
      <c r="B798" t="inlineStr">
        <is>
          <t>SW-DAMPER-170</t>
        </is>
      </c>
      <c r="C798" t="inlineStr">
        <is>
          <t>Tấm chống cháy dày 20mm làm lõi cánh van FD/MFD</t>
        </is>
      </c>
      <c r="D798" t="inlineStr">
        <is>
          <t>VẬT_LIỆU_CÁCH_NHIỆT</t>
        </is>
      </c>
      <c r="E798" t="inlineStr">
        <is>
          <t>MAT-FIREBOARD-20MM-BLADE</t>
        </is>
      </c>
      <c r="F798" t="inlineStr">
        <is>
          <t>m2</t>
        </is>
      </c>
      <c r="G798" s="394" t="n">
        <v>0.045</v>
      </c>
      <c r="H798" s="390">
        <f>IFERROR(INDEX('00_TONG_HOP_BAO_GIA'!$G$1:$G$5000, MATCH(B798, '00_TONG_HOP_BAO_GIA'!$B$1:$B$5000, 0)), 1)</f>
        <v/>
      </c>
      <c r="I798" s="395">
        <f>G798*H798</f>
        <v/>
      </c>
      <c r="J798" s="390">
        <f>IFERROR(INDEX('06_BANG_GIA_VAT_TU_AP_DUNG'!$E$1:$E$5000, MATCH(E798, '06_BANG_GIA_VAT_TU_AP_DUNG'!$B$1:$B$5000, 0)), 0)</f>
        <v/>
      </c>
      <c r="K798" s="390">
        <f>I798*J798</f>
        <v/>
      </c>
      <c r="L798" t="inlineStr">
        <is>
          <t>Lõi cánh tấm 20mm (Cánh đơn 300x150mm)</t>
        </is>
      </c>
    </row>
    <row r="799">
      <c r="A799" t="inlineStr">
        <is>
          <t>SW-DAMPER-170-FB10-BLADE</t>
        </is>
      </c>
      <c r="B799" t="inlineStr">
        <is>
          <t>SW-DAMPER-170</t>
        </is>
      </c>
      <c r="C799" t="inlineStr">
        <is>
          <t>Tấm chống cháy dày 10mm ốp 2 mặt cánh van FD/MFD</t>
        </is>
      </c>
      <c r="D799" t="inlineStr">
        <is>
          <t>VẬT_LIỆU_CÁCH_NHIỆT</t>
        </is>
      </c>
      <c r="E799" t="inlineStr">
        <is>
          <t>MAT-FIREBOARD-10MM-BLADE</t>
        </is>
      </c>
      <c r="F799" t="inlineStr">
        <is>
          <t>m2</t>
        </is>
      </c>
      <c r="G799" s="394" t="n">
        <v>0.09</v>
      </c>
      <c r="H799" s="390">
        <f>IFERROR(INDEX('00_TONG_HOP_BAO_GIA'!$G$1:$G$5000, MATCH(B799, '00_TONG_HOP_BAO_GIA'!$B$1:$B$5000, 0)), 1)</f>
        <v/>
      </c>
      <c r="I799" s="395">
        <f>G799*H799</f>
        <v/>
      </c>
      <c r="J799" s="390">
        <f>IFERROR(INDEX('06_BANG_GIA_VAT_TU_AP_DUNG'!$E$1:$E$5000, MATCH(E799, '06_BANG_GIA_VAT_TU_AP_DUNG'!$B$1:$B$5000, 0)), 0)</f>
        <v/>
      </c>
      <c r="K799" s="390">
        <f>I799*J799</f>
        <v/>
      </c>
      <c r="L799" t="inlineStr">
        <is>
          <t>Ốp 2 mặt cánh tấm 10mm (Cánh đơn 300x150mm)</t>
        </is>
      </c>
    </row>
    <row r="800">
      <c r="A800" t="inlineStr">
        <is>
          <t>SW-DAMPER-170-SPRING-BOX</t>
        </is>
      </c>
      <c r="B800" t="inlineStr">
        <is>
          <t>SW-DAMPER-170</t>
        </is>
      </c>
      <c r="C800" t="inlineStr">
        <is>
          <t>Hộp lò xo van chặn lửa FD/MFD</t>
        </is>
      </c>
      <c r="D800" t="inlineStr">
        <is>
          <t>PHỤ_KIỆN_VAN</t>
        </is>
      </c>
      <c r="E800" t="inlineStr">
        <is>
          <t>MAT-DAMPER-HOP-LO-XO</t>
        </is>
      </c>
      <c r="F800" t="inlineStr">
        <is>
          <t>Bộ</t>
        </is>
      </c>
      <c r="G800" s="394" t="n">
        <v>1</v>
      </c>
      <c r="H800" s="390">
        <f>IFERROR(INDEX('00_TONG_HOP_BAO_GIA'!$G$1:$G$5000, MATCH(B800, '00_TONG_HOP_BAO_GIA'!$B$1:$B$5000, 0)), 1)</f>
        <v/>
      </c>
      <c r="I800" s="395">
        <f>G800*H800</f>
        <v/>
      </c>
      <c r="J800" s="390">
        <f>IFERROR(INDEX('06_BANG_GIA_VAT_TU_AP_DUNG'!$E$1:$E$5000, MATCH(E800, '06_BANG_GIA_VAT_TU_AP_DUNG'!$B$1:$B$5000, 0)), 0)</f>
        <v/>
      </c>
      <c r="K800" s="390">
        <f>I800*J800</f>
        <v/>
      </c>
      <c r="L800" t="inlineStr">
        <is>
          <t>Hộp lò xo cơ cấu đóng sập (1 bộ)</t>
        </is>
      </c>
    </row>
    <row r="801">
      <c r="A801" t="inlineStr">
        <is>
          <t>SW-DAMPER-170-SILICON-BOLT</t>
        </is>
      </c>
      <c r="B801" t="inlineStr">
        <is>
          <t>SW-DAMPER-170</t>
        </is>
      </c>
      <c r="C801" t="inlineStr">
        <is>
          <t>Silicon chống cháy + bu lông, ốc vít van FD/MFD</t>
        </is>
      </c>
      <c r="D801" t="inlineStr">
        <is>
          <t>PHỤ_KIỆN_VAN</t>
        </is>
      </c>
      <c r="E801" t="inlineStr">
        <is>
          <t>MAT-DAMPER-SILICON-BULONG-VIT</t>
        </is>
      </c>
      <c r="F801" t="inlineStr">
        <is>
          <t>Bộ</t>
        </is>
      </c>
      <c r="G801" s="394" t="n">
        <v>1</v>
      </c>
      <c r="H801" s="390">
        <f>IFERROR(INDEX('00_TONG_HOP_BAO_GIA'!$G$1:$G$5000, MATCH(B801, '00_TONG_HOP_BAO_GIA'!$B$1:$B$5000, 0)), 1)</f>
        <v/>
      </c>
      <c r="I801" s="395">
        <f>G801*H801</f>
        <v/>
      </c>
      <c r="J801" s="390">
        <f>IFERROR(INDEX('06_BANG_GIA_VAT_TU_AP_DUNG'!$E$1:$E$5000, MATCH(E801, '06_BANG_GIA_VAT_TU_AP_DUNG'!$B$1:$B$5000, 0)), 0)</f>
        <v/>
      </c>
      <c r="K801" s="390">
        <f>I801*J801</f>
        <v/>
      </c>
      <c r="L801" t="inlineStr">
        <is>
          <t>Keo silicon chống cháy &amp; phụ kiện lắp ghép (1 bộ)</t>
        </is>
      </c>
    </row>
    <row r="802">
      <c r="A802" t="inlineStr">
        <is>
          <t>SW-DAMPER-171-BODY</t>
        </is>
      </c>
      <c r="B802" t="inlineStr">
        <is>
          <t>SW-DAMPER-171</t>
        </is>
      </c>
      <c r="C802" t="inlineStr">
        <is>
          <t>Thân vỏ van FD bích C30/TDF (1.15mm)</t>
        </is>
      </c>
      <c r="D802" t="inlineStr">
        <is>
          <t>TÔN_CUỘN_MẠ_KẼM</t>
        </is>
      </c>
      <c r="E802" t="inlineStr">
        <is>
          <t>MAT-STEEL-PN-1.15</t>
        </is>
      </c>
      <c r="F802" t="inlineStr">
        <is>
          <t>kg</t>
        </is>
      </c>
      <c r="G802" s="394" t="n">
        <v>2.6616681</v>
      </c>
      <c r="H802" s="390">
        <f>IFERROR(INDEX('00_TONG_HOP_BAO_GIA'!$G$1:$G$5000, MATCH(B802, '00_TONG_HOP_BAO_GIA'!$B$1:$B$5000, 0)), 1)</f>
        <v/>
      </c>
      <c r="I802" s="395">
        <f>G802*H802</f>
        <v/>
      </c>
      <c r="J802" s="390">
        <f>IFERROR(INDEX('06_BANG_GIA_VAT_TU_AP_DUNG'!$E$1:$E$5000, MATCH(E802, '06_BANG_GIA_VAT_TU_AP_DUNG'!$B$1:$B$5000, 0)), 0)</f>
        <v/>
      </c>
      <c r="K802" s="390">
        <f>I802*J802</f>
        <v/>
      </c>
      <c r="L802" t="inlineStr">
        <is>
          <t>Kích thước vỏ 300x200x200mm</t>
        </is>
      </c>
    </row>
    <row r="803">
      <c r="A803" t="inlineStr">
        <is>
          <t>SW-DAMPER-171-BLADE</t>
        </is>
      </c>
      <c r="B803" t="inlineStr">
        <is>
          <t>SW-DAMPER-171</t>
        </is>
      </c>
      <c r="C803" t="inlineStr">
        <is>
          <t>Lá cánh / Tôn tấm bọc van (1 cánh)</t>
        </is>
      </c>
      <c r="D803" t="inlineStr">
        <is>
          <t>TÔN_CUỘN_MẠ_KẼM</t>
        </is>
      </c>
      <c r="E803" t="inlineStr">
        <is>
          <t>MAT-STEEL-PN-1.15</t>
        </is>
      </c>
      <c r="F803" t="inlineStr">
        <is>
          <t>kg</t>
        </is>
      </c>
      <c r="G803" s="394" t="n">
        <v>1.0833</v>
      </c>
      <c r="H803" s="390">
        <f>IFERROR(INDEX('00_TONG_HOP_BAO_GIA'!$G$1:$G$5000, MATCH(B803, '00_TONG_HOP_BAO_GIA'!$B$1:$B$5000, 0)), 1)</f>
        <v/>
      </c>
      <c r="I803" s="395">
        <f>G803*H803</f>
        <v/>
      </c>
      <c r="J803" s="390">
        <f>IFERROR(INDEX('06_BANG_GIA_VAT_TU_AP_DUNG'!$E$1:$E$5000, MATCH(E803, '06_BANG_GIA_VAT_TU_AP_DUNG'!$B$1:$B$5000, 0)), 0)</f>
        <v/>
      </c>
      <c r="K803" s="390">
        <f>I803*J803</f>
        <v/>
      </c>
      <c r="L803" t="inlineStr">
        <is>
          <t>Tôn bọc cánh &amp; thân (1 cánh/modul)</t>
        </is>
      </c>
    </row>
    <row r="804">
      <c r="A804" t="inlineStr">
        <is>
          <t>SW-DAMPER-171-AXLE</t>
        </is>
      </c>
      <c r="B804" t="inlineStr">
        <is>
          <t>SW-DAMPER-171</t>
        </is>
      </c>
      <c r="C804" t="inlineStr">
        <is>
          <t>Trục Sus 201 D10</t>
        </is>
      </c>
      <c r="D804" t="inlineStr">
        <is>
          <t>PHỤ_KIỆN_VAN</t>
        </is>
      </c>
      <c r="E804" t="inlineStr">
        <is>
          <t>MAT-DAMPER-TRUC-SUS-201-D10</t>
        </is>
      </c>
      <c r="F804" t="inlineStr">
        <is>
          <t>m</t>
        </is>
      </c>
      <c r="G804" s="394" t="n">
        <v>0.36</v>
      </c>
      <c r="H804" s="390">
        <f>IFERROR(INDEX('00_TONG_HOP_BAO_GIA'!$G$1:$G$5000, MATCH(B804, '00_TONG_HOP_BAO_GIA'!$B$1:$B$5000, 0)), 1)</f>
        <v/>
      </c>
      <c r="I804" s="395">
        <f>G804*H804</f>
        <v/>
      </c>
      <c r="J804" s="390">
        <f>IFERROR(INDEX('06_BANG_GIA_VAT_TU_AP_DUNG'!$E$1:$E$5000, MATCH(E804, '06_BANG_GIA_VAT_TU_AP_DUNG'!$B$1:$B$5000, 0)), 0)</f>
        <v/>
      </c>
      <c r="K804" s="390">
        <f>I804*J804</f>
        <v/>
      </c>
      <c r="L804" t="inlineStr">
        <is>
          <t>1 trục dài 360mm</t>
        </is>
      </c>
    </row>
    <row r="805">
      <c r="A805" t="inlineStr">
        <is>
          <t>SW-DAMPER-171-BEARING</t>
        </is>
      </c>
      <c r="B805" t="inlineStr">
        <is>
          <t>SW-DAMPER-171</t>
        </is>
      </c>
      <c r="C805" t="inlineStr">
        <is>
          <t>Bạc đồng D10</t>
        </is>
      </c>
      <c r="D805" t="inlineStr">
        <is>
          <t>PHỤ_KIỆN_VAN</t>
        </is>
      </c>
      <c r="E805" t="inlineStr">
        <is>
          <t>MAT-DAMPER-BAC-DONG-D10</t>
        </is>
      </c>
      <c r="F805" t="inlineStr">
        <is>
          <t>Đôi</t>
        </is>
      </c>
      <c r="G805" s="394" t="n">
        <v>1</v>
      </c>
      <c r="H805" s="390">
        <f>IFERROR(INDEX('00_TONG_HOP_BAO_GIA'!$G$1:$G$5000, MATCH(B805, '00_TONG_HOP_BAO_GIA'!$B$1:$B$5000, 0)), 1)</f>
        <v/>
      </c>
      <c r="I805" s="395">
        <f>G805*H805</f>
        <v/>
      </c>
      <c r="J805" s="390">
        <f>IFERROR(INDEX('06_BANG_GIA_VAT_TU_AP_DUNG'!$E$1:$E$5000, MATCH(E805, '06_BANG_GIA_VAT_TU_AP_DUNG'!$B$1:$B$5000, 0)), 0)</f>
        <v/>
      </c>
      <c r="K805" s="390">
        <f>I805*J805</f>
        <v/>
      </c>
      <c r="L805" t="inlineStr">
        <is>
          <t>1 đôi bạc đỡ 2 bên thân</t>
        </is>
      </c>
    </row>
    <row r="806">
      <c r="A806" t="inlineStr">
        <is>
          <t>SW-DAMPER-171-FUSE</t>
        </is>
      </c>
      <c r="B806" t="inlineStr">
        <is>
          <t>SW-DAMPER-171</t>
        </is>
      </c>
      <c r="C806" t="inlineStr">
        <is>
          <t>Cầu chì nhiệt nóng chảy 70°C/74°C (Elsie/USA)</t>
        </is>
      </c>
      <c r="D806" t="inlineStr">
        <is>
          <t>PHỤ_KIỆN_VAN</t>
        </is>
      </c>
      <c r="E806" t="inlineStr">
        <is>
          <t>MAT-DAMPER-CAU-CHI-USA-1-400X400</t>
        </is>
      </c>
      <c r="F806" t="inlineStr">
        <is>
          <t>Cái</t>
        </is>
      </c>
      <c r="G806" s="394" t="n">
        <v>1</v>
      </c>
      <c r="H806" s="390">
        <f>IFERROR(INDEX('00_TONG_HOP_BAO_GIA'!$G$1:$G$5000, MATCH(B806, '00_TONG_HOP_BAO_GIA'!$B$1:$B$5000, 0)), 1)</f>
        <v/>
      </c>
      <c r="I806" s="395">
        <f>G806*H806</f>
        <v/>
      </c>
      <c r="J806" s="390">
        <f>IFERROR(INDEX('06_BANG_GIA_VAT_TU_AP_DUNG'!$E$1:$E$5000, MATCH(E806, '06_BANG_GIA_VAT_TU_AP_DUNG'!$B$1:$B$5000, 0)), 0)</f>
        <v/>
      </c>
      <c r="K806" s="390">
        <f>I806*J806</f>
        <v/>
      </c>
      <c r="L806" t="inlineStr">
        <is>
          <t>Cầu chì kiểm định PCCC (1 cái)</t>
        </is>
      </c>
    </row>
    <row r="807">
      <c r="A807" t="inlineStr">
        <is>
          <t>SW-DAMPER-171-FUSE-HANDLE</t>
        </is>
      </c>
      <c r="B807" t="inlineStr">
        <is>
          <t>SW-DAMPER-171</t>
        </is>
      </c>
      <c r="C807" t="inlineStr">
        <is>
          <t>Tay gạt cầu chì van FD</t>
        </is>
      </c>
      <c r="D807" t="inlineStr">
        <is>
          <t>PHỤ_KIỆN_VAN</t>
        </is>
      </c>
      <c r="E807" t="inlineStr">
        <is>
          <t>MAT-DAMPER-TAY-GAT-CAU-CHI-1</t>
        </is>
      </c>
      <c r="F807" t="inlineStr">
        <is>
          <t>Bộ</t>
        </is>
      </c>
      <c r="G807" s="394" t="n">
        <v>1</v>
      </c>
      <c r="H807" s="390">
        <f>IFERROR(INDEX('00_TONG_HOP_BAO_GIA'!$G$1:$G$5000, MATCH(B807, '00_TONG_HOP_BAO_GIA'!$B$1:$B$5000, 0)), 1)</f>
        <v/>
      </c>
      <c r="I807" s="395">
        <f>G807*H807</f>
        <v/>
      </c>
      <c r="J807" s="390">
        <f>IFERROR(INDEX('06_BANG_GIA_VAT_TU_AP_DUNG'!$E$1:$E$5000, MATCH(E807, '06_BANG_GIA_VAT_TU_AP_DUNG'!$B$1:$B$5000, 0)), 0)</f>
        <v/>
      </c>
      <c r="K807" s="390">
        <f>I807*J807</f>
        <v/>
      </c>
      <c r="L807" t="inlineStr">
        <is>
          <t>Cơ cấu tay gạt giữ cầu chì (1 bộ)</t>
        </is>
      </c>
    </row>
    <row r="808">
      <c r="A808" t="inlineStr">
        <is>
          <t>SW-DAMPER-171-FB10-BODY</t>
        </is>
      </c>
      <c r="B808" t="inlineStr">
        <is>
          <t>SW-DAMPER-171</t>
        </is>
      </c>
      <c r="C808" t="inlineStr">
        <is>
          <t>Tấm chống cháy dày 10mm bọc thân van FD/MFD (2 lớp)</t>
        </is>
      </c>
      <c r="D808" t="inlineStr">
        <is>
          <t>VẬT_LIỆU_CÁCH_NHIỆT</t>
        </is>
      </c>
      <c r="E808" t="inlineStr">
        <is>
          <t>MAT-FIREBOARD-10MM-BODY</t>
        </is>
      </c>
      <c r="F808" t="inlineStr">
        <is>
          <t>m2</t>
        </is>
      </c>
      <c r="G808" s="394" t="n">
        <v>0.6</v>
      </c>
      <c r="H808" s="390">
        <f>IFERROR(INDEX('00_TONG_HOP_BAO_GIA'!$G$1:$G$5000, MATCH(B808, '00_TONG_HOP_BAO_GIA'!$B$1:$B$5000, 0)), 1)</f>
        <v/>
      </c>
      <c r="I808" s="395">
        <f>G808*H808</f>
        <v/>
      </c>
      <c r="J808" s="390">
        <f>IFERROR(INDEX('06_BANG_GIA_VAT_TU_AP_DUNG'!$E$1:$E$5000, MATCH(E808, '06_BANG_GIA_VAT_TU_AP_DUNG'!$B$1:$B$5000, 0)), 0)</f>
        <v/>
      </c>
      <c r="K808" s="390">
        <f>I808*J808</f>
        <v/>
      </c>
      <c r="L808" t="inlineStr">
        <is>
          <t>Bọc 2 lớp tấm 10mm quanh thân L=300mm</t>
        </is>
      </c>
    </row>
    <row r="809">
      <c r="A809" t="inlineStr">
        <is>
          <t>SW-DAMPER-171-FB20-BLADE</t>
        </is>
      </c>
      <c r="B809" t="inlineStr">
        <is>
          <t>SW-DAMPER-171</t>
        </is>
      </c>
      <c r="C809" t="inlineStr">
        <is>
          <t>Tấm chống cháy dày 20mm làm lõi cánh van FD/MFD</t>
        </is>
      </c>
      <c r="D809" t="inlineStr">
        <is>
          <t>VẬT_LIỆU_CÁCH_NHIỆT</t>
        </is>
      </c>
      <c r="E809" t="inlineStr">
        <is>
          <t>MAT-FIREBOARD-20MM-BLADE</t>
        </is>
      </c>
      <c r="F809" t="inlineStr">
        <is>
          <t>m2</t>
        </is>
      </c>
      <c r="G809" s="394" t="n">
        <v>0.06</v>
      </c>
      <c r="H809" s="390">
        <f>IFERROR(INDEX('00_TONG_HOP_BAO_GIA'!$G$1:$G$5000, MATCH(B809, '00_TONG_HOP_BAO_GIA'!$B$1:$B$5000, 0)), 1)</f>
        <v/>
      </c>
      <c r="I809" s="395">
        <f>G809*H809</f>
        <v/>
      </c>
      <c r="J809" s="390">
        <f>IFERROR(INDEX('06_BANG_GIA_VAT_TU_AP_DUNG'!$E$1:$E$5000, MATCH(E809, '06_BANG_GIA_VAT_TU_AP_DUNG'!$B$1:$B$5000, 0)), 0)</f>
        <v/>
      </c>
      <c r="K809" s="390">
        <f>I809*J809</f>
        <v/>
      </c>
      <c r="L809" t="inlineStr">
        <is>
          <t>Lõi cánh tấm 20mm (Cánh đơn 300x200mm)</t>
        </is>
      </c>
    </row>
    <row r="810">
      <c r="A810" t="inlineStr">
        <is>
          <t>SW-DAMPER-171-FB10-BLADE</t>
        </is>
      </c>
      <c r="B810" t="inlineStr">
        <is>
          <t>SW-DAMPER-171</t>
        </is>
      </c>
      <c r="C810" t="inlineStr">
        <is>
          <t>Tấm chống cháy dày 10mm ốp 2 mặt cánh van FD/MFD</t>
        </is>
      </c>
      <c r="D810" t="inlineStr">
        <is>
          <t>VẬT_LIỆU_CÁCH_NHIỆT</t>
        </is>
      </c>
      <c r="E810" t="inlineStr">
        <is>
          <t>MAT-FIREBOARD-10MM-BLADE</t>
        </is>
      </c>
      <c r="F810" t="inlineStr">
        <is>
          <t>m2</t>
        </is>
      </c>
      <c r="G810" s="394" t="n">
        <v>0.12</v>
      </c>
      <c r="H810" s="390">
        <f>IFERROR(INDEX('00_TONG_HOP_BAO_GIA'!$G$1:$G$5000, MATCH(B810, '00_TONG_HOP_BAO_GIA'!$B$1:$B$5000, 0)), 1)</f>
        <v/>
      </c>
      <c r="I810" s="395">
        <f>G810*H810</f>
        <v/>
      </c>
      <c r="J810" s="390">
        <f>IFERROR(INDEX('06_BANG_GIA_VAT_TU_AP_DUNG'!$E$1:$E$5000, MATCH(E810, '06_BANG_GIA_VAT_TU_AP_DUNG'!$B$1:$B$5000, 0)), 0)</f>
        <v/>
      </c>
      <c r="K810" s="390">
        <f>I810*J810</f>
        <v/>
      </c>
      <c r="L810" t="inlineStr">
        <is>
          <t>Ốp 2 mặt cánh tấm 10mm (Cánh đơn 300x200mm)</t>
        </is>
      </c>
    </row>
    <row r="811">
      <c r="A811" t="inlineStr">
        <is>
          <t>SW-DAMPER-171-SPRING-BOX</t>
        </is>
      </c>
      <c r="B811" t="inlineStr">
        <is>
          <t>SW-DAMPER-171</t>
        </is>
      </c>
      <c r="C811" t="inlineStr">
        <is>
          <t>Hộp lò xo van chặn lửa FD/MFD</t>
        </is>
      </c>
      <c r="D811" t="inlineStr">
        <is>
          <t>PHỤ_KIỆN_VAN</t>
        </is>
      </c>
      <c r="E811" t="inlineStr">
        <is>
          <t>MAT-DAMPER-HOP-LO-XO</t>
        </is>
      </c>
      <c r="F811" t="inlineStr">
        <is>
          <t>Bộ</t>
        </is>
      </c>
      <c r="G811" s="394" t="n">
        <v>1</v>
      </c>
      <c r="H811" s="390">
        <f>IFERROR(INDEX('00_TONG_HOP_BAO_GIA'!$G$1:$G$5000, MATCH(B811, '00_TONG_HOP_BAO_GIA'!$B$1:$B$5000, 0)), 1)</f>
        <v/>
      </c>
      <c r="I811" s="395">
        <f>G811*H811</f>
        <v/>
      </c>
      <c r="J811" s="390">
        <f>IFERROR(INDEX('06_BANG_GIA_VAT_TU_AP_DUNG'!$E$1:$E$5000, MATCH(E811, '06_BANG_GIA_VAT_TU_AP_DUNG'!$B$1:$B$5000, 0)), 0)</f>
        <v/>
      </c>
      <c r="K811" s="390">
        <f>I811*J811</f>
        <v/>
      </c>
      <c r="L811" t="inlineStr">
        <is>
          <t>Hộp lò xo cơ cấu đóng sập (1 bộ)</t>
        </is>
      </c>
    </row>
    <row r="812">
      <c r="A812" t="inlineStr">
        <is>
          <t>SW-DAMPER-171-SILICON-BOLT</t>
        </is>
      </c>
      <c r="B812" t="inlineStr">
        <is>
          <t>SW-DAMPER-171</t>
        </is>
      </c>
      <c r="C812" t="inlineStr">
        <is>
          <t>Silicon chống cháy + bu lông, ốc vít van FD/MFD</t>
        </is>
      </c>
      <c r="D812" t="inlineStr">
        <is>
          <t>PHỤ_KIỆN_VAN</t>
        </is>
      </c>
      <c r="E812" t="inlineStr">
        <is>
          <t>MAT-DAMPER-SILICON-BULONG-VIT</t>
        </is>
      </c>
      <c r="F812" t="inlineStr">
        <is>
          <t>Bộ</t>
        </is>
      </c>
      <c r="G812" s="394" t="n">
        <v>1</v>
      </c>
      <c r="H812" s="390">
        <f>IFERROR(INDEX('00_TONG_HOP_BAO_GIA'!$G$1:$G$5000, MATCH(B812, '00_TONG_HOP_BAO_GIA'!$B$1:$B$5000, 0)), 1)</f>
        <v/>
      </c>
      <c r="I812" s="395">
        <f>G812*H812</f>
        <v/>
      </c>
      <c r="J812" s="390">
        <f>IFERROR(INDEX('06_BANG_GIA_VAT_TU_AP_DUNG'!$E$1:$E$5000, MATCH(E812, '06_BANG_GIA_VAT_TU_AP_DUNG'!$B$1:$B$5000, 0)), 0)</f>
        <v/>
      </c>
      <c r="K812" s="390">
        <f>I812*J812</f>
        <v/>
      </c>
      <c r="L812" t="inlineStr">
        <is>
          <t>Keo silicon chống cháy &amp; phụ kiện lắp ghép (1 bộ)</t>
        </is>
      </c>
    </row>
    <row r="813">
      <c r="A813" t="inlineStr">
        <is>
          <t>SW-DAMPER-172-BODY</t>
        </is>
      </c>
      <c r="B813" t="inlineStr">
        <is>
          <t>SW-DAMPER-172</t>
        </is>
      </c>
      <c r="C813" t="inlineStr">
        <is>
          <t>Thân vỏ van FD bích C30/TDF (1.15mm)</t>
        </is>
      </c>
      <c r="D813" t="inlineStr">
        <is>
          <t>TÔN_CUỘN_MẠ_KẼM</t>
        </is>
      </c>
      <c r="E813" t="inlineStr">
        <is>
          <t>MAT-STEEL-PN-1.15</t>
        </is>
      </c>
      <c r="F813" t="inlineStr">
        <is>
          <t>kg</t>
        </is>
      </c>
      <c r="G813" s="394" t="n">
        <v>2.917597725</v>
      </c>
      <c r="H813" s="390">
        <f>IFERROR(INDEX('00_TONG_HOP_BAO_GIA'!$G$1:$G$5000, MATCH(B813, '00_TONG_HOP_BAO_GIA'!$B$1:$B$5000, 0)), 1)</f>
        <v/>
      </c>
      <c r="I813" s="395">
        <f>G813*H813</f>
        <v/>
      </c>
      <c r="J813" s="390">
        <f>IFERROR(INDEX('06_BANG_GIA_VAT_TU_AP_DUNG'!$E$1:$E$5000, MATCH(E813, '06_BANG_GIA_VAT_TU_AP_DUNG'!$B$1:$B$5000, 0)), 0)</f>
        <v/>
      </c>
      <c r="K813" s="390">
        <f>I813*J813</f>
        <v/>
      </c>
      <c r="L813" t="inlineStr">
        <is>
          <t>Kích thước vỏ 400x150x200mm</t>
        </is>
      </c>
    </row>
    <row r="814">
      <c r="A814" t="inlineStr">
        <is>
          <t>SW-DAMPER-172-BLADE</t>
        </is>
      </c>
      <c r="B814" t="inlineStr">
        <is>
          <t>SW-DAMPER-172</t>
        </is>
      </c>
      <c r="C814" t="inlineStr">
        <is>
          <t>Lá cánh / Tôn tấm bọc van (1 cánh)</t>
        </is>
      </c>
      <c r="D814" t="inlineStr">
        <is>
          <t>TÔN_CUỘN_MẠ_KẼM</t>
        </is>
      </c>
      <c r="E814" t="inlineStr">
        <is>
          <t>MAT-STEEL-PN-1.15</t>
        </is>
      </c>
      <c r="F814" t="inlineStr">
        <is>
          <t>kg</t>
        </is>
      </c>
      <c r="G814" s="394" t="n">
        <v>1.0833</v>
      </c>
      <c r="H814" s="390">
        <f>IFERROR(INDEX('00_TONG_HOP_BAO_GIA'!$G$1:$G$5000, MATCH(B814, '00_TONG_HOP_BAO_GIA'!$B$1:$B$5000, 0)), 1)</f>
        <v/>
      </c>
      <c r="I814" s="395">
        <f>G814*H814</f>
        <v/>
      </c>
      <c r="J814" s="390">
        <f>IFERROR(INDEX('06_BANG_GIA_VAT_TU_AP_DUNG'!$E$1:$E$5000, MATCH(E814, '06_BANG_GIA_VAT_TU_AP_DUNG'!$B$1:$B$5000, 0)), 0)</f>
        <v/>
      </c>
      <c r="K814" s="390">
        <f>I814*J814</f>
        <v/>
      </c>
      <c r="L814" t="inlineStr">
        <is>
          <t>Tôn bọc cánh &amp; thân (1 cánh/modul)</t>
        </is>
      </c>
    </row>
    <row r="815">
      <c r="A815" t="inlineStr">
        <is>
          <t>SW-DAMPER-172-AXLE</t>
        </is>
      </c>
      <c r="B815" t="inlineStr">
        <is>
          <t>SW-DAMPER-172</t>
        </is>
      </c>
      <c r="C815" t="inlineStr">
        <is>
          <t>Trục Sus 201 D10</t>
        </is>
      </c>
      <c r="D815" t="inlineStr">
        <is>
          <t>PHỤ_KIỆN_VAN</t>
        </is>
      </c>
      <c r="E815" t="inlineStr">
        <is>
          <t>MAT-DAMPER-TRUC-SUS-201-D10</t>
        </is>
      </c>
      <c r="F815" t="inlineStr">
        <is>
          <t>m</t>
        </is>
      </c>
      <c r="G815" s="394" t="n">
        <v>0.46</v>
      </c>
      <c r="H815" s="390">
        <f>IFERROR(INDEX('00_TONG_HOP_BAO_GIA'!$G$1:$G$5000, MATCH(B815, '00_TONG_HOP_BAO_GIA'!$B$1:$B$5000, 0)), 1)</f>
        <v/>
      </c>
      <c r="I815" s="395">
        <f>G815*H815</f>
        <v/>
      </c>
      <c r="J815" s="390">
        <f>IFERROR(INDEX('06_BANG_GIA_VAT_TU_AP_DUNG'!$E$1:$E$5000, MATCH(E815, '06_BANG_GIA_VAT_TU_AP_DUNG'!$B$1:$B$5000, 0)), 0)</f>
        <v/>
      </c>
      <c r="K815" s="390">
        <f>I815*J815</f>
        <v/>
      </c>
      <c r="L815" t="inlineStr">
        <is>
          <t>1 trục dài 460mm</t>
        </is>
      </c>
    </row>
    <row r="816">
      <c r="A816" t="inlineStr">
        <is>
          <t>SW-DAMPER-172-BEARING</t>
        </is>
      </c>
      <c r="B816" t="inlineStr">
        <is>
          <t>SW-DAMPER-172</t>
        </is>
      </c>
      <c r="C816" t="inlineStr">
        <is>
          <t>Bạc đồng D10</t>
        </is>
      </c>
      <c r="D816" t="inlineStr">
        <is>
          <t>PHỤ_KIỆN_VAN</t>
        </is>
      </c>
      <c r="E816" t="inlineStr">
        <is>
          <t>MAT-DAMPER-BAC-DONG-D10</t>
        </is>
      </c>
      <c r="F816" t="inlineStr">
        <is>
          <t>Đôi</t>
        </is>
      </c>
      <c r="G816" s="394" t="n">
        <v>1</v>
      </c>
      <c r="H816" s="390">
        <f>IFERROR(INDEX('00_TONG_HOP_BAO_GIA'!$G$1:$G$5000, MATCH(B816, '00_TONG_HOP_BAO_GIA'!$B$1:$B$5000, 0)), 1)</f>
        <v/>
      </c>
      <c r="I816" s="395">
        <f>G816*H816</f>
        <v/>
      </c>
      <c r="J816" s="390">
        <f>IFERROR(INDEX('06_BANG_GIA_VAT_TU_AP_DUNG'!$E$1:$E$5000, MATCH(E816, '06_BANG_GIA_VAT_TU_AP_DUNG'!$B$1:$B$5000, 0)), 0)</f>
        <v/>
      </c>
      <c r="K816" s="390">
        <f>I816*J816</f>
        <v/>
      </c>
      <c r="L816" t="inlineStr">
        <is>
          <t>1 đôi bạc đỡ 2 bên thân</t>
        </is>
      </c>
    </row>
    <row r="817">
      <c r="A817" t="inlineStr">
        <is>
          <t>SW-DAMPER-172-FUSE</t>
        </is>
      </c>
      <c r="B817" t="inlineStr">
        <is>
          <t>SW-DAMPER-172</t>
        </is>
      </c>
      <c r="C817" t="inlineStr">
        <is>
          <t>Cầu chì nhiệt nóng chảy 70°C/74°C (Elsie/USA)</t>
        </is>
      </c>
      <c r="D817" t="inlineStr">
        <is>
          <t>PHỤ_KIỆN_VAN</t>
        </is>
      </c>
      <c r="E817" t="inlineStr">
        <is>
          <t>MAT-DAMPER-CAU-CHI-USA-2-400X400</t>
        </is>
      </c>
      <c r="F817" t="inlineStr">
        <is>
          <t>Cái</t>
        </is>
      </c>
      <c r="G817" s="394" t="n">
        <v>1</v>
      </c>
      <c r="H817" s="390">
        <f>IFERROR(INDEX('00_TONG_HOP_BAO_GIA'!$G$1:$G$5000, MATCH(B817, '00_TONG_HOP_BAO_GIA'!$B$1:$B$5000, 0)), 1)</f>
        <v/>
      </c>
      <c r="I817" s="395">
        <f>G817*H817</f>
        <v/>
      </c>
      <c r="J817" s="390">
        <f>IFERROR(INDEX('06_BANG_GIA_VAT_TU_AP_DUNG'!$E$1:$E$5000, MATCH(E817, '06_BANG_GIA_VAT_TU_AP_DUNG'!$B$1:$B$5000, 0)), 0)</f>
        <v/>
      </c>
      <c r="K817" s="390">
        <f>I817*J817</f>
        <v/>
      </c>
      <c r="L817" t="inlineStr">
        <is>
          <t>Cầu chì kiểm định PCCC (1 cái)</t>
        </is>
      </c>
    </row>
    <row r="818">
      <c r="A818" t="inlineStr">
        <is>
          <t>SW-DAMPER-172-FUSE-HANDLE</t>
        </is>
      </c>
      <c r="B818" t="inlineStr">
        <is>
          <t>SW-DAMPER-172</t>
        </is>
      </c>
      <c r="C818" t="inlineStr">
        <is>
          <t>Tay gạt cầu chì van FD</t>
        </is>
      </c>
      <c r="D818" t="inlineStr">
        <is>
          <t>PHỤ_KIỆN_VAN</t>
        </is>
      </c>
      <c r="E818" t="inlineStr">
        <is>
          <t>MAT-DAMPER-TAY-GAT-CAU-CHI-1</t>
        </is>
      </c>
      <c r="F818" t="inlineStr">
        <is>
          <t>Bộ</t>
        </is>
      </c>
      <c r="G818" s="394" t="n">
        <v>1</v>
      </c>
      <c r="H818" s="390">
        <f>IFERROR(INDEX('00_TONG_HOP_BAO_GIA'!$G$1:$G$5000, MATCH(B818, '00_TONG_HOP_BAO_GIA'!$B$1:$B$5000, 0)), 1)</f>
        <v/>
      </c>
      <c r="I818" s="395">
        <f>G818*H818</f>
        <v/>
      </c>
      <c r="J818" s="390">
        <f>IFERROR(INDEX('06_BANG_GIA_VAT_TU_AP_DUNG'!$E$1:$E$5000, MATCH(E818, '06_BANG_GIA_VAT_TU_AP_DUNG'!$B$1:$B$5000, 0)), 0)</f>
        <v/>
      </c>
      <c r="K818" s="390">
        <f>I818*J818</f>
        <v/>
      </c>
      <c r="L818" t="inlineStr">
        <is>
          <t>Cơ cấu tay gạt giữ cầu chì (1 bộ)</t>
        </is>
      </c>
    </row>
    <row r="819">
      <c r="A819" t="inlineStr">
        <is>
          <t>SW-DAMPER-172-FB10-BODY</t>
        </is>
      </c>
      <c r="B819" t="inlineStr">
        <is>
          <t>SW-DAMPER-172</t>
        </is>
      </c>
      <c r="C819" t="inlineStr">
        <is>
          <t>Tấm chống cháy dày 10mm bọc thân van FD/MFD (2 lớp)</t>
        </is>
      </c>
      <c r="D819" t="inlineStr">
        <is>
          <t>VẬT_LIỆU_CÁCH_NHIỆT</t>
        </is>
      </c>
      <c r="E819" t="inlineStr">
        <is>
          <t>MAT-FIREBOARD-10MM-BODY</t>
        </is>
      </c>
      <c r="F819" t="inlineStr">
        <is>
          <t>m2</t>
        </is>
      </c>
      <c r="G819" s="394" t="n">
        <v>0.66</v>
      </c>
      <c r="H819" s="390">
        <f>IFERROR(INDEX('00_TONG_HOP_BAO_GIA'!$G$1:$G$5000, MATCH(B819, '00_TONG_HOP_BAO_GIA'!$B$1:$B$5000, 0)), 1)</f>
        <v/>
      </c>
      <c r="I819" s="395">
        <f>G819*H819</f>
        <v/>
      </c>
      <c r="J819" s="390">
        <f>IFERROR(INDEX('06_BANG_GIA_VAT_TU_AP_DUNG'!$E$1:$E$5000, MATCH(E819, '06_BANG_GIA_VAT_TU_AP_DUNG'!$B$1:$B$5000, 0)), 0)</f>
        <v/>
      </c>
      <c r="K819" s="390">
        <f>I819*J819</f>
        <v/>
      </c>
      <c r="L819" t="inlineStr">
        <is>
          <t>Bọc 2 lớp tấm 10mm quanh thân L=300mm</t>
        </is>
      </c>
    </row>
    <row r="820">
      <c r="A820" t="inlineStr">
        <is>
          <t>SW-DAMPER-172-FB20-BLADE</t>
        </is>
      </c>
      <c r="B820" t="inlineStr">
        <is>
          <t>SW-DAMPER-172</t>
        </is>
      </c>
      <c r="C820" t="inlineStr">
        <is>
          <t>Tấm chống cháy dày 20mm làm lõi cánh van FD/MFD</t>
        </is>
      </c>
      <c r="D820" t="inlineStr">
        <is>
          <t>VẬT_LIỆU_CÁCH_NHIỆT</t>
        </is>
      </c>
      <c r="E820" t="inlineStr">
        <is>
          <t>MAT-FIREBOARD-20MM-BLADE</t>
        </is>
      </c>
      <c r="F820" t="inlineStr">
        <is>
          <t>m2</t>
        </is>
      </c>
      <c r="G820" s="394" t="n">
        <v>0.06</v>
      </c>
      <c r="H820" s="390">
        <f>IFERROR(INDEX('00_TONG_HOP_BAO_GIA'!$G$1:$G$5000, MATCH(B820, '00_TONG_HOP_BAO_GIA'!$B$1:$B$5000, 0)), 1)</f>
        <v/>
      </c>
      <c r="I820" s="395">
        <f>G820*H820</f>
        <v/>
      </c>
      <c r="J820" s="390">
        <f>IFERROR(INDEX('06_BANG_GIA_VAT_TU_AP_DUNG'!$E$1:$E$5000, MATCH(E820, '06_BANG_GIA_VAT_TU_AP_DUNG'!$B$1:$B$5000, 0)), 0)</f>
        <v/>
      </c>
      <c r="K820" s="390">
        <f>I820*J820</f>
        <v/>
      </c>
      <c r="L820" t="inlineStr">
        <is>
          <t>Lõi cánh tấm 20mm (Cánh đơn 400x150mm)</t>
        </is>
      </c>
    </row>
    <row r="821">
      <c r="A821" t="inlineStr">
        <is>
          <t>SW-DAMPER-172-FB10-BLADE</t>
        </is>
      </c>
      <c r="B821" t="inlineStr">
        <is>
          <t>SW-DAMPER-172</t>
        </is>
      </c>
      <c r="C821" t="inlineStr">
        <is>
          <t>Tấm chống cháy dày 10mm ốp 2 mặt cánh van FD/MFD</t>
        </is>
      </c>
      <c r="D821" t="inlineStr">
        <is>
          <t>VẬT_LIỆU_CÁCH_NHIỆT</t>
        </is>
      </c>
      <c r="E821" t="inlineStr">
        <is>
          <t>MAT-FIREBOARD-10MM-BLADE</t>
        </is>
      </c>
      <c r="F821" t="inlineStr">
        <is>
          <t>m2</t>
        </is>
      </c>
      <c r="G821" s="394" t="n">
        <v>0.12</v>
      </c>
      <c r="H821" s="390">
        <f>IFERROR(INDEX('00_TONG_HOP_BAO_GIA'!$G$1:$G$5000, MATCH(B821, '00_TONG_HOP_BAO_GIA'!$B$1:$B$5000, 0)), 1)</f>
        <v/>
      </c>
      <c r="I821" s="395">
        <f>G821*H821</f>
        <v/>
      </c>
      <c r="J821" s="390">
        <f>IFERROR(INDEX('06_BANG_GIA_VAT_TU_AP_DUNG'!$E$1:$E$5000, MATCH(E821, '06_BANG_GIA_VAT_TU_AP_DUNG'!$B$1:$B$5000, 0)), 0)</f>
        <v/>
      </c>
      <c r="K821" s="390">
        <f>I821*J821</f>
        <v/>
      </c>
      <c r="L821" t="inlineStr">
        <is>
          <t>Ốp 2 mặt cánh tấm 10mm (Cánh đơn 400x150mm)</t>
        </is>
      </c>
    </row>
    <row r="822">
      <c r="A822" t="inlineStr">
        <is>
          <t>SW-DAMPER-172-SPRING-BOX</t>
        </is>
      </c>
      <c r="B822" t="inlineStr">
        <is>
          <t>SW-DAMPER-172</t>
        </is>
      </c>
      <c r="C822" t="inlineStr">
        <is>
          <t>Hộp lò xo van chặn lửa FD/MFD</t>
        </is>
      </c>
      <c r="D822" t="inlineStr">
        <is>
          <t>PHỤ_KIỆN_VAN</t>
        </is>
      </c>
      <c r="E822" t="inlineStr">
        <is>
          <t>MAT-DAMPER-HOP-LO-XO</t>
        </is>
      </c>
      <c r="F822" t="inlineStr">
        <is>
          <t>Bộ</t>
        </is>
      </c>
      <c r="G822" s="394" t="n">
        <v>1</v>
      </c>
      <c r="H822" s="390">
        <f>IFERROR(INDEX('00_TONG_HOP_BAO_GIA'!$G$1:$G$5000, MATCH(B822, '00_TONG_HOP_BAO_GIA'!$B$1:$B$5000, 0)), 1)</f>
        <v/>
      </c>
      <c r="I822" s="395">
        <f>G822*H822</f>
        <v/>
      </c>
      <c r="J822" s="390">
        <f>IFERROR(INDEX('06_BANG_GIA_VAT_TU_AP_DUNG'!$E$1:$E$5000, MATCH(E822, '06_BANG_GIA_VAT_TU_AP_DUNG'!$B$1:$B$5000, 0)), 0)</f>
        <v/>
      </c>
      <c r="K822" s="390">
        <f>I822*J822</f>
        <v/>
      </c>
      <c r="L822" t="inlineStr">
        <is>
          <t>Hộp lò xo cơ cấu đóng sập (1 bộ)</t>
        </is>
      </c>
    </row>
    <row r="823">
      <c r="A823" t="inlineStr">
        <is>
          <t>SW-DAMPER-172-SILICON-BOLT</t>
        </is>
      </c>
      <c r="B823" t="inlineStr">
        <is>
          <t>SW-DAMPER-172</t>
        </is>
      </c>
      <c r="C823" t="inlineStr">
        <is>
          <t>Silicon chống cháy + bu lông, ốc vít van FD/MFD</t>
        </is>
      </c>
      <c r="D823" t="inlineStr">
        <is>
          <t>PHỤ_KIỆN_VAN</t>
        </is>
      </c>
      <c r="E823" t="inlineStr">
        <is>
          <t>MAT-DAMPER-SILICON-BULONG-VIT</t>
        </is>
      </c>
      <c r="F823" t="inlineStr">
        <is>
          <t>Bộ</t>
        </is>
      </c>
      <c r="G823" s="394" t="n">
        <v>1</v>
      </c>
      <c r="H823" s="390">
        <f>IFERROR(INDEX('00_TONG_HOP_BAO_GIA'!$G$1:$G$5000, MATCH(B823, '00_TONG_HOP_BAO_GIA'!$B$1:$B$5000, 0)), 1)</f>
        <v/>
      </c>
      <c r="I823" s="395">
        <f>G823*H823</f>
        <v/>
      </c>
      <c r="J823" s="390">
        <f>IFERROR(INDEX('06_BANG_GIA_VAT_TU_AP_DUNG'!$E$1:$E$5000, MATCH(E823, '06_BANG_GIA_VAT_TU_AP_DUNG'!$B$1:$B$5000, 0)), 0)</f>
        <v/>
      </c>
      <c r="K823" s="390">
        <f>I823*J823</f>
        <v/>
      </c>
      <c r="L823" t="inlineStr">
        <is>
          <t>Keo silicon chống cháy &amp; phụ kiện lắp ghép (1 bộ)</t>
        </is>
      </c>
    </row>
    <row r="824">
      <c r="A824" t="inlineStr">
        <is>
          <t>SW-DAMPER-173-BODY</t>
        </is>
      </c>
      <c r="B824" t="inlineStr">
        <is>
          <t>SW-DAMPER-173</t>
        </is>
      </c>
      <c r="C824" t="inlineStr">
        <is>
          <t>Thân vỏ van FD bích C30/TDF (1.15mm)</t>
        </is>
      </c>
      <c r="D824" t="inlineStr">
        <is>
          <t>TÔN_CUỘN_MẠ_KẼM</t>
        </is>
      </c>
      <c r="E824" t="inlineStr">
        <is>
          <t>MAT-STEEL-PN-1.15</t>
        </is>
      </c>
      <c r="F824" t="inlineStr">
        <is>
          <t>kg</t>
        </is>
      </c>
      <c r="G824" s="394" t="n">
        <v>5.476893975</v>
      </c>
      <c r="H824" s="390">
        <f>IFERROR(INDEX('00_TONG_HOP_BAO_GIA'!$G$1:$G$5000, MATCH(B824, '00_TONG_HOP_BAO_GIA'!$B$1:$B$5000, 0)), 1)</f>
        <v/>
      </c>
      <c r="I824" s="395">
        <f>G824*H824</f>
        <v/>
      </c>
      <c r="J824" s="390">
        <f>IFERROR(INDEX('06_BANG_GIA_VAT_TU_AP_DUNG'!$E$1:$E$5000, MATCH(E824, '06_BANG_GIA_VAT_TU_AP_DUNG'!$B$1:$B$5000, 0)), 0)</f>
        <v/>
      </c>
      <c r="K824" s="390">
        <f>I824*J824</f>
        <v/>
      </c>
      <c r="L824" t="inlineStr">
        <is>
          <t>Kích thước vỏ 800x250x200mm</t>
        </is>
      </c>
    </row>
    <row r="825">
      <c r="A825" t="inlineStr">
        <is>
          <t>SW-DAMPER-173-BLADE</t>
        </is>
      </c>
      <c r="B825" t="inlineStr">
        <is>
          <t>SW-DAMPER-173</t>
        </is>
      </c>
      <c r="C825" t="inlineStr">
        <is>
          <t>Lá cánh / Tôn tấm bọc van (1 cánh)</t>
        </is>
      </c>
      <c r="D825" t="inlineStr">
        <is>
          <t>TÔN_CUỘN_MẠ_KẼM</t>
        </is>
      </c>
      <c r="E825" t="inlineStr">
        <is>
          <t>MAT-STEEL-PN-1.15</t>
        </is>
      </c>
      <c r="F825" t="inlineStr">
        <is>
          <t>kg</t>
        </is>
      </c>
      <c r="G825" s="394" t="n">
        <v>3.610999999999999</v>
      </c>
      <c r="H825" s="390">
        <f>IFERROR(INDEX('00_TONG_HOP_BAO_GIA'!$G$1:$G$5000, MATCH(B825, '00_TONG_HOP_BAO_GIA'!$B$1:$B$5000, 0)), 1)</f>
        <v/>
      </c>
      <c r="I825" s="395">
        <f>G825*H825</f>
        <v/>
      </c>
      <c r="J825" s="390">
        <f>IFERROR(INDEX('06_BANG_GIA_VAT_TU_AP_DUNG'!$E$1:$E$5000, MATCH(E825, '06_BANG_GIA_VAT_TU_AP_DUNG'!$B$1:$B$5000, 0)), 0)</f>
        <v/>
      </c>
      <c r="K825" s="390">
        <f>I825*J825</f>
        <v/>
      </c>
      <c r="L825" t="inlineStr">
        <is>
          <t>Tôn bọc cánh &amp; thân (1 cánh/modul)</t>
        </is>
      </c>
    </row>
    <row r="826">
      <c r="A826" t="inlineStr">
        <is>
          <t>SW-DAMPER-173-AXLE</t>
        </is>
      </c>
      <c r="B826" t="inlineStr">
        <is>
          <t>SW-DAMPER-173</t>
        </is>
      </c>
      <c r="C826" t="inlineStr">
        <is>
          <t>Trục Sus 201 D10</t>
        </is>
      </c>
      <c r="D826" t="inlineStr">
        <is>
          <t>PHỤ_KIỆN_VAN</t>
        </is>
      </c>
      <c r="E826" t="inlineStr">
        <is>
          <t>MAT-DAMPER-TRUC-SUS-201-D10</t>
        </is>
      </c>
      <c r="F826" t="inlineStr">
        <is>
          <t>m</t>
        </is>
      </c>
      <c r="G826" s="394" t="n">
        <v>0.86</v>
      </c>
      <c r="H826" s="390">
        <f>IFERROR(INDEX('00_TONG_HOP_BAO_GIA'!$G$1:$G$5000, MATCH(B826, '00_TONG_HOP_BAO_GIA'!$B$1:$B$5000, 0)), 1)</f>
        <v/>
      </c>
      <c r="I826" s="395">
        <f>G826*H826</f>
        <v/>
      </c>
      <c r="J826" s="390">
        <f>IFERROR(INDEX('06_BANG_GIA_VAT_TU_AP_DUNG'!$E$1:$E$5000, MATCH(E826, '06_BANG_GIA_VAT_TU_AP_DUNG'!$B$1:$B$5000, 0)), 0)</f>
        <v/>
      </c>
      <c r="K826" s="390">
        <f>I826*J826</f>
        <v/>
      </c>
      <c r="L826" t="inlineStr">
        <is>
          <t>1 trục dài 860mm</t>
        </is>
      </c>
    </row>
    <row r="827">
      <c r="A827" t="inlineStr">
        <is>
          <t>SW-DAMPER-173-BEARING</t>
        </is>
      </c>
      <c r="B827" t="inlineStr">
        <is>
          <t>SW-DAMPER-173</t>
        </is>
      </c>
      <c r="C827" t="inlineStr">
        <is>
          <t>Bạc đồng D10</t>
        </is>
      </c>
      <c r="D827" t="inlineStr">
        <is>
          <t>PHỤ_KIỆN_VAN</t>
        </is>
      </c>
      <c r="E827" t="inlineStr">
        <is>
          <t>MAT-DAMPER-BAC-DONG-D10</t>
        </is>
      </c>
      <c r="F827" t="inlineStr">
        <is>
          <t>Đôi</t>
        </is>
      </c>
      <c r="G827" s="394" t="n">
        <v>1</v>
      </c>
      <c r="H827" s="390">
        <f>IFERROR(INDEX('00_TONG_HOP_BAO_GIA'!$G$1:$G$5000, MATCH(B827, '00_TONG_HOP_BAO_GIA'!$B$1:$B$5000, 0)), 1)</f>
        <v/>
      </c>
      <c r="I827" s="395">
        <f>G827*H827</f>
        <v/>
      </c>
      <c r="J827" s="390">
        <f>IFERROR(INDEX('06_BANG_GIA_VAT_TU_AP_DUNG'!$E$1:$E$5000, MATCH(E827, '06_BANG_GIA_VAT_TU_AP_DUNG'!$B$1:$B$5000, 0)), 0)</f>
        <v/>
      </c>
      <c r="K827" s="390">
        <f>I827*J827</f>
        <v/>
      </c>
      <c r="L827" t="inlineStr">
        <is>
          <t>1 đôi bạc đỡ 2 bên thân</t>
        </is>
      </c>
    </row>
    <row r="828">
      <c r="A828" t="inlineStr">
        <is>
          <t>SW-DAMPER-173-FUSE</t>
        </is>
      </c>
      <c r="B828" t="inlineStr">
        <is>
          <t>SW-DAMPER-173</t>
        </is>
      </c>
      <c r="C828" t="inlineStr">
        <is>
          <t>Cầu chì nhiệt nóng chảy 70°C/74°C (Elsie/USA)</t>
        </is>
      </c>
      <c r="D828" t="inlineStr">
        <is>
          <t>PHỤ_KIỆN_VAN</t>
        </is>
      </c>
      <c r="E828" t="inlineStr">
        <is>
          <t>MAT-DAMPER-CAU-CHI-USA-2-400X400</t>
        </is>
      </c>
      <c r="F828" t="inlineStr">
        <is>
          <t>Cái</t>
        </is>
      </c>
      <c r="G828" s="394" t="n">
        <v>1</v>
      </c>
      <c r="H828" s="390">
        <f>IFERROR(INDEX('00_TONG_HOP_BAO_GIA'!$G$1:$G$5000, MATCH(B828, '00_TONG_HOP_BAO_GIA'!$B$1:$B$5000, 0)), 1)</f>
        <v/>
      </c>
      <c r="I828" s="395">
        <f>G828*H828</f>
        <v/>
      </c>
      <c r="J828" s="390">
        <f>IFERROR(INDEX('06_BANG_GIA_VAT_TU_AP_DUNG'!$E$1:$E$5000, MATCH(E828, '06_BANG_GIA_VAT_TU_AP_DUNG'!$B$1:$B$5000, 0)), 0)</f>
        <v/>
      </c>
      <c r="K828" s="390">
        <f>I828*J828</f>
        <v/>
      </c>
      <c r="L828" t="inlineStr">
        <is>
          <t>Cầu chì kiểm định PCCC (1 cái)</t>
        </is>
      </c>
    </row>
    <row r="829">
      <c r="A829" t="inlineStr">
        <is>
          <t>SW-DAMPER-173-FUSE-HANDLE</t>
        </is>
      </c>
      <c r="B829" t="inlineStr">
        <is>
          <t>SW-DAMPER-173</t>
        </is>
      </c>
      <c r="C829" t="inlineStr">
        <is>
          <t>Tay gạt cầu chì van FD</t>
        </is>
      </c>
      <c r="D829" t="inlineStr">
        <is>
          <t>PHỤ_KIỆN_VAN</t>
        </is>
      </c>
      <c r="E829" t="inlineStr">
        <is>
          <t>MAT-DAMPER-TAY-GAT-CAU-CHI-1</t>
        </is>
      </c>
      <c r="F829" t="inlineStr">
        <is>
          <t>Bộ</t>
        </is>
      </c>
      <c r="G829" s="394" t="n">
        <v>1</v>
      </c>
      <c r="H829" s="390">
        <f>IFERROR(INDEX('00_TONG_HOP_BAO_GIA'!$G$1:$G$5000, MATCH(B829, '00_TONG_HOP_BAO_GIA'!$B$1:$B$5000, 0)), 1)</f>
        <v/>
      </c>
      <c r="I829" s="395">
        <f>G829*H829</f>
        <v/>
      </c>
      <c r="J829" s="390">
        <f>IFERROR(INDEX('06_BANG_GIA_VAT_TU_AP_DUNG'!$E$1:$E$5000, MATCH(E829, '06_BANG_GIA_VAT_TU_AP_DUNG'!$B$1:$B$5000, 0)), 0)</f>
        <v/>
      </c>
      <c r="K829" s="390">
        <f>I829*J829</f>
        <v/>
      </c>
      <c r="L829" t="inlineStr">
        <is>
          <t>Cơ cấu tay gạt giữ cầu chì (1 bộ)</t>
        </is>
      </c>
    </row>
    <row r="830">
      <c r="A830" t="inlineStr">
        <is>
          <t>SW-DAMPER-173-FB10-BODY</t>
        </is>
      </c>
      <c r="B830" t="inlineStr">
        <is>
          <t>SW-DAMPER-173</t>
        </is>
      </c>
      <c r="C830" t="inlineStr">
        <is>
          <t>Tấm chống cháy dày 10mm bọc thân van FD/MFD (2 lớp)</t>
        </is>
      </c>
      <c r="D830" t="inlineStr">
        <is>
          <t>VẬT_LIỆU_CÁCH_NHIỆT</t>
        </is>
      </c>
      <c r="E830" t="inlineStr">
        <is>
          <t>MAT-FIREBOARD-10MM-BODY</t>
        </is>
      </c>
      <c r="F830" t="inlineStr">
        <is>
          <t>m2</t>
        </is>
      </c>
      <c r="G830" s="394" t="n">
        <v>1.26</v>
      </c>
      <c r="H830" s="390">
        <f>IFERROR(INDEX('00_TONG_HOP_BAO_GIA'!$G$1:$G$5000, MATCH(B830, '00_TONG_HOP_BAO_GIA'!$B$1:$B$5000, 0)), 1)</f>
        <v/>
      </c>
      <c r="I830" s="395">
        <f>G830*H830</f>
        <v/>
      </c>
      <c r="J830" s="390">
        <f>IFERROR(INDEX('06_BANG_GIA_VAT_TU_AP_DUNG'!$E$1:$E$5000, MATCH(E830, '06_BANG_GIA_VAT_TU_AP_DUNG'!$B$1:$B$5000, 0)), 0)</f>
        <v/>
      </c>
      <c r="K830" s="390">
        <f>I830*J830</f>
        <v/>
      </c>
      <c r="L830" t="inlineStr">
        <is>
          <t>Bọc 2 lớp tấm 10mm quanh thân L=300mm</t>
        </is>
      </c>
    </row>
    <row r="831">
      <c r="A831" t="inlineStr">
        <is>
          <t>SW-DAMPER-173-FB20-BLADE</t>
        </is>
      </c>
      <c r="B831" t="inlineStr">
        <is>
          <t>SW-DAMPER-173</t>
        </is>
      </c>
      <c r="C831" t="inlineStr">
        <is>
          <t>Tấm chống cháy dày 20mm làm lõi cánh van FD/MFD</t>
        </is>
      </c>
      <c r="D831" t="inlineStr">
        <is>
          <t>VẬT_LIỆU_CÁCH_NHIỆT</t>
        </is>
      </c>
      <c r="E831" t="inlineStr">
        <is>
          <t>MAT-FIREBOARD-20MM-BLADE</t>
        </is>
      </c>
      <c r="F831" t="inlineStr">
        <is>
          <t>m2</t>
        </is>
      </c>
      <c r="G831" s="394" t="n">
        <v>0.2</v>
      </c>
      <c r="H831" s="390">
        <f>IFERROR(INDEX('00_TONG_HOP_BAO_GIA'!$G$1:$G$5000, MATCH(B831, '00_TONG_HOP_BAO_GIA'!$B$1:$B$5000, 0)), 1)</f>
        <v/>
      </c>
      <c r="I831" s="395">
        <f>G831*H831</f>
        <v/>
      </c>
      <c r="J831" s="390">
        <f>IFERROR(INDEX('06_BANG_GIA_VAT_TU_AP_DUNG'!$E$1:$E$5000, MATCH(E831, '06_BANG_GIA_VAT_TU_AP_DUNG'!$B$1:$B$5000, 0)), 0)</f>
        <v/>
      </c>
      <c r="K831" s="390">
        <f>I831*J831</f>
        <v/>
      </c>
      <c r="L831" t="inlineStr">
        <is>
          <t>Lõi cánh tấm 20mm (Cánh đơn 800x250mm)</t>
        </is>
      </c>
    </row>
    <row r="832">
      <c r="A832" t="inlineStr">
        <is>
          <t>SW-DAMPER-173-FB10-BLADE</t>
        </is>
      </c>
      <c r="B832" t="inlineStr">
        <is>
          <t>SW-DAMPER-173</t>
        </is>
      </c>
      <c r="C832" t="inlineStr">
        <is>
          <t>Tấm chống cháy dày 10mm ốp 2 mặt cánh van FD/MFD</t>
        </is>
      </c>
      <c r="D832" t="inlineStr">
        <is>
          <t>VẬT_LIỆU_CÁCH_NHIỆT</t>
        </is>
      </c>
      <c r="E832" t="inlineStr">
        <is>
          <t>MAT-FIREBOARD-10MM-BLADE</t>
        </is>
      </c>
      <c r="F832" t="inlineStr">
        <is>
          <t>m2</t>
        </is>
      </c>
      <c r="G832" s="394" t="n">
        <v>0.4</v>
      </c>
      <c r="H832" s="390">
        <f>IFERROR(INDEX('00_TONG_HOP_BAO_GIA'!$G$1:$G$5000, MATCH(B832, '00_TONG_HOP_BAO_GIA'!$B$1:$B$5000, 0)), 1)</f>
        <v/>
      </c>
      <c r="I832" s="395">
        <f>G832*H832</f>
        <v/>
      </c>
      <c r="J832" s="390">
        <f>IFERROR(INDEX('06_BANG_GIA_VAT_TU_AP_DUNG'!$E$1:$E$5000, MATCH(E832, '06_BANG_GIA_VAT_TU_AP_DUNG'!$B$1:$B$5000, 0)), 0)</f>
        <v/>
      </c>
      <c r="K832" s="390">
        <f>I832*J832</f>
        <v/>
      </c>
      <c r="L832" t="inlineStr">
        <is>
          <t>Ốp 2 mặt cánh tấm 10mm (Cánh đơn 800x250mm)</t>
        </is>
      </c>
    </row>
    <row r="833">
      <c r="A833" t="inlineStr">
        <is>
          <t>SW-DAMPER-173-SPRING-BOX</t>
        </is>
      </c>
      <c r="B833" t="inlineStr">
        <is>
          <t>SW-DAMPER-173</t>
        </is>
      </c>
      <c r="C833" t="inlineStr">
        <is>
          <t>Hộp lò xo van chặn lửa FD/MFD</t>
        </is>
      </c>
      <c r="D833" t="inlineStr">
        <is>
          <t>PHỤ_KIỆN_VAN</t>
        </is>
      </c>
      <c r="E833" t="inlineStr">
        <is>
          <t>MAT-DAMPER-HOP-LO-XO</t>
        </is>
      </c>
      <c r="F833" t="inlineStr">
        <is>
          <t>Bộ</t>
        </is>
      </c>
      <c r="G833" s="394" t="n">
        <v>1</v>
      </c>
      <c r="H833" s="390">
        <f>IFERROR(INDEX('00_TONG_HOP_BAO_GIA'!$G$1:$G$5000, MATCH(B833, '00_TONG_HOP_BAO_GIA'!$B$1:$B$5000, 0)), 1)</f>
        <v/>
      </c>
      <c r="I833" s="395">
        <f>G833*H833</f>
        <v/>
      </c>
      <c r="J833" s="390">
        <f>IFERROR(INDEX('06_BANG_GIA_VAT_TU_AP_DUNG'!$E$1:$E$5000, MATCH(E833, '06_BANG_GIA_VAT_TU_AP_DUNG'!$B$1:$B$5000, 0)), 0)</f>
        <v/>
      </c>
      <c r="K833" s="390">
        <f>I833*J833</f>
        <v/>
      </c>
      <c r="L833" t="inlineStr">
        <is>
          <t>Hộp lò xo cơ cấu đóng sập (1 bộ)</t>
        </is>
      </c>
    </row>
    <row r="834">
      <c r="A834" t="inlineStr">
        <is>
          <t>SW-DAMPER-173-SILICON-BOLT</t>
        </is>
      </c>
      <c r="B834" t="inlineStr">
        <is>
          <t>SW-DAMPER-173</t>
        </is>
      </c>
      <c r="C834" t="inlineStr">
        <is>
          <t>Silicon chống cháy + bu lông, ốc vít van FD/MFD</t>
        </is>
      </c>
      <c r="D834" t="inlineStr">
        <is>
          <t>PHỤ_KIỆN_VAN</t>
        </is>
      </c>
      <c r="E834" t="inlineStr">
        <is>
          <t>MAT-DAMPER-SILICON-BULONG-VIT</t>
        </is>
      </c>
      <c r="F834" t="inlineStr">
        <is>
          <t>Bộ</t>
        </is>
      </c>
      <c r="G834" s="394" t="n">
        <v>1</v>
      </c>
      <c r="H834" s="390">
        <f>IFERROR(INDEX('00_TONG_HOP_BAO_GIA'!$G$1:$G$5000, MATCH(B834, '00_TONG_HOP_BAO_GIA'!$B$1:$B$5000, 0)), 1)</f>
        <v/>
      </c>
      <c r="I834" s="395">
        <f>G834*H834</f>
        <v/>
      </c>
      <c r="J834" s="390">
        <f>IFERROR(INDEX('06_BANG_GIA_VAT_TU_AP_DUNG'!$E$1:$E$5000, MATCH(E834, '06_BANG_GIA_VAT_TU_AP_DUNG'!$B$1:$B$5000, 0)), 0)</f>
        <v/>
      </c>
      <c r="K834" s="390">
        <f>I834*J834</f>
        <v/>
      </c>
      <c r="L834" t="inlineStr">
        <is>
          <t>Keo silicon chống cháy &amp; phụ kiện lắp ghép (1 bộ)</t>
        </is>
      </c>
    </row>
    <row r="835">
      <c r="A835" t="inlineStr">
        <is>
          <t>SW-DAMPER-174-BODY</t>
        </is>
      </c>
      <c r="B835" t="inlineStr">
        <is>
          <t>SW-DAMPER-174</t>
        </is>
      </c>
      <c r="C835" t="inlineStr">
        <is>
          <t>Thân vỏ van FD bích C30/TDF (1.15mm)</t>
        </is>
      </c>
      <c r="D835" t="inlineStr">
        <is>
          <t>TÔN_CUỘN_MẠ_KẼM</t>
        </is>
      </c>
      <c r="E835" t="inlineStr">
        <is>
          <t>MAT-STEEL-PN-1.15</t>
        </is>
      </c>
      <c r="F835" t="inlineStr">
        <is>
          <t>kg</t>
        </is>
      </c>
      <c r="G835" s="394" t="n">
        <v>9.93006945</v>
      </c>
      <c r="H835" s="390">
        <f>IFERROR(INDEX('00_TONG_HOP_BAO_GIA'!$G$1:$G$5000, MATCH(B835, '00_TONG_HOP_BAO_GIA'!$B$1:$B$5000, 0)), 1)</f>
        <v/>
      </c>
      <c r="I835" s="395">
        <f>G835*H835</f>
        <v/>
      </c>
      <c r="J835" s="390">
        <f>IFERROR(INDEX('06_BANG_GIA_VAT_TU_AP_DUNG'!$E$1:$E$5000, MATCH(E835, '06_BANG_GIA_VAT_TU_AP_DUNG'!$B$1:$B$5000, 0)), 0)</f>
        <v/>
      </c>
      <c r="K835" s="390">
        <f>I835*J835</f>
        <v/>
      </c>
      <c r="L835" t="inlineStr">
        <is>
          <t>Kích thước vỏ 1200x350x200mm (2 modul 600x350mm)</t>
        </is>
      </c>
    </row>
    <row r="836">
      <c r="A836" t="inlineStr">
        <is>
          <t>SW-DAMPER-174-BLADE</t>
        </is>
      </c>
      <c r="B836" t="inlineStr">
        <is>
          <t>SW-DAMPER-174</t>
        </is>
      </c>
      <c r="C836" t="inlineStr">
        <is>
          <t>Lá cánh / Tôn tấm bọc van (4 cánh)</t>
        </is>
      </c>
      <c r="D836" t="inlineStr">
        <is>
          <t>TÔN_CUỘN_MẠ_KẼM</t>
        </is>
      </c>
      <c r="E836" t="inlineStr">
        <is>
          <t>MAT-STEEL-PN-1.15</t>
        </is>
      </c>
      <c r="F836" t="inlineStr">
        <is>
          <t>kg</t>
        </is>
      </c>
      <c r="G836" s="394" t="n">
        <v>7.583099999999998</v>
      </c>
      <c r="H836" s="390">
        <f>IFERROR(INDEX('00_TONG_HOP_BAO_GIA'!$G$1:$G$5000, MATCH(B836, '00_TONG_HOP_BAO_GIA'!$B$1:$B$5000, 0)), 1)</f>
        <v/>
      </c>
      <c r="I836" s="395">
        <f>G836*H836</f>
        <v/>
      </c>
      <c r="J836" s="390">
        <f>IFERROR(INDEX('06_BANG_GIA_VAT_TU_AP_DUNG'!$E$1:$E$5000, MATCH(E836, '06_BANG_GIA_VAT_TU_AP_DUNG'!$B$1:$B$5000, 0)), 0)</f>
        <v/>
      </c>
      <c r="K836" s="390">
        <f>I836*J836</f>
        <v/>
      </c>
      <c r="L836" t="inlineStr">
        <is>
          <t>Tôn bọc cánh &amp; thân (2 cánh/modul (2 modul 600x350mm))</t>
        </is>
      </c>
    </row>
    <row r="837">
      <c r="A837" t="inlineStr">
        <is>
          <t>SW-DAMPER-174-AXLE</t>
        </is>
      </c>
      <c r="B837" t="inlineStr">
        <is>
          <t>SW-DAMPER-174</t>
        </is>
      </c>
      <c r="C837" t="inlineStr">
        <is>
          <t>Trục Sus 201 D10</t>
        </is>
      </c>
      <c r="D837" t="inlineStr">
        <is>
          <t>PHỤ_KIỆN_VAN</t>
        </is>
      </c>
      <c r="E837" t="inlineStr">
        <is>
          <t>MAT-DAMPER-TRUC-SUS-201-D10</t>
        </is>
      </c>
      <c r="F837" t="inlineStr">
        <is>
          <t>m</t>
        </is>
      </c>
      <c r="G837" s="394" t="n">
        <v>2.64</v>
      </c>
      <c r="H837" s="390">
        <f>IFERROR(INDEX('00_TONG_HOP_BAO_GIA'!$G$1:$G$5000, MATCH(B837, '00_TONG_HOP_BAO_GIA'!$B$1:$B$5000, 0)), 1)</f>
        <v/>
      </c>
      <c r="I837" s="395">
        <f>G837*H837</f>
        <v/>
      </c>
      <c r="J837" s="390">
        <f>IFERROR(INDEX('06_BANG_GIA_VAT_TU_AP_DUNG'!$E$1:$E$5000, MATCH(E837, '06_BANG_GIA_VAT_TU_AP_DUNG'!$B$1:$B$5000, 0)), 0)</f>
        <v/>
      </c>
      <c r="K837" s="390">
        <f>I837*J837</f>
        <v/>
      </c>
      <c r="L837" t="inlineStr">
        <is>
          <t>4 trục dài 660mm</t>
        </is>
      </c>
    </row>
    <row r="838">
      <c r="A838" t="inlineStr">
        <is>
          <t>SW-DAMPER-174-BEARING</t>
        </is>
      </c>
      <c r="B838" t="inlineStr">
        <is>
          <t>SW-DAMPER-174</t>
        </is>
      </c>
      <c r="C838" t="inlineStr">
        <is>
          <t>Bạc đồng D10</t>
        </is>
      </c>
      <c r="D838" t="inlineStr">
        <is>
          <t>PHỤ_KIỆN_VAN</t>
        </is>
      </c>
      <c r="E838" t="inlineStr">
        <is>
          <t>MAT-DAMPER-BAC-DONG-D10</t>
        </is>
      </c>
      <c r="F838" t="inlineStr">
        <is>
          <t>Đôi</t>
        </is>
      </c>
      <c r="G838" s="394" t="n">
        <v>4</v>
      </c>
      <c r="H838" s="390">
        <f>IFERROR(INDEX('00_TONG_HOP_BAO_GIA'!$G$1:$G$5000, MATCH(B838, '00_TONG_HOP_BAO_GIA'!$B$1:$B$5000, 0)), 1)</f>
        <v/>
      </c>
      <c r="I838" s="395">
        <f>G838*H838</f>
        <v/>
      </c>
      <c r="J838" s="390">
        <f>IFERROR(INDEX('06_BANG_GIA_VAT_TU_AP_DUNG'!$E$1:$E$5000, MATCH(E838, '06_BANG_GIA_VAT_TU_AP_DUNG'!$B$1:$B$5000, 0)), 0)</f>
        <v/>
      </c>
      <c r="K838" s="390">
        <f>I838*J838</f>
        <v/>
      </c>
      <c r="L838" t="inlineStr">
        <is>
          <t>4 đôi bạc đỡ 2 bên thân</t>
        </is>
      </c>
    </row>
    <row r="839">
      <c r="A839" t="inlineStr">
        <is>
          <t>SW-DAMPER-174-GEAR</t>
        </is>
      </c>
      <c r="B839" t="inlineStr">
        <is>
          <t>SW-DAMPER-174</t>
        </is>
      </c>
      <c r="C839" t="inlineStr">
        <is>
          <t>Bánh răng van nhôm</t>
        </is>
      </c>
      <c r="D839" t="inlineStr">
        <is>
          <t>PHỤ_KIỆN_VAN</t>
        </is>
      </c>
      <c r="E839" t="inlineStr">
        <is>
          <t>MAT-DAMPER-BANH-RANG-VAN-NHOM</t>
        </is>
      </c>
      <c r="F839" t="inlineStr">
        <is>
          <t>Bộ</t>
        </is>
      </c>
      <c r="G839" s="394" t="n">
        <v>2</v>
      </c>
      <c r="H839" s="390">
        <f>IFERROR(INDEX('00_TONG_HOP_BAO_GIA'!$G$1:$G$5000, MATCH(B839, '00_TONG_HOP_BAO_GIA'!$B$1:$B$5000, 0)), 1)</f>
        <v/>
      </c>
      <c r="I839" s="395">
        <f>G839*H839</f>
        <v/>
      </c>
      <c r="J839" s="390">
        <f>IFERROR(INDEX('06_BANG_GIA_VAT_TU_AP_DUNG'!$E$1:$E$5000, MATCH(E839, '06_BANG_GIA_VAT_TU_AP_DUNG'!$B$1:$B$5000, 0)), 0)</f>
        <v/>
      </c>
      <c r="K839" s="390">
        <f>I839*J839</f>
        <v/>
      </c>
      <c r="L839" t="inlineStr">
        <is>
          <t>Cơ cấu liên động cánh (2 bộ)</t>
        </is>
      </c>
    </row>
    <row r="840">
      <c r="A840" t="inlineStr">
        <is>
          <t>SW-DAMPER-174-FUSE</t>
        </is>
      </c>
      <c r="B840" t="inlineStr">
        <is>
          <t>SW-DAMPER-174</t>
        </is>
      </c>
      <c r="C840" t="inlineStr">
        <is>
          <t>Cầu chì nhiệt nóng chảy 70°C/74°C (Elsie/USA)</t>
        </is>
      </c>
      <c r="D840" t="inlineStr">
        <is>
          <t>PHỤ_KIỆN_VAN</t>
        </is>
      </c>
      <c r="E840" t="inlineStr">
        <is>
          <t>MAT-DAMPER-CAU-CHI-USA-2-400X400</t>
        </is>
      </c>
      <c r="F840" t="inlineStr">
        <is>
          <t>Cái</t>
        </is>
      </c>
      <c r="G840" s="394" t="n">
        <v>2</v>
      </c>
      <c r="H840" s="390">
        <f>IFERROR(INDEX('00_TONG_HOP_BAO_GIA'!$G$1:$G$5000, MATCH(B840, '00_TONG_HOP_BAO_GIA'!$B$1:$B$5000, 0)), 1)</f>
        <v/>
      </c>
      <c r="I840" s="395">
        <f>G840*H840</f>
        <v/>
      </c>
      <c r="J840" s="390">
        <f>IFERROR(INDEX('06_BANG_GIA_VAT_TU_AP_DUNG'!$E$1:$E$5000, MATCH(E840, '06_BANG_GIA_VAT_TU_AP_DUNG'!$B$1:$B$5000, 0)), 0)</f>
        <v/>
      </c>
      <c r="K840" s="390">
        <f>I840*J840</f>
        <v/>
      </c>
      <c r="L840" t="inlineStr">
        <is>
          <t>Cầu chì kiểm định PCCC (2 cái)</t>
        </is>
      </c>
    </row>
    <row r="841">
      <c r="A841" t="inlineStr">
        <is>
          <t>SW-DAMPER-174-FUSE-HANDLE</t>
        </is>
      </c>
      <c r="B841" t="inlineStr">
        <is>
          <t>SW-DAMPER-174</t>
        </is>
      </c>
      <c r="C841" t="inlineStr">
        <is>
          <t>Tay gạt cầu chì van FD</t>
        </is>
      </c>
      <c r="D841" t="inlineStr">
        <is>
          <t>PHỤ_KIỆN_VAN</t>
        </is>
      </c>
      <c r="E841" t="inlineStr">
        <is>
          <t>MAT-DAMPER-TAY-GAT-CAU-CHI-1</t>
        </is>
      </c>
      <c r="F841" t="inlineStr">
        <is>
          <t>Bộ</t>
        </is>
      </c>
      <c r="G841" s="394" t="n">
        <v>2</v>
      </c>
      <c r="H841" s="390">
        <f>IFERROR(INDEX('00_TONG_HOP_BAO_GIA'!$G$1:$G$5000, MATCH(B841, '00_TONG_HOP_BAO_GIA'!$B$1:$B$5000, 0)), 1)</f>
        <v/>
      </c>
      <c r="I841" s="395">
        <f>G841*H841</f>
        <v/>
      </c>
      <c r="J841" s="390">
        <f>IFERROR(INDEX('06_BANG_GIA_VAT_TU_AP_DUNG'!$E$1:$E$5000, MATCH(E841, '06_BANG_GIA_VAT_TU_AP_DUNG'!$B$1:$B$5000, 0)), 0)</f>
        <v/>
      </c>
      <c r="K841" s="390">
        <f>I841*J841</f>
        <v/>
      </c>
      <c r="L841" t="inlineStr">
        <is>
          <t>Cơ cấu tay gạt giữ cầu chì (2 bộ)</t>
        </is>
      </c>
    </row>
    <row r="842">
      <c r="A842" t="inlineStr">
        <is>
          <t>SW-DAMPER-174-FB10-BODY</t>
        </is>
      </c>
      <c r="B842" t="inlineStr">
        <is>
          <t>SW-DAMPER-174</t>
        </is>
      </c>
      <c r="C842" t="inlineStr">
        <is>
          <t>Tấm chống cháy dày 10mm bọc thân van FD/MFD (2 lớp)</t>
        </is>
      </c>
      <c r="D842" t="inlineStr">
        <is>
          <t>VẬT_LIỆU_CÁCH_NHIỆT</t>
        </is>
      </c>
      <c r="E842" t="inlineStr">
        <is>
          <t>MAT-FIREBOARD-10MM-BODY</t>
        </is>
      </c>
      <c r="F842" t="inlineStr">
        <is>
          <t>m2</t>
        </is>
      </c>
      <c r="G842" s="394" t="n">
        <v>2.28</v>
      </c>
      <c r="H842" s="390">
        <f>IFERROR(INDEX('00_TONG_HOP_BAO_GIA'!$G$1:$G$5000, MATCH(B842, '00_TONG_HOP_BAO_GIA'!$B$1:$B$5000, 0)), 1)</f>
        <v/>
      </c>
      <c r="I842" s="395">
        <f>G842*H842</f>
        <v/>
      </c>
      <c r="J842" s="390">
        <f>IFERROR(INDEX('06_BANG_GIA_VAT_TU_AP_DUNG'!$E$1:$E$5000, MATCH(E842, '06_BANG_GIA_VAT_TU_AP_DUNG'!$B$1:$B$5000, 0)), 0)</f>
        <v/>
      </c>
      <c r="K842" s="390">
        <f>I842*J842</f>
        <v/>
      </c>
      <c r="L842" t="inlineStr">
        <is>
          <t>Bọc 2 lớp tấm 10mm quanh thân L=300mm (2 modul 600x350mm)</t>
        </is>
      </c>
    </row>
    <row r="843">
      <c r="A843" t="inlineStr">
        <is>
          <t>SW-DAMPER-174-FB20-BLADE</t>
        </is>
      </c>
      <c r="B843" t="inlineStr">
        <is>
          <t>SW-DAMPER-174</t>
        </is>
      </c>
      <c r="C843" t="inlineStr">
        <is>
          <t>Tấm chống cháy dày 20mm làm lõi cánh van FD/MFD</t>
        </is>
      </c>
      <c r="D843" t="inlineStr">
        <is>
          <t>VẬT_LIỆU_CÁCH_NHIỆT</t>
        </is>
      </c>
      <c r="E843" t="inlineStr">
        <is>
          <t>MAT-FIREBOARD-20MM-BLADE</t>
        </is>
      </c>
      <c r="F843" t="inlineStr">
        <is>
          <t>m2</t>
        </is>
      </c>
      <c r="G843" s="394" t="n">
        <v>0.6204442953020134</v>
      </c>
      <c r="H843" s="390">
        <f>IFERROR(INDEX('00_TONG_HOP_BAO_GIA'!$G$1:$G$5000, MATCH(B843, '00_TONG_HOP_BAO_GIA'!$B$1:$B$5000, 0)), 1)</f>
        <v/>
      </c>
      <c r="I843" s="395">
        <f>G843*H843</f>
        <v/>
      </c>
      <c r="J843" s="390">
        <f>IFERROR(INDEX('06_BANG_GIA_VAT_TU_AP_DUNG'!$E$1:$E$5000, MATCH(E843, '06_BANG_GIA_VAT_TU_AP_DUNG'!$B$1:$B$5000, 0)), 0)</f>
        <v/>
      </c>
      <c r="K843" s="390">
        <f>I843*J843</f>
        <v/>
      </c>
      <c r="L843" t="inlineStr">
        <is>
          <t>Lõi cánh tấm 20mm (Đa cánh hệ số (H-5)/149=2.32, bản rộng 210mm, hao hụt 10% (2 modul 600x350mm))</t>
        </is>
      </c>
    </row>
    <row r="844">
      <c r="A844" t="inlineStr">
        <is>
          <t>SW-DAMPER-174-FB10-BLADE</t>
        </is>
      </c>
      <c r="B844" t="inlineStr">
        <is>
          <t>SW-DAMPER-174</t>
        </is>
      </c>
      <c r="C844" t="inlineStr">
        <is>
          <t>Tấm chống cháy dày 10mm ốp 2 mặt cánh van FD/MFD</t>
        </is>
      </c>
      <c r="D844" t="inlineStr">
        <is>
          <t>VẬT_LIỆU_CÁCH_NHIỆT</t>
        </is>
      </c>
      <c r="E844" t="inlineStr">
        <is>
          <t>MAT-FIREBOARD-10MM-BLADE</t>
        </is>
      </c>
      <c r="F844" t="inlineStr">
        <is>
          <t>m2</t>
        </is>
      </c>
      <c r="G844" s="394" t="n">
        <v>1.283677852348993</v>
      </c>
      <c r="H844" s="390">
        <f>IFERROR(INDEX('00_TONG_HOP_BAO_GIA'!$G$1:$G$5000, MATCH(B844, '00_TONG_HOP_BAO_GIA'!$B$1:$B$5000, 0)), 1)</f>
        <v/>
      </c>
      <c r="I844" s="395">
        <f>G844*H844</f>
        <v/>
      </c>
      <c r="J844" s="390">
        <f>IFERROR(INDEX('06_BANG_GIA_VAT_TU_AP_DUNG'!$E$1:$E$5000, MATCH(E844, '06_BANG_GIA_VAT_TU_AP_DUNG'!$B$1:$B$5000, 0)), 0)</f>
        <v/>
      </c>
      <c r="K844" s="390">
        <f>I844*J844</f>
        <v/>
      </c>
      <c r="L844" t="inlineStr">
        <is>
          <t>Ốp 2 mặt cánh tấm 10mm (Đa cánh hệ số (H-5)/149=2.32, bản rộng 210mm, hao hụt 10% (2 modul 600x350mm))</t>
        </is>
      </c>
    </row>
    <row r="845">
      <c r="A845" t="inlineStr">
        <is>
          <t>SW-DAMPER-174-SPRING-BOX</t>
        </is>
      </c>
      <c r="B845" t="inlineStr">
        <is>
          <t>SW-DAMPER-174</t>
        </is>
      </c>
      <c r="C845" t="inlineStr">
        <is>
          <t>Hộp lò xo van chặn lửa FD/MFD</t>
        </is>
      </c>
      <c r="D845" t="inlineStr">
        <is>
          <t>PHỤ_KIỆN_VAN</t>
        </is>
      </c>
      <c r="E845" t="inlineStr">
        <is>
          <t>MAT-DAMPER-HOP-LO-XO</t>
        </is>
      </c>
      <c r="F845" t="inlineStr">
        <is>
          <t>Bộ</t>
        </is>
      </c>
      <c r="G845" s="394" t="n">
        <v>2</v>
      </c>
      <c r="H845" s="390">
        <f>IFERROR(INDEX('00_TONG_HOP_BAO_GIA'!$G$1:$G$5000, MATCH(B845, '00_TONG_HOP_BAO_GIA'!$B$1:$B$5000, 0)), 1)</f>
        <v/>
      </c>
      <c r="I845" s="395">
        <f>G845*H845</f>
        <v/>
      </c>
      <c r="J845" s="390">
        <f>IFERROR(INDEX('06_BANG_GIA_VAT_TU_AP_DUNG'!$E$1:$E$5000, MATCH(E845, '06_BANG_GIA_VAT_TU_AP_DUNG'!$B$1:$B$5000, 0)), 0)</f>
        <v/>
      </c>
      <c r="K845" s="390">
        <f>I845*J845</f>
        <v/>
      </c>
      <c r="L845" t="inlineStr">
        <is>
          <t>Hộp lò xo cơ cấu đóng sập (2 bộ)</t>
        </is>
      </c>
    </row>
    <row r="846">
      <c r="A846" t="inlineStr">
        <is>
          <t>SW-DAMPER-174-SILICON-BOLT</t>
        </is>
      </c>
      <c r="B846" t="inlineStr">
        <is>
          <t>SW-DAMPER-174</t>
        </is>
      </c>
      <c r="C846" t="inlineStr">
        <is>
          <t>Silicon chống cháy + bu lông, ốc vít van FD/MFD</t>
        </is>
      </c>
      <c r="D846" t="inlineStr">
        <is>
          <t>PHỤ_KIỆN_VAN</t>
        </is>
      </c>
      <c r="E846" t="inlineStr">
        <is>
          <t>MAT-DAMPER-SILICON-BULONG-VIT</t>
        </is>
      </c>
      <c r="F846" t="inlineStr">
        <is>
          <t>Bộ</t>
        </is>
      </c>
      <c r="G846" s="394" t="n">
        <v>2</v>
      </c>
      <c r="H846" s="390">
        <f>IFERROR(INDEX('00_TONG_HOP_BAO_GIA'!$G$1:$G$5000, MATCH(B846, '00_TONG_HOP_BAO_GIA'!$B$1:$B$5000, 0)), 1)</f>
        <v/>
      </c>
      <c r="I846" s="395">
        <f>G846*H846</f>
        <v/>
      </c>
      <c r="J846" s="390">
        <f>IFERROR(INDEX('06_BANG_GIA_VAT_TU_AP_DUNG'!$E$1:$E$5000, MATCH(E846, '06_BANG_GIA_VAT_TU_AP_DUNG'!$B$1:$B$5000, 0)), 0)</f>
        <v/>
      </c>
      <c r="K846" s="390">
        <f>I846*J846</f>
        <v/>
      </c>
      <c r="L846" t="inlineStr">
        <is>
          <t>Keo silicon chống cháy &amp; phụ kiện lắp ghép (2 bộ)</t>
        </is>
      </c>
    </row>
    <row r="847">
      <c r="A847" t="inlineStr">
        <is>
          <t>SW-DAMPER-175-BODY</t>
        </is>
      </c>
      <c r="B847" t="inlineStr">
        <is>
          <t>SW-DAMPER-175</t>
        </is>
      </c>
      <c r="C847" t="inlineStr">
        <is>
          <t>Thân vỏ van FD bích C30/TDF (1.15mm)</t>
        </is>
      </c>
      <c r="D847" t="inlineStr">
        <is>
          <t>TÔN_CUỘN_MẠ_KẼM</t>
        </is>
      </c>
      <c r="E847" t="inlineStr">
        <is>
          <t>MAT-STEEL-PN-1.15</t>
        </is>
      </c>
      <c r="F847" t="inlineStr">
        <is>
          <t>kg</t>
        </is>
      </c>
      <c r="G847" s="394" t="n">
        <v>6.7565421</v>
      </c>
      <c r="H847" s="390">
        <f>IFERROR(INDEX('00_TONG_HOP_BAO_GIA'!$G$1:$G$5000, MATCH(B847, '00_TONG_HOP_BAO_GIA'!$B$1:$B$5000, 0)), 1)</f>
        <v/>
      </c>
      <c r="I847" s="395">
        <f>G847*H847</f>
        <v/>
      </c>
      <c r="J847" s="390">
        <f>IFERROR(INDEX('06_BANG_GIA_VAT_TU_AP_DUNG'!$E$1:$E$5000, MATCH(E847, '06_BANG_GIA_VAT_TU_AP_DUNG'!$B$1:$B$5000, 0)), 0)</f>
        <v/>
      </c>
      <c r="K847" s="390">
        <f>I847*J847</f>
        <v/>
      </c>
      <c r="L847" t="inlineStr">
        <is>
          <t>Kích thước vỏ 1000x300x200mm</t>
        </is>
      </c>
    </row>
    <row r="848">
      <c r="A848" t="inlineStr">
        <is>
          <t>SW-DAMPER-175-BLADE</t>
        </is>
      </c>
      <c r="B848" t="inlineStr">
        <is>
          <t>SW-DAMPER-175</t>
        </is>
      </c>
      <c r="C848" t="inlineStr">
        <is>
          <t>Lá cánh / Tôn tấm bọc van (2 cánh)</t>
        </is>
      </c>
      <c r="D848" t="inlineStr">
        <is>
          <t>TÔN_CUỘN_MẠ_KẼM</t>
        </is>
      </c>
      <c r="E848" t="inlineStr">
        <is>
          <t>MAT-STEEL-PN-1.15</t>
        </is>
      </c>
      <c r="F848" t="inlineStr">
        <is>
          <t>kg</t>
        </is>
      </c>
      <c r="G848" s="394" t="n">
        <v>5.416499999999998</v>
      </c>
      <c r="H848" s="390">
        <f>IFERROR(INDEX('00_TONG_HOP_BAO_GIA'!$G$1:$G$5000, MATCH(B848, '00_TONG_HOP_BAO_GIA'!$B$1:$B$5000, 0)), 1)</f>
        <v/>
      </c>
      <c r="I848" s="395">
        <f>G848*H848</f>
        <v/>
      </c>
      <c r="J848" s="390">
        <f>IFERROR(INDEX('06_BANG_GIA_VAT_TU_AP_DUNG'!$E$1:$E$5000, MATCH(E848, '06_BANG_GIA_VAT_TU_AP_DUNG'!$B$1:$B$5000, 0)), 0)</f>
        <v/>
      </c>
      <c r="K848" s="390">
        <f>I848*J848</f>
        <v/>
      </c>
      <c r="L848" t="inlineStr">
        <is>
          <t>Tôn bọc cánh &amp; thân (2 cánh/modul)</t>
        </is>
      </c>
    </row>
    <row r="849">
      <c r="A849" t="inlineStr">
        <is>
          <t>SW-DAMPER-175-AXLE</t>
        </is>
      </c>
      <c r="B849" t="inlineStr">
        <is>
          <t>SW-DAMPER-175</t>
        </is>
      </c>
      <c r="C849" t="inlineStr">
        <is>
          <t>Trục Sus 201 D10</t>
        </is>
      </c>
      <c r="D849" t="inlineStr">
        <is>
          <t>PHỤ_KIỆN_VAN</t>
        </is>
      </c>
      <c r="E849" t="inlineStr">
        <is>
          <t>MAT-DAMPER-TRUC-SUS-201-D10</t>
        </is>
      </c>
      <c r="F849" t="inlineStr">
        <is>
          <t>m</t>
        </is>
      </c>
      <c r="G849" s="394" t="n">
        <v>2.12</v>
      </c>
      <c r="H849" s="390">
        <f>IFERROR(INDEX('00_TONG_HOP_BAO_GIA'!$G$1:$G$5000, MATCH(B849, '00_TONG_HOP_BAO_GIA'!$B$1:$B$5000, 0)), 1)</f>
        <v/>
      </c>
      <c r="I849" s="395">
        <f>G849*H849</f>
        <v/>
      </c>
      <c r="J849" s="390">
        <f>IFERROR(INDEX('06_BANG_GIA_VAT_TU_AP_DUNG'!$E$1:$E$5000, MATCH(E849, '06_BANG_GIA_VAT_TU_AP_DUNG'!$B$1:$B$5000, 0)), 0)</f>
        <v/>
      </c>
      <c r="K849" s="390">
        <f>I849*J849</f>
        <v/>
      </c>
      <c r="L849" t="inlineStr">
        <is>
          <t>2 trục dài 1060mm</t>
        </is>
      </c>
    </row>
    <row r="850">
      <c r="A850" t="inlineStr">
        <is>
          <t>SW-DAMPER-175-BEARING</t>
        </is>
      </c>
      <c r="B850" t="inlineStr">
        <is>
          <t>SW-DAMPER-175</t>
        </is>
      </c>
      <c r="C850" t="inlineStr">
        <is>
          <t>Bạc đồng D10</t>
        </is>
      </c>
      <c r="D850" t="inlineStr">
        <is>
          <t>PHỤ_KIỆN_VAN</t>
        </is>
      </c>
      <c r="E850" t="inlineStr">
        <is>
          <t>MAT-DAMPER-BAC-DONG-D10</t>
        </is>
      </c>
      <c r="F850" t="inlineStr">
        <is>
          <t>Đôi</t>
        </is>
      </c>
      <c r="G850" s="394" t="n">
        <v>2</v>
      </c>
      <c r="H850" s="390">
        <f>IFERROR(INDEX('00_TONG_HOP_BAO_GIA'!$G$1:$G$5000, MATCH(B850, '00_TONG_HOP_BAO_GIA'!$B$1:$B$5000, 0)), 1)</f>
        <v/>
      </c>
      <c r="I850" s="395">
        <f>G850*H850</f>
        <v/>
      </c>
      <c r="J850" s="390">
        <f>IFERROR(INDEX('06_BANG_GIA_VAT_TU_AP_DUNG'!$E$1:$E$5000, MATCH(E850, '06_BANG_GIA_VAT_TU_AP_DUNG'!$B$1:$B$5000, 0)), 0)</f>
        <v/>
      </c>
      <c r="K850" s="390">
        <f>I850*J850</f>
        <v/>
      </c>
      <c r="L850" t="inlineStr">
        <is>
          <t>2 đôi bạc đỡ 2 bên thân</t>
        </is>
      </c>
    </row>
    <row r="851">
      <c r="A851" t="inlineStr">
        <is>
          <t>SW-DAMPER-175-GEAR</t>
        </is>
      </c>
      <c r="B851" t="inlineStr">
        <is>
          <t>SW-DAMPER-175</t>
        </is>
      </c>
      <c r="C851" t="inlineStr">
        <is>
          <t>Bánh răng van nhôm</t>
        </is>
      </c>
      <c r="D851" t="inlineStr">
        <is>
          <t>PHỤ_KIỆN_VAN</t>
        </is>
      </c>
      <c r="E851" t="inlineStr">
        <is>
          <t>MAT-DAMPER-BANH-RANG-VAN-NHOM</t>
        </is>
      </c>
      <c r="F851" t="inlineStr">
        <is>
          <t>Bộ</t>
        </is>
      </c>
      <c r="G851" s="394" t="n">
        <v>1</v>
      </c>
      <c r="H851" s="390">
        <f>IFERROR(INDEX('00_TONG_HOP_BAO_GIA'!$G$1:$G$5000, MATCH(B851, '00_TONG_HOP_BAO_GIA'!$B$1:$B$5000, 0)), 1)</f>
        <v/>
      </c>
      <c r="I851" s="395">
        <f>G851*H851</f>
        <v/>
      </c>
      <c r="J851" s="390">
        <f>IFERROR(INDEX('06_BANG_GIA_VAT_TU_AP_DUNG'!$E$1:$E$5000, MATCH(E851, '06_BANG_GIA_VAT_TU_AP_DUNG'!$B$1:$B$5000, 0)), 0)</f>
        <v/>
      </c>
      <c r="K851" s="390">
        <f>I851*J851</f>
        <v/>
      </c>
      <c r="L851" t="inlineStr">
        <is>
          <t>Cơ cấu liên động cánh (1 bộ)</t>
        </is>
      </c>
    </row>
    <row r="852">
      <c r="A852" t="inlineStr">
        <is>
          <t>SW-DAMPER-175-FUSE</t>
        </is>
      </c>
      <c r="B852" t="inlineStr">
        <is>
          <t>SW-DAMPER-175</t>
        </is>
      </c>
      <c r="C852" t="inlineStr">
        <is>
          <t>Cầu chì nhiệt nóng chảy 70°C/74°C (Elsie/USA)</t>
        </is>
      </c>
      <c r="D852" t="inlineStr">
        <is>
          <t>PHỤ_KIỆN_VAN</t>
        </is>
      </c>
      <c r="E852" t="inlineStr">
        <is>
          <t>MAT-DAMPER-CAU-CHI-USA-2-400X400</t>
        </is>
      </c>
      <c r="F852" t="inlineStr">
        <is>
          <t>Cái</t>
        </is>
      </c>
      <c r="G852" s="394" t="n">
        <v>1</v>
      </c>
      <c r="H852" s="390">
        <f>IFERROR(INDEX('00_TONG_HOP_BAO_GIA'!$G$1:$G$5000, MATCH(B852, '00_TONG_HOP_BAO_GIA'!$B$1:$B$5000, 0)), 1)</f>
        <v/>
      </c>
      <c r="I852" s="395">
        <f>G852*H852</f>
        <v/>
      </c>
      <c r="J852" s="390">
        <f>IFERROR(INDEX('06_BANG_GIA_VAT_TU_AP_DUNG'!$E$1:$E$5000, MATCH(E852, '06_BANG_GIA_VAT_TU_AP_DUNG'!$B$1:$B$5000, 0)), 0)</f>
        <v/>
      </c>
      <c r="K852" s="390">
        <f>I852*J852</f>
        <v/>
      </c>
      <c r="L852" t="inlineStr">
        <is>
          <t>Cầu chì kiểm định PCCC (1 cái)</t>
        </is>
      </c>
    </row>
    <row r="853">
      <c r="A853" t="inlineStr">
        <is>
          <t>SW-DAMPER-175-FUSE-HANDLE</t>
        </is>
      </c>
      <c r="B853" t="inlineStr">
        <is>
          <t>SW-DAMPER-175</t>
        </is>
      </c>
      <c r="C853" t="inlineStr">
        <is>
          <t>Tay gạt cầu chì van FD</t>
        </is>
      </c>
      <c r="D853" t="inlineStr">
        <is>
          <t>PHỤ_KIỆN_VAN</t>
        </is>
      </c>
      <c r="E853" t="inlineStr">
        <is>
          <t>MAT-DAMPER-TAY-GAT-CAU-CHI-1</t>
        </is>
      </c>
      <c r="F853" t="inlineStr">
        <is>
          <t>Bộ</t>
        </is>
      </c>
      <c r="G853" s="394" t="n">
        <v>1</v>
      </c>
      <c r="H853" s="390">
        <f>IFERROR(INDEX('00_TONG_HOP_BAO_GIA'!$G$1:$G$5000, MATCH(B853, '00_TONG_HOP_BAO_GIA'!$B$1:$B$5000, 0)), 1)</f>
        <v/>
      </c>
      <c r="I853" s="395">
        <f>G853*H853</f>
        <v/>
      </c>
      <c r="J853" s="390">
        <f>IFERROR(INDEX('06_BANG_GIA_VAT_TU_AP_DUNG'!$E$1:$E$5000, MATCH(E853, '06_BANG_GIA_VAT_TU_AP_DUNG'!$B$1:$B$5000, 0)), 0)</f>
        <v/>
      </c>
      <c r="K853" s="390">
        <f>I853*J853</f>
        <v/>
      </c>
      <c r="L853" t="inlineStr">
        <is>
          <t>Cơ cấu tay gạt giữ cầu chì (1 bộ)</t>
        </is>
      </c>
    </row>
    <row r="854">
      <c r="A854" t="inlineStr">
        <is>
          <t>SW-DAMPER-175-FB10-BODY</t>
        </is>
      </c>
      <c r="B854" t="inlineStr">
        <is>
          <t>SW-DAMPER-175</t>
        </is>
      </c>
      <c r="C854" t="inlineStr">
        <is>
          <t>Tấm chống cháy dày 10mm bọc thân van FD/MFD (2 lớp)</t>
        </is>
      </c>
      <c r="D854" t="inlineStr">
        <is>
          <t>VẬT_LIỆU_CÁCH_NHIỆT</t>
        </is>
      </c>
      <c r="E854" t="inlineStr">
        <is>
          <t>MAT-FIREBOARD-10MM-BODY</t>
        </is>
      </c>
      <c r="F854" t="inlineStr">
        <is>
          <t>m2</t>
        </is>
      </c>
      <c r="G854" s="394" t="n">
        <v>1.56</v>
      </c>
      <c r="H854" s="390">
        <f>IFERROR(INDEX('00_TONG_HOP_BAO_GIA'!$G$1:$G$5000, MATCH(B854, '00_TONG_HOP_BAO_GIA'!$B$1:$B$5000, 0)), 1)</f>
        <v/>
      </c>
      <c r="I854" s="395">
        <f>G854*H854</f>
        <v/>
      </c>
      <c r="J854" s="390">
        <f>IFERROR(INDEX('06_BANG_GIA_VAT_TU_AP_DUNG'!$E$1:$E$5000, MATCH(E854, '06_BANG_GIA_VAT_TU_AP_DUNG'!$B$1:$B$5000, 0)), 0)</f>
        <v/>
      </c>
      <c r="K854" s="390">
        <f>I854*J854</f>
        <v/>
      </c>
      <c r="L854" t="inlineStr">
        <is>
          <t>Bọc 2 lớp tấm 10mm quanh thân L=300mm</t>
        </is>
      </c>
    </row>
    <row r="855">
      <c r="A855" t="inlineStr">
        <is>
          <t>SW-DAMPER-175-FB20-BLADE</t>
        </is>
      </c>
      <c r="B855" t="inlineStr">
        <is>
          <t>SW-DAMPER-175</t>
        </is>
      </c>
      <c r="C855" t="inlineStr">
        <is>
          <t>Tấm chống cháy dày 20mm làm lõi cánh van FD/MFD</t>
        </is>
      </c>
      <c r="D855" t="inlineStr">
        <is>
          <t>VẬT_LIỆU_CÁCH_NHIỆT</t>
        </is>
      </c>
      <c r="E855" t="inlineStr">
        <is>
          <t>MAT-FIREBOARD-20MM-BLADE</t>
        </is>
      </c>
      <c r="F855" t="inlineStr">
        <is>
          <t>m2</t>
        </is>
      </c>
      <c r="G855" s="394" t="n">
        <v>0.4482020134228188</v>
      </c>
      <c r="H855" s="390">
        <f>IFERROR(INDEX('00_TONG_HOP_BAO_GIA'!$G$1:$G$5000, MATCH(B855, '00_TONG_HOP_BAO_GIA'!$B$1:$B$5000, 0)), 1)</f>
        <v/>
      </c>
      <c r="I855" s="395">
        <f>G855*H855</f>
        <v/>
      </c>
      <c r="J855" s="390">
        <f>IFERROR(INDEX('06_BANG_GIA_VAT_TU_AP_DUNG'!$E$1:$E$5000, MATCH(E855, '06_BANG_GIA_VAT_TU_AP_DUNG'!$B$1:$B$5000, 0)), 0)</f>
        <v/>
      </c>
      <c r="K855" s="390">
        <f>I855*J855</f>
        <v/>
      </c>
      <c r="L855" t="inlineStr">
        <is>
          <t>Lõi cánh tấm 20mm (Đa cánh hệ số (H-5)/149=1.98, bản rộng 210mm, hao hụt 10%)</t>
        </is>
      </c>
    </row>
    <row r="856">
      <c r="A856" t="inlineStr">
        <is>
          <t>SW-DAMPER-175-FB10-BLADE</t>
        </is>
      </c>
      <c r="B856" t="inlineStr">
        <is>
          <t>SW-DAMPER-175</t>
        </is>
      </c>
      <c r="C856" t="inlineStr">
        <is>
          <t>Tấm chống cháy dày 10mm ốp 2 mặt cánh van FD/MFD</t>
        </is>
      </c>
      <c r="D856" t="inlineStr">
        <is>
          <t>VẬT_LIỆU_CÁCH_NHIỆT</t>
        </is>
      </c>
      <c r="E856" t="inlineStr">
        <is>
          <t>MAT-FIREBOARD-10MM-BLADE</t>
        </is>
      </c>
      <c r="F856" t="inlineStr">
        <is>
          <t>m2</t>
        </is>
      </c>
      <c r="G856" s="394" t="n">
        <v>0.9146979865771812</v>
      </c>
      <c r="H856" s="390">
        <f>IFERROR(INDEX('00_TONG_HOP_BAO_GIA'!$G$1:$G$5000, MATCH(B856, '00_TONG_HOP_BAO_GIA'!$B$1:$B$5000, 0)), 1)</f>
        <v/>
      </c>
      <c r="I856" s="395">
        <f>G856*H856</f>
        <v/>
      </c>
      <c r="J856" s="390">
        <f>IFERROR(INDEX('06_BANG_GIA_VAT_TU_AP_DUNG'!$E$1:$E$5000, MATCH(E856, '06_BANG_GIA_VAT_TU_AP_DUNG'!$B$1:$B$5000, 0)), 0)</f>
        <v/>
      </c>
      <c r="K856" s="390">
        <f>I856*J856</f>
        <v/>
      </c>
      <c r="L856" t="inlineStr">
        <is>
          <t>Ốp 2 mặt cánh tấm 10mm (Đa cánh hệ số (H-5)/149=1.98, bản rộng 210mm, hao hụt 10%)</t>
        </is>
      </c>
    </row>
    <row r="857">
      <c r="A857" t="inlineStr">
        <is>
          <t>SW-DAMPER-175-SPRING-BOX</t>
        </is>
      </c>
      <c r="B857" t="inlineStr">
        <is>
          <t>SW-DAMPER-175</t>
        </is>
      </c>
      <c r="C857" t="inlineStr">
        <is>
          <t>Hộp lò xo van chặn lửa FD/MFD</t>
        </is>
      </c>
      <c r="D857" t="inlineStr">
        <is>
          <t>PHỤ_KIỆN_VAN</t>
        </is>
      </c>
      <c r="E857" t="inlineStr">
        <is>
          <t>MAT-DAMPER-HOP-LO-XO</t>
        </is>
      </c>
      <c r="F857" t="inlineStr">
        <is>
          <t>Bộ</t>
        </is>
      </c>
      <c r="G857" s="394" t="n">
        <v>1</v>
      </c>
      <c r="H857" s="390">
        <f>IFERROR(INDEX('00_TONG_HOP_BAO_GIA'!$G$1:$G$5000, MATCH(B857, '00_TONG_HOP_BAO_GIA'!$B$1:$B$5000, 0)), 1)</f>
        <v/>
      </c>
      <c r="I857" s="395">
        <f>G857*H857</f>
        <v/>
      </c>
      <c r="J857" s="390">
        <f>IFERROR(INDEX('06_BANG_GIA_VAT_TU_AP_DUNG'!$E$1:$E$5000, MATCH(E857, '06_BANG_GIA_VAT_TU_AP_DUNG'!$B$1:$B$5000, 0)), 0)</f>
        <v/>
      </c>
      <c r="K857" s="390">
        <f>I857*J857</f>
        <v/>
      </c>
      <c r="L857" t="inlineStr">
        <is>
          <t>Hộp lò xo cơ cấu đóng sập (1 bộ)</t>
        </is>
      </c>
    </row>
    <row r="858">
      <c r="A858" t="inlineStr">
        <is>
          <t>SW-DAMPER-175-SILICON-BOLT</t>
        </is>
      </c>
      <c r="B858" t="inlineStr">
        <is>
          <t>SW-DAMPER-175</t>
        </is>
      </c>
      <c r="C858" t="inlineStr">
        <is>
          <t>Silicon chống cháy + bu lông, ốc vít van FD/MFD</t>
        </is>
      </c>
      <c r="D858" t="inlineStr">
        <is>
          <t>PHỤ_KIỆN_VAN</t>
        </is>
      </c>
      <c r="E858" t="inlineStr">
        <is>
          <t>MAT-DAMPER-SILICON-BULONG-VIT</t>
        </is>
      </c>
      <c r="F858" t="inlineStr">
        <is>
          <t>Bộ</t>
        </is>
      </c>
      <c r="G858" s="394" t="n">
        <v>1</v>
      </c>
      <c r="H858" s="390">
        <f>IFERROR(INDEX('00_TONG_HOP_BAO_GIA'!$G$1:$G$5000, MATCH(B858, '00_TONG_HOP_BAO_GIA'!$B$1:$B$5000, 0)), 1)</f>
        <v/>
      </c>
      <c r="I858" s="395">
        <f>G858*H858</f>
        <v/>
      </c>
      <c r="J858" s="390">
        <f>IFERROR(INDEX('06_BANG_GIA_VAT_TU_AP_DUNG'!$E$1:$E$5000, MATCH(E858, '06_BANG_GIA_VAT_TU_AP_DUNG'!$B$1:$B$5000, 0)), 0)</f>
        <v/>
      </c>
      <c r="K858" s="390">
        <f>I858*J858</f>
        <v/>
      </c>
      <c r="L858" t="inlineStr">
        <is>
          <t>Keo silicon chống cháy &amp; phụ kiện lắp ghép (1 bộ)</t>
        </is>
      </c>
    </row>
    <row r="859">
      <c r="A859" t="inlineStr">
        <is>
          <t>SW-DAMPER-176-BODY</t>
        </is>
      </c>
      <c r="B859" t="inlineStr">
        <is>
          <t>SW-DAMPER-176</t>
        </is>
      </c>
      <c r="C859" t="inlineStr">
        <is>
          <t>Thân vỏ van FD bích C30/TDF (1.15mm)</t>
        </is>
      </c>
      <c r="D859" t="inlineStr">
        <is>
          <t>TÔN_CUỘN_MẠ_KẼM</t>
        </is>
      </c>
      <c r="E859" t="inlineStr">
        <is>
          <t>MAT-STEEL-PN-1.15</t>
        </is>
      </c>
      <c r="F859" t="inlineStr">
        <is>
          <t>kg</t>
        </is>
      </c>
      <c r="G859" s="394" t="n">
        <v>4.7091051</v>
      </c>
      <c r="H859" s="390">
        <f>IFERROR(INDEX('00_TONG_HOP_BAO_GIA'!$G$1:$G$5000, MATCH(B859, '00_TONG_HOP_BAO_GIA'!$B$1:$B$5000, 0)), 1)</f>
        <v/>
      </c>
      <c r="I859" s="395">
        <f>G859*H859</f>
        <v/>
      </c>
      <c r="J859" s="390">
        <f>IFERROR(INDEX('06_BANG_GIA_VAT_TU_AP_DUNG'!$E$1:$E$5000, MATCH(E859, '06_BANG_GIA_VAT_TU_AP_DUNG'!$B$1:$B$5000, 0)), 0)</f>
        <v/>
      </c>
      <c r="K859" s="390">
        <f>I859*J859</f>
        <v/>
      </c>
      <c r="L859" t="inlineStr">
        <is>
          <t>Kích thước vỏ 600x300x200mm</t>
        </is>
      </c>
    </row>
    <row r="860">
      <c r="A860" t="inlineStr">
        <is>
          <t>SW-DAMPER-176-BLADE</t>
        </is>
      </c>
      <c r="B860" t="inlineStr">
        <is>
          <t>SW-DAMPER-176</t>
        </is>
      </c>
      <c r="C860" t="inlineStr">
        <is>
          <t>Lá cánh / Tôn tấm bọc van (2 cánh)</t>
        </is>
      </c>
      <c r="D860" t="inlineStr">
        <is>
          <t>TÔN_CUỘN_MẠ_KẼM</t>
        </is>
      </c>
      <c r="E860" t="inlineStr">
        <is>
          <t>MAT-STEEL-PN-1.15</t>
        </is>
      </c>
      <c r="F860" t="inlineStr">
        <is>
          <t>kg</t>
        </is>
      </c>
      <c r="G860" s="394" t="n">
        <v>3.249899999999999</v>
      </c>
      <c r="H860" s="390">
        <f>IFERROR(INDEX('00_TONG_HOP_BAO_GIA'!$G$1:$G$5000, MATCH(B860, '00_TONG_HOP_BAO_GIA'!$B$1:$B$5000, 0)), 1)</f>
        <v/>
      </c>
      <c r="I860" s="395">
        <f>G860*H860</f>
        <v/>
      </c>
      <c r="J860" s="390">
        <f>IFERROR(INDEX('06_BANG_GIA_VAT_TU_AP_DUNG'!$E$1:$E$5000, MATCH(E860, '06_BANG_GIA_VAT_TU_AP_DUNG'!$B$1:$B$5000, 0)), 0)</f>
        <v/>
      </c>
      <c r="K860" s="390">
        <f>I860*J860</f>
        <v/>
      </c>
      <c r="L860" t="inlineStr">
        <is>
          <t>Tôn bọc cánh &amp; thân (2 cánh/modul)</t>
        </is>
      </c>
    </row>
    <row r="861">
      <c r="A861" t="inlineStr">
        <is>
          <t>SW-DAMPER-176-AXLE</t>
        </is>
      </c>
      <c r="B861" t="inlineStr">
        <is>
          <t>SW-DAMPER-176</t>
        </is>
      </c>
      <c r="C861" t="inlineStr">
        <is>
          <t>Trục Sus 201 D10</t>
        </is>
      </c>
      <c r="D861" t="inlineStr">
        <is>
          <t>PHỤ_KIỆN_VAN</t>
        </is>
      </c>
      <c r="E861" t="inlineStr">
        <is>
          <t>MAT-DAMPER-TRUC-SUS-201-D10</t>
        </is>
      </c>
      <c r="F861" t="inlineStr">
        <is>
          <t>m</t>
        </is>
      </c>
      <c r="G861" s="394" t="n">
        <v>1.32</v>
      </c>
      <c r="H861" s="390">
        <f>IFERROR(INDEX('00_TONG_HOP_BAO_GIA'!$G$1:$G$5000, MATCH(B861, '00_TONG_HOP_BAO_GIA'!$B$1:$B$5000, 0)), 1)</f>
        <v/>
      </c>
      <c r="I861" s="395">
        <f>G861*H861</f>
        <v/>
      </c>
      <c r="J861" s="390">
        <f>IFERROR(INDEX('06_BANG_GIA_VAT_TU_AP_DUNG'!$E$1:$E$5000, MATCH(E861, '06_BANG_GIA_VAT_TU_AP_DUNG'!$B$1:$B$5000, 0)), 0)</f>
        <v/>
      </c>
      <c r="K861" s="390">
        <f>I861*J861</f>
        <v/>
      </c>
      <c r="L861" t="inlineStr">
        <is>
          <t>2 trục dài 660mm</t>
        </is>
      </c>
    </row>
    <row r="862">
      <c r="A862" t="inlineStr">
        <is>
          <t>SW-DAMPER-176-BEARING</t>
        </is>
      </c>
      <c r="B862" t="inlineStr">
        <is>
          <t>SW-DAMPER-176</t>
        </is>
      </c>
      <c r="C862" t="inlineStr">
        <is>
          <t>Bạc đồng D10</t>
        </is>
      </c>
      <c r="D862" t="inlineStr">
        <is>
          <t>PHỤ_KIỆN_VAN</t>
        </is>
      </c>
      <c r="E862" t="inlineStr">
        <is>
          <t>MAT-DAMPER-BAC-DONG-D10</t>
        </is>
      </c>
      <c r="F862" t="inlineStr">
        <is>
          <t>Đôi</t>
        </is>
      </c>
      <c r="G862" s="394" t="n">
        <v>2</v>
      </c>
      <c r="H862" s="390">
        <f>IFERROR(INDEX('00_TONG_HOP_BAO_GIA'!$G$1:$G$5000, MATCH(B862, '00_TONG_HOP_BAO_GIA'!$B$1:$B$5000, 0)), 1)</f>
        <v/>
      </c>
      <c r="I862" s="395">
        <f>G862*H862</f>
        <v/>
      </c>
      <c r="J862" s="390">
        <f>IFERROR(INDEX('06_BANG_GIA_VAT_TU_AP_DUNG'!$E$1:$E$5000, MATCH(E862, '06_BANG_GIA_VAT_TU_AP_DUNG'!$B$1:$B$5000, 0)), 0)</f>
        <v/>
      </c>
      <c r="K862" s="390">
        <f>I862*J862</f>
        <v/>
      </c>
      <c r="L862" t="inlineStr">
        <is>
          <t>2 đôi bạc đỡ 2 bên thân</t>
        </is>
      </c>
    </row>
    <row r="863">
      <c r="A863" t="inlineStr">
        <is>
          <t>SW-DAMPER-176-GEAR</t>
        </is>
      </c>
      <c r="B863" t="inlineStr">
        <is>
          <t>SW-DAMPER-176</t>
        </is>
      </c>
      <c r="C863" t="inlineStr">
        <is>
          <t>Bánh răng van nhôm</t>
        </is>
      </c>
      <c r="D863" t="inlineStr">
        <is>
          <t>PHỤ_KIỆN_VAN</t>
        </is>
      </c>
      <c r="E863" t="inlineStr">
        <is>
          <t>MAT-DAMPER-BANH-RANG-VAN-NHOM</t>
        </is>
      </c>
      <c r="F863" t="inlineStr">
        <is>
          <t>Bộ</t>
        </is>
      </c>
      <c r="G863" s="394" t="n">
        <v>1</v>
      </c>
      <c r="H863" s="390">
        <f>IFERROR(INDEX('00_TONG_HOP_BAO_GIA'!$G$1:$G$5000, MATCH(B863, '00_TONG_HOP_BAO_GIA'!$B$1:$B$5000, 0)), 1)</f>
        <v/>
      </c>
      <c r="I863" s="395">
        <f>G863*H863</f>
        <v/>
      </c>
      <c r="J863" s="390">
        <f>IFERROR(INDEX('06_BANG_GIA_VAT_TU_AP_DUNG'!$E$1:$E$5000, MATCH(E863, '06_BANG_GIA_VAT_TU_AP_DUNG'!$B$1:$B$5000, 0)), 0)</f>
        <v/>
      </c>
      <c r="K863" s="390">
        <f>I863*J863</f>
        <v/>
      </c>
      <c r="L863" t="inlineStr">
        <is>
          <t>Cơ cấu liên động cánh (1 bộ)</t>
        </is>
      </c>
    </row>
    <row r="864">
      <c r="A864" t="inlineStr">
        <is>
          <t>SW-DAMPER-176-FUSE</t>
        </is>
      </c>
      <c r="B864" t="inlineStr">
        <is>
          <t>SW-DAMPER-176</t>
        </is>
      </c>
      <c r="C864" t="inlineStr">
        <is>
          <t>Cầu chì nhiệt nóng chảy 70°C/74°C (Elsie/USA)</t>
        </is>
      </c>
      <c r="D864" t="inlineStr">
        <is>
          <t>PHỤ_KIỆN_VAN</t>
        </is>
      </c>
      <c r="E864" t="inlineStr">
        <is>
          <t>MAT-DAMPER-CAU-CHI-USA-2-400X400</t>
        </is>
      </c>
      <c r="F864" t="inlineStr">
        <is>
          <t>Cái</t>
        </is>
      </c>
      <c r="G864" s="394" t="n">
        <v>1</v>
      </c>
      <c r="H864" s="390">
        <f>IFERROR(INDEX('00_TONG_HOP_BAO_GIA'!$G$1:$G$5000, MATCH(B864, '00_TONG_HOP_BAO_GIA'!$B$1:$B$5000, 0)), 1)</f>
        <v/>
      </c>
      <c r="I864" s="395">
        <f>G864*H864</f>
        <v/>
      </c>
      <c r="J864" s="390">
        <f>IFERROR(INDEX('06_BANG_GIA_VAT_TU_AP_DUNG'!$E$1:$E$5000, MATCH(E864, '06_BANG_GIA_VAT_TU_AP_DUNG'!$B$1:$B$5000, 0)), 0)</f>
        <v/>
      </c>
      <c r="K864" s="390">
        <f>I864*J864</f>
        <v/>
      </c>
      <c r="L864" t="inlineStr">
        <is>
          <t>Cầu chì kiểm định PCCC (1 cái)</t>
        </is>
      </c>
    </row>
    <row r="865">
      <c r="A865" t="inlineStr">
        <is>
          <t>SW-DAMPER-176-FUSE-HANDLE</t>
        </is>
      </c>
      <c r="B865" t="inlineStr">
        <is>
          <t>SW-DAMPER-176</t>
        </is>
      </c>
      <c r="C865" t="inlineStr">
        <is>
          <t>Tay gạt cầu chì van FD</t>
        </is>
      </c>
      <c r="D865" t="inlineStr">
        <is>
          <t>PHỤ_KIỆN_VAN</t>
        </is>
      </c>
      <c r="E865" t="inlineStr">
        <is>
          <t>MAT-DAMPER-TAY-GAT-CAU-CHI-1</t>
        </is>
      </c>
      <c r="F865" t="inlineStr">
        <is>
          <t>Bộ</t>
        </is>
      </c>
      <c r="G865" s="394" t="n">
        <v>1</v>
      </c>
      <c r="H865" s="390">
        <f>IFERROR(INDEX('00_TONG_HOP_BAO_GIA'!$G$1:$G$5000, MATCH(B865, '00_TONG_HOP_BAO_GIA'!$B$1:$B$5000, 0)), 1)</f>
        <v/>
      </c>
      <c r="I865" s="395">
        <f>G865*H865</f>
        <v/>
      </c>
      <c r="J865" s="390">
        <f>IFERROR(INDEX('06_BANG_GIA_VAT_TU_AP_DUNG'!$E$1:$E$5000, MATCH(E865, '06_BANG_GIA_VAT_TU_AP_DUNG'!$B$1:$B$5000, 0)), 0)</f>
        <v/>
      </c>
      <c r="K865" s="390">
        <f>I865*J865</f>
        <v/>
      </c>
      <c r="L865" t="inlineStr">
        <is>
          <t>Cơ cấu tay gạt giữ cầu chì (1 bộ)</t>
        </is>
      </c>
    </row>
    <row r="866">
      <c r="A866" t="inlineStr">
        <is>
          <t>SW-DAMPER-176-FB10-BODY</t>
        </is>
      </c>
      <c r="B866" t="inlineStr">
        <is>
          <t>SW-DAMPER-176</t>
        </is>
      </c>
      <c r="C866" t="inlineStr">
        <is>
          <t>Tấm chống cháy dày 10mm bọc thân van FD/MFD (2 lớp)</t>
        </is>
      </c>
      <c r="D866" t="inlineStr">
        <is>
          <t>VẬT_LIỆU_CÁCH_NHIỆT</t>
        </is>
      </c>
      <c r="E866" t="inlineStr">
        <is>
          <t>MAT-FIREBOARD-10MM-BODY</t>
        </is>
      </c>
      <c r="F866" t="inlineStr">
        <is>
          <t>m2</t>
        </is>
      </c>
      <c r="G866" s="394" t="n">
        <v>1.08</v>
      </c>
      <c r="H866" s="390">
        <f>IFERROR(INDEX('00_TONG_HOP_BAO_GIA'!$G$1:$G$5000, MATCH(B866, '00_TONG_HOP_BAO_GIA'!$B$1:$B$5000, 0)), 1)</f>
        <v/>
      </c>
      <c r="I866" s="395">
        <f>G866*H866</f>
        <v/>
      </c>
      <c r="J866" s="390">
        <f>IFERROR(INDEX('06_BANG_GIA_VAT_TU_AP_DUNG'!$E$1:$E$5000, MATCH(E866, '06_BANG_GIA_VAT_TU_AP_DUNG'!$B$1:$B$5000, 0)), 0)</f>
        <v/>
      </c>
      <c r="K866" s="390">
        <f>I866*J866</f>
        <v/>
      </c>
      <c r="L866" t="inlineStr">
        <is>
          <t>Bọc 2 lớp tấm 10mm quanh thân L=300mm</t>
        </is>
      </c>
    </row>
    <row r="867">
      <c r="A867" t="inlineStr">
        <is>
          <t>SW-DAMPER-176-FB20-BLADE</t>
        </is>
      </c>
      <c r="B867" t="inlineStr">
        <is>
          <t>SW-DAMPER-176</t>
        </is>
      </c>
      <c r="C867" t="inlineStr">
        <is>
          <t>Tấm chống cháy dày 20mm làm lõi cánh van FD/MFD</t>
        </is>
      </c>
      <c r="D867" t="inlineStr">
        <is>
          <t>VẬT_LIỆU_CÁCH_NHIỆT</t>
        </is>
      </c>
      <c r="E867" t="inlineStr">
        <is>
          <t>MAT-FIREBOARD-20MM-BLADE</t>
        </is>
      </c>
      <c r="F867" t="inlineStr">
        <is>
          <t>m2</t>
        </is>
      </c>
      <c r="G867" s="394" t="n">
        <v>0.2652624161073825</v>
      </c>
      <c r="H867" s="390">
        <f>IFERROR(INDEX('00_TONG_HOP_BAO_GIA'!$G$1:$G$5000, MATCH(B867, '00_TONG_HOP_BAO_GIA'!$B$1:$B$5000, 0)), 1)</f>
        <v/>
      </c>
      <c r="I867" s="395">
        <f>G867*H867</f>
        <v/>
      </c>
      <c r="J867" s="390">
        <f>IFERROR(INDEX('06_BANG_GIA_VAT_TU_AP_DUNG'!$E$1:$E$5000, MATCH(E867, '06_BANG_GIA_VAT_TU_AP_DUNG'!$B$1:$B$5000, 0)), 0)</f>
        <v/>
      </c>
      <c r="K867" s="390">
        <f>I867*J867</f>
        <v/>
      </c>
      <c r="L867" t="inlineStr">
        <is>
          <t>Lõi cánh tấm 20mm (Đa cánh hệ số (H-5)/149=1.98, bản rộng 210mm, hao hụt 10%)</t>
        </is>
      </c>
    </row>
    <row r="868">
      <c r="A868" t="inlineStr">
        <is>
          <t>SW-DAMPER-176-FB10-BLADE</t>
        </is>
      </c>
      <c r="B868" t="inlineStr">
        <is>
          <t>SW-DAMPER-176</t>
        </is>
      </c>
      <c r="C868" t="inlineStr">
        <is>
          <t>Tấm chống cháy dày 10mm ốp 2 mặt cánh van FD/MFD</t>
        </is>
      </c>
      <c r="D868" t="inlineStr">
        <is>
          <t>VẬT_LIỆU_CÁCH_NHIỆT</t>
        </is>
      </c>
      <c r="E868" t="inlineStr">
        <is>
          <t>MAT-FIREBOARD-10MM-BLADE</t>
        </is>
      </c>
      <c r="F868" t="inlineStr">
        <is>
          <t>m2</t>
        </is>
      </c>
      <c r="G868" s="394" t="n">
        <v>0.5488187919463088</v>
      </c>
      <c r="H868" s="390">
        <f>IFERROR(INDEX('00_TONG_HOP_BAO_GIA'!$G$1:$G$5000, MATCH(B868, '00_TONG_HOP_BAO_GIA'!$B$1:$B$5000, 0)), 1)</f>
        <v/>
      </c>
      <c r="I868" s="395">
        <f>G868*H868</f>
        <v/>
      </c>
      <c r="J868" s="390">
        <f>IFERROR(INDEX('06_BANG_GIA_VAT_TU_AP_DUNG'!$E$1:$E$5000, MATCH(E868, '06_BANG_GIA_VAT_TU_AP_DUNG'!$B$1:$B$5000, 0)), 0)</f>
        <v/>
      </c>
      <c r="K868" s="390">
        <f>I868*J868</f>
        <v/>
      </c>
      <c r="L868" t="inlineStr">
        <is>
          <t>Ốp 2 mặt cánh tấm 10mm (Đa cánh hệ số (H-5)/149=1.98, bản rộng 210mm, hao hụt 10%)</t>
        </is>
      </c>
    </row>
    <row r="869">
      <c r="A869" t="inlineStr">
        <is>
          <t>SW-DAMPER-176-SPRING-BOX</t>
        </is>
      </c>
      <c r="B869" t="inlineStr">
        <is>
          <t>SW-DAMPER-176</t>
        </is>
      </c>
      <c r="C869" t="inlineStr">
        <is>
          <t>Hộp lò xo van chặn lửa FD/MFD</t>
        </is>
      </c>
      <c r="D869" t="inlineStr">
        <is>
          <t>PHỤ_KIỆN_VAN</t>
        </is>
      </c>
      <c r="E869" t="inlineStr">
        <is>
          <t>MAT-DAMPER-HOP-LO-XO</t>
        </is>
      </c>
      <c r="F869" t="inlineStr">
        <is>
          <t>Bộ</t>
        </is>
      </c>
      <c r="G869" s="394" t="n">
        <v>1</v>
      </c>
      <c r="H869" s="390">
        <f>IFERROR(INDEX('00_TONG_HOP_BAO_GIA'!$G$1:$G$5000, MATCH(B869, '00_TONG_HOP_BAO_GIA'!$B$1:$B$5000, 0)), 1)</f>
        <v/>
      </c>
      <c r="I869" s="395">
        <f>G869*H869</f>
        <v/>
      </c>
      <c r="J869" s="390">
        <f>IFERROR(INDEX('06_BANG_GIA_VAT_TU_AP_DUNG'!$E$1:$E$5000, MATCH(E869, '06_BANG_GIA_VAT_TU_AP_DUNG'!$B$1:$B$5000, 0)), 0)</f>
        <v/>
      </c>
      <c r="K869" s="390">
        <f>I869*J869</f>
        <v/>
      </c>
      <c r="L869" t="inlineStr">
        <is>
          <t>Hộp lò xo cơ cấu đóng sập (1 bộ)</t>
        </is>
      </c>
    </row>
    <row r="870">
      <c r="A870" t="inlineStr">
        <is>
          <t>SW-DAMPER-176-SILICON-BOLT</t>
        </is>
      </c>
      <c r="B870" t="inlineStr">
        <is>
          <t>SW-DAMPER-176</t>
        </is>
      </c>
      <c r="C870" t="inlineStr">
        <is>
          <t>Silicon chống cháy + bu lông, ốc vít van FD/MFD</t>
        </is>
      </c>
      <c r="D870" t="inlineStr">
        <is>
          <t>PHỤ_KIỆN_VAN</t>
        </is>
      </c>
      <c r="E870" t="inlineStr">
        <is>
          <t>MAT-DAMPER-SILICON-BULONG-VIT</t>
        </is>
      </c>
      <c r="F870" t="inlineStr">
        <is>
          <t>Bộ</t>
        </is>
      </c>
      <c r="G870" s="394" t="n">
        <v>1</v>
      </c>
      <c r="H870" s="390">
        <f>IFERROR(INDEX('00_TONG_HOP_BAO_GIA'!$G$1:$G$5000, MATCH(B870, '00_TONG_HOP_BAO_GIA'!$B$1:$B$5000, 0)), 1)</f>
        <v/>
      </c>
      <c r="I870" s="395">
        <f>G870*H870</f>
        <v/>
      </c>
      <c r="J870" s="390">
        <f>IFERROR(INDEX('06_BANG_GIA_VAT_TU_AP_DUNG'!$E$1:$E$5000, MATCH(E870, '06_BANG_GIA_VAT_TU_AP_DUNG'!$B$1:$B$5000, 0)), 0)</f>
        <v/>
      </c>
      <c r="K870" s="390">
        <f>I870*J870</f>
        <v/>
      </c>
      <c r="L870" t="inlineStr">
        <is>
          <t>Keo silicon chống cháy &amp; phụ kiện lắp ghép (1 bộ)</t>
        </is>
      </c>
    </row>
    <row r="871">
      <c r="A871" t="inlineStr">
        <is>
          <t>SW-DAMPER-177-BODY</t>
        </is>
      </c>
      <c r="B871" t="inlineStr">
        <is>
          <t>SW-DAMPER-177</t>
        </is>
      </c>
      <c r="C871" t="inlineStr">
        <is>
          <t>Thân vỏ van FD bích C30/TDF (1.15mm)</t>
        </is>
      </c>
      <c r="D871" t="inlineStr">
        <is>
          <t>TÔN_CUỘN_MẠ_KẼM</t>
        </is>
      </c>
      <c r="E871" t="inlineStr">
        <is>
          <t>MAT-STEEL-PN-1.15</t>
        </is>
      </c>
      <c r="F871" t="inlineStr">
        <is>
          <t>kg</t>
        </is>
      </c>
      <c r="G871" s="394" t="n">
        <v>3.17352735</v>
      </c>
      <c r="H871" s="390">
        <f>IFERROR(INDEX('00_TONG_HOP_BAO_GIA'!$G$1:$G$5000, MATCH(B871, '00_TONG_HOP_BAO_GIA'!$B$1:$B$5000, 0)), 1)</f>
        <v/>
      </c>
      <c r="I871" s="395">
        <f>G871*H871</f>
        <v/>
      </c>
      <c r="J871" s="390">
        <f>IFERROR(INDEX('06_BANG_GIA_VAT_TU_AP_DUNG'!$E$1:$E$5000, MATCH(E871, '06_BANG_GIA_VAT_TU_AP_DUNG'!$B$1:$B$5000, 0)), 0)</f>
        <v/>
      </c>
      <c r="K871" s="390">
        <f>I871*J871</f>
        <v/>
      </c>
      <c r="L871" t="inlineStr">
        <is>
          <t>Kích thước vỏ 400x200x200mm</t>
        </is>
      </c>
    </row>
    <row r="872">
      <c r="A872" t="inlineStr">
        <is>
          <t>SW-DAMPER-177-BLADE</t>
        </is>
      </c>
      <c r="B872" t="inlineStr">
        <is>
          <t>SW-DAMPER-177</t>
        </is>
      </c>
      <c r="C872" t="inlineStr">
        <is>
          <t>Lá cánh / Tôn tấm bọc van (1 cánh)</t>
        </is>
      </c>
      <c r="D872" t="inlineStr">
        <is>
          <t>TÔN_CUỘN_MẠ_KẼM</t>
        </is>
      </c>
      <c r="E872" t="inlineStr">
        <is>
          <t>MAT-STEEL-PN-1.15</t>
        </is>
      </c>
      <c r="F872" t="inlineStr">
        <is>
          <t>kg</t>
        </is>
      </c>
      <c r="G872" s="394" t="n">
        <v>1.4444</v>
      </c>
      <c r="H872" s="390">
        <f>IFERROR(INDEX('00_TONG_HOP_BAO_GIA'!$G$1:$G$5000, MATCH(B872, '00_TONG_HOP_BAO_GIA'!$B$1:$B$5000, 0)), 1)</f>
        <v/>
      </c>
      <c r="I872" s="395">
        <f>G872*H872</f>
        <v/>
      </c>
      <c r="J872" s="390">
        <f>IFERROR(INDEX('06_BANG_GIA_VAT_TU_AP_DUNG'!$E$1:$E$5000, MATCH(E872, '06_BANG_GIA_VAT_TU_AP_DUNG'!$B$1:$B$5000, 0)), 0)</f>
        <v/>
      </c>
      <c r="K872" s="390">
        <f>I872*J872</f>
        <v/>
      </c>
      <c r="L872" t="inlineStr">
        <is>
          <t>Tôn bọc cánh &amp; thân (1 cánh/modul)</t>
        </is>
      </c>
    </row>
    <row r="873">
      <c r="A873" t="inlineStr">
        <is>
          <t>SW-DAMPER-177-AXLE</t>
        </is>
      </c>
      <c r="B873" t="inlineStr">
        <is>
          <t>SW-DAMPER-177</t>
        </is>
      </c>
      <c r="C873" t="inlineStr">
        <is>
          <t>Trục Sus 201 D10</t>
        </is>
      </c>
      <c r="D873" t="inlineStr">
        <is>
          <t>PHỤ_KIỆN_VAN</t>
        </is>
      </c>
      <c r="E873" t="inlineStr">
        <is>
          <t>MAT-DAMPER-TRUC-SUS-201-D10</t>
        </is>
      </c>
      <c r="F873" t="inlineStr">
        <is>
          <t>m</t>
        </is>
      </c>
      <c r="G873" s="394" t="n">
        <v>0.46</v>
      </c>
      <c r="H873" s="390">
        <f>IFERROR(INDEX('00_TONG_HOP_BAO_GIA'!$G$1:$G$5000, MATCH(B873, '00_TONG_HOP_BAO_GIA'!$B$1:$B$5000, 0)), 1)</f>
        <v/>
      </c>
      <c r="I873" s="395">
        <f>G873*H873</f>
        <v/>
      </c>
      <c r="J873" s="390">
        <f>IFERROR(INDEX('06_BANG_GIA_VAT_TU_AP_DUNG'!$E$1:$E$5000, MATCH(E873, '06_BANG_GIA_VAT_TU_AP_DUNG'!$B$1:$B$5000, 0)), 0)</f>
        <v/>
      </c>
      <c r="K873" s="390">
        <f>I873*J873</f>
        <v/>
      </c>
      <c r="L873" t="inlineStr">
        <is>
          <t>1 trục dài 460mm</t>
        </is>
      </c>
    </row>
    <row r="874">
      <c r="A874" t="inlineStr">
        <is>
          <t>SW-DAMPER-177-BEARING</t>
        </is>
      </c>
      <c r="B874" t="inlineStr">
        <is>
          <t>SW-DAMPER-177</t>
        </is>
      </c>
      <c r="C874" t="inlineStr">
        <is>
          <t>Bạc đồng D10</t>
        </is>
      </c>
      <c r="D874" t="inlineStr">
        <is>
          <t>PHỤ_KIỆN_VAN</t>
        </is>
      </c>
      <c r="E874" t="inlineStr">
        <is>
          <t>MAT-DAMPER-BAC-DONG-D10</t>
        </is>
      </c>
      <c r="F874" t="inlineStr">
        <is>
          <t>Đôi</t>
        </is>
      </c>
      <c r="G874" s="394" t="n">
        <v>1</v>
      </c>
      <c r="H874" s="390">
        <f>IFERROR(INDEX('00_TONG_HOP_BAO_GIA'!$G$1:$G$5000, MATCH(B874, '00_TONG_HOP_BAO_GIA'!$B$1:$B$5000, 0)), 1)</f>
        <v/>
      </c>
      <c r="I874" s="395">
        <f>G874*H874</f>
        <v/>
      </c>
      <c r="J874" s="390">
        <f>IFERROR(INDEX('06_BANG_GIA_VAT_TU_AP_DUNG'!$E$1:$E$5000, MATCH(E874, '06_BANG_GIA_VAT_TU_AP_DUNG'!$B$1:$B$5000, 0)), 0)</f>
        <v/>
      </c>
      <c r="K874" s="390">
        <f>I874*J874</f>
        <v/>
      </c>
      <c r="L874" t="inlineStr">
        <is>
          <t>1 đôi bạc đỡ 2 bên thân</t>
        </is>
      </c>
    </row>
    <row r="875">
      <c r="A875" t="inlineStr">
        <is>
          <t>SW-DAMPER-177-FUSE</t>
        </is>
      </c>
      <c r="B875" t="inlineStr">
        <is>
          <t>SW-DAMPER-177</t>
        </is>
      </c>
      <c r="C875" t="inlineStr">
        <is>
          <t>Cầu chì nhiệt nóng chảy 70°C/74°C (Elsie/USA)</t>
        </is>
      </c>
      <c r="D875" t="inlineStr">
        <is>
          <t>PHỤ_KIỆN_VAN</t>
        </is>
      </c>
      <c r="E875" t="inlineStr">
        <is>
          <t>MAT-DAMPER-CAU-CHI-USA-2-400X400</t>
        </is>
      </c>
      <c r="F875" t="inlineStr">
        <is>
          <t>Cái</t>
        </is>
      </c>
      <c r="G875" s="394" t="n">
        <v>1</v>
      </c>
      <c r="H875" s="390">
        <f>IFERROR(INDEX('00_TONG_HOP_BAO_GIA'!$G$1:$G$5000, MATCH(B875, '00_TONG_HOP_BAO_GIA'!$B$1:$B$5000, 0)), 1)</f>
        <v/>
      </c>
      <c r="I875" s="395">
        <f>G875*H875</f>
        <v/>
      </c>
      <c r="J875" s="390">
        <f>IFERROR(INDEX('06_BANG_GIA_VAT_TU_AP_DUNG'!$E$1:$E$5000, MATCH(E875, '06_BANG_GIA_VAT_TU_AP_DUNG'!$B$1:$B$5000, 0)), 0)</f>
        <v/>
      </c>
      <c r="K875" s="390">
        <f>I875*J875</f>
        <v/>
      </c>
      <c r="L875" t="inlineStr">
        <is>
          <t>Cầu chì kiểm định PCCC (1 cái)</t>
        </is>
      </c>
    </row>
    <row r="876">
      <c r="A876" t="inlineStr">
        <is>
          <t>SW-DAMPER-177-FUSE-HANDLE</t>
        </is>
      </c>
      <c r="B876" t="inlineStr">
        <is>
          <t>SW-DAMPER-177</t>
        </is>
      </c>
      <c r="C876" t="inlineStr">
        <is>
          <t>Tay gạt cầu chì van FD</t>
        </is>
      </c>
      <c r="D876" t="inlineStr">
        <is>
          <t>PHỤ_KIỆN_VAN</t>
        </is>
      </c>
      <c r="E876" t="inlineStr">
        <is>
          <t>MAT-DAMPER-TAY-GAT-CAU-CHI-1</t>
        </is>
      </c>
      <c r="F876" t="inlineStr">
        <is>
          <t>Bộ</t>
        </is>
      </c>
      <c r="G876" s="394" t="n">
        <v>1</v>
      </c>
      <c r="H876" s="390">
        <f>IFERROR(INDEX('00_TONG_HOP_BAO_GIA'!$G$1:$G$5000, MATCH(B876, '00_TONG_HOP_BAO_GIA'!$B$1:$B$5000, 0)), 1)</f>
        <v/>
      </c>
      <c r="I876" s="395">
        <f>G876*H876</f>
        <v/>
      </c>
      <c r="J876" s="390">
        <f>IFERROR(INDEX('06_BANG_GIA_VAT_TU_AP_DUNG'!$E$1:$E$5000, MATCH(E876, '06_BANG_GIA_VAT_TU_AP_DUNG'!$B$1:$B$5000, 0)), 0)</f>
        <v/>
      </c>
      <c r="K876" s="390">
        <f>I876*J876</f>
        <v/>
      </c>
      <c r="L876" t="inlineStr">
        <is>
          <t>Cơ cấu tay gạt giữ cầu chì (1 bộ)</t>
        </is>
      </c>
    </row>
    <row r="877">
      <c r="A877" t="inlineStr">
        <is>
          <t>SW-DAMPER-177-FB10-BODY</t>
        </is>
      </c>
      <c r="B877" t="inlineStr">
        <is>
          <t>SW-DAMPER-177</t>
        </is>
      </c>
      <c r="C877" t="inlineStr">
        <is>
          <t>Tấm chống cháy dày 10mm bọc thân van FD/MFD (2 lớp)</t>
        </is>
      </c>
      <c r="D877" t="inlineStr">
        <is>
          <t>VẬT_LIỆU_CÁCH_NHIỆT</t>
        </is>
      </c>
      <c r="E877" t="inlineStr">
        <is>
          <t>MAT-FIREBOARD-10MM-BODY</t>
        </is>
      </c>
      <c r="F877" t="inlineStr">
        <is>
          <t>m2</t>
        </is>
      </c>
      <c r="G877" s="394" t="n">
        <v>0.72</v>
      </c>
      <c r="H877" s="390">
        <f>IFERROR(INDEX('00_TONG_HOP_BAO_GIA'!$G$1:$G$5000, MATCH(B877, '00_TONG_HOP_BAO_GIA'!$B$1:$B$5000, 0)), 1)</f>
        <v/>
      </c>
      <c r="I877" s="395">
        <f>G877*H877</f>
        <v/>
      </c>
      <c r="J877" s="390">
        <f>IFERROR(INDEX('06_BANG_GIA_VAT_TU_AP_DUNG'!$E$1:$E$5000, MATCH(E877, '06_BANG_GIA_VAT_TU_AP_DUNG'!$B$1:$B$5000, 0)), 0)</f>
        <v/>
      </c>
      <c r="K877" s="390">
        <f>I877*J877</f>
        <v/>
      </c>
      <c r="L877" t="inlineStr">
        <is>
          <t>Bọc 2 lớp tấm 10mm quanh thân L=300mm</t>
        </is>
      </c>
    </row>
    <row r="878">
      <c r="A878" t="inlineStr">
        <is>
          <t>SW-DAMPER-177-FB20-BLADE</t>
        </is>
      </c>
      <c r="B878" t="inlineStr">
        <is>
          <t>SW-DAMPER-177</t>
        </is>
      </c>
      <c r="C878" t="inlineStr">
        <is>
          <t>Tấm chống cháy dày 20mm làm lõi cánh van FD/MFD</t>
        </is>
      </c>
      <c r="D878" t="inlineStr">
        <is>
          <t>VẬT_LIỆU_CÁCH_NHIỆT</t>
        </is>
      </c>
      <c r="E878" t="inlineStr">
        <is>
          <t>MAT-FIREBOARD-20MM-BLADE</t>
        </is>
      </c>
      <c r="F878" t="inlineStr">
        <is>
          <t>m2</t>
        </is>
      </c>
      <c r="G878" s="394" t="n">
        <v>0.08000000000000002</v>
      </c>
      <c r="H878" s="390">
        <f>IFERROR(INDEX('00_TONG_HOP_BAO_GIA'!$G$1:$G$5000, MATCH(B878, '00_TONG_HOP_BAO_GIA'!$B$1:$B$5000, 0)), 1)</f>
        <v/>
      </c>
      <c r="I878" s="395">
        <f>G878*H878</f>
        <v/>
      </c>
      <c r="J878" s="390">
        <f>IFERROR(INDEX('06_BANG_GIA_VAT_TU_AP_DUNG'!$E$1:$E$5000, MATCH(E878, '06_BANG_GIA_VAT_TU_AP_DUNG'!$B$1:$B$5000, 0)), 0)</f>
        <v/>
      </c>
      <c r="K878" s="390">
        <f>I878*J878</f>
        <v/>
      </c>
      <c r="L878" t="inlineStr">
        <is>
          <t>Lõi cánh tấm 20mm (Cánh đơn 400x200mm)</t>
        </is>
      </c>
    </row>
    <row r="879">
      <c r="A879" t="inlineStr">
        <is>
          <t>SW-DAMPER-177-FB10-BLADE</t>
        </is>
      </c>
      <c r="B879" t="inlineStr">
        <is>
          <t>SW-DAMPER-177</t>
        </is>
      </c>
      <c r="C879" t="inlineStr">
        <is>
          <t>Tấm chống cháy dày 10mm ốp 2 mặt cánh van FD/MFD</t>
        </is>
      </c>
      <c r="D879" t="inlineStr">
        <is>
          <t>VẬT_LIỆU_CÁCH_NHIỆT</t>
        </is>
      </c>
      <c r="E879" t="inlineStr">
        <is>
          <t>MAT-FIREBOARD-10MM-BLADE</t>
        </is>
      </c>
      <c r="F879" t="inlineStr">
        <is>
          <t>m2</t>
        </is>
      </c>
      <c r="G879" s="394" t="n">
        <v>0.16</v>
      </c>
      <c r="H879" s="390">
        <f>IFERROR(INDEX('00_TONG_HOP_BAO_GIA'!$G$1:$G$5000, MATCH(B879, '00_TONG_HOP_BAO_GIA'!$B$1:$B$5000, 0)), 1)</f>
        <v/>
      </c>
      <c r="I879" s="395">
        <f>G879*H879</f>
        <v/>
      </c>
      <c r="J879" s="390">
        <f>IFERROR(INDEX('06_BANG_GIA_VAT_TU_AP_DUNG'!$E$1:$E$5000, MATCH(E879, '06_BANG_GIA_VAT_TU_AP_DUNG'!$B$1:$B$5000, 0)), 0)</f>
        <v/>
      </c>
      <c r="K879" s="390">
        <f>I879*J879</f>
        <v/>
      </c>
      <c r="L879" t="inlineStr">
        <is>
          <t>Ốp 2 mặt cánh tấm 10mm (Cánh đơn 400x200mm)</t>
        </is>
      </c>
    </row>
    <row r="880">
      <c r="A880" t="inlineStr">
        <is>
          <t>SW-DAMPER-177-SPRING-BOX</t>
        </is>
      </c>
      <c r="B880" t="inlineStr">
        <is>
          <t>SW-DAMPER-177</t>
        </is>
      </c>
      <c r="C880" t="inlineStr">
        <is>
          <t>Hộp lò xo van chặn lửa FD/MFD</t>
        </is>
      </c>
      <c r="D880" t="inlineStr">
        <is>
          <t>PHỤ_KIỆN_VAN</t>
        </is>
      </c>
      <c r="E880" t="inlineStr">
        <is>
          <t>MAT-DAMPER-HOP-LO-XO</t>
        </is>
      </c>
      <c r="F880" t="inlineStr">
        <is>
          <t>Bộ</t>
        </is>
      </c>
      <c r="G880" s="394" t="n">
        <v>1</v>
      </c>
      <c r="H880" s="390">
        <f>IFERROR(INDEX('00_TONG_HOP_BAO_GIA'!$G$1:$G$5000, MATCH(B880, '00_TONG_HOP_BAO_GIA'!$B$1:$B$5000, 0)), 1)</f>
        <v/>
      </c>
      <c r="I880" s="395">
        <f>G880*H880</f>
        <v/>
      </c>
      <c r="J880" s="390">
        <f>IFERROR(INDEX('06_BANG_GIA_VAT_TU_AP_DUNG'!$E$1:$E$5000, MATCH(E880, '06_BANG_GIA_VAT_TU_AP_DUNG'!$B$1:$B$5000, 0)), 0)</f>
        <v/>
      </c>
      <c r="K880" s="390">
        <f>I880*J880</f>
        <v/>
      </c>
      <c r="L880" t="inlineStr">
        <is>
          <t>Hộp lò xo cơ cấu đóng sập (1 bộ)</t>
        </is>
      </c>
    </row>
    <row r="881">
      <c r="A881" t="inlineStr">
        <is>
          <t>SW-DAMPER-177-SILICON-BOLT</t>
        </is>
      </c>
      <c r="B881" t="inlineStr">
        <is>
          <t>SW-DAMPER-177</t>
        </is>
      </c>
      <c r="C881" t="inlineStr">
        <is>
          <t>Silicon chống cháy + bu lông, ốc vít van FD/MFD</t>
        </is>
      </c>
      <c r="D881" t="inlineStr">
        <is>
          <t>PHỤ_KIỆN_VAN</t>
        </is>
      </c>
      <c r="E881" t="inlineStr">
        <is>
          <t>MAT-DAMPER-SILICON-BULONG-VIT</t>
        </is>
      </c>
      <c r="F881" t="inlineStr">
        <is>
          <t>Bộ</t>
        </is>
      </c>
      <c r="G881" s="394" t="n">
        <v>1</v>
      </c>
      <c r="H881" s="390">
        <f>IFERROR(INDEX('00_TONG_HOP_BAO_GIA'!$G$1:$G$5000, MATCH(B881, '00_TONG_HOP_BAO_GIA'!$B$1:$B$5000, 0)), 1)</f>
        <v/>
      </c>
      <c r="I881" s="395">
        <f>G881*H881</f>
        <v/>
      </c>
      <c r="J881" s="390">
        <f>IFERROR(INDEX('06_BANG_GIA_VAT_TU_AP_DUNG'!$E$1:$E$5000, MATCH(E881, '06_BANG_GIA_VAT_TU_AP_DUNG'!$B$1:$B$5000, 0)), 0)</f>
        <v/>
      </c>
      <c r="K881" s="390">
        <f>I881*J881</f>
        <v/>
      </c>
      <c r="L881" t="inlineStr">
        <is>
          <t>Keo silicon chống cháy &amp; phụ kiện lắp ghép (1 bộ)</t>
        </is>
      </c>
    </row>
    <row r="882">
      <c r="A882" t="inlineStr">
        <is>
          <t>SW-DAMPER-178-BODY</t>
        </is>
      </c>
      <c r="B882" t="inlineStr">
        <is>
          <t>SW-DAMPER-178</t>
        </is>
      </c>
      <c r="C882" t="inlineStr">
        <is>
          <t>Thân vỏ van FD bích C30/TDF (1.15mm)</t>
        </is>
      </c>
      <c r="D882" t="inlineStr">
        <is>
          <t>TÔN_CUỘN_MẠ_KẼM</t>
        </is>
      </c>
      <c r="E882" t="inlineStr">
        <is>
          <t>MAT-STEEL-PN-1.15</t>
        </is>
      </c>
      <c r="F882" t="inlineStr">
        <is>
          <t>kg</t>
        </is>
      </c>
      <c r="G882" s="394" t="n">
        <v>2.6616681</v>
      </c>
      <c r="H882" s="390">
        <f>IFERROR(INDEX('00_TONG_HOP_BAO_GIA'!$G$1:$G$5000, MATCH(B882, '00_TONG_HOP_BAO_GIA'!$B$1:$B$5000, 0)), 1)</f>
        <v/>
      </c>
      <c r="I882" s="395">
        <f>G882*H882</f>
        <v/>
      </c>
      <c r="J882" s="390">
        <f>IFERROR(INDEX('06_BANG_GIA_VAT_TU_AP_DUNG'!$E$1:$E$5000, MATCH(E882, '06_BANG_GIA_VAT_TU_AP_DUNG'!$B$1:$B$5000, 0)), 0)</f>
        <v/>
      </c>
      <c r="K882" s="390">
        <f>I882*J882</f>
        <v/>
      </c>
      <c r="L882" t="inlineStr">
        <is>
          <t>Kích thước vỏ 300x200x200mm</t>
        </is>
      </c>
    </row>
    <row r="883">
      <c r="A883" t="inlineStr">
        <is>
          <t>SW-DAMPER-178-BLADE</t>
        </is>
      </c>
      <c r="B883" t="inlineStr">
        <is>
          <t>SW-DAMPER-178</t>
        </is>
      </c>
      <c r="C883" t="inlineStr">
        <is>
          <t>Lá cánh / Tôn tấm bọc van (1 cánh)</t>
        </is>
      </c>
      <c r="D883" t="inlineStr">
        <is>
          <t>TÔN_CUỘN_MẠ_KẼM</t>
        </is>
      </c>
      <c r="E883" t="inlineStr">
        <is>
          <t>MAT-STEEL-PN-1.15</t>
        </is>
      </c>
      <c r="F883" t="inlineStr">
        <is>
          <t>kg</t>
        </is>
      </c>
      <c r="G883" s="394" t="n">
        <v>1.0833</v>
      </c>
      <c r="H883" s="390">
        <f>IFERROR(INDEX('00_TONG_HOP_BAO_GIA'!$G$1:$G$5000, MATCH(B883, '00_TONG_HOP_BAO_GIA'!$B$1:$B$5000, 0)), 1)</f>
        <v/>
      </c>
      <c r="I883" s="395">
        <f>G883*H883</f>
        <v/>
      </c>
      <c r="J883" s="390">
        <f>IFERROR(INDEX('06_BANG_GIA_VAT_TU_AP_DUNG'!$E$1:$E$5000, MATCH(E883, '06_BANG_GIA_VAT_TU_AP_DUNG'!$B$1:$B$5000, 0)), 0)</f>
        <v/>
      </c>
      <c r="K883" s="390">
        <f>I883*J883</f>
        <v/>
      </c>
      <c r="L883" t="inlineStr">
        <is>
          <t>Tôn bọc cánh &amp; thân (1 cánh/modul)</t>
        </is>
      </c>
    </row>
    <row r="884">
      <c r="A884" t="inlineStr">
        <is>
          <t>SW-DAMPER-178-AXLE</t>
        </is>
      </c>
      <c r="B884" t="inlineStr">
        <is>
          <t>SW-DAMPER-178</t>
        </is>
      </c>
      <c r="C884" t="inlineStr">
        <is>
          <t>Trục Sus 201 D10</t>
        </is>
      </c>
      <c r="D884" t="inlineStr">
        <is>
          <t>PHỤ_KIỆN_VAN</t>
        </is>
      </c>
      <c r="E884" t="inlineStr">
        <is>
          <t>MAT-DAMPER-TRUC-SUS-201-D10</t>
        </is>
      </c>
      <c r="F884" t="inlineStr">
        <is>
          <t>m</t>
        </is>
      </c>
      <c r="G884" s="394" t="n">
        <v>0.36</v>
      </c>
      <c r="H884" s="390">
        <f>IFERROR(INDEX('00_TONG_HOP_BAO_GIA'!$G$1:$G$5000, MATCH(B884, '00_TONG_HOP_BAO_GIA'!$B$1:$B$5000, 0)), 1)</f>
        <v/>
      </c>
      <c r="I884" s="395">
        <f>G884*H884</f>
        <v/>
      </c>
      <c r="J884" s="390">
        <f>IFERROR(INDEX('06_BANG_GIA_VAT_TU_AP_DUNG'!$E$1:$E$5000, MATCH(E884, '06_BANG_GIA_VAT_TU_AP_DUNG'!$B$1:$B$5000, 0)), 0)</f>
        <v/>
      </c>
      <c r="K884" s="390">
        <f>I884*J884</f>
        <v/>
      </c>
      <c r="L884" t="inlineStr">
        <is>
          <t>1 trục dài 360mm</t>
        </is>
      </c>
    </row>
    <row r="885">
      <c r="A885" t="inlineStr">
        <is>
          <t>SW-DAMPER-178-BEARING</t>
        </is>
      </c>
      <c r="B885" t="inlineStr">
        <is>
          <t>SW-DAMPER-178</t>
        </is>
      </c>
      <c r="C885" t="inlineStr">
        <is>
          <t>Bạc đồng D10</t>
        </is>
      </c>
      <c r="D885" t="inlineStr">
        <is>
          <t>PHỤ_KIỆN_VAN</t>
        </is>
      </c>
      <c r="E885" t="inlineStr">
        <is>
          <t>MAT-DAMPER-BAC-DONG-D10</t>
        </is>
      </c>
      <c r="F885" t="inlineStr">
        <is>
          <t>Đôi</t>
        </is>
      </c>
      <c r="G885" s="394" t="n">
        <v>1</v>
      </c>
      <c r="H885" s="390">
        <f>IFERROR(INDEX('00_TONG_HOP_BAO_GIA'!$G$1:$G$5000, MATCH(B885, '00_TONG_HOP_BAO_GIA'!$B$1:$B$5000, 0)), 1)</f>
        <v/>
      </c>
      <c r="I885" s="395">
        <f>G885*H885</f>
        <v/>
      </c>
      <c r="J885" s="390">
        <f>IFERROR(INDEX('06_BANG_GIA_VAT_TU_AP_DUNG'!$E$1:$E$5000, MATCH(E885, '06_BANG_GIA_VAT_TU_AP_DUNG'!$B$1:$B$5000, 0)), 0)</f>
        <v/>
      </c>
      <c r="K885" s="390">
        <f>I885*J885</f>
        <v/>
      </c>
      <c r="L885" t="inlineStr">
        <is>
          <t>1 đôi bạc đỡ 2 bên thân</t>
        </is>
      </c>
    </row>
    <row r="886">
      <c r="A886" t="inlineStr">
        <is>
          <t>SW-DAMPER-178-FUSE</t>
        </is>
      </c>
      <c r="B886" t="inlineStr">
        <is>
          <t>SW-DAMPER-178</t>
        </is>
      </c>
      <c r="C886" t="inlineStr">
        <is>
          <t>Cầu chì nhiệt nóng chảy 70°C/74°C (Elsie/USA)</t>
        </is>
      </c>
      <c r="D886" t="inlineStr">
        <is>
          <t>PHỤ_KIỆN_VAN</t>
        </is>
      </c>
      <c r="E886" t="inlineStr">
        <is>
          <t>MAT-DAMPER-CAU-CHI-USA-1-400X400</t>
        </is>
      </c>
      <c r="F886" t="inlineStr">
        <is>
          <t>Cái</t>
        </is>
      </c>
      <c r="G886" s="394" t="n">
        <v>1</v>
      </c>
      <c r="H886" s="390">
        <f>IFERROR(INDEX('00_TONG_HOP_BAO_GIA'!$G$1:$G$5000, MATCH(B886, '00_TONG_HOP_BAO_GIA'!$B$1:$B$5000, 0)), 1)</f>
        <v/>
      </c>
      <c r="I886" s="395">
        <f>G886*H886</f>
        <v/>
      </c>
      <c r="J886" s="390">
        <f>IFERROR(INDEX('06_BANG_GIA_VAT_TU_AP_DUNG'!$E$1:$E$5000, MATCH(E886, '06_BANG_GIA_VAT_TU_AP_DUNG'!$B$1:$B$5000, 0)), 0)</f>
        <v/>
      </c>
      <c r="K886" s="390">
        <f>I886*J886</f>
        <v/>
      </c>
      <c r="L886" t="inlineStr">
        <is>
          <t>Cầu chì kiểm định PCCC (1 cái)</t>
        </is>
      </c>
    </row>
    <row r="887">
      <c r="A887" t="inlineStr">
        <is>
          <t>SW-DAMPER-178-FUSE-HANDLE</t>
        </is>
      </c>
      <c r="B887" t="inlineStr">
        <is>
          <t>SW-DAMPER-178</t>
        </is>
      </c>
      <c r="C887" t="inlineStr">
        <is>
          <t>Tay gạt cầu chì van FD</t>
        </is>
      </c>
      <c r="D887" t="inlineStr">
        <is>
          <t>PHỤ_KIỆN_VAN</t>
        </is>
      </c>
      <c r="E887" t="inlineStr">
        <is>
          <t>MAT-DAMPER-TAY-GAT-CAU-CHI-1</t>
        </is>
      </c>
      <c r="F887" t="inlineStr">
        <is>
          <t>Bộ</t>
        </is>
      </c>
      <c r="G887" s="394" t="n">
        <v>1</v>
      </c>
      <c r="H887" s="390">
        <f>IFERROR(INDEX('00_TONG_HOP_BAO_GIA'!$G$1:$G$5000, MATCH(B887, '00_TONG_HOP_BAO_GIA'!$B$1:$B$5000, 0)), 1)</f>
        <v/>
      </c>
      <c r="I887" s="395">
        <f>G887*H887</f>
        <v/>
      </c>
      <c r="J887" s="390">
        <f>IFERROR(INDEX('06_BANG_GIA_VAT_TU_AP_DUNG'!$E$1:$E$5000, MATCH(E887, '06_BANG_GIA_VAT_TU_AP_DUNG'!$B$1:$B$5000, 0)), 0)</f>
        <v/>
      </c>
      <c r="K887" s="390">
        <f>I887*J887</f>
        <v/>
      </c>
      <c r="L887" t="inlineStr">
        <is>
          <t>Cơ cấu tay gạt giữ cầu chì (1 bộ)</t>
        </is>
      </c>
    </row>
    <row r="888">
      <c r="A888" t="inlineStr">
        <is>
          <t>SW-DAMPER-178-FB10-BODY</t>
        </is>
      </c>
      <c r="B888" t="inlineStr">
        <is>
          <t>SW-DAMPER-178</t>
        </is>
      </c>
      <c r="C888" t="inlineStr">
        <is>
          <t>Tấm chống cháy dày 10mm bọc thân van FD/MFD (2 lớp)</t>
        </is>
      </c>
      <c r="D888" t="inlineStr">
        <is>
          <t>VẬT_LIỆU_CÁCH_NHIỆT</t>
        </is>
      </c>
      <c r="E888" t="inlineStr">
        <is>
          <t>MAT-FIREBOARD-10MM-BODY</t>
        </is>
      </c>
      <c r="F888" t="inlineStr">
        <is>
          <t>m2</t>
        </is>
      </c>
      <c r="G888" s="394" t="n">
        <v>0.6</v>
      </c>
      <c r="H888" s="390">
        <f>IFERROR(INDEX('00_TONG_HOP_BAO_GIA'!$G$1:$G$5000, MATCH(B888, '00_TONG_HOP_BAO_GIA'!$B$1:$B$5000, 0)), 1)</f>
        <v/>
      </c>
      <c r="I888" s="395">
        <f>G888*H888</f>
        <v/>
      </c>
      <c r="J888" s="390">
        <f>IFERROR(INDEX('06_BANG_GIA_VAT_TU_AP_DUNG'!$E$1:$E$5000, MATCH(E888, '06_BANG_GIA_VAT_TU_AP_DUNG'!$B$1:$B$5000, 0)), 0)</f>
        <v/>
      </c>
      <c r="K888" s="390">
        <f>I888*J888</f>
        <v/>
      </c>
      <c r="L888" t="inlineStr">
        <is>
          <t>Bọc 2 lớp tấm 10mm quanh thân L=300mm</t>
        </is>
      </c>
    </row>
    <row r="889">
      <c r="A889" t="inlineStr">
        <is>
          <t>SW-DAMPER-178-FB20-BLADE</t>
        </is>
      </c>
      <c r="B889" t="inlineStr">
        <is>
          <t>SW-DAMPER-178</t>
        </is>
      </c>
      <c r="C889" t="inlineStr">
        <is>
          <t>Tấm chống cháy dày 20mm làm lõi cánh van FD/MFD</t>
        </is>
      </c>
      <c r="D889" t="inlineStr">
        <is>
          <t>VẬT_LIỆU_CÁCH_NHIỆT</t>
        </is>
      </c>
      <c r="E889" t="inlineStr">
        <is>
          <t>MAT-FIREBOARD-20MM-BLADE</t>
        </is>
      </c>
      <c r="F889" t="inlineStr">
        <is>
          <t>m2</t>
        </is>
      </c>
      <c r="G889" s="394" t="n">
        <v>0.06</v>
      </c>
      <c r="H889" s="390">
        <f>IFERROR(INDEX('00_TONG_HOP_BAO_GIA'!$G$1:$G$5000, MATCH(B889, '00_TONG_HOP_BAO_GIA'!$B$1:$B$5000, 0)), 1)</f>
        <v/>
      </c>
      <c r="I889" s="395">
        <f>G889*H889</f>
        <v/>
      </c>
      <c r="J889" s="390">
        <f>IFERROR(INDEX('06_BANG_GIA_VAT_TU_AP_DUNG'!$E$1:$E$5000, MATCH(E889, '06_BANG_GIA_VAT_TU_AP_DUNG'!$B$1:$B$5000, 0)), 0)</f>
        <v/>
      </c>
      <c r="K889" s="390">
        <f>I889*J889</f>
        <v/>
      </c>
      <c r="L889" t="inlineStr">
        <is>
          <t>Lõi cánh tấm 20mm (Cánh đơn 300x200mm)</t>
        </is>
      </c>
    </row>
    <row r="890">
      <c r="A890" t="inlineStr">
        <is>
          <t>SW-DAMPER-178-FB10-BLADE</t>
        </is>
      </c>
      <c r="B890" t="inlineStr">
        <is>
          <t>SW-DAMPER-178</t>
        </is>
      </c>
      <c r="C890" t="inlineStr">
        <is>
          <t>Tấm chống cháy dày 10mm ốp 2 mặt cánh van FD/MFD</t>
        </is>
      </c>
      <c r="D890" t="inlineStr">
        <is>
          <t>VẬT_LIỆU_CÁCH_NHIỆT</t>
        </is>
      </c>
      <c r="E890" t="inlineStr">
        <is>
          <t>MAT-FIREBOARD-10MM-BLADE</t>
        </is>
      </c>
      <c r="F890" t="inlineStr">
        <is>
          <t>m2</t>
        </is>
      </c>
      <c r="G890" s="394" t="n">
        <v>0.12</v>
      </c>
      <c r="H890" s="390">
        <f>IFERROR(INDEX('00_TONG_HOP_BAO_GIA'!$G$1:$G$5000, MATCH(B890, '00_TONG_HOP_BAO_GIA'!$B$1:$B$5000, 0)), 1)</f>
        <v/>
      </c>
      <c r="I890" s="395">
        <f>G890*H890</f>
        <v/>
      </c>
      <c r="J890" s="390">
        <f>IFERROR(INDEX('06_BANG_GIA_VAT_TU_AP_DUNG'!$E$1:$E$5000, MATCH(E890, '06_BANG_GIA_VAT_TU_AP_DUNG'!$B$1:$B$5000, 0)), 0)</f>
        <v/>
      </c>
      <c r="K890" s="390">
        <f>I890*J890</f>
        <v/>
      </c>
      <c r="L890" t="inlineStr">
        <is>
          <t>Ốp 2 mặt cánh tấm 10mm (Cánh đơn 300x200mm)</t>
        </is>
      </c>
    </row>
    <row r="891">
      <c r="A891" t="inlineStr">
        <is>
          <t>SW-DAMPER-178-SPRING-BOX</t>
        </is>
      </c>
      <c r="B891" t="inlineStr">
        <is>
          <t>SW-DAMPER-178</t>
        </is>
      </c>
      <c r="C891" t="inlineStr">
        <is>
          <t>Hộp lò xo van chặn lửa FD/MFD</t>
        </is>
      </c>
      <c r="D891" t="inlineStr">
        <is>
          <t>PHỤ_KIỆN_VAN</t>
        </is>
      </c>
      <c r="E891" t="inlineStr">
        <is>
          <t>MAT-DAMPER-HOP-LO-XO</t>
        </is>
      </c>
      <c r="F891" t="inlineStr">
        <is>
          <t>Bộ</t>
        </is>
      </c>
      <c r="G891" s="394" t="n">
        <v>1</v>
      </c>
      <c r="H891" s="390">
        <f>IFERROR(INDEX('00_TONG_HOP_BAO_GIA'!$G$1:$G$5000, MATCH(B891, '00_TONG_HOP_BAO_GIA'!$B$1:$B$5000, 0)), 1)</f>
        <v/>
      </c>
      <c r="I891" s="395">
        <f>G891*H891</f>
        <v/>
      </c>
      <c r="J891" s="390">
        <f>IFERROR(INDEX('06_BANG_GIA_VAT_TU_AP_DUNG'!$E$1:$E$5000, MATCH(E891, '06_BANG_GIA_VAT_TU_AP_DUNG'!$B$1:$B$5000, 0)), 0)</f>
        <v/>
      </c>
      <c r="K891" s="390">
        <f>I891*J891</f>
        <v/>
      </c>
      <c r="L891" t="inlineStr">
        <is>
          <t>Hộp lò xo cơ cấu đóng sập (1 bộ)</t>
        </is>
      </c>
    </row>
    <row r="892">
      <c r="A892" t="inlineStr">
        <is>
          <t>SW-DAMPER-178-SILICON-BOLT</t>
        </is>
      </c>
      <c r="B892" t="inlineStr">
        <is>
          <t>SW-DAMPER-178</t>
        </is>
      </c>
      <c r="C892" t="inlineStr">
        <is>
          <t>Silicon chống cháy + bu lông, ốc vít van FD/MFD</t>
        </is>
      </c>
      <c r="D892" t="inlineStr">
        <is>
          <t>PHỤ_KIỆN_VAN</t>
        </is>
      </c>
      <c r="E892" t="inlineStr">
        <is>
          <t>MAT-DAMPER-SILICON-BULONG-VIT</t>
        </is>
      </c>
      <c r="F892" t="inlineStr">
        <is>
          <t>Bộ</t>
        </is>
      </c>
      <c r="G892" s="394" t="n">
        <v>1</v>
      </c>
      <c r="H892" s="390">
        <f>IFERROR(INDEX('00_TONG_HOP_BAO_GIA'!$G$1:$G$5000, MATCH(B892, '00_TONG_HOP_BAO_GIA'!$B$1:$B$5000, 0)), 1)</f>
        <v/>
      </c>
      <c r="I892" s="395">
        <f>G892*H892</f>
        <v/>
      </c>
      <c r="J892" s="390">
        <f>IFERROR(INDEX('06_BANG_GIA_VAT_TU_AP_DUNG'!$E$1:$E$5000, MATCH(E892, '06_BANG_GIA_VAT_TU_AP_DUNG'!$B$1:$B$5000, 0)), 0)</f>
        <v/>
      </c>
      <c r="K892" s="390">
        <f>I892*J892</f>
        <v/>
      </c>
      <c r="L892" t="inlineStr">
        <is>
          <t>Keo silicon chống cháy &amp; phụ kiện lắp ghép (1 bộ)</t>
        </is>
      </c>
    </row>
    <row r="893">
      <c r="A893" t="inlineStr">
        <is>
          <t>SW-DAMPER-179-BODY</t>
        </is>
      </c>
      <c r="B893" t="inlineStr">
        <is>
          <t>SW-DAMPER-179</t>
        </is>
      </c>
      <c r="C893" t="inlineStr">
        <is>
          <t>Thân vỏ van FD bích C30/TDF (1.15mm)</t>
        </is>
      </c>
      <c r="D893" t="inlineStr">
        <is>
          <t>TÔN_CUỘN_MẠ_KẼM</t>
        </is>
      </c>
      <c r="E893" t="inlineStr">
        <is>
          <t>MAT-STEEL-PN-1.15</t>
        </is>
      </c>
      <c r="F893" t="inlineStr">
        <is>
          <t>kg</t>
        </is>
      </c>
      <c r="G893" s="394" t="n">
        <v>2.917597725</v>
      </c>
      <c r="H893" s="390">
        <f>IFERROR(INDEX('00_TONG_HOP_BAO_GIA'!$G$1:$G$5000, MATCH(B893, '00_TONG_HOP_BAO_GIA'!$B$1:$B$5000, 0)), 1)</f>
        <v/>
      </c>
      <c r="I893" s="395">
        <f>G893*H893</f>
        <v/>
      </c>
      <c r="J893" s="390">
        <f>IFERROR(INDEX('06_BANG_GIA_VAT_TU_AP_DUNG'!$E$1:$E$5000, MATCH(E893, '06_BANG_GIA_VAT_TU_AP_DUNG'!$B$1:$B$5000, 0)), 0)</f>
        <v/>
      </c>
      <c r="K893" s="390">
        <f>I893*J893</f>
        <v/>
      </c>
      <c r="L893" t="inlineStr">
        <is>
          <t>Kích thước vỏ 350x200x200mm</t>
        </is>
      </c>
    </row>
    <row r="894">
      <c r="A894" t="inlineStr">
        <is>
          <t>SW-DAMPER-179-BLADE</t>
        </is>
      </c>
      <c r="B894" t="inlineStr">
        <is>
          <t>SW-DAMPER-179</t>
        </is>
      </c>
      <c r="C894" t="inlineStr">
        <is>
          <t>Lá cánh / Tôn tấm bọc van (1 cánh)</t>
        </is>
      </c>
      <c r="D894" t="inlineStr">
        <is>
          <t>TÔN_CUỘN_MẠ_KẼM</t>
        </is>
      </c>
      <c r="E894" t="inlineStr">
        <is>
          <t>MAT-STEEL-PN-1.15</t>
        </is>
      </c>
      <c r="F894" t="inlineStr">
        <is>
          <t>kg</t>
        </is>
      </c>
      <c r="G894" s="394" t="n">
        <v>1.26385</v>
      </c>
      <c r="H894" s="390">
        <f>IFERROR(INDEX('00_TONG_HOP_BAO_GIA'!$G$1:$G$5000, MATCH(B894, '00_TONG_HOP_BAO_GIA'!$B$1:$B$5000, 0)), 1)</f>
        <v/>
      </c>
      <c r="I894" s="395">
        <f>G894*H894</f>
        <v/>
      </c>
      <c r="J894" s="390">
        <f>IFERROR(INDEX('06_BANG_GIA_VAT_TU_AP_DUNG'!$E$1:$E$5000, MATCH(E894, '06_BANG_GIA_VAT_TU_AP_DUNG'!$B$1:$B$5000, 0)), 0)</f>
        <v/>
      </c>
      <c r="K894" s="390">
        <f>I894*J894</f>
        <v/>
      </c>
      <c r="L894" t="inlineStr">
        <is>
          <t>Tôn bọc cánh &amp; thân (1 cánh/modul)</t>
        </is>
      </c>
    </row>
    <row r="895">
      <c r="A895" t="inlineStr">
        <is>
          <t>SW-DAMPER-179-AXLE</t>
        </is>
      </c>
      <c r="B895" t="inlineStr">
        <is>
          <t>SW-DAMPER-179</t>
        </is>
      </c>
      <c r="C895" t="inlineStr">
        <is>
          <t>Trục Sus 201 D10</t>
        </is>
      </c>
      <c r="D895" t="inlineStr">
        <is>
          <t>PHỤ_KIỆN_VAN</t>
        </is>
      </c>
      <c r="E895" t="inlineStr">
        <is>
          <t>MAT-DAMPER-TRUC-SUS-201-D10</t>
        </is>
      </c>
      <c r="F895" t="inlineStr">
        <is>
          <t>m</t>
        </is>
      </c>
      <c r="G895" s="394" t="n">
        <v>0.41</v>
      </c>
      <c r="H895" s="390">
        <f>IFERROR(INDEX('00_TONG_HOP_BAO_GIA'!$G$1:$G$5000, MATCH(B895, '00_TONG_HOP_BAO_GIA'!$B$1:$B$5000, 0)), 1)</f>
        <v/>
      </c>
      <c r="I895" s="395">
        <f>G895*H895</f>
        <v/>
      </c>
      <c r="J895" s="390">
        <f>IFERROR(INDEX('06_BANG_GIA_VAT_TU_AP_DUNG'!$E$1:$E$5000, MATCH(E895, '06_BANG_GIA_VAT_TU_AP_DUNG'!$B$1:$B$5000, 0)), 0)</f>
        <v/>
      </c>
      <c r="K895" s="390">
        <f>I895*J895</f>
        <v/>
      </c>
      <c r="L895" t="inlineStr">
        <is>
          <t>1 trục dài 410mm</t>
        </is>
      </c>
    </row>
    <row r="896">
      <c r="A896" t="inlineStr">
        <is>
          <t>SW-DAMPER-179-BEARING</t>
        </is>
      </c>
      <c r="B896" t="inlineStr">
        <is>
          <t>SW-DAMPER-179</t>
        </is>
      </c>
      <c r="C896" t="inlineStr">
        <is>
          <t>Bạc đồng D10</t>
        </is>
      </c>
      <c r="D896" t="inlineStr">
        <is>
          <t>PHỤ_KIỆN_VAN</t>
        </is>
      </c>
      <c r="E896" t="inlineStr">
        <is>
          <t>MAT-DAMPER-BAC-DONG-D10</t>
        </is>
      </c>
      <c r="F896" t="inlineStr">
        <is>
          <t>Đôi</t>
        </is>
      </c>
      <c r="G896" s="394" t="n">
        <v>1</v>
      </c>
      <c r="H896" s="390">
        <f>IFERROR(INDEX('00_TONG_HOP_BAO_GIA'!$G$1:$G$5000, MATCH(B896, '00_TONG_HOP_BAO_GIA'!$B$1:$B$5000, 0)), 1)</f>
        <v/>
      </c>
      <c r="I896" s="395">
        <f>G896*H896</f>
        <v/>
      </c>
      <c r="J896" s="390">
        <f>IFERROR(INDEX('06_BANG_GIA_VAT_TU_AP_DUNG'!$E$1:$E$5000, MATCH(E896, '06_BANG_GIA_VAT_TU_AP_DUNG'!$B$1:$B$5000, 0)), 0)</f>
        <v/>
      </c>
      <c r="K896" s="390">
        <f>I896*J896</f>
        <v/>
      </c>
      <c r="L896" t="inlineStr">
        <is>
          <t>1 đôi bạc đỡ 2 bên thân</t>
        </is>
      </c>
    </row>
    <row r="897">
      <c r="A897" t="inlineStr">
        <is>
          <t>SW-DAMPER-179-FUSE</t>
        </is>
      </c>
      <c r="B897" t="inlineStr">
        <is>
          <t>SW-DAMPER-179</t>
        </is>
      </c>
      <c r="C897" t="inlineStr">
        <is>
          <t>Cầu chì nhiệt nóng chảy 70°C/74°C (Elsie/USA)</t>
        </is>
      </c>
      <c r="D897" t="inlineStr">
        <is>
          <t>PHỤ_KIỆN_VAN</t>
        </is>
      </c>
      <c r="E897" t="inlineStr">
        <is>
          <t>MAT-DAMPER-CAU-CHI-USA-1-400X400</t>
        </is>
      </c>
      <c r="F897" t="inlineStr">
        <is>
          <t>Cái</t>
        </is>
      </c>
      <c r="G897" s="394" t="n">
        <v>1</v>
      </c>
      <c r="H897" s="390">
        <f>IFERROR(INDEX('00_TONG_HOP_BAO_GIA'!$G$1:$G$5000, MATCH(B897, '00_TONG_HOP_BAO_GIA'!$B$1:$B$5000, 0)), 1)</f>
        <v/>
      </c>
      <c r="I897" s="395">
        <f>G897*H897</f>
        <v/>
      </c>
      <c r="J897" s="390">
        <f>IFERROR(INDEX('06_BANG_GIA_VAT_TU_AP_DUNG'!$E$1:$E$5000, MATCH(E897, '06_BANG_GIA_VAT_TU_AP_DUNG'!$B$1:$B$5000, 0)), 0)</f>
        <v/>
      </c>
      <c r="K897" s="390">
        <f>I897*J897</f>
        <v/>
      </c>
      <c r="L897" t="inlineStr">
        <is>
          <t>Cầu chì kiểm định PCCC (1 cái)</t>
        </is>
      </c>
    </row>
    <row r="898">
      <c r="A898" t="inlineStr">
        <is>
          <t>SW-DAMPER-179-FUSE-HANDLE</t>
        </is>
      </c>
      <c r="B898" t="inlineStr">
        <is>
          <t>SW-DAMPER-179</t>
        </is>
      </c>
      <c r="C898" t="inlineStr">
        <is>
          <t>Tay gạt cầu chì van FD</t>
        </is>
      </c>
      <c r="D898" t="inlineStr">
        <is>
          <t>PHỤ_KIỆN_VAN</t>
        </is>
      </c>
      <c r="E898" t="inlineStr">
        <is>
          <t>MAT-DAMPER-TAY-GAT-CAU-CHI-1</t>
        </is>
      </c>
      <c r="F898" t="inlineStr">
        <is>
          <t>Bộ</t>
        </is>
      </c>
      <c r="G898" s="394" t="n">
        <v>1</v>
      </c>
      <c r="H898" s="390">
        <f>IFERROR(INDEX('00_TONG_HOP_BAO_GIA'!$G$1:$G$5000, MATCH(B898, '00_TONG_HOP_BAO_GIA'!$B$1:$B$5000, 0)), 1)</f>
        <v/>
      </c>
      <c r="I898" s="395">
        <f>G898*H898</f>
        <v/>
      </c>
      <c r="J898" s="390">
        <f>IFERROR(INDEX('06_BANG_GIA_VAT_TU_AP_DUNG'!$E$1:$E$5000, MATCH(E898, '06_BANG_GIA_VAT_TU_AP_DUNG'!$B$1:$B$5000, 0)), 0)</f>
        <v/>
      </c>
      <c r="K898" s="390">
        <f>I898*J898</f>
        <v/>
      </c>
      <c r="L898" t="inlineStr">
        <is>
          <t>Cơ cấu tay gạt giữ cầu chì (1 bộ)</t>
        </is>
      </c>
    </row>
    <row r="899">
      <c r="A899" t="inlineStr">
        <is>
          <t>SW-DAMPER-179-FB10-BODY</t>
        </is>
      </c>
      <c r="B899" t="inlineStr">
        <is>
          <t>SW-DAMPER-179</t>
        </is>
      </c>
      <c r="C899" t="inlineStr">
        <is>
          <t>Tấm chống cháy dày 10mm bọc thân van FD/MFD (2 lớp)</t>
        </is>
      </c>
      <c r="D899" t="inlineStr">
        <is>
          <t>VẬT_LIỆU_CÁCH_NHIỆT</t>
        </is>
      </c>
      <c r="E899" t="inlineStr">
        <is>
          <t>MAT-FIREBOARD-10MM-BODY</t>
        </is>
      </c>
      <c r="F899" t="inlineStr">
        <is>
          <t>m2</t>
        </is>
      </c>
      <c r="G899" s="394" t="n">
        <v>0.66</v>
      </c>
      <c r="H899" s="390">
        <f>IFERROR(INDEX('00_TONG_HOP_BAO_GIA'!$G$1:$G$5000, MATCH(B899, '00_TONG_HOP_BAO_GIA'!$B$1:$B$5000, 0)), 1)</f>
        <v/>
      </c>
      <c r="I899" s="395">
        <f>G899*H899</f>
        <v/>
      </c>
      <c r="J899" s="390">
        <f>IFERROR(INDEX('06_BANG_GIA_VAT_TU_AP_DUNG'!$E$1:$E$5000, MATCH(E899, '06_BANG_GIA_VAT_TU_AP_DUNG'!$B$1:$B$5000, 0)), 0)</f>
        <v/>
      </c>
      <c r="K899" s="390">
        <f>I899*J899</f>
        <v/>
      </c>
      <c r="L899" t="inlineStr">
        <is>
          <t>Bọc 2 lớp tấm 10mm quanh thân L=300mm</t>
        </is>
      </c>
    </row>
    <row r="900">
      <c r="A900" t="inlineStr">
        <is>
          <t>SW-DAMPER-179-FB20-BLADE</t>
        </is>
      </c>
      <c r="B900" t="inlineStr">
        <is>
          <t>SW-DAMPER-179</t>
        </is>
      </c>
      <c r="C900" t="inlineStr">
        <is>
          <t>Tấm chống cháy dày 20mm làm lõi cánh van FD/MFD</t>
        </is>
      </c>
      <c r="D900" t="inlineStr">
        <is>
          <t>VẬT_LIỆU_CÁCH_NHIỆT</t>
        </is>
      </c>
      <c r="E900" t="inlineStr">
        <is>
          <t>MAT-FIREBOARD-20MM-BLADE</t>
        </is>
      </c>
      <c r="F900" t="inlineStr">
        <is>
          <t>m2</t>
        </is>
      </c>
      <c r="G900" s="394" t="n">
        <v>0.06999999999999999</v>
      </c>
      <c r="H900" s="390">
        <f>IFERROR(INDEX('00_TONG_HOP_BAO_GIA'!$G$1:$G$5000, MATCH(B900, '00_TONG_HOP_BAO_GIA'!$B$1:$B$5000, 0)), 1)</f>
        <v/>
      </c>
      <c r="I900" s="395">
        <f>G900*H900</f>
        <v/>
      </c>
      <c r="J900" s="390">
        <f>IFERROR(INDEX('06_BANG_GIA_VAT_TU_AP_DUNG'!$E$1:$E$5000, MATCH(E900, '06_BANG_GIA_VAT_TU_AP_DUNG'!$B$1:$B$5000, 0)), 0)</f>
        <v/>
      </c>
      <c r="K900" s="390">
        <f>I900*J900</f>
        <v/>
      </c>
      <c r="L900" t="inlineStr">
        <is>
          <t>Lõi cánh tấm 20mm (Cánh đơn 350x200mm)</t>
        </is>
      </c>
    </row>
    <row r="901">
      <c r="A901" t="inlineStr">
        <is>
          <t>SW-DAMPER-179-FB10-BLADE</t>
        </is>
      </c>
      <c r="B901" t="inlineStr">
        <is>
          <t>SW-DAMPER-179</t>
        </is>
      </c>
      <c r="C901" t="inlineStr">
        <is>
          <t>Tấm chống cháy dày 10mm ốp 2 mặt cánh van FD/MFD</t>
        </is>
      </c>
      <c r="D901" t="inlineStr">
        <is>
          <t>VẬT_LIỆU_CÁCH_NHIỆT</t>
        </is>
      </c>
      <c r="E901" t="inlineStr">
        <is>
          <t>MAT-FIREBOARD-10MM-BLADE</t>
        </is>
      </c>
      <c r="F901" t="inlineStr">
        <is>
          <t>m2</t>
        </is>
      </c>
      <c r="G901" s="394" t="n">
        <v>0.14</v>
      </c>
      <c r="H901" s="390">
        <f>IFERROR(INDEX('00_TONG_HOP_BAO_GIA'!$G$1:$G$5000, MATCH(B901, '00_TONG_HOP_BAO_GIA'!$B$1:$B$5000, 0)), 1)</f>
        <v/>
      </c>
      <c r="I901" s="395">
        <f>G901*H901</f>
        <v/>
      </c>
      <c r="J901" s="390">
        <f>IFERROR(INDEX('06_BANG_GIA_VAT_TU_AP_DUNG'!$E$1:$E$5000, MATCH(E901, '06_BANG_GIA_VAT_TU_AP_DUNG'!$B$1:$B$5000, 0)), 0)</f>
        <v/>
      </c>
      <c r="K901" s="390">
        <f>I901*J901</f>
        <v/>
      </c>
      <c r="L901" t="inlineStr">
        <is>
          <t>Ốp 2 mặt cánh tấm 10mm (Cánh đơn 350x200mm)</t>
        </is>
      </c>
    </row>
    <row r="902">
      <c r="A902" t="inlineStr">
        <is>
          <t>SW-DAMPER-179-SPRING-BOX</t>
        </is>
      </c>
      <c r="B902" t="inlineStr">
        <is>
          <t>SW-DAMPER-179</t>
        </is>
      </c>
      <c r="C902" t="inlineStr">
        <is>
          <t>Hộp lò xo van chặn lửa FD/MFD</t>
        </is>
      </c>
      <c r="D902" t="inlineStr">
        <is>
          <t>PHỤ_KIỆN_VAN</t>
        </is>
      </c>
      <c r="E902" t="inlineStr">
        <is>
          <t>MAT-DAMPER-HOP-LO-XO</t>
        </is>
      </c>
      <c r="F902" t="inlineStr">
        <is>
          <t>Bộ</t>
        </is>
      </c>
      <c r="G902" s="394" t="n">
        <v>1</v>
      </c>
      <c r="H902" s="390">
        <f>IFERROR(INDEX('00_TONG_HOP_BAO_GIA'!$G$1:$G$5000, MATCH(B902, '00_TONG_HOP_BAO_GIA'!$B$1:$B$5000, 0)), 1)</f>
        <v/>
      </c>
      <c r="I902" s="395">
        <f>G902*H902</f>
        <v/>
      </c>
      <c r="J902" s="390">
        <f>IFERROR(INDEX('06_BANG_GIA_VAT_TU_AP_DUNG'!$E$1:$E$5000, MATCH(E902, '06_BANG_GIA_VAT_TU_AP_DUNG'!$B$1:$B$5000, 0)), 0)</f>
        <v/>
      </c>
      <c r="K902" s="390">
        <f>I902*J902</f>
        <v/>
      </c>
      <c r="L902" t="inlineStr">
        <is>
          <t>Hộp lò xo cơ cấu đóng sập (1 bộ)</t>
        </is>
      </c>
    </row>
    <row r="903">
      <c r="A903" t="inlineStr">
        <is>
          <t>SW-DAMPER-179-SILICON-BOLT</t>
        </is>
      </c>
      <c r="B903" t="inlineStr">
        <is>
          <t>SW-DAMPER-179</t>
        </is>
      </c>
      <c r="C903" t="inlineStr">
        <is>
          <t>Silicon chống cháy + bu lông, ốc vít van FD/MFD</t>
        </is>
      </c>
      <c r="D903" t="inlineStr">
        <is>
          <t>PHỤ_KIỆN_VAN</t>
        </is>
      </c>
      <c r="E903" t="inlineStr">
        <is>
          <t>MAT-DAMPER-SILICON-BULONG-VIT</t>
        </is>
      </c>
      <c r="F903" t="inlineStr">
        <is>
          <t>Bộ</t>
        </is>
      </c>
      <c r="G903" s="394" t="n">
        <v>1</v>
      </c>
      <c r="H903" s="390">
        <f>IFERROR(INDEX('00_TONG_HOP_BAO_GIA'!$G$1:$G$5000, MATCH(B903, '00_TONG_HOP_BAO_GIA'!$B$1:$B$5000, 0)), 1)</f>
        <v/>
      </c>
      <c r="I903" s="395">
        <f>G903*H903</f>
        <v/>
      </c>
      <c r="J903" s="390">
        <f>IFERROR(INDEX('06_BANG_GIA_VAT_TU_AP_DUNG'!$E$1:$E$5000, MATCH(E903, '06_BANG_GIA_VAT_TU_AP_DUNG'!$B$1:$B$5000, 0)), 0)</f>
        <v/>
      </c>
      <c r="K903" s="390">
        <f>I903*J903</f>
        <v/>
      </c>
      <c r="L903" t="inlineStr">
        <is>
          <t>Keo silicon chống cháy &amp; phụ kiện lắp ghép (1 bộ)</t>
        </is>
      </c>
    </row>
    <row r="904">
      <c r="A904" t="inlineStr">
        <is>
          <t>SW-DAMPER-180-BODY</t>
        </is>
      </c>
      <c r="B904" t="inlineStr">
        <is>
          <t>SW-DAMPER-180</t>
        </is>
      </c>
      <c r="C904" t="inlineStr">
        <is>
          <t>Thân vỏ van FD bích C30/TDF (1.15mm)</t>
        </is>
      </c>
      <c r="D904" t="inlineStr">
        <is>
          <t>TÔN_CUỘN_MẠ_KẼM</t>
        </is>
      </c>
      <c r="E904" t="inlineStr">
        <is>
          <t>MAT-STEEL-PN-1.15</t>
        </is>
      </c>
      <c r="F904" t="inlineStr">
        <is>
          <t>kg</t>
        </is>
      </c>
      <c r="G904" s="394" t="n">
        <v>3.6853866</v>
      </c>
      <c r="H904" s="390">
        <f>IFERROR(INDEX('00_TONG_HOP_BAO_GIA'!$G$1:$G$5000, MATCH(B904, '00_TONG_HOP_BAO_GIA'!$B$1:$B$5000, 0)), 1)</f>
        <v/>
      </c>
      <c r="I904" s="395">
        <f>G904*H904</f>
        <v/>
      </c>
      <c r="J904" s="390">
        <f>IFERROR(INDEX('06_BANG_GIA_VAT_TU_AP_DUNG'!$E$1:$E$5000, MATCH(E904, '06_BANG_GIA_VAT_TU_AP_DUNG'!$B$1:$B$5000, 0)), 0)</f>
        <v/>
      </c>
      <c r="K904" s="390">
        <f>I904*J904</f>
        <v/>
      </c>
      <c r="L904" t="inlineStr">
        <is>
          <t>Kích thước vỏ 500x200x200mm</t>
        </is>
      </c>
    </row>
    <row r="905">
      <c r="A905" t="inlineStr">
        <is>
          <t>SW-DAMPER-180-BLADE</t>
        </is>
      </c>
      <c r="B905" t="inlineStr">
        <is>
          <t>SW-DAMPER-180</t>
        </is>
      </c>
      <c r="C905" t="inlineStr">
        <is>
          <t>Lá cánh / Tôn tấm bọc van (1 cánh)</t>
        </is>
      </c>
      <c r="D905" t="inlineStr">
        <is>
          <t>TÔN_CUỘN_MẠ_KẼM</t>
        </is>
      </c>
      <c r="E905" t="inlineStr">
        <is>
          <t>MAT-STEEL-PN-1.15</t>
        </is>
      </c>
      <c r="F905" t="inlineStr">
        <is>
          <t>kg</t>
        </is>
      </c>
      <c r="G905" s="394" t="n">
        <v>1.8055</v>
      </c>
      <c r="H905" s="390">
        <f>IFERROR(INDEX('00_TONG_HOP_BAO_GIA'!$G$1:$G$5000, MATCH(B905, '00_TONG_HOP_BAO_GIA'!$B$1:$B$5000, 0)), 1)</f>
        <v/>
      </c>
      <c r="I905" s="395">
        <f>G905*H905</f>
        <v/>
      </c>
      <c r="J905" s="390">
        <f>IFERROR(INDEX('06_BANG_GIA_VAT_TU_AP_DUNG'!$E$1:$E$5000, MATCH(E905, '06_BANG_GIA_VAT_TU_AP_DUNG'!$B$1:$B$5000, 0)), 0)</f>
        <v/>
      </c>
      <c r="K905" s="390">
        <f>I905*J905</f>
        <v/>
      </c>
      <c r="L905" t="inlineStr">
        <is>
          <t>Tôn bọc cánh &amp; thân (1 cánh/modul)</t>
        </is>
      </c>
    </row>
    <row r="906">
      <c r="A906" t="inlineStr">
        <is>
          <t>SW-DAMPER-180-AXLE</t>
        </is>
      </c>
      <c r="B906" t="inlineStr">
        <is>
          <t>SW-DAMPER-180</t>
        </is>
      </c>
      <c r="C906" t="inlineStr">
        <is>
          <t>Trục Sus 201 D10</t>
        </is>
      </c>
      <c r="D906" t="inlineStr">
        <is>
          <t>PHỤ_KIỆN_VAN</t>
        </is>
      </c>
      <c r="E906" t="inlineStr">
        <is>
          <t>MAT-DAMPER-TRUC-SUS-201-D10</t>
        </is>
      </c>
      <c r="F906" t="inlineStr">
        <is>
          <t>m</t>
        </is>
      </c>
      <c r="G906" s="394" t="n">
        <v>0.5600000000000001</v>
      </c>
      <c r="H906" s="390">
        <f>IFERROR(INDEX('00_TONG_HOP_BAO_GIA'!$G$1:$G$5000, MATCH(B906, '00_TONG_HOP_BAO_GIA'!$B$1:$B$5000, 0)), 1)</f>
        <v/>
      </c>
      <c r="I906" s="395">
        <f>G906*H906</f>
        <v/>
      </c>
      <c r="J906" s="390">
        <f>IFERROR(INDEX('06_BANG_GIA_VAT_TU_AP_DUNG'!$E$1:$E$5000, MATCH(E906, '06_BANG_GIA_VAT_TU_AP_DUNG'!$B$1:$B$5000, 0)), 0)</f>
        <v/>
      </c>
      <c r="K906" s="390">
        <f>I906*J906</f>
        <v/>
      </c>
      <c r="L906" t="inlineStr">
        <is>
          <t>1 trục dài 560mm</t>
        </is>
      </c>
    </row>
    <row r="907">
      <c r="A907" t="inlineStr">
        <is>
          <t>SW-DAMPER-180-BEARING</t>
        </is>
      </c>
      <c r="B907" t="inlineStr">
        <is>
          <t>SW-DAMPER-180</t>
        </is>
      </c>
      <c r="C907" t="inlineStr">
        <is>
          <t>Bạc đồng D10</t>
        </is>
      </c>
      <c r="D907" t="inlineStr">
        <is>
          <t>PHỤ_KIỆN_VAN</t>
        </is>
      </c>
      <c r="E907" t="inlineStr">
        <is>
          <t>MAT-DAMPER-BAC-DONG-D10</t>
        </is>
      </c>
      <c r="F907" t="inlineStr">
        <is>
          <t>Đôi</t>
        </is>
      </c>
      <c r="G907" s="394" t="n">
        <v>1</v>
      </c>
      <c r="H907" s="390">
        <f>IFERROR(INDEX('00_TONG_HOP_BAO_GIA'!$G$1:$G$5000, MATCH(B907, '00_TONG_HOP_BAO_GIA'!$B$1:$B$5000, 0)), 1)</f>
        <v/>
      </c>
      <c r="I907" s="395">
        <f>G907*H907</f>
        <v/>
      </c>
      <c r="J907" s="390">
        <f>IFERROR(INDEX('06_BANG_GIA_VAT_TU_AP_DUNG'!$E$1:$E$5000, MATCH(E907, '06_BANG_GIA_VAT_TU_AP_DUNG'!$B$1:$B$5000, 0)), 0)</f>
        <v/>
      </c>
      <c r="K907" s="390">
        <f>I907*J907</f>
        <v/>
      </c>
      <c r="L907" t="inlineStr">
        <is>
          <t>1 đôi bạc đỡ 2 bên thân</t>
        </is>
      </c>
    </row>
    <row r="908">
      <c r="A908" t="inlineStr">
        <is>
          <t>SW-DAMPER-180-FUSE</t>
        </is>
      </c>
      <c r="B908" t="inlineStr">
        <is>
          <t>SW-DAMPER-180</t>
        </is>
      </c>
      <c r="C908" t="inlineStr">
        <is>
          <t>Cầu chì nhiệt nóng chảy 70°C/74°C (Elsie/USA)</t>
        </is>
      </c>
      <c r="D908" t="inlineStr">
        <is>
          <t>PHỤ_KIỆN_VAN</t>
        </is>
      </c>
      <c r="E908" t="inlineStr">
        <is>
          <t>MAT-DAMPER-CAU-CHI-USA-2-400X400</t>
        </is>
      </c>
      <c r="F908" t="inlineStr">
        <is>
          <t>Cái</t>
        </is>
      </c>
      <c r="G908" s="394" t="n">
        <v>1</v>
      </c>
      <c r="H908" s="390">
        <f>IFERROR(INDEX('00_TONG_HOP_BAO_GIA'!$G$1:$G$5000, MATCH(B908, '00_TONG_HOP_BAO_GIA'!$B$1:$B$5000, 0)), 1)</f>
        <v/>
      </c>
      <c r="I908" s="395">
        <f>G908*H908</f>
        <v/>
      </c>
      <c r="J908" s="390">
        <f>IFERROR(INDEX('06_BANG_GIA_VAT_TU_AP_DUNG'!$E$1:$E$5000, MATCH(E908, '06_BANG_GIA_VAT_TU_AP_DUNG'!$B$1:$B$5000, 0)), 0)</f>
        <v/>
      </c>
      <c r="K908" s="390">
        <f>I908*J908</f>
        <v/>
      </c>
      <c r="L908" t="inlineStr">
        <is>
          <t>Cầu chì kiểm định PCCC (1 cái)</t>
        </is>
      </c>
    </row>
    <row r="909">
      <c r="A909" t="inlineStr">
        <is>
          <t>SW-DAMPER-180-FUSE-HANDLE</t>
        </is>
      </c>
      <c r="B909" t="inlineStr">
        <is>
          <t>SW-DAMPER-180</t>
        </is>
      </c>
      <c r="C909" t="inlineStr">
        <is>
          <t>Tay gạt cầu chì van FD</t>
        </is>
      </c>
      <c r="D909" t="inlineStr">
        <is>
          <t>PHỤ_KIỆN_VAN</t>
        </is>
      </c>
      <c r="E909" t="inlineStr">
        <is>
          <t>MAT-DAMPER-TAY-GAT-CAU-CHI-1</t>
        </is>
      </c>
      <c r="F909" t="inlineStr">
        <is>
          <t>Bộ</t>
        </is>
      </c>
      <c r="G909" s="394" t="n">
        <v>1</v>
      </c>
      <c r="H909" s="390">
        <f>IFERROR(INDEX('00_TONG_HOP_BAO_GIA'!$G$1:$G$5000, MATCH(B909, '00_TONG_HOP_BAO_GIA'!$B$1:$B$5000, 0)), 1)</f>
        <v/>
      </c>
      <c r="I909" s="395">
        <f>G909*H909</f>
        <v/>
      </c>
      <c r="J909" s="390">
        <f>IFERROR(INDEX('06_BANG_GIA_VAT_TU_AP_DUNG'!$E$1:$E$5000, MATCH(E909, '06_BANG_GIA_VAT_TU_AP_DUNG'!$B$1:$B$5000, 0)), 0)</f>
        <v/>
      </c>
      <c r="K909" s="390">
        <f>I909*J909</f>
        <v/>
      </c>
      <c r="L909" t="inlineStr">
        <is>
          <t>Cơ cấu tay gạt giữ cầu chì (1 bộ)</t>
        </is>
      </c>
    </row>
    <row r="910">
      <c r="A910" t="inlineStr">
        <is>
          <t>SW-DAMPER-180-FB10-BODY</t>
        </is>
      </c>
      <c r="B910" t="inlineStr">
        <is>
          <t>SW-DAMPER-180</t>
        </is>
      </c>
      <c r="C910" t="inlineStr">
        <is>
          <t>Tấm chống cháy dày 10mm bọc thân van FD/MFD (2 lớp)</t>
        </is>
      </c>
      <c r="D910" t="inlineStr">
        <is>
          <t>VẬT_LIỆU_CÁCH_NHIỆT</t>
        </is>
      </c>
      <c r="E910" t="inlineStr">
        <is>
          <t>MAT-FIREBOARD-10MM-BODY</t>
        </is>
      </c>
      <c r="F910" t="inlineStr">
        <is>
          <t>m2</t>
        </is>
      </c>
      <c r="G910" s="394" t="n">
        <v>0.84</v>
      </c>
      <c r="H910" s="390">
        <f>IFERROR(INDEX('00_TONG_HOP_BAO_GIA'!$G$1:$G$5000, MATCH(B910, '00_TONG_HOP_BAO_GIA'!$B$1:$B$5000, 0)), 1)</f>
        <v/>
      </c>
      <c r="I910" s="395">
        <f>G910*H910</f>
        <v/>
      </c>
      <c r="J910" s="390">
        <f>IFERROR(INDEX('06_BANG_GIA_VAT_TU_AP_DUNG'!$E$1:$E$5000, MATCH(E910, '06_BANG_GIA_VAT_TU_AP_DUNG'!$B$1:$B$5000, 0)), 0)</f>
        <v/>
      </c>
      <c r="K910" s="390">
        <f>I910*J910</f>
        <v/>
      </c>
      <c r="L910" t="inlineStr">
        <is>
          <t>Bọc 2 lớp tấm 10mm quanh thân L=300mm</t>
        </is>
      </c>
    </row>
    <row r="911">
      <c r="A911" t="inlineStr">
        <is>
          <t>SW-DAMPER-180-FB20-BLADE</t>
        </is>
      </c>
      <c r="B911" t="inlineStr">
        <is>
          <t>SW-DAMPER-180</t>
        </is>
      </c>
      <c r="C911" t="inlineStr">
        <is>
          <t>Tấm chống cháy dày 20mm làm lõi cánh van FD/MFD</t>
        </is>
      </c>
      <c r="D911" t="inlineStr">
        <is>
          <t>VẬT_LIỆU_CÁCH_NHIỆT</t>
        </is>
      </c>
      <c r="E911" t="inlineStr">
        <is>
          <t>MAT-FIREBOARD-20MM-BLADE</t>
        </is>
      </c>
      <c r="F911" t="inlineStr">
        <is>
          <t>m2</t>
        </is>
      </c>
      <c r="G911" s="394" t="n">
        <v>0.1</v>
      </c>
      <c r="H911" s="390">
        <f>IFERROR(INDEX('00_TONG_HOP_BAO_GIA'!$G$1:$G$5000, MATCH(B911, '00_TONG_HOP_BAO_GIA'!$B$1:$B$5000, 0)), 1)</f>
        <v/>
      </c>
      <c r="I911" s="395">
        <f>G911*H911</f>
        <v/>
      </c>
      <c r="J911" s="390">
        <f>IFERROR(INDEX('06_BANG_GIA_VAT_TU_AP_DUNG'!$E$1:$E$5000, MATCH(E911, '06_BANG_GIA_VAT_TU_AP_DUNG'!$B$1:$B$5000, 0)), 0)</f>
        <v/>
      </c>
      <c r="K911" s="390">
        <f>I911*J911</f>
        <v/>
      </c>
      <c r="L911" t="inlineStr">
        <is>
          <t>Lõi cánh tấm 20mm (Cánh đơn 500x200mm)</t>
        </is>
      </c>
    </row>
    <row r="912">
      <c r="A912" t="inlineStr">
        <is>
          <t>SW-DAMPER-180-FB10-BLADE</t>
        </is>
      </c>
      <c r="B912" t="inlineStr">
        <is>
          <t>SW-DAMPER-180</t>
        </is>
      </c>
      <c r="C912" t="inlineStr">
        <is>
          <t>Tấm chống cháy dày 10mm ốp 2 mặt cánh van FD/MFD</t>
        </is>
      </c>
      <c r="D912" t="inlineStr">
        <is>
          <t>VẬT_LIỆU_CÁCH_NHIỆT</t>
        </is>
      </c>
      <c r="E912" t="inlineStr">
        <is>
          <t>MAT-FIREBOARD-10MM-BLADE</t>
        </is>
      </c>
      <c r="F912" t="inlineStr">
        <is>
          <t>m2</t>
        </is>
      </c>
      <c r="G912" s="394" t="n">
        <v>0.2</v>
      </c>
      <c r="H912" s="390">
        <f>IFERROR(INDEX('00_TONG_HOP_BAO_GIA'!$G$1:$G$5000, MATCH(B912, '00_TONG_HOP_BAO_GIA'!$B$1:$B$5000, 0)), 1)</f>
        <v/>
      </c>
      <c r="I912" s="395">
        <f>G912*H912</f>
        <v/>
      </c>
      <c r="J912" s="390">
        <f>IFERROR(INDEX('06_BANG_GIA_VAT_TU_AP_DUNG'!$E$1:$E$5000, MATCH(E912, '06_BANG_GIA_VAT_TU_AP_DUNG'!$B$1:$B$5000, 0)), 0)</f>
        <v/>
      </c>
      <c r="K912" s="390">
        <f>I912*J912</f>
        <v/>
      </c>
      <c r="L912" t="inlineStr">
        <is>
          <t>Ốp 2 mặt cánh tấm 10mm (Cánh đơn 500x200mm)</t>
        </is>
      </c>
    </row>
    <row r="913">
      <c r="A913" t="inlineStr">
        <is>
          <t>SW-DAMPER-180-SPRING-BOX</t>
        </is>
      </c>
      <c r="B913" t="inlineStr">
        <is>
          <t>SW-DAMPER-180</t>
        </is>
      </c>
      <c r="C913" t="inlineStr">
        <is>
          <t>Hộp lò xo van chặn lửa FD/MFD</t>
        </is>
      </c>
      <c r="D913" t="inlineStr">
        <is>
          <t>PHỤ_KIỆN_VAN</t>
        </is>
      </c>
      <c r="E913" t="inlineStr">
        <is>
          <t>MAT-DAMPER-HOP-LO-XO</t>
        </is>
      </c>
      <c r="F913" t="inlineStr">
        <is>
          <t>Bộ</t>
        </is>
      </c>
      <c r="G913" s="394" t="n">
        <v>1</v>
      </c>
      <c r="H913" s="390">
        <f>IFERROR(INDEX('00_TONG_HOP_BAO_GIA'!$G$1:$G$5000, MATCH(B913, '00_TONG_HOP_BAO_GIA'!$B$1:$B$5000, 0)), 1)</f>
        <v/>
      </c>
      <c r="I913" s="395">
        <f>G913*H913</f>
        <v/>
      </c>
      <c r="J913" s="390">
        <f>IFERROR(INDEX('06_BANG_GIA_VAT_TU_AP_DUNG'!$E$1:$E$5000, MATCH(E913, '06_BANG_GIA_VAT_TU_AP_DUNG'!$B$1:$B$5000, 0)), 0)</f>
        <v/>
      </c>
      <c r="K913" s="390">
        <f>I913*J913</f>
        <v/>
      </c>
      <c r="L913" t="inlineStr">
        <is>
          <t>Hộp lò xo cơ cấu đóng sập (1 bộ)</t>
        </is>
      </c>
    </row>
    <row r="914">
      <c r="A914" t="inlineStr">
        <is>
          <t>SW-DAMPER-180-SILICON-BOLT</t>
        </is>
      </c>
      <c r="B914" t="inlineStr">
        <is>
          <t>SW-DAMPER-180</t>
        </is>
      </c>
      <c r="C914" t="inlineStr">
        <is>
          <t>Silicon chống cháy + bu lông, ốc vít van FD/MFD</t>
        </is>
      </c>
      <c r="D914" t="inlineStr">
        <is>
          <t>PHỤ_KIỆN_VAN</t>
        </is>
      </c>
      <c r="E914" t="inlineStr">
        <is>
          <t>MAT-DAMPER-SILICON-BULONG-VIT</t>
        </is>
      </c>
      <c r="F914" t="inlineStr">
        <is>
          <t>Bộ</t>
        </is>
      </c>
      <c r="G914" s="394" t="n">
        <v>1</v>
      </c>
      <c r="H914" s="390">
        <f>IFERROR(INDEX('00_TONG_HOP_BAO_GIA'!$G$1:$G$5000, MATCH(B914, '00_TONG_HOP_BAO_GIA'!$B$1:$B$5000, 0)), 1)</f>
        <v/>
      </c>
      <c r="I914" s="395">
        <f>G914*H914</f>
        <v/>
      </c>
      <c r="J914" s="390">
        <f>IFERROR(INDEX('06_BANG_GIA_VAT_TU_AP_DUNG'!$E$1:$E$5000, MATCH(E914, '06_BANG_GIA_VAT_TU_AP_DUNG'!$B$1:$B$5000, 0)), 0)</f>
        <v/>
      </c>
      <c r="K914" s="390">
        <f>I914*J914</f>
        <v/>
      </c>
      <c r="L914" t="inlineStr">
        <is>
          <t>Keo silicon chống cháy &amp; phụ kiện lắp ghép (1 bộ)</t>
        </is>
      </c>
    </row>
    <row r="915">
      <c r="A915" t="inlineStr">
        <is>
          <t>SW-DAMPER-181-BODY</t>
        </is>
      </c>
      <c r="B915" t="inlineStr">
        <is>
          <t>SW-DAMPER-181</t>
        </is>
      </c>
      <c r="C915" t="inlineStr">
        <is>
          <t>Thân vỏ van MFD bích C30/TDF (1.15mm)</t>
        </is>
      </c>
      <c r="D915" t="inlineStr">
        <is>
          <t>TÔN_CUỘN_MẠ_KẼM</t>
        </is>
      </c>
      <c r="E915" t="inlineStr">
        <is>
          <t>MAT-STEEL-PN-1.15</t>
        </is>
      </c>
      <c r="F915" t="inlineStr">
        <is>
          <t>kg</t>
        </is>
      </c>
      <c r="G915" s="394" t="n">
        <v>10.185999075</v>
      </c>
      <c r="H915" s="390">
        <f>IFERROR(INDEX('00_TONG_HOP_BAO_GIA'!$G$1:$G$5000, MATCH(B915, '00_TONG_HOP_BAO_GIA'!$B$1:$B$5000, 0)), 1)</f>
        <v/>
      </c>
      <c r="I915" s="395">
        <f>G915*H915</f>
        <v/>
      </c>
      <c r="J915" s="390">
        <f>IFERROR(INDEX('06_BANG_GIA_VAT_TU_AP_DUNG'!$E$1:$E$5000, MATCH(E915, '06_BANG_GIA_VAT_TU_AP_DUNG'!$B$1:$B$5000, 0)), 0)</f>
        <v/>
      </c>
      <c r="K915" s="390">
        <f>I915*J915</f>
        <v/>
      </c>
      <c r="L915" t="inlineStr">
        <is>
          <t>Kích thước vỏ 1250x350x200mm (2 modul 625x350mm)</t>
        </is>
      </c>
    </row>
    <row r="916">
      <c r="A916" t="inlineStr">
        <is>
          <t>SW-DAMPER-181-BLADE</t>
        </is>
      </c>
      <c r="B916" t="inlineStr">
        <is>
          <t>SW-DAMPER-181</t>
        </is>
      </c>
      <c r="C916" t="inlineStr">
        <is>
          <t>Lá cánh / Tôn tấm bọc van (4 cánh)</t>
        </is>
      </c>
      <c r="D916" t="inlineStr">
        <is>
          <t>TÔN_CUỘN_MẠ_KẼM</t>
        </is>
      </c>
      <c r="E916" t="inlineStr">
        <is>
          <t>MAT-STEEL-PN-1.15</t>
        </is>
      </c>
      <c r="F916" t="inlineStr">
        <is>
          <t>kg</t>
        </is>
      </c>
      <c r="G916" s="394" t="n">
        <v>7.899062499999999</v>
      </c>
      <c r="H916" s="390">
        <f>IFERROR(INDEX('00_TONG_HOP_BAO_GIA'!$G$1:$G$5000, MATCH(B916, '00_TONG_HOP_BAO_GIA'!$B$1:$B$5000, 0)), 1)</f>
        <v/>
      </c>
      <c r="I916" s="395">
        <f>G916*H916</f>
        <v/>
      </c>
      <c r="J916" s="390">
        <f>IFERROR(INDEX('06_BANG_GIA_VAT_TU_AP_DUNG'!$E$1:$E$5000, MATCH(E916, '06_BANG_GIA_VAT_TU_AP_DUNG'!$B$1:$B$5000, 0)), 0)</f>
        <v/>
      </c>
      <c r="K916" s="390">
        <f>I916*J916</f>
        <v/>
      </c>
      <c r="L916" t="inlineStr">
        <is>
          <t>Tôn bọc cánh &amp; thân (2 cánh/modul (2 modul 625x350mm))</t>
        </is>
      </c>
    </row>
    <row r="917">
      <c r="A917" t="inlineStr">
        <is>
          <t>SW-DAMPER-181-AXLE</t>
        </is>
      </c>
      <c r="B917" t="inlineStr">
        <is>
          <t>SW-DAMPER-181</t>
        </is>
      </c>
      <c r="C917" t="inlineStr">
        <is>
          <t>Trục Sus 201 D10</t>
        </is>
      </c>
      <c r="D917" t="inlineStr">
        <is>
          <t>PHỤ_KIỆN_VAN</t>
        </is>
      </c>
      <c r="E917" t="inlineStr">
        <is>
          <t>MAT-DAMPER-TRUC-SUS-201-D10</t>
        </is>
      </c>
      <c r="F917" t="inlineStr">
        <is>
          <t>m</t>
        </is>
      </c>
      <c r="G917" s="394" t="n">
        <v>2.74</v>
      </c>
      <c r="H917" s="390">
        <f>IFERROR(INDEX('00_TONG_HOP_BAO_GIA'!$G$1:$G$5000, MATCH(B917, '00_TONG_HOP_BAO_GIA'!$B$1:$B$5000, 0)), 1)</f>
        <v/>
      </c>
      <c r="I917" s="395">
        <f>G917*H917</f>
        <v/>
      </c>
      <c r="J917" s="390">
        <f>IFERROR(INDEX('06_BANG_GIA_VAT_TU_AP_DUNG'!$E$1:$E$5000, MATCH(E917, '06_BANG_GIA_VAT_TU_AP_DUNG'!$B$1:$B$5000, 0)), 0)</f>
        <v/>
      </c>
      <c r="K917" s="390">
        <f>I917*J917</f>
        <v/>
      </c>
      <c r="L917" t="inlineStr">
        <is>
          <t>4 trục dài 685mm</t>
        </is>
      </c>
    </row>
    <row r="918">
      <c r="A918" t="inlineStr">
        <is>
          <t>SW-DAMPER-181-BEARING</t>
        </is>
      </c>
      <c r="B918" t="inlineStr">
        <is>
          <t>SW-DAMPER-181</t>
        </is>
      </c>
      <c r="C918" t="inlineStr">
        <is>
          <t>Bạc đồng D10</t>
        </is>
      </c>
      <c r="D918" t="inlineStr">
        <is>
          <t>PHỤ_KIỆN_VAN</t>
        </is>
      </c>
      <c r="E918" t="inlineStr">
        <is>
          <t>MAT-DAMPER-BAC-DONG-D10</t>
        </is>
      </c>
      <c r="F918" t="inlineStr">
        <is>
          <t>Đôi</t>
        </is>
      </c>
      <c r="G918" s="394" t="n">
        <v>4</v>
      </c>
      <c r="H918" s="390">
        <f>IFERROR(INDEX('00_TONG_HOP_BAO_GIA'!$G$1:$G$5000, MATCH(B918, '00_TONG_HOP_BAO_GIA'!$B$1:$B$5000, 0)), 1)</f>
        <v/>
      </c>
      <c r="I918" s="395">
        <f>G918*H918</f>
        <v/>
      </c>
      <c r="J918" s="390">
        <f>IFERROR(INDEX('06_BANG_GIA_VAT_TU_AP_DUNG'!$E$1:$E$5000, MATCH(E918, '06_BANG_GIA_VAT_TU_AP_DUNG'!$B$1:$B$5000, 0)), 0)</f>
        <v/>
      </c>
      <c r="K918" s="390">
        <f>I918*J918</f>
        <v/>
      </c>
      <c r="L918" t="inlineStr">
        <is>
          <t>4 đôi bạc đỡ 2 bên thân</t>
        </is>
      </c>
    </row>
    <row r="919">
      <c r="A919" t="inlineStr">
        <is>
          <t>SW-DAMPER-181-GEAR</t>
        </is>
      </c>
      <c r="B919" t="inlineStr">
        <is>
          <t>SW-DAMPER-181</t>
        </is>
      </c>
      <c r="C919" t="inlineStr">
        <is>
          <t>Bánh răng van nhôm</t>
        </is>
      </c>
      <c r="D919" t="inlineStr">
        <is>
          <t>PHỤ_KIỆN_VAN</t>
        </is>
      </c>
      <c r="E919" t="inlineStr">
        <is>
          <t>MAT-DAMPER-BANH-RANG-VAN-NHOM</t>
        </is>
      </c>
      <c r="F919" t="inlineStr">
        <is>
          <t>Bộ</t>
        </is>
      </c>
      <c r="G919" s="394" t="n">
        <v>2</v>
      </c>
      <c r="H919" s="390">
        <f>IFERROR(INDEX('00_TONG_HOP_BAO_GIA'!$G$1:$G$5000, MATCH(B919, '00_TONG_HOP_BAO_GIA'!$B$1:$B$5000, 0)), 1)</f>
        <v/>
      </c>
      <c r="I919" s="395">
        <f>G919*H919</f>
        <v/>
      </c>
      <c r="J919" s="390">
        <f>IFERROR(INDEX('06_BANG_GIA_VAT_TU_AP_DUNG'!$E$1:$E$5000, MATCH(E919, '06_BANG_GIA_VAT_TU_AP_DUNG'!$B$1:$B$5000, 0)), 0)</f>
        <v/>
      </c>
      <c r="K919" s="390">
        <f>I919*J919</f>
        <v/>
      </c>
      <c r="L919" t="inlineStr">
        <is>
          <t>Cơ cấu liên động cánh (2 bộ)</t>
        </is>
      </c>
    </row>
    <row r="920">
      <c r="A920" t="inlineStr">
        <is>
          <t>SW-DAMPER-181-ACTUATOR</t>
        </is>
      </c>
      <c r="B920" t="inlineStr">
        <is>
          <t>SW-DAMPER-181</t>
        </is>
      </c>
      <c r="C920" t="inlineStr">
        <is>
          <t>Động cơ chặn lửa ON/OFF 9Nm, 230V/24V (BELIMO BFN24 / BFN230)</t>
        </is>
      </c>
      <c r="D920" t="inlineStr">
        <is>
          <t>ĐỘNG_CƠ_VÀ_CẢM_BIẾN</t>
        </is>
      </c>
      <c r="E920" t="inlineStr">
        <is>
          <t>MAT-ACTUATOR-BELIMO-BFN24</t>
        </is>
      </c>
      <c r="F920" t="inlineStr">
        <is>
          <t>Cái</t>
        </is>
      </c>
      <c r="G920" s="394" t="n">
        <v>2</v>
      </c>
      <c r="H920" s="390">
        <f>IFERROR(INDEX('00_TONG_HOP_BAO_GIA'!$G$1:$G$5000, MATCH(B920, '00_TONG_HOP_BAO_GIA'!$B$1:$B$5000, 0)), 1)</f>
        <v/>
      </c>
      <c r="I920" s="395">
        <f>G920*H920</f>
        <v/>
      </c>
      <c r="J920" s="390">
        <f>IFERROR(INDEX('06_BANG_GIA_VAT_TU_AP_DUNG'!$E$1:$E$5000, MATCH(E920, '06_BANG_GIA_VAT_TU_AP_DUNG'!$B$1:$B$5000, 0)), 0)</f>
        <v/>
      </c>
      <c r="K920" s="390">
        <f>I920*J920</f>
        <v/>
      </c>
      <c r="L920" t="inlineStr">
        <is>
          <t>Động cơ lò xo phản hồi MFD (2 bộ (2 modul 625x350mm))</t>
        </is>
      </c>
    </row>
    <row r="921">
      <c r="A921" t="inlineStr">
        <is>
          <t>SW-DAMPER-181-FB10-BODY</t>
        </is>
      </c>
      <c r="B921" t="inlineStr">
        <is>
          <t>SW-DAMPER-181</t>
        </is>
      </c>
      <c r="C921" t="inlineStr">
        <is>
          <t>Tấm chống cháy dày 10mm bọc thân van FD/MFD (2 lớp)</t>
        </is>
      </c>
      <c r="D921" t="inlineStr">
        <is>
          <t>VẬT_LIỆU_CÁCH_NHIỆT</t>
        </is>
      </c>
      <c r="E921" t="inlineStr">
        <is>
          <t>MAT-FIREBOARD-10MM-BODY</t>
        </is>
      </c>
      <c r="F921" t="inlineStr">
        <is>
          <t>m2</t>
        </is>
      </c>
      <c r="G921" s="394" t="n">
        <v>2.34</v>
      </c>
      <c r="H921" s="390">
        <f>IFERROR(INDEX('00_TONG_HOP_BAO_GIA'!$G$1:$G$5000, MATCH(B921, '00_TONG_HOP_BAO_GIA'!$B$1:$B$5000, 0)), 1)</f>
        <v/>
      </c>
      <c r="I921" s="395">
        <f>G921*H921</f>
        <v/>
      </c>
      <c r="J921" s="390">
        <f>IFERROR(INDEX('06_BANG_GIA_VAT_TU_AP_DUNG'!$E$1:$E$5000, MATCH(E921, '06_BANG_GIA_VAT_TU_AP_DUNG'!$B$1:$B$5000, 0)), 0)</f>
        <v/>
      </c>
      <c r="K921" s="390">
        <f>I921*J921</f>
        <v/>
      </c>
      <c r="L921" t="inlineStr">
        <is>
          <t>Bọc 2 lớp tấm 10mm quanh thân L=300mm (2 modul 625x350mm)</t>
        </is>
      </c>
    </row>
    <row r="922">
      <c r="A922" t="inlineStr">
        <is>
          <t>SW-DAMPER-181-FB20-BLADE</t>
        </is>
      </c>
      <c r="B922" t="inlineStr">
        <is>
          <t>SW-DAMPER-181</t>
        </is>
      </c>
      <c r="C922" t="inlineStr">
        <is>
          <t>Tấm chống cháy dày 20mm làm lõi cánh van FD/MFD</t>
        </is>
      </c>
      <c r="D922" t="inlineStr">
        <is>
          <t>VẬT_LIỆU_CÁCH_NHIỆT</t>
        </is>
      </c>
      <c r="E922" t="inlineStr">
        <is>
          <t>MAT-FIREBOARD-20MM-BLADE</t>
        </is>
      </c>
      <c r="F922" t="inlineStr">
        <is>
          <t>m2</t>
        </is>
      </c>
      <c r="G922" s="394" t="n">
        <v>0.6471875838926175</v>
      </c>
      <c r="H922" s="390">
        <f>IFERROR(INDEX('00_TONG_HOP_BAO_GIA'!$G$1:$G$5000, MATCH(B922, '00_TONG_HOP_BAO_GIA'!$B$1:$B$5000, 0)), 1)</f>
        <v/>
      </c>
      <c r="I922" s="395">
        <f>G922*H922</f>
        <v/>
      </c>
      <c r="J922" s="390">
        <f>IFERROR(INDEX('06_BANG_GIA_VAT_TU_AP_DUNG'!$E$1:$E$5000, MATCH(E922, '06_BANG_GIA_VAT_TU_AP_DUNG'!$B$1:$B$5000, 0)), 0)</f>
        <v/>
      </c>
      <c r="K922" s="390">
        <f>I922*J922</f>
        <v/>
      </c>
      <c r="L922" t="inlineStr">
        <is>
          <t>Lõi cánh tấm 20mm (Đa cánh hệ số (H-5)/149=2.32, bản rộng 210mm, hao hụt 10% (2 modul 625x350mm))</t>
        </is>
      </c>
    </row>
    <row r="923">
      <c r="A923" t="inlineStr">
        <is>
          <t>SW-DAMPER-181-FB10-BLADE</t>
        </is>
      </c>
      <c r="B923" t="inlineStr">
        <is>
          <t>SW-DAMPER-181</t>
        </is>
      </c>
      <c r="C923" t="inlineStr">
        <is>
          <t>Tấm chống cháy dày 10mm ốp 2 mặt cánh van FD/MFD</t>
        </is>
      </c>
      <c r="D923" t="inlineStr">
        <is>
          <t>VẬT_LIỆU_CÁCH_NHIỆT</t>
        </is>
      </c>
      <c r="E923" t="inlineStr">
        <is>
          <t>MAT-FIREBOARD-10MM-BLADE</t>
        </is>
      </c>
      <c r="F923" t="inlineStr">
        <is>
          <t>m2</t>
        </is>
      </c>
      <c r="G923" s="394" t="n">
        <v>1.337164429530201</v>
      </c>
      <c r="H923" s="390">
        <f>IFERROR(INDEX('00_TONG_HOP_BAO_GIA'!$G$1:$G$5000, MATCH(B923, '00_TONG_HOP_BAO_GIA'!$B$1:$B$5000, 0)), 1)</f>
        <v/>
      </c>
      <c r="I923" s="395">
        <f>G923*H923</f>
        <v/>
      </c>
      <c r="J923" s="390">
        <f>IFERROR(INDEX('06_BANG_GIA_VAT_TU_AP_DUNG'!$E$1:$E$5000, MATCH(E923, '06_BANG_GIA_VAT_TU_AP_DUNG'!$B$1:$B$5000, 0)), 0)</f>
        <v/>
      </c>
      <c r="K923" s="390">
        <f>I923*J923</f>
        <v/>
      </c>
      <c r="L923" t="inlineStr">
        <is>
          <t>Ốp 2 mặt cánh tấm 10mm (Đa cánh hệ số (H-5)/149=2.32, bản rộng 210mm, hao hụt 10% (2 modul 625x350mm))</t>
        </is>
      </c>
    </row>
    <row r="924">
      <c r="A924" t="inlineStr">
        <is>
          <t>SW-DAMPER-181-SPRING-BOX</t>
        </is>
      </c>
      <c r="B924" t="inlineStr">
        <is>
          <t>SW-DAMPER-181</t>
        </is>
      </c>
      <c r="C924" t="inlineStr">
        <is>
          <t>Hộp lò xo van chặn lửa FD/MFD</t>
        </is>
      </c>
      <c r="D924" t="inlineStr">
        <is>
          <t>PHỤ_KIỆN_VAN</t>
        </is>
      </c>
      <c r="E924" t="inlineStr">
        <is>
          <t>MAT-DAMPER-HOP-LO-XO</t>
        </is>
      </c>
      <c r="F924" t="inlineStr">
        <is>
          <t>Bộ</t>
        </is>
      </c>
      <c r="G924" s="394" t="n">
        <v>2</v>
      </c>
      <c r="H924" s="390">
        <f>IFERROR(INDEX('00_TONG_HOP_BAO_GIA'!$G$1:$G$5000, MATCH(B924, '00_TONG_HOP_BAO_GIA'!$B$1:$B$5000, 0)), 1)</f>
        <v/>
      </c>
      <c r="I924" s="395">
        <f>G924*H924</f>
        <v/>
      </c>
      <c r="J924" s="390">
        <f>IFERROR(INDEX('06_BANG_GIA_VAT_TU_AP_DUNG'!$E$1:$E$5000, MATCH(E924, '06_BANG_GIA_VAT_TU_AP_DUNG'!$B$1:$B$5000, 0)), 0)</f>
        <v/>
      </c>
      <c r="K924" s="390">
        <f>I924*J924</f>
        <v/>
      </c>
      <c r="L924" t="inlineStr">
        <is>
          <t>Hộp lò xo cơ cấu đóng sập (2 bộ)</t>
        </is>
      </c>
    </row>
    <row r="925">
      <c r="A925" t="inlineStr">
        <is>
          <t>SW-DAMPER-181-SILICON-BOLT</t>
        </is>
      </c>
      <c r="B925" t="inlineStr">
        <is>
          <t>SW-DAMPER-181</t>
        </is>
      </c>
      <c r="C925" t="inlineStr">
        <is>
          <t>Silicon chống cháy + bu lông, ốc vít van FD/MFD</t>
        </is>
      </c>
      <c r="D925" t="inlineStr">
        <is>
          <t>PHỤ_KIỆN_VAN</t>
        </is>
      </c>
      <c r="E925" t="inlineStr">
        <is>
          <t>MAT-DAMPER-SILICON-BULONG-VIT</t>
        </is>
      </c>
      <c r="F925" t="inlineStr">
        <is>
          <t>Bộ</t>
        </is>
      </c>
      <c r="G925" s="394" t="n">
        <v>2</v>
      </c>
      <c r="H925" s="390">
        <f>IFERROR(INDEX('00_TONG_HOP_BAO_GIA'!$G$1:$G$5000, MATCH(B925, '00_TONG_HOP_BAO_GIA'!$B$1:$B$5000, 0)), 1)</f>
        <v/>
      </c>
      <c r="I925" s="395">
        <f>G925*H925</f>
        <v/>
      </c>
      <c r="J925" s="390">
        <f>IFERROR(INDEX('06_BANG_GIA_VAT_TU_AP_DUNG'!$E$1:$E$5000, MATCH(E925, '06_BANG_GIA_VAT_TU_AP_DUNG'!$B$1:$B$5000, 0)), 0)</f>
        <v/>
      </c>
      <c r="K925" s="390">
        <f>I925*J925</f>
        <v/>
      </c>
      <c r="L925" t="inlineStr">
        <is>
          <t>Keo silicon chống cháy &amp; phụ kiện lắp ghép (2 bộ)</t>
        </is>
      </c>
    </row>
    <row r="926">
      <c r="A926" t="inlineStr">
        <is>
          <t>SW-DAMPER-182-BODY</t>
        </is>
      </c>
      <c r="B926" t="inlineStr">
        <is>
          <t>SW-DAMPER-182</t>
        </is>
      </c>
      <c r="C926" t="inlineStr">
        <is>
          <t>Thân vỏ van MFD bích C30/TDF (1.15mm)</t>
        </is>
      </c>
      <c r="D926" t="inlineStr">
        <is>
          <t>TÔN_CUỘN_MẠ_KẼM</t>
        </is>
      </c>
      <c r="E926" t="inlineStr">
        <is>
          <t>MAT-STEEL-PN-1.15</t>
        </is>
      </c>
      <c r="F926" t="inlineStr">
        <is>
          <t>kg</t>
        </is>
      </c>
      <c r="G926" s="394" t="n">
        <v>8.036190225</v>
      </c>
      <c r="H926" s="390">
        <f>IFERROR(INDEX('00_TONG_HOP_BAO_GIA'!$G$1:$G$5000, MATCH(B926, '00_TONG_HOP_BAO_GIA'!$B$1:$B$5000, 0)), 1)</f>
        <v/>
      </c>
      <c r="I926" s="395">
        <f>G926*H926</f>
        <v/>
      </c>
      <c r="J926" s="390">
        <f>IFERROR(INDEX('06_BANG_GIA_VAT_TU_AP_DUNG'!$E$1:$E$5000, MATCH(E926, '06_BANG_GIA_VAT_TU_AP_DUNG'!$B$1:$B$5000, 0)), 0)</f>
        <v/>
      </c>
      <c r="K926" s="390">
        <f>I926*J926</f>
        <v/>
      </c>
      <c r="L926" t="inlineStr">
        <is>
          <t>Kích thước vỏ 1000x550x200mm</t>
        </is>
      </c>
    </row>
    <row r="927">
      <c r="A927" t="inlineStr">
        <is>
          <t>SW-DAMPER-182-BLADE</t>
        </is>
      </c>
      <c r="B927" t="inlineStr">
        <is>
          <t>SW-DAMPER-182</t>
        </is>
      </c>
      <c r="C927" t="inlineStr">
        <is>
          <t>Lá cánh / Tôn tấm bọc van (4 cánh)</t>
        </is>
      </c>
      <c r="D927" t="inlineStr">
        <is>
          <t>TÔN_CUỘN_MẠ_KẼM</t>
        </is>
      </c>
      <c r="E927" t="inlineStr">
        <is>
          <t>MAT-STEEL-PN-1.15</t>
        </is>
      </c>
      <c r="F927" t="inlineStr">
        <is>
          <t>kg</t>
        </is>
      </c>
      <c r="G927" s="394" t="n">
        <v>9.930249999999999</v>
      </c>
      <c r="H927" s="390">
        <f>IFERROR(INDEX('00_TONG_HOP_BAO_GIA'!$G$1:$G$5000, MATCH(B927, '00_TONG_HOP_BAO_GIA'!$B$1:$B$5000, 0)), 1)</f>
        <v/>
      </c>
      <c r="I927" s="395">
        <f>G927*H927</f>
        <v/>
      </c>
      <c r="J927" s="390">
        <f>IFERROR(INDEX('06_BANG_GIA_VAT_TU_AP_DUNG'!$E$1:$E$5000, MATCH(E927, '06_BANG_GIA_VAT_TU_AP_DUNG'!$B$1:$B$5000, 0)), 0)</f>
        <v/>
      </c>
      <c r="K927" s="390">
        <f>I927*J927</f>
        <v/>
      </c>
      <c r="L927" t="inlineStr">
        <is>
          <t>Tôn bọc cánh &amp; thân (4 cánh/modul)</t>
        </is>
      </c>
    </row>
    <row r="928">
      <c r="A928" t="inlineStr">
        <is>
          <t>SW-DAMPER-182-AXLE</t>
        </is>
      </c>
      <c r="B928" t="inlineStr">
        <is>
          <t>SW-DAMPER-182</t>
        </is>
      </c>
      <c r="C928" t="inlineStr">
        <is>
          <t>Trục Sus 201 D10</t>
        </is>
      </c>
      <c r="D928" t="inlineStr">
        <is>
          <t>PHỤ_KIỆN_VAN</t>
        </is>
      </c>
      <c r="E928" t="inlineStr">
        <is>
          <t>MAT-DAMPER-TRUC-SUS-201-D10</t>
        </is>
      </c>
      <c r="F928" t="inlineStr">
        <is>
          <t>m</t>
        </is>
      </c>
      <c r="G928" s="394" t="n">
        <v>4.24</v>
      </c>
      <c r="H928" s="390">
        <f>IFERROR(INDEX('00_TONG_HOP_BAO_GIA'!$G$1:$G$5000, MATCH(B928, '00_TONG_HOP_BAO_GIA'!$B$1:$B$5000, 0)), 1)</f>
        <v/>
      </c>
      <c r="I928" s="395">
        <f>G928*H928</f>
        <v/>
      </c>
      <c r="J928" s="390">
        <f>IFERROR(INDEX('06_BANG_GIA_VAT_TU_AP_DUNG'!$E$1:$E$5000, MATCH(E928, '06_BANG_GIA_VAT_TU_AP_DUNG'!$B$1:$B$5000, 0)), 0)</f>
        <v/>
      </c>
      <c r="K928" s="390">
        <f>I928*J928</f>
        <v/>
      </c>
      <c r="L928" t="inlineStr">
        <is>
          <t>4 trục dài 1060mm</t>
        </is>
      </c>
    </row>
    <row r="929">
      <c r="A929" t="inlineStr">
        <is>
          <t>SW-DAMPER-182-BEARING</t>
        </is>
      </c>
      <c r="B929" t="inlineStr">
        <is>
          <t>SW-DAMPER-182</t>
        </is>
      </c>
      <c r="C929" t="inlineStr">
        <is>
          <t>Bạc đồng D10</t>
        </is>
      </c>
      <c r="D929" t="inlineStr">
        <is>
          <t>PHỤ_KIỆN_VAN</t>
        </is>
      </c>
      <c r="E929" t="inlineStr">
        <is>
          <t>MAT-DAMPER-BAC-DONG-D10</t>
        </is>
      </c>
      <c r="F929" t="inlineStr">
        <is>
          <t>Đôi</t>
        </is>
      </c>
      <c r="G929" s="394" t="n">
        <v>4</v>
      </c>
      <c r="H929" s="390">
        <f>IFERROR(INDEX('00_TONG_HOP_BAO_GIA'!$G$1:$G$5000, MATCH(B929, '00_TONG_HOP_BAO_GIA'!$B$1:$B$5000, 0)), 1)</f>
        <v/>
      </c>
      <c r="I929" s="395">
        <f>G929*H929</f>
        <v/>
      </c>
      <c r="J929" s="390">
        <f>IFERROR(INDEX('06_BANG_GIA_VAT_TU_AP_DUNG'!$E$1:$E$5000, MATCH(E929, '06_BANG_GIA_VAT_TU_AP_DUNG'!$B$1:$B$5000, 0)), 0)</f>
        <v/>
      </c>
      <c r="K929" s="390">
        <f>I929*J929</f>
        <v/>
      </c>
      <c r="L929" t="inlineStr">
        <is>
          <t>4 đôi bạc đỡ 2 bên thân</t>
        </is>
      </c>
    </row>
    <row r="930">
      <c r="A930" t="inlineStr">
        <is>
          <t>SW-DAMPER-182-GEAR</t>
        </is>
      </c>
      <c r="B930" t="inlineStr">
        <is>
          <t>SW-DAMPER-182</t>
        </is>
      </c>
      <c r="C930" t="inlineStr">
        <is>
          <t>Bánh răng van nhôm</t>
        </is>
      </c>
      <c r="D930" t="inlineStr">
        <is>
          <t>PHỤ_KIỆN_VAN</t>
        </is>
      </c>
      <c r="E930" t="inlineStr">
        <is>
          <t>MAT-DAMPER-BANH-RANG-VAN-NHOM</t>
        </is>
      </c>
      <c r="F930" t="inlineStr">
        <is>
          <t>Bộ</t>
        </is>
      </c>
      <c r="G930" s="394" t="n">
        <v>1</v>
      </c>
      <c r="H930" s="390">
        <f>IFERROR(INDEX('00_TONG_HOP_BAO_GIA'!$G$1:$G$5000, MATCH(B930, '00_TONG_HOP_BAO_GIA'!$B$1:$B$5000, 0)), 1)</f>
        <v/>
      </c>
      <c r="I930" s="395">
        <f>G930*H930</f>
        <v/>
      </c>
      <c r="J930" s="390">
        <f>IFERROR(INDEX('06_BANG_GIA_VAT_TU_AP_DUNG'!$E$1:$E$5000, MATCH(E930, '06_BANG_GIA_VAT_TU_AP_DUNG'!$B$1:$B$5000, 0)), 0)</f>
        <v/>
      </c>
      <c r="K930" s="390">
        <f>I930*J930</f>
        <v/>
      </c>
      <c r="L930" t="inlineStr">
        <is>
          <t>Cơ cấu liên động cánh (1 bộ)</t>
        </is>
      </c>
    </row>
    <row r="931">
      <c r="A931" t="inlineStr">
        <is>
          <t>SW-DAMPER-182-ACTUATOR</t>
        </is>
      </c>
      <c r="B931" t="inlineStr">
        <is>
          <t>SW-DAMPER-182</t>
        </is>
      </c>
      <c r="C931" t="inlineStr">
        <is>
          <t>Động cơ chặn lửa ON/OFF 9Nm, 230V/24V (BELIMO BFN24 / BFN230)</t>
        </is>
      </c>
      <c r="D931" t="inlineStr">
        <is>
          <t>ĐỘNG_CƠ_VÀ_CẢM_BIẾN</t>
        </is>
      </c>
      <c r="E931" t="inlineStr">
        <is>
          <t>MAT-ACTUATOR-BELIMO-BFN24</t>
        </is>
      </c>
      <c r="F931" t="inlineStr">
        <is>
          <t>Cái</t>
        </is>
      </c>
      <c r="G931" s="394" t="n">
        <v>1</v>
      </c>
      <c r="H931" s="390">
        <f>IFERROR(INDEX('00_TONG_HOP_BAO_GIA'!$G$1:$G$5000, MATCH(B931, '00_TONG_HOP_BAO_GIA'!$B$1:$B$5000, 0)), 1)</f>
        <v/>
      </c>
      <c r="I931" s="395">
        <f>G931*H931</f>
        <v/>
      </c>
      <c r="J931" s="390">
        <f>IFERROR(INDEX('06_BANG_GIA_VAT_TU_AP_DUNG'!$E$1:$E$5000, MATCH(E931, '06_BANG_GIA_VAT_TU_AP_DUNG'!$B$1:$B$5000, 0)), 0)</f>
        <v/>
      </c>
      <c r="K931" s="390">
        <f>I931*J931</f>
        <v/>
      </c>
      <c r="L931" t="inlineStr">
        <is>
          <t>Động cơ lò xo phản hồi MFD (1 bộ)</t>
        </is>
      </c>
    </row>
    <row r="932">
      <c r="A932" t="inlineStr">
        <is>
          <t>SW-DAMPER-182-FB10-BODY</t>
        </is>
      </c>
      <c r="B932" t="inlineStr">
        <is>
          <t>SW-DAMPER-182</t>
        </is>
      </c>
      <c r="C932" t="inlineStr">
        <is>
          <t>Tấm chống cháy dày 10mm bọc thân van FD/MFD (2 lớp)</t>
        </is>
      </c>
      <c r="D932" t="inlineStr">
        <is>
          <t>VẬT_LIỆU_CÁCH_NHIỆT</t>
        </is>
      </c>
      <c r="E932" t="inlineStr">
        <is>
          <t>MAT-FIREBOARD-10MM-BODY</t>
        </is>
      </c>
      <c r="F932" t="inlineStr">
        <is>
          <t>m2</t>
        </is>
      </c>
      <c r="G932" s="394" t="n">
        <v>1.86</v>
      </c>
      <c r="H932" s="390">
        <f>IFERROR(INDEX('00_TONG_HOP_BAO_GIA'!$G$1:$G$5000, MATCH(B932, '00_TONG_HOP_BAO_GIA'!$B$1:$B$5000, 0)), 1)</f>
        <v/>
      </c>
      <c r="I932" s="395">
        <f>G932*H932</f>
        <v/>
      </c>
      <c r="J932" s="390">
        <f>IFERROR(INDEX('06_BANG_GIA_VAT_TU_AP_DUNG'!$E$1:$E$5000, MATCH(E932, '06_BANG_GIA_VAT_TU_AP_DUNG'!$B$1:$B$5000, 0)), 0)</f>
        <v/>
      </c>
      <c r="K932" s="390">
        <f>I932*J932</f>
        <v/>
      </c>
      <c r="L932" t="inlineStr">
        <is>
          <t>Bọc 2 lớp tấm 10mm quanh thân L=300mm</t>
        </is>
      </c>
    </row>
    <row r="933">
      <c r="A933" t="inlineStr">
        <is>
          <t>SW-DAMPER-182-FB20-BLADE</t>
        </is>
      </c>
      <c r="B933" t="inlineStr">
        <is>
          <t>SW-DAMPER-182</t>
        </is>
      </c>
      <c r="C933" t="inlineStr">
        <is>
          <t>Tấm chống cháy dày 20mm làm lõi cánh van FD/MFD</t>
        </is>
      </c>
      <c r="D933" t="inlineStr">
        <is>
          <t>VẬT_LIỆU_CÁCH_NHIỆT</t>
        </is>
      </c>
      <c r="E933" t="inlineStr">
        <is>
          <t>MAT-FIREBOARD-20MM-BLADE</t>
        </is>
      </c>
      <c r="F933" t="inlineStr">
        <is>
          <t>m2</t>
        </is>
      </c>
      <c r="G933" s="394" t="n">
        <v>0.8280342281879196</v>
      </c>
      <c r="H933" s="390">
        <f>IFERROR(INDEX('00_TONG_HOP_BAO_GIA'!$G$1:$G$5000, MATCH(B933, '00_TONG_HOP_BAO_GIA'!$B$1:$B$5000, 0)), 1)</f>
        <v/>
      </c>
      <c r="I933" s="395">
        <f>G933*H933</f>
        <v/>
      </c>
      <c r="J933" s="390">
        <f>IFERROR(INDEX('06_BANG_GIA_VAT_TU_AP_DUNG'!$E$1:$E$5000, MATCH(E933, '06_BANG_GIA_VAT_TU_AP_DUNG'!$B$1:$B$5000, 0)), 0)</f>
        <v/>
      </c>
      <c r="K933" s="390">
        <f>I933*J933</f>
        <v/>
      </c>
      <c r="L933" t="inlineStr">
        <is>
          <t>Lõi cánh tấm 20mm (Đa cánh hệ số (H-5)/149=3.66, bản rộng 210mm, hao hụt 10%)</t>
        </is>
      </c>
    </row>
    <row r="934">
      <c r="A934" t="inlineStr">
        <is>
          <t>SW-DAMPER-182-FB10-BLADE</t>
        </is>
      </c>
      <c r="B934" t="inlineStr">
        <is>
          <t>SW-DAMPER-182</t>
        </is>
      </c>
      <c r="C934" t="inlineStr">
        <is>
          <t>Tấm chống cháy dày 10mm ốp 2 mặt cánh van FD/MFD</t>
        </is>
      </c>
      <c r="D934" t="inlineStr">
        <is>
          <t>VẬT_LIỆU_CÁCH_NHIỆT</t>
        </is>
      </c>
      <c r="E934" t="inlineStr">
        <is>
          <t>MAT-FIREBOARD-10MM-BLADE</t>
        </is>
      </c>
      <c r="F934" t="inlineStr">
        <is>
          <t>m2</t>
        </is>
      </c>
      <c r="G934" s="394" t="n">
        <v>1.689865771812081</v>
      </c>
      <c r="H934" s="390">
        <f>IFERROR(INDEX('00_TONG_HOP_BAO_GIA'!$G$1:$G$5000, MATCH(B934, '00_TONG_HOP_BAO_GIA'!$B$1:$B$5000, 0)), 1)</f>
        <v/>
      </c>
      <c r="I934" s="395">
        <f>G934*H934</f>
        <v/>
      </c>
      <c r="J934" s="390">
        <f>IFERROR(INDEX('06_BANG_GIA_VAT_TU_AP_DUNG'!$E$1:$E$5000, MATCH(E934, '06_BANG_GIA_VAT_TU_AP_DUNG'!$B$1:$B$5000, 0)), 0)</f>
        <v/>
      </c>
      <c r="K934" s="390">
        <f>I934*J934</f>
        <v/>
      </c>
      <c r="L934" t="inlineStr">
        <is>
          <t>Ốp 2 mặt cánh tấm 10mm (Đa cánh hệ số (H-5)/149=3.66, bản rộng 210mm, hao hụt 10%)</t>
        </is>
      </c>
    </row>
    <row r="935">
      <c r="A935" t="inlineStr">
        <is>
          <t>SW-DAMPER-182-SPRING-BOX</t>
        </is>
      </c>
      <c r="B935" t="inlineStr">
        <is>
          <t>SW-DAMPER-182</t>
        </is>
      </c>
      <c r="C935" t="inlineStr">
        <is>
          <t>Hộp lò xo van chặn lửa FD/MFD</t>
        </is>
      </c>
      <c r="D935" t="inlineStr">
        <is>
          <t>PHỤ_KIỆN_VAN</t>
        </is>
      </c>
      <c r="E935" t="inlineStr">
        <is>
          <t>MAT-DAMPER-HOP-LO-XO</t>
        </is>
      </c>
      <c r="F935" t="inlineStr">
        <is>
          <t>Bộ</t>
        </is>
      </c>
      <c r="G935" s="394" t="n">
        <v>1</v>
      </c>
      <c r="H935" s="390">
        <f>IFERROR(INDEX('00_TONG_HOP_BAO_GIA'!$G$1:$G$5000, MATCH(B935, '00_TONG_HOP_BAO_GIA'!$B$1:$B$5000, 0)), 1)</f>
        <v/>
      </c>
      <c r="I935" s="395">
        <f>G935*H935</f>
        <v/>
      </c>
      <c r="J935" s="390">
        <f>IFERROR(INDEX('06_BANG_GIA_VAT_TU_AP_DUNG'!$E$1:$E$5000, MATCH(E935, '06_BANG_GIA_VAT_TU_AP_DUNG'!$B$1:$B$5000, 0)), 0)</f>
        <v/>
      </c>
      <c r="K935" s="390">
        <f>I935*J935</f>
        <v/>
      </c>
      <c r="L935" t="inlineStr">
        <is>
          <t>Hộp lò xo cơ cấu đóng sập (1 bộ)</t>
        </is>
      </c>
    </row>
    <row r="936">
      <c r="A936" t="inlineStr">
        <is>
          <t>SW-DAMPER-182-SILICON-BOLT</t>
        </is>
      </c>
      <c r="B936" t="inlineStr">
        <is>
          <t>SW-DAMPER-182</t>
        </is>
      </c>
      <c r="C936" t="inlineStr">
        <is>
          <t>Silicon chống cháy + bu lông, ốc vít van FD/MFD</t>
        </is>
      </c>
      <c r="D936" t="inlineStr">
        <is>
          <t>PHỤ_KIỆN_VAN</t>
        </is>
      </c>
      <c r="E936" t="inlineStr">
        <is>
          <t>MAT-DAMPER-SILICON-BULONG-VIT</t>
        </is>
      </c>
      <c r="F936" t="inlineStr">
        <is>
          <t>Bộ</t>
        </is>
      </c>
      <c r="G936" s="394" t="n">
        <v>1</v>
      </c>
      <c r="H936" s="390">
        <f>IFERROR(INDEX('00_TONG_HOP_BAO_GIA'!$G$1:$G$5000, MATCH(B936, '00_TONG_HOP_BAO_GIA'!$B$1:$B$5000, 0)), 1)</f>
        <v/>
      </c>
      <c r="I936" s="395">
        <f>G936*H936</f>
        <v/>
      </c>
      <c r="J936" s="390">
        <f>IFERROR(INDEX('06_BANG_GIA_VAT_TU_AP_DUNG'!$E$1:$E$5000, MATCH(E936, '06_BANG_GIA_VAT_TU_AP_DUNG'!$B$1:$B$5000, 0)), 0)</f>
        <v/>
      </c>
      <c r="K936" s="390">
        <f>I936*J936</f>
        <v/>
      </c>
      <c r="L936" t="inlineStr">
        <is>
          <t>Keo silicon chống cháy &amp; phụ kiện lắp ghép (1 bộ)</t>
        </is>
      </c>
    </row>
    <row r="937">
      <c r="A937" t="inlineStr">
        <is>
          <t>SW-DAMPER-183-BODY</t>
        </is>
      </c>
      <c r="B937" t="inlineStr">
        <is>
          <t>SW-DAMPER-183</t>
        </is>
      </c>
      <c r="C937" t="inlineStr">
        <is>
          <t>Thân vỏ van MFD bích C30/TDF (1.15mm)</t>
        </is>
      </c>
      <c r="D937" t="inlineStr">
        <is>
          <t>TÔN_CUỘN_MẠ_KẼM</t>
        </is>
      </c>
      <c r="E937" t="inlineStr">
        <is>
          <t>MAT-STEEL-PN-1.15</t>
        </is>
      </c>
      <c r="F937" t="inlineStr">
        <is>
          <t>kg</t>
        </is>
      </c>
      <c r="G937" s="394" t="n">
        <v>3.6853866</v>
      </c>
      <c r="H937" s="390">
        <f>IFERROR(INDEX('00_TONG_HOP_BAO_GIA'!$G$1:$G$5000, MATCH(B937, '00_TONG_HOP_BAO_GIA'!$B$1:$B$5000, 0)), 1)</f>
        <v/>
      </c>
      <c r="I937" s="395">
        <f>G937*H937</f>
        <v/>
      </c>
      <c r="J937" s="390">
        <f>IFERROR(INDEX('06_BANG_GIA_VAT_TU_AP_DUNG'!$E$1:$E$5000, MATCH(E937, '06_BANG_GIA_VAT_TU_AP_DUNG'!$B$1:$B$5000, 0)), 0)</f>
        <v/>
      </c>
      <c r="K937" s="390">
        <f>I937*J937</f>
        <v/>
      </c>
      <c r="L937" t="inlineStr">
        <is>
          <t>Kích thước vỏ 500x200x200mm</t>
        </is>
      </c>
    </row>
    <row r="938">
      <c r="A938" t="inlineStr">
        <is>
          <t>SW-DAMPER-183-BLADE</t>
        </is>
      </c>
      <c r="B938" t="inlineStr">
        <is>
          <t>SW-DAMPER-183</t>
        </is>
      </c>
      <c r="C938" t="inlineStr">
        <is>
          <t>Lá cánh / Tôn tấm bọc van (1 cánh)</t>
        </is>
      </c>
      <c r="D938" t="inlineStr">
        <is>
          <t>TÔN_CUỘN_MẠ_KẼM</t>
        </is>
      </c>
      <c r="E938" t="inlineStr">
        <is>
          <t>MAT-STEEL-PN-1.15</t>
        </is>
      </c>
      <c r="F938" t="inlineStr">
        <is>
          <t>kg</t>
        </is>
      </c>
      <c r="G938" s="394" t="n">
        <v>1.8055</v>
      </c>
      <c r="H938" s="390">
        <f>IFERROR(INDEX('00_TONG_HOP_BAO_GIA'!$G$1:$G$5000, MATCH(B938, '00_TONG_HOP_BAO_GIA'!$B$1:$B$5000, 0)), 1)</f>
        <v/>
      </c>
      <c r="I938" s="395">
        <f>G938*H938</f>
        <v/>
      </c>
      <c r="J938" s="390">
        <f>IFERROR(INDEX('06_BANG_GIA_VAT_TU_AP_DUNG'!$E$1:$E$5000, MATCH(E938, '06_BANG_GIA_VAT_TU_AP_DUNG'!$B$1:$B$5000, 0)), 0)</f>
        <v/>
      </c>
      <c r="K938" s="390">
        <f>I938*J938</f>
        <v/>
      </c>
      <c r="L938" t="inlineStr">
        <is>
          <t>Tôn bọc cánh &amp; thân (1 cánh/modul)</t>
        </is>
      </c>
    </row>
    <row r="939">
      <c r="A939" t="inlineStr">
        <is>
          <t>SW-DAMPER-183-AXLE</t>
        </is>
      </c>
      <c r="B939" t="inlineStr">
        <is>
          <t>SW-DAMPER-183</t>
        </is>
      </c>
      <c r="C939" t="inlineStr">
        <is>
          <t>Trục Sus 201 D10</t>
        </is>
      </c>
      <c r="D939" t="inlineStr">
        <is>
          <t>PHỤ_KIỆN_VAN</t>
        </is>
      </c>
      <c r="E939" t="inlineStr">
        <is>
          <t>MAT-DAMPER-TRUC-SUS-201-D10</t>
        </is>
      </c>
      <c r="F939" t="inlineStr">
        <is>
          <t>m</t>
        </is>
      </c>
      <c r="G939" s="394" t="n">
        <v>0.5600000000000001</v>
      </c>
      <c r="H939" s="390">
        <f>IFERROR(INDEX('00_TONG_HOP_BAO_GIA'!$G$1:$G$5000, MATCH(B939, '00_TONG_HOP_BAO_GIA'!$B$1:$B$5000, 0)), 1)</f>
        <v/>
      </c>
      <c r="I939" s="395">
        <f>G939*H939</f>
        <v/>
      </c>
      <c r="J939" s="390">
        <f>IFERROR(INDEX('06_BANG_GIA_VAT_TU_AP_DUNG'!$E$1:$E$5000, MATCH(E939, '06_BANG_GIA_VAT_TU_AP_DUNG'!$B$1:$B$5000, 0)), 0)</f>
        <v/>
      </c>
      <c r="K939" s="390">
        <f>I939*J939</f>
        <v/>
      </c>
      <c r="L939" t="inlineStr">
        <is>
          <t>1 trục dài 560mm</t>
        </is>
      </c>
    </row>
    <row r="940">
      <c r="A940" t="inlineStr">
        <is>
          <t>SW-DAMPER-183-BEARING</t>
        </is>
      </c>
      <c r="B940" t="inlineStr">
        <is>
          <t>SW-DAMPER-183</t>
        </is>
      </c>
      <c r="C940" t="inlineStr">
        <is>
          <t>Bạc đồng D10</t>
        </is>
      </c>
      <c r="D940" t="inlineStr">
        <is>
          <t>PHỤ_KIỆN_VAN</t>
        </is>
      </c>
      <c r="E940" t="inlineStr">
        <is>
          <t>MAT-DAMPER-BAC-DONG-D10</t>
        </is>
      </c>
      <c r="F940" t="inlineStr">
        <is>
          <t>Đôi</t>
        </is>
      </c>
      <c r="G940" s="394" t="n">
        <v>1</v>
      </c>
      <c r="H940" s="390">
        <f>IFERROR(INDEX('00_TONG_HOP_BAO_GIA'!$G$1:$G$5000, MATCH(B940, '00_TONG_HOP_BAO_GIA'!$B$1:$B$5000, 0)), 1)</f>
        <v/>
      </c>
      <c r="I940" s="395">
        <f>G940*H940</f>
        <v/>
      </c>
      <c r="J940" s="390">
        <f>IFERROR(INDEX('06_BANG_GIA_VAT_TU_AP_DUNG'!$E$1:$E$5000, MATCH(E940, '06_BANG_GIA_VAT_TU_AP_DUNG'!$B$1:$B$5000, 0)), 0)</f>
        <v/>
      </c>
      <c r="K940" s="390">
        <f>I940*J940</f>
        <v/>
      </c>
      <c r="L940" t="inlineStr">
        <is>
          <t>1 đôi bạc đỡ 2 bên thân</t>
        </is>
      </c>
    </row>
    <row r="941">
      <c r="A941" t="inlineStr">
        <is>
          <t>SW-DAMPER-183-ACTUATOR</t>
        </is>
      </c>
      <c r="B941" t="inlineStr">
        <is>
          <t>SW-DAMPER-183</t>
        </is>
      </c>
      <c r="C941" t="inlineStr">
        <is>
          <t>Động cơ chặn lửa ON/OFF 3.5Nm, 230V/24V (BELIMO FSLF24 / FSLF230)</t>
        </is>
      </c>
      <c r="D941" t="inlineStr">
        <is>
          <t>ĐỘNG_CƠ_VÀ_CẢM_BIẾN</t>
        </is>
      </c>
      <c r="E941" t="inlineStr">
        <is>
          <t>MAT-ACTUATOR-BELIMO-FSLF24</t>
        </is>
      </c>
      <c r="F941" t="inlineStr">
        <is>
          <t>Cái</t>
        </is>
      </c>
      <c r="G941" s="394" t="n">
        <v>1</v>
      </c>
      <c r="H941" s="390">
        <f>IFERROR(INDEX('00_TONG_HOP_BAO_GIA'!$G$1:$G$5000, MATCH(B941, '00_TONG_HOP_BAO_GIA'!$B$1:$B$5000, 0)), 1)</f>
        <v/>
      </c>
      <c r="I941" s="395">
        <f>G941*H941</f>
        <v/>
      </c>
      <c r="J941" s="390">
        <f>IFERROR(INDEX('06_BANG_GIA_VAT_TU_AP_DUNG'!$E$1:$E$5000, MATCH(E941, '06_BANG_GIA_VAT_TU_AP_DUNG'!$B$1:$B$5000, 0)), 0)</f>
        <v/>
      </c>
      <c r="K941" s="390">
        <f>I941*J941</f>
        <v/>
      </c>
      <c r="L941" t="inlineStr">
        <is>
          <t>Động cơ lò xo phản hồi MFD (1 bộ)</t>
        </is>
      </c>
    </row>
    <row r="942">
      <c r="A942" t="inlineStr">
        <is>
          <t>SW-DAMPER-183-FB10-BODY</t>
        </is>
      </c>
      <c r="B942" t="inlineStr">
        <is>
          <t>SW-DAMPER-183</t>
        </is>
      </c>
      <c r="C942" t="inlineStr">
        <is>
          <t>Tấm chống cháy dày 10mm bọc thân van FD/MFD (2 lớp)</t>
        </is>
      </c>
      <c r="D942" t="inlineStr">
        <is>
          <t>VẬT_LIỆU_CÁCH_NHIỆT</t>
        </is>
      </c>
      <c r="E942" t="inlineStr">
        <is>
          <t>MAT-FIREBOARD-10MM-BODY</t>
        </is>
      </c>
      <c r="F942" t="inlineStr">
        <is>
          <t>m2</t>
        </is>
      </c>
      <c r="G942" s="394" t="n">
        <v>0.84</v>
      </c>
      <c r="H942" s="390">
        <f>IFERROR(INDEX('00_TONG_HOP_BAO_GIA'!$G$1:$G$5000, MATCH(B942, '00_TONG_HOP_BAO_GIA'!$B$1:$B$5000, 0)), 1)</f>
        <v/>
      </c>
      <c r="I942" s="395">
        <f>G942*H942</f>
        <v/>
      </c>
      <c r="J942" s="390">
        <f>IFERROR(INDEX('06_BANG_GIA_VAT_TU_AP_DUNG'!$E$1:$E$5000, MATCH(E942, '06_BANG_GIA_VAT_TU_AP_DUNG'!$B$1:$B$5000, 0)), 0)</f>
        <v/>
      </c>
      <c r="K942" s="390">
        <f>I942*J942</f>
        <v/>
      </c>
      <c r="L942" t="inlineStr">
        <is>
          <t>Bọc 2 lớp tấm 10mm quanh thân L=300mm</t>
        </is>
      </c>
    </row>
    <row r="943">
      <c r="A943" t="inlineStr">
        <is>
          <t>SW-DAMPER-183-FB20-BLADE</t>
        </is>
      </c>
      <c r="B943" t="inlineStr">
        <is>
          <t>SW-DAMPER-183</t>
        </is>
      </c>
      <c r="C943" t="inlineStr">
        <is>
          <t>Tấm chống cháy dày 20mm làm lõi cánh van FD/MFD</t>
        </is>
      </c>
      <c r="D943" t="inlineStr">
        <is>
          <t>VẬT_LIỆU_CÁCH_NHIỆT</t>
        </is>
      </c>
      <c r="E943" t="inlineStr">
        <is>
          <t>MAT-FIREBOARD-20MM-BLADE</t>
        </is>
      </c>
      <c r="F943" t="inlineStr">
        <is>
          <t>m2</t>
        </is>
      </c>
      <c r="G943" s="394" t="n">
        <v>0.1</v>
      </c>
      <c r="H943" s="390">
        <f>IFERROR(INDEX('00_TONG_HOP_BAO_GIA'!$G$1:$G$5000, MATCH(B943, '00_TONG_HOP_BAO_GIA'!$B$1:$B$5000, 0)), 1)</f>
        <v/>
      </c>
      <c r="I943" s="395">
        <f>G943*H943</f>
        <v/>
      </c>
      <c r="J943" s="390">
        <f>IFERROR(INDEX('06_BANG_GIA_VAT_TU_AP_DUNG'!$E$1:$E$5000, MATCH(E943, '06_BANG_GIA_VAT_TU_AP_DUNG'!$B$1:$B$5000, 0)), 0)</f>
        <v/>
      </c>
      <c r="K943" s="390">
        <f>I943*J943</f>
        <v/>
      </c>
      <c r="L943" t="inlineStr">
        <is>
          <t>Lõi cánh tấm 20mm (Cánh đơn 500x200mm)</t>
        </is>
      </c>
    </row>
    <row r="944">
      <c r="A944" t="inlineStr">
        <is>
          <t>SW-DAMPER-183-FB10-BLADE</t>
        </is>
      </c>
      <c r="B944" t="inlineStr">
        <is>
          <t>SW-DAMPER-183</t>
        </is>
      </c>
      <c r="C944" t="inlineStr">
        <is>
          <t>Tấm chống cháy dày 10mm ốp 2 mặt cánh van FD/MFD</t>
        </is>
      </c>
      <c r="D944" t="inlineStr">
        <is>
          <t>VẬT_LIỆU_CÁCH_NHIỆT</t>
        </is>
      </c>
      <c r="E944" t="inlineStr">
        <is>
          <t>MAT-FIREBOARD-10MM-BLADE</t>
        </is>
      </c>
      <c r="F944" t="inlineStr">
        <is>
          <t>m2</t>
        </is>
      </c>
      <c r="G944" s="394" t="n">
        <v>0.2</v>
      </c>
      <c r="H944" s="390">
        <f>IFERROR(INDEX('00_TONG_HOP_BAO_GIA'!$G$1:$G$5000, MATCH(B944, '00_TONG_HOP_BAO_GIA'!$B$1:$B$5000, 0)), 1)</f>
        <v/>
      </c>
      <c r="I944" s="395">
        <f>G944*H944</f>
        <v/>
      </c>
      <c r="J944" s="390">
        <f>IFERROR(INDEX('06_BANG_GIA_VAT_TU_AP_DUNG'!$E$1:$E$5000, MATCH(E944, '06_BANG_GIA_VAT_TU_AP_DUNG'!$B$1:$B$5000, 0)), 0)</f>
        <v/>
      </c>
      <c r="K944" s="390">
        <f>I944*J944</f>
        <v/>
      </c>
      <c r="L944" t="inlineStr">
        <is>
          <t>Ốp 2 mặt cánh tấm 10mm (Cánh đơn 500x200mm)</t>
        </is>
      </c>
    </row>
    <row r="945">
      <c r="A945" t="inlineStr">
        <is>
          <t>SW-DAMPER-183-SPRING-BOX</t>
        </is>
      </c>
      <c r="B945" t="inlineStr">
        <is>
          <t>SW-DAMPER-183</t>
        </is>
      </c>
      <c r="C945" t="inlineStr">
        <is>
          <t>Hộp lò xo van chặn lửa FD/MFD</t>
        </is>
      </c>
      <c r="D945" t="inlineStr">
        <is>
          <t>PHỤ_KIỆN_VAN</t>
        </is>
      </c>
      <c r="E945" t="inlineStr">
        <is>
          <t>MAT-DAMPER-HOP-LO-XO</t>
        </is>
      </c>
      <c r="F945" t="inlineStr">
        <is>
          <t>Bộ</t>
        </is>
      </c>
      <c r="G945" s="394" t="n">
        <v>1</v>
      </c>
      <c r="H945" s="390">
        <f>IFERROR(INDEX('00_TONG_HOP_BAO_GIA'!$G$1:$G$5000, MATCH(B945, '00_TONG_HOP_BAO_GIA'!$B$1:$B$5000, 0)), 1)</f>
        <v/>
      </c>
      <c r="I945" s="395">
        <f>G945*H945</f>
        <v/>
      </c>
      <c r="J945" s="390">
        <f>IFERROR(INDEX('06_BANG_GIA_VAT_TU_AP_DUNG'!$E$1:$E$5000, MATCH(E945, '06_BANG_GIA_VAT_TU_AP_DUNG'!$B$1:$B$5000, 0)), 0)</f>
        <v/>
      </c>
      <c r="K945" s="390">
        <f>I945*J945</f>
        <v/>
      </c>
      <c r="L945" t="inlineStr">
        <is>
          <t>Hộp lò xo cơ cấu đóng sập (1 bộ)</t>
        </is>
      </c>
    </row>
    <row r="946">
      <c r="A946" t="inlineStr">
        <is>
          <t>SW-DAMPER-183-SILICON-BOLT</t>
        </is>
      </c>
      <c r="B946" t="inlineStr">
        <is>
          <t>SW-DAMPER-183</t>
        </is>
      </c>
      <c r="C946" t="inlineStr">
        <is>
          <t>Silicon chống cháy + bu lông, ốc vít van FD/MFD</t>
        </is>
      </c>
      <c r="D946" t="inlineStr">
        <is>
          <t>PHỤ_KIỆN_VAN</t>
        </is>
      </c>
      <c r="E946" t="inlineStr">
        <is>
          <t>MAT-DAMPER-SILICON-BULONG-VIT</t>
        </is>
      </c>
      <c r="F946" t="inlineStr">
        <is>
          <t>Bộ</t>
        </is>
      </c>
      <c r="G946" s="394" t="n">
        <v>1</v>
      </c>
      <c r="H946" s="390">
        <f>IFERROR(INDEX('00_TONG_HOP_BAO_GIA'!$G$1:$G$5000, MATCH(B946, '00_TONG_HOP_BAO_GIA'!$B$1:$B$5000, 0)), 1)</f>
        <v/>
      </c>
      <c r="I946" s="395">
        <f>G946*H946</f>
        <v/>
      </c>
      <c r="J946" s="390">
        <f>IFERROR(INDEX('06_BANG_GIA_VAT_TU_AP_DUNG'!$E$1:$E$5000, MATCH(E946, '06_BANG_GIA_VAT_TU_AP_DUNG'!$B$1:$B$5000, 0)), 0)</f>
        <v/>
      </c>
      <c r="K946" s="390">
        <f>I946*J946</f>
        <v/>
      </c>
      <c r="L946" t="inlineStr">
        <is>
          <t>Keo silicon chống cháy &amp; phụ kiện lắp ghép (1 bộ)</t>
        </is>
      </c>
    </row>
    <row r="947">
      <c r="A947" t="inlineStr">
        <is>
          <t>SW-DAMPER-184-BODY</t>
        </is>
      </c>
      <c r="B947" t="inlineStr">
        <is>
          <t>SW-DAMPER-184</t>
        </is>
      </c>
      <c r="C947" t="inlineStr">
        <is>
          <t>Thân vỏ van MFD bích C30/TDF (1.15mm)</t>
        </is>
      </c>
      <c r="D947" t="inlineStr">
        <is>
          <t>TÔN_CUỘN_MẠ_KẼM</t>
        </is>
      </c>
      <c r="E947" t="inlineStr">
        <is>
          <t>MAT-STEEL-PN-1.15</t>
        </is>
      </c>
      <c r="F947" t="inlineStr">
        <is>
          <t>kg</t>
        </is>
      </c>
      <c r="G947" s="394" t="n">
        <v>5.732823600000001</v>
      </c>
      <c r="H947" s="390">
        <f>IFERROR(INDEX('00_TONG_HOP_BAO_GIA'!$G$1:$G$5000, MATCH(B947, '00_TONG_HOP_BAO_GIA'!$B$1:$B$5000, 0)), 1)</f>
        <v/>
      </c>
      <c r="I947" s="395">
        <f>G947*H947</f>
        <v/>
      </c>
      <c r="J947" s="390">
        <f>IFERROR(INDEX('06_BANG_GIA_VAT_TU_AP_DUNG'!$E$1:$E$5000, MATCH(E947, '06_BANG_GIA_VAT_TU_AP_DUNG'!$B$1:$B$5000, 0)), 0)</f>
        <v/>
      </c>
      <c r="K947" s="390">
        <f>I947*J947</f>
        <v/>
      </c>
      <c r="L947" t="inlineStr">
        <is>
          <t>Kích thước vỏ 800x300x200mm</t>
        </is>
      </c>
    </row>
    <row r="948">
      <c r="A948" t="inlineStr">
        <is>
          <t>SW-DAMPER-184-BLADE</t>
        </is>
      </c>
      <c r="B948" t="inlineStr">
        <is>
          <t>SW-DAMPER-184</t>
        </is>
      </c>
      <c r="C948" t="inlineStr">
        <is>
          <t>Lá cánh / Tôn tấm bọc van (2 cánh)</t>
        </is>
      </c>
      <c r="D948" t="inlineStr">
        <is>
          <t>TÔN_CUỘN_MẠ_KẼM</t>
        </is>
      </c>
      <c r="E948" t="inlineStr">
        <is>
          <t>MAT-STEEL-PN-1.15</t>
        </is>
      </c>
      <c r="F948" t="inlineStr">
        <is>
          <t>kg</t>
        </is>
      </c>
      <c r="G948" s="394" t="n">
        <v>4.333199999999999</v>
      </c>
      <c r="H948" s="390">
        <f>IFERROR(INDEX('00_TONG_HOP_BAO_GIA'!$G$1:$G$5000, MATCH(B948, '00_TONG_HOP_BAO_GIA'!$B$1:$B$5000, 0)), 1)</f>
        <v/>
      </c>
      <c r="I948" s="395">
        <f>G948*H948</f>
        <v/>
      </c>
      <c r="J948" s="390">
        <f>IFERROR(INDEX('06_BANG_GIA_VAT_TU_AP_DUNG'!$E$1:$E$5000, MATCH(E948, '06_BANG_GIA_VAT_TU_AP_DUNG'!$B$1:$B$5000, 0)), 0)</f>
        <v/>
      </c>
      <c r="K948" s="390">
        <f>I948*J948</f>
        <v/>
      </c>
      <c r="L948" t="inlineStr">
        <is>
          <t>Tôn bọc cánh &amp; thân (2 cánh/modul)</t>
        </is>
      </c>
    </row>
    <row r="949">
      <c r="A949" t="inlineStr">
        <is>
          <t>SW-DAMPER-184-AXLE</t>
        </is>
      </c>
      <c r="B949" t="inlineStr">
        <is>
          <t>SW-DAMPER-184</t>
        </is>
      </c>
      <c r="C949" t="inlineStr">
        <is>
          <t>Trục Sus 201 D10</t>
        </is>
      </c>
      <c r="D949" t="inlineStr">
        <is>
          <t>PHỤ_KIỆN_VAN</t>
        </is>
      </c>
      <c r="E949" t="inlineStr">
        <is>
          <t>MAT-DAMPER-TRUC-SUS-201-D10</t>
        </is>
      </c>
      <c r="F949" t="inlineStr">
        <is>
          <t>m</t>
        </is>
      </c>
      <c r="G949" s="394" t="n">
        <v>1.72</v>
      </c>
      <c r="H949" s="390">
        <f>IFERROR(INDEX('00_TONG_HOP_BAO_GIA'!$G$1:$G$5000, MATCH(B949, '00_TONG_HOP_BAO_GIA'!$B$1:$B$5000, 0)), 1)</f>
        <v/>
      </c>
      <c r="I949" s="395">
        <f>G949*H949</f>
        <v/>
      </c>
      <c r="J949" s="390">
        <f>IFERROR(INDEX('06_BANG_GIA_VAT_TU_AP_DUNG'!$E$1:$E$5000, MATCH(E949, '06_BANG_GIA_VAT_TU_AP_DUNG'!$B$1:$B$5000, 0)), 0)</f>
        <v/>
      </c>
      <c r="K949" s="390">
        <f>I949*J949</f>
        <v/>
      </c>
      <c r="L949" t="inlineStr">
        <is>
          <t>2 trục dài 860mm</t>
        </is>
      </c>
    </row>
    <row r="950">
      <c r="A950" t="inlineStr">
        <is>
          <t>SW-DAMPER-184-BEARING</t>
        </is>
      </c>
      <c r="B950" t="inlineStr">
        <is>
          <t>SW-DAMPER-184</t>
        </is>
      </c>
      <c r="C950" t="inlineStr">
        <is>
          <t>Bạc đồng D10</t>
        </is>
      </c>
      <c r="D950" t="inlineStr">
        <is>
          <t>PHỤ_KIỆN_VAN</t>
        </is>
      </c>
      <c r="E950" t="inlineStr">
        <is>
          <t>MAT-DAMPER-BAC-DONG-D10</t>
        </is>
      </c>
      <c r="F950" t="inlineStr">
        <is>
          <t>Đôi</t>
        </is>
      </c>
      <c r="G950" s="394" t="n">
        <v>2</v>
      </c>
      <c r="H950" s="390">
        <f>IFERROR(INDEX('00_TONG_HOP_BAO_GIA'!$G$1:$G$5000, MATCH(B950, '00_TONG_HOP_BAO_GIA'!$B$1:$B$5000, 0)), 1)</f>
        <v/>
      </c>
      <c r="I950" s="395">
        <f>G950*H950</f>
        <v/>
      </c>
      <c r="J950" s="390">
        <f>IFERROR(INDEX('06_BANG_GIA_VAT_TU_AP_DUNG'!$E$1:$E$5000, MATCH(E950, '06_BANG_GIA_VAT_TU_AP_DUNG'!$B$1:$B$5000, 0)), 0)</f>
        <v/>
      </c>
      <c r="K950" s="390">
        <f>I950*J950</f>
        <v/>
      </c>
      <c r="L950" t="inlineStr">
        <is>
          <t>2 đôi bạc đỡ 2 bên thân</t>
        </is>
      </c>
    </row>
    <row r="951">
      <c r="A951" t="inlineStr">
        <is>
          <t>SW-DAMPER-184-GEAR</t>
        </is>
      </c>
      <c r="B951" t="inlineStr">
        <is>
          <t>SW-DAMPER-184</t>
        </is>
      </c>
      <c r="C951" t="inlineStr">
        <is>
          <t>Bánh răng van nhôm</t>
        </is>
      </c>
      <c r="D951" t="inlineStr">
        <is>
          <t>PHỤ_KIỆN_VAN</t>
        </is>
      </c>
      <c r="E951" t="inlineStr">
        <is>
          <t>MAT-DAMPER-BANH-RANG-VAN-NHOM</t>
        </is>
      </c>
      <c r="F951" t="inlineStr">
        <is>
          <t>Bộ</t>
        </is>
      </c>
      <c r="G951" s="394" t="n">
        <v>1</v>
      </c>
      <c r="H951" s="390">
        <f>IFERROR(INDEX('00_TONG_HOP_BAO_GIA'!$G$1:$G$5000, MATCH(B951, '00_TONG_HOP_BAO_GIA'!$B$1:$B$5000, 0)), 1)</f>
        <v/>
      </c>
      <c r="I951" s="395">
        <f>G951*H951</f>
        <v/>
      </c>
      <c r="J951" s="390">
        <f>IFERROR(INDEX('06_BANG_GIA_VAT_TU_AP_DUNG'!$E$1:$E$5000, MATCH(E951, '06_BANG_GIA_VAT_TU_AP_DUNG'!$B$1:$B$5000, 0)), 0)</f>
        <v/>
      </c>
      <c r="K951" s="390">
        <f>I951*J951</f>
        <v/>
      </c>
      <c r="L951" t="inlineStr">
        <is>
          <t>Cơ cấu liên động cánh (1 bộ)</t>
        </is>
      </c>
    </row>
    <row r="952">
      <c r="A952" t="inlineStr">
        <is>
          <t>SW-DAMPER-184-ACTUATOR</t>
        </is>
      </c>
      <c r="B952" t="inlineStr">
        <is>
          <t>SW-DAMPER-184</t>
        </is>
      </c>
      <c r="C952" t="inlineStr">
        <is>
          <t>Động cơ chặn lửa ON/OFF 9Nm, 230V/24V (BELIMO BFN24 / BFN230)</t>
        </is>
      </c>
      <c r="D952" t="inlineStr">
        <is>
          <t>ĐỘNG_CƠ_VÀ_CẢM_BIẾN</t>
        </is>
      </c>
      <c r="E952" t="inlineStr">
        <is>
          <t>MAT-ACTUATOR-BELIMO-BFN24</t>
        </is>
      </c>
      <c r="F952" t="inlineStr">
        <is>
          <t>Cái</t>
        </is>
      </c>
      <c r="G952" s="394" t="n">
        <v>1</v>
      </c>
      <c r="H952" s="390">
        <f>IFERROR(INDEX('00_TONG_HOP_BAO_GIA'!$G$1:$G$5000, MATCH(B952, '00_TONG_HOP_BAO_GIA'!$B$1:$B$5000, 0)), 1)</f>
        <v/>
      </c>
      <c r="I952" s="395">
        <f>G952*H952</f>
        <v/>
      </c>
      <c r="J952" s="390">
        <f>IFERROR(INDEX('06_BANG_GIA_VAT_TU_AP_DUNG'!$E$1:$E$5000, MATCH(E952, '06_BANG_GIA_VAT_TU_AP_DUNG'!$B$1:$B$5000, 0)), 0)</f>
        <v/>
      </c>
      <c r="K952" s="390">
        <f>I952*J952</f>
        <v/>
      </c>
      <c r="L952" t="inlineStr">
        <is>
          <t>Động cơ lò xo phản hồi MFD (1 bộ)</t>
        </is>
      </c>
    </row>
    <row r="953">
      <c r="A953" t="inlineStr">
        <is>
          <t>SW-DAMPER-184-FB10-BODY</t>
        </is>
      </c>
      <c r="B953" t="inlineStr">
        <is>
          <t>SW-DAMPER-184</t>
        </is>
      </c>
      <c r="C953" t="inlineStr">
        <is>
          <t>Tấm chống cháy dày 10mm bọc thân van FD/MFD (2 lớp)</t>
        </is>
      </c>
      <c r="D953" t="inlineStr">
        <is>
          <t>VẬT_LIỆU_CÁCH_NHIỆT</t>
        </is>
      </c>
      <c r="E953" t="inlineStr">
        <is>
          <t>MAT-FIREBOARD-10MM-BODY</t>
        </is>
      </c>
      <c r="F953" t="inlineStr">
        <is>
          <t>m2</t>
        </is>
      </c>
      <c r="G953" s="394" t="n">
        <v>1.32</v>
      </c>
      <c r="H953" s="390">
        <f>IFERROR(INDEX('00_TONG_HOP_BAO_GIA'!$G$1:$G$5000, MATCH(B953, '00_TONG_HOP_BAO_GIA'!$B$1:$B$5000, 0)), 1)</f>
        <v/>
      </c>
      <c r="I953" s="395">
        <f>G953*H953</f>
        <v/>
      </c>
      <c r="J953" s="390">
        <f>IFERROR(INDEX('06_BANG_GIA_VAT_TU_AP_DUNG'!$E$1:$E$5000, MATCH(E953, '06_BANG_GIA_VAT_TU_AP_DUNG'!$B$1:$B$5000, 0)), 0)</f>
        <v/>
      </c>
      <c r="K953" s="390">
        <f>I953*J953</f>
        <v/>
      </c>
      <c r="L953" t="inlineStr">
        <is>
          <t>Bọc 2 lớp tấm 10mm quanh thân L=300mm</t>
        </is>
      </c>
    </row>
    <row r="954">
      <c r="A954" t="inlineStr">
        <is>
          <t>SW-DAMPER-184-FB20-BLADE</t>
        </is>
      </c>
      <c r="B954" t="inlineStr">
        <is>
          <t>SW-DAMPER-184</t>
        </is>
      </c>
      <c r="C954" t="inlineStr">
        <is>
          <t>Tấm chống cháy dày 20mm làm lõi cánh van FD/MFD</t>
        </is>
      </c>
      <c r="D954" t="inlineStr">
        <is>
          <t>VẬT_LIỆU_CÁCH_NHIỆT</t>
        </is>
      </c>
      <c r="E954" t="inlineStr">
        <is>
          <t>MAT-FIREBOARD-20MM-BLADE</t>
        </is>
      </c>
      <c r="F954" t="inlineStr">
        <is>
          <t>m2</t>
        </is>
      </c>
      <c r="G954" s="394" t="n">
        <v>0.3567322147651007</v>
      </c>
      <c r="H954" s="390">
        <f>IFERROR(INDEX('00_TONG_HOP_BAO_GIA'!$G$1:$G$5000, MATCH(B954, '00_TONG_HOP_BAO_GIA'!$B$1:$B$5000, 0)), 1)</f>
        <v/>
      </c>
      <c r="I954" s="395">
        <f>G954*H954</f>
        <v/>
      </c>
      <c r="J954" s="390">
        <f>IFERROR(INDEX('06_BANG_GIA_VAT_TU_AP_DUNG'!$E$1:$E$5000, MATCH(E954, '06_BANG_GIA_VAT_TU_AP_DUNG'!$B$1:$B$5000, 0)), 0)</f>
        <v/>
      </c>
      <c r="K954" s="390">
        <f>I954*J954</f>
        <v/>
      </c>
      <c r="L954" t="inlineStr">
        <is>
          <t>Lõi cánh tấm 20mm (Đa cánh hệ số (H-5)/149=1.98, bản rộng 210mm, hao hụt 10%)</t>
        </is>
      </c>
    </row>
    <row r="955">
      <c r="A955" t="inlineStr">
        <is>
          <t>SW-DAMPER-184-FB10-BLADE</t>
        </is>
      </c>
      <c r="B955" t="inlineStr">
        <is>
          <t>SW-DAMPER-184</t>
        </is>
      </c>
      <c r="C955" t="inlineStr">
        <is>
          <t>Tấm chống cháy dày 10mm ốp 2 mặt cánh van FD/MFD</t>
        </is>
      </c>
      <c r="D955" t="inlineStr">
        <is>
          <t>VẬT_LIỆU_CÁCH_NHIỆT</t>
        </is>
      </c>
      <c r="E955" t="inlineStr">
        <is>
          <t>MAT-FIREBOARD-10MM-BLADE</t>
        </is>
      </c>
      <c r="F955" t="inlineStr">
        <is>
          <t>m2</t>
        </is>
      </c>
      <c r="G955" s="394" t="n">
        <v>0.731758389261745</v>
      </c>
      <c r="H955" s="390">
        <f>IFERROR(INDEX('00_TONG_HOP_BAO_GIA'!$G$1:$G$5000, MATCH(B955, '00_TONG_HOP_BAO_GIA'!$B$1:$B$5000, 0)), 1)</f>
        <v/>
      </c>
      <c r="I955" s="395">
        <f>G955*H955</f>
        <v/>
      </c>
      <c r="J955" s="390">
        <f>IFERROR(INDEX('06_BANG_GIA_VAT_TU_AP_DUNG'!$E$1:$E$5000, MATCH(E955, '06_BANG_GIA_VAT_TU_AP_DUNG'!$B$1:$B$5000, 0)), 0)</f>
        <v/>
      </c>
      <c r="K955" s="390">
        <f>I955*J955</f>
        <v/>
      </c>
      <c r="L955" t="inlineStr">
        <is>
          <t>Ốp 2 mặt cánh tấm 10mm (Đa cánh hệ số (H-5)/149=1.98, bản rộng 210mm, hao hụt 10%)</t>
        </is>
      </c>
    </row>
    <row r="956">
      <c r="A956" t="inlineStr">
        <is>
          <t>SW-DAMPER-184-SPRING-BOX</t>
        </is>
      </c>
      <c r="B956" t="inlineStr">
        <is>
          <t>SW-DAMPER-184</t>
        </is>
      </c>
      <c r="C956" t="inlineStr">
        <is>
          <t>Hộp lò xo van chặn lửa FD/MFD</t>
        </is>
      </c>
      <c r="D956" t="inlineStr">
        <is>
          <t>PHỤ_KIỆN_VAN</t>
        </is>
      </c>
      <c r="E956" t="inlineStr">
        <is>
          <t>MAT-DAMPER-HOP-LO-XO</t>
        </is>
      </c>
      <c r="F956" t="inlineStr">
        <is>
          <t>Bộ</t>
        </is>
      </c>
      <c r="G956" s="394" t="n">
        <v>1</v>
      </c>
      <c r="H956" s="390">
        <f>IFERROR(INDEX('00_TONG_HOP_BAO_GIA'!$G$1:$G$5000, MATCH(B956, '00_TONG_HOP_BAO_GIA'!$B$1:$B$5000, 0)), 1)</f>
        <v/>
      </c>
      <c r="I956" s="395">
        <f>G956*H956</f>
        <v/>
      </c>
      <c r="J956" s="390">
        <f>IFERROR(INDEX('06_BANG_GIA_VAT_TU_AP_DUNG'!$E$1:$E$5000, MATCH(E956, '06_BANG_GIA_VAT_TU_AP_DUNG'!$B$1:$B$5000, 0)), 0)</f>
        <v/>
      </c>
      <c r="K956" s="390">
        <f>I956*J956</f>
        <v/>
      </c>
      <c r="L956" t="inlineStr">
        <is>
          <t>Hộp lò xo cơ cấu đóng sập (1 bộ)</t>
        </is>
      </c>
    </row>
    <row r="957">
      <c r="A957" t="inlineStr">
        <is>
          <t>SW-DAMPER-184-SILICON-BOLT</t>
        </is>
      </c>
      <c r="B957" t="inlineStr">
        <is>
          <t>SW-DAMPER-184</t>
        </is>
      </c>
      <c r="C957" t="inlineStr">
        <is>
          <t>Silicon chống cháy + bu lông, ốc vít van FD/MFD</t>
        </is>
      </c>
      <c r="D957" t="inlineStr">
        <is>
          <t>PHỤ_KIỆN_VAN</t>
        </is>
      </c>
      <c r="E957" t="inlineStr">
        <is>
          <t>MAT-DAMPER-SILICON-BULONG-VIT</t>
        </is>
      </c>
      <c r="F957" t="inlineStr">
        <is>
          <t>Bộ</t>
        </is>
      </c>
      <c r="G957" s="394" t="n">
        <v>1</v>
      </c>
      <c r="H957" s="390">
        <f>IFERROR(INDEX('00_TONG_HOP_BAO_GIA'!$G$1:$G$5000, MATCH(B957, '00_TONG_HOP_BAO_GIA'!$B$1:$B$5000, 0)), 1)</f>
        <v/>
      </c>
      <c r="I957" s="395">
        <f>G957*H957</f>
        <v/>
      </c>
      <c r="J957" s="390">
        <f>IFERROR(INDEX('06_BANG_GIA_VAT_TU_AP_DUNG'!$E$1:$E$5000, MATCH(E957, '06_BANG_GIA_VAT_TU_AP_DUNG'!$B$1:$B$5000, 0)), 0)</f>
        <v/>
      </c>
      <c r="K957" s="390">
        <f>I957*J957</f>
        <v/>
      </c>
      <c r="L957" t="inlineStr">
        <is>
          <t>Keo silicon chống cháy &amp; phụ kiện lắp ghép (1 bộ)</t>
        </is>
      </c>
    </row>
    <row r="958">
      <c r="A958" t="inlineStr">
        <is>
          <t>SW-DAMPER-185-BODY</t>
        </is>
      </c>
      <c r="B958" t="inlineStr">
        <is>
          <t>SW-DAMPER-185</t>
        </is>
      </c>
      <c r="C958" t="inlineStr">
        <is>
          <t>Thân vỏ van MFD bích C30/TDF (1.15mm)</t>
        </is>
      </c>
      <c r="D958" t="inlineStr">
        <is>
          <t>TÔN_CUỘN_MẠ_KẼM</t>
        </is>
      </c>
      <c r="E958" t="inlineStr">
        <is>
          <t>MAT-STEEL-PN-1.15</t>
        </is>
      </c>
      <c r="F958" t="inlineStr">
        <is>
          <t>kg</t>
        </is>
      </c>
      <c r="G958" s="394" t="n">
        <v>13.00122495</v>
      </c>
      <c r="H958" s="390">
        <f>IFERROR(INDEX('00_TONG_HOP_BAO_GIA'!$G$1:$G$5000, MATCH(B958, '00_TONG_HOP_BAO_GIA'!$B$1:$B$5000, 0)), 1)</f>
        <v/>
      </c>
      <c r="I958" s="395">
        <f>G958*H958</f>
        <v/>
      </c>
      <c r="J958" s="390">
        <f>IFERROR(INDEX('06_BANG_GIA_VAT_TU_AP_DUNG'!$E$1:$E$5000, MATCH(E958, '06_BANG_GIA_VAT_TU_AP_DUNG'!$B$1:$B$5000, 0)), 0)</f>
        <v/>
      </c>
      <c r="K958" s="390">
        <f>I958*J958</f>
        <v/>
      </c>
      <c r="L958" t="inlineStr">
        <is>
          <t>Kích thước vỏ 1200x650x200mm (2 modul 600x650mm)</t>
        </is>
      </c>
    </row>
    <row r="959">
      <c r="A959" t="inlineStr">
        <is>
          <t>SW-DAMPER-185-BLADE</t>
        </is>
      </c>
      <c r="B959" t="inlineStr">
        <is>
          <t>SW-DAMPER-185</t>
        </is>
      </c>
      <c r="C959" t="inlineStr">
        <is>
          <t>Lá cánh / Tôn tấm bọc van (8 cánh)</t>
        </is>
      </c>
      <c r="D959" t="inlineStr">
        <is>
          <t>TÔN_CUỘN_MẠ_KẼM</t>
        </is>
      </c>
      <c r="E959" t="inlineStr">
        <is>
          <t>MAT-STEEL-PN-1.15</t>
        </is>
      </c>
      <c r="F959" t="inlineStr">
        <is>
          <t>kg</t>
        </is>
      </c>
      <c r="G959" s="394" t="n">
        <v>14.0829</v>
      </c>
      <c r="H959" s="390">
        <f>IFERROR(INDEX('00_TONG_HOP_BAO_GIA'!$G$1:$G$5000, MATCH(B959, '00_TONG_HOP_BAO_GIA'!$B$1:$B$5000, 0)), 1)</f>
        <v/>
      </c>
      <c r="I959" s="395">
        <f>G959*H959</f>
        <v/>
      </c>
      <c r="J959" s="390">
        <f>IFERROR(INDEX('06_BANG_GIA_VAT_TU_AP_DUNG'!$E$1:$E$5000, MATCH(E959, '06_BANG_GIA_VAT_TU_AP_DUNG'!$B$1:$B$5000, 0)), 0)</f>
        <v/>
      </c>
      <c r="K959" s="390">
        <f>I959*J959</f>
        <v/>
      </c>
      <c r="L959" t="inlineStr">
        <is>
          <t>Tôn bọc cánh &amp; thân (4 cánh/modul (2 modul 600x650mm))</t>
        </is>
      </c>
    </row>
    <row r="960">
      <c r="A960" t="inlineStr">
        <is>
          <t>SW-DAMPER-185-AXLE</t>
        </is>
      </c>
      <c r="B960" t="inlineStr">
        <is>
          <t>SW-DAMPER-185</t>
        </is>
      </c>
      <c r="C960" t="inlineStr">
        <is>
          <t>Trục Sus 201 D10</t>
        </is>
      </c>
      <c r="D960" t="inlineStr">
        <is>
          <t>PHỤ_KIỆN_VAN</t>
        </is>
      </c>
      <c r="E960" t="inlineStr">
        <is>
          <t>MAT-DAMPER-TRUC-SUS-201-D10</t>
        </is>
      </c>
      <c r="F960" t="inlineStr">
        <is>
          <t>m</t>
        </is>
      </c>
      <c r="G960" s="394" t="n">
        <v>5.28</v>
      </c>
      <c r="H960" s="390">
        <f>IFERROR(INDEX('00_TONG_HOP_BAO_GIA'!$G$1:$G$5000, MATCH(B960, '00_TONG_HOP_BAO_GIA'!$B$1:$B$5000, 0)), 1)</f>
        <v/>
      </c>
      <c r="I960" s="395">
        <f>G960*H960</f>
        <v/>
      </c>
      <c r="J960" s="390">
        <f>IFERROR(INDEX('06_BANG_GIA_VAT_TU_AP_DUNG'!$E$1:$E$5000, MATCH(E960, '06_BANG_GIA_VAT_TU_AP_DUNG'!$B$1:$B$5000, 0)), 0)</f>
        <v/>
      </c>
      <c r="K960" s="390">
        <f>I960*J960</f>
        <v/>
      </c>
      <c r="L960" t="inlineStr">
        <is>
          <t>8 trục dài 660mm</t>
        </is>
      </c>
    </row>
    <row r="961">
      <c r="A961" t="inlineStr">
        <is>
          <t>SW-DAMPER-185-BEARING</t>
        </is>
      </c>
      <c r="B961" t="inlineStr">
        <is>
          <t>SW-DAMPER-185</t>
        </is>
      </c>
      <c r="C961" t="inlineStr">
        <is>
          <t>Bạc đồng D10</t>
        </is>
      </c>
      <c r="D961" t="inlineStr">
        <is>
          <t>PHỤ_KIỆN_VAN</t>
        </is>
      </c>
      <c r="E961" t="inlineStr">
        <is>
          <t>MAT-DAMPER-BAC-DONG-D10</t>
        </is>
      </c>
      <c r="F961" t="inlineStr">
        <is>
          <t>Đôi</t>
        </is>
      </c>
      <c r="G961" s="394" t="n">
        <v>8</v>
      </c>
      <c r="H961" s="390">
        <f>IFERROR(INDEX('00_TONG_HOP_BAO_GIA'!$G$1:$G$5000, MATCH(B961, '00_TONG_HOP_BAO_GIA'!$B$1:$B$5000, 0)), 1)</f>
        <v/>
      </c>
      <c r="I961" s="395">
        <f>G961*H961</f>
        <v/>
      </c>
      <c r="J961" s="390">
        <f>IFERROR(INDEX('06_BANG_GIA_VAT_TU_AP_DUNG'!$E$1:$E$5000, MATCH(E961, '06_BANG_GIA_VAT_TU_AP_DUNG'!$B$1:$B$5000, 0)), 0)</f>
        <v/>
      </c>
      <c r="K961" s="390">
        <f>I961*J961</f>
        <v/>
      </c>
      <c r="L961" t="inlineStr">
        <is>
          <t>8 đôi bạc đỡ 2 bên thân</t>
        </is>
      </c>
    </row>
    <row r="962">
      <c r="A962" t="inlineStr">
        <is>
          <t>SW-DAMPER-185-GEAR</t>
        </is>
      </c>
      <c r="B962" t="inlineStr">
        <is>
          <t>SW-DAMPER-185</t>
        </is>
      </c>
      <c r="C962" t="inlineStr">
        <is>
          <t>Bánh răng van nhôm</t>
        </is>
      </c>
      <c r="D962" t="inlineStr">
        <is>
          <t>PHỤ_KIỆN_VAN</t>
        </is>
      </c>
      <c r="E962" t="inlineStr">
        <is>
          <t>MAT-DAMPER-BANH-RANG-VAN-NHOM</t>
        </is>
      </c>
      <c r="F962" t="inlineStr">
        <is>
          <t>Bộ</t>
        </is>
      </c>
      <c r="G962" s="394" t="n">
        <v>2</v>
      </c>
      <c r="H962" s="390">
        <f>IFERROR(INDEX('00_TONG_HOP_BAO_GIA'!$G$1:$G$5000, MATCH(B962, '00_TONG_HOP_BAO_GIA'!$B$1:$B$5000, 0)), 1)</f>
        <v/>
      </c>
      <c r="I962" s="395">
        <f>G962*H962</f>
        <v/>
      </c>
      <c r="J962" s="390">
        <f>IFERROR(INDEX('06_BANG_GIA_VAT_TU_AP_DUNG'!$E$1:$E$5000, MATCH(E962, '06_BANG_GIA_VAT_TU_AP_DUNG'!$B$1:$B$5000, 0)), 0)</f>
        <v/>
      </c>
      <c r="K962" s="390">
        <f>I962*J962</f>
        <v/>
      </c>
      <c r="L962" t="inlineStr">
        <is>
          <t>Cơ cấu liên động cánh (2 bộ)</t>
        </is>
      </c>
    </row>
    <row r="963">
      <c r="A963" t="inlineStr">
        <is>
          <t>SW-DAMPER-185-ACTUATOR</t>
        </is>
      </c>
      <c r="B963" t="inlineStr">
        <is>
          <t>SW-DAMPER-185</t>
        </is>
      </c>
      <c r="C963" t="inlineStr">
        <is>
          <t>Động cơ chặn lửa ON/OFF 9Nm, 230V/24V (BELIMO BFN24 / BFN230)</t>
        </is>
      </c>
      <c r="D963" t="inlineStr">
        <is>
          <t>ĐỘNG_CƠ_VÀ_CẢM_BIẾN</t>
        </is>
      </c>
      <c r="E963" t="inlineStr">
        <is>
          <t>MAT-ACTUATOR-BELIMO-BFN24</t>
        </is>
      </c>
      <c r="F963" t="inlineStr">
        <is>
          <t>Cái</t>
        </is>
      </c>
      <c r="G963" s="394" t="n">
        <v>2</v>
      </c>
      <c r="H963" s="390">
        <f>IFERROR(INDEX('00_TONG_HOP_BAO_GIA'!$G$1:$G$5000, MATCH(B963, '00_TONG_HOP_BAO_GIA'!$B$1:$B$5000, 0)), 1)</f>
        <v/>
      </c>
      <c r="I963" s="395">
        <f>G963*H963</f>
        <v/>
      </c>
      <c r="J963" s="390">
        <f>IFERROR(INDEX('06_BANG_GIA_VAT_TU_AP_DUNG'!$E$1:$E$5000, MATCH(E963, '06_BANG_GIA_VAT_TU_AP_DUNG'!$B$1:$B$5000, 0)), 0)</f>
        <v/>
      </c>
      <c r="K963" s="390">
        <f>I963*J963</f>
        <v/>
      </c>
      <c r="L963" t="inlineStr">
        <is>
          <t>Động cơ lò xo phản hồi MFD (2 bộ (2 modul 600x650mm))</t>
        </is>
      </c>
    </row>
    <row r="964">
      <c r="A964" t="inlineStr">
        <is>
          <t>SW-DAMPER-185-FB10-BODY</t>
        </is>
      </c>
      <c r="B964" t="inlineStr">
        <is>
          <t>SW-DAMPER-185</t>
        </is>
      </c>
      <c r="C964" t="inlineStr">
        <is>
          <t>Tấm chống cháy dày 10mm bọc thân van FD/MFD (2 lớp)</t>
        </is>
      </c>
      <c r="D964" t="inlineStr">
        <is>
          <t>VẬT_LIỆU_CÁCH_NHIỆT</t>
        </is>
      </c>
      <c r="E964" t="inlineStr">
        <is>
          <t>MAT-FIREBOARD-10MM-BODY</t>
        </is>
      </c>
      <c r="F964" t="inlineStr">
        <is>
          <t>m2</t>
        </is>
      </c>
      <c r="G964" s="394" t="n">
        <v>3</v>
      </c>
      <c r="H964" s="390">
        <f>IFERROR(INDEX('00_TONG_HOP_BAO_GIA'!$G$1:$G$5000, MATCH(B964, '00_TONG_HOP_BAO_GIA'!$B$1:$B$5000, 0)), 1)</f>
        <v/>
      </c>
      <c r="I964" s="395">
        <f>G964*H964</f>
        <v/>
      </c>
      <c r="J964" s="390">
        <f>IFERROR(INDEX('06_BANG_GIA_VAT_TU_AP_DUNG'!$E$1:$E$5000, MATCH(E964, '06_BANG_GIA_VAT_TU_AP_DUNG'!$B$1:$B$5000, 0)), 0)</f>
        <v/>
      </c>
      <c r="K964" s="390">
        <f>I964*J964</f>
        <v/>
      </c>
      <c r="L964" t="inlineStr">
        <is>
          <t>Bọc 2 lớp tấm 10mm quanh thân L=300mm (2 modul 600x650mm)</t>
        </is>
      </c>
    </row>
    <row r="965">
      <c r="A965" t="inlineStr">
        <is>
          <t>SW-DAMPER-185-FB20-BLADE</t>
        </is>
      </c>
      <c r="B965" t="inlineStr">
        <is>
          <t>SW-DAMPER-185</t>
        </is>
      </c>
      <c r="C965" t="inlineStr">
        <is>
          <t>Tấm chống cháy dày 20mm làm lõi cánh van FD/MFD</t>
        </is>
      </c>
      <c r="D965" t="inlineStr">
        <is>
          <t>VẬT_LIỆU_CÁCH_NHIỆT</t>
        </is>
      </c>
      <c r="E965" t="inlineStr">
        <is>
          <t>MAT-FIREBOARD-20MM-BLADE</t>
        </is>
      </c>
      <c r="F965" t="inlineStr">
        <is>
          <t>m2</t>
        </is>
      </c>
      <c r="G965" s="394" t="n">
        <v>1.159961073825503</v>
      </c>
      <c r="H965" s="390">
        <f>IFERROR(INDEX('00_TONG_HOP_BAO_GIA'!$G$1:$G$5000, MATCH(B965, '00_TONG_HOP_BAO_GIA'!$B$1:$B$5000, 0)), 1)</f>
        <v/>
      </c>
      <c r="I965" s="395">
        <f>G965*H965</f>
        <v/>
      </c>
      <c r="J965" s="390">
        <f>IFERROR(INDEX('06_BANG_GIA_VAT_TU_AP_DUNG'!$E$1:$E$5000, MATCH(E965, '06_BANG_GIA_VAT_TU_AP_DUNG'!$B$1:$B$5000, 0)), 0)</f>
        <v/>
      </c>
      <c r="K965" s="390">
        <f>I965*J965</f>
        <v/>
      </c>
      <c r="L965" t="inlineStr">
        <is>
          <t>Lõi cánh tấm 20mm (Đa cánh hệ số (H-5)/149=4.33, bản rộng 210mm, hao hụt 10% (2 modul 600x650mm))</t>
        </is>
      </c>
    </row>
    <row r="966">
      <c r="A966" t="inlineStr">
        <is>
          <t>SW-DAMPER-185-FB10-BLADE</t>
        </is>
      </c>
      <c r="B966" t="inlineStr">
        <is>
          <t>SW-DAMPER-185</t>
        </is>
      </c>
      <c r="C966" t="inlineStr">
        <is>
          <t>Tấm chống cháy dày 10mm ốp 2 mặt cánh van FD/MFD</t>
        </is>
      </c>
      <c r="D966" t="inlineStr">
        <is>
          <t>VẬT_LIỆU_CÁCH_NHIỆT</t>
        </is>
      </c>
      <c r="E966" t="inlineStr">
        <is>
          <t>MAT-FIREBOARD-10MM-BLADE</t>
        </is>
      </c>
      <c r="F966" t="inlineStr">
        <is>
          <t>m2</t>
        </is>
      </c>
      <c r="G966" s="394" t="n">
        <v>2.399919463087248</v>
      </c>
      <c r="H966" s="390">
        <f>IFERROR(INDEX('00_TONG_HOP_BAO_GIA'!$G$1:$G$5000, MATCH(B966, '00_TONG_HOP_BAO_GIA'!$B$1:$B$5000, 0)), 1)</f>
        <v/>
      </c>
      <c r="I966" s="395">
        <f>G966*H966</f>
        <v/>
      </c>
      <c r="J966" s="390">
        <f>IFERROR(INDEX('06_BANG_GIA_VAT_TU_AP_DUNG'!$E$1:$E$5000, MATCH(E966, '06_BANG_GIA_VAT_TU_AP_DUNG'!$B$1:$B$5000, 0)), 0)</f>
        <v/>
      </c>
      <c r="K966" s="390">
        <f>I966*J966</f>
        <v/>
      </c>
      <c r="L966" t="inlineStr">
        <is>
          <t>Ốp 2 mặt cánh tấm 10mm (Đa cánh hệ số (H-5)/149=4.33, bản rộng 210mm, hao hụt 10% (2 modul 600x650mm))</t>
        </is>
      </c>
    </row>
    <row r="967">
      <c r="A967" t="inlineStr">
        <is>
          <t>SW-DAMPER-185-SPRING-BOX</t>
        </is>
      </c>
      <c r="B967" t="inlineStr">
        <is>
          <t>SW-DAMPER-185</t>
        </is>
      </c>
      <c r="C967" t="inlineStr">
        <is>
          <t>Hộp lò xo van chặn lửa FD/MFD</t>
        </is>
      </c>
      <c r="D967" t="inlineStr">
        <is>
          <t>PHỤ_KIỆN_VAN</t>
        </is>
      </c>
      <c r="E967" t="inlineStr">
        <is>
          <t>MAT-DAMPER-HOP-LO-XO</t>
        </is>
      </c>
      <c r="F967" t="inlineStr">
        <is>
          <t>Bộ</t>
        </is>
      </c>
      <c r="G967" s="394" t="n">
        <v>2</v>
      </c>
      <c r="H967" s="390">
        <f>IFERROR(INDEX('00_TONG_HOP_BAO_GIA'!$G$1:$G$5000, MATCH(B967, '00_TONG_HOP_BAO_GIA'!$B$1:$B$5000, 0)), 1)</f>
        <v/>
      </c>
      <c r="I967" s="395">
        <f>G967*H967</f>
        <v/>
      </c>
      <c r="J967" s="390">
        <f>IFERROR(INDEX('06_BANG_GIA_VAT_TU_AP_DUNG'!$E$1:$E$5000, MATCH(E967, '06_BANG_GIA_VAT_TU_AP_DUNG'!$B$1:$B$5000, 0)), 0)</f>
        <v/>
      </c>
      <c r="K967" s="390">
        <f>I967*J967</f>
        <v/>
      </c>
      <c r="L967" t="inlineStr">
        <is>
          <t>Hộp lò xo cơ cấu đóng sập (2 bộ)</t>
        </is>
      </c>
    </row>
    <row r="968">
      <c r="A968" t="inlineStr">
        <is>
          <t>SW-DAMPER-185-SILICON-BOLT</t>
        </is>
      </c>
      <c r="B968" t="inlineStr">
        <is>
          <t>SW-DAMPER-185</t>
        </is>
      </c>
      <c r="C968" t="inlineStr">
        <is>
          <t>Silicon chống cháy + bu lông, ốc vít van FD/MFD</t>
        </is>
      </c>
      <c r="D968" t="inlineStr">
        <is>
          <t>PHỤ_KIỆN_VAN</t>
        </is>
      </c>
      <c r="E968" t="inlineStr">
        <is>
          <t>MAT-DAMPER-SILICON-BULONG-VIT</t>
        </is>
      </c>
      <c r="F968" t="inlineStr">
        <is>
          <t>Bộ</t>
        </is>
      </c>
      <c r="G968" s="394" t="n">
        <v>2</v>
      </c>
      <c r="H968" s="390">
        <f>IFERROR(INDEX('00_TONG_HOP_BAO_GIA'!$G$1:$G$5000, MATCH(B968, '00_TONG_HOP_BAO_GIA'!$B$1:$B$5000, 0)), 1)</f>
        <v/>
      </c>
      <c r="I968" s="395">
        <f>G968*H968</f>
        <v/>
      </c>
      <c r="J968" s="390">
        <f>IFERROR(INDEX('06_BANG_GIA_VAT_TU_AP_DUNG'!$E$1:$E$5000, MATCH(E968, '06_BANG_GIA_VAT_TU_AP_DUNG'!$B$1:$B$5000, 0)), 0)</f>
        <v/>
      </c>
      <c r="K968" s="390">
        <f>I968*J968</f>
        <v/>
      </c>
      <c r="L968" t="inlineStr">
        <is>
          <t>Keo silicon chống cháy &amp; phụ kiện lắp ghép (2 bộ)</t>
        </is>
      </c>
    </row>
    <row r="969">
      <c r="A969" t="inlineStr">
        <is>
          <t>SW-DAMPER-186-BODY</t>
        </is>
      </c>
      <c r="B969" t="inlineStr">
        <is>
          <t>SW-DAMPER-186</t>
        </is>
      </c>
      <c r="C969" t="inlineStr">
        <is>
          <t>Thân vỏ van VCD bích C30/TDF (0.75mm)</t>
        </is>
      </c>
      <c r="D969" t="inlineStr">
        <is>
          <t>TÔN_CUỘN_MẠ_KẼM</t>
        </is>
      </c>
      <c r="E969" t="inlineStr">
        <is>
          <t>MAT-STEEL-PN-0.75</t>
        </is>
      </c>
      <c r="F969" t="inlineStr">
        <is>
          <t>kg</t>
        </is>
      </c>
      <c r="G969" s="394" t="n">
        <v>1.107792</v>
      </c>
      <c r="H969" s="390">
        <f>IFERROR(INDEX('00_TONG_HOP_BAO_GIA'!$G$1:$G$5000, MATCH(B969, '00_TONG_HOP_BAO_GIA'!$B$1:$B$5000, 0)), 1)</f>
        <v/>
      </c>
      <c r="I969" s="395">
        <f>G969*H969</f>
        <v/>
      </c>
      <c r="J969" s="390">
        <f>IFERROR(INDEX('06_BANG_GIA_VAT_TU_AP_DUNG'!$E$1:$E$5000, MATCH(E969, '06_BANG_GIA_VAT_TU_AP_DUNG'!$B$1:$B$5000, 0)), 0)</f>
        <v/>
      </c>
      <c r="K969" s="390">
        <f>I969*J969</f>
        <v/>
      </c>
      <c r="L969" t="inlineStr">
        <is>
          <t>Kích thước vỏ 150x150x210mm</t>
        </is>
      </c>
    </row>
    <row r="970">
      <c r="A970" t="inlineStr">
        <is>
          <t>SW-DAMPER-186-BLADE</t>
        </is>
      </c>
      <c r="B970" t="inlineStr">
        <is>
          <t>SW-DAMPER-186</t>
        </is>
      </c>
      <c r="C970" t="inlineStr">
        <is>
          <t>Lá cánh / Tôn tấm bọc van (1 cánh)</t>
        </is>
      </c>
      <c r="D970" t="inlineStr">
        <is>
          <t>TÔN_CUỘN_MẠ_KẼM</t>
        </is>
      </c>
      <c r="E970" t="inlineStr">
        <is>
          <t>MAT-STEEL-PN-0.75</t>
        </is>
      </c>
      <c r="F970" t="inlineStr">
        <is>
          <t>kg</t>
        </is>
      </c>
      <c r="G970" s="394" t="n">
        <v>0.16214175</v>
      </c>
      <c r="H970" s="390">
        <f>IFERROR(INDEX('00_TONG_HOP_BAO_GIA'!$G$1:$G$5000, MATCH(B970, '00_TONG_HOP_BAO_GIA'!$B$1:$B$5000, 0)), 1)</f>
        <v/>
      </c>
      <c r="I970" s="395">
        <f>G970*H970</f>
        <v/>
      </c>
      <c r="J970" s="390">
        <f>IFERROR(INDEX('06_BANG_GIA_VAT_TU_AP_DUNG'!$E$1:$E$5000, MATCH(E970, '06_BANG_GIA_VAT_TU_AP_DUNG'!$B$1:$B$5000, 0)), 0)</f>
        <v/>
      </c>
      <c r="K970" s="390">
        <f>I970*J970</f>
        <v/>
      </c>
      <c r="L970" t="inlineStr">
        <is>
          <t>1 cánh cao 170mm</t>
        </is>
      </c>
    </row>
    <row r="971">
      <c r="A971" t="inlineStr">
        <is>
          <t>SW-DAMPER-186-AXLE</t>
        </is>
      </c>
      <c r="B971" t="inlineStr">
        <is>
          <t>SW-DAMPER-186</t>
        </is>
      </c>
      <c r="C971" t="inlineStr">
        <is>
          <t>Trục Sus 201 D10</t>
        </is>
      </c>
      <c r="D971" t="inlineStr">
        <is>
          <t>PHỤ_KIỆN_VAN</t>
        </is>
      </c>
      <c r="E971" t="inlineStr">
        <is>
          <t>MAT-DAMPER-TRUC-SUS-201-D10</t>
        </is>
      </c>
      <c r="F971" t="inlineStr">
        <is>
          <t>m</t>
        </is>
      </c>
      <c r="G971" s="394" t="n">
        <v>0.21</v>
      </c>
      <c r="H971" s="390">
        <f>IFERROR(INDEX('00_TONG_HOP_BAO_GIA'!$G$1:$G$5000, MATCH(B971, '00_TONG_HOP_BAO_GIA'!$B$1:$B$5000, 0)), 1)</f>
        <v/>
      </c>
      <c r="I971" s="395">
        <f>G971*H971</f>
        <v/>
      </c>
      <c r="J971" s="390">
        <f>IFERROR(INDEX('06_BANG_GIA_VAT_TU_AP_DUNG'!$E$1:$E$5000, MATCH(E971, '06_BANG_GIA_VAT_TU_AP_DUNG'!$B$1:$B$5000, 0)), 0)</f>
        <v/>
      </c>
      <c r="K971" s="390">
        <f>I971*J971</f>
        <v/>
      </c>
      <c r="L971" t="inlineStr">
        <is>
          <t>1 trục dài 210mm</t>
        </is>
      </c>
    </row>
    <row r="972">
      <c r="A972" t="inlineStr">
        <is>
          <t>SW-DAMPER-186-BEARING</t>
        </is>
      </c>
      <c r="B972" t="inlineStr">
        <is>
          <t>SW-DAMPER-186</t>
        </is>
      </c>
      <c r="C972" t="inlineStr">
        <is>
          <t>Bạc đồng D10</t>
        </is>
      </c>
      <c r="D972" t="inlineStr">
        <is>
          <t>PHỤ_KIỆN_VAN</t>
        </is>
      </c>
      <c r="E972" t="inlineStr">
        <is>
          <t>MAT-DAMPER-BAC-DONG-D10</t>
        </is>
      </c>
      <c r="F972" t="inlineStr">
        <is>
          <t>Đôi</t>
        </is>
      </c>
      <c r="G972" s="394" t="n">
        <v>1</v>
      </c>
      <c r="H972" s="390">
        <f>IFERROR(INDEX('00_TONG_HOP_BAO_GIA'!$G$1:$G$5000, MATCH(B972, '00_TONG_HOP_BAO_GIA'!$B$1:$B$5000, 0)), 1)</f>
        <v/>
      </c>
      <c r="I972" s="395">
        <f>G972*H972</f>
        <v/>
      </c>
      <c r="J972" s="390">
        <f>IFERROR(INDEX('06_BANG_GIA_VAT_TU_AP_DUNG'!$E$1:$E$5000, MATCH(E972, '06_BANG_GIA_VAT_TU_AP_DUNG'!$B$1:$B$5000, 0)), 0)</f>
        <v/>
      </c>
      <c r="K972" s="390">
        <f>I972*J972</f>
        <v/>
      </c>
      <c r="L972" t="inlineStr">
        <is>
          <t>1 đôi bạc đỡ 2 bên thân</t>
        </is>
      </c>
    </row>
    <row r="973">
      <c r="A973" t="inlineStr">
        <is>
          <t>SW-DAMPER-186-HANDLE</t>
        </is>
      </c>
      <c r="B973" t="inlineStr">
        <is>
          <t>SW-DAMPER-186</t>
        </is>
      </c>
      <c r="C973" t="inlineStr">
        <is>
          <t>Tay gạt nhỏ</t>
        </is>
      </c>
      <c r="D973" t="inlineStr">
        <is>
          <t>PHỤ_KIỆN_VAN</t>
        </is>
      </c>
      <c r="E973" t="inlineStr">
        <is>
          <t>MAT-DAMPER-TAY-GAT-NHO</t>
        </is>
      </c>
      <c r="F973" t="inlineStr">
        <is>
          <t>Bộ</t>
        </is>
      </c>
      <c r="G973" s="394" t="n">
        <v>1</v>
      </c>
      <c r="H973" s="390">
        <f>IFERROR(INDEX('00_TONG_HOP_BAO_GIA'!$G$1:$G$5000, MATCH(B973, '00_TONG_HOP_BAO_GIA'!$B$1:$B$5000, 0)), 1)</f>
        <v/>
      </c>
      <c r="I973" s="395">
        <f>G973*H973</f>
        <v/>
      </c>
      <c r="J973" s="390">
        <f>IFERROR(INDEX('06_BANG_GIA_VAT_TU_AP_DUNG'!$E$1:$E$5000, MATCH(E973, '06_BANG_GIA_VAT_TU_AP_DUNG'!$B$1:$B$5000, 0)), 0)</f>
        <v/>
      </c>
      <c r="K973" s="390">
        <f>I973*J973</f>
        <v/>
      </c>
      <c r="L973" t="inlineStr">
        <is>
          <t>Tay gạt khóa vị trí nan (S=0.02m2)</t>
        </is>
      </c>
    </row>
    <row r="974">
      <c r="A974" t="inlineStr">
        <is>
          <t>SW-DAMPER-187-BODY</t>
        </is>
      </c>
      <c r="B974" t="inlineStr">
        <is>
          <t>SW-DAMPER-187</t>
        </is>
      </c>
      <c r="C974" t="inlineStr">
        <is>
          <t>Thân vỏ van VCD bích C30/TDF (0.75mm)</t>
        </is>
      </c>
      <c r="D974" t="inlineStr">
        <is>
          <t>TÔN_CUỘN_MẠ_KẼM</t>
        </is>
      </c>
      <c r="E974" t="inlineStr">
        <is>
          <t>MAT-STEEL-PN-0.75</t>
        </is>
      </c>
      <c r="F974" t="inlineStr">
        <is>
          <t>kg</t>
        </is>
      </c>
      <c r="G974" s="394" t="n">
        <v>1.6270695</v>
      </c>
      <c r="H974" s="390">
        <f>IFERROR(INDEX('00_TONG_HOP_BAO_GIA'!$G$1:$G$5000, MATCH(B974, '00_TONG_HOP_BAO_GIA'!$B$1:$B$5000, 0)), 1)</f>
        <v/>
      </c>
      <c r="I974" s="395">
        <f>G974*H974</f>
        <v/>
      </c>
      <c r="J974" s="390">
        <f>IFERROR(INDEX('06_BANG_GIA_VAT_TU_AP_DUNG'!$E$1:$E$5000, MATCH(E974, '06_BANG_GIA_VAT_TU_AP_DUNG'!$B$1:$B$5000, 0)), 0)</f>
        <v/>
      </c>
      <c r="K974" s="390">
        <f>I974*J974</f>
        <v/>
      </c>
      <c r="L974" t="inlineStr">
        <is>
          <t>Kích thước vỏ 300x150x210mm</t>
        </is>
      </c>
    </row>
    <row r="975">
      <c r="A975" t="inlineStr">
        <is>
          <t>SW-DAMPER-187-BLADE</t>
        </is>
      </c>
      <c r="B975" t="inlineStr">
        <is>
          <t>SW-DAMPER-187</t>
        </is>
      </c>
      <c r="C975" t="inlineStr">
        <is>
          <t>Lá cánh / Tôn tấm bọc van (1 cánh)</t>
        </is>
      </c>
      <c r="D975" t="inlineStr">
        <is>
          <t>TÔN_CUỘN_MẠ_KẼM</t>
        </is>
      </c>
      <c r="E975" t="inlineStr">
        <is>
          <t>MAT-STEEL-PN-0.75</t>
        </is>
      </c>
      <c r="F975" t="inlineStr">
        <is>
          <t>kg</t>
        </is>
      </c>
      <c r="G975" s="394" t="n">
        <v>0.3242835</v>
      </c>
      <c r="H975" s="390">
        <f>IFERROR(INDEX('00_TONG_HOP_BAO_GIA'!$G$1:$G$5000, MATCH(B975, '00_TONG_HOP_BAO_GIA'!$B$1:$B$5000, 0)), 1)</f>
        <v/>
      </c>
      <c r="I975" s="395">
        <f>G975*H975</f>
        <v/>
      </c>
      <c r="J975" s="390">
        <f>IFERROR(INDEX('06_BANG_GIA_VAT_TU_AP_DUNG'!$E$1:$E$5000, MATCH(E975, '06_BANG_GIA_VAT_TU_AP_DUNG'!$B$1:$B$5000, 0)), 0)</f>
        <v/>
      </c>
      <c r="K975" s="390">
        <f>I975*J975</f>
        <v/>
      </c>
      <c r="L975" t="inlineStr">
        <is>
          <t>1 cánh cao 170mm</t>
        </is>
      </c>
    </row>
    <row r="976">
      <c r="A976" t="inlineStr">
        <is>
          <t>SW-DAMPER-187-AXLE</t>
        </is>
      </c>
      <c r="B976" t="inlineStr">
        <is>
          <t>SW-DAMPER-187</t>
        </is>
      </c>
      <c r="C976" t="inlineStr">
        <is>
          <t>Trục Sus 201 D10</t>
        </is>
      </c>
      <c r="D976" t="inlineStr">
        <is>
          <t>PHỤ_KIỆN_VAN</t>
        </is>
      </c>
      <c r="E976" t="inlineStr">
        <is>
          <t>MAT-DAMPER-TRUC-SUS-201-D10</t>
        </is>
      </c>
      <c r="F976" t="inlineStr">
        <is>
          <t>m</t>
        </is>
      </c>
      <c r="G976" s="394" t="n">
        <v>0.36</v>
      </c>
      <c r="H976" s="390">
        <f>IFERROR(INDEX('00_TONG_HOP_BAO_GIA'!$G$1:$G$5000, MATCH(B976, '00_TONG_HOP_BAO_GIA'!$B$1:$B$5000, 0)), 1)</f>
        <v/>
      </c>
      <c r="I976" s="395">
        <f>G976*H976</f>
        <v/>
      </c>
      <c r="J976" s="390">
        <f>IFERROR(INDEX('06_BANG_GIA_VAT_TU_AP_DUNG'!$E$1:$E$5000, MATCH(E976, '06_BANG_GIA_VAT_TU_AP_DUNG'!$B$1:$B$5000, 0)), 0)</f>
        <v/>
      </c>
      <c r="K976" s="390">
        <f>I976*J976</f>
        <v/>
      </c>
      <c r="L976" t="inlineStr">
        <is>
          <t>1 trục dài 360mm</t>
        </is>
      </c>
    </row>
    <row r="977">
      <c r="A977" t="inlineStr">
        <is>
          <t>SW-DAMPER-187-BEARING</t>
        </is>
      </c>
      <c r="B977" t="inlineStr">
        <is>
          <t>SW-DAMPER-187</t>
        </is>
      </c>
      <c r="C977" t="inlineStr">
        <is>
          <t>Bạc đồng D10</t>
        </is>
      </c>
      <c r="D977" t="inlineStr">
        <is>
          <t>PHỤ_KIỆN_VAN</t>
        </is>
      </c>
      <c r="E977" t="inlineStr">
        <is>
          <t>MAT-DAMPER-BAC-DONG-D10</t>
        </is>
      </c>
      <c r="F977" t="inlineStr">
        <is>
          <t>Đôi</t>
        </is>
      </c>
      <c r="G977" s="394" t="n">
        <v>1</v>
      </c>
      <c r="H977" s="390">
        <f>IFERROR(INDEX('00_TONG_HOP_BAO_GIA'!$G$1:$G$5000, MATCH(B977, '00_TONG_HOP_BAO_GIA'!$B$1:$B$5000, 0)), 1)</f>
        <v/>
      </c>
      <c r="I977" s="395">
        <f>G977*H977</f>
        <v/>
      </c>
      <c r="J977" s="390">
        <f>IFERROR(INDEX('06_BANG_GIA_VAT_TU_AP_DUNG'!$E$1:$E$5000, MATCH(E977, '06_BANG_GIA_VAT_TU_AP_DUNG'!$B$1:$B$5000, 0)), 0)</f>
        <v/>
      </c>
      <c r="K977" s="390">
        <f>I977*J977</f>
        <v/>
      </c>
      <c r="L977" t="inlineStr">
        <is>
          <t>1 đôi bạc đỡ 2 bên thân</t>
        </is>
      </c>
    </row>
    <row r="978">
      <c r="A978" t="inlineStr">
        <is>
          <t>SW-DAMPER-187-HANDLE</t>
        </is>
      </c>
      <c r="B978" t="inlineStr">
        <is>
          <t>SW-DAMPER-187</t>
        </is>
      </c>
      <c r="C978" t="inlineStr">
        <is>
          <t>Tay gạt nhỏ</t>
        </is>
      </c>
      <c r="D978" t="inlineStr">
        <is>
          <t>PHỤ_KIỆN_VAN</t>
        </is>
      </c>
      <c r="E978" t="inlineStr">
        <is>
          <t>MAT-DAMPER-TAY-GAT-NHO</t>
        </is>
      </c>
      <c r="F978" t="inlineStr">
        <is>
          <t>Bộ</t>
        </is>
      </c>
      <c r="G978" s="394" t="n">
        <v>1</v>
      </c>
      <c r="H978" s="390">
        <f>IFERROR(INDEX('00_TONG_HOP_BAO_GIA'!$G$1:$G$5000, MATCH(B978, '00_TONG_HOP_BAO_GIA'!$B$1:$B$5000, 0)), 1)</f>
        <v/>
      </c>
      <c r="I978" s="395">
        <f>G978*H978</f>
        <v/>
      </c>
      <c r="J978" s="390">
        <f>IFERROR(INDEX('06_BANG_GIA_VAT_TU_AP_DUNG'!$E$1:$E$5000, MATCH(E978, '06_BANG_GIA_VAT_TU_AP_DUNG'!$B$1:$B$5000, 0)), 0)</f>
        <v/>
      </c>
      <c r="K978" s="390">
        <f>I978*J978</f>
        <v/>
      </c>
      <c r="L978" t="inlineStr">
        <is>
          <t>Tay gạt khóa vị trí nan (S=0.04m2)</t>
        </is>
      </c>
    </row>
    <row r="979">
      <c r="A979" t="inlineStr">
        <is>
          <t>SW-DAMPER-188-BODY</t>
        </is>
      </c>
      <c r="B979" t="inlineStr">
        <is>
          <t>SW-DAMPER-188</t>
        </is>
      </c>
      <c r="C979" t="inlineStr">
        <is>
          <t>Thân vỏ van MD bích C30/TDF (0.75mm)</t>
        </is>
      </c>
      <c r="D979" t="inlineStr">
        <is>
          <t>TÔN_CUỘN_MẠ_KẼM</t>
        </is>
      </c>
      <c r="E979" t="inlineStr">
        <is>
          <t>MAT-STEEL-PN-0.75</t>
        </is>
      </c>
      <c r="F979" t="inlineStr">
        <is>
          <t>kg</t>
        </is>
      </c>
      <c r="G979" s="394" t="n">
        <v>1.6270695</v>
      </c>
      <c r="H979" s="390">
        <f>IFERROR(INDEX('00_TONG_HOP_BAO_GIA'!$G$1:$G$5000, MATCH(B979, '00_TONG_HOP_BAO_GIA'!$B$1:$B$5000, 0)), 1)</f>
        <v/>
      </c>
      <c r="I979" s="395">
        <f>G979*H979</f>
        <v/>
      </c>
      <c r="J979" s="390">
        <f>IFERROR(INDEX('06_BANG_GIA_VAT_TU_AP_DUNG'!$E$1:$E$5000, MATCH(E979, '06_BANG_GIA_VAT_TU_AP_DUNG'!$B$1:$B$5000, 0)), 0)</f>
        <v/>
      </c>
      <c r="K979" s="390">
        <f>I979*J979</f>
        <v/>
      </c>
      <c r="L979" t="inlineStr">
        <is>
          <t>Kích thước vỏ 300x150x210mm</t>
        </is>
      </c>
    </row>
    <row r="980">
      <c r="A980" t="inlineStr">
        <is>
          <t>SW-DAMPER-188-BLADE</t>
        </is>
      </c>
      <c r="B980" t="inlineStr">
        <is>
          <t>SW-DAMPER-188</t>
        </is>
      </c>
      <c r="C980" t="inlineStr">
        <is>
          <t>Lá cánh / Tôn tấm bọc van (1 cánh)</t>
        </is>
      </c>
      <c r="D980" t="inlineStr">
        <is>
          <t>TÔN_CUỘN_MẠ_KẼM</t>
        </is>
      </c>
      <c r="E980" t="inlineStr">
        <is>
          <t>MAT-STEEL-PN-0.75</t>
        </is>
      </c>
      <c r="F980" t="inlineStr">
        <is>
          <t>kg</t>
        </is>
      </c>
      <c r="G980" s="394" t="n">
        <v>0.3242835</v>
      </c>
      <c r="H980" s="390">
        <f>IFERROR(INDEX('00_TONG_HOP_BAO_GIA'!$G$1:$G$5000, MATCH(B980, '00_TONG_HOP_BAO_GIA'!$B$1:$B$5000, 0)), 1)</f>
        <v/>
      </c>
      <c r="I980" s="395">
        <f>G980*H980</f>
        <v/>
      </c>
      <c r="J980" s="390">
        <f>IFERROR(INDEX('06_BANG_GIA_VAT_TU_AP_DUNG'!$E$1:$E$5000, MATCH(E980, '06_BANG_GIA_VAT_TU_AP_DUNG'!$B$1:$B$5000, 0)), 0)</f>
        <v/>
      </c>
      <c r="K980" s="390">
        <f>I980*J980</f>
        <v/>
      </c>
      <c r="L980" t="inlineStr">
        <is>
          <t>1 cánh cao 170mm</t>
        </is>
      </c>
    </row>
    <row r="981">
      <c r="A981" t="inlineStr">
        <is>
          <t>SW-DAMPER-188-AXLE</t>
        </is>
      </c>
      <c r="B981" t="inlineStr">
        <is>
          <t>SW-DAMPER-188</t>
        </is>
      </c>
      <c r="C981" t="inlineStr">
        <is>
          <t>Trục Sus 201 D10</t>
        </is>
      </c>
      <c r="D981" t="inlineStr">
        <is>
          <t>PHỤ_KIỆN_VAN</t>
        </is>
      </c>
      <c r="E981" t="inlineStr">
        <is>
          <t>MAT-DAMPER-TRUC-SUS-201-D10</t>
        </is>
      </c>
      <c r="F981" t="inlineStr">
        <is>
          <t>m</t>
        </is>
      </c>
      <c r="G981" s="394" t="n">
        <v>0.36</v>
      </c>
      <c r="H981" s="390">
        <f>IFERROR(INDEX('00_TONG_HOP_BAO_GIA'!$G$1:$G$5000, MATCH(B981, '00_TONG_HOP_BAO_GIA'!$B$1:$B$5000, 0)), 1)</f>
        <v/>
      </c>
      <c r="I981" s="395">
        <f>G981*H981</f>
        <v/>
      </c>
      <c r="J981" s="390">
        <f>IFERROR(INDEX('06_BANG_GIA_VAT_TU_AP_DUNG'!$E$1:$E$5000, MATCH(E981, '06_BANG_GIA_VAT_TU_AP_DUNG'!$B$1:$B$5000, 0)), 0)</f>
        <v/>
      </c>
      <c r="K981" s="390">
        <f>I981*J981</f>
        <v/>
      </c>
      <c r="L981" t="inlineStr">
        <is>
          <t>1 trục dài 360mm</t>
        </is>
      </c>
    </row>
    <row r="982">
      <c r="A982" t="inlineStr">
        <is>
          <t>SW-DAMPER-188-BEARING</t>
        </is>
      </c>
      <c r="B982" t="inlineStr">
        <is>
          <t>SW-DAMPER-188</t>
        </is>
      </c>
      <c r="C982" t="inlineStr">
        <is>
          <t>Bạc đồng D10</t>
        </is>
      </c>
      <c r="D982" t="inlineStr">
        <is>
          <t>PHỤ_KIỆN_VAN</t>
        </is>
      </c>
      <c r="E982" t="inlineStr">
        <is>
          <t>MAT-DAMPER-BAC-DONG-D10</t>
        </is>
      </c>
      <c r="F982" t="inlineStr">
        <is>
          <t>Đôi</t>
        </is>
      </c>
      <c r="G982" s="394" t="n">
        <v>1</v>
      </c>
      <c r="H982" s="390">
        <f>IFERROR(INDEX('00_TONG_HOP_BAO_GIA'!$G$1:$G$5000, MATCH(B982, '00_TONG_HOP_BAO_GIA'!$B$1:$B$5000, 0)), 1)</f>
        <v/>
      </c>
      <c r="I982" s="395">
        <f>G982*H982</f>
        <v/>
      </c>
      <c r="J982" s="390">
        <f>IFERROR(INDEX('06_BANG_GIA_VAT_TU_AP_DUNG'!$E$1:$E$5000, MATCH(E982, '06_BANG_GIA_VAT_TU_AP_DUNG'!$B$1:$B$5000, 0)), 0)</f>
        <v/>
      </c>
      <c r="K982" s="390">
        <f>I982*J982</f>
        <v/>
      </c>
      <c r="L982" t="inlineStr">
        <is>
          <t>1 đôi bạc đỡ 2 bên thân</t>
        </is>
      </c>
    </row>
    <row r="983">
      <c r="A983" t="inlineStr">
        <is>
          <t>SW-DAMPER-188-ACTUATOR</t>
        </is>
      </c>
      <c r="B983" t="inlineStr">
        <is>
          <t>SW-DAMPER-188</t>
        </is>
      </c>
      <c r="C983" t="inlineStr">
        <is>
          <t>Model: NACA 2-05 (5Nm, 220VAC)</t>
        </is>
      </c>
      <c r="D983" t="inlineStr">
        <is>
          <t>ĐỘNG_CƠ_VÀ_CẢM_BIẾN</t>
        </is>
      </c>
      <c r="E983" t="inlineStr">
        <is>
          <t>MAT-ACTUATOR-NACA-2-05</t>
        </is>
      </c>
      <c r="F983" t="inlineStr">
        <is>
          <t>Cái</t>
        </is>
      </c>
      <c r="G983" s="394" t="n">
        <v>1</v>
      </c>
      <c r="H983" s="390">
        <f>IFERROR(INDEX('00_TONG_HOP_BAO_GIA'!$G$1:$G$5000, MATCH(B983, '00_TONG_HOP_BAO_GIA'!$B$1:$B$5000, 0)), 1)</f>
        <v/>
      </c>
      <c r="I983" s="395">
        <f>G983*H983</f>
        <v/>
      </c>
      <c r="J983" s="390">
        <f>IFERROR(INDEX('06_BANG_GIA_VAT_TU_AP_DUNG'!$E$1:$E$5000, MATCH(E983, '06_BANG_GIA_VAT_TU_AP_DUNG'!$B$1:$B$5000, 0)), 0)</f>
        <v/>
      </c>
      <c r="K983" s="390">
        <f>I983*J983</f>
        <v/>
      </c>
      <c r="L983" t="inlineStr">
        <is>
          <t>Tiết diện 0.04m2/modul (1 bộ)</t>
        </is>
      </c>
    </row>
    <row r="984">
      <c r="A984" t="inlineStr">
        <is>
          <t>SW-DAMPER-189-BODY</t>
        </is>
      </c>
      <c r="B984" t="inlineStr">
        <is>
          <t>SW-DAMPER-189</t>
        </is>
      </c>
      <c r="C984" t="inlineStr">
        <is>
          <t>Thân vỏ van VCD bích C30/TDF (0.75mm)</t>
        </is>
      </c>
      <c r="D984" t="inlineStr">
        <is>
          <t>TÔN_CUỘN_MẠ_KẼM</t>
        </is>
      </c>
      <c r="E984" t="inlineStr">
        <is>
          <t>MAT-STEEL-PN-0.75</t>
        </is>
      </c>
      <c r="F984" t="inlineStr">
        <is>
          <t>kg</t>
        </is>
      </c>
      <c r="G984" s="394" t="n">
        <v>2.146347</v>
      </c>
      <c r="H984" s="390">
        <f>IFERROR(INDEX('00_TONG_HOP_BAO_GIA'!$G$1:$G$5000, MATCH(B984, '00_TONG_HOP_BAO_GIA'!$B$1:$B$5000, 0)), 1)</f>
        <v/>
      </c>
      <c r="I984" s="395">
        <f>G984*H984</f>
        <v/>
      </c>
      <c r="J984" s="390">
        <f>IFERROR(INDEX('06_BANG_GIA_VAT_TU_AP_DUNG'!$E$1:$E$5000, MATCH(E984, '06_BANG_GIA_VAT_TU_AP_DUNG'!$B$1:$B$5000, 0)), 0)</f>
        <v/>
      </c>
      <c r="K984" s="390">
        <f>I984*J984</f>
        <v/>
      </c>
      <c r="L984" t="inlineStr">
        <is>
          <t>Kích thước vỏ 300x300x210mm</t>
        </is>
      </c>
    </row>
    <row r="985">
      <c r="A985" t="inlineStr">
        <is>
          <t>SW-DAMPER-189-BLADE</t>
        </is>
      </c>
      <c r="B985" t="inlineStr">
        <is>
          <t>SW-DAMPER-189</t>
        </is>
      </c>
      <c r="C985" t="inlineStr">
        <is>
          <t>Lá cánh / Tôn tấm bọc van (2 cánh)</t>
        </is>
      </c>
      <c r="D985" t="inlineStr">
        <is>
          <t>TÔN_CUỘN_MẠ_KẼM</t>
        </is>
      </c>
      <c r="E985" t="inlineStr">
        <is>
          <t>MAT-STEEL-PN-0.75</t>
        </is>
      </c>
      <c r="F985" t="inlineStr">
        <is>
          <t>kg</t>
        </is>
      </c>
      <c r="G985" s="394" t="n">
        <v>0.648567</v>
      </c>
      <c r="H985" s="390">
        <f>IFERROR(INDEX('00_TONG_HOP_BAO_GIA'!$G$1:$G$5000, MATCH(B985, '00_TONG_HOP_BAO_GIA'!$B$1:$B$5000, 0)), 1)</f>
        <v/>
      </c>
      <c r="I985" s="395">
        <f>G985*H985</f>
        <v/>
      </c>
      <c r="J985" s="390">
        <f>IFERROR(INDEX('06_BANG_GIA_VAT_TU_AP_DUNG'!$E$1:$E$5000, MATCH(E985, '06_BANG_GIA_VAT_TU_AP_DUNG'!$B$1:$B$5000, 0)), 0)</f>
        <v/>
      </c>
      <c r="K985" s="390">
        <f>I985*J985</f>
        <v/>
      </c>
      <c r="L985" t="inlineStr">
        <is>
          <t>2 cánh cao 170mm</t>
        </is>
      </c>
    </row>
    <row r="986">
      <c r="A986" t="inlineStr">
        <is>
          <t>SW-DAMPER-189-AXLE</t>
        </is>
      </c>
      <c r="B986" t="inlineStr">
        <is>
          <t>SW-DAMPER-189</t>
        </is>
      </c>
      <c r="C986" t="inlineStr">
        <is>
          <t>Trục Sus 201 D10</t>
        </is>
      </c>
      <c r="D986" t="inlineStr">
        <is>
          <t>PHỤ_KIỆN_VAN</t>
        </is>
      </c>
      <c r="E986" t="inlineStr">
        <is>
          <t>MAT-DAMPER-TRUC-SUS-201-D10</t>
        </is>
      </c>
      <c r="F986" t="inlineStr">
        <is>
          <t>m</t>
        </is>
      </c>
      <c r="G986" s="394" t="n">
        <v>0.72</v>
      </c>
      <c r="H986" s="390">
        <f>IFERROR(INDEX('00_TONG_HOP_BAO_GIA'!$G$1:$G$5000, MATCH(B986, '00_TONG_HOP_BAO_GIA'!$B$1:$B$5000, 0)), 1)</f>
        <v/>
      </c>
      <c r="I986" s="395">
        <f>G986*H986</f>
        <v/>
      </c>
      <c r="J986" s="390">
        <f>IFERROR(INDEX('06_BANG_GIA_VAT_TU_AP_DUNG'!$E$1:$E$5000, MATCH(E986, '06_BANG_GIA_VAT_TU_AP_DUNG'!$B$1:$B$5000, 0)), 0)</f>
        <v/>
      </c>
      <c r="K986" s="390">
        <f>I986*J986</f>
        <v/>
      </c>
      <c r="L986" t="inlineStr">
        <is>
          <t>2 trục dài 360mm</t>
        </is>
      </c>
    </row>
    <row r="987">
      <c r="A987" t="inlineStr">
        <is>
          <t>SW-DAMPER-189-BEARING</t>
        </is>
      </c>
      <c r="B987" t="inlineStr">
        <is>
          <t>SW-DAMPER-189</t>
        </is>
      </c>
      <c r="C987" t="inlineStr">
        <is>
          <t>Bạc đồng D10</t>
        </is>
      </c>
      <c r="D987" t="inlineStr">
        <is>
          <t>PHỤ_KIỆN_VAN</t>
        </is>
      </c>
      <c r="E987" t="inlineStr">
        <is>
          <t>MAT-DAMPER-BAC-DONG-D10</t>
        </is>
      </c>
      <c r="F987" t="inlineStr">
        <is>
          <t>Đôi</t>
        </is>
      </c>
      <c r="G987" s="394" t="n">
        <v>2</v>
      </c>
      <c r="H987" s="390">
        <f>IFERROR(INDEX('00_TONG_HOP_BAO_GIA'!$G$1:$G$5000, MATCH(B987, '00_TONG_HOP_BAO_GIA'!$B$1:$B$5000, 0)), 1)</f>
        <v/>
      </c>
      <c r="I987" s="395">
        <f>G987*H987</f>
        <v/>
      </c>
      <c r="J987" s="390">
        <f>IFERROR(INDEX('06_BANG_GIA_VAT_TU_AP_DUNG'!$E$1:$E$5000, MATCH(E987, '06_BANG_GIA_VAT_TU_AP_DUNG'!$B$1:$B$5000, 0)), 0)</f>
        <v/>
      </c>
      <c r="K987" s="390">
        <f>I987*J987</f>
        <v/>
      </c>
      <c r="L987" t="inlineStr">
        <is>
          <t>2 đôi bạc đỡ 2 bên thân</t>
        </is>
      </c>
    </row>
    <row r="988">
      <c r="A988" t="inlineStr">
        <is>
          <t>SW-DAMPER-189-GEAR</t>
        </is>
      </c>
      <c r="B988" t="inlineStr">
        <is>
          <t>SW-DAMPER-189</t>
        </is>
      </c>
      <c r="C988" t="inlineStr">
        <is>
          <t>Bánh răng van nhôm</t>
        </is>
      </c>
      <c r="D988" t="inlineStr">
        <is>
          <t>PHỤ_KIỆN_VAN</t>
        </is>
      </c>
      <c r="E988" t="inlineStr">
        <is>
          <t>MAT-DAMPER-BANH-RANG-VAN-NHOM</t>
        </is>
      </c>
      <c r="F988" t="inlineStr">
        <is>
          <t>Bộ</t>
        </is>
      </c>
      <c r="G988" s="394" t="n">
        <v>1</v>
      </c>
      <c r="H988" s="390">
        <f>IFERROR(INDEX('00_TONG_HOP_BAO_GIA'!$G$1:$G$5000, MATCH(B988, '00_TONG_HOP_BAO_GIA'!$B$1:$B$5000, 0)), 1)</f>
        <v/>
      </c>
      <c r="I988" s="395">
        <f>G988*H988</f>
        <v/>
      </c>
      <c r="J988" s="390">
        <f>IFERROR(INDEX('06_BANG_GIA_VAT_TU_AP_DUNG'!$E$1:$E$5000, MATCH(E988, '06_BANG_GIA_VAT_TU_AP_DUNG'!$B$1:$B$5000, 0)), 0)</f>
        <v/>
      </c>
      <c r="K988" s="390">
        <f>I988*J988</f>
        <v/>
      </c>
      <c r="L988" t="inlineStr">
        <is>
          <t>Cơ cấu liên động cánh (1 bộ)</t>
        </is>
      </c>
    </row>
    <row r="989">
      <c r="A989" t="inlineStr">
        <is>
          <t>SW-DAMPER-189-HANDLE</t>
        </is>
      </c>
      <c r="B989" t="inlineStr">
        <is>
          <t>SW-DAMPER-189</t>
        </is>
      </c>
      <c r="C989" t="inlineStr">
        <is>
          <t>Tay gạt nhỏ</t>
        </is>
      </c>
      <c r="D989" t="inlineStr">
        <is>
          <t>PHỤ_KIỆN_VAN</t>
        </is>
      </c>
      <c r="E989" t="inlineStr">
        <is>
          <t>MAT-DAMPER-TAY-GAT-NHO</t>
        </is>
      </c>
      <c r="F989" t="inlineStr">
        <is>
          <t>Bộ</t>
        </is>
      </c>
      <c r="G989" s="394" t="n">
        <v>1</v>
      </c>
      <c r="H989" s="390">
        <f>IFERROR(INDEX('00_TONG_HOP_BAO_GIA'!$G$1:$G$5000, MATCH(B989, '00_TONG_HOP_BAO_GIA'!$B$1:$B$5000, 0)), 1)</f>
        <v/>
      </c>
      <c r="I989" s="395">
        <f>G989*H989</f>
        <v/>
      </c>
      <c r="J989" s="390">
        <f>IFERROR(INDEX('06_BANG_GIA_VAT_TU_AP_DUNG'!$E$1:$E$5000, MATCH(E989, '06_BANG_GIA_VAT_TU_AP_DUNG'!$B$1:$B$5000, 0)), 0)</f>
        <v/>
      </c>
      <c r="K989" s="390">
        <f>I989*J989</f>
        <v/>
      </c>
      <c r="L989" t="inlineStr">
        <is>
          <t>Tay gạt khóa vị trí nan (S=0.09m2)</t>
        </is>
      </c>
    </row>
    <row r="990">
      <c r="A990" t="inlineStr">
        <is>
          <t>SW-DAMPER-190-BODY</t>
        </is>
      </c>
      <c r="B990" t="inlineStr">
        <is>
          <t>SW-DAMPER-190</t>
        </is>
      </c>
      <c r="C990" t="inlineStr">
        <is>
          <t>Thân vỏ van NRD bích C30/TDF (0.75mm)</t>
        </is>
      </c>
      <c r="D990" t="inlineStr">
        <is>
          <t>TÔN_CUỘN_MẠ_KẼM</t>
        </is>
      </c>
      <c r="E990" t="inlineStr">
        <is>
          <t>MAT-STEEL-PN-0.75</t>
        </is>
      </c>
      <c r="F990" t="inlineStr">
        <is>
          <t>kg</t>
        </is>
      </c>
      <c r="G990" s="394" t="n">
        <v>1.9732545</v>
      </c>
      <c r="H990" s="390">
        <f>IFERROR(INDEX('00_TONG_HOP_BAO_GIA'!$G$1:$G$5000, MATCH(B990, '00_TONG_HOP_BAO_GIA'!$B$1:$B$5000, 0)), 1)</f>
        <v/>
      </c>
      <c r="I990" s="395">
        <f>G990*H990</f>
        <v/>
      </c>
      <c r="J990" s="390">
        <f>IFERROR(INDEX('06_BANG_GIA_VAT_TU_AP_DUNG'!$E$1:$E$5000, MATCH(E990, '06_BANG_GIA_VAT_TU_AP_DUNG'!$B$1:$B$5000, 0)), 0)</f>
        <v/>
      </c>
      <c r="K990" s="390">
        <f>I990*J990</f>
        <v/>
      </c>
      <c r="L990" t="inlineStr">
        <is>
          <t>Kích thước vỏ 350x200x210mm</t>
        </is>
      </c>
    </row>
    <row r="991">
      <c r="A991" t="inlineStr">
        <is>
          <t>SW-DAMPER-190-BLADE</t>
        </is>
      </c>
      <c r="B991" t="inlineStr">
        <is>
          <t>SW-DAMPER-190</t>
        </is>
      </c>
      <c r="C991" t="inlineStr">
        <is>
          <t>Lá cánh / Tôn tấm bọc van (2 cánh)</t>
        </is>
      </c>
      <c r="D991" t="inlineStr">
        <is>
          <t>TÔN_CUỘN_MẠ_KẼM</t>
        </is>
      </c>
      <c r="E991" t="inlineStr">
        <is>
          <t>MAT-STEEL-PN-0.75</t>
        </is>
      </c>
      <c r="F991" t="inlineStr">
        <is>
          <t>kg</t>
        </is>
      </c>
      <c r="G991" s="394" t="n">
        <v>0.5341139999999999</v>
      </c>
      <c r="H991" s="390">
        <f>IFERROR(INDEX('00_TONG_HOP_BAO_GIA'!$G$1:$G$5000, MATCH(B991, '00_TONG_HOP_BAO_GIA'!$B$1:$B$5000, 0)), 1)</f>
        <v/>
      </c>
      <c r="I991" s="395">
        <f>G991*H991</f>
        <v/>
      </c>
      <c r="J991" s="390">
        <f>IFERROR(INDEX('06_BANG_GIA_VAT_TU_AP_DUNG'!$E$1:$E$5000, MATCH(E991, '06_BANG_GIA_VAT_TU_AP_DUNG'!$B$1:$B$5000, 0)), 0)</f>
        <v/>
      </c>
      <c r="K991" s="390">
        <f>I991*J991</f>
        <v/>
      </c>
      <c r="L991" t="inlineStr">
        <is>
          <t>2 cánh cao 120mm</t>
        </is>
      </c>
    </row>
    <row r="992">
      <c r="A992" t="inlineStr">
        <is>
          <t>SW-DAMPER-190-AXLE</t>
        </is>
      </c>
      <c r="B992" t="inlineStr">
        <is>
          <t>SW-DAMPER-190</t>
        </is>
      </c>
      <c r="C992" t="inlineStr">
        <is>
          <t>Trục Sus 201 D10</t>
        </is>
      </c>
      <c r="D992" t="inlineStr">
        <is>
          <t>PHỤ_KIỆN_VAN</t>
        </is>
      </c>
      <c r="E992" t="inlineStr">
        <is>
          <t>MAT-DAMPER-TRUC-SUS-201-D10</t>
        </is>
      </c>
      <c r="F992" t="inlineStr">
        <is>
          <t>m</t>
        </is>
      </c>
      <c r="G992" s="394" t="n">
        <v>0.82</v>
      </c>
      <c r="H992" s="390">
        <f>IFERROR(INDEX('00_TONG_HOP_BAO_GIA'!$G$1:$G$5000, MATCH(B992, '00_TONG_HOP_BAO_GIA'!$B$1:$B$5000, 0)), 1)</f>
        <v/>
      </c>
      <c r="I992" s="395">
        <f>G992*H992</f>
        <v/>
      </c>
      <c r="J992" s="390">
        <f>IFERROR(INDEX('06_BANG_GIA_VAT_TU_AP_DUNG'!$E$1:$E$5000, MATCH(E992, '06_BANG_GIA_VAT_TU_AP_DUNG'!$B$1:$B$5000, 0)), 0)</f>
        <v/>
      </c>
      <c r="K992" s="390">
        <f>I992*J992</f>
        <v/>
      </c>
      <c r="L992" t="inlineStr">
        <is>
          <t>2 trục dài 410mm</t>
        </is>
      </c>
    </row>
    <row r="993">
      <c r="A993" t="inlineStr">
        <is>
          <t>SW-DAMPER-190-BEARING</t>
        </is>
      </c>
      <c r="B993" t="inlineStr">
        <is>
          <t>SW-DAMPER-190</t>
        </is>
      </c>
      <c r="C993" t="inlineStr">
        <is>
          <t>Bạc đồng D10</t>
        </is>
      </c>
      <c r="D993" t="inlineStr">
        <is>
          <t>PHỤ_KIỆN_VAN</t>
        </is>
      </c>
      <c r="E993" t="inlineStr">
        <is>
          <t>MAT-DAMPER-BAC-DONG-D10</t>
        </is>
      </c>
      <c r="F993" t="inlineStr">
        <is>
          <t>Đôi</t>
        </is>
      </c>
      <c r="G993" s="394" t="n">
        <v>2</v>
      </c>
      <c r="H993" s="390">
        <f>IFERROR(INDEX('00_TONG_HOP_BAO_GIA'!$G$1:$G$5000, MATCH(B993, '00_TONG_HOP_BAO_GIA'!$B$1:$B$5000, 0)), 1)</f>
        <v/>
      </c>
      <c r="I993" s="395">
        <f>G993*H993</f>
        <v/>
      </c>
      <c r="J993" s="390">
        <f>IFERROR(INDEX('06_BANG_GIA_VAT_TU_AP_DUNG'!$E$1:$E$5000, MATCH(E993, '06_BANG_GIA_VAT_TU_AP_DUNG'!$B$1:$B$5000, 0)), 0)</f>
        <v/>
      </c>
      <c r="K993" s="390">
        <f>I993*J993</f>
        <v/>
      </c>
      <c r="L993" t="inlineStr">
        <is>
          <t>2 đôi bạc đỡ 2 bên thân</t>
        </is>
      </c>
    </row>
    <row r="994">
      <c r="A994" t="inlineStr">
        <is>
          <t>SW-DAMPER-190-GEAR</t>
        </is>
      </c>
      <c r="B994" t="inlineStr">
        <is>
          <t>SW-DAMPER-190</t>
        </is>
      </c>
      <c r="C994" t="inlineStr">
        <is>
          <t>Bánh răng van nhôm</t>
        </is>
      </c>
      <c r="D994" t="inlineStr">
        <is>
          <t>PHỤ_KIỆN_VAN</t>
        </is>
      </c>
      <c r="E994" t="inlineStr">
        <is>
          <t>MAT-DAMPER-BANH-RANG-VAN-NHOM</t>
        </is>
      </c>
      <c r="F994" t="inlineStr">
        <is>
          <t>Bộ</t>
        </is>
      </c>
      <c r="G994" s="394" t="n">
        <v>1</v>
      </c>
      <c r="H994" s="390">
        <f>IFERROR(INDEX('00_TONG_HOP_BAO_GIA'!$G$1:$G$5000, MATCH(B994, '00_TONG_HOP_BAO_GIA'!$B$1:$B$5000, 0)), 1)</f>
        <v/>
      </c>
      <c r="I994" s="395">
        <f>G994*H994</f>
        <v/>
      </c>
      <c r="J994" s="390">
        <f>IFERROR(INDEX('06_BANG_GIA_VAT_TU_AP_DUNG'!$E$1:$E$5000, MATCH(E994, '06_BANG_GIA_VAT_TU_AP_DUNG'!$B$1:$B$5000, 0)), 0)</f>
        <v/>
      </c>
      <c r="K994" s="390">
        <f>I994*J994</f>
        <v/>
      </c>
      <c r="L994" t="inlineStr">
        <is>
          <t>Cơ cấu liên động cánh (1 bộ)</t>
        </is>
      </c>
    </row>
    <row r="995">
      <c r="A995" t="inlineStr">
        <is>
          <t>SW-DAMPER-190-ECCENTRIC</t>
        </is>
      </c>
      <c r="B995" t="inlineStr">
        <is>
          <t>SW-DAMPER-190</t>
        </is>
      </c>
      <c r="C995" t="inlineStr">
        <is>
          <t>Cơ cấu lệch tâm / Lò xo đóng mở (NRD)</t>
        </is>
      </c>
      <c r="D995" t="inlineStr">
        <is>
          <t>PHỤ_KIỆN_VAN</t>
        </is>
      </c>
      <c r="E995" t="inlineStr">
        <is>
          <t>ECCENTRIC_SHAFT</t>
        </is>
      </c>
      <c r="F995" t="inlineStr">
        <is>
          <t>Bộ</t>
        </is>
      </c>
      <c r="G995" s="394" t="n">
        <v>1</v>
      </c>
      <c r="H995" s="390">
        <f>IFERROR(INDEX('00_TONG_HOP_BAO_GIA'!$G$1:$G$5000, MATCH(B995, '00_TONG_HOP_BAO_GIA'!$B$1:$B$5000, 0)), 1)</f>
        <v/>
      </c>
      <c r="I995" s="395">
        <f>G995*H995</f>
        <v/>
      </c>
      <c r="J995" s="390">
        <f>IFERROR(INDEX('06_BANG_GIA_VAT_TU_AP_DUNG'!$E$1:$E$5000, MATCH(E995, '06_BANG_GIA_VAT_TU_AP_DUNG'!$B$1:$B$5000, 0)), 0)</f>
        <v/>
      </c>
      <c r="K995" s="390">
        <f>I995*J995</f>
        <v/>
      </c>
      <c r="L995" t="inlineStr">
        <is>
          <t>Cơ cấu đóng mở một chiều</t>
        </is>
      </c>
    </row>
    <row r="996">
      <c r="A996" t="inlineStr">
        <is>
          <t>SW-DAMPER-191-BODY</t>
        </is>
      </c>
      <c r="B996" t="inlineStr">
        <is>
          <t>SW-DAMPER-191</t>
        </is>
      </c>
      <c r="C996" t="inlineStr">
        <is>
          <t>Thân vỏ van NRD bích C30/TDF (0.75mm)</t>
        </is>
      </c>
      <c r="D996" t="inlineStr">
        <is>
          <t>TÔN_CUỘN_MẠ_KẼM</t>
        </is>
      </c>
      <c r="E996" t="inlineStr">
        <is>
          <t>MAT-STEEL-PN-0.75</t>
        </is>
      </c>
      <c r="F996" t="inlineStr">
        <is>
          <t>kg</t>
        </is>
      </c>
      <c r="G996" s="394" t="n">
        <v>2.838717</v>
      </c>
      <c r="H996" s="390">
        <f>IFERROR(INDEX('00_TONG_HOP_BAO_GIA'!$G$1:$G$5000, MATCH(B996, '00_TONG_HOP_BAO_GIA'!$B$1:$B$5000, 0)), 1)</f>
        <v/>
      </c>
      <c r="I996" s="395">
        <f>G996*H996</f>
        <v/>
      </c>
      <c r="J996" s="390">
        <f>IFERROR(INDEX('06_BANG_GIA_VAT_TU_AP_DUNG'!$E$1:$E$5000, MATCH(E996, '06_BANG_GIA_VAT_TU_AP_DUNG'!$B$1:$B$5000, 0)), 0)</f>
        <v/>
      </c>
      <c r="K996" s="390">
        <f>I996*J996</f>
        <v/>
      </c>
      <c r="L996" t="inlineStr">
        <is>
          <t>Kích thước vỏ 400x400x210mm</t>
        </is>
      </c>
    </row>
    <row r="997">
      <c r="A997" t="inlineStr">
        <is>
          <t>SW-DAMPER-191-BLADE</t>
        </is>
      </c>
      <c r="B997" t="inlineStr">
        <is>
          <t>SW-DAMPER-191</t>
        </is>
      </c>
      <c r="C997" t="inlineStr">
        <is>
          <t>Lá cánh / Tôn tấm bọc van (3 cánh)</t>
        </is>
      </c>
      <c r="D997" t="inlineStr">
        <is>
          <t>TÔN_CUỘN_MẠ_KẼM</t>
        </is>
      </c>
      <c r="E997" t="inlineStr">
        <is>
          <t>MAT-STEEL-PN-0.75</t>
        </is>
      </c>
      <c r="F997" t="inlineStr">
        <is>
          <t>kg</t>
        </is>
      </c>
      <c r="G997" s="394" t="n">
        <v>1.169964</v>
      </c>
      <c r="H997" s="390">
        <f>IFERROR(INDEX('00_TONG_HOP_BAO_GIA'!$G$1:$G$5000, MATCH(B997, '00_TONG_HOP_BAO_GIA'!$B$1:$B$5000, 0)), 1)</f>
        <v/>
      </c>
      <c r="I997" s="395">
        <f>G997*H997</f>
        <v/>
      </c>
      <c r="J997" s="390">
        <f>IFERROR(INDEX('06_BANG_GIA_VAT_TU_AP_DUNG'!$E$1:$E$5000, MATCH(E997, '06_BANG_GIA_VAT_TU_AP_DUNG'!$B$1:$B$5000, 0)), 0)</f>
        <v/>
      </c>
      <c r="K997" s="390">
        <f>I997*J997</f>
        <v/>
      </c>
      <c r="L997" t="inlineStr">
        <is>
          <t>3 cánh cao 153mm</t>
        </is>
      </c>
    </row>
    <row r="998">
      <c r="A998" t="inlineStr">
        <is>
          <t>SW-DAMPER-191-AXLE</t>
        </is>
      </c>
      <c r="B998" t="inlineStr">
        <is>
          <t>SW-DAMPER-191</t>
        </is>
      </c>
      <c r="C998" t="inlineStr">
        <is>
          <t>Trục Sus 201 D10</t>
        </is>
      </c>
      <c r="D998" t="inlineStr">
        <is>
          <t>PHỤ_KIỆN_VAN</t>
        </is>
      </c>
      <c r="E998" t="inlineStr">
        <is>
          <t>MAT-DAMPER-TRUC-SUS-201-D10</t>
        </is>
      </c>
      <c r="F998" t="inlineStr">
        <is>
          <t>m</t>
        </is>
      </c>
      <c r="G998" s="394" t="n">
        <v>1.38</v>
      </c>
      <c r="H998" s="390">
        <f>IFERROR(INDEX('00_TONG_HOP_BAO_GIA'!$G$1:$G$5000, MATCH(B998, '00_TONG_HOP_BAO_GIA'!$B$1:$B$5000, 0)), 1)</f>
        <v/>
      </c>
      <c r="I998" s="395">
        <f>G998*H998</f>
        <v/>
      </c>
      <c r="J998" s="390">
        <f>IFERROR(INDEX('06_BANG_GIA_VAT_TU_AP_DUNG'!$E$1:$E$5000, MATCH(E998, '06_BANG_GIA_VAT_TU_AP_DUNG'!$B$1:$B$5000, 0)), 0)</f>
        <v/>
      </c>
      <c r="K998" s="390">
        <f>I998*J998</f>
        <v/>
      </c>
      <c r="L998" t="inlineStr">
        <is>
          <t>3 trục dài 460mm</t>
        </is>
      </c>
    </row>
    <row r="999">
      <c r="A999" t="inlineStr">
        <is>
          <t>SW-DAMPER-191-BEARING</t>
        </is>
      </c>
      <c r="B999" t="inlineStr">
        <is>
          <t>SW-DAMPER-191</t>
        </is>
      </c>
      <c r="C999" t="inlineStr">
        <is>
          <t>Bạc đồng D10</t>
        </is>
      </c>
      <c r="D999" t="inlineStr">
        <is>
          <t>PHỤ_KIỆN_VAN</t>
        </is>
      </c>
      <c r="E999" t="inlineStr">
        <is>
          <t>MAT-DAMPER-BAC-DONG-D10</t>
        </is>
      </c>
      <c r="F999" t="inlineStr">
        <is>
          <t>Đôi</t>
        </is>
      </c>
      <c r="G999" s="394" t="n">
        <v>3</v>
      </c>
      <c r="H999" s="390">
        <f>IFERROR(INDEX('00_TONG_HOP_BAO_GIA'!$G$1:$G$5000, MATCH(B999, '00_TONG_HOP_BAO_GIA'!$B$1:$B$5000, 0)), 1)</f>
        <v/>
      </c>
      <c r="I999" s="395">
        <f>G999*H999</f>
        <v/>
      </c>
      <c r="J999" s="390">
        <f>IFERROR(INDEX('06_BANG_GIA_VAT_TU_AP_DUNG'!$E$1:$E$5000, MATCH(E999, '06_BANG_GIA_VAT_TU_AP_DUNG'!$B$1:$B$5000, 0)), 0)</f>
        <v/>
      </c>
      <c r="K999" s="390">
        <f>I999*J999</f>
        <v/>
      </c>
      <c r="L999" t="inlineStr">
        <is>
          <t>3 đôi bạc đỡ 2 bên thân</t>
        </is>
      </c>
    </row>
    <row r="1000">
      <c r="A1000" t="inlineStr">
        <is>
          <t>SW-DAMPER-191-GEAR</t>
        </is>
      </c>
      <c r="B1000" t="inlineStr">
        <is>
          <t>SW-DAMPER-191</t>
        </is>
      </c>
      <c r="C1000" t="inlineStr">
        <is>
          <t>Bánh răng van nhôm</t>
        </is>
      </c>
      <c r="D1000" t="inlineStr">
        <is>
          <t>PHỤ_KIỆN_VAN</t>
        </is>
      </c>
      <c r="E1000" t="inlineStr">
        <is>
          <t>MAT-DAMPER-BANH-RANG-VAN-NHOM</t>
        </is>
      </c>
      <c r="F1000" t="inlineStr">
        <is>
          <t>Bộ</t>
        </is>
      </c>
      <c r="G1000" s="394" t="n">
        <v>1</v>
      </c>
      <c r="H1000" s="390">
        <f>IFERROR(INDEX('00_TONG_HOP_BAO_GIA'!$G$1:$G$5000, MATCH(B1000, '00_TONG_HOP_BAO_GIA'!$B$1:$B$5000, 0)), 1)</f>
        <v/>
      </c>
      <c r="I1000" s="395">
        <f>G1000*H1000</f>
        <v/>
      </c>
      <c r="J1000" s="390">
        <f>IFERROR(INDEX('06_BANG_GIA_VAT_TU_AP_DUNG'!$E$1:$E$5000, MATCH(E1000, '06_BANG_GIA_VAT_TU_AP_DUNG'!$B$1:$B$5000, 0)), 0)</f>
        <v/>
      </c>
      <c r="K1000" s="390">
        <f>I1000*J1000</f>
        <v/>
      </c>
      <c r="L1000" t="inlineStr">
        <is>
          <t>Cơ cấu liên động cánh (1 bộ)</t>
        </is>
      </c>
    </row>
    <row r="1001">
      <c r="A1001" t="inlineStr">
        <is>
          <t>SW-DAMPER-191-ECCENTRIC</t>
        </is>
      </c>
      <c r="B1001" t="inlineStr">
        <is>
          <t>SW-DAMPER-191</t>
        </is>
      </c>
      <c r="C1001" t="inlineStr">
        <is>
          <t>Cơ cấu lệch tâm / Lò xo đóng mở (NRD)</t>
        </is>
      </c>
      <c r="D1001" t="inlineStr">
        <is>
          <t>PHỤ_KIỆN_VAN</t>
        </is>
      </c>
      <c r="E1001" t="inlineStr">
        <is>
          <t>ECCENTRIC_SHAFT</t>
        </is>
      </c>
      <c r="F1001" t="inlineStr">
        <is>
          <t>Bộ</t>
        </is>
      </c>
      <c r="G1001" s="394" t="n">
        <v>1</v>
      </c>
      <c r="H1001" s="390">
        <f>IFERROR(INDEX('00_TONG_HOP_BAO_GIA'!$G$1:$G$5000, MATCH(B1001, '00_TONG_HOP_BAO_GIA'!$B$1:$B$5000, 0)), 1)</f>
        <v/>
      </c>
      <c r="I1001" s="395">
        <f>G1001*H1001</f>
        <v/>
      </c>
      <c r="J1001" s="390">
        <f>IFERROR(INDEX('06_BANG_GIA_VAT_TU_AP_DUNG'!$E$1:$E$5000, MATCH(E1001, '06_BANG_GIA_VAT_TU_AP_DUNG'!$B$1:$B$5000, 0)), 0)</f>
        <v/>
      </c>
      <c r="K1001" s="390">
        <f>I1001*J1001</f>
        <v/>
      </c>
      <c r="L1001" t="inlineStr">
        <is>
          <t>Cơ cấu đóng mở một chiều</t>
        </is>
      </c>
    </row>
    <row r="1002">
      <c r="A1002" t="inlineStr">
        <is>
          <t>SW-DAMPER-192-BODY</t>
        </is>
      </c>
      <c r="B1002" t="inlineStr">
        <is>
          <t>SW-DAMPER-192</t>
        </is>
      </c>
      <c r="C1002" t="inlineStr">
        <is>
          <t>Thân vỏ van NRD bích C30/TDF (0.75mm)</t>
        </is>
      </c>
      <c r="D1002" t="inlineStr">
        <is>
          <t>TÔN_CUỘN_MẠ_KẼM</t>
        </is>
      </c>
      <c r="E1002" t="inlineStr">
        <is>
          <t>MAT-STEEL-PN-0.75</t>
        </is>
      </c>
      <c r="F1002" t="inlineStr">
        <is>
          <t>kg</t>
        </is>
      </c>
      <c r="G1002" s="394" t="n">
        <v>1.800162</v>
      </c>
      <c r="H1002" s="390">
        <f>IFERROR(INDEX('00_TONG_HOP_BAO_GIA'!$G$1:$G$5000, MATCH(B1002, '00_TONG_HOP_BAO_GIA'!$B$1:$B$5000, 0)), 1)</f>
        <v/>
      </c>
      <c r="I1002" s="395">
        <f>G1002*H1002</f>
        <v/>
      </c>
      <c r="J1002" s="390">
        <f>IFERROR(INDEX('06_BANG_GIA_VAT_TU_AP_DUNG'!$E$1:$E$5000, MATCH(E1002, '06_BANG_GIA_VAT_TU_AP_DUNG'!$B$1:$B$5000, 0)), 0)</f>
        <v/>
      </c>
      <c r="K1002" s="390">
        <f>I1002*J1002</f>
        <v/>
      </c>
      <c r="L1002" t="inlineStr">
        <is>
          <t>Kích thước vỏ 250x250x210mm</t>
        </is>
      </c>
    </row>
    <row r="1003">
      <c r="A1003" t="inlineStr">
        <is>
          <t>SW-DAMPER-192-BLADE</t>
        </is>
      </c>
      <c r="B1003" t="inlineStr">
        <is>
          <t>SW-DAMPER-192</t>
        </is>
      </c>
      <c r="C1003" t="inlineStr">
        <is>
          <t>Lá cánh / Tôn tấm bọc van (2 cánh)</t>
        </is>
      </c>
      <c r="D1003" t="inlineStr">
        <is>
          <t>TÔN_CUỘN_MẠ_KẼM</t>
        </is>
      </c>
      <c r="E1003" t="inlineStr">
        <is>
          <t>MAT-STEEL-PN-0.75</t>
        </is>
      </c>
      <c r="F1003" t="inlineStr">
        <is>
          <t>kg</t>
        </is>
      </c>
      <c r="G1003" s="394" t="n">
        <v>0.4609912499999999</v>
      </c>
      <c r="H1003" s="390">
        <f>IFERROR(INDEX('00_TONG_HOP_BAO_GIA'!$G$1:$G$5000, MATCH(B1003, '00_TONG_HOP_BAO_GIA'!$B$1:$B$5000, 0)), 1)</f>
        <v/>
      </c>
      <c r="I1003" s="395">
        <f>G1003*H1003</f>
        <v/>
      </c>
      <c r="J1003" s="390">
        <f>IFERROR(INDEX('06_BANG_GIA_VAT_TU_AP_DUNG'!$E$1:$E$5000, MATCH(E1003, '06_BANG_GIA_VAT_TU_AP_DUNG'!$B$1:$B$5000, 0)), 0)</f>
        <v/>
      </c>
      <c r="K1003" s="390">
        <f>I1003*J1003</f>
        <v/>
      </c>
      <c r="L1003" t="inlineStr">
        <is>
          <t>2 cánh cao 145mm</t>
        </is>
      </c>
    </row>
    <row r="1004">
      <c r="A1004" t="inlineStr">
        <is>
          <t>SW-DAMPER-192-AXLE</t>
        </is>
      </c>
      <c r="B1004" t="inlineStr">
        <is>
          <t>SW-DAMPER-192</t>
        </is>
      </c>
      <c r="C1004" t="inlineStr">
        <is>
          <t>Trục Sus 201 D10</t>
        </is>
      </c>
      <c r="D1004" t="inlineStr">
        <is>
          <t>PHỤ_KIỆN_VAN</t>
        </is>
      </c>
      <c r="E1004" t="inlineStr">
        <is>
          <t>MAT-DAMPER-TRUC-SUS-201-D10</t>
        </is>
      </c>
      <c r="F1004" t="inlineStr">
        <is>
          <t>m</t>
        </is>
      </c>
      <c r="G1004" s="394" t="n">
        <v>0.62</v>
      </c>
      <c r="H1004" s="390">
        <f>IFERROR(INDEX('00_TONG_HOP_BAO_GIA'!$G$1:$G$5000, MATCH(B1004, '00_TONG_HOP_BAO_GIA'!$B$1:$B$5000, 0)), 1)</f>
        <v/>
      </c>
      <c r="I1004" s="395">
        <f>G1004*H1004</f>
        <v/>
      </c>
      <c r="J1004" s="390">
        <f>IFERROR(INDEX('06_BANG_GIA_VAT_TU_AP_DUNG'!$E$1:$E$5000, MATCH(E1004, '06_BANG_GIA_VAT_TU_AP_DUNG'!$B$1:$B$5000, 0)), 0)</f>
        <v/>
      </c>
      <c r="K1004" s="390">
        <f>I1004*J1004</f>
        <v/>
      </c>
      <c r="L1004" t="inlineStr">
        <is>
          <t>2 trục dài 310mm</t>
        </is>
      </c>
    </row>
    <row r="1005">
      <c r="A1005" t="inlineStr">
        <is>
          <t>SW-DAMPER-192-BEARING</t>
        </is>
      </c>
      <c r="B1005" t="inlineStr">
        <is>
          <t>SW-DAMPER-192</t>
        </is>
      </c>
      <c r="C1005" t="inlineStr">
        <is>
          <t>Bạc đồng D10</t>
        </is>
      </c>
      <c r="D1005" t="inlineStr">
        <is>
          <t>PHỤ_KIỆN_VAN</t>
        </is>
      </c>
      <c r="E1005" t="inlineStr">
        <is>
          <t>MAT-DAMPER-BAC-DONG-D10</t>
        </is>
      </c>
      <c r="F1005" t="inlineStr">
        <is>
          <t>Đôi</t>
        </is>
      </c>
      <c r="G1005" s="394" t="n">
        <v>2</v>
      </c>
      <c r="H1005" s="390">
        <f>IFERROR(INDEX('00_TONG_HOP_BAO_GIA'!$G$1:$G$5000, MATCH(B1005, '00_TONG_HOP_BAO_GIA'!$B$1:$B$5000, 0)), 1)</f>
        <v/>
      </c>
      <c r="I1005" s="395">
        <f>G1005*H1005</f>
        <v/>
      </c>
      <c r="J1005" s="390">
        <f>IFERROR(INDEX('06_BANG_GIA_VAT_TU_AP_DUNG'!$E$1:$E$5000, MATCH(E1005, '06_BANG_GIA_VAT_TU_AP_DUNG'!$B$1:$B$5000, 0)), 0)</f>
        <v/>
      </c>
      <c r="K1005" s="390">
        <f>I1005*J1005</f>
        <v/>
      </c>
      <c r="L1005" t="inlineStr">
        <is>
          <t>2 đôi bạc đỡ 2 bên thân</t>
        </is>
      </c>
    </row>
    <row r="1006">
      <c r="A1006" t="inlineStr">
        <is>
          <t>SW-DAMPER-192-GEAR</t>
        </is>
      </c>
      <c r="B1006" t="inlineStr">
        <is>
          <t>SW-DAMPER-192</t>
        </is>
      </c>
      <c r="C1006" t="inlineStr">
        <is>
          <t>Bánh răng van nhôm</t>
        </is>
      </c>
      <c r="D1006" t="inlineStr">
        <is>
          <t>PHỤ_KIỆN_VAN</t>
        </is>
      </c>
      <c r="E1006" t="inlineStr">
        <is>
          <t>MAT-DAMPER-BANH-RANG-VAN-NHOM</t>
        </is>
      </c>
      <c r="F1006" t="inlineStr">
        <is>
          <t>Bộ</t>
        </is>
      </c>
      <c r="G1006" s="394" t="n">
        <v>1</v>
      </c>
      <c r="H1006" s="390">
        <f>IFERROR(INDEX('00_TONG_HOP_BAO_GIA'!$G$1:$G$5000, MATCH(B1006, '00_TONG_HOP_BAO_GIA'!$B$1:$B$5000, 0)), 1)</f>
        <v/>
      </c>
      <c r="I1006" s="395">
        <f>G1006*H1006</f>
        <v/>
      </c>
      <c r="J1006" s="390">
        <f>IFERROR(INDEX('06_BANG_GIA_VAT_TU_AP_DUNG'!$E$1:$E$5000, MATCH(E1006, '06_BANG_GIA_VAT_TU_AP_DUNG'!$B$1:$B$5000, 0)), 0)</f>
        <v/>
      </c>
      <c r="K1006" s="390">
        <f>I1006*J1006</f>
        <v/>
      </c>
      <c r="L1006" t="inlineStr">
        <is>
          <t>Cơ cấu liên động cánh (1 bộ)</t>
        </is>
      </c>
    </row>
    <row r="1007">
      <c r="A1007" t="inlineStr">
        <is>
          <t>SW-DAMPER-192-ECCENTRIC</t>
        </is>
      </c>
      <c r="B1007" t="inlineStr">
        <is>
          <t>SW-DAMPER-192</t>
        </is>
      </c>
      <c r="C1007" t="inlineStr">
        <is>
          <t>Cơ cấu lệch tâm / Lò xo đóng mở (NRD)</t>
        </is>
      </c>
      <c r="D1007" t="inlineStr">
        <is>
          <t>PHỤ_KIỆN_VAN</t>
        </is>
      </c>
      <c r="E1007" t="inlineStr">
        <is>
          <t>ECCENTRIC_SHAFT</t>
        </is>
      </c>
      <c r="F1007" t="inlineStr">
        <is>
          <t>Bộ</t>
        </is>
      </c>
      <c r="G1007" s="394" t="n">
        <v>1</v>
      </c>
      <c r="H1007" s="390">
        <f>IFERROR(INDEX('00_TONG_HOP_BAO_GIA'!$G$1:$G$5000, MATCH(B1007, '00_TONG_HOP_BAO_GIA'!$B$1:$B$5000, 0)), 1)</f>
        <v/>
      </c>
      <c r="I1007" s="395">
        <f>G1007*H1007</f>
        <v/>
      </c>
      <c r="J1007" s="390">
        <f>IFERROR(INDEX('06_BANG_GIA_VAT_TU_AP_DUNG'!$E$1:$E$5000, MATCH(E1007, '06_BANG_GIA_VAT_TU_AP_DUNG'!$B$1:$B$5000, 0)), 0)</f>
        <v/>
      </c>
      <c r="K1007" s="390">
        <f>I1007*J1007</f>
        <v/>
      </c>
      <c r="L1007" t="inlineStr">
        <is>
          <t>Cơ cấu đóng mở một chiều</t>
        </is>
      </c>
    </row>
    <row r="1008">
      <c r="A1008" t="inlineStr">
        <is>
          <t>SW-DAMPER-193-BODY</t>
        </is>
      </c>
      <c r="B1008" t="inlineStr">
        <is>
          <t>SW-DAMPER-193</t>
        </is>
      </c>
      <c r="C1008" t="inlineStr">
        <is>
          <t>Thân vỏ van NRD bích C30/TDF (0.75mm)</t>
        </is>
      </c>
      <c r="D1008" t="inlineStr">
        <is>
          <t>TÔN_CUỘN_MẠ_KẼM</t>
        </is>
      </c>
      <c r="E1008" t="inlineStr">
        <is>
          <t>MAT-STEEL-PN-0.75</t>
        </is>
      </c>
      <c r="F1008" t="inlineStr">
        <is>
          <t>kg</t>
        </is>
      </c>
      <c r="G1008" s="394" t="n">
        <v>6.8890815</v>
      </c>
      <c r="H1008" s="390">
        <f>IFERROR(INDEX('00_TONG_HOP_BAO_GIA'!$G$1:$G$5000, MATCH(B1008, '00_TONG_HOP_BAO_GIA'!$B$1:$B$5000, 0)), 1)</f>
        <v/>
      </c>
      <c r="I1008" s="395">
        <f>G1008*H1008</f>
        <v/>
      </c>
      <c r="J1008" s="390">
        <f>IFERROR(INDEX('06_BANG_GIA_VAT_TU_AP_DUNG'!$E$1:$E$5000, MATCH(E1008, '06_BANG_GIA_VAT_TU_AP_DUNG'!$B$1:$B$5000, 0)), 0)</f>
        <v/>
      </c>
      <c r="K1008" s="390">
        <f>I1008*J1008</f>
        <v/>
      </c>
      <c r="L1008" t="inlineStr">
        <is>
          <t>Kích thước vỏ 1250x350x210mm (2 modul 625x350mm)</t>
        </is>
      </c>
    </row>
    <row r="1009">
      <c r="A1009" t="inlineStr">
        <is>
          <t>SW-DAMPER-193-BLADE</t>
        </is>
      </c>
      <c r="B1009" t="inlineStr">
        <is>
          <t>SW-DAMPER-193</t>
        </is>
      </c>
      <c r="C1009" t="inlineStr">
        <is>
          <t>Lá cánh / Tôn tấm bọc van (4 cánh)</t>
        </is>
      </c>
      <c r="D1009" t="inlineStr">
        <is>
          <t>TÔN_CUỘN_MẠ_KẼM</t>
        </is>
      </c>
      <c r="E1009" t="inlineStr">
        <is>
          <t>MAT-STEEL-PN-0.75</t>
        </is>
      </c>
      <c r="F1009" t="inlineStr">
        <is>
          <t>kg</t>
        </is>
      </c>
      <c r="G1009" s="394" t="n">
        <v>3.09976875</v>
      </c>
      <c r="H1009" s="390">
        <f>IFERROR(INDEX('00_TONG_HOP_BAO_GIA'!$G$1:$G$5000, MATCH(B1009, '00_TONG_HOP_BAO_GIA'!$B$1:$B$5000, 0)), 1)</f>
        <v/>
      </c>
      <c r="I1009" s="395">
        <f>G1009*H1009</f>
        <v/>
      </c>
      <c r="J1009" s="390">
        <f>IFERROR(INDEX('06_BANG_GIA_VAT_TU_AP_DUNG'!$E$1:$E$5000, MATCH(E1009, '06_BANG_GIA_VAT_TU_AP_DUNG'!$B$1:$B$5000, 0)), 0)</f>
        <v/>
      </c>
      <c r="K1009" s="390">
        <f>I1009*J1009</f>
        <v/>
      </c>
      <c r="L1009" t="inlineStr">
        <is>
          <t>4 cánh cao 195mm (2 modul 625x350mm)</t>
        </is>
      </c>
    </row>
    <row r="1010">
      <c r="A1010" t="inlineStr">
        <is>
          <t>SW-DAMPER-193-AXLE</t>
        </is>
      </c>
      <c r="B1010" t="inlineStr">
        <is>
          <t>SW-DAMPER-193</t>
        </is>
      </c>
      <c r="C1010" t="inlineStr">
        <is>
          <t>Trục Sus 201 D10</t>
        </is>
      </c>
      <c r="D1010" t="inlineStr">
        <is>
          <t>PHỤ_KIỆN_VAN</t>
        </is>
      </c>
      <c r="E1010" t="inlineStr">
        <is>
          <t>MAT-DAMPER-TRUC-SUS-201-D10</t>
        </is>
      </c>
      <c r="F1010" t="inlineStr">
        <is>
          <t>m</t>
        </is>
      </c>
      <c r="G1010" s="394" t="n">
        <v>2.74</v>
      </c>
      <c r="H1010" s="390">
        <f>IFERROR(INDEX('00_TONG_HOP_BAO_GIA'!$G$1:$G$5000, MATCH(B1010, '00_TONG_HOP_BAO_GIA'!$B$1:$B$5000, 0)), 1)</f>
        <v/>
      </c>
      <c r="I1010" s="395">
        <f>G1010*H1010</f>
        <v/>
      </c>
      <c r="J1010" s="390">
        <f>IFERROR(INDEX('06_BANG_GIA_VAT_TU_AP_DUNG'!$E$1:$E$5000, MATCH(E1010, '06_BANG_GIA_VAT_TU_AP_DUNG'!$B$1:$B$5000, 0)), 0)</f>
        <v/>
      </c>
      <c r="K1010" s="390">
        <f>I1010*J1010</f>
        <v/>
      </c>
      <c r="L1010" t="inlineStr">
        <is>
          <t>4 trục dài 685mm</t>
        </is>
      </c>
    </row>
    <row r="1011">
      <c r="A1011" t="inlineStr">
        <is>
          <t>SW-DAMPER-193-BEARING</t>
        </is>
      </c>
      <c r="B1011" t="inlineStr">
        <is>
          <t>SW-DAMPER-193</t>
        </is>
      </c>
      <c r="C1011" t="inlineStr">
        <is>
          <t>Bạc đồng D10</t>
        </is>
      </c>
      <c r="D1011" t="inlineStr">
        <is>
          <t>PHỤ_KIỆN_VAN</t>
        </is>
      </c>
      <c r="E1011" t="inlineStr">
        <is>
          <t>MAT-DAMPER-BAC-DONG-D10</t>
        </is>
      </c>
      <c r="F1011" t="inlineStr">
        <is>
          <t>Đôi</t>
        </is>
      </c>
      <c r="G1011" s="394" t="n">
        <v>4</v>
      </c>
      <c r="H1011" s="390">
        <f>IFERROR(INDEX('00_TONG_HOP_BAO_GIA'!$G$1:$G$5000, MATCH(B1011, '00_TONG_HOP_BAO_GIA'!$B$1:$B$5000, 0)), 1)</f>
        <v/>
      </c>
      <c r="I1011" s="395">
        <f>G1011*H1011</f>
        <v/>
      </c>
      <c r="J1011" s="390">
        <f>IFERROR(INDEX('06_BANG_GIA_VAT_TU_AP_DUNG'!$E$1:$E$5000, MATCH(E1011, '06_BANG_GIA_VAT_TU_AP_DUNG'!$B$1:$B$5000, 0)), 0)</f>
        <v/>
      </c>
      <c r="K1011" s="390">
        <f>I1011*J1011</f>
        <v/>
      </c>
      <c r="L1011" t="inlineStr">
        <is>
          <t>4 đôi bạc đỡ 2 bên thân</t>
        </is>
      </c>
    </row>
    <row r="1012">
      <c r="A1012" t="inlineStr">
        <is>
          <t>SW-DAMPER-193-GEAR</t>
        </is>
      </c>
      <c r="B1012" t="inlineStr">
        <is>
          <t>SW-DAMPER-193</t>
        </is>
      </c>
      <c r="C1012" t="inlineStr">
        <is>
          <t>Bánh răng van nhôm</t>
        </is>
      </c>
      <c r="D1012" t="inlineStr">
        <is>
          <t>PHỤ_KIỆN_VAN</t>
        </is>
      </c>
      <c r="E1012" t="inlineStr">
        <is>
          <t>MAT-DAMPER-BANH-RANG-VAN-NHOM</t>
        </is>
      </c>
      <c r="F1012" t="inlineStr">
        <is>
          <t>Bộ</t>
        </is>
      </c>
      <c r="G1012" s="394" t="n">
        <v>2</v>
      </c>
      <c r="H1012" s="390">
        <f>IFERROR(INDEX('00_TONG_HOP_BAO_GIA'!$G$1:$G$5000, MATCH(B1012, '00_TONG_HOP_BAO_GIA'!$B$1:$B$5000, 0)), 1)</f>
        <v/>
      </c>
      <c r="I1012" s="395">
        <f>G1012*H1012</f>
        <v/>
      </c>
      <c r="J1012" s="390">
        <f>IFERROR(INDEX('06_BANG_GIA_VAT_TU_AP_DUNG'!$E$1:$E$5000, MATCH(E1012, '06_BANG_GIA_VAT_TU_AP_DUNG'!$B$1:$B$5000, 0)), 0)</f>
        <v/>
      </c>
      <c r="K1012" s="390">
        <f>I1012*J1012</f>
        <v/>
      </c>
      <c r="L1012" t="inlineStr">
        <is>
          <t>Cơ cấu liên động cánh (2 bộ)</t>
        </is>
      </c>
    </row>
    <row r="1013">
      <c r="A1013" t="inlineStr">
        <is>
          <t>SW-DAMPER-193-ECCENTRIC</t>
        </is>
      </c>
      <c r="B1013" t="inlineStr">
        <is>
          <t>SW-DAMPER-193</t>
        </is>
      </c>
      <c r="C1013" t="inlineStr">
        <is>
          <t>Cơ cấu lệch tâm / Lò xo đóng mở (NRD)</t>
        </is>
      </c>
      <c r="D1013" t="inlineStr">
        <is>
          <t>PHỤ_KIỆN_VAN</t>
        </is>
      </c>
      <c r="E1013" t="inlineStr">
        <is>
          <t>ECCENTRIC_SHAFT</t>
        </is>
      </c>
      <c r="F1013" t="inlineStr">
        <is>
          <t>Bộ</t>
        </is>
      </c>
      <c r="G1013" s="394" t="n">
        <v>2</v>
      </c>
      <c r="H1013" s="390">
        <f>IFERROR(INDEX('00_TONG_HOP_BAO_GIA'!$G$1:$G$5000, MATCH(B1013, '00_TONG_HOP_BAO_GIA'!$B$1:$B$5000, 0)), 1)</f>
        <v/>
      </c>
      <c r="I1013" s="395">
        <f>G1013*H1013</f>
        <v/>
      </c>
      <c r="J1013" s="390">
        <f>IFERROR(INDEX('06_BANG_GIA_VAT_TU_AP_DUNG'!$E$1:$E$5000, MATCH(E1013, '06_BANG_GIA_VAT_TU_AP_DUNG'!$B$1:$B$5000, 0)), 0)</f>
        <v/>
      </c>
      <c r="K1013" s="390">
        <f>I1013*J1013</f>
        <v/>
      </c>
      <c r="L1013" t="inlineStr">
        <is>
          <t>Cơ cấu đóng mở một chiều</t>
        </is>
      </c>
    </row>
    <row r="1014">
      <c r="A1014" t="inlineStr">
        <is>
          <t>SW-DAMPER-194-BODY</t>
        </is>
      </c>
      <c r="B1014" t="inlineStr">
        <is>
          <t>SW-DAMPER-194</t>
        </is>
      </c>
      <c r="C1014" t="inlineStr">
        <is>
          <t>Thân vỏ van NRD bích C30/TDF (0.95mm)</t>
        </is>
      </c>
      <c r="D1014" t="inlineStr">
        <is>
          <t>TÔN_CUỘN_MẠ_KẼM</t>
        </is>
      </c>
      <c r="E1014" t="inlineStr">
        <is>
          <t>MAT-STEEL-PN-0.95</t>
        </is>
      </c>
      <c r="F1014" t="inlineStr">
        <is>
          <t>kg</t>
        </is>
      </c>
      <c r="G1014" s="394" t="n">
        <v>6.884465700000001</v>
      </c>
      <c r="H1014" s="390">
        <f>IFERROR(INDEX('00_TONG_HOP_BAO_GIA'!$G$1:$G$5000, MATCH(B1014, '00_TONG_HOP_BAO_GIA'!$B$1:$B$5000, 0)), 1)</f>
        <v/>
      </c>
      <c r="I1014" s="395">
        <f>G1014*H1014</f>
        <v/>
      </c>
      <c r="J1014" s="390">
        <f>IFERROR(INDEX('06_BANG_GIA_VAT_TU_AP_DUNG'!$E$1:$E$5000, MATCH(E1014, '06_BANG_GIA_VAT_TU_AP_DUNG'!$B$1:$B$5000, 0)), 0)</f>
        <v/>
      </c>
      <c r="K1014" s="390">
        <f>I1014*J1014</f>
        <v/>
      </c>
      <c r="L1014" t="inlineStr">
        <is>
          <t>Kích thước vỏ 1000x550x210mm</t>
        </is>
      </c>
    </row>
    <row r="1015">
      <c r="A1015" t="inlineStr">
        <is>
          <t>SW-DAMPER-194-BLADE</t>
        </is>
      </c>
      <c r="B1015" t="inlineStr">
        <is>
          <t>SW-DAMPER-194</t>
        </is>
      </c>
      <c r="C1015" t="inlineStr">
        <is>
          <t>Lá cánh / Tôn tấm bọc van (4 cánh)</t>
        </is>
      </c>
      <c r="D1015" t="inlineStr">
        <is>
          <t>TÔN_CUỘN_MẠ_KẼM</t>
        </is>
      </c>
      <c r="E1015" t="inlineStr">
        <is>
          <t>MAT-STEEL-PN-0.75</t>
        </is>
      </c>
      <c r="F1015" t="inlineStr">
        <is>
          <t>kg</t>
        </is>
      </c>
      <c r="G1015" s="394" t="n">
        <v>4.005854999999999</v>
      </c>
      <c r="H1015" s="390">
        <f>IFERROR(INDEX('00_TONG_HOP_BAO_GIA'!$G$1:$G$5000, MATCH(B1015, '00_TONG_HOP_BAO_GIA'!$B$1:$B$5000, 0)), 1)</f>
        <v/>
      </c>
      <c r="I1015" s="395">
        <f>G1015*H1015</f>
        <v/>
      </c>
      <c r="J1015" s="390">
        <f>IFERROR(INDEX('06_BANG_GIA_VAT_TU_AP_DUNG'!$E$1:$E$5000, MATCH(E1015, '06_BANG_GIA_VAT_TU_AP_DUNG'!$B$1:$B$5000, 0)), 0)</f>
        <v/>
      </c>
      <c r="K1015" s="390">
        <f>I1015*J1015</f>
        <v/>
      </c>
      <c r="L1015" t="inlineStr">
        <is>
          <t>4 cánh cao 158mm</t>
        </is>
      </c>
    </row>
    <row r="1016">
      <c r="A1016" t="inlineStr">
        <is>
          <t>SW-DAMPER-194-AXLE</t>
        </is>
      </c>
      <c r="B1016" t="inlineStr">
        <is>
          <t>SW-DAMPER-194</t>
        </is>
      </c>
      <c r="C1016" t="inlineStr">
        <is>
          <t>Trục Sus 201 D10</t>
        </is>
      </c>
      <c r="D1016" t="inlineStr">
        <is>
          <t>PHỤ_KIỆN_VAN</t>
        </is>
      </c>
      <c r="E1016" t="inlineStr">
        <is>
          <t>MAT-DAMPER-TRUC-SUS-201-D10</t>
        </is>
      </c>
      <c r="F1016" t="inlineStr">
        <is>
          <t>m</t>
        </is>
      </c>
      <c r="G1016" s="394" t="n">
        <v>4.24</v>
      </c>
      <c r="H1016" s="390">
        <f>IFERROR(INDEX('00_TONG_HOP_BAO_GIA'!$G$1:$G$5000, MATCH(B1016, '00_TONG_HOP_BAO_GIA'!$B$1:$B$5000, 0)), 1)</f>
        <v/>
      </c>
      <c r="I1016" s="395">
        <f>G1016*H1016</f>
        <v/>
      </c>
      <c r="J1016" s="390">
        <f>IFERROR(INDEX('06_BANG_GIA_VAT_TU_AP_DUNG'!$E$1:$E$5000, MATCH(E1016, '06_BANG_GIA_VAT_TU_AP_DUNG'!$B$1:$B$5000, 0)), 0)</f>
        <v/>
      </c>
      <c r="K1016" s="390">
        <f>I1016*J1016</f>
        <v/>
      </c>
      <c r="L1016" t="inlineStr">
        <is>
          <t>4 trục dài 1060mm</t>
        </is>
      </c>
    </row>
    <row r="1017">
      <c r="A1017" t="inlineStr">
        <is>
          <t>SW-DAMPER-194-BEARING</t>
        </is>
      </c>
      <c r="B1017" t="inlineStr">
        <is>
          <t>SW-DAMPER-194</t>
        </is>
      </c>
      <c r="C1017" t="inlineStr">
        <is>
          <t>Bạc đồng D10</t>
        </is>
      </c>
      <c r="D1017" t="inlineStr">
        <is>
          <t>PHỤ_KIỆN_VAN</t>
        </is>
      </c>
      <c r="E1017" t="inlineStr">
        <is>
          <t>MAT-DAMPER-BAC-DONG-D10</t>
        </is>
      </c>
      <c r="F1017" t="inlineStr">
        <is>
          <t>Đôi</t>
        </is>
      </c>
      <c r="G1017" s="394" t="n">
        <v>4</v>
      </c>
      <c r="H1017" s="390">
        <f>IFERROR(INDEX('00_TONG_HOP_BAO_GIA'!$G$1:$G$5000, MATCH(B1017, '00_TONG_HOP_BAO_GIA'!$B$1:$B$5000, 0)), 1)</f>
        <v/>
      </c>
      <c r="I1017" s="395">
        <f>G1017*H1017</f>
        <v/>
      </c>
      <c r="J1017" s="390">
        <f>IFERROR(INDEX('06_BANG_GIA_VAT_TU_AP_DUNG'!$E$1:$E$5000, MATCH(E1017, '06_BANG_GIA_VAT_TU_AP_DUNG'!$B$1:$B$5000, 0)), 0)</f>
        <v/>
      </c>
      <c r="K1017" s="390">
        <f>I1017*J1017</f>
        <v/>
      </c>
      <c r="L1017" t="inlineStr">
        <is>
          <t>4 đôi bạc đỡ 2 bên thân</t>
        </is>
      </c>
    </row>
    <row r="1018">
      <c r="A1018" t="inlineStr">
        <is>
          <t>SW-DAMPER-194-GEAR</t>
        </is>
      </c>
      <c r="B1018" t="inlineStr">
        <is>
          <t>SW-DAMPER-194</t>
        </is>
      </c>
      <c r="C1018" t="inlineStr">
        <is>
          <t>Bánh răng van nhôm</t>
        </is>
      </c>
      <c r="D1018" t="inlineStr">
        <is>
          <t>PHỤ_KIỆN_VAN</t>
        </is>
      </c>
      <c r="E1018" t="inlineStr">
        <is>
          <t>MAT-DAMPER-BANH-RANG-VAN-NHOM</t>
        </is>
      </c>
      <c r="F1018" t="inlineStr">
        <is>
          <t>Bộ</t>
        </is>
      </c>
      <c r="G1018" s="394" t="n">
        <v>1</v>
      </c>
      <c r="H1018" s="390">
        <f>IFERROR(INDEX('00_TONG_HOP_BAO_GIA'!$G$1:$G$5000, MATCH(B1018, '00_TONG_HOP_BAO_GIA'!$B$1:$B$5000, 0)), 1)</f>
        <v/>
      </c>
      <c r="I1018" s="395">
        <f>G1018*H1018</f>
        <v/>
      </c>
      <c r="J1018" s="390">
        <f>IFERROR(INDEX('06_BANG_GIA_VAT_TU_AP_DUNG'!$E$1:$E$5000, MATCH(E1018, '06_BANG_GIA_VAT_TU_AP_DUNG'!$B$1:$B$5000, 0)), 0)</f>
        <v/>
      </c>
      <c r="K1018" s="390">
        <f>I1018*J1018</f>
        <v/>
      </c>
      <c r="L1018" t="inlineStr">
        <is>
          <t>Cơ cấu liên động cánh (1 bộ)</t>
        </is>
      </c>
    </row>
    <row r="1019">
      <c r="A1019" t="inlineStr">
        <is>
          <t>SW-DAMPER-194-ECCENTRIC</t>
        </is>
      </c>
      <c r="B1019" t="inlineStr">
        <is>
          <t>SW-DAMPER-194</t>
        </is>
      </c>
      <c r="C1019" t="inlineStr">
        <is>
          <t>Cơ cấu lệch tâm / Lò xo đóng mở (NRD)</t>
        </is>
      </c>
      <c r="D1019" t="inlineStr">
        <is>
          <t>PHỤ_KIỆN_VAN</t>
        </is>
      </c>
      <c r="E1019" t="inlineStr">
        <is>
          <t>ECCENTRIC_SHAFT</t>
        </is>
      </c>
      <c r="F1019" t="inlineStr">
        <is>
          <t>Bộ</t>
        </is>
      </c>
      <c r="G1019" s="394" t="n">
        <v>1</v>
      </c>
      <c r="H1019" s="390">
        <f>IFERROR(INDEX('00_TONG_HOP_BAO_GIA'!$G$1:$G$5000, MATCH(B1019, '00_TONG_HOP_BAO_GIA'!$B$1:$B$5000, 0)), 1)</f>
        <v/>
      </c>
      <c r="I1019" s="395">
        <f>G1019*H1019</f>
        <v/>
      </c>
      <c r="J1019" s="390">
        <f>IFERROR(INDEX('06_BANG_GIA_VAT_TU_AP_DUNG'!$E$1:$E$5000, MATCH(E1019, '06_BANG_GIA_VAT_TU_AP_DUNG'!$B$1:$B$5000, 0)), 0)</f>
        <v/>
      </c>
      <c r="K1019" s="390">
        <f>I1019*J1019</f>
        <v/>
      </c>
      <c r="L1019" t="inlineStr">
        <is>
          <t>Cơ cấu đóng mở một chiều</t>
        </is>
      </c>
    </row>
    <row r="1020">
      <c r="A1020" t="inlineStr">
        <is>
          <t>SW-DAMPER-195-BODY</t>
        </is>
      </c>
      <c r="B1020" t="inlineStr">
        <is>
          <t>SW-DAMPER-195</t>
        </is>
      </c>
      <c r="C1020" t="inlineStr">
        <is>
          <t>Thân vỏ van NRD bích C30/TDF (0.75mm)</t>
        </is>
      </c>
      <c r="D1020" t="inlineStr">
        <is>
          <t>TÔN_CUỘN_MẠ_KẼM</t>
        </is>
      </c>
      <c r="E1020" t="inlineStr">
        <is>
          <t>MAT-STEEL-PN-0.75</t>
        </is>
      </c>
      <c r="F1020" t="inlineStr">
        <is>
          <t>kg</t>
        </is>
      </c>
      <c r="G1020" s="394" t="n">
        <v>2.146347</v>
      </c>
      <c r="H1020" s="390">
        <f>IFERROR(INDEX('00_TONG_HOP_BAO_GIA'!$G$1:$G$5000, MATCH(B1020, '00_TONG_HOP_BAO_GIA'!$B$1:$B$5000, 0)), 1)</f>
        <v/>
      </c>
      <c r="I1020" s="395">
        <f>G1020*H1020</f>
        <v/>
      </c>
      <c r="J1020" s="390">
        <f>IFERROR(INDEX('06_BANG_GIA_VAT_TU_AP_DUNG'!$E$1:$E$5000, MATCH(E1020, '06_BANG_GIA_VAT_TU_AP_DUNG'!$B$1:$B$5000, 0)), 0)</f>
        <v/>
      </c>
      <c r="K1020" s="390">
        <f>I1020*J1020</f>
        <v/>
      </c>
      <c r="L1020" t="inlineStr">
        <is>
          <t>Kích thước vỏ 400x200x210mm</t>
        </is>
      </c>
    </row>
    <row r="1021">
      <c r="A1021" t="inlineStr">
        <is>
          <t>SW-DAMPER-195-BLADE</t>
        </is>
      </c>
      <c r="B1021" t="inlineStr">
        <is>
          <t>SW-DAMPER-195</t>
        </is>
      </c>
      <c r="C1021" t="inlineStr">
        <is>
          <t>Lá cánh / Tôn tấm bọc van (2 cánh)</t>
        </is>
      </c>
      <c r="D1021" t="inlineStr">
        <is>
          <t>TÔN_CUỘN_MẠ_KẼM</t>
        </is>
      </c>
      <c r="E1021" t="inlineStr">
        <is>
          <t>MAT-STEEL-PN-0.75</t>
        </is>
      </c>
      <c r="F1021" t="inlineStr">
        <is>
          <t>kg</t>
        </is>
      </c>
      <c r="G1021" s="394" t="n">
        <v>0.610416</v>
      </c>
      <c r="H1021" s="390">
        <f>IFERROR(INDEX('00_TONG_HOP_BAO_GIA'!$G$1:$G$5000, MATCH(B1021, '00_TONG_HOP_BAO_GIA'!$B$1:$B$5000, 0)), 1)</f>
        <v/>
      </c>
      <c r="I1021" s="395">
        <f>G1021*H1021</f>
        <v/>
      </c>
      <c r="J1021" s="390">
        <f>IFERROR(INDEX('06_BANG_GIA_VAT_TU_AP_DUNG'!$E$1:$E$5000, MATCH(E1021, '06_BANG_GIA_VAT_TU_AP_DUNG'!$B$1:$B$5000, 0)), 0)</f>
        <v/>
      </c>
      <c r="K1021" s="390">
        <f>I1021*J1021</f>
        <v/>
      </c>
      <c r="L1021" t="inlineStr">
        <is>
          <t>2 cánh cao 120mm</t>
        </is>
      </c>
    </row>
    <row r="1022">
      <c r="A1022" t="inlineStr">
        <is>
          <t>SW-DAMPER-195-AXLE</t>
        </is>
      </c>
      <c r="B1022" t="inlineStr">
        <is>
          <t>SW-DAMPER-195</t>
        </is>
      </c>
      <c r="C1022" t="inlineStr">
        <is>
          <t>Trục Sus 201 D10</t>
        </is>
      </c>
      <c r="D1022" t="inlineStr">
        <is>
          <t>PHỤ_KIỆN_VAN</t>
        </is>
      </c>
      <c r="E1022" t="inlineStr">
        <is>
          <t>MAT-DAMPER-TRUC-SUS-201-D10</t>
        </is>
      </c>
      <c r="F1022" t="inlineStr">
        <is>
          <t>m</t>
        </is>
      </c>
      <c r="G1022" s="394" t="n">
        <v>0.92</v>
      </c>
      <c r="H1022" s="390">
        <f>IFERROR(INDEX('00_TONG_HOP_BAO_GIA'!$G$1:$G$5000, MATCH(B1022, '00_TONG_HOP_BAO_GIA'!$B$1:$B$5000, 0)), 1)</f>
        <v/>
      </c>
      <c r="I1022" s="395">
        <f>G1022*H1022</f>
        <v/>
      </c>
      <c r="J1022" s="390">
        <f>IFERROR(INDEX('06_BANG_GIA_VAT_TU_AP_DUNG'!$E$1:$E$5000, MATCH(E1022, '06_BANG_GIA_VAT_TU_AP_DUNG'!$B$1:$B$5000, 0)), 0)</f>
        <v/>
      </c>
      <c r="K1022" s="390">
        <f>I1022*J1022</f>
        <v/>
      </c>
      <c r="L1022" t="inlineStr">
        <is>
          <t>2 trục dài 460mm</t>
        </is>
      </c>
    </row>
    <row r="1023">
      <c r="A1023" t="inlineStr">
        <is>
          <t>SW-DAMPER-195-BEARING</t>
        </is>
      </c>
      <c r="B1023" t="inlineStr">
        <is>
          <t>SW-DAMPER-195</t>
        </is>
      </c>
      <c r="C1023" t="inlineStr">
        <is>
          <t>Bạc đồng D10</t>
        </is>
      </c>
      <c r="D1023" t="inlineStr">
        <is>
          <t>PHỤ_KIỆN_VAN</t>
        </is>
      </c>
      <c r="E1023" t="inlineStr">
        <is>
          <t>MAT-DAMPER-BAC-DONG-D10</t>
        </is>
      </c>
      <c r="F1023" t="inlineStr">
        <is>
          <t>Đôi</t>
        </is>
      </c>
      <c r="G1023" s="394" t="n">
        <v>2</v>
      </c>
      <c r="H1023" s="390">
        <f>IFERROR(INDEX('00_TONG_HOP_BAO_GIA'!$G$1:$G$5000, MATCH(B1023, '00_TONG_HOP_BAO_GIA'!$B$1:$B$5000, 0)), 1)</f>
        <v/>
      </c>
      <c r="I1023" s="395">
        <f>G1023*H1023</f>
        <v/>
      </c>
      <c r="J1023" s="390">
        <f>IFERROR(INDEX('06_BANG_GIA_VAT_TU_AP_DUNG'!$E$1:$E$5000, MATCH(E1023, '06_BANG_GIA_VAT_TU_AP_DUNG'!$B$1:$B$5000, 0)), 0)</f>
        <v/>
      </c>
      <c r="K1023" s="390">
        <f>I1023*J1023</f>
        <v/>
      </c>
      <c r="L1023" t="inlineStr">
        <is>
          <t>2 đôi bạc đỡ 2 bên thân</t>
        </is>
      </c>
    </row>
    <row r="1024">
      <c r="A1024" t="inlineStr">
        <is>
          <t>SW-DAMPER-195-GEAR</t>
        </is>
      </c>
      <c r="B1024" t="inlineStr">
        <is>
          <t>SW-DAMPER-195</t>
        </is>
      </c>
      <c r="C1024" t="inlineStr">
        <is>
          <t>Bánh răng van nhôm</t>
        </is>
      </c>
      <c r="D1024" t="inlineStr">
        <is>
          <t>PHỤ_KIỆN_VAN</t>
        </is>
      </c>
      <c r="E1024" t="inlineStr">
        <is>
          <t>MAT-DAMPER-BANH-RANG-VAN-NHOM</t>
        </is>
      </c>
      <c r="F1024" t="inlineStr">
        <is>
          <t>Bộ</t>
        </is>
      </c>
      <c r="G1024" s="394" t="n">
        <v>1</v>
      </c>
      <c r="H1024" s="390">
        <f>IFERROR(INDEX('00_TONG_HOP_BAO_GIA'!$G$1:$G$5000, MATCH(B1024, '00_TONG_HOP_BAO_GIA'!$B$1:$B$5000, 0)), 1)</f>
        <v/>
      </c>
      <c r="I1024" s="395">
        <f>G1024*H1024</f>
        <v/>
      </c>
      <c r="J1024" s="390">
        <f>IFERROR(INDEX('06_BANG_GIA_VAT_TU_AP_DUNG'!$E$1:$E$5000, MATCH(E1024, '06_BANG_GIA_VAT_TU_AP_DUNG'!$B$1:$B$5000, 0)), 0)</f>
        <v/>
      </c>
      <c r="K1024" s="390">
        <f>I1024*J1024</f>
        <v/>
      </c>
      <c r="L1024" t="inlineStr">
        <is>
          <t>Cơ cấu liên động cánh (1 bộ)</t>
        </is>
      </c>
    </row>
    <row r="1025">
      <c r="A1025" t="inlineStr">
        <is>
          <t>SW-DAMPER-195-ECCENTRIC</t>
        </is>
      </c>
      <c r="B1025" t="inlineStr">
        <is>
          <t>SW-DAMPER-195</t>
        </is>
      </c>
      <c r="C1025" t="inlineStr">
        <is>
          <t>Cơ cấu lệch tâm / Lò xo đóng mở (NRD)</t>
        </is>
      </c>
      <c r="D1025" t="inlineStr">
        <is>
          <t>PHỤ_KIỆN_VAN</t>
        </is>
      </c>
      <c r="E1025" t="inlineStr">
        <is>
          <t>ECCENTRIC_SHAFT</t>
        </is>
      </c>
      <c r="F1025" t="inlineStr">
        <is>
          <t>Bộ</t>
        </is>
      </c>
      <c r="G1025" s="394" t="n">
        <v>1</v>
      </c>
      <c r="H1025" s="390">
        <f>IFERROR(INDEX('00_TONG_HOP_BAO_GIA'!$G$1:$G$5000, MATCH(B1025, '00_TONG_HOP_BAO_GIA'!$B$1:$B$5000, 0)), 1)</f>
        <v/>
      </c>
      <c r="I1025" s="395">
        <f>G1025*H1025</f>
        <v/>
      </c>
      <c r="J1025" s="390">
        <f>IFERROR(INDEX('06_BANG_GIA_VAT_TU_AP_DUNG'!$E$1:$E$5000, MATCH(E1025, '06_BANG_GIA_VAT_TU_AP_DUNG'!$B$1:$B$5000, 0)), 0)</f>
        <v/>
      </c>
      <c r="K1025" s="390">
        <f>I1025*J1025</f>
        <v/>
      </c>
      <c r="L1025" t="inlineStr">
        <is>
          <t>Cơ cấu đóng mở một chiều</t>
        </is>
      </c>
    </row>
    <row r="1026">
      <c r="A1026" t="inlineStr">
        <is>
          <t>SW-DAMPER-196-BODY</t>
        </is>
      </c>
      <c r="B1026" t="inlineStr">
        <is>
          <t>SW-DAMPER-196</t>
        </is>
      </c>
      <c r="C1026" t="inlineStr">
        <is>
          <t>Thân vỏ van NRD bích C30/TDF (0.75mm)</t>
        </is>
      </c>
      <c r="D1026" t="inlineStr">
        <is>
          <t>TÔN_CUỘN_MẠ_KẼM</t>
        </is>
      </c>
      <c r="E1026" t="inlineStr">
        <is>
          <t>MAT-STEEL-PN-0.75</t>
        </is>
      </c>
      <c r="F1026" t="inlineStr">
        <is>
          <t>kg</t>
        </is>
      </c>
      <c r="G1026" s="394" t="n">
        <v>4.3965495</v>
      </c>
      <c r="H1026" s="390">
        <f>IFERROR(INDEX('00_TONG_HOP_BAO_GIA'!$G$1:$G$5000, MATCH(B1026, '00_TONG_HOP_BAO_GIA'!$B$1:$B$5000, 0)), 1)</f>
        <v/>
      </c>
      <c r="I1026" s="395">
        <f>G1026*H1026</f>
        <v/>
      </c>
      <c r="J1026" s="390">
        <f>IFERROR(INDEX('06_BANG_GIA_VAT_TU_AP_DUNG'!$E$1:$E$5000, MATCH(E1026, '06_BANG_GIA_VAT_TU_AP_DUNG'!$B$1:$B$5000, 0)), 0)</f>
        <v/>
      </c>
      <c r="K1026" s="390">
        <f>I1026*J1026</f>
        <v/>
      </c>
      <c r="L1026" t="inlineStr">
        <is>
          <t>Kích thước vỏ 800x450x210mm</t>
        </is>
      </c>
    </row>
    <row r="1027">
      <c r="A1027" t="inlineStr">
        <is>
          <t>SW-DAMPER-196-BLADE</t>
        </is>
      </c>
      <c r="B1027" t="inlineStr">
        <is>
          <t>SW-DAMPER-196</t>
        </is>
      </c>
      <c r="C1027" t="inlineStr">
        <is>
          <t>Lá cánh / Tôn tấm bọc van (3 cánh)</t>
        </is>
      </c>
      <c r="D1027" t="inlineStr">
        <is>
          <t>TÔN_CUỘN_MẠ_KẼM</t>
        </is>
      </c>
      <c r="E1027" t="inlineStr">
        <is>
          <t>MAT-STEEL-PN-0.75</t>
        </is>
      </c>
      <c r="F1027" t="inlineStr">
        <is>
          <t>kg</t>
        </is>
      </c>
      <c r="G1027" s="394" t="n">
        <v>2.594268</v>
      </c>
      <c r="H1027" s="390">
        <f>IFERROR(INDEX('00_TONG_HOP_BAO_GIA'!$G$1:$G$5000, MATCH(B1027, '00_TONG_HOP_BAO_GIA'!$B$1:$B$5000, 0)), 1)</f>
        <v/>
      </c>
      <c r="I1027" s="395">
        <f>G1027*H1027</f>
        <v/>
      </c>
      <c r="J1027" s="390">
        <f>IFERROR(INDEX('06_BANG_GIA_VAT_TU_AP_DUNG'!$E$1:$E$5000, MATCH(E1027, '06_BANG_GIA_VAT_TU_AP_DUNG'!$B$1:$B$5000, 0)), 0)</f>
        <v/>
      </c>
      <c r="K1027" s="390">
        <f>I1027*J1027</f>
        <v/>
      </c>
      <c r="L1027" t="inlineStr">
        <is>
          <t>3 cánh cao 170mm</t>
        </is>
      </c>
    </row>
    <row r="1028">
      <c r="A1028" t="inlineStr">
        <is>
          <t>SW-DAMPER-196-AXLE</t>
        </is>
      </c>
      <c r="B1028" t="inlineStr">
        <is>
          <t>SW-DAMPER-196</t>
        </is>
      </c>
      <c r="C1028" t="inlineStr">
        <is>
          <t>Trục Sus 201 D10</t>
        </is>
      </c>
      <c r="D1028" t="inlineStr">
        <is>
          <t>PHỤ_KIỆN_VAN</t>
        </is>
      </c>
      <c r="E1028" t="inlineStr">
        <is>
          <t>MAT-DAMPER-TRUC-SUS-201-D10</t>
        </is>
      </c>
      <c r="F1028" t="inlineStr">
        <is>
          <t>m</t>
        </is>
      </c>
      <c r="G1028" s="394" t="n">
        <v>2.58</v>
      </c>
      <c r="H1028" s="390">
        <f>IFERROR(INDEX('00_TONG_HOP_BAO_GIA'!$G$1:$G$5000, MATCH(B1028, '00_TONG_HOP_BAO_GIA'!$B$1:$B$5000, 0)), 1)</f>
        <v/>
      </c>
      <c r="I1028" s="395">
        <f>G1028*H1028</f>
        <v/>
      </c>
      <c r="J1028" s="390">
        <f>IFERROR(INDEX('06_BANG_GIA_VAT_TU_AP_DUNG'!$E$1:$E$5000, MATCH(E1028, '06_BANG_GIA_VAT_TU_AP_DUNG'!$B$1:$B$5000, 0)), 0)</f>
        <v/>
      </c>
      <c r="K1028" s="390">
        <f>I1028*J1028</f>
        <v/>
      </c>
      <c r="L1028" t="inlineStr">
        <is>
          <t>3 trục dài 860mm</t>
        </is>
      </c>
    </row>
    <row r="1029">
      <c r="A1029" t="inlineStr">
        <is>
          <t>SW-DAMPER-196-BEARING</t>
        </is>
      </c>
      <c r="B1029" t="inlineStr">
        <is>
          <t>SW-DAMPER-196</t>
        </is>
      </c>
      <c r="C1029" t="inlineStr">
        <is>
          <t>Bạc đồng D10</t>
        </is>
      </c>
      <c r="D1029" t="inlineStr">
        <is>
          <t>PHỤ_KIỆN_VAN</t>
        </is>
      </c>
      <c r="E1029" t="inlineStr">
        <is>
          <t>MAT-DAMPER-BAC-DONG-D10</t>
        </is>
      </c>
      <c r="F1029" t="inlineStr">
        <is>
          <t>Đôi</t>
        </is>
      </c>
      <c r="G1029" s="394" t="n">
        <v>3</v>
      </c>
      <c r="H1029" s="390">
        <f>IFERROR(INDEX('00_TONG_HOP_BAO_GIA'!$G$1:$G$5000, MATCH(B1029, '00_TONG_HOP_BAO_GIA'!$B$1:$B$5000, 0)), 1)</f>
        <v/>
      </c>
      <c r="I1029" s="395">
        <f>G1029*H1029</f>
        <v/>
      </c>
      <c r="J1029" s="390">
        <f>IFERROR(INDEX('06_BANG_GIA_VAT_TU_AP_DUNG'!$E$1:$E$5000, MATCH(E1029, '06_BANG_GIA_VAT_TU_AP_DUNG'!$B$1:$B$5000, 0)), 0)</f>
        <v/>
      </c>
      <c r="K1029" s="390">
        <f>I1029*J1029</f>
        <v/>
      </c>
      <c r="L1029" t="inlineStr">
        <is>
          <t>3 đôi bạc đỡ 2 bên thân</t>
        </is>
      </c>
    </row>
    <row r="1030">
      <c r="A1030" t="inlineStr">
        <is>
          <t>SW-DAMPER-196-GEAR</t>
        </is>
      </c>
      <c r="B1030" t="inlineStr">
        <is>
          <t>SW-DAMPER-196</t>
        </is>
      </c>
      <c r="C1030" t="inlineStr">
        <is>
          <t>Bánh răng van nhôm</t>
        </is>
      </c>
      <c r="D1030" t="inlineStr">
        <is>
          <t>PHỤ_KIỆN_VAN</t>
        </is>
      </c>
      <c r="E1030" t="inlineStr">
        <is>
          <t>MAT-DAMPER-BANH-RANG-VAN-NHOM</t>
        </is>
      </c>
      <c r="F1030" t="inlineStr">
        <is>
          <t>Bộ</t>
        </is>
      </c>
      <c r="G1030" s="394" t="n">
        <v>1</v>
      </c>
      <c r="H1030" s="390">
        <f>IFERROR(INDEX('00_TONG_HOP_BAO_GIA'!$G$1:$G$5000, MATCH(B1030, '00_TONG_HOP_BAO_GIA'!$B$1:$B$5000, 0)), 1)</f>
        <v/>
      </c>
      <c r="I1030" s="395">
        <f>G1030*H1030</f>
        <v/>
      </c>
      <c r="J1030" s="390">
        <f>IFERROR(INDEX('06_BANG_GIA_VAT_TU_AP_DUNG'!$E$1:$E$5000, MATCH(E1030, '06_BANG_GIA_VAT_TU_AP_DUNG'!$B$1:$B$5000, 0)), 0)</f>
        <v/>
      </c>
      <c r="K1030" s="390">
        <f>I1030*J1030</f>
        <v/>
      </c>
      <c r="L1030" t="inlineStr">
        <is>
          <t>Cơ cấu liên động cánh (1 bộ)</t>
        </is>
      </c>
    </row>
    <row r="1031">
      <c r="A1031" t="inlineStr">
        <is>
          <t>SW-DAMPER-196-ECCENTRIC</t>
        </is>
      </c>
      <c r="B1031" t="inlineStr">
        <is>
          <t>SW-DAMPER-196</t>
        </is>
      </c>
      <c r="C1031" t="inlineStr">
        <is>
          <t>Cơ cấu lệch tâm / Lò xo đóng mở (NRD)</t>
        </is>
      </c>
      <c r="D1031" t="inlineStr">
        <is>
          <t>PHỤ_KIỆN_VAN</t>
        </is>
      </c>
      <c r="E1031" t="inlineStr">
        <is>
          <t>ECCENTRIC_SHAFT</t>
        </is>
      </c>
      <c r="F1031" t="inlineStr">
        <is>
          <t>Bộ</t>
        </is>
      </c>
      <c r="G1031" s="394" t="n">
        <v>1</v>
      </c>
      <c r="H1031" s="390">
        <f>IFERROR(INDEX('00_TONG_HOP_BAO_GIA'!$G$1:$G$5000, MATCH(B1031, '00_TONG_HOP_BAO_GIA'!$B$1:$B$5000, 0)), 1)</f>
        <v/>
      </c>
      <c r="I1031" s="395">
        <f>G1031*H1031</f>
        <v/>
      </c>
      <c r="J1031" s="390">
        <f>IFERROR(INDEX('06_BANG_GIA_VAT_TU_AP_DUNG'!$E$1:$E$5000, MATCH(E1031, '06_BANG_GIA_VAT_TU_AP_DUNG'!$B$1:$B$5000, 0)), 0)</f>
        <v/>
      </c>
      <c r="K1031" s="390">
        <f>I1031*J1031</f>
        <v/>
      </c>
      <c r="L1031"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MAT-KHAC-LUOI_BAO_VE</t>
        </is>
      </c>
      <c r="C198" t="inlineStr">
        <is>
          <t>THƯƠNG_MẠI_TỰ_ĐỘNG</t>
        </is>
      </c>
      <c r="D198" t="inlineStr">
        <is>
          <t>Lưới bảo vệ</t>
        </is>
      </c>
      <c r="E198" t="inlineStr">
        <is>
          <t>Cái/Bộ</t>
        </is>
      </c>
      <c r="F198" t="inlineStr"/>
      <c r="G198" t="inlineStr">
        <is>
          <t>Auto-learned from Excel</t>
        </is>
      </c>
    </row>
    <row r="199">
      <c r="A199" t="n">
        <v>198</v>
      </c>
      <c r="B199" t="inlineStr">
        <is>
          <t>MAT-THUONG_MAI-VAT_TU_PHU_PHU_KIEN</t>
        </is>
      </c>
      <c r="C199" t="inlineStr">
        <is>
          <t>THUONG_MAI</t>
        </is>
      </c>
      <c r="D199" t="inlineStr">
        <is>
          <t>HỆ THỐNG HÚT KHÓI HẦM XE, HÚT KHÓI SỰ CỐ Vật tư phụ, phụ kiện</t>
        </is>
      </c>
      <c r="E199" t="inlineStr">
        <is>
          <t>Lô</t>
        </is>
      </c>
      <c r="F199" t="inlineStr">
        <is>
          <t>-</t>
        </is>
      </c>
      <c r="G199" t="inlineStr">
        <is>
          <t>Phát sinh từ BOQ (chưa có trong CSDL)</t>
        </is>
      </c>
    </row>
    <row r="200">
      <c r="A200" t="n">
        <v>199</v>
      </c>
      <c r="B200" t="inlineStr">
        <is>
          <t>MAT-THUONG_MAI-LUOI_BAO_VE</t>
        </is>
      </c>
      <c r="C200" t="inlineStr">
        <is>
          <t>THUONG_MAI</t>
        </is>
      </c>
      <c r="D200" t="inlineStr">
        <is>
          <t>Ống thông gió và phụ kiện, box miệng gió Lưới bảo vệ</t>
        </is>
      </c>
      <c r="E200" t="inlineStr">
        <is>
          <t>cái</t>
        </is>
      </c>
      <c r="F200" t="inlineStr">
        <is>
          <t>-</t>
        </is>
      </c>
      <c r="G200" t="inlineStr">
        <is>
          <t>Phát sinh từ BOQ (chưa có trong CSDL)</t>
        </is>
      </c>
    </row>
    <row r="201">
      <c r="A201" t="n">
        <v>200</v>
      </c>
      <c r="B201" t="inlineStr">
        <is>
          <t>MAT-THUONG_MAI-LOP_CHONG_CHAY_EI30</t>
        </is>
      </c>
      <c r="C201" t="inlineStr">
        <is>
          <t>THUONG_MAI</t>
        </is>
      </c>
      <c r="D201" t="inlineStr">
        <is>
          <t>Ống thông gió và phụ kiện, box miệng gió Lớp chống cháy EI30</t>
        </is>
      </c>
      <c r="E201" t="inlineStr">
        <is>
          <t>m2</t>
        </is>
      </c>
      <c r="F201" t="inlineStr">
        <is>
          <t>-</t>
        </is>
      </c>
      <c r="G201" t="inlineStr">
        <is>
          <t>Phát sinh từ BOQ (chưa có trong CSDL)</t>
        </is>
      </c>
    </row>
    <row r="202">
      <c r="A202" t="n">
        <v>201</v>
      </c>
      <c r="B202" t="inlineStr">
        <is>
          <t>MAT-THUONG_MAI-LOP_CHONG_CHAY_EI60</t>
        </is>
      </c>
      <c r="C202" t="inlineStr">
        <is>
          <t>THUONG_MAI</t>
        </is>
      </c>
      <c r="D202" t="inlineStr">
        <is>
          <t>Ống thông gió và phụ kiện, box miệng gió Lớp chống cháy EI60</t>
        </is>
      </c>
      <c r="E202" t="inlineStr">
        <is>
          <t>m2</t>
        </is>
      </c>
      <c r="F202" t="inlineStr">
        <is>
          <t>-</t>
        </is>
      </c>
      <c r="G202" t="inlineStr">
        <is>
          <t>Phát sinh từ BOQ (chưa có trong CSDL)</t>
        </is>
      </c>
    </row>
    <row r="203">
      <c r="A203" t="n">
        <v>202</v>
      </c>
      <c r="B203" t="inlineStr">
        <is>
          <t>MAT-THUONG_MAI-LOP_CHONG_CHAY_EI120</t>
        </is>
      </c>
      <c r="C203" t="inlineStr">
        <is>
          <t>THUONG_MAI</t>
        </is>
      </c>
      <c r="D203" t="inlineStr">
        <is>
          <t>Hệ thống ống thông gió tạo áp, box miệng gió… Lớp chống cháy EI120</t>
        </is>
      </c>
      <c r="E203" t="inlineStr">
        <is>
          <t>m2</t>
        </is>
      </c>
      <c r="F203" t="inlineStr">
        <is>
          <t>-</t>
        </is>
      </c>
      <c r="G203" t="inlineStr">
        <is>
          <t>Phát sinh từ BOQ (chưa có trong CSDL)</t>
        </is>
      </c>
    </row>
    <row r="204">
      <c r="A204" t="n">
        <v>203</v>
      </c>
      <c r="B204" t="inlineStr">
        <is>
          <t>MAT-THUONG_MAI-CUA_SO_CAP_BU_GIO_KHI_CO_CHAY_1_5M2</t>
        </is>
      </c>
      <c r="C204" t="inlineStr">
        <is>
          <t>THUONG_MAI</t>
        </is>
      </c>
      <c r="D204" t="inlineStr">
        <is>
          <t>HỆ THỐNG CẤP GIÓ TƯƠI, GIÓ BÙ Cửa sổ cấp bù gió khi có cháy 1.5m2</t>
        </is>
      </c>
      <c r="E204" t="inlineStr">
        <is>
          <t>Cái</t>
        </is>
      </c>
      <c r="F204" t="inlineStr">
        <is>
          <t>-</t>
        </is>
      </c>
      <c r="G204" t="inlineStr">
        <is>
          <t>Phát sinh từ BOQ (chưa có trong CSDL)</t>
        </is>
      </c>
    </row>
    <row r="205">
      <c r="A205" t="n">
        <v>204</v>
      </c>
      <c r="B205" t="inlineStr">
        <is>
          <t>MAT-THUONG_MAI-CUA_SO_CAP_BU_GIO_KHI_CO_CHAY_0_8M2</t>
        </is>
      </c>
      <c r="C205" t="inlineStr">
        <is>
          <t>THUONG_MAI</t>
        </is>
      </c>
      <c r="D205" t="inlineStr">
        <is>
          <t>HỆ THỐNG CẤP GIÓ TƯƠI, GIÓ BÙ Cửa sổ cấp bù gió khi có cháy 0.8m2</t>
        </is>
      </c>
      <c r="E205" t="inlineStr">
        <is>
          <t>Cái</t>
        </is>
      </c>
      <c r="F205" t="inlineStr">
        <is>
          <t>-</t>
        </is>
      </c>
      <c r="G205" t="inlineStr">
        <is>
          <t>Phát sinh từ BOQ (chưa có trong CSDL)</t>
        </is>
      </c>
    </row>
    <row r="206">
      <c r="A206" t="n">
        <v>205</v>
      </c>
      <c r="B206" t="inlineStr">
        <is>
          <t>MAT-THUONG_MAI-CUA_SO_CAP_BU_GIO_KHI_CO_CHAY_0FA1</t>
        </is>
      </c>
      <c r="C206" t="inlineStr">
        <is>
          <t>THUONG_MAI</t>
        </is>
      </c>
      <c r="D206" t="inlineStr">
        <is>
          <t>HỆ THỐNG CẤP GIÓ TƯƠI, GIÓ BÙ Cửa sổ cấp bù gió khi có cháy 0.75m2</t>
        </is>
      </c>
      <c r="E206" t="inlineStr">
        <is>
          <t>Cái</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26000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MAT-STEEL-PN-1.20</t>
        </is>
      </c>
      <c r="C28" t="inlineStr">
        <is>
          <t>TÔN PHƯƠNG NAM 1.20mm</t>
        </is>
      </c>
      <c r="D28" t="inlineStr">
        <is>
          <t>TÔN_CUỘN_MẠ_KẼM</t>
        </is>
      </c>
      <c r="E28" s="390" t="n">
        <v>20586.39</v>
      </c>
    </row>
    <row r="29">
      <c r="A29" t="n">
        <v>28</v>
      </c>
      <c r="B29" t="inlineStr">
        <is>
          <t>MAT-STEEL-PN-1.38</t>
        </is>
      </c>
      <c r="C29" t="inlineStr">
        <is>
          <t>TÔN PHƯƠNG NAM 1.38mm</t>
        </is>
      </c>
      <c r="D29" t="inlineStr">
        <is>
          <t>TÔN_CUỘN_MẠ_KẼM</t>
        </is>
      </c>
      <c r="E29" s="390" t="n">
        <v>21923.75</v>
      </c>
    </row>
    <row r="30">
      <c r="A30" t="n">
        <v>29</v>
      </c>
      <c r="B30" t="inlineStr">
        <is>
          <t>MAT-STEEL-PN-1.48</t>
        </is>
      </c>
      <c r="C30" t="inlineStr">
        <is>
          <t>TÔN PHƯƠNG NAM 1.48mm</t>
        </is>
      </c>
      <c r="D30" t="inlineStr">
        <is>
          <t>TÔN_CUỘN_MẠ_KẼM</t>
        </is>
      </c>
      <c r="E30" s="390" t="n">
        <v>20442.42</v>
      </c>
    </row>
    <row r="31">
      <c r="A31" t="n">
        <v>30</v>
      </c>
      <c r="B31" t="inlineStr">
        <is>
          <t>MAT-STEEL-PN-1.50</t>
        </is>
      </c>
      <c r="C31" t="inlineStr">
        <is>
          <t>TÔN PHƯƠNG NAM 1.50mm</t>
        </is>
      </c>
      <c r="D31" t="inlineStr">
        <is>
          <t>TÔN_CUỘN_MẠ_KẼM</t>
        </is>
      </c>
      <c r="E31" s="390" t="n">
        <v>20442.42</v>
      </c>
    </row>
    <row r="32">
      <c r="A32" t="n">
        <v>31</v>
      </c>
      <c r="B32" t="inlineStr">
        <is>
          <t>MAT-STEEL-HOASEN-0.48</t>
        </is>
      </c>
      <c r="C32" t="inlineStr">
        <is>
          <t>TÔN HOA SEN 0.48mm</t>
        </is>
      </c>
      <c r="D32" t="inlineStr">
        <is>
          <t>TÔN_CUỘN_MẠ_KẼM</t>
        </is>
      </c>
      <c r="E32" s="390" t="n">
        <v>22115.98</v>
      </c>
    </row>
    <row r="33">
      <c r="A33" t="n">
        <v>32</v>
      </c>
      <c r="B33" t="inlineStr">
        <is>
          <t>MAT-STEEL-HOASEN-0.58</t>
        </is>
      </c>
      <c r="C33" t="inlineStr">
        <is>
          <t>TÔN HOA SEN 0.58mm</t>
        </is>
      </c>
      <c r="D33" t="inlineStr">
        <is>
          <t>TÔN_CUỘN_MẠ_KẼM</t>
        </is>
      </c>
      <c r="E33" s="390" t="n">
        <v>20865.36</v>
      </c>
    </row>
    <row r="34">
      <c r="A34" t="n">
        <v>33</v>
      </c>
      <c r="B34" t="inlineStr">
        <is>
          <t>MAT-STEEL-HOASEN-0.75</t>
        </is>
      </c>
      <c r="C34" t="inlineStr">
        <is>
          <t>TÔN HOA SEN 0.75mm</t>
        </is>
      </c>
      <c r="D34" t="inlineStr">
        <is>
          <t>TÔN_CUỘN_MẠ_KẼM</t>
        </is>
      </c>
      <c r="E34" s="390" t="n">
        <v>20460.34</v>
      </c>
    </row>
    <row r="35">
      <c r="A35" t="n">
        <v>34</v>
      </c>
      <c r="B35" t="inlineStr">
        <is>
          <t>MAT-STEEL-HOASEN-0.95</t>
        </is>
      </c>
      <c r="C35" t="inlineStr">
        <is>
          <t>TÔN HOA SEN 0.95mm</t>
        </is>
      </c>
      <c r="D35" t="inlineStr">
        <is>
          <t>TÔN_CUỘN_MẠ_KẼM</t>
        </is>
      </c>
      <c r="E35" s="390" t="n">
        <v>20003.58</v>
      </c>
    </row>
    <row r="36">
      <c r="A36" t="n">
        <v>35</v>
      </c>
      <c r="B36" t="inlineStr">
        <is>
          <t>MAT-STEEL-HOASEN-1.15</t>
        </is>
      </c>
      <c r="C36" t="inlineStr">
        <is>
          <t>TÔN HOA SEN 1.15mm</t>
        </is>
      </c>
      <c r="D36" t="inlineStr">
        <is>
          <t>TÔN_CUỘN_MẠ_KẼM</t>
        </is>
      </c>
      <c r="E36" s="390" t="n">
        <v>19764.78</v>
      </c>
    </row>
    <row r="37">
      <c r="A37" t="n">
        <v>36</v>
      </c>
      <c r="B37" t="inlineStr">
        <is>
          <t>MAT-STEEL-HOA_SEN-1.15</t>
        </is>
      </c>
      <c r="C37" t="inlineStr">
        <is>
          <t>TÔN HOA SEN 1.15mm</t>
        </is>
      </c>
      <c r="D37" t="inlineStr">
        <is>
          <t>TÔN_CUỘN_MẠ_KẼM</t>
        </is>
      </c>
      <c r="E37" s="390" t="n">
        <v>19764.78</v>
      </c>
    </row>
    <row r="38">
      <c r="A38" t="n">
        <v>37</v>
      </c>
      <c r="B38" t="inlineStr">
        <is>
          <t>MAT-STEEL-HOASEN-1.50</t>
        </is>
      </c>
      <c r="C38" t="inlineStr">
        <is>
          <t>TÔN HOA SEN 1.50mm</t>
        </is>
      </c>
      <c r="D38" t="inlineStr">
        <is>
          <t>TÔN_CUỘN_MẠ_KẼM</t>
        </is>
      </c>
      <c r="E38" s="390" t="n">
        <v>18966.74</v>
      </c>
    </row>
    <row r="39">
      <c r="A39" t="n">
        <v>38</v>
      </c>
      <c r="B39" t="inlineStr">
        <is>
          <t>MAT-STEEL-BLUESCOPE-0.47</t>
        </is>
      </c>
      <c r="C39" t="inlineStr">
        <is>
          <t>TÔN BLUESCOPE 0.47mm</t>
        </is>
      </c>
      <c r="D39" t="inlineStr">
        <is>
          <t>TÔN_CUỘN_MẠ_KẼM</t>
        </is>
      </c>
      <c r="E39" s="390" t="n">
        <v>19714.63</v>
      </c>
    </row>
    <row r="40">
      <c r="A40" t="n">
        <v>39</v>
      </c>
      <c r="B40" t="inlineStr">
        <is>
          <t>MAT-STEEL-BLUESCOPE-0.57</t>
        </is>
      </c>
      <c r="C40" t="inlineStr">
        <is>
          <t>TÔN BLUESCOPE 0.57mm</t>
        </is>
      </c>
      <c r="D40" t="inlineStr">
        <is>
          <t>TÔN_CUỘN_MẠ_KẼM</t>
        </is>
      </c>
      <c r="E40" s="390" t="n">
        <v>20319.42</v>
      </c>
    </row>
    <row r="41">
      <c r="A41" t="n">
        <v>40</v>
      </c>
      <c r="B41" t="inlineStr">
        <is>
          <t>MAT-STEEL-BLUESCOPE-0.77</t>
        </is>
      </c>
      <c r="C41" t="inlineStr">
        <is>
          <t>TÔN BLUESCOPE 0.77mm</t>
        </is>
      </c>
      <c r="D41" t="inlineStr">
        <is>
          <t>TÔN_CUỘN_MẠ_KẼM</t>
        </is>
      </c>
      <c r="E41" s="390" t="n">
        <v>19926.31</v>
      </c>
    </row>
    <row r="42">
      <c r="A42" t="n">
        <v>41</v>
      </c>
      <c r="B42" t="inlineStr">
        <is>
          <t>MAT-STEEL-BLUESCOPE-0.95</t>
        </is>
      </c>
      <c r="C42" t="inlineStr">
        <is>
          <t>TÔN BLUESCOPE 0.95mm</t>
        </is>
      </c>
      <c r="D42" t="inlineStr">
        <is>
          <t>TÔN_CUỘN_MẠ_KẼM</t>
        </is>
      </c>
      <c r="E42" s="390" t="n">
        <v>20013.74</v>
      </c>
    </row>
    <row r="43">
      <c r="A43" t="n">
        <v>42</v>
      </c>
      <c r="B43" t="inlineStr">
        <is>
          <t>MAT-STEEL-BLUESCOPE-1.15</t>
        </is>
      </c>
      <c r="C43" t="inlineStr">
        <is>
          <t>TÔN BLUESCOPE 1.15mm</t>
        </is>
      </c>
      <c r="D43" t="inlineStr">
        <is>
          <t>TÔN_CUỘN_MẠ_KẼM</t>
        </is>
      </c>
      <c r="E43" s="390" t="n">
        <v>19973.75</v>
      </c>
    </row>
    <row r="44">
      <c r="A44" t="n">
        <v>43</v>
      </c>
      <c r="B44" t="inlineStr">
        <is>
          <t>MAT-INOX-SUS304-0-5</t>
        </is>
      </c>
      <c r="C44" t="inlineStr">
        <is>
          <t>Inox Sus304-0.5</t>
        </is>
      </c>
      <c r="D44" t="inlineStr">
        <is>
          <t>INOX</t>
        </is>
      </c>
      <c r="E44" s="390" t="n">
        <v>78000</v>
      </c>
    </row>
    <row r="45">
      <c r="A45" t="n">
        <v>44</v>
      </c>
      <c r="B45" t="inlineStr">
        <is>
          <t>MAT-INOX-SUS304-0-6</t>
        </is>
      </c>
      <c r="C45" t="inlineStr">
        <is>
          <t>Inox Sus304-0.6</t>
        </is>
      </c>
      <c r="D45" t="inlineStr">
        <is>
          <t>INOX</t>
        </is>
      </c>
      <c r="E45" s="390" t="n">
        <v>78000</v>
      </c>
    </row>
    <row r="46">
      <c r="A46" t="n">
        <v>45</v>
      </c>
      <c r="B46" t="inlineStr">
        <is>
          <t>MAT-INOX-SUS304-0-7</t>
        </is>
      </c>
      <c r="C46" t="inlineStr">
        <is>
          <t>Inox Sus304-0.7</t>
        </is>
      </c>
      <c r="D46" t="inlineStr">
        <is>
          <t>INOX</t>
        </is>
      </c>
      <c r="E46" s="390" t="n">
        <v>78000</v>
      </c>
    </row>
    <row r="47">
      <c r="A47" t="n">
        <v>46</v>
      </c>
      <c r="B47" t="inlineStr">
        <is>
          <t>MAT-INOX-SUS304-0-8</t>
        </is>
      </c>
      <c r="C47" t="inlineStr">
        <is>
          <t>Inox Sus304-0.8</t>
        </is>
      </c>
      <c r="D47" t="inlineStr">
        <is>
          <t>INOX</t>
        </is>
      </c>
      <c r="E47" s="390" t="n">
        <v>78000</v>
      </c>
    </row>
    <row r="48">
      <c r="A48" t="n">
        <v>47</v>
      </c>
      <c r="B48" t="inlineStr">
        <is>
          <t>MAT-INOX-SUS304-0-9</t>
        </is>
      </c>
      <c r="C48" t="inlineStr">
        <is>
          <t>Inox Sus304-0.9</t>
        </is>
      </c>
      <c r="D48" t="inlineStr">
        <is>
          <t>INOX</t>
        </is>
      </c>
      <c r="E48" s="390" t="n">
        <v>78000</v>
      </c>
    </row>
    <row r="49">
      <c r="A49" t="n">
        <v>48</v>
      </c>
      <c r="B49" t="inlineStr">
        <is>
          <t>MAT-INOX-SUS304-1-0</t>
        </is>
      </c>
      <c r="C49" t="inlineStr">
        <is>
          <t>Inox Sus304-1,0</t>
        </is>
      </c>
      <c r="D49" t="inlineStr">
        <is>
          <t>INOX</t>
        </is>
      </c>
      <c r="E49" s="390" t="n">
        <v>78000</v>
      </c>
    </row>
    <row r="50">
      <c r="A50" t="n">
        <v>49</v>
      </c>
      <c r="B50" t="inlineStr">
        <is>
          <t>MAT-INOX-SUS304-1-2</t>
        </is>
      </c>
      <c r="C50" t="inlineStr">
        <is>
          <t>Inox Sus304-1,2</t>
        </is>
      </c>
      <c r="D50" t="inlineStr">
        <is>
          <t>INOX</t>
        </is>
      </c>
      <c r="E50" s="390" t="n">
        <v>78000</v>
      </c>
    </row>
    <row r="51">
      <c r="A51" t="n">
        <v>50</v>
      </c>
      <c r="B51" t="inlineStr">
        <is>
          <t>MAT-INOX-SUS430-0-5</t>
        </is>
      </c>
      <c r="C51" t="inlineStr">
        <is>
          <t>Inox Sus430-0.5</t>
        </is>
      </c>
      <c r="D51" t="inlineStr">
        <is>
          <t>INOX</t>
        </is>
      </c>
      <c r="E51" s="390" t="n">
        <v>45000</v>
      </c>
    </row>
    <row r="52">
      <c r="A52" t="n">
        <v>51</v>
      </c>
      <c r="B52" t="inlineStr">
        <is>
          <t>MAT-INOX-SUS430-0-6</t>
        </is>
      </c>
      <c r="C52" t="inlineStr">
        <is>
          <t>Inox Sus430-0.6</t>
        </is>
      </c>
      <c r="D52" t="inlineStr">
        <is>
          <t>INOX</t>
        </is>
      </c>
      <c r="E52" s="390" t="n">
        <v>45000</v>
      </c>
    </row>
    <row r="53">
      <c r="A53" t="n">
        <v>52</v>
      </c>
      <c r="B53" t="inlineStr">
        <is>
          <t>MAT-INOX-SUS430-0-7</t>
        </is>
      </c>
      <c r="C53" t="inlineStr">
        <is>
          <t>Inox Sus430-0.7</t>
        </is>
      </c>
      <c r="D53" t="inlineStr">
        <is>
          <t>INOX</t>
        </is>
      </c>
      <c r="E53" s="390" t="n">
        <v>45000</v>
      </c>
    </row>
    <row r="54">
      <c r="A54" t="n">
        <v>53</v>
      </c>
      <c r="B54" t="inlineStr">
        <is>
          <t>MAT-INOX-SUS430-0-8</t>
        </is>
      </c>
      <c r="C54" t="inlineStr">
        <is>
          <t>Inox Sus430-0.8</t>
        </is>
      </c>
      <c r="D54" t="inlineStr">
        <is>
          <t>INOX</t>
        </is>
      </c>
      <c r="E54" s="390" t="n">
        <v>45000</v>
      </c>
    </row>
    <row r="55">
      <c r="A55" t="n">
        <v>54</v>
      </c>
      <c r="B55" t="inlineStr">
        <is>
          <t>MAT-INOX-SUS430-0-9</t>
        </is>
      </c>
      <c r="C55" t="inlineStr">
        <is>
          <t>Inox Sus430-0.9</t>
        </is>
      </c>
      <c r="D55" t="inlineStr">
        <is>
          <t>INOX</t>
        </is>
      </c>
      <c r="E55" s="390" t="n">
        <v>45000</v>
      </c>
    </row>
    <row r="56">
      <c r="A56" t="n">
        <v>55</v>
      </c>
      <c r="B56" t="inlineStr">
        <is>
          <t>MAT-INOX-SUS430-1-0</t>
        </is>
      </c>
      <c r="C56" t="inlineStr">
        <is>
          <t>Inox Sus430-1,0</t>
        </is>
      </c>
      <c r="D56" t="inlineStr">
        <is>
          <t>INOX</t>
        </is>
      </c>
      <c r="E56" s="390" t="n">
        <v>45000</v>
      </c>
    </row>
    <row r="57">
      <c r="A57" t="n">
        <v>56</v>
      </c>
      <c r="B57" t="inlineStr">
        <is>
          <t>MAT-INOX-SUS430-1-1</t>
        </is>
      </c>
      <c r="C57" t="inlineStr">
        <is>
          <t>Inox Sus430-1,1</t>
        </is>
      </c>
      <c r="D57" t="inlineStr">
        <is>
          <t>INOX</t>
        </is>
      </c>
      <c r="E57" s="390" t="n">
        <v>45000</v>
      </c>
    </row>
    <row r="58">
      <c r="A58" t="n">
        <v>57</v>
      </c>
      <c r="B58" t="inlineStr">
        <is>
          <t>MAT-INOX-SUS430-1-2</t>
        </is>
      </c>
      <c r="C58" t="inlineStr">
        <is>
          <t>Inox Sus430-1,2</t>
        </is>
      </c>
      <c r="D58" t="inlineStr">
        <is>
          <t>INOX</t>
        </is>
      </c>
      <c r="E58" s="390" t="n">
        <v>45000</v>
      </c>
    </row>
    <row r="59">
      <c r="A59" t="n">
        <v>58</v>
      </c>
      <c r="B59" t="inlineStr">
        <is>
          <t>MAT-INOX-SUS201-0-4</t>
        </is>
      </c>
      <c r="C59" t="inlineStr">
        <is>
          <t>Inox Sus201-0.4</t>
        </is>
      </c>
      <c r="D59" t="inlineStr">
        <is>
          <t>INOX</t>
        </is>
      </c>
      <c r="E59" s="390" t="n">
        <v>48000</v>
      </c>
    </row>
    <row r="60">
      <c r="A60" t="n">
        <v>59</v>
      </c>
      <c r="B60" t="inlineStr">
        <is>
          <t>MAT-INOX-SUS201-0-5</t>
        </is>
      </c>
      <c r="C60" t="inlineStr">
        <is>
          <t>Inox Sus201-0.5</t>
        </is>
      </c>
      <c r="D60" t="inlineStr">
        <is>
          <t>INOX</t>
        </is>
      </c>
      <c r="E60" s="390" t="n">
        <v>48000</v>
      </c>
    </row>
    <row r="61">
      <c r="A61" t="n">
        <v>60</v>
      </c>
      <c r="B61" t="inlineStr">
        <is>
          <t>MAT-INOX-SUS201-0-6</t>
        </is>
      </c>
      <c r="C61" t="inlineStr">
        <is>
          <t>Inox Sus201-0.6</t>
        </is>
      </c>
      <c r="D61" t="inlineStr">
        <is>
          <t>INOX</t>
        </is>
      </c>
      <c r="E61" s="390" t="n">
        <v>48000</v>
      </c>
    </row>
    <row r="62">
      <c r="A62" t="n">
        <v>61</v>
      </c>
      <c r="B62" t="inlineStr">
        <is>
          <t>MAT-INOX-SUS201-0-7</t>
        </is>
      </c>
      <c r="C62" t="inlineStr">
        <is>
          <t>Inox Sus201-0.7</t>
        </is>
      </c>
      <c r="D62" t="inlineStr">
        <is>
          <t>INOX</t>
        </is>
      </c>
      <c r="E62" s="390" t="n">
        <v>48000</v>
      </c>
    </row>
    <row r="63">
      <c r="A63" t="n">
        <v>62</v>
      </c>
      <c r="B63" t="inlineStr">
        <is>
          <t>MAT-INOX-SUS201-0-8</t>
        </is>
      </c>
      <c r="C63" t="inlineStr">
        <is>
          <t>Inox Sus201-0.8</t>
        </is>
      </c>
      <c r="D63" t="inlineStr">
        <is>
          <t>INOX</t>
        </is>
      </c>
      <c r="E63" s="390" t="n">
        <v>48000</v>
      </c>
    </row>
    <row r="64">
      <c r="A64" t="n">
        <v>63</v>
      </c>
      <c r="B64" t="inlineStr">
        <is>
          <t>MAT-DAMPER-TRUC-SUS-201-D10</t>
        </is>
      </c>
      <c r="C64" t="inlineStr">
        <is>
          <t>Trục Sus 201 D10</t>
        </is>
      </c>
      <c r="D64" t="inlineStr">
        <is>
          <t>PHỤ_KIỆN_VAN</t>
        </is>
      </c>
      <c r="E64" s="390" t="n">
        <v>50000</v>
      </c>
    </row>
    <row r="65">
      <c r="A65" t="n">
        <v>64</v>
      </c>
      <c r="B65" t="inlineStr">
        <is>
          <t>MAT-DAMPER-TRUC-SUS-201-D12</t>
        </is>
      </c>
      <c r="C65" t="inlineStr">
        <is>
          <t>Trục Sus 201 D12</t>
        </is>
      </c>
      <c r="D65" t="inlineStr">
        <is>
          <t>PHỤ_KIỆN_VAN</t>
        </is>
      </c>
      <c r="E65" s="390" t="n">
        <v>72000</v>
      </c>
    </row>
    <row r="66">
      <c r="A66" t="n">
        <v>65</v>
      </c>
      <c r="B66" t="inlineStr">
        <is>
          <t>MAT-DAMPER-TRUC-SUS-201-D14</t>
        </is>
      </c>
      <c r="C66" t="inlineStr">
        <is>
          <t>Trục Sus 201 D14</t>
        </is>
      </c>
      <c r="D66" t="inlineStr">
        <is>
          <t>PHỤ_KIỆN_VAN</t>
        </is>
      </c>
      <c r="E66" s="390" t="n">
        <v>98000</v>
      </c>
    </row>
    <row r="67">
      <c r="A67" t="n">
        <v>66</v>
      </c>
      <c r="B67" t="inlineStr">
        <is>
          <t>MAT-DAMPER-BAC-DONG-D10</t>
        </is>
      </c>
      <c r="C67" t="inlineStr">
        <is>
          <t>Bạc đồng D10</t>
        </is>
      </c>
      <c r="D67" t="inlineStr">
        <is>
          <t>PHỤ_KIỆN_VAN</t>
        </is>
      </c>
      <c r="E67" s="390" t="n">
        <v>6000</v>
      </c>
    </row>
    <row r="68">
      <c r="A68" t="n">
        <v>67</v>
      </c>
      <c r="B68" t="inlineStr">
        <is>
          <t>MAT-DAMPER-BAC-DONG-D12</t>
        </is>
      </c>
      <c r="C68" t="inlineStr">
        <is>
          <t>Bạc đồng D12</t>
        </is>
      </c>
      <c r="D68" t="inlineStr">
        <is>
          <t>PHỤ_KIỆN_VAN</t>
        </is>
      </c>
      <c r="E68" s="390" t="n">
        <v>8000</v>
      </c>
    </row>
    <row r="69">
      <c r="A69" t="n">
        <v>68</v>
      </c>
      <c r="B69" t="inlineStr">
        <is>
          <t>MAT-DAMPER-BAC-DONG-D14</t>
        </is>
      </c>
      <c r="C69" t="inlineStr">
        <is>
          <t>Bạc đồng D14</t>
        </is>
      </c>
      <c r="D69" t="inlineStr">
        <is>
          <t>PHỤ_KIỆN_VAN</t>
        </is>
      </c>
      <c r="E69" s="390" t="n">
        <v>10000</v>
      </c>
    </row>
    <row r="70">
      <c r="A70" t="n">
        <v>69</v>
      </c>
      <c r="B70" t="inlineStr">
        <is>
          <t>MAT-DAMPER-TAY-GAT-1-1M2</t>
        </is>
      </c>
      <c r="C70" t="inlineStr">
        <is>
          <t>Tay gạt 1 &gt;1m2</t>
        </is>
      </c>
      <c r="D70" t="inlineStr">
        <is>
          <t>PHỤ_KIỆN_VAN</t>
        </is>
      </c>
      <c r="E70" s="390" t="n">
        <v>100000</v>
      </c>
    </row>
    <row r="71">
      <c r="A71" t="n">
        <v>70</v>
      </c>
      <c r="B71" t="inlineStr">
        <is>
          <t>MAT-DAMPER-GIANG-TAY-GAT-1</t>
        </is>
      </c>
      <c r="C71" t="inlineStr">
        <is>
          <t>Giằng tay gạt 1</t>
        </is>
      </c>
      <c r="D71" t="inlineStr">
        <is>
          <t>PHỤ_KIỆN_VAN</t>
        </is>
      </c>
      <c r="E71" s="390" t="n">
        <v>20000</v>
      </c>
    </row>
    <row r="72">
      <c r="A72" t="n">
        <v>71</v>
      </c>
      <c r="B72" t="inlineStr">
        <is>
          <t>MAT-DAMPER-GIANG-TAY-GAT-2</t>
        </is>
      </c>
      <c r="C72" t="inlineStr">
        <is>
          <t>Giằng tay gạt 2</t>
        </is>
      </c>
      <c r="D72" t="inlineStr">
        <is>
          <t>PHỤ_KIỆN_VAN</t>
        </is>
      </c>
      <c r="E72" s="390" t="n">
        <v>25000</v>
      </c>
    </row>
    <row r="73">
      <c r="A73" t="n">
        <v>72</v>
      </c>
      <c r="B73" t="inlineStr">
        <is>
          <t>MAT-DAMPER-CAU-CHI-1-400X400</t>
        </is>
      </c>
      <c r="C73" t="inlineStr">
        <is>
          <t>Cầu chì 1 &lt;400x400</t>
        </is>
      </c>
      <c r="D73" t="inlineStr">
        <is>
          <t>PHỤ_KIỆN_VAN</t>
        </is>
      </c>
      <c r="E73" s="390" t="n">
        <v>220000</v>
      </c>
    </row>
    <row r="74">
      <c r="A74" t="n">
        <v>73</v>
      </c>
      <c r="B74" t="inlineStr">
        <is>
          <t>MAT-DAMPER-CAU-CHI-2-400X400</t>
        </is>
      </c>
      <c r="C74" t="inlineStr">
        <is>
          <t>Cầu chì 2&gt;400x400</t>
        </is>
      </c>
      <c r="D74" t="inlineStr">
        <is>
          <t>PHỤ_KIỆN_VAN</t>
        </is>
      </c>
      <c r="E74" s="390" t="n">
        <v>300000</v>
      </c>
    </row>
    <row r="75">
      <c r="A75" t="n">
        <v>74</v>
      </c>
      <c r="B75" t="inlineStr">
        <is>
          <t>MAT-DAMPER-TRUC-VIT-1</t>
        </is>
      </c>
      <c r="C75" t="inlineStr">
        <is>
          <t>Trục vít 1</t>
        </is>
      </c>
      <c r="D75" t="inlineStr">
        <is>
          <t>PHỤ_KIỆN_VAN</t>
        </is>
      </c>
      <c r="E75" s="390" t="n">
        <v>100000</v>
      </c>
    </row>
    <row r="76">
      <c r="A76" t="n">
        <v>75</v>
      </c>
      <c r="B76" t="inlineStr">
        <is>
          <t>MAT-DAMPER-BAC-DONG-8</t>
        </is>
      </c>
      <c r="C76" t="inlineStr">
        <is>
          <t>Bạc đồng 8</t>
        </is>
      </c>
      <c r="D76" t="inlineStr">
        <is>
          <t>PHỤ_KIỆN_VAN</t>
        </is>
      </c>
      <c r="E76" s="390" t="n">
        <v>4000</v>
      </c>
    </row>
    <row r="77">
      <c r="A77" t="n">
        <v>76</v>
      </c>
      <c r="B77" t="inlineStr">
        <is>
          <t>MAT-DAMPER-BANH-RANG-VAN-NHOM</t>
        </is>
      </c>
      <c r="C77" t="inlineStr">
        <is>
          <t>Bánh răng van nhôm</t>
        </is>
      </c>
      <c r="D77" t="inlineStr">
        <is>
          <t>PHỤ_KIỆN_VAN</t>
        </is>
      </c>
      <c r="E77" s="390" t="n">
        <v>35000</v>
      </c>
    </row>
    <row r="78">
      <c r="A78" t="n">
        <v>77</v>
      </c>
      <c r="B78" t="inlineStr">
        <is>
          <t>MAT-DAMPER-TAY-VAN-NHUA-1M2</t>
        </is>
      </c>
      <c r="C78" t="inlineStr">
        <is>
          <t>Tay van nhựa &gt;1m2</t>
        </is>
      </c>
      <c r="D78" t="inlineStr">
        <is>
          <t>PHỤ_KIỆN_VAN</t>
        </is>
      </c>
      <c r="E78" s="390" t="n">
        <v>165000</v>
      </c>
    </row>
    <row r="79">
      <c r="A79" t="n">
        <v>78</v>
      </c>
      <c r="B79" t="inlineStr">
        <is>
          <t>MAT-DAMPER-TAY-VAN-INOX-1M2</t>
        </is>
      </c>
      <c r="C79" t="inlineStr">
        <is>
          <t>Tay van Inox &gt;1m2</t>
        </is>
      </c>
      <c r="D79" t="inlineStr">
        <is>
          <t>PHỤ_KIỆN_VAN</t>
        </is>
      </c>
      <c r="E79" s="390" t="n">
        <v>195000</v>
      </c>
    </row>
    <row r="80">
      <c r="A80" t="n">
        <v>79</v>
      </c>
      <c r="B80" t="inlineStr">
        <is>
          <t>MAT-DAMPER-TAY-VAN-NHOM</t>
        </is>
      </c>
      <c r="C80" t="inlineStr">
        <is>
          <t>Tay van nhôm</t>
        </is>
      </c>
      <c r="D80" t="inlineStr">
        <is>
          <t>PHỤ_KIỆN_VAN</t>
        </is>
      </c>
      <c r="E80" s="390" t="n">
        <v>260000</v>
      </c>
    </row>
    <row r="81">
      <c r="A81" t="n">
        <v>80</v>
      </c>
      <c r="B81" t="inlineStr">
        <is>
          <t>MAT-DAMPER-GIOANG-CAO-SU-VAN-NHOM</t>
        </is>
      </c>
      <c r="C81" t="inlineStr">
        <is>
          <t>Gioăng cao su van nhôm</t>
        </is>
      </c>
      <c r="D81" t="inlineStr">
        <is>
          <t>PHỤ_KIỆN_VAN</t>
        </is>
      </c>
      <c r="E81" s="390" t="n">
        <v>6500</v>
      </c>
    </row>
    <row r="82">
      <c r="A82" t="n">
        <v>81</v>
      </c>
      <c r="B82" t="inlineStr">
        <is>
          <t>MAT-DAMPER-TAY-GAT-NHO</t>
        </is>
      </c>
      <c r="C82" t="inlineStr">
        <is>
          <t>Tay gạt nhỏ</t>
        </is>
      </c>
      <c r="D82" t="inlineStr">
        <is>
          <t>PHỤ_KIỆN_VAN</t>
        </is>
      </c>
      <c r="E82" s="390" t="n">
        <v>50000</v>
      </c>
    </row>
    <row r="83">
      <c r="A83" t="n">
        <v>82</v>
      </c>
      <c r="B83" t="inlineStr">
        <is>
          <t>MAT-DAMPER-TAY-GAT-TRUNG-BINH</t>
        </is>
      </c>
      <c r="C83" t="inlineStr">
        <is>
          <t>Tay gạt trung bình</t>
        </is>
      </c>
      <c r="D83" t="inlineStr">
        <is>
          <t>PHỤ_KIỆN_VAN</t>
        </is>
      </c>
      <c r="E83" s="390" t="n">
        <v>75000</v>
      </c>
    </row>
    <row r="84">
      <c r="A84" t="n">
        <v>83</v>
      </c>
      <c r="B84" t="inlineStr">
        <is>
          <t>MAT-DAMPER-MOTOR-NENUTEC-THUY-SY-LT-300X300</t>
        </is>
      </c>
      <c r="C84" t="inlineStr">
        <is>
          <t>Motor NENUTEC - THỤY SỸ &lt;300x300</t>
        </is>
      </c>
      <c r="D84" t="inlineStr">
        <is>
          <t>PHỤ_KIỆN_VAN</t>
        </is>
      </c>
      <c r="E84" s="390" t="n">
        <v>1750000</v>
      </c>
    </row>
    <row r="85">
      <c r="A85" t="n">
        <v>84</v>
      </c>
      <c r="B85" t="inlineStr">
        <is>
          <t>MAT-DAMPER-MOTOR-NENUTEC-THUY-SY-GT-300X300</t>
        </is>
      </c>
      <c r="C85" t="inlineStr">
        <is>
          <t>Motor NENUTEC - THỤY SỸ &gt;300x300</t>
        </is>
      </c>
      <c r="D85" t="inlineStr">
        <is>
          <t>PHỤ_KIỆN_VAN</t>
        </is>
      </c>
      <c r="E85" s="390" t="n">
        <v>1950000</v>
      </c>
    </row>
    <row r="86">
      <c r="A86" t="n">
        <v>85</v>
      </c>
      <c r="B86" t="inlineStr">
        <is>
          <t>MAT-DAMPER-MOTOR-NENUTEC-THUY-SY-1M2</t>
        </is>
      </c>
      <c r="C86" t="inlineStr">
        <is>
          <t>Motor NENUTEC - THỤY SỸ &gt;1m2</t>
        </is>
      </c>
      <c r="D86" t="inlineStr">
        <is>
          <t>PHỤ_KIỆN_VAN</t>
        </is>
      </c>
      <c r="E86" s="390" t="n">
        <v>2200000</v>
      </c>
    </row>
    <row r="87">
      <c r="A87" t="n">
        <v>86</v>
      </c>
      <c r="B87" t="inlineStr">
        <is>
          <t>MAT-DAMPER-MOTOR-VAN-DAP-LUA-CAM-BIEN</t>
        </is>
      </c>
      <c r="C87" t="inlineStr">
        <is>
          <t>Motor van dập lửa + cảm biến</t>
        </is>
      </c>
      <c r="D87" t="inlineStr">
        <is>
          <t>PHỤ_KIỆN_VAN</t>
        </is>
      </c>
      <c r="E87" s="390" t="n">
        <v>4200000</v>
      </c>
    </row>
    <row r="88">
      <c r="A88" t="n">
        <v>87</v>
      </c>
      <c r="B88" t="inlineStr">
        <is>
          <t>MAT-DAMPER-MOTOR-VAN-AP-SUAT</t>
        </is>
      </c>
      <c r="C88" t="inlineStr">
        <is>
          <t>Motor van áp suất</t>
        </is>
      </c>
      <c r="D88" t="inlineStr">
        <is>
          <t>PHỤ_KIỆN_VAN</t>
        </is>
      </c>
      <c r="E88" s="390" t="n">
        <v>4200000</v>
      </c>
    </row>
    <row r="89">
      <c r="A89" t="n">
        <v>88</v>
      </c>
      <c r="B89" t="inlineStr">
        <is>
          <t>MAT-DAMPER-CAU-CHI-TRUNG-QUOC</t>
        </is>
      </c>
      <c r="C89" t="inlineStr">
        <is>
          <t>Cầu chì Trung Quốc</t>
        </is>
      </c>
      <c r="D89" t="inlineStr">
        <is>
          <t>PHỤ_KIỆN_VAN</t>
        </is>
      </c>
      <c r="E89" s="390" t="n">
        <v>65000</v>
      </c>
    </row>
    <row r="90">
      <c r="A90" t="n">
        <v>89</v>
      </c>
      <c r="B90" t="inlineStr">
        <is>
          <t>MAT-DAMPER-CAU-CHI-USA-1-400X400</t>
        </is>
      </c>
      <c r="C90" t="inlineStr">
        <is>
          <t>Cầu chì USA -1 (&lt;400x400)</t>
        </is>
      </c>
      <c r="D90" t="inlineStr">
        <is>
          <t>PHỤ_KIỆN_VAN</t>
        </is>
      </c>
      <c r="E90" s="390" t="n">
        <v>105000</v>
      </c>
    </row>
    <row r="91">
      <c r="A91" t="n">
        <v>90</v>
      </c>
      <c r="B91" t="inlineStr">
        <is>
          <t>MAT-DAMPER-CAU-CHI-USA-2-400X400</t>
        </is>
      </c>
      <c r="C91" t="inlineStr">
        <is>
          <t>Cầu chì USA-2 (&gt;400x400)</t>
        </is>
      </c>
      <c r="D91" t="inlineStr">
        <is>
          <t>PHỤ_KIỆN_VAN</t>
        </is>
      </c>
      <c r="E91" s="390" t="n">
        <v>126000</v>
      </c>
    </row>
    <row r="92">
      <c r="A92" t="n">
        <v>91</v>
      </c>
      <c r="B92" t="inlineStr">
        <is>
          <t>MAT-FLANGE-L-30X30X2-CT38-L-6-M</t>
        </is>
      </c>
      <c r="C92" t="inlineStr">
        <is>
          <t>L 30x30x2 CT38 L = 6 m</t>
        </is>
      </c>
      <c r="D92" t="inlineStr">
        <is>
          <t>THÉP_BÍCH_GÓC</t>
        </is>
      </c>
      <c r="E92" s="390" t="n">
        <v>30000</v>
      </c>
    </row>
    <row r="93">
      <c r="A93" t="n">
        <v>92</v>
      </c>
      <c r="B93" t="inlineStr">
        <is>
          <t>MAT-FLANGE-L-30X30X3-CT38-L-6-M</t>
        </is>
      </c>
      <c r="C93" t="inlineStr">
        <is>
          <t>L 30x30x3 CT38 L = 6 m</t>
        </is>
      </c>
      <c r="D93" t="inlineStr">
        <is>
          <t>THÉP_BÍCH_GÓC</t>
        </is>
      </c>
      <c r="E93" s="390" t="n">
        <v>35000</v>
      </c>
    </row>
    <row r="94">
      <c r="A94" t="n">
        <v>93</v>
      </c>
      <c r="B94" t="inlineStr">
        <is>
          <t>MAT-FLANGE-L-40X40X4-CT39-L-6-M</t>
        </is>
      </c>
      <c r="C94" t="inlineStr">
        <is>
          <t>L 40x40x4 CT39 L = 6 m</t>
        </is>
      </c>
      <c r="D94" t="inlineStr">
        <is>
          <t>THÉP_BÍCH_GÓC</t>
        </is>
      </c>
      <c r="E94" s="390" t="n">
        <v>45000</v>
      </c>
    </row>
    <row r="95">
      <c r="A95" t="n">
        <v>94</v>
      </c>
      <c r="B95" t="inlineStr">
        <is>
          <t>MAT-FLANGE-L-50X50X4-CT40-L-6-M</t>
        </is>
      </c>
      <c r="C95" t="inlineStr">
        <is>
          <t>L 50x50x4 CT40 L = 6 m</t>
        </is>
      </c>
      <c r="D95" t="inlineStr">
        <is>
          <t>THÉP_BÍCH_GÓC</t>
        </is>
      </c>
      <c r="E95" s="390" t="n">
        <v>55000</v>
      </c>
    </row>
    <row r="96">
      <c r="A96" t="n">
        <v>95</v>
      </c>
      <c r="B96" t="inlineStr">
        <is>
          <t>MAT-INSUL-LUOI-NHUA</t>
        </is>
      </c>
      <c r="C96" t="inlineStr">
        <is>
          <t>Lưới nhựa</t>
        </is>
      </c>
      <c r="D96" t="inlineStr">
        <is>
          <t>VẬT_LIỆU_TIÊU_ÂM</t>
        </is>
      </c>
      <c r="E96" s="390" t="n">
        <v>25000</v>
      </c>
    </row>
    <row r="97">
      <c r="A97" t="n">
        <v>96</v>
      </c>
      <c r="B97" t="inlineStr">
        <is>
          <t>MAT-INSUL-MOTOR-NENUTEC-THUY-SY-LT-300X300</t>
        </is>
      </c>
      <c r="C97" t="inlineStr">
        <is>
          <t>Motor NENUTEC - THỤY SỸ &lt;300x300</t>
        </is>
      </c>
      <c r="D97" t="inlineStr">
        <is>
          <t>VẬT_LIỆU_TIÊU_ÂM</t>
        </is>
      </c>
      <c r="E97" s="390" t="n">
        <v>1750000</v>
      </c>
    </row>
    <row r="98">
      <c r="A98" t="n">
        <v>97</v>
      </c>
      <c r="B98" t="inlineStr">
        <is>
          <t>MAT-INSUL-MOTOR-NENUTEC-THUY-SY-GT-300X300</t>
        </is>
      </c>
      <c r="C98" t="inlineStr">
        <is>
          <t>Motor NENUTEC - THỤY SỸ &gt;300x300</t>
        </is>
      </c>
      <c r="D98" t="inlineStr">
        <is>
          <t>VẬT_LIỆU_TIÊU_ÂM</t>
        </is>
      </c>
      <c r="E98" s="390" t="n">
        <v>1950000</v>
      </c>
    </row>
    <row r="99">
      <c r="A99" t="n">
        <v>98</v>
      </c>
      <c r="B99" t="inlineStr">
        <is>
          <t>MAT-INSUL-MOTOR-NENUTEC-THUY-SY-1M2</t>
        </is>
      </c>
      <c r="C99" t="inlineStr">
        <is>
          <t>Motor NENUTEC - THỤY SỸ &gt;1m2</t>
        </is>
      </c>
      <c r="D99" t="inlineStr">
        <is>
          <t>VẬT_LIỆU_TIÊU_ÂM</t>
        </is>
      </c>
      <c r="E99" s="390" t="n">
        <v>2200000</v>
      </c>
    </row>
    <row r="100">
      <c r="A100" t="n">
        <v>99</v>
      </c>
      <c r="B100" t="inlineStr">
        <is>
          <t>MAT-INSUL-MOTOR-VAN-DAP-LUA-CAM-BIEN</t>
        </is>
      </c>
      <c r="C100" t="inlineStr">
        <is>
          <t>Motor van dập lửa + cảm biến</t>
        </is>
      </c>
      <c r="D100" t="inlineStr">
        <is>
          <t>VẬT_LIỆU_TIÊU_ÂM</t>
        </is>
      </c>
      <c r="E100" s="390" t="n">
        <v>4200000</v>
      </c>
    </row>
    <row r="101">
      <c r="A101" t="n">
        <v>100</v>
      </c>
      <c r="B101" t="inlineStr">
        <is>
          <t>MAT-INSUL-MOTOR-VAN-AP-SUAT</t>
        </is>
      </c>
      <c r="C101" t="inlineStr">
        <is>
          <t>Motor van áp suất</t>
        </is>
      </c>
      <c r="D101" t="inlineStr">
        <is>
          <t>VẬT_LIỆU_TIÊU_ÂM</t>
        </is>
      </c>
      <c r="E101" s="390" t="n">
        <v>4200000</v>
      </c>
    </row>
    <row r="102">
      <c r="A102" t="n">
        <v>101</v>
      </c>
      <c r="B102" t="inlineStr">
        <is>
          <t>MAT-ALU-NAN-BD</t>
        </is>
      </c>
      <c r="C102" t="inlineStr">
        <is>
          <t>Nhôm định hình NAN BD</t>
        </is>
      </c>
      <c r="D102" t="inlineStr">
        <is>
          <t>NHÔM_ĐỊNH_HÌNH</t>
        </is>
      </c>
      <c r="E102" s="390" t="n">
        <v>126000</v>
      </c>
    </row>
    <row r="103">
      <c r="A103" t="n">
        <v>102</v>
      </c>
      <c r="B103" t="inlineStr">
        <is>
          <t>MAT-ALU-NAN-T</t>
        </is>
      </c>
      <c r="C103" t="inlineStr">
        <is>
          <t>Nhôm định hình NAN T</t>
        </is>
      </c>
      <c r="D103" t="inlineStr">
        <is>
          <t>NHÔM_ĐỊNH_HÌNH</t>
        </is>
      </c>
      <c r="E103" s="390" t="n">
        <v>126000</v>
      </c>
    </row>
    <row r="104">
      <c r="A104" t="n">
        <v>103</v>
      </c>
      <c r="B104" t="inlineStr">
        <is>
          <t>MAT-ALU-KHUNG-BD</t>
        </is>
      </c>
      <c r="C104" t="inlineStr">
        <is>
          <t>Nhôm định hình KHUNG BD</t>
        </is>
      </c>
      <c r="D104" t="inlineStr">
        <is>
          <t>NHÔM_ĐỊNH_HÌNH</t>
        </is>
      </c>
      <c r="E104" s="390" t="n">
        <v>126000</v>
      </c>
    </row>
    <row r="105">
      <c r="A105" t="n">
        <v>104</v>
      </c>
      <c r="B105" t="inlineStr">
        <is>
          <t>MAT-ALU-KHUNG-BD-Z-MONG</t>
        </is>
      </c>
      <c r="C105" t="inlineStr">
        <is>
          <t>Nhôm định hình KHUNG BD+ Z MỎNG</t>
        </is>
      </c>
      <c r="D105" t="inlineStr">
        <is>
          <t>NHÔM_ĐỊNH_HÌNH</t>
        </is>
      </c>
      <c r="E105" s="390" t="n">
        <v>126000</v>
      </c>
    </row>
    <row r="106">
      <c r="A106" t="n">
        <v>105</v>
      </c>
      <c r="B106" t="inlineStr">
        <is>
          <t>MAT-ALU-NAN-Z-DAY</t>
        </is>
      </c>
      <c r="C106" t="inlineStr">
        <is>
          <t>Nhôm định hình NAN Z DÀY</t>
        </is>
      </c>
      <c r="D106" t="inlineStr">
        <is>
          <t>NHÔM_ĐỊNH_HÌNH</t>
        </is>
      </c>
      <c r="E106" s="390" t="n">
        <v>126000</v>
      </c>
    </row>
    <row r="107">
      <c r="A107" t="n">
        <v>106</v>
      </c>
      <c r="B107" t="inlineStr">
        <is>
          <t>MAT-ALU-NAN-Z-MONG</t>
        </is>
      </c>
      <c r="C107" t="inlineStr">
        <is>
          <t>Nhôm định hình NAN Z MỎNG</t>
        </is>
      </c>
      <c r="D107" t="inlineStr">
        <is>
          <t>NHÔM_ĐỊNH_HÌNH</t>
        </is>
      </c>
      <c r="E107" s="390" t="n">
        <v>126000</v>
      </c>
    </row>
    <row r="108">
      <c r="A108" t="n">
        <v>107</v>
      </c>
      <c r="B108" t="inlineStr">
        <is>
          <t>MAT-ALU-KHUNG-Z-2-LOP</t>
        </is>
      </c>
      <c r="C108" t="inlineStr">
        <is>
          <t>Nhôm định hình KHUNG Z+2 LỚP</t>
        </is>
      </c>
      <c r="D108" t="inlineStr">
        <is>
          <t>NHÔM_ĐỊNH_HÌNH</t>
        </is>
      </c>
      <c r="E108" s="390" t="n">
        <v>126000</v>
      </c>
    </row>
    <row r="109">
      <c r="A109" t="n">
        <v>108</v>
      </c>
      <c r="B109" t="inlineStr">
        <is>
          <t>MAT-ALU-NAN-OBD</t>
        </is>
      </c>
      <c r="C109" t="inlineStr">
        <is>
          <t>Nhôm định hình NAN OBD</t>
        </is>
      </c>
      <c r="D109" t="inlineStr">
        <is>
          <t>NHÔM_ĐỊNH_HÌNH</t>
        </is>
      </c>
      <c r="E109" s="390" t="n">
        <v>133000</v>
      </c>
    </row>
    <row r="110">
      <c r="A110" t="n">
        <v>109</v>
      </c>
      <c r="B110" t="inlineStr">
        <is>
          <t>MAT-ALU-KHUNG-OBD</t>
        </is>
      </c>
      <c r="C110" t="inlineStr">
        <is>
          <t>Nhôm định hình KHUNG OBD</t>
        </is>
      </c>
      <c r="D110" t="inlineStr">
        <is>
          <t>NHÔM_ĐỊNH_HÌNH</t>
        </is>
      </c>
      <c r="E110" s="390" t="n">
        <v>133000</v>
      </c>
    </row>
    <row r="111">
      <c r="A111" t="n">
        <v>110</v>
      </c>
      <c r="B111" t="inlineStr">
        <is>
          <t>MAT-ALU-NAN-BD-EUS02</t>
        </is>
      </c>
      <c r="C111" t="inlineStr">
        <is>
          <t>Nhôm định hình NAN BD EUS 02</t>
        </is>
      </c>
      <c r="D111" t="inlineStr">
        <is>
          <t>NHÔM_ĐỊNH_HÌNH</t>
        </is>
      </c>
      <c r="E111" s="390" t="n">
        <v>120000</v>
      </c>
    </row>
    <row r="112">
      <c r="A112" t="n">
        <v>111</v>
      </c>
      <c r="B112" t="inlineStr">
        <is>
          <t>MAT-ALU-KHUNG-BD-EUS01</t>
        </is>
      </c>
      <c r="C112" t="inlineStr">
        <is>
          <t>Nhôm định hình KHUNG BD EUS 01</t>
        </is>
      </c>
      <c r="D112" t="inlineStr">
        <is>
          <t>NHÔM_ĐỊNH_HÌNH</t>
        </is>
      </c>
      <c r="E112" s="390" t="n">
        <v>120000</v>
      </c>
    </row>
    <row r="113">
      <c r="A113" t="n">
        <v>112</v>
      </c>
      <c r="B113" t="inlineStr">
        <is>
          <t>MAT-ALU-NAN-Z-EUS05</t>
        </is>
      </c>
      <c r="C113" t="inlineStr">
        <is>
          <t>Nhôm định hình NAN Z EUS 05</t>
        </is>
      </c>
      <c r="D113" t="inlineStr">
        <is>
          <t>NHÔM_ĐỊNH_HÌNH</t>
        </is>
      </c>
      <c r="E113" s="390" t="n">
        <v>120000</v>
      </c>
    </row>
    <row r="114">
      <c r="A114" t="n">
        <v>113</v>
      </c>
      <c r="B114" t="inlineStr">
        <is>
          <t>MAT-ALU-KHUNG-Z-EUS03</t>
        </is>
      </c>
      <c r="C114" t="inlineStr">
        <is>
          <t>Nhôm định hình KHUNG Z EUS 03</t>
        </is>
      </c>
      <c r="D114" t="inlineStr">
        <is>
          <t>NHÔM_ĐỊNH_HÌNH</t>
        </is>
      </c>
      <c r="E114" s="390" t="n">
        <v>120000</v>
      </c>
    </row>
    <row r="115">
      <c r="A115" t="n">
        <v>114</v>
      </c>
      <c r="B115" t="inlineStr">
        <is>
          <t>MAT-ALU-NAN-OBD-EUS20</t>
        </is>
      </c>
      <c r="C115" t="inlineStr">
        <is>
          <t>Nhôm định hình NAN OBD EUS 20</t>
        </is>
      </c>
      <c r="D115" t="inlineStr">
        <is>
          <t>NHÔM_ĐỊNH_HÌNH</t>
        </is>
      </c>
      <c r="E115" s="390" t="n">
        <v>130000</v>
      </c>
    </row>
    <row r="116">
      <c r="A116" t="n">
        <v>115</v>
      </c>
      <c r="B116" t="inlineStr">
        <is>
          <t>MAT-ALU-KHUNG-OBD-EUS10</t>
        </is>
      </c>
      <c r="C116" t="inlineStr">
        <is>
          <t>Nhôm định hình KHUNG OBD EUS 10</t>
        </is>
      </c>
      <c r="D116" t="inlineStr">
        <is>
          <t>NHÔM_ĐỊNH_HÌNH</t>
        </is>
      </c>
      <c r="E116" s="390" t="n">
        <v>130000</v>
      </c>
    </row>
    <row r="117">
      <c r="A117" t="n">
        <v>116</v>
      </c>
      <c r="B117" t="inlineStr">
        <is>
          <t>MAT-PAINT-POWDER</t>
        </is>
      </c>
      <c r="C117" t="inlineStr">
        <is>
          <t>Sơn tĩnh điện tiêu chuẩn Polyester</t>
        </is>
      </c>
      <c r="D117" t="inlineStr">
        <is>
          <t>SƠN_TĨNH_ĐIỆN</t>
        </is>
      </c>
      <c r="E117" s="390" t="n">
        <v>75000</v>
      </c>
    </row>
    <row r="118">
      <c r="A118" t="n">
        <v>117</v>
      </c>
      <c r="B118" t="inlineStr">
        <is>
          <t>MAT-DOOR-ACCESSORY</t>
        </is>
      </c>
      <c r="C118" t="inlineStr">
        <is>
          <t>Phụ kiện lắp ghép / Ke góc cửa gió</t>
        </is>
      </c>
      <c r="D118" t="inlineStr">
        <is>
          <t>PHỤ_KIỆN_CỬA</t>
        </is>
      </c>
      <c r="E118" s="390" t="n">
        <v>15000</v>
      </c>
    </row>
    <row r="119">
      <c r="A119" t="n">
        <v>118</v>
      </c>
      <c r="B119" t="inlineStr">
        <is>
          <t>MAT-ACTUATOR-NACA-2-05</t>
        </is>
      </c>
      <c r="C119" t="inlineStr">
        <is>
          <t>Model: NACA 2-05  ( 220VAC, On/Off )</t>
        </is>
      </c>
      <c r="D119" t="inlineStr">
        <is>
          <t>ĐỘNG_CƠ_VÀ_CẢM_BIẾN</t>
        </is>
      </c>
      <c r="E119" s="390" t="n">
        <v>1250000</v>
      </c>
    </row>
    <row r="120">
      <c r="A120" t="n">
        <v>119</v>
      </c>
      <c r="B120" t="inlineStr">
        <is>
          <t>MAT-ACTUATOR-NACA-2-10</t>
        </is>
      </c>
      <c r="C120" t="inlineStr">
        <is>
          <t>Model: NACA 2-10   ( 220VAC, On/Off )</t>
        </is>
      </c>
      <c r="D120" t="inlineStr">
        <is>
          <t>ĐỘNG_CƠ_VÀ_CẢM_BIẾN</t>
        </is>
      </c>
      <c r="E120" s="390" t="n">
        <v>1732500</v>
      </c>
    </row>
    <row r="121">
      <c r="A121" t="n">
        <v>120</v>
      </c>
      <c r="B121" t="inlineStr">
        <is>
          <t>MAT-ACTUATOR-NACA-2-20</t>
        </is>
      </c>
      <c r="C121" t="inlineStr">
        <is>
          <t>Model: NACA 2-20   ( 220VAC, On/Off )</t>
        </is>
      </c>
      <c r="D121" t="inlineStr">
        <is>
          <t>ĐỘNG_CƠ_VÀ_CẢM_BIẾN</t>
        </is>
      </c>
      <c r="E121" s="390" t="n">
        <v>2016000</v>
      </c>
    </row>
    <row r="122">
      <c r="A122" t="n">
        <v>121</v>
      </c>
      <c r="B122" t="inlineStr">
        <is>
          <t>MAT-ACTUATOR-NACA-2-40</t>
        </is>
      </c>
      <c r="C122" t="inlineStr">
        <is>
          <t>Model: NACA 2-40   ( 220VAC, On/Off )</t>
        </is>
      </c>
      <c r="D122" t="inlineStr">
        <is>
          <t>ĐỘNG_CƠ_VÀ_CẢM_BIẾN</t>
        </is>
      </c>
      <c r="E122" s="390" t="n">
        <v>3549000</v>
      </c>
    </row>
    <row r="123">
      <c r="A123" t="n">
        <v>122</v>
      </c>
      <c r="B123" t="inlineStr">
        <is>
          <t>MAT-ACTUATOR-NTC-831</t>
        </is>
      </c>
      <c r="C123" t="inlineStr">
        <is>
          <t>Model: NTC 831</t>
        </is>
      </c>
      <c r="D123" t="inlineStr">
        <is>
          <t>ĐỘNG_CƠ_VÀ_CẢM_BIẾN</t>
        </is>
      </c>
      <c r="E123" s="390" t="n">
        <v>800000</v>
      </c>
    </row>
    <row r="124">
      <c r="A124" t="n">
        <v>123</v>
      </c>
      <c r="B124" t="inlineStr">
        <is>
          <t>MAT-ACTUATOR-NACM-1-2-05</t>
        </is>
      </c>
      <c r="C124" t="inlineStr">
        <is>
          <t>Model: NACM 1.2-05  ( Modulating )</t>
        </is>
      </c>
      <c r="D124" t="inlineStr">
        <is>
          <t>ĐỘNG_CƠ_VÀ_CẢM_BIẾN</t>
        </is>
      </c>
      <c r="E124" s="390" t="n">
        <v>1785000</v>
      </c>
    </row>
    <row r="125">
      <c r="A125" t="n">
        <v>124</v>
      </c>
      <c r="B125" t="inlineStr">
        <is>
          <t>MAT-ACTUATOR-NACM-1-1-10</t>
        </is>
      </c>
      <c r="C125" t="inlineStr">
        <is>
          <t>Model: NACM 1.1-10  ( Modulating )</t>
        </is>
      </c>
      <c r="D125" t="inlineStr">
        <is>
          <t>ĐỘNG_CƠ_VÀ_CẢM_BIẾN</t>
        </is>
      </c>
      <c r="E125" s="390" t="n">
        <v>2226000</v>
      </c>
    </row>
    <row r="126">
      <c r="A126" t="n">
        <v>125</v>
      </c>
      <c r="B126" t="inlineStr">
        <is>
          <t>MAT-ACTUATOR-NACM-1-1-20</t>
        </is>
      </c>
      <c r="C126" t="inlineStr">
        <is>
          <t>Model: NACM 1.1-20  ( Modulating )</t>
        </is>
      </c>
      <c r="D126" t="inlineStr">
        <is>
          <t>ĐỘNG_CƠ_VÀ_CẢM_BIẾN</t>
        </is>
      </c>
      <c r="E126" s="390" t="n">
        <v>3087000</v>
      </c>
    </row>
    <row r="127">
      <c r="A127" t="n">
        <v>126</v>
      </c>
      <c r="B127" t="inlineStr">
        <is>
          <t>MAT-ACTUATOR-NACM-1-1-40</t>
        </is>
      </c>
      <c r="C127" t="inlineStr">
        <is>
          <t>Model: NACM 1.1-40  ( Modulating )</t>
        </is>
      </c>
      <c r="D127" t="inlineStr">
        <is>
          <t>ĐỘNG_CƠ_VÀ_CẢM_BIẾN</t>
        </is>
      </c>
      <c r="E127" s="390" t="n">
        <v>4515000</v>
      </c>
    </row>
    <row r="128">
      <c r="A128" t="n">
        <v>127</v>
      </c>
      <c r="B128" t="inlineStr">
        <is>
          <t>MAT-ACTUATOR-MODEL-NPG-1-DIEU-KHI</t>
        </is>
      </c>
      <c r="C128" t="inlineStr">
        <is>
          <t>Model: NPG-1 ( Điều khiển cửa gió theo % đóng mở )</t>
        </is>
      </c>
      <c r="D128" t="inlineStr">
        <is>
          <t>ĐỘNG_CƠ_VÀ_CẢM_BIẾN</t>
        </is>
      </c>
      <c r="E128" s="390" t="n">
        <v>1260000</v>
      </c>
    </row>
    <row r="129">
      <c r="A129" t="n">
        <v>128</v>
      </c>
      <c r="B129" t="inlineStr">
        <is>
          <t>MAT-ACTUATOR-MODEL-NTC-843-DIEU-K</t>
        </is>
      </c>
      <c r="C129" t="inlineStr">
        <is>
          <t>Model: NTC-843 ( Điều khiển cửa gió theo nhiệt độ phòng )</t>
        </is>
      </c>
      <c r="D129" t="inlineStr">
        <is>
          <t>ĐỘNG_CƠ_VÀ_CẢM_BIẾN</t>
        </is>
      </c>
      <c r="E129" s="390" t="n">
        <v>1512000</v>
      </c>
    </row>
    <row r="130">
      <c r="A130" t="n">
        <v>129</v>
      </c>
      <c r="B130" t="inlineStr">
        <is>
          <t>MAT-ACTUATOR-SAFA-1-05S</t>
        </is>
      </c>
      <c r="C130" t="inlineStr">
        <is>
          <t>SAFA - 1 - 05S ( 24VAC/DC ) - Không có cảm biến</t>
        </is>
      </c>
      <c r="D130" t="inlineStr">
        <is>
          <t>ĐỘNG_CƠ_VÀ_CẢM_BIẾN</t>
        </is>
      </c>
      <c r="E130" s="390" t="n">
        <v>3108000</v>
      </c>
    </row>
    <row r="131">
      <c r="A131" t="n">
        <v>130</v>
      </c>
      <c r="B131" t="inlineStr">
        <is>
          <t>MAT-ACTUATOR-SAFA-1-08S</t>
        </is>
      </c>
      <c r="C131" t="inlineStr">
        <is>
          <t>SAFA - 1 - 08S ( 24VAC/DC )  - Không có cảm biến</t>
        </is>
      </c>
      <c r="D131" t="inlineStr">
        <is>
          <t>ĐỘNG_CƠ_VÀ_CẢM_BIẾN</t>
        </is>
      </c>
      <c r="E131" s="390" t="n">
        <v>3507000</v>
      </c>
    </row>
    <row r="132">
      <c r="A132" t="n">
        <v>131</v>
      </c>
      <c r="B132" t="inlineStr">
        <is>
          <t>MAT-ACTUATOR-SAFA-2-05S</t>
        </is>
      </c>
      <c r="C132" t="inlineStr">
        <is>
          <t>SAFA - 2 - 05S ( 220VAC  )  - Không có cảm biến</t>
        </is>
      </c>
      <c r="D132" t="inlineStr">
        <is>
          <t>ĐỘNG_CƠ_VÀ_CẢM_BIẾN</t>
        </is>
      </c>
      <c r="E132" s="390" t="n">
        <v>3255000</v>
      </c>
    </row>
    <row r="133">
      <c r="A133" t="n">
        <v>132</v>
      </c>
      <c r="B133" t="inlineStr">
        <is>
          <t>MAT-ACTUATOR-SAFA-2-08S</t>
        </is>
      </c>
      <c r="C133" t="inlineStr">
        <is>
          <t>SAFA - 2 - 08S ( 220VAC  )  - Không có cảm biến</t>
        </is>
      </c>
      <c r="D133" t="inlineStr">
        <is>
          <t>ĐỘNG_CƠ_VÀ_CẢM_BIẾN</t>
        </is>
      </c>
      <c r="E133" s="390" t="n">
        <v>3696000</v>
      </c>
    </row>
    <row r="134">
      <c r="A134" t="n">
        <v>133</v>
      </c>
      <c r="B134" t="inlineStr">
        <is>
          <t>MAT-ACTUATOR-CAM-BIEN-NHIET-BANG-</t>
        </is>
      </c>
      <c r="C134" t="inlineStr">
        <is>
          <t>Cảm biến nhiệt bằng điện gắn với Motor dùng cho fire damper</t>
        </is>
      </c>
      <c r="D134" t="inlineStr">
        <is>
          <t>ĐỘNG_CƠ_VÀ_CẢM_BIẾN</t>
        </is>
      </c>
      <c r="E134" s="390" t="n">
        <v>300000</v>
      </c>
    </row>
    <row r="135">
      <c r="A135" t="n">
        <v>134</v>
      </c>
      <c r="B135" t="inlineStr">
        <is>
          <t>MAT-ACTUATOR-MODEL-B</t>
        </is>
      </c>
      <c r="C135" t="inlineStr">
        <is>
          <t>Model: B (165ºF) ( Loại nhỏ )</t>
        </is>
      </c>
      <c r="D135" t="inlineStr">
        <is>
          <t>ĐỘNG_CƠ_VÀ_CẢM_BIẾN</t>
        </is>
      </c>
      <c r="E135" s="390" t="n">
        <v>70000</v>
      </c>
    </row>
    <row r="136">
      <c r="A136" t="n">
        <v>135</v>
      </c>
      <c r="B136" t="inlineStr">
        <is>
          <t>MAT-ACTUATOR-MODEL-A</t>
        </is>
      </c>
      <c r="C136" t="inlineStr">
        <is>
          <t>Model: A (165ºF) ( Loại lớn )</t>
        </is>
      </c>
      <c r="D136" t="inlineStr">
        <is>
          <t>ĐỘNG_CƠ_VÀ_CẢM_BIẾN</t>
        </is>
      </c>
      <c r="E136" s="390"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390"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390"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390"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390"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390"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390"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390"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390"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390"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390"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390"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390"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390"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390"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390" t="n">
        <v>970000</v>
      </c>
    </row>
    <row r="152">
      <c r="A152" t="n">
        <v>151</v>
      </c>
      <c r="B152" t="inlineStr">
        <is>
          <t>MAT-INSUL-BONG-GOM-DANG-TAM-600-X-9-29</t>
        </is>
      </c>
      <c r="C152" t="inlineStr">
        <is>
          <t>Bông gốm dạng tấm 600 x 900 T340 - Hộp D25 = 4 tấm  - Hộp D50 = 2 tấm</t>
        </is>
      </c>
      <c r="D152" t="inlineStr">
        <is>
          <t>VẬT_LIỆU_TIÊU_ÂM</t>
        </is>
      </c>
      <c r="E152" s="390" t="n">
        <v>720000</v>
      </c>
    </row>
    <row r="153">
      <c r="A153" t="n">
        <v>152</v>
      </c>
      <c r="B153" t="inlineStr">
        <is>
          <t>MAT-INSUL-BONG-GOM-DANG-ROI-30</t>
        </is>
      </c>
      <c r="C153" t="inlineStr">
        <is>
          <t>Bông gốm dạng rời</t>
        </is>
      </c>
      <c r="D153" t="inlineStr">
        <is>
          <t>VẬT_LIỆU_TIÊU_ÂM</t>
        </is>
      </c>
      <c r="E153" s="390" t="n">
        <v>370000</v>
      </c>
    </row>
    <row r="154">
      <c r="A154" t="n">
        <v>153</v>
      </c>
      <c r="B154" t="inlineStr">
        <is>
          <t>MAT-INSUL-MUT-TRUNG-3CM-KICH-THUOC-32</t>
        </is>
      </c>
      <c r="C154" t="inlineStr">
        <is>
          <t>Mút trứng 3cm , kích thước tấm 1,6 x 2m</t>
        </is>
      </c>
      <c r="D154" t="inlineStr">
        <is>
          <t>VẬT_LIỆU_TIÊU_ÂM</t>
        </is>
      </c>
      <c r="E154" s="390" t="n">
        <v>260000</v>
      </c>
    </row>
    <row r="155">
      <c r="A155" t="n">
        <v>154</v>
      </c>
      <c r="B155" t="inlineStr">
        <is>
          <t>MAT-INSUL-MUT-TRUNG-5CM-KICH-THUOC-33</t>
        </is>
      </c>
      <c r="C155" t="inlineStr">
        <is>
          <t>Mút trứng 5cm , kích thước tấm 1,6 x 2m</t>
        </is>
      </c>
      <c r="D155" t="inlineStr">
        <is>
          <t>VẬT_LIỆU_TIÊU_ÂM</t>
        </is>
      </c>
      <c r="E155" s="390" t="n">
        <v>360000</v>
      </c>
    </row>
    <row r="156">
      <c r="A156" t="n">
        <v>155</v>
      </c>
      <c r="B156" t="inlineStr">
        <is>
          <t>MAT-INSUL-MUT-GAI-5CM-KICH-THUOC-TA-34</t>
        </is>
      </c>
      <c r="C156" t="inlineStr">
        <is>
          <t>Mút gai 5cm , kích thước tấm 1 x 1m</t>
        </is>
      </c>
      <c r="D156" t="inlineStr">
        <is>
          <t>VẬT_LIỆU_TIÊU_ÂM</t>
        </is>
      </c>
      <c r="E156" s="390" t="n">
        <v>330000</v>
      </c>
    </row>
    <row r="157">
      <c r="A157" t="n">
        <v>156</v>
      </c>
      <c r="B157" t="inlineStr">
        <is>
          <t>MAT-INSUL-XOP-XPS-DAY-25MM-KICH-THU-35</t>
        </is>
      </c>
      <c r="C157" t="inlineStr">
        <is>
          <t>Xốp XPS . Dày 25mm kích thước tấm 600 x 1800</t>
        </is>
      </c>
      <c r="D157" t="inlineStr">
        <is>
          <t>VẬT_LIỆU_TIÊU_ÂM</t>
        </is>
      </c>
      <c r="E157" s="390" t="n">
        <v>72000</v>
      </c>
    </row>
    <row r="158">
      <c r="A158" t="n">
        <v>157</v>
      </c>
      <c r="B158" t="inlineStr">
        <is>
          <t>MAT-INSUL-VAI-THUY-TINH-36</t>
        </is>
      </c>
      <c r="C158" t="inlineStr">
        <is>
          <t>Vải thủy tinh</t>
        </is>
      </c>
      <c r="D158" t="inlineStr">
        <is>
          <t>VẬT_LIỆU_TIÊU_ÂM</t>
        </is>
      </c>
      <c r="E158" s="390" t="n">
        <v>85000</v>
      </c>
    </row>
    <row r="159">
      <c r="A159" t="n">
        <v>158</v>
      </c>
      <c r="B159" t="inlineStr">
        <is>
          <t>MAT-INSUL-TON-LO-D6-38</t>
        </is>
      </c>
      <c r="C159" t="inlineStr">
        <is>
          <t>Tôn lỗ D6</t>
        </is>
      </c>
      <c r="D159" t="inlineStr">
        <is>
          <t>VẬT_LIỆU_TIÊU_ÂM</t>
        </is>
      </c>
      <c r="E159" s="390" t="n">
        <v>130000</v>
      </c>
    </row>
    <row r="160">
      <c r="A160" t="n">
        <v>159</v>
      </c>
      <c r="B160" t="inlineStr">
        <is>
          <t>MAT-INSUL-TON-LO-D10-40</t>
        </is>
      </c>
      <c r="C160" t="inlineStr">
        <is>
          <t>Tôn lỗ D10</t>
        </is>
      </c>
      <c r="D160" t="inlineStr">
        <is>
          <t>VẬT_LIỆU_TIÊU_ÂM</t>
        </is>
      </c>
      <c r="E160" s="390" t="n">
        <v>130000</v>
      </c>
    </row>
    <row r="161">
      <c r="A161" t="n">
        <v>160</v>
      </c>
      <c r="B161" t="inlineStr">
        <is>
          <t>CANVAS_FIRE_RESISTANT</t>
        </is>
      </c>
      <c r="C161" t="inlineStr">
        <is>
          <t>Cuộn vải bạt bọc cách nhiệt/chống cháy</t>
        </is>
      </c>
      <c r="D161" t="inlineStr">
        <is>
          <t>VẬT_TƯ_BẠT</t>
        </is>
      </c>
      <c r="E161" s="390" t="n">
        <v>57600</v>
      </c>
    </row>
    <row r="162">
      <c r="A162" t="n">
        <v>161</v>
      </c>
      <c r="B162" t="inlineStr">
        <is>
          <t>ROCKWOOL_50MM_50KG</t>
        </is>
      </c>
      <c r="C162" t="inlineStr">
        <is>
          <t>Bông Rockwool tỷ trọng 50kg/m3 dày 50mm</t>
        </is>
      </c>
      <c r="D162" t="inlineStr">
        <is>
          <t>VẬT_LIỆU_TIÊU_ÂM</t>
        </is>
      </c>
      <c r="E162" s="390" t="n">
        <v>65000</v>
      </c>
    </row>
    <row r="163">
      <c r="A163" t="n">
        <v>162</v>
      </c>
      <c r="B163" t="inlineStr">
        <is>
          <t>GLASS_CLOTH</t>
        </is>
      </c>
      <c r="C163" t="inlineStr">
        <is>
          <t>Vải thủy tinh bọc tiêu âm</t>
        </is>
      </c>
      <c r="D163" t="inlineStr">
        <is>
          <t>VẬT_LIỆU_TIÊU_ÂM</t>
        </is>
      </c>
      <c r="E163" s="390" t="n">
        <v>15000</v>
      </c>
    </row>
    <row r="164">
      <c r="A164" t="n">
        <v>163</v>
      </c>
      <c r="B164" t="inlineStr">
        <is>
          <t>PERFORATED_SHEET</t>
        </is>
      </c>
      <c r="C164" t="inlineStr">
        <is>
          <t>Tôn đục lỗ tiêu âm</t>
        </is>
      </c>
      <c r="D164" t="inlineStr">
        <is>
          <t>VẬT_LIỆU_TIÊU_ÂM</t>
        </is>
      </c>
      <c r="E164" s="390" t="n">
        <v>55000</v>
      </c>
    </row>
    <row r="165">
      <c r="A165" t="n">
        <v>164</v>
      </c>
      <c r="B165" t="inlineStr">
        <is>
          <t>SUPERLON_19MM</t>
        </is>
      </c>
      <c r="C165" t="inlineStr">
        <is>
          <t>Bảo ôn Superlon dạng tấm dày 19mm</t>
        </is>
      </c>
      <c r="D165" t="inlineStr">
        <is>
          <t>VẬT_LIỆU_BẢO_ÔN</t>
        </is>
      </c>
      <c r="E165" s="390" t="n">
        <v>220000</v>
      </c>
    </row>
    <row r="166">
      <c r="A166" t="n">
        <v>165</v>
      </c>
      <c r="B166" t="inlineStr">
        <is>
          <t>FLEX_DUCT_D100_NON_INSUL</t>
        </is>
      </c>
      <c r="C166" t="inlineStr">
        <is>
          <t>ống mềm D100 không bảo ôn</t>
        </is>
      </c>
      <c r="D166" t="inlineStr">
        <is>
          <t>ỐNG_GIÓ_MỀM</t>
        </is>
      </c>
      <c r="E166" s="390" t="n">
        <v>55000</v>
      </c>
    </row>
    <row r="167">
      <c r="A167" t="n">
        <v>166</v>
      </c>
      <c r="B167" t="inlineStr">
        <is>
          <t>FLEX_DUCT_D150_NON_INSUL</t>
        </is>
      </c>
      <c r="C167" t="inlineStr">
        <is>
          <t>ống mềm D150 không bảo ôn</t>
        </is>
      </c>
      <c r="D167" t="inlineStr">
        <is>
          <t>ỐNG_GIÓ_MỀM</t>
        </is>
      </c>
      <c r="E167" s="390" t="n">
        <v>70000</v>
      </c>
    </row>
    <row r="168">
      <c r="A168" t="n">
        <v>167</v>
      </c>
      <c r="B168" t="inlineStr">
        <is>
          <t>FLEX_DUCT_D200_NON_INSUL</t>
        </is>
      </c>
      <c r="C168" t="inlineStr">
        <is>
          <t>ống mềm D200 không bảo ôn</t>
        </is>
      </c>
      <c r="D168" t="inlineStr">
        <is>
          <t>ỐNG_GIÓ_MỀM</t>
        </is>
      </c>
      <c r="E168" s="390" t="n">
        <v>99500</v>
      </c>
    </row>
    <row r="169">
      <c r="A169" t="n">
        <v>168</v>
      </c>
      <c r="B169" t="inlineStr">
        <is>
          <t>FLEX_DUCT_D250_NON_INSUL</t>
        </is>
      </c>
      <c r="C169" t="inlineStr">
        <is>
          <t>ống mềm D250 không bảo ôn</t>
        </is>
      </c>
      <c r="D169" t="inlineStr">
        <is>
          <t>ỐNG_GIÓ_MỀM</t>
        </is>
      </c>
      <c r="E169" s="390" t="n">
        <v>115000</v>
      </c>
    </row>
    <row r="170">
      <c r="A170" t="n">
        <v>169</v>
      </c>
      <c r="B170" t="inlineStr">
        <is>
          <t>FLEX_DUCT_D300_NON_INSUL</t>
        </is>
      </c>
      <c r="C170" t="inlineStr">
        <is>
          <t>ống mềm D300 không bảo ôn</t>
        </is>
      </c>
      <c r="D170" t="inlineStr">
        <is>
          <t>ỐNG_GIÓ_MỀM</t>
        </is>
      </c>
      <c r="E170" s="390" t="n">
        <v>135000</v>
      </c>
    </row>
    <row r="171">
      <c r="A171" t="n">
        <v>170</v>
      </c>
      <c r="B171" t="inlineStr">
        <is>
          <t>FLEX_DUCT_D350_NON_INSUL</t>
        </is>
      </c>
      <c r="C171" t="inlineStr">
        <is>
          <t>ống mềm D350 không bảo ôn</t>
        </is>
      </c>
      <c r="D171" t="inlineStr">
        <is>
          <t>ỐNG_GIÓ_MỀM</t>
        </is>
      </c>
      <c r="E171" s="390" t="n">
        <v>195000</v>
      </c>
    </row>
    <row r="172">
      <c r="A172" t="n">
        <v>171</v>
      </c>
      <c r="B172" t="inlineStr">
        <is>
          <t>FLEX_DUCT_D100_INSUL</t>
        </is>
      </c>
      <c r="C172" t="inlineStr">
        <is>
          <t>ống mềm D100 có bảo ôn</t>
        </is>
      </c>
      <c r="D172" t="inlineStr">
        <is>
          <t>ỐNG_GIÓ_MỀM</t>
        </is>
      </c>
      <c r="E172" s="390" t="n">
        <v>130000</v>
      </c>
    </row>
    <row r="173">
      <c r="A173" t="n">
        <v>172</v>
      </c>
      <c r="B173" t="inlineStr">
        <is>
          <t>FLEX_DUCT_D150_INSUL</t>
        </is>
      </c>
      <c r="C173" t="inlineStr">
        <is>
          <t>ống mềm D150 có bảo ôn</t>
        </is>
      </c>
      <c r="D173" t="inlineStr">
        <is>
          <t>ỐNG_GIÓ_MỀM</t>
        </is>
      </c>
      <c r="E173" s="390" t="n">
        <v>165000</v>
      </c>
    </row>
    <row r="174">
      <c r="A174" t="n">
        <v>173</v>
      </c>
      <c r="B174" t="inlineStr">
        <is>
          <t>FLEX_DUCT_D200_INSUL</t>
        </is>
      </c>
      <c r="C174" t="inlineStr">
        <is>
          <t>ống mềm D200 có bảo ôn</t>
        </is>
      </c>
      <c r="D174" t="inlineStr">
        <is>
          <t>ỐNG_GIÓ_MỀM</t>
        </is>
      </c>
      <c r="E174" s="390" t="n">
        <v>190000</v>
      </c>
    </row>
    <row r="175">
      <c r="A175" t="n">
        <v>174</v>
      </c>
      <c r="B175" t="inlineStr">
        <is>
          <t>FLEX_DUCT_D250_INSUL</t>
        </is>
      </c>
      <c r="C175" t="inlineStr">
        <is>
          <t>ống mềm D250 có bảo ôn</t>
        </is>
      </c>
      <c r="D175" t="inlineStr">
        <is>
          <t>ỐNG_GIÓ_MỀM</t>
        </is>
      </c>
      <c r="E175" s="390" t="n">
        <v>245000</v>
      </c>
    </row>
    <row r="176">
      <c r="A176" t="n">
        <v>175</v>
      </c>
      <c r="B176" t="inlineStr">
        <is>
          <t>FLEX_DUCT_D300_INSUL</t>
        </is>
      </c>
      <c r="C176" t="inlineStr">
        <is>
          <t>ống mềm D300 có bảo ôn</t>
        </is>
      </c>
      <c r="D176" t="inlineStr">
        <is>
          <t>ỐNG_GIÓ_MỀM</t>
        </is>
      </c>
      <c r="E176" s="390" t="n">
        <v>245000</v>
      </c>
    </row>
    <row r="177">
      <c r="A177" t="n">
        <v>176</v>
      </c>
      <c r="B177" t="inlineStr">
        <is>
          <t>FLEX_DUCT_D350_INSUL</t>
        </is>
      </c>
      <c r="C177" t="inlineStr">
        <is>
          <t>ống mềm D350 có bảo ôn</t>
        </is>
      </c>
      <c r="D177" t="inlineStr">
        <is>
          <t>ỐNG_GIÓ_MỀM</t>
        </is>
      </c>
      <c r="E177" s="390" t="n">
        <v>280000</v>
      </c>
    </row>
    <row r="178">
      <c r="A178" t="n">
        <v>177</v>
      </c>
      <c r="B178" t="inlineStr">
        <is>
          <t>FLEX_DUCT_D400_NON_INSUL</t>
        </is>
      </c>
      <c r="C178" t="inlineStr">
        <is>
          <t>ống mềm D400 không bảo ôn</t>
        </is>
      </c>
      <c r="D178" t="inlineStr">
        <is>
          <t>ỐNG_GIÓ_MỀM</t>
        </is>
      </c>
      <c r="E178" s="390" t="n">
        <v>225000</v>
      </c>
    </row>
    <row r="179">
      <c r="A179" t="n">
        <v>178</v>
      </c>
      <c r="B179" t="inlineStr">
        <is>
          <t>FLEX_DUCT_D400_INSUL</t>
        </is>
      </c>
      <c r="C179" t="inlineStr">
        <is>
          <t>ống mềm D400 có bảo ôn</t>
        </is>
      </c>
      <c r="D179" t="inlineStr">
        <is>
          <t>ỐNG_GIÓ_MỀM</t>
        </is>
      </c>
      <c r="E179" s="390" t="n">
        <v>320000</v>
      </c>
    </row>
    <row r="180">
      <c r="A180" t="n">
        <v>179</v>
      </c>
      <c r="B180" t="inlineStr">
        <is>
          <t>MAT-FIREBOARD-10MM-BODY</t>
        </is>
      </c>
      <c r="C180" t="inlineStr">
        <is>
          <t>Tấm chống cháy dày 10mm bọc thân van FD/MFD</t>
        </is>
      </c>
      <c r="D180" t="inlineStr">
        <is>
          <t>VẬT_LIỆU_CÁCH_NHIỆT</t>
        </is>
      </c>
      <c r="E180" s="390" t="n">
        <v>700000</v>
      </c>
    </row>
    <row r="181">
      <c r="A181" t="n">
        <v>180</v>
      </c>
      <c r="B181" t="inlineStr">
        <is>
          <t>MAT-FIREBOARD-20MM-BLADE</t>
        </is>
      </c>
      <c r="C181" t="inlineStr">
        <is>
          <t>Tấm chống cháy dày 20mm làm lõi cánh van FD/MFD</t>
        </is>
      </c>
      <c r="D181" t="inlineStr">
        <is>
          <t>VẬT_LIỆU_CÁCH_NHIỆT</t>
        </is>
      </c>
      <c r="E181" s="390" t="n">
        <v>800000</v>
      </c>
    </row>
    <row r="182">
      <c r="A182" t="n">
        <v>181</v>
      </c>
      <c r="B182" t="inlineStr">
        <is>
          <t>MAT-FIREBOARD-10MM-BLADE</t>
        </is>
      </c>
      <c r="C182" t="inlineStr">
        <is>
          <t>Tấm chống cháy dày 10mm ốp 2 mặt cánh van FD/MFD</t>
        </is>
      </c>
      <c r="D182" t="inlineStr">
        <is>
          <t>VẬT_LIỆU_CÁCH_NHIỆT</t>
        </is>
      </c>
      <c r="E182" s="390" t="n">
        <v>700000</v>
      </c>
    </row>
    <row r="183">
      <c r="A183" t="n">
        <v>182</v>
      </c>
      <c r="B183" t="inlineStr">
        <is>
          <t>MAT-INSULATION-EI-DAMPER</t>
        </is>
      </c>
      <c r="C183" t="inlineStr">
        <is>
          <t>Bọc cách nhiệt chống cháy tấm MGO/Thạch cao 10mm (Tiêu chuẩn EI)</t>
        </is>
      </c>
      <c r="D183" t="inlineStr">
        <is>
          <t>VẬT_LIỆU_CÁCH_NHIỆT</t>
        </is>
      </c>
      <c r="E183" s="390" t="n">
        <v>700000</v>
      </c>
    </row>
    <row r="184">
      <c r="A184" t="n">
        <v>183</v>
      </c>
      <c r="B184" t="inlineStr">
        <is>
          <t>MAT-ACTUATOR-BELIMO-FSLF24</t>
        </is>
      </c>
      <c r="C184" t="inlineStr">
        <is>
          <t>Động cơ chặn lửa ON/OFF 3.5Nm, 230V/24V (BELIMO FSLF24 / FSLF230)</t>
        </is>
      </c>
      <c r="D184" t="inlineStr">
        <is>
          <t>ĐỘNG_CƠ_VÀ_CẢM_BIẾN</t>
        </is>
      </c>
      <c r="E184" s="390" t="n">
        <v>3700000</v>
      </c>
    </row>
    <row r="185">
      <c r="A185" t="n">
        <v>184</v>
      </c>
      <c r="B185" t="inlineStr">
        <is>
          <t>MAT-ACTUATOR-BELIMO-BFN24</t>
        </is>
      </c>
      <c r="C185" t="inlineStr">
        <is>
          <t>Động cơ chặn lửa ON/OFF 9Nm, 230V/24V (BELIMO BFN24 / BFN230)</t>
        </is>
      </c>
      <c r="D185" t="inlineStr">
        <is>
          <t>ĐỘNG_CƠ_VÀ_CẢM_BIẾN</t>
        </is>
      </c>
      <c r="E185" s="390" t="n">
        <v>3700000</v>
      </c>
    </row>
    <row r="186">
      <c r="A186" t="n">
        <v>185</v>
      </c>
      <c r="B186" t="inlineStr">
        <is>
          <t>MAT-ACTUATOR-BELIMO-BF24</t>
        </is>
      </c>
      <c r="C186" t="inlineStr">
        <is>
          <t>Động cơ chặn lửa ON/OFF 18Nm, 24V (BELIMO BF 24 hoặc tương đương)</t>
        </is>
      </c>
      <c r="D186" t="inlineStr">
        <is>
          <t>ĐỘNG_CƠ_VÀ_CẢM_BIẾN</t>
        </is>
      </c>
      <c r="E186" s="390" t="n">
        <v>5500000</v>
      </c>
    </row>
    <row r="187">
      <c r="A187" t="n">
        <v>186</v>
      </c>
      <c r="B187" t="inlineStr">
        <is>
          <t>MAT-ACTUATOR-HONEYWELL</t>
        </is>
      </c>
      <c r="C187" t="inlineStr">
        <is>
          <t>Động cơ chặn lửa ON/OFF (Honeywell)</t>
        </is>
      </c>
      <c r="D187" t="inlineStr">
        <is>
          <t>ĐỘNG_CƠ_VÀ_CẢM_BIẾN</t>
        </is>
      </c>
      <c r="E187" s="390" t="n">
        <v>3600000</v>
      </c>
    </row>
    <row r="188">
      <c r="A188" t="n">
        <v>187</v>
      </c>
      <c r="B188" t="inlineStr">
        <is>
          <t>MAT-ACTUATOR-SWIND-VIWECO</t>
        </is>
      </c>
      <c r="C188" t="inlineStr">
        <is>
          <t>Động cơ chặn lửa ON/OFF Swind (Viweco V6006FS500S)</t>
        </is>
      </c>
      <c r="D188" t="inlineStr">
        <is>
          <t>ĐỘNG_CƠ_VÀ_CẢM_BIẾN</t>
        </is>
      </c>
      <c r="E188" s="390" t="n">
        <v>1600000</v>
      </c>
    </row>
    <row r="189">
      <c r="A189" t="n">
        <v>188</v>
      </c>
      <c r="B189" t="inlineStr">
        <is>
          <t>MAT-ACTUATOR-BELIMO-5NM</t>
        </is>
      </c>
      <c r="C189" t="inlineStr">
        <is>
          <t>Động cơ van gió Belimo ON/OFF 5Nm</t>
        </is>
      </c>
      <c r="D189" t="inlineStr">
        <is>
          <t>ĐỘNG_CƠ_VÀ_CẢM_BIẾN</t>
        </is>
      </c>
      <c r="E189" s="390" t="n">
        <v>2200000</v>
      </c>
    </row>
    <row r="190">
      <c r="A190" t="n">
        <v>189</v>
      </c>
      <c r="B190" t="inlineStr">
        <is>
          <t>MAT-ACTUATOR-BELIMO-10NM</t>
        </is>
      </c>
      <c r="C190" t="inlineStr">
        <is>
          <t>Động cơ van gió Belimo ON/OFF 10Nm</t>
        </is>
      </c>
      <c r="D190" t="inlineStr">
        <is>
          <t>ĐỘNG_CƠ_VÀ_CẢM_BIẾN</t>
        </is>
      </c>
      <c r="E190" s="390" t="n">
        <v>2800000</v>
      </c>
    </row>
    <row r="191">
      <c r="A191" t="n">
        <v>190</v>
      </c>
      <c r="B191" t="inlineStr">
        <is>
          <t>MAT-ACTUATOR-BELIMO-20NM</t>
        </is>
      </c>
      <c r="C191" t="inlineStr">
        <is>
          <t>Động cơ van gió Belimo ON/OFF 20Nm</t>
        </is>
      </c>
      <c r="D191" t="inlineStr">
        <is>
          <t>ĐỘNG_CƠ_VÀ_CẢM_BIẾN</t>
        </is>
      </c>
      <c r="E191" s="390" t="n">
        <v>3150000</v>
      </c>
    </row>
    <row r="192">
      <c r="A192" t="n">
        <v>191</v>
      </c>
      <c r="B192" t="inlineStr">
        <is>
          <t>MAT-DAMPER-HOP-LO-XO</t>
        </is>
      </c>
      <c r="C192" t="inlineStr">
        <is>
          <t>Hộp lò xo van chặn lửa FD/MFD</t>
        </is>
      </c>
      <c r="D192" t="inlineStr">
        <is>
          <t>PHỤ_KIỆN_VAN</t>
        </is>
      </c>
      <c r="E192" s="390" t="n">
        <v>60000</v>
      </c>
    </row>
    <row r="193">
      <c r="A193" t="n">
        <v>192</v>
      </c>
      <c r="B193" t="inlineStr">
        <is>
          <t>MAT-DAMPER-SILICON-BULONG-VIT</t>
        </is>
      </c>
      <c r="C193" t="inlineStr">
        <is>
          <t>Silicon chống cháy + bu lông, ốc vít van FD/MFD</t>
        </is>
      </c>
      <c r="D193" t="inlineStr">
        <is>
          <t>PHỤ_KIỆN_VAN</t>
        </is>
      </c>
      <c r="E193" s="390" t="n">
        <v>40000</v>
      </c>
    </row>
    <row r="194">
      <c r="A194" t="n">
        <v>193</v>
      </c>
      <c r="B194" t="inlineStr">
        <is>
          <t>MAT-DAMPER-TAY-GAT-CAU-CHI-1</t>
        </is>
      </c>
      <c r="C194" t="inlineStr">
        <is>
          <t>Tay gạt cầu chì van FD (Loại 1-2 cánh)</t>
        </is>
      </c>
      <c r="D194" t="inlineStr">
        <is>
          <t>PHỤ_KIỆN_VAN</t>
        </is>
      </c>
      <c r="E194" s="390" t="n">
        <v>150000</v>
      </c>
    </row>
    <row r="195">
      <c r="A195" t="n">
        <v>194</v>
      </c>
      <c r="B195" t="inlineStr">
        <is>
          <t>MAT-DAMPER-TAY-GAT-CAU-CHI-2</t>
        </is>
      </c>
      <c r="C195" t="inlineStr">
        <is>
          <t>Tay gạt cầu chì van FD (Loại 3-5 cánh)</t>
        </is>
      </c>
      <c r="D195" t="inlineStr">
        <is>
          <t>PHỤ_KIỆN_VAN</t>
        </is>
      </c>
      <c r="E195" s="390" t="n">
        <v>225000</v>
      </c>
    </row>
    <row r="196">
      <c r="A196" t="n">
        <v>195</v>
      </c>
      <c r="B196" t="inlineStr">
        <is>
          <t>MAT-DAMPER-LO-XO-DOI</t>
        </is>
      </c>
      <c r="C196" t="inlineStr">
        <is>
          <t>Lò xo van chặn lửa / đôi</t>
        </is>
      </c>
      <c r="D196" t="inlineStr">
        <is>
          <t>PHỤ_KIỆN_VAN</t>
        </is>
      </c>
      <c r="E196" s="390" t="n">
        <v>4000</v>
      </c>
    </row>
    <row r="197">
      <c r="A197" t="n">
        <v>196</v>
      </c>
      <c r="B197" t="inlineStr">
        <is>
          <t>ECCENTRIC_SHAFT</t>
        </is>
      </c>
      <c r="C197" t="inlineStr">
        <is>
          <t>Cơ cấu lệch tâm / Lò xo đóng mở (NRD)</t>
        </is>
      </c>
      <c r="D197" t="inlineStr">
        <is>
          <t>PHỤ_KIỆN_VAN</t>
        </is>
      </c>
      <c r="E197" s="390" t="n">
        <v>45000</v>
      </c>
    </row>
    <row r="198">
      <c r="A198" t="n">
        <v>197</v>
      </c>
      <c r="B198" t="inlineStr">
        <is>
          <t>MAT-KHAC-LUOI_BAO_VE</t>
        </is>
      </c>
      <c r="C198" t="inlineStr">
        <is>
          <t>Lưới bảo vệ</t>
        </is>
      </c>
      <c r="D198" t="inlineStr">
        <is>
          <t>THƯƠNG_MẠI_TỰ_ĐỘNG</t>
        </is>
      </c>
      <c r="E198" s="390" t="n">
        <v>165000</v>
      </c>
    </row>
    <row r="199">
      <c r="A199" t="n">
        <v>198</v>
      </c>
      <c r="B199" t="inlineStr">
        <is>
          <t>MAT-THUONG_MAI-VAT_TU_PHU_PHU_KIEN</t>
        </is>
      </c>
      <c r="C199" t="inlineStr">
        <is>
          <t>HỆ THỐNG HÚT KHÓI HẦM XE, HÚT KHÓI SỰ CỐ Vật tư phụ, phụ kiện</t>
        </is>
      </c>
      <c r="D199" t="inlineStr">
        <is>
          <t>THUONG_MAI</t>
        </is>
      </c>
      <c r="E199" s="390" t="n">
        <v>0</v>
      </c>
    </row>
    <row r="200">
      <c r="A200" t="n">
        <v>199</v>
      </c>
      <c r="B200" t="inlineStr">
        <is>
          <t>MAT-THUONG_MAI-LUOI_BAO_VE</t>
        </is>
      </c>
      <c r="C200" t="inlineStr">
        <is>
          <t>Ống thông gió và phụ kiện, box miệng gió Lưới bảo vệ</t>
        </is>
      </c>
      <c r="D200" t="inlineStr">
        <is>
          <t>THUONG_MAI</t>
        </is>
      </c>
      <c r="E200" s="390" t="n">
        <v>0</v>
      </c>
    </row>
    <row r="201">
      <c r="A201" t="n">
        <v>200</v>
      </c>
      <c r="B201" t="inlineStr">
        <is>
          <t>MAT-THUONG_MAI-LOP_CHONG_CHAY_EI30</t>
        </is>
      </c>
      <c r="C201" t="inlineStr">
        <is>
          <t>Ống thông gió và phụ kiện, box miệng gió Lớp chống cháy EI30</t>
        </is>
      </c>
      <c r="D201" t="inlineStr">
        <is>
          <t>THUONG_MAI</t>
        </is>
      </c>
      <c r="E201" s="390" t="n">
        <v>0</v>
      </c>
    </row>
    <row r="202">
      <c r="A202" t="n">
        <v>201</v>
      </c>
      <c r="B202" t="inlineStr">
        <is>
          <t>MAT-THUONG_MAI-LOP_CHONG_CHAY_EI60</t>
        </is>
      </c>
      <c r="C202" t="inlineStr">
        <is>
          <t>Ống thông gió và phụ kiện, box miệng gió Lớp chống cháy EI60</t>
        </is>
      </c>
      <c r="D202" t="inlineStr">
        <is>
          <t>THUONG_MAI</t>
        </is>
      </c>
      <c r="E202" s="390" t="n">
        <v>0</v>
      </c>
    </row>
    <row r="203">
      <c r="A203" t="n">
        <v>202</v>
      </c>
      <c r="B203" t="inlineStr">
        <is>
          <t>MAT-THUONG_MAI-LOP_CHONG_CHAY_EI120</t>
        </is>
      </c>
      <c r="C203" t="inlineStr">
        <is>
          <t>Hệ thống ống thông gió tạo áp, box miệng gió… Lớp chống cháy EI120</t>
        </is>
      </c>
      <c r="D203" t="inlineStr">
        <is>
          <t>THUONG_MAI</t>
        </is>
      </c>
      <c r="E203" s="390" t="n">
        <v>0</v>
      </c>
    </row>
    <row r="204">
      <c r="A204" t="n">
        <v>203</v>
      </c>
      <c r="B204" t="inlineStr">
        <is>
          <t>MAT-THUONG_MAI-CUA_SO_CAP_BU_GIO_KHI_CO_CHAY_1_5M2</t>
        </is>
      </c>
      <c r="C204" t="inlineStr">
        <is>
          <t>HỆ THỐNG CẤP GIÓ TƯƠI, GIÓ BÙ Cửa sổ cấp bù gió khi có cháy 1.5m2</t>
        </is>
      </c>
      <c r="D204" t="inlineStr">
        <is>
          <t>THUONG_MAI</t>
        </is>
      </c>
      <c r="E204" s="390" t="n">
        <v>0</v>
      </c>
    </row>
    <row r="205">
      <c r="A205" t="n">
        <v>204</v>
      </c>
      <c r="B205" t="inlineStr">
        <is>
          <t>MAT-THUONG_MAI-CUA_SO_CAP_BU_GIO_KHI_CO_CHAY_0_8M2</t>
        </is>
      </c>
      <c r="C205" t="inlineStr">
        <is>
          <t>HỆ THỐNG CẤP GIÓ TƯƠI, GIÓ BÙ Cửa sổ cấp bù gió khi có cháy 0.8m2</t>
        </is>
      </c>
      <c r="D205" t="inlineStr">
        <is>
          <t>THUONG_MAI</t>
        </is>
      </c>
      <c r="E205" s="390" t="n">
        <v>0</v>
      </c>
    </row>
    <row r="206">
      <c r="A206" t="n">
        <v>205</v>
      </c>
      <c r="B206" t="inlineStr">
        <is>
          <t>MAT-THUONG_MAI-CUA_SO_CAP_BU_GIO_KHI_CO_CHAY_0FA1</t>
        </is>
      </c>
      <c r="C206" t="inlineStr">
        <is>
          <t>HỆ THỐNG CẤP GIÓ TƯƠI, GIÓ BÙ Cửa sổ cấp bù gió khi có cháy 0.75m2</t>
        </is>
      </c>
      <c r="D206" t="inlineStr">
        <is>
          <t>THUONG_MAI</t>
        </is>
      </c>
      <c r="E206" s="390" t="n">
        <v>0</v>
      </c>
    </row>
    <row r="207">
      <c r="A207" t="n">
        <v>206</v>
      </c>
      <c r="B207" t="inlineStr">
        <is>
          <t>MAT-THUONG_MAI-KIEM_TRA_NGHIEM_THU_VA_BAN_GIA_60E7</t>
        </is>
      </c>
      <c r="C207" t="inlineStr">
        <is>
          <t>CHI PHÍ CHUNG Kiểm tra, nghiệm thu và bàn giao hệ thống</t>
        </is>
      </c>
      <c r="D207" t="inlineStr">
        <is>
          <t>THUONG_MAI</t>
        </is>
      </c>
      <c r="E207" s="390" t="n">
        <v>0</v>
      </c>
    </row>
    <row r="208">
      <c r="A208" t="n">
        <v>207</v>
      </c>
      <c r="B208" t="inlineStr">
        <is>
          <t>MAT-THUONG_MAI-CHI_PHI_CAT_DUC_DONG_LUOI_TRAM_5B36</t>
        </is>
      </c>
      <c r="C208" t="inlineStr">
        <is>
          <t>CHI PHÍ CHUNG Chi phí cắt đục, đóng lưới trám trét tường</t>
        </is>
      </c>
      <c r="D208" t="inlineStr">
        <is>
          <t>THUONG_MAI</t>
        </is>
      </c>
      <c r="E208" s="390" t="n">
        <v>0</v>
      </c>
    </row>
    <row r="209">
      <c r="A209" t="n">
        <v>208</v>
      </c>
      <c r="B209" t="inlineStr">
        <is>
          <t>MAT-THUONG_MAI-CHI_PHI_CHONG_CHAY_LAN</t>
        </is>
      </c>
      <c r="C209" t="inlineStr">
        <is>
          <t>CHI PHÍ CHUNG Chi phí chống cháy lan</t>
        </is>
      </c>
      <c r="D209" t="inlineStr">
        <is>
          <t>THUONG_MAI</t>
        </is>
      </c>
      <c r="E209"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2026-10-14T04:42:29Z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
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GOG" sheetId="1" state="visible" r:id="rId1"/>
  </sheets>
  <definedNames>
    <definedName name="up">OFFSET(#REF!,-1,0,1,1)</definedName>
    <definedName name="up" localSheetId="0">OFFSET(BGOG!A1,-1,0,1,1)</definedName>
    <definedName name="_xlnm._FilterDatabase" localSheetId="0" hidden="1">'BGOG'!$A$5:$J$475</definedName>
    <definedName name="_xlnm.Print_Titles" localSheetId="0">'BGOG'!$3:$5</definedName>
    <definedName name="_xlnm.Print_Area" localSheetId="0">'BGOG'!$A$1:$I$475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??_-;_-@_-"/>
    <numFmt numFmtId="165" formatCode="0.0"/>
    <numFmt numFmtId="166" formatCode="_(* #,##0_);_(* \(#,##0\);_(* &quot;-&quot;??_);_(@_)"/>
    <numFmt numFmtId="167" formatCode="_-* #,##0.00\ _₫_-;\-* #,##0.00\ _₫_-;_-* &quot;-&quot;??\ _₫_-;_-@_-"/>
  </numFmts>
  <fonts count="22">
    <font>
      <name val="Times New Roman"/>
      <charset val="204"/>
      <color rgb="FF000000"/>
      <sz val="10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2"/>
    </font>
    <font>
      <name val="ＭＳ Ｐゴシック"/>
      <charset val="128"/>
      <family val="3"/>
      <sz val="11"/>
    </font>
    <font>
      <name val="Arial"/>
      <family val="2"/>
      <sz val="10"/>
    </font>
    <font>
      <name val="Times New Roman"/>
      <family val="1"/>
      <color rgb="FF000000"/>
      <sz val="20"/>
    </font>
    <font>
      <name val="Microsoft Sans Serif"/>
      <family val="2"/>
      <sz val="8.25"/>
    </font>
    <font>
      <name val="Calibri"/>
      <charset val="163"/>
      <family val="2"/>
      <color theme="1"/>
      <sz val="11"/>
      <scheme val="minor"/>
    </font>
    <font>
      <name val="Arial"/>
      <family val="2"/>
      <color indexed="8"/>
      <sz val="11"/>
    </font>
    <font>
      <name val="Calibri"/>
      <family val="2"/>
      <color indexed="8"/>
      <sz val="11"/>
    </font>
    <font>
      <name val="Arial"/>
      <charset val="163"/>
      <family val="2"/>
      <sz val="10"/>
    </font>
    <font>
      <name val="Times New Roman"/>
      <family val="1"/>
      <b val="1"/>
      <sz val="18"/>
    </font>
    <font>
      <name val="Times New Roman"/>
      <family val="1"/>
      <sz val="18"/>
    </font>
    <font>
      <name val="Times New Roman"/>
      <family val="1"/>
      <b val="1"/>
      <sz val="28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8"/>
    </font>
    <font>
      <name val="Times New Roman"/>
      <family val="1"/>
      <color rgb="FF000000"/>
      <sz val="18"/>
    </font>
    <font>
      <name val="Times New Roman"/>
      <family val="1"/>
      <i val="1"/>
      <sz val="18"/>
    </font>
    <font>
      <name val="Times New Roman"/>
      <family val="1"/>
      <color rgb="FF000000"/>
      <sz val="24"/>
    </font>
    <font>
      <name val="Times New Roman"/>
      <family val="1"/>
      <sz val="24"/>
    </font>
    <font>
      <name val="Times New Roman"/>
      <family val="1"/>
      <color theme="1" tint="0.0499893185216834"/>
      <sz val="18"/>
    </font>
    <font>
      <name val="Times New Roman"/>
      <family val="1"/>
      <color rgb="FFFF0000"/>
      <sz val="18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0" fontId="3" fillId="0" borderId="0"/>
    <xf numFmtId="0" fontId="4" fillId="0" borderId="0"/>
    <xf numFmtId="0" fontId="1" fillId="0" borderId="0"/>
    <xf numFmtId="0" fontId="6" fillId="0" borderId="0" applyProtection="1">
      <protection locked="0" hidden="0"/>
    </xf>
    <xf numFmtId="167" fontId="7" fillId="0" borderId="0"/>
    <xf numFmtId="0" fontId="6" fillId="0" borderId="0" applyProtection="1">
      <protection locked="0" hidden="0"/>
    </xf>
    <xf numFmtId="0" fontId="8" fillId="0" borderId="0"/>
    <xf numFmtId="0" fontId="9" fillId="0" borderId="0"/>
    <xf numFmtId="0" fontId="10" fillId="0" borderId="0"/>
    <xf numFmtId="43" fontId="14" fillId="0" borderId="0"/>
    <xf numFmtId="0" fontId="6" fillId="0" borderId="0" applyProtection="1">
      <protection locked="0" hidden="0"/>
    </xf>
    <xf numFmtId="43" fontId="1" fillId="0" borderId="0"/>
    <xf numFmtId="43" fontId="1" fillId="0" borderId="0"/>
  </cellStyleXfs>
  <cellXfs count="133">
    <xf numFmtId="0" fontId="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vertical="center"/>
    </xf>
    <xf numFmtId="164" fontId="16" fillId="0" borderId="6" applyAlignment="1" pivotButton="0" quotePrefix="0" xfId="10">
      <alignment horizontal="right" vertical="center" shrinkToFit="1"/>
    </xf>
    <xf numFmtId="0" fontId="12" fillId="0" borderId="6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/>
    </xf>
    <xf numFmtId="49" fontId="16" fillId="0" borderId="6" applyAlignment="1" pivotButton="0" quotePrefix="0" xfId="10">
      <alignment horizontal="center" vertical="center" shrinkToFit="1"/>
    </xf>
    <xf numFmtId="164" fontId="16" fillId="0" borderId="6" applyAlignment="1" pivotButton="0" quotePrefix="0" xfId="10">
      <alignment vertical="center" wrapText="1" shrinkToFit="1"/>
    </xf>
    <xf numFmtId="0" fontId="1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165" fontId="12" fillId="0" borderId="1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6" fontId="12" fillId="3" borderId="1" applyAlignment="1" pivotButton="0" quotePrefix="0" xfId="10">
      <alignment horizontal="right" vertical="center"/>
    </xf>
    <xf numFmtId="164" fontId="15" fillId="4" borderId="6" applyAlignment="1" pivotButton="0" quotePrefix="0" xfId="10">
      <alignment horizontal="center" vertical="center" shrinkToFit="1"/>
    </xf>
    <xf numFmtId="164" fontId="15" fillId="4" borderId="6" applyAlignment="1" pivotButton="0" quotePrefix="0" xfId="10">
      <alignment vertical="center" wrapText="1" shrinkToFit="1"/>
    </xf>
    <xf numFmtId="164" fontId="15" fillId="4" borderId="6" applyAlignment="1" pivotButton="0" quotePrefix="0" xfId="10">
      <alignment horizontal="right" vertical="center" wrapText="1" shrinkToFit="1"/>
    </xf>
    <xf numFmtId="164" fontId="15" fillId="4" borderId="6" applyAlignment="1" pivotButton="0" quotePrefix="0" xfId="10">
      <alignment horizontal="left" vertical="center" wrapText="1" shrinkToFit="1"/>
    </xf>
    <xf numFmtId="164" fontId="15" fillId="4" borderId="6" applyAlignment="1" pivotButton="0" quotePrefix="0" xfId="10">
      <alignment horizontal="right" vertical="center" shrinkToFit="1"/>
    </xf>
    <xf numFmtId="0" fontId="15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49" fontId="15" fillId="4" borderId="6" applyAlignment="1" pivotButton="0" quotePrefix="0" xfId="10">
      <alignment horizontal="center" vertical="center" shrinkToFit="1"/>
    </xf>
    <xf numFmtId="164" fontId="16" fillId="4" borderId="6" applyAlignment="1" pivotButton="0" quotePrefix="0" xfId="10">
      <alignment horizontal="right" vertical="center" shrinkToFit="1"/>
    </xf>
    <xf numFmtId="0" fontId="16" fillId="4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164" fontId="16" fillId="0" borderId="7" applyAlignment="1" pivotButton="0" quotePrefix="0" xfId="10">
      <alignment horizontal="right" vertical="center" shrinkToFit="1"/>
    </xf>
    <xf numFmtId="3" fontId="20" fillId="0" borderId="1" applyAlignment="1" pivotButton="0" quotePrefix="0" xfId="0">
      <alignment horizontal="right" vertical="center" shrinkToFit="1"/>
    </xf>
    <xf numFmtId="164" fontId="16" fillId="0" borderId="6" applyAlignment="1" pivotButton="0" quotePrefix="0" xfId="10">
      <alignment horizontal="center" vertical="center" shrinkToFit="1"/>
    </xf>
    <xf numFmtId="0" fontId="12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6" fillId="4" borderId="6" applyAlignment="1" pivotButton="0" quotePrefix="0" xfId="10">
      <alignment horizontal="center" vertical="center" shrinkToFit="1"/>
    </xf>
    <xf numFmtId="0" fontId="12" fillId="3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vertical="center" wrapText="1"/>
    </xf>
    <xf numFmtId="0" fontId="11" fillId="2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left" vertical="center" wrapText="1"/>
    </xf>
    <xf numFmtId="0" fontId="11" fillId="2" borderId="4" applyAlignment="1" pivotButton="0" quotePrefix="0" xfId="8">
      <alignment horizontal="center" vertical="center" wrapText="1"/>
    </xf>
    <xf numFmtId="0" fontId="12" fillId="0" borderId="6" applyAlignment="1" pivotButton="0" quotePrefix="0" xfId="0">
      <alignment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164" fontId="15" fillId="4" borderId="10" applyAlignment="1" pivotButton="0" quotePrefix="0" xfId="10">
      <alignment horizontal="right" vertical="center" shrinkToFit="1"/>
    </xf>
    <xf numFmtId="164" fontId="16" fillId="0" borderId="10" applyAlignment="1" pivotButton="0" quotePrefix="0" xfId="10">
      <alignment horizontal="right" vertical="center" shrinkToFit="1"/>
    </xf>
    <xf numFmtId="166" fontId="12" fillId="3" borderId="2" applyAlignment="1" pivotButton="0" quotePrefix="0" xfId="10">
      <alignment horizontal="right" vertical="center"/>
    </xf>
    <xf numFmtId="164" fontId="16" fillId="0" borderId="11" applyAlignment="1" pivotButton="0" quotePrefix="0" xfId="10">
      <alignment horizontal="right" vertical="center" shrinkToFit="1"/>
    </xf>
    <xf numFmtId="3" fontId="20" fillId="0" borderId="2" applyAlignment="1" pivotButton="0" quotePrefix="0" xfId="0">
      <alignment horizontal="right" vertical="center" shrinkToFit="1"/>
    </xf>
    <xf numFmtId="164" fontId="16" fillId="0" borderId="12" applyAlignment="1" pivotButton="0" quotePrefix="0" xfId="10">
      <alignment horizontal="right" vertical="center" shrinkToFit="1"/>
    </xf>
    <xf numFmtId="3" fontId="20" fillId="0" borderId="13" applyAlignment="1" pivotButton="0" quotePrefix="0" xfId="0">
      <alignment horizontal="right" vertical="center" shrinkToFit="1"/>
    </xf>
    <xf numFmtId="164" fontId="16" fillId="4" borderId="10" applyAlignment="1" pivotButton="0" quotePrefix="0" xfId="10">
      <alignment horizontal="right" vertical="center" shrinkToFit="1"/>
    </xf>
    <xf numFmtId="166" fontId="12" fillId="0" borderId="2" applyAlignment="1" pivotButton="0" quotePrefix="0" xfId="10">
      <alignment vertical="center" wrapText="1"/>
    </xf>
    <xf numFmtId="164" fontId="15" fillId="4" borderId="1" applyAlignment="1" pivotButton="0" quotePrefix="0" xfId="10">
      <alignment horizontal="right" vertical="center" shrinkToFit="1"/>
    </xf>
    <xf numFmtId="164" fontId="16" fillId="0" borderId="1" applyAlignment="1" pivotButton="0" quotePrefix="0" xfId="10">
      <alignment horizontal="right" vertical="center" shrinkToFit="1"/>
    </xf>
    <xf numFmtId="164" fontId="16" fillId="4" borderId="1" applyAlignment="1" pivotButton="0" quotePrefix="0" xfId="10">
      <alignment horizontal="right" vertical="center" shrinkToFit="1"/>
    </xf>
    <xf numFmtId="164" fontId="21" fillId="0" borderId="10" applyAlignment="1" pivotButton="0" quotePrefix="0" xfId="10">
      <alignment horizontal="right" vertical="center" shrinkToFit="1"/>
    </xf>
    <xf numFmtId="164" fontId="21" fillId="0" borderId="11" applyAlignment="1" pivotButton="0" quotePrefix="0" xfId="10">
      <alignment horizontal="right" vertical="center" shrinkToFit="1"/>
    </xf>
    <xf numFmtId="166" fontId="16" fillId="0" borderId="10" applyAlignment="1" pivotButton="0" quotePrefix="0" xfId="10">
      <alignment horizontal="right" vertical="center" shrinkToFit="1"/>
    </xf>
    <xf numFmtId="166" fontId="11" fillId="0" borderId="1" applyAlignment="1" pivotButton="0" quotePrefix="0" xfId="10">
      <alignment horizontal="center" vertical="center" wrapText="1"/>
    </xf>
    <xf numFmtId="164" fontId="16" fillId="3" borderId="6" applyAlignment="1" pivotButton="0" quotePrefix="0" xfId="10">
      <alignment vertical="center" wrapText="1" shrinkToFit="1"/>
    </xf>
    <xf numFmtId="164" fontId="16" fillId="3" borderId="6" applyAlignment="1" pivotButton="0" quotePrefix="0" xfId="10">
      <alignment horizontal="center" vertical="center" shrinkToFit="1"/>
    </xf>
    <xf numFmtId="164" fontId="16" fillId="3" borderId="6" applyAlignment="1" pivotButton="0" quotePrefix="0" xfId="10">
      <alignment horizontal="right" vertical="center" shrinkToFit="1"/>
    </xf>
    <xf numFmtId="164" fontId="16" fillId="3" borderId="10" applyAlignment="1" pivotButton="0" quotePrefix="0" xfId="10">
      <alignment horizontal="right" vertical="center" shrinkToFit="1"/>
    </xf>
    <xf numFmtId="0" fontId="11" fillId="4" borderId="2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1" fillId="0" borderId="3" applyAlignment="1" pivotButton="0" quotePrefix="0" xfId="8">
      <alignment horizontal="center" vertical="center" wrapText="1"/>
    </xf>
    <xf numFmtId="0" fontId="11" fillId="0" borderId="5" applyAlignment="1" pivotButton="0" quotePrefix="0" xfId="8">
      <alignment horizontal="center" vertical="center" wrapText="1"/>
    </xf>
    <xf numFmtId="0" fontId="11" fillId="0" borderId="4" applyAlignment="1" pivotButton="0" quotePrefix="0" xfId="8">
      <alignment horizontal="center" vertical="center" wrapText="1"/>
    </xf>
    <xf numFmtId="0" fontId="11" fillId="0" borderId="3" applyAlignment="1" pivotButton="0" quotePrefix="0" xfId="0">
      <alignment vertical="center" wrapText="1"/>
    </xf>
    <xf numFmtId="0" fontId="11" fillId="0" borderId="5" applyAlignment="1" pivotButton="0" quotePrefix="0" xfId="0">
      <alignment vertical="center" wrapText="1"/>
    </xf>
    <xf numFmtId="0" fontId="11" fillId="0" borderId="4" applyAlignment="1" pivotButton="0" quotePrefix="0" xfId="0">
      <alignment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1" applyAlignment="1" pivotButton="0" quotePrefix="0" xfId="8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4" pivotButton="0" quotePrefix="0" xfId="0"/>
    <xf numFmtId="164" fontId="15" fillId="4" borderId="6" applyAlignment="1" pivotButton="0" quotePrefix="0" xfId="10">
      <alignment horizontal="center" vertical="center" shrinkToFit="1"/>
    </xf>
    <xf numFmtId="164" fontId="15" fillId="4" borderId="6" applyAlignment="1" pivotButton="0" quotePrefix="0" xfId="10">
      <alignment vertical="center" wrapText="1" shrinkToFit="1"/>
    </xf>
    <xf numFmtId="164" fontId="15" fillId="4" borderId="6" applyAlignment="1" pivotButton="0" quotePrefix="0" xfId="10">
      <alignment horizontal="right" vertical="center" wrapText="1" shrinkToFit="1"/>
    </xf>
    <xf numFmtId="164" fontId="15" fillId="4" borderId="6" applyAlignment="1" pivotButton="0" quotePrefix="0" xfId="10">
      <alignment horizontal="left" vertical="center" wrapText="1" shrinkToFit="1"/>
    </xf>
    <xf numFmtId="164" fontId="15" fillId="4" borderId="6" applyAlignment="1" pivotButton="0" quotePrefix="0" xfId="10">
      <alignment horizontal="right" vertical="center" shrinkToFit="1"/>
    </xf>
    <xf numFmtId="164" fontId="15" fillId="4" borderId="10" applyAlignment="1" pivotButton="0" quotePrefix="0" xfId="10">
      <alignment horizontal="right" vertical="center" shrinkToFit="1"/>
    </xf>
    <xf numFmtId="164" fontId="15" fillId="4" borderId="1" applyAlignment="1" pivotButton="0" quotePrefix="0" xfId="10">
      <alignment horizontal="right" vertical="center" shrinkToFit="1"/>
    </xf>
    <xf numFmtId="164" fontId="16" fillId="0" borderId="6" applyAlignment="1" pivotButton="0" quotePrefix="0" xfId="10">
      <alignment vertical="center" wrapText="1" shrinkToFit="1"/>
    </xf>
    <xf numFmtId="164" fontId="16" fillId="0" borderId="6" applyAlignment="1" pivotButton="0" quotePrefix="0" xfId="10">
      <alignment horizontal="center" vertical="center" shrinkToFit="1"/>
    </xf>
    <xf numFmtId="164" fontId="16" fillId="0" borderId="6" applyAlignment="1" pivotButton="0" quotePrefix="0" xfId="10">
      <alignment horizontal="right" vertical="center" shrinkToFit="1"/>
    </xf>
    <xf numFmtId="164" fontId="16" fillId="0" borderId="10" applyAlignment="1" pivotButton="0" quotePrefix="0" xfId="10">
      <alignment horizontal="right" vertical="center" shrinkToFit="1"/>
    </xf>
    <xf numFmtId="164" fontId="16" fillId="0" borderId="1" applyAlignment="1" pivotButton="0" quotePrefix="0" xfId="10">
      <alignment horizontal="right" vertical="center" shrinkToFit="1"/>
    </xf>
    <xf numFmtId="166" fontId="12" fillId="3" borderId="2" applyAlignment="1" pivotButton="0" quotePrefix="0" xfId="10">
      <alignment horizontal="right" vertical="center"/>
    </xf>
    <xf numFmtId="166" fontId="12" fillId="3" borderId="1" applyAlignment="1" pivotButton="0" quotePrefix="0" xfId="10">
      <alignment horizontal="right" vertical="center"/>
    </xf>
    <xf numFmtId="164" fontId="16" fillId="4" borderId="1" applyAlignment="1" pivotButton="0" quotePrefix="0" xfId="10">
      <alignment horizontal="right" vertical="center" shrinkToFit="1"/>
    </xf>
    <xf numFmtId="164" fontId="16" fillId="0" borderId="11" applyAlignment="1" pivotButton="0" quotePrefix="0" xfId="10">
      <alignment horizontal="right" vertical="center" shrinkToFit="1"/>
    </xf>
    <xf numFmtId="164" fontId="16" fillId="0" borderId="12" applyAlignment="1" pivotButton="0" quotePrefix="0" xfId="10">
      <alignment horizontal="right" vertical="center" shrinkToFit="1"/>
    </xf>
    <xf numFmtId="164" fontId="16" fillId="4" borderId="10" applyAlignment="1" pivotButton="0" quotePrefix="0" xfId="10">
      <alignment horizontal="right" vertical="center" shrinkToFit="1"/>
    </xf>
    <xf numFmtId="164" fontId="16" fillId="3" borderId="6" applyAlignment="1" pivotButton="0" quotePrefix="0" xfId="10">
      <alignment vertical="center" wrapText="1" shrinkToFit="1"/>
    </xf>
    <xf numFmtId="164" fontId="16" fillId="3" borderId="6" applyAlignment="1" pivotButton="0" quotePrefix="0" xfId="10">
      <alignment horizontal="center" vertical="center" shrinkToFit="1"/>
    </xf>
    <xf numFmtId="164" fontId="16" fillId="3" borderId="6" applyAlignment="1" pivotButton="0" quotePrefix="0" xfId="10">
      <alignment horizontal="right" vertical="center" shrinkToFit="1"/>
    </xf>
    <xf numFmtId="164" fontId="16" fillId="3" borderId="10" applyAlignment="1" pivotButton="0" quotePrefix="0" xfId="10">
      <alignment horizontal="right" vertical="center" shrinkToFit="1"/>
    </xf>
    <xf numFmtId="164" fontId="21" fillId="0" borderId="10" applyAlignment="1" pivotButton="0" quotePrefix="0" xfId="10">
      <alignment horizontal="right" vertical="center" shrinkToFit="1"/>
    </xf>
    <xf numFmtId="3" fontId="16" fillId="0" borderId="10" applyAlignment="1" pivotButton="0" quotePrefix="0" xfId="10">
      <alignment horizontal="right" vertical="center" shrinkToFit="1"/>
    </xf>
    <xf numFmtId="3" fontId="16" fillId="0" borderId="1" applyAlignment="1" pivotButton="0" quotePrefix="0" xfId="10">
      <alignment horizontal="right" vertical="center" shrinkToFit="1"/>
    </xf>
    <xf numFmtId="166" fontId="16" fillId="0" borderId="10" applyAlignment="1" pivotButton="0" quotePrefix="0" xfId="10">
      <alignment horizontal="right" vertical="center" shrinkToFit="1"/>
    </xf>
    <xf numFmtId="164" fontId="16" fillId="4" borderId="6" applyAlignment="1" pivotButton="0" quotePrefix="0" xfId="10">
      <alignment horizontal="center" vertical="center" shrinkToFit="1"/>
    </xf>
    <xf numFmtId="164" fontId="16" fillId="4" borderId="6" applyAlignment="1" pivotButton="0" quotePrefix="0" xfId="10">
      <alignment horizontal="right" vertical="center" shrinkToFit="1"/>
    </xf>
    <xf numFmtId="166" fontId="12" fillId="0" borderId="2" applyAlignment="1" pivotButton="0" quotePrefix="0" xfId="10">
      <alignment vertical="center" wrapText="1"/>
    </xf>
    <xf numFmtId="164" fontId="16" fillId="0" borderId="7" applyAlignment="1" pivotButton="0" quotePrefix="0" xfId="10">
      <alignment horizontal="right" vertical="center" shrinkToFit="1"/>
    </xf>
    <xf numFmtId="164" fontId="21" fillId="0" borderId="11" applyAlignment="1" pivotButton="0" quotePrefix="0" xfId="10">
      <alignment horizontal="right" vertical="center" shrinkToFit="1"/>
    </xf>
    <xf numFmtId="165" fontId="12" fillId="0" borderId="1" applyAlignment="1" pivotButton="0" quotePrefix="0" xfId="0">
      <alignment horizontal="right" vertical="center" wrapText="1"/>
    </xf>
    <xf numFmtId="166" fontId="11" fillId="0" borderId="1" applyAlignment="1" pivotButton="0" quotePrefix="0" xfId="10">
      <alignment horizontal="center" vertical="center" wrapText="1"/>
    </xf>
  </cellXfs>
  <cellStyles count="14">
    <cellStyle name="Normal" xfId="0" builtinId="0"/>
    <cellStyle name="Comma 2" xfId="1"/>
    <cellStyle name="Chuẩn 2" xfId="2"/>
    <cellStyle name="Normal 2" xfId="3"/>
    <cellStyle name="Normal 6" xfId="4"/>
    <cellStyle name="Comma 2 2" xfId="5"/>
    <cellStyle name="Normal 2 3" xfId="6"/>
    <cellStyle name="Normal 2 2" xfId="7"/>
    <cellStyle name="Normal_Sheet1" xfId="8"/>
    <cellStyle name="0,0_x000d__x000a_NA_x000d__x000a_" xfId="9"/>
    <cellStyle name="Comma" xfId="10" builtinId="3"/>
    <cellStyle name="Normal 5" xfId="11"/>
    <cellStyle name="Comma 12" xfId="12"/>
    <cellStyle name="Comma 20 2 3" xfId="13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tabColor rgb="FFFFFF00"/>
    <outlinePr summaryBelow="1" summaryRight="1"/>
    <pageSetUpPr fitToPage="1"/>
  </sheetPr>
  <dimension ref="A1:AC482"/>
  <sheetViews>
    <sheetView tabSelected="1" view="pageBreakPreview" zoomScale="55" zoomScaleNormal="85" zoomScaleSheetLayoutView="55" workbookViewId="0">
      <pane xSplit="1" ySplit="5" topLeftCell="B453" activePane="bottomRight" state="frozen"/>
      <selection activeCell="P17" sqref="P17"/>
      <selection pane="topRight" activeCell="P17" sqref="P17"/>
      <selection pane="bottomLeft" activeCell="P17" sqref="P17"/>
      <selection pane="bottomRight" activeCell="O473" sqref="O473"/>
    </sheetView>
  </sheetViews>
  <sheetFormatPr baseColWidth="8" defaultColWidth="8.83203125" defaultRowHeight="23.25"/>
  <cols>
    <col width="17.33203125" customWidth="1" style="8" min="1" max="1"/>
    <col width="87.5" customWidth="1" style="9" min="2" max="2"/>
    <col width="32.5" customWidth="1" style="22" min="3" max="3"/>
    <col width="38" customWidth="1" style="10" min="4" max="4"/>
    <col width="18.83203125" customWidth="1" style="44" min="5" max="5"/>
    <col width="23.6640625" customWidth="1" style="5" min="6" max="6"/>
    <col width="33.5" customWidth="1" style="28" min="7" max="8"/>
    <col width="39.33203125" customWidth="1" style="28" min="9" max="9"/>
    <col width="11" customWidth="1" style="28" min="10" max="10"/>
    <col width="8.83203125" customWidth="1" style="28" min="11" max="16384"/>
  </cols>
  <sheetData>
    <row r="1" ht="49.5" customFormat="1" customHeight="1" s="6">
      <c r="A1" s="87" t="inlineStr">
        <is>
          <t>KHỐI LƯỢNG PCCC</t>
        </is>
      </c>
    </row>
    <row r="2" customFormat="1" s="5">
      <c r="A2" s="8" t="n"/>
      <c r="B2" s="9" t="n"/>
      <c r="C2" s="10" t="n"/>
      <c r="D2" s="10" t="n"/>
      <c r="E2" s="8" t="n"/>
      <c r="F2" s="1" t="n"/>
      <c r="G2" s="7" t="n"/>
      <c r="H2" s="7" t="n"/>
      <c r="I2" s="7" t="n"/>
    </row>
    <row r="3" ht="34.5" customFormat="1" customHeight="1" s="5">
      <c r="A3" s="11" t="inlineStr">
        <is>
          <t>STT</t>
        </is>
      </c>
      <c r="B3" s="12" t="inlineStr">
        <is>
          <t>Tên hạng mục</t>
        </is>
      </c>
      <c r="C3" s="11" t="inlineStr">
        <is>
          <t>Hãng SX/ Xuất Xứ</t>
        </is>
      </c>
      <c r="D3" s="11" t="inlineStr">
        <is>
          <t>Quy cách</t>
        </is>
      </c>
      <c r="E3" s="11" t="inlineStr">
        <is>
          <t>Đơn vị</t>
        </is>
      </c>
      <c r="F3" s="95" t="inlineStr">
        <is>
          <t>Khối lượng</t>
        </is>
      </c>
      <c r="G3" s="59" t="inlineStr">
        <is>
          <t>Công ty TNHH thương mại xây lắp Hoàng Minh</t>
        </is>
      </c>
      <c r="H3" s="96" t="n"/>
      <c r="I3" s="97" t="n"/>
    </row>
    <row r="4" ht="34.5" customFormat="1" customHeight="1" s="5">
      <c r="A4" s="98" t="n"/>
      <c r="B4" s="98" t="n"/>
      <c r="C4" s="98" t="n"/>
      <c r="D4" s="98" t="n"/>
      <c r="E4" s="98" t="n"/>
      <c r="F4" s="98" t="n"/>
      <c r="G4" s="58" t="inlineStr">
        <is>
          <t>Đơn giá</t>
        </is>
      </c>
      <c r="H4" s="58" t="inlineStr">
        <is>
          <t>Thành tiền</t>
        </is>
      </c>
      <c r="I4" s="11" t="inlineStr">
        <is>
          <t>Ghi chú</t>
        </is>
      </c>
    </row>
    <row r="5" ht="34.5" customFormat="1" customHeight="1" s="5">
      <c r="A5" s="99" t="n"/>
      <c r="B5" s="99" t="n"/>
      <c r="C5" s="99" t="n"/>
      <c r="D5" s="99" t="n"/>
      <c r="E5" s="99" t="n"/>
      <c r="F5" s="99" t="n"/>
      <c r="G5" s="58" t="inlineStr">
        <is>
          <t>Vật liệu</t>
        </is>
      </c>
      <c r="H5" s="58" t="inlineStr">
        <is>
          <t>Vật liệu</t>
        </is>
      </c>
      <c r="I5" s="99" t="n"/>
    </row>
    <row r="6" customFormat="1" s="48">
      <c r="A6" s="49" t="inlineStr">
        <is>
          <t>A</t>
        </is>
      </c>
      <c r="B6" s="50" t="inlineStr">
        <is>
          <t>THEO BOQ BAN ĐẦU</t>
        </is>
      </c>
      <c r="C6" s="51" t="n"/>
      <c r="D6" s="52" t="n"/>
      <c r="E6" s="49" t="n"/>
      <c r="F6" s="53" t="n"/>
      <c r="G6" s="61" t="n"/>
      <c r="H6" s="49" t="n"/>
      <c r="I6" s="49" t="n"/>
      <c r="J6" s="48" t="n">
        <v>1</v>
      </c>
    </row>
    <row r="7" ht="22.5" customFormat="1" customHeight="1" s="35">
      <c r="A7" s="100" t="inlineStr">
        <is>
          <t>I</t>
        </is>
      </c>
      <c r="B7" s="101" t="inlineStr">
        <is>
          <t>PHÒNG BƠM CHỮA CHÁY</t>
        </is>
      </c>
      <c r="C7" s="102" t="n"/>
      <c r="D7" s="103" t="n"/>
      <c r="E7" s="104" t="n"/>
      <c r="F7" s="104" t="n"/>
      <c r="G7" s="105" t="n"/>
      <c r="H7" s="106" t="n"/>
      <c r="I7" s="106" t="n"/>
      <c r="J7" s="35" t="n">
        <v>1</v>
      </c>
    </row>
    <row r="8" ht="22.5" customFormat="1" customHeight="1" s="36">
      <c r="A8" s="100" t="inlineStr">
        <is>
          <t>I.1</t>
        </is>
      </c>
      <c r="B8" s="101" t="inlineStr">
        <is>
          <t>HỆ THỐNG CHỮA CHÁY</t>
        </is>
      </c>
      <c r="C8" s="102" t="n"/>
      <c r="D8" s="103" t="n"/>
      <c r="E8" s="104" t="n"/>
      <c r="F8" s="104" t="n"/>
      <c r="G8" s="105" t="n"/>
      <c r="H8" s="106" t="n"/>
      <c r="I8" s="106" t="n"/>
      <c r="J8" s="35" t="n">
        <v>1</v>
      </c>
    </row>
    <row r="9" hidden="1" ht="46.5" customFormat="1" customHeight="1" s="16">
      <c r="A9" s="14" t="n">
        <v>1</v>
      </c>
      <c r="B9" s="107" t="inlineStr">
        <is>
          <t>Lắp đặt ống thép đen bằng phương pháp hàn, đoạn ống dài 6m, đường kính ống d=200mm</t>
        </is>
      </c>
      <c r="C9" s="47" t="inlineStr">
        <is>
          <t>Việt Đức/Sao Việt/tđ</t>
        </is>
      </c>
      <c r="D9" s="47" t="inlineStr">
        <is>
          <t>độ dày 4,78mm</t>
        </is>
      </c>
      <c r="E9" s="108" t="inlineStr">
        <is>
          <t>m</t>
        </is>
      </c>
      <c r="F9" s="109" t="n">
        <v>12</v>
      </c>
      <c r="G9" s="110" t="n"/>
      <c r="H9" s="111" t="n"/>
      <c r="I9" s="106" t="n"/>
      <c r="J9" s="5" t="n"/>
    </row>
    <row r="10" hidden="1" ht="46.5" customFormat="1" customHeight="1" s="16">
      <c r="A10" s="14" t="n">
        <v>2</v>
      </c>
      <c r="B10" s="107" t="inlineStr">
        <is>
          <t>Lắp đặt ống thép đen bằng phương pháp hàn, đoạn ống dài 6m, đường kính ống d=100mm</t>
        </is>
      </c>
      <c r="C10" s="47" t="inlineStr">
        <is>
          <t>Việt Đức/Sao Việt/tđ</t>
        </is>
      </c>
      <c r="D10" s="47" t="inlineStr">
        <is>
          <t>độ dày 3,2mm</t>
        </is>
      </c>
      <c r="E10" s="108" t="inlineStr">
        <is>
          <t>m</t>
        </is>
      </c>
      <c r="F10" s="109" t="n">
        <v>467</v>
      </c>
      <c r="G10" s="110" t="n"/>
      <c r="H10" s="111" t="n"/>
      <c r="I10" s="106" t="n"/>
      <c r="J10" s="5" t="n"/>
    </row>
    <row r="11" hidden="1" ht="46.5" customFormat="1" customHeight="1" s="16">
      <c r="A11" s="14" t="n">
        <v>3</v>
      </c>
      <c r="B11" s="107" t="inlineStr">
        <is>
          <t>Lắp đặt ống thép đen bằng phương pháp hàn, đoạn ống dài 6m, đường kính ống d=65mm</t>
        </is>
      </c>
      <c r="C11" s="47" t="inlineStr">
        <is>
          <t>Việt Đức/Sao Việt/tđ</t>
        </is>
      </c>
      <c r="D11" s="47" t="inlineStr">
        <is>
          <t>độ dày 2,8mm</t>
        </is>
      </c>
      <c r="E11" s="108" t="inlineStr">
        <is>
          <t>m</t>
        </is>
      </c>
      <c r="F11" s="109" t="n">
        <v>6</v>
      </c>
      <c r="G11" s="110" t="n"/>
      <c r="H11" s="111" t="n"/>
      <c r="I11" s="106" t="n"/>
      <c r="J11" s="5" t="n"/>
    </row>
    <row r="12" hidden="1" ht="69.75" customFormat="1" customHeight="1" s="16">
      <c r="A12" s="14" t="n">
        <v>4</v>
      </c>
      <c r="B12" s="107" t="inlineStr">
        <is>
          <t>Lắp đặt ống thép tráng kẽm bằng phương pháp măng xông, đoạn ống dài 6m, đường kính ống d=50mm</t>
        </is>
      </c>
      <c r="C12" s="47" t="inlineStr">
        <is>
          <t>Chính đại/Hòa Phát/ tương đương</t>
        </is>
      </c>
      <c r="D12" s="47" t="inlineStr">
        <is>
          <t>độ dày 2,6mm</t>
        </is>
      </c>
      <c r="E12" s="108" t="inlineStr">
        <is>
          <t>m</t>
        </is>
      </c>
      <c r="F12" s="109" t="n">
        <v>6</v>
      </c>
      <c r="G12" s="110" t="n"/>
      <c r="H12" s="111" t="n"/>
      <c r="I12" s="106" t="n"/>
      <c r="J12" s="5" t="n"/>
    </row>
    <row r="13" hidden="1" ht="69.75" customFormat="1" customHeight="1" s="16">
      <c r="A13" s="14" t="n">
        <v>5</v>
      </c>
      <c r="B13" s="107" t="inlineStr">
        <is>
          <t>Lắp đặt ống thép tráng kẽm bằng phương pháp măng xông, đoạn ống dài 6m, đường kính ống d=25mm</t>
        </is>
      </c>
      <c r="C13" s="47" t="inlineStr">
        <is>
          <t>Chính đại/Hòa Phát/ tương đương</t>
        </is>
      </c>
      <c r="D13" s="47" t="inlineStr">
        <is>
          <t>độ dày 2,6mm</t>
        </is>
      </c>
      <c r="E13" s="108" t="inlineStr">
        <is>
          <t>m</t>
        </is>
      </c>
      <c r="F13" s="109" t="n">
        <v>12</v>
      </c>
      <c r="G13" s="110" t="n"/>
      <c r="H13" s="111" t="n"/>
      <c r="I13" s="106" t="n"/>
      <c r="J13" s="5" t="n"/>
    </row>
    <row r="14" hidden="1" ht="69.75" customFormat="1" customHeight="1" s="16">
      <c r="A14" s="14" t="n">
        <v>6</v>
      </c>
      <c r="B14" s="107" t="inlineStr">
        <is>
          <t>Lắp đặt ống thép tráng kẽm bằng phương pháp măng xông, đoạn ống dài 6m, đường kính ống d=15mm</t>
        </is>
      </c>
      <c r="C14" s="47" t="inlineStr">
        <is>
          <t>Chính đại/Hòa Phát/ tương đương</t>
        </is>
      </c>
      <c r="D14" s="47" t="inlineStr">
        <is>
          <t>độ dày 2,6mm</t>
        </is>
      </c>
      <c r="E14" s="108" t="inlineStr">
        <is>
          <t>m</t>
        </is>
      </c>
      <c r="F14" s="109" t="n">
        <v>12</v>
      </c>
      <c r="G14" s="110" t="n"/>
      <c r="H14" s="111" t="n"/>
      <c r="I14" s="106" t="n"/>
      <c r="J14" s="5" t="n"/>
    </row>
    <row r="15" hidden="1" ht="279" customFormat="1" customHeight="1" s="16">
      <c r="A15" s="14" t="n">
        <v>7</v>
      </c>
      <c r="B15" s="107" t="inlineStr">
        <is>
          <t>Máy bơm tuabin trục đứng động cơ điện thường trực Q=75l/s; H=112m</t>
        </is>
      </c>
      <c r="C15" s="47" t="inlineStr">
        <is>
          <t>Stella/Windy/ Việt Nam</t>
        </is>
      </c>
      <c r="D15" s="47" t="inlineStr">
        <is>
          <t>Máy bơm trục đứng  động cơ điện Stella
Model: STDP1752/03
Lưu lượng: 270m3/h
Cột áp: 112m
Công suất : 160kw
Đã bao gồm kiểm định
Theo QC02 (Q=405m3/h; H=72,8m)</t>
        </is>
      </c>
      <c r="E15" s="108" t="inlineStr">
        <is>
          <t>bơm</t>
        </is>
      </c>
      <c r="F15" s="109" t="n">
        <v>1</v>
      </c>
      <c r="G15" s="112" t="n"/>
      <c r="H15" s="113" t="n"/>
      <c r="I15" s="106" t="n"/>
      <c r="J15" s="5" t="n"/>
    </row>
    <row r="16" hidden="1" ht="279" customFormat="1" customHeight="1" s="16">
      <c r="A16" s="14" t="n">
        <v>8</v>
      </c>
      <c r="B16" s="107" t="inlineStr">
        <is>
          <t>Máy bơm tuabin trục đứng động cơ điện dự phòng Q=75l/s; H=112m</t>
        </is>
      </c>
      <c r="C16" s="47" t="inlineStr">
        <is>
          <t>Stella/Windy/ Việt Nam</t>
        </is>
      </c>
      <c r="D16" s="47" t="inlineStr">
        <is>
          <t>Máy bơm trục đứng  động cơ điện Stella
Model: STDP1752/03
Lưu lượng: 270m3/h
Cột áp: 112m
Công suất : 160kw
Đã bao gồm kiểm định
Theo QC02 (Q=405m3/h; H=72,8m)</t>
        </is>
      </c>
      <c r="E16" s="108" t="inlineStr">
        <is>
          <t>bơm</t>
        </is>
      </c>
      <c r="F16" s="109" t="n">
        <v>1</v>
      </c>
      <c r="G16" s="112" t="n"/>
      <c r="H16" s="113" t="n"/>
      <c r="I16" s="106" t="n"/>
      <c r="J16" s="5" t="n"/>
    </row>
    <row r="17" hidden="1" ht="186" customFormat="1" customHeight="1" s="16">
      <c r="A17" s="14" t="n">
        <v>9</v>
      </c>
      <c r="B17" s="107" t="inlineStr">
        <is>
          <t>Máy bơm bù áp Q=1,5l/s; H=122m</t>
        </is>
      </c>
      <c r="C17" s="47" t="inlineStr">
        <is>
          <t>Stella/Windy/ Việt Nam</t>
        </is>
      </c>
      <c r="D17" s="47" t="inlineStr">
        <is>
          <t>Máy bơm trục đứng  động cơ điện Stella
Model: STB/5.5
Lưu lượng: 4-16m3/h
Cột áp: 130-55m
Công suất : 5.5kw
Đã bao gồm kiểm định</t>
        </is>
      </c>
      <c r="E17" s="108" t="inlineStr">
        <is>
          <t>bơm</t>
        </is>
      </c>
      <c r="F17" s="109" t="n">
        <v>1</v>
      </c>
      <c r="G17" s="110" t="n"/>
      <c r="H17" s="111" t="n"/>
      <c r="I17" s="111" t="n"/>
      <c r="J17" s="5" t="n"/>
    </row>
    <row r="18" hidden="1" ht="35.25" customFormat="1" customHeight="1" s="16">
      <c r="A18" s="14" t="n">
        <v>10</v>
      </c>
      <c r="B18" s="107" t="inlineStr">
        <is>
          <t>Tủ Bơm PCCC ( 1 bơm chính + 1 bù )</t>
        </is>
      </c>
      <c r="C18" s="47" t="n"/>
      <c r="D18" s="47" t="inlineStr">
        <is>
          <t>Thiết bị đóng cắt LS
Khởi động mềm TQ
Theo QC02</t>
        </is>
      </c>
      <c r="E18" s="108" t="inlineStr">
        <is>
          <t>Tủ</t>
        </is>
      </c>
      <c r="F18" s="109" t="n">
        <v>1</v>
      </c>
      <c r="G18" s="112" t="n"/>
      <c r="H18" s="113" t="n"/>
      <c r="I18" s="111" t="n"/>
      <c r="J18" s="5" t="n"/>
    </row>
    <row r="19" hidden="1" ht="35.25" customFormat="1" customHeight="1" s="16">
      <c r="A19" s="14" t="n">
        <v>11</v>
      </c>
      <c r="B19" s="107" t="inlineStr">
        <is>
          <t>Tủ Bơm PCCC ( 1 bơm dự phòng )</t>
        </is>
      </c>
      <c r="C19" s="47" t="n"/>
      <c r="D19" s="47" t="inlineStr">
        <is>
          <t>Thiết bị đóng cắt LS
Khởi động mềm TQ
Theo QC02</t>
        </is>
      </c>
      <c r="E19" s="108" t="inlineStr">
        <is>
          <t>Tủ</t>
        </is>
      </c>
      <c r="F19" s="109" t="n">
        <v>1</v>
      </c>
      <c r="G19" s="112" t="n"/>
      <c r="H19" s="113" t="n"/>
      <c r="I19" s="111" t="n"/>
      <c r="J19" s="5" t="n"/>
    </row>
    <row r="20" hidden="1" ht="35.25" customFormat="1" customHeight="1" s="16">
      <c r="A20" s="14" t="n">
        <v>12</v>
      </c>
      <c r="B20" s="107" t="inlineStr">
        <is>
          <t>Bình tích áp 200l</t>
        </is>
      </c>
      <c r="C20" s="47" t="inlineStr">
        <is>
          <t>Trung Quốc</t>
        </is>
      </c>
      <c r="D20" s="47" t="n"/>
      <c r="E20" s="108" t="inlineStr">
        <is>
          <t>bình</t>
        </is>
      </c>
      <c r="F20" s="109" t="n">
        <v>1</v>
      </c>
      <c r="G20" s="110" t="n"/>
      <c r="H20" s="111" t="n"/>
      <c r="I20" s="111" t="n"/>
      <c r="J20" s="5" t="n"/>
    </row>
    <row r="21" hidden="1" ht="35.25" customFormat="1" customHeight="1" s="16">
      <c r="A21" s="14" t="n">
        <v>13</v>
      </c>
      <c r="B21" s="107" t="inlineStr">
        <is>
          <t xml:space="preserve">Van bảo vệ vỏ bơm </t>
        </is>
      </c>
      <c r="C21" s="47" t="inlineStr">
        <is>
          <t>Trung Quốc</t>
        </is>
      </c>
      <c r="D21" s="47" t="n"/>
      <c r="E21" s="108" t="inlineStr">
        <is>
          <t>cái</t>
        </is>
      </c>
      <c r="F21" s="109" t="n">
        <v>3</v>
      </c>
      <c r="G21" s="110" t="n"/>
      <c r="H21" s="111" t="n"/>
      <c r="I21" s="111" t="n"/>
      <c r="J21" s="5" t="n"/>
    </row>
    <row r="22" hidden="1" customFormat="1" s="16">
      <c r="A22" s="14" t="n">
        <v>14</v>
      </c>
      <c r="B22" s="107" t="inlineStr">
        <is>
          <t>Van báo động Alarmvalve D150</t>
        </is>
      </c>
      <c r="C22" s="47" t="inlineStr">
        <is>
          <t>Baoding valvula</t>
        </is>
      </c>
      <c r="D22" s="47" t="n"/>
      <c r="E22" s="108" t="inlineStr">
        <is>
          <t>cái</t>
        </is>
      </c>
      <c r="F22" s="109" t="n">
        <v>2</v>
      </c>
      <c r="G22" s="110" t="n"/>
      <c r="H22" s="111" t="n"/>
      <c r="I22" s="111" t="n"/>
      <c r="J22" s="5" t="n"/>
    </row>
    <row r="23" hidden="1" customFormat="1" s="16">
      <c r="A23" s="14" t="n">
        <v>15</v>
      </c>
      <c r="B23" s="107" t="inlineStr">
        <is>
          <t>Van an toàn D150</t>
        </is>
      </c>
      <c r="C23" s="47" t="inlineStr">
        <is>
          <t>Baoding valvula</t>
        </is>
      </c>
      <c r="D23" s="47" t="n"/>
      <c r="E23" s="108" t="inlineStr">
        <is>
          <t>cái</t>
        </is>
      </c>
      <c r="F23" s="109" t="n">
        <v>1</v>
      </c>
      <c r="G23" s="110" t="n"/>
      <c r="H23" s="111" t="n"/>
      <c r="I23" s="111" t="n"/>
      <c r="J23" s="5" t="n"/>
    </row>
    <row r="24" hidden="1" customFormat="1" s="16">
      <c r="A24" s="14" t="n">
        <v>16</v>
      </c>
      <c r="B24" s="107" t="inlineStr">
        <is>
          <t>Đồng hồ đo lưu lượng D150</t>
        </is>
      </c>
      <c r="C24" s="47" t="inlineStr">
        <is>
          <t>Baoding valvula</t>
        </is>
      </c>
      <c r="D24" s="47" t="n"/>
      <c r="E24" s="108" t="inlineStr">
        <is>
          <t>cái</t>
        </is>
      </c>
      <c r="F24" s="109" t="n">
        <v>1</v>
      </c>
      <c r="G24" s="110" t="n"/>
      <c r="H24" s="111" t="n"/>
      <c r="I24" s="111" t="n"/>
      <c r="J24" s="5" t="n"/>
    </row>
    <row r="25" hidden="1" customFormat="1" s="16">
      <c r="A25" s="14" t="n">
        <v>17</v>
      </c>
      <c r="B25" s="107" t="inlineStr">
        <is>
          <t>Van cổng tín hiệu D150</t>
        </is>
      </c>
      <c r="C25" s="47" t="inlineStr">
        <is>
          <t>Baoding valvula</t>
        </is>
      </c>
      <c r="D25" s="47" t="n"/>
      <c r="E25" s="108" t="inlineStr">
        <is>
          <t>cái</t>
        </is>
      </c>
      <c r="F25" s="109" t="n">
        <v>6</v>
      </c>
      <c r="G25" s="110" t="n"/>
      <c r="H25" s="111" t="n"/>
      <c r="I25" s="111" t="n"/>
      <c r="J25" s="5" t="n"/>
    </row>
    <row r="26" hidden="1" customFormat="1" s="16">
      <c r="A26" s="14" t="n">
        <v>18</v>
      </c>
      <c r="B26" s="107" t="inlineStr">
        <is>
          <t>Van cổng tín hiệu D65</t>
        </is>
      </c>
      <c r="C26" s="47" t="inlineStr">
        <is>
          <t>Baoding valvula</t>
        </is>
      </c>
      <c r="D26" s="47" t="n"/>
      <c r="E26" s="108" t="inlineStr">
        <is>
          <t>cái</t>
        </is>
      </c>
      <c r="F26" s="109" t="n">
        <v>1</v>
      </c>
      <c r="G26" s="110" t="n"/>
      <c r="H26" s="111" t="n"/>
      <c r="I26" s="111" t="n"/>
      <c r="J26" s="5" t="n"/>
    </row>
    <row r="27" hidden="1" customFormat="1" s="16">
      <c r="A27" s="14" t="n">
        <v>19</v>
      </c>
      <c r="B27" s="107" t="inlineStr">
        <is>
          <t>Van cổng tín hiệu D50</t>
        </is>
      </c>
      <c r="C27" s="47" t="inlineStr">
        <is>
          <t>Baoding valvula</t>
        </is>
      </c>
      <c r="D27" s="47" t="n"/>
      <c r="E27" s="108" t="inlineStr">
        <is>
          <t>cái</t>
        </is>
      </c>
      <c r="F27" s="109" t="n">
        <v>1</v>
      </c>
      <c r="G27" s="110" t="n"/>
      <c r="H27" s="111" t="n"/>
      <c r="I27" s="111" t="n"/>
      <c r="J27" s="5" t="n"/>
    </row>
    <row r="28" hidden="1" customFormat="1" s="16">
      <c r="A28" s="14" t="n">
        <v>20</v>
      </c>
      <c r="B28" s="107" t="inlineStr">
        <is>
          <t>Van xả khí D25</t>
        </is>
      </c>
      <c r="C28" s="47" t="inlineStr">
        <is>
          <t>Baoding valvula</t>
        </is>
      </c>
      <c r="D28" s="47" t="n"/>
      <c r="E28" s="108" t="inlineStr">
        <is>
          <t>cái</t>
        </is>
      </c>
      <c r="F28" s="109" t="n">
        <v>3</v>
      </c>
      <c r="G28" s="110" t="n"/>
      <c r="H28" s="111" t="n"/>
      <c r="I28" s="111" t="n"/>
      <c r="J28" s="5" t="n"/>
    </row>
    <row r="29" hidden="1" customFormat="1" s="16">
      <c r="A29" s="14" t="n">
        <v>21</v>
      </c>
      <c r="B29" s="107" t="inlineStr">
        <is>
          <t>Rọ hút D65</t>
        </is>
      </c>
      <c r="C29" s="47" t="inlineStr">
        <is>
          <t>Baoding valvula</t>
        </is>
      </c>
      <c r="D29" s="47" t="n"/>
      <c r="E29" s="108" t="inlineStr">
        <is>
          <t>cái</t>
        </is>
      </c>
      <c r="F29" s="109" t="n">
        <v>1</v>
      </c>
      <c r="G29" s="110" t="n"/>
      <c r="H29" s="111" t="n"/>
      <c r="I29" s="111" t="n"/>
      <c r="J29" s="5" t="n"/>
    </row>
    <row r="30" hidden="1" customFormat="1" s="16">
      <c r="A30" s="14" t="n">
        <v>22</v>
      </c>
      <c r="B30" s="107" t="inlineStr">
        <is>
          <t>Y lọc D65</t>
        </is>
      </c>
      <c r="C30" s="47" t="inlineStr">
        <is>
          <t>Baoding valvula</t>
        </is>
      </c>
      <c r="D30" s="47" t="n"/>
      <c r="E30" s="108" t="inlineStr">
        <is>
          <t>cái</t>
        </is>
      </c>
      <c r="F30" s="109" t="n">
        <v>1</v>
      </c>
      <c r="G30" s="110" t="n"/>
      <c r="H30" s="111" t="n"/>
      <c r="I30" s="111" t="n"/>
      <c r="J30" s="5" t="n"/>
    </row>
    <row r="31" hidden="1" customFormat="1" s="16">
      <c r="A31" s="14" t="n">
        <v>23</v>
      </c>
      <c r="B31" s="107" t="inlineStr">
        <is>
          <t>Van cổng D150</t>
        </is>
      </c>
      <c r="C31" s="47" t="inlineStr">
        <is>
          <t>Baoding valvula</t>
        </is>
      </c>
      <c r="D31" s="47" t="n"/>
      <c r="E31" s="108" t="inlineStr">
        <is>
          <t>cái</t>
        </is>
      </c>
      <c r="F31" s="109" t="n">
        <v>4</v>
      </c>
      <c r="G31" s="110" t="n"/>
      <c r="H31" s="111" t="n"/>
      <c r="I31" s="111" t="n"/>
      <c r="J31" s="5" t="n"/>
    </row>
    <row r="32" hidden="1" customFormat="1" s="16">
      <c r="A32" s="14" t="n">
        <v>24</v>
      </c>
      <c r="B32" s="107" t="inlineStr">
        <is>
          <t>Van bi hợp kim tay gạt D25</t>
        </is>
      </c>
      <c r="C32" s="47" t="inlineStr">
        <is>
          <t>Miha/ Việt Nam</t>
        </is>
      </c>
      <c r="D32" s="47" t="n"/>
      <c r="E32" s="108" t="inlineStr">
        <is>
          <t>cái</t>
        </is>
      </c>
      <c r="F32" s="109" t="n">
        <v>3</v>
      </c>
      <c r="G32" s="110" t="n"/>
      <c r="H32" s="111" t="n"/>
      <c r="I32" s="111" t="n"/>
      <c r="J32" s="5" t="n"/>
    </row>
    <row r="33" hidden="1" customFormat="1" s="16">
      <c r="A33" s="14" t="n">
        <v>25</v>
      </c>
      <c r="B33" s="107" t="inlineStr">
        <is>
          <t>Van bi hợp kim tay gạt D15</t>
        </is>
      </c>
      <c r="C33" s="47" t="inlineStr">
        <is>
          <t>Miha/ Việt Nam</t>
        </is>
      </c>
      <c r="D33" s="47" t="n"/>
      <c r="E33" s="108" t="inlineStr">
        <is>
          <t>cái</t>
        </is>
      </c>
      <c r="F33" s="109" t="n">
        <v>6</v>
      </c>
      <c r="G33" s="110" t="n"/>
      <c r="H33" s="111" t="n"/>
      <c r="I33" s="111" t="n"/>
      <c r="J33" s="5" t="n"/>
    </row>
    <row r="34" hidden="1" customFormat="1" s="16">
      <c r="A34" s="14" t="n">
        <v>26</v>
      </c>
      <c r="B34" s="107" t="inlineStr">
        <is>
          <t>Van một chiều D150</t>
        </is>
      </c>
      <c r="C34" s="47" t="inlineStr">
        <is>
          <t>Baoding valvula</t>
        </is>
      </c>
      <c r="D34" s="47" t="n"/>
      <c r="E34" s="108" t="inlineStr">
        <is>
          <t>cái</t>
        </is>
      </c>
      <c r="F34" s="109" t="n">
        <v>6</v>
      </c>
      <c r="G34" s="110" t="n"/>
      <c r="H34" s="111" t="n"/>
      <c r="I34" s="111" t="n"/>
      <c r="J34" s="5" t="n"/>
    </row>
    <row r="35" hidden="1" customFormat="1" s="16">
      <c r="A35" s="14" t="n">
        <v>27</v>
      </c>
      <c r="B35" s="107" t="inlineStr">
        <is>
          <t>Van một chiều D50</t>
        </is>
      </c>
      <c r="C35" s="47" t="inlineStr">
        <is>
          <t>Baoding valvula</t>
        </is>
      </c>
      <c r="D35" s="47" t="n"/>
      <c r="E35" s="108" t="inlineStr">
        <is>
          <t>cái</t>
        </is>
      </c>
      <c r="F35" s="109" t="n">
        <v>1</v>
      </c>
      <c r="G35" s="110" t="n"/>
      <c r="H35" s="111" t="n"/>
      <c r="I35" s="111" t="n"/>
      <c r="J35" s="5" t="n"/>
    </row>
    <row r="36" hidden="1" customFormat="1" s="16">
      <c r="A36" s="14" t="n">
        <v>28</v>
      </c>
      <c r="B36" s="107" t="inlineStr">
        <is>
          <t>Van một chiều D15</t>
        </is>
      </c>
      <c r="C36" s="47" t="inlineStr">
        <is>
          <t>Miha/ Việt Nam</t>
        </is>
      </c>
      <c r="D36" s="47" t="n"/>
      <c r="E36" s="108" t="inlineStr">
        <is>
          <t>cái</t>
        </is>
      </c>
      <c r="F36" s="109" t="n">
        <v>6</v>
      </c>
      <c r="G36" s="110" t="n"/>
      <c r="H36" s="111" t="n"/>
      <c r="I36" s="111" t="n"/>
      <c r="J36" s="5" t="n"/>
    </row>
    <row r="37" hidden="1" customFormat="1" s="16">
      <c r="A37" s="14" t="n">
        <v>29</v>
      </c>
      <c r="B37" s="107" t="inlineStr">
        <is>
          <t>Mối nối mềm D150</t>
        </is>
      </c>
      <c r="C37" s="47" t="inlineStr">
        <is>
          <t>Baoding valvula</t>
        </is>
      </c>
      <c r="D37" s="47" t="n"/>
      <c r="E37" s="108" t="inlineStr">
        <is>
          <t>cái</t>
        </is>
      </c>
      <c r="F37" s="109" t="n">
        <v>2</v>
      </c>
      <c r="G37" s="110" t="n"/>
      <c r="H37" s="111" t="n"/>
      <c r="I37" s="111" t="n"/>
      <c r="J37" s="5" t="n"/>
    </row>
    <row r="38" hidden="1" customFormat="1" s="16">
      <c r="A38" s="14" t="n">
        <v>30</v>
      </c>
      <c r="B38" s="107" t="inlineStr">
        <is>
          <t>Mối nối mềm D65</t>
        </is>
      </c>
      <c r="C38" s="47" t="inlineStr">
        <is>
          <t>Baoding valvula</t>
        </is>
      </c>
      <c r="D38" s="47" t="n"/>
      <c r="E38" s="108" t="inlineStr">
        <is>
          <t>cái</t>
        </is>
      </c>
      <c r="F38" s="109" t="n">
        <v>1</v>
      </c>
      <c r="G38" s="110" t="n"/>
      <c r="H38" s="111" t="n"/>
      <c r="I38" s="111" t="n"/>
      <c r="J38" s="5" t="n"/>
    </row>
    <row r="39" hidden="1" customFormat="1" s="16">
      <c r="A39" s="14" t="n">
        <v>31</v>
      </c>
      <c r="B39" s="107" t="inlineStr">
        <is>
          <t>Mối nối mềm D50</t>
        </is>
      </c>
      <c r="C39" s="47" t="inlineStr">
        <is>
          <t>Baoding valvula</t>
        </is>
      </c>
      <c r="D39" s="47" t="n"/>
      <c r="E39" s="108" t="inlineStr">
        <is>
          <t>cái</t>
        </is>
      </c>
      <c r="F39" s="109" t="n">
        <v>1</v>
      </c>
      <c r="G39" s="110" t="n"/>
      <c r="H39" s="111" t="n"/>
      <c r="I39" s="111" t="n"/>
      <c r="J39" s="5" t="n"/>
    </row>
    <row r="40" hidden="1" customFormat="1" s="16">
      <c r="A40" s="14" t="n">
        <v>32</v>
      </c>
      <c r="B40" s="107" t="inlineStr">
        <is>
          <t>Bích thép rỗng D150 10K BS</t>
        </is>
      </c>
      <c r="C40" s="47" t="inlineStr">
        <is>
          <t>Cangzhou/TQ</t>
        </is>
      </c>
      <c r="D40" s="47" t="n"/>
      <c r="E40" s="108" t="inlineStr">
        <is>
          <t>cái</t>
        </is>
      </c>
      <c r="F40" s="109" t="n">
        <v>36</v>
      </c>
      <c r="G40" s="110" t="n"/>
      <c r="H40" s="111" t="n"/>
      <c r="I40" s="111" t="n"/>
      <c r="J40" s="5" t="n"/>
    </row>
    <row r="41" hidden="1" customFormat="1" s="16">
      <c r="A41" s="14" t="n">
        <v>33</v>
      </c>
      <c r="B41" s="107" t="inlineStr">
        <is>
          <t>Bích thép rỗng D65 10K BS</t>
        </is>
      </c>
      <c r="C41" s="47" t="inlineStr">
        <is>
          <t>Cangzhou/TQ</t>
        </is>
      </c>
      <c r="D41" s="47" t="n"/>
      <c r="E41" s="108" t="inlineStr">
        <is>
          <t>cái</t>
        </is>
      </c>
      <c r="F41" s="109" t="n">
        <v>7</v>
      </c>
      <c r="G41" s="110" t="n"/>
      <c r="H41" s="111" t="n"/>
      <c r="I41" s="111" t="n"/>
      <c r="J41" s="5" t="n"/>
    </row>
    <row r="42" hidden="1" customFormat="1" s="16">
      <c r="A42" s="14" t="n">
        <v>34</v>
      </c>
      <c r="B42" s="107" t="inlineStr">
        <is>
          <t>Bích thép rỗng D50 10K BS</t>
        </is>
      </c>
      <c r="C42" s="47" t="inlineStr">
        <is>
          <t>Cangzhou/TQ</t>
        </is>
      </c>
      <c r="D42" s="47" t="n"/>
      <c r="E42" s="108" t="inlineStr">
        <is>
          <t>cái</t>
        </is>
      </c>
      <c r="F42" s="109" t="n">
        <v>6</v>
      </c>
      <c r="G42" s="110" t="n"/>
      <c r="H42" s="111" t="n"/>
      <c r="I42" s="111" t="n"/>
      <c r="J42" s="5" t="n"/>
    </row>
    <row r="43" hidden="1" customFormat="1" s="16">
      <c r="A43" s="14" t="n">
        <v>35</v>
      </c>
      <c r="B43" s="107" t="inlineStr">
        <is>
          <t>Đồng hồ đo áp kèm van khóa D15</t>
        </is>
      </c>
      <c r="C43" s="47" t="inlineStr">
        <is>
          <t>Baoding valvula</t>
        </is>
      </c>
      <c r="D43" s="47" t="n"/>
      <c r="E43" s="108" t="inlineStr">
        <is>
          <t>cái</t>
        </is>
      </c>
      <c r="F43" s="109" t="n">
        <v>10</v>
      </c>
      <c r="G43" s="110" t="n"/>
      <c r="H43" s="111" t="n"/>
      <c r="I43" s="111" t="n"/>
      <c r="J43" s="5" t="n"/>
    </row>
    <row r="44" hidden="1" customFormat="1" s="16">
      <c r="A44" s="14" t="n">
        <v>36</v>
      </c>
      <c r="B44" s="107" t="inlineStr">
        <is>
          <t>Công tắc áp lực</t>
        </is>
      </c>
      <c r="C44" s="47" t="inlineStr">
        <is>
          <t>Danfoss</t>
        </is>
      </c>
      <c r="D44" s="47" t="n"/>
      <c r="E44" s="108" t="inlineStr">
        <is>
          <t>cái</t>
        </is>
      </c>
      <c r="F44" s="109" t="n">
        <v>3</v>
      </c>
      <c r="G44" s="110" t="n"/>
      <c r="H44" s="111" t="n"/>
      <c r="I44" s="111" t="n"/>
      <c r="J44" s="5" t="n"/>
    </row>
    <row r="45" hidden="1" ht="45" customFormat="1" customHeight="1" s="16">
      <c r="A45" s="14" t="n">
        <v>37</v>
      </c>
      <c r="B45" s="107" t="inlineStr">
        <is>
          <t xml:space="preserve">Công tắc mực nước </t>
        </is>
      </c>
      <c r="C45" s="47" t="inlineStr">
        <is>
          <t>Trung Quốc</t>
        </is>
      </c>
      <c r="D45" s="47" t="n"/>
      <c r="E45" s="108" t="inlineStr">
        <is>
          <t>cái</t>
        </is>
      </c>
      <c r="F45" s="109" t="n">
        <v>1</v>
      </c>
      <c r="G45" s="110" t="n"/>
      <c r="H45" s="111" t="n"/>
      <c r="I45" s="111" t="n"/>
      <c r="J45" s="5" t="n"/>
    </row>
    <row r="46" hidden="1" customFormat="1" s="16">
      <c r="A46" s="14" t="n">
        <v>38</v>
      </c>
      <c r="B46" s="107" t="inlineStr">
        <is>
          <t>Van phao thủy lực</t>
        </is>
      </c>
      <c r="C46" s="47" t="inlineStr">
        <is>
          <t>Baoding valvula</t>
        </is>
      </c>
      <c r="D46" s="47" t="n"/>
      <c r="E46" s="108" t="inlineStr">
        <is>
          <t>cái</t>
        </is>
      </c>
      <c r="F46" s="109" t="n">
        <v>1</v>
      </c>
      <c r="G46" s="110" t="n"/>
      <c r="H46" s="111" t="n"/>
      <c r="I46" s="111" t="n"/>
      <c r="J46" s="5" t="n"/>
    </row>
    <row r="47" hidden="1" ht="46.5" customFormat="1" customHeight="1" s="16">
      <c r="A47" s="14" t="n">
        <v>39</v>
      </c>
      <c r="B47" s="107" t="inlineStr">
        <is>
          <t>Cáp điện chống cháy cho máy bơm chữa cháy 3x185+1x150mm</t>
        </is>
      </c>
      <c r="C47" s="47" t="inlineStr">
        <is>
          <t>Cadisun/ Việt Nam</t>
        </is>
      </c>
      <c r="D47" s="47" t="n"/>
      <c r="E47" s="108" t="inlineStr">
        <is>
          <t>m</t>
        </is>
      </c>
      <c r="F47" s="109" t="n">
        <v>80</v>
      </c>
      <c r="G47" s="110" t="n"/>
      <c r="H47" s="111" t="n"/>
      <c r="I47" s="111" t="n"/>
      <c r="J47" s="5" t="n"/>
    </row>
    <row r="48" hidden="1" ht="46.5" customFormat="1" customHeight="1" s="16">
      <c r="A48" s="14" t="n">
        <v>40</v>
      </c>
      <c r="B48" s="107" t="inlineStr">
        <is>
          <t>Cáp điện chống cháy cho máy bơm bù 3x6+1x4mm</t>
        </is>
      </c>
      <c r="C48" s="47" t="inlineStr">
        <is>
          <t>Cadisun/ Việt Nam</t>
        </is>
      </c>
      <c r="D48" s="47" t="n"/>
      <c r="E48" s="108" t="inlineStr">
        <is>
          <t>m</t>
        </is>
      </c>
      <c r="F48" s="109" t="n">
        <v>20</v>
      </c>
      <c r="G48" s="110" t="n"/>
      <c r="H48" s="111" t="n"/>
      <c r="I48" s="111" t="n"/>
      <c r="J48" s="5" t="n"/>
    </row>
    <row r="49" hidden="1" customFormat="1" s="16">
      <c r="A49" s="14" t="n">
        <v>41</v>
      </c>
      <c r="B49" s="107" t="inlineStr">
        <is>
          <t>Máng cáp 100x50x1.2</t>
        </is>
      </c>
      <c r="C49" s="47" t="inlineStr">
        <is>
          <t>Việt Nam</t>
        </is>
      </c>
      <c r="D49" s="47" t="n"/>
      <c r="E49" s="108" t="inlineStr">
        <is>
          <t>m</t>
        </is>
      </c>
      <c r="F49" s="109" t="n">
        <v>40</v>
      </c>
      <c r="G49" s="110" t="n"/>
      <c r="H49" s="111" t="n"/>
      <c r="I49" s="111" t="n"/>
      <c r="J49" s="5" t="n"/>
    </row>
    <row r="50" hidden="1" customFormat="1" s="16">
      <c r="A50" s="14" t="n">
        <v>42</v>
      </c>
      <c r="B50" s="107" t="inlineStr">
        <is>
          <t>Thép V5 đen</t>
        </is>
      </c>
      <c r="C50" s="47" t="inlineStr">
        <is>
          <t>Việt Nam</t>
        </is>
      </c>
      <c r="D50" s="47" t="n"/>
      <c r="E50" s="108" t="inlineStr">
        <is>
          <t>m</t>
        </is>
      </c>
      <c r="F50" s="109" t="n">
        <v>10</v>
      </c>
      <c r="G50" s="110" t="n"/>
      <c r="H50" s="111" t="n"/>
      <c r="I50" s="111" t="n"/>
      <c r="J50" s="5" t="n"/>
    </row>
    <row r="51" hidden="1" customFormat="1" s="16">
      <c r="A51" s="14" t="n">
        <v>43</v>
      </c>
      <c r="B51" s="107" t="inlineStr">
        <is>
          <t>Ty ren treo ống M10</t>
        </is>
      </c>
      <c r="C51" s="47" t="inlineStr">
        <is>
          <t>Việt Nam</t>
        </is>
      </c>
      <c r="D51" s="47" t="n"/>
      <c r="E51" s="108" t="inlineStr">
        <is>
          <t>m</t>
        </is>
      </c>
      <c r="F51" s="109" t="n">
        <v>20</v>
      </c>
      <c r="G51" s="110" t="n"/>
      <c r="H51" s="111" t="n"/>
      <c r="I51" s="111" t="n"/>
      <c r="J51" s="5" t="n"/>
    </row>
    <row r="52" hidden="1" customFormat="1" s="16">
      <c r="A52" s="14" t="n">
        <v>44</v>
      </c>
      <c r="B52" s="107" t="inlineStr">
        <is>
          <t>Tê thu thép hàn đen D200/150</t>
        </is>
      </c>
      <c r="C52" s="47" t="inlineStr">
        <is>
          <t>Cangzhou/TQ</t>
        </is>
      </c>
      <c r="D52" s="47" t="n"/>
      <c r="E52" s="108" t="inlineStr">
        <is>
          <t>cái</t>
        </is>
      </c>
      <c r="F52" s="109" t="n">
        <v>10</v>
      </c>
      <c r="G52" s="110" t="n"/>
      <c r="H52" s="111" t="n"/>
      <c r="I52" s="111" t="n"/>
      <c r="J52" s="5" t="n"/>
    </row>
    <row r="53" hidden="1" customFormat="1" s="16">
      <c r="A53" s="14" t="n">
        <v>45</v>
      </c>
      <c r="B53" s="107" t="inlineStr">
        <is>
          <t>Tê đều thép hàn đen D150</t>
        </is>
      </c>
      <c r="C53" s="47" t="inlineStr">
        <is>
          <t>Cangzhou/TQ</t>
        </is>
      </c>
      <c r="D53" s="47" t="n"/>
      <c r="E53" s="108" t="inlineStr">
        <is>
          <t>cái</t>
        </is>
      </c>
      <c r="F53" s="109" t="n">
        <v>4</v>
      </c>
      <c r="G53" s="110" t="n"/>
      <c r="H53" s="111" t="n"/>
      <c r="I53" s="111" t="n"/>
      <c r="J53" s="5" t="n"/>
    </row>
    <row r="54" hidden="1" ht="46.5" customFormat="1" customHeight="1" s="16">
      <c r="A54" s="14" t="n">
        <v>46</v>
      </c>
      <c r="B54" s="107" t="inlineStr">
        <is>
          <t>Tê đều thép ren mạ kẽm D25</t>
        </is>
      </c>
      <c r="C54" s="47" t="inlineStr">
        <is>
          <t>Shanxi/Trung Quốc</t>
        </is>
      </c>
      <c r="D54" s="47" t="n"/>
      <c r="E54" s="108" t="inlineStr">
        <is>
          <t>cái</t>
        </is>
      </c>
      <c r="F54" s="109" t="n">
        <v>5</v>
      </c>
      <c r="G54" s="110" t="n"/>
      <c r="H54" s="111" t="n"/>
      <c r="I54" s="111" t="n"/>
      <c r="J54" s="5" t="n"/>
    </row>
    <row r="55" hidden="1" ht="46.5" customFormat="1" customHeight="1" s="16">
      <c r="A55" s="14" t="n">
        <v>47</v>
      </c>
      <c r="B55" s="107" t="inlineStr">
        <is>
          <t>Tê đều thép ren mạ kẽm D15</t>
        </is>
      </c>
      <c r="C55" s="47" t="inlineStr">
        <is>
          <t>Shanxi/Trung Quốc</t>
        </is>
      </c>
      <c r="D55" s="47" t="n"/>
      <c r="E55" s="108" t="inlineStr">
        <is>
          <t>cái</t>
        </is>
      </c>
      <c r="F55" s="109" t="n">
        <v>10</v>
      </c>
      <c r="G55" s="110" t="n"/>
      <c r="H55" s="111" t="n"/>
      <c r="I55" s="111" t="n"/>
      <c r="J55" s="5" t="n"/>
    </row>
    <row r="56" hidden="1" customFormat="1" s="16">
      <c r="A56" s="14" t="n">
        <v>48</v>
      </c>
      <c r="B56" s="107" t="inlineStr">
        <is>
          <t>Côn thu thép hàn đen D150/D bơm</t>
        </is>
      </c>
      <c r="C56" s="47" t="inlineStr">
        <is>
          <t>Cangzhou/TQ</t>
        </is>
      </c>
      <c r="D56" s="47" t="n"/>
      <c r="E56" s="108" t="inlineStr">
        <is>
          <t>cái</t>
        </is>
      </c>
      <c r="F56" s="109" t="n">
        <v>2</v>
      </c>
      <c r="G56" s="110" t="n"/>
      <c r="H56" s="111" t="n"/>
      <c r="I56" s="111" t="n"/>
      <c r="J56" s="5" t="n"/>
    </row>
    <row r="57" hidden="1" customFormat="1" s="16">
      <c r="A57" s="14" t="n">
        <v>49</v>
      </c>
      <c r="B57" s="107" t="inlineStr">
        <is>
          <t>Côn thu thép hàn đen D65/D bơm</t>
        </is>
      </c>
      <c r="C57" s="47" t="inlineStr">
        <is>
          <t>Cangzhou/TQ</t>
        </is>
      </c>
      <c r="D57" s="47" t="n"/>
      <c r="E57" s="108" t="inlineStr">
        <is>
          <t>cái</t>
        </is>
      </c>
      <c r="F57" s="109" t="n">
        <v>1</v>
      </c>
      <c r="G57" s="110" t="n"/>
      <c r="H57" s="111" t="n"/>
      <c r="I57" s="111" t="n"/>
      <c r="J57" s="5" t="n"/>
    </row>
    <row r="58" hidden="1" customFormat="1" s="16">
      <c r="A58" s="14" t="n">
        <v>50</v>
      </c>
      <c r="B58" s="107" t="inlineStr">
        <is>
          <t>Côn thu thép hàn đen D50/D bơm</t>
        </is>
      </c>
      <c r="C58" s="47" t="inlineStr">
        <is>
          <t>Cangzhou/TQ</t>
        </is>
      </c>
      <c r="D58" s="47" t="n"/>
      <c r="E58" s="108" t="inlineStr">
        <is>
          <t>cái</t>
        </is>
      </c>
      <c r="F58" s="109" t="n">
        <v>1</v>
      </c>
      <c r="G58" s="110" t="n"/>
      <c r="H58" s="111" t="n"/>
      <c r="I58" s="111" t="n"/>
      <c r="J58" s="5" t="n"/>
    </row>
    <row r="59" hidden="1" customFormat="1" s="16">
      <c r="A59" s="14" t="n">
        <v>51</v>
      </c>
      <c r="B59" s="107" t="inlineStr">
        <is>
          <t>Côn thu thép hàn đen D150/100</t>
        </is>
      </c>
      <c r="C59" s="47" t="inlineStr">
        <is>
          <t>Cangzhou/TQ</t>
        </is>
      </c>
      <c r="D59" s="47" t="n"/>
      <c r="E59" s="108" t="inlineStr">
        <is>
          <t>cái</t>
        </is>
      </c>
      <c r="F59" s="109" t="n">
        <v>3</v>
      </c>
      <c r="G59" s="110" t="n"/>
      <c r="H59" s="111" t="n"/>
      <c r="I59" s="111" t="n"/>
      <c r="J59" s="5" t="n"/>
    </row>
    <row r="60" hidden="1" customFormat="1" s="16">
      <c r="A60" s="14" t="n">
        <v>52</v>
      </c>
      <c r="B60" s="107" t="inlineStr">
        <is>
          <t>Cút thép hàn đen D200</t>
        </is>
      </c>
      <c r="C60" s="47" t="inlineStr">
        <is>
          <t>Cangzhou/TQ</t>
        </is>
      </c>
      <c r="D60" s="47" t="n"/>
      <c r="E60" s="108" t="inlineStr">
        <is>
          <t>cái</t>
        </is>
      </c>
      <c r="F60" s="109" t="n">
        <v>4</v>
      </c>
      <c r="G60" s="110" t="n"/>
      <c r="H60" s="111" t="n"/>
      <c r="I60" s="111" t="n"/>
      <c r="J60" s="5" t="n"/>
    </row>
    <row r="61" hidden="1" customFormat="1" s="16">
      <c r="A61" s="14" t="n">
        <v>53</v>
      </c>
      <c r="B61" s="107" t="inlineStr">
        <is>
          <t>Cút thép hàn đen D150</t>
        </is>
      </c>
      <c r="C61" s="47" t="inlineStr">
        <is>
          <t>Cangzhou/TQ</t>
        </is>
      </c>
      <c r="D61" s="47" t="n"/>
      <c r="E61" s="108" t="inlineStr">
        <is>
          <t>cái</t>
        </is>
      </c>
      <c r="F61" s="109" t="n">
        <v>70</v>
      </c>
      <c r="G61" s="110" t="n"/>
      <c r="H61" s="111" t="n"/>
      <c r="I61" s="111" t="n"/>
      <c r="J61" s="5" t="n"/>
    </row>
    <row r="62" hidden="1" customFormat="1" s="16">
      <c r="A62" s="14" t="n">
        <v>54</v>
      </c>
      <c r="B62" s="107" t="inlineStr">
        <is>
          <t>Cút thép hàn đen D65</t>
        </is>
      </c>
      <c r="C62" s="47" t="inlineStr">
        <is>
          <t>Cangzhou/TQ</t>
        </is>
      </c>
      <c r="D62" s="47" t="n"/>
      <c r="E62" s="108" t="inlineStr">
        <is>
          <t>cái</t>
        </is>
      </c>
      <c r="F62" s="109" t="n">
        <v>2</v>
      </c>
      <c r="G62" s="110" t="n"/>
      <c r="H62" s="111" t="n"/>
      <c r="I62" s="111" t="n"/>
      <c r="J62" s="5" t="n"/>
    </row>
    <row r="63" hidden="1" ht="46.5" customFormat="1" customHeight="1" s="16">
      <c r="A63" s="14" t="n">
        <v>55</v>
      </c>
      <c r="B63" s="107" t="inlineStr">
        <is>
          <t>Cút thép ren mạ kẽm D25</t>
        </is>
      </c>
      <c r="C63" s="47" t="inlineStr">
        <is>
          <t>Shanxi/Trung Quốc</t>
        </is>
      </c>
      <c r="D63" s="47" t="n"/>
      <c r="E63" s="108" t="inlineStr">
        <is>
          <t xml:space="preserve">cái </t>
        </is>
      </c>
      <c r="F63" s="109" t="n">
        <v>5</v>
      </c>
      <c r="G63" s="110" t="n"/>
      <c r="H63" s="111" t="n"/>
      <c r="I63" s="111" t="n"/>
      <c r="J63" s="5" t="n"/>
    </row>
    <row r="64" hidden="1" ht="46.5" customFormat="1" customHeight="1" s="16">
      <c r="A64" s="14" t="n">
        <v>56</v>
      </c>
      <c r="B64" s="107" t="inlineStr">
        <is>
          <t>Cút thép ren mạ kẽm D15</t>
        </is>
      </c>
      <c r="C64" s="47" t="inlineStr">
        <is>
          <t>Shanxi/Trung Quốc</t>
        </is>
      </c>
      <c r="D64" s="47" t="n"/>
      <c r="E64" s="108" t="inlineStr">
        <is>
          <t xml:space="preserve">cái </t>
        </is>
      </c>
      <c r="F64" s="109" t="n">
        <v>15</v>
      </c>
      <c r="G64" s="110" t="n"/>
      <c r="H64" s="111" t="n"/>
      <c r="I64" s="111" t="n"/>
      <c r="J64" s="5" t="n"/>
    </row>
    <row r="65" hidden="1" customFormat="1" s="16">
      <c r="A65" s="14" t="n">
        <v>57</v>
      </c>
      <c r="B65" s="107" t="inlineStr">
        <is>
          <t>Trụ chữa cháy ngoài nhà 3 cửa D65</t>
        </is>
      </c>
      <c r="C65" s="47" t="inlineStr">
        <is>
          <t>BQP/ Việt Nam</t>
        </is>
      </c>
      <c r="D65" s="47" t="n"/>
      <c r="E65" s="108" t="inlineStr">
        <is>
          <t>cái</t>
        </is>
      </c>
      <c r="F65" s="109" t="n">
        <v>2</v>
      </c>
      <c r="G65" s="110" t="n"/>
      <c r="H65" s="111" t="n"/>
      <c r="I65" s="111" t="n"/>
      <c r="J65" s="5" t="n"/>
    </row>
    <row r="66" hidden="1" customFormat="1" s="16">
      <c r="A66" s="14" t="n">
        <v>58</v>
      </c>
      <c r="B66" s="107" t="inlineStr">
        <is>
          <t>Họng tiếp nước chữa cháy 4 cửa D65</t>
        </is>
      </c>
      <c r="C66" s="47" t="inlineStr">
        <is>
          <t>BQP/ Việt Nam</t>
        </is>
      </c>
      <c r="D66" s="47" t="n"/>
      <c r="E66" s="108" t="inlineStr">
        <is>
          <t>cái</t>
        </is>
      </c>
      <c r="F66" s="109" t="n">
        <v>3</v>
      </c>
      <c r="G66" s="110" t="n"/>
      <c r="H66" s="111" t="n"/>
      <c r="I66" s="111" t="n"/>
      <c r="J66" s="5" t="n"/>
    </row>
    <row r="67" hidden="1" customFormat="1" s="16">
      <c r="A67" s="14" t="n">
        <v>59</v>
      </c>
      <c r="B67" s="107" t="inlineStr">
        <is>
          <t>Họng tiếp nước chữa cháy 2 cửa D65</t>
        </is>
      </c>
      <c r="C67" s="47" t="inlineStr">
        <is>
          <t>BQP/ Việt Nam</t>
        </is>
      </c>
      <c r="D67" s="47" t="n"/>
      <c r="E67" s="108" t="inlineStr">
        <is>
          <t>cái</t>
        </is>
      </c>
      <c r="F67" s="109" t="n">
        <v>1</v>
      </c>
      <c r="G67" s="110" t="n"/>
      <c r="H67" s="111" t="n"/>
      <c r="I67" s="111" t="n"/>
      <c r="J67" s="5" t="n"/>
    </row>
    <row r="68" hidden="1" ht="46.5" customFormat="1" customHeight="1" s="16">
      <c r="A68" s="14" t="n">
        <v>60</v>
      </c>
      <c r="B68" s="107" t="inlineStr">
        <is>
          <t>Hộp chữa cháy ngoài nhà 840x1020x240 tôn 0.8mm bao gồm có chân đế cao 180mm</t>
        </is>
      </c>
      <c r="C68" s="47" t="inlineStr">
        <is>
          <t>Việt Nam</t>
        </is>
      </c>
      <c r="D68" s="47" t="n"/>
      <c r="E68" s="108" t="inlineStr">
        <is>
          <t>cái</t>
        </is>
      </c>
      <c r="F68" s="109" t="n">
        <v>2</v>
      </c>
      <c r="G68" s="110" t="n"/>
      <c r="H68" s="111" t="n"/>
      <c r="I68" s="111" t="n"/>
      <c r="J68" s="5" t="n"/>
    </row>
    <row r="69" hidden="1" customFormat="1" s="16">
      <c r="A69" s="14" t="n">
        <v>61</v>
      </c>
      <c r="B69" s="107" t="inlineStr">
        <is>
          <t>Vòi chữa cháy D65 dài 20m 16bar</t>
        </is>
      </c>
      <c r="C69" s="47" t="inlineStr">
        <is>
          <t>BQP/ Việt Nam</t>
        </is>
      </c>
      <c r="D69" s="47" t="n"/>
      <c r="E69" s="108" t="inlineStr">
        <is>
          <t xml:space="preserve">cuộn </t>
        </is>
      </c>
      <c r="F69" s="109" t="n">
        <v>4</v>
      </c>
      <c r="G69" s="110" t="n"/>
      <c r="H69" s="111" t="n"/>
      <c r="I69" s="111" t="n"/>
      <c r="J69" s="5" t="n"/>
    </row>
    <row r="70" hidden="1" customFormat="1" s="16">
      <c r="A70" s="14" t="n">
        <v>62</v>
      </c>
      <c r="B70" s="107" t="inlineStr">
        <is>
          <t>Lăng chữa cháy D65</t>
        </is>
      </c>
      <c r="C70" s="47" t="inlineStr">
        <is>
          <t>BQP/ Việt Nam</t>
        </is>
      </c>
      <c r="D70" s="47" t="n"/>
      <c r="E70" s="108" t="inlineStr">
        <is>
          <t>cái</t>
        </is>
      </c>
      <c r="F70" s="109" t="n">
        <v>4</v>
      </c>
      <c r="G70" s="110" t="n"/>
      <c r="H70" s="111" t="n"/>
      <c r="I70" s="111" t="n"/>
      <c r="J70" s="5" t="n"/>
    </row>
    <row r="71" hidden="1" ht="46.5" customFormat="1" customHeight="1" s="16">
      <c r="A71" s="14" t="n">
        <v>63</v>
      </c>
      <c r="B71" s="107" t="inlineStr">
        <is>
          <t>Lắp đặt kệ 3 đựng phương tiện chữa cháy xách tay</t>
        </is>
      </c>
      <c r="C71" s="47" t="inlineStr">
        <is>
          <t>Việt Nam</t>
        </is>
      </c>
      <c r="D71" s="47" t="n"/>
      <c r="E71" s="108" t="inlineStr">
        <is>
          <t>cái</t>
        </is>
      </c>
      <c r="F71" s="109" t="n">
        <v>1</v>
      </c>
      <c r="G71" s="110" t="n"/>
      <c r="H71" s="111" t="n"/>
      <c r="I71" s="111" t="n"/>
      <c r="J71" s="5" t="n"/>
    </row>
    <row r="72" hidden="1" customFormat="1" s="16">
      <c r="A72" s="14" t="n">
        <v>64</v>
      </c>
      <c r="B72" s="107" t="inlineStr">
        <is>
          <t>Bình bột ABC 8kg (MFZL8)</t>
        </is>
      </c>
      <c r="C72" s="47" t="inlineStr">
        <is>
          <t>BQP/ Việt Nam</t>
        </is>
      </c>
      <c r="D72" s="47" t="n"/>
      <c r="E72" s="108" t="inlineStr">
        <is>
          <t>bình</t>
        </is>
      </c>
      <c r="F72" s="109" t="n">
        <v>3</v>
      </c>
      <c r="G72" s="110" t="n"/>
      <c r="H72" s="111" t="n"/>
      <c r="I72" s="111" t="n"/>
      <c r="J72" s="5" t="n"/>
    </row>
    <row r="73" hidden="1" customFormat="1" s="16">
      <c r="A73" s="14" t="n">
        <v>65</v>
      </c>
      <c r="B73" s="107" t="inlineStr">
        <is>
          <t xml:space="preserve">Nội quy, tiêu lệnh </t>
        </is>
      </c>
      <c r="C73" s="47" t="inlineStr">
        <is>
          <t>Việt Nam</t>
        </is>
      </c>
      <c r="D73" s="47" t="n"/>
      <c r="E73" s="108" t="inlineStr">
        <is>
          <t>bộ</t>
        </is>
      </c>
      <c r="F73" s="109" t="n">
        <v>1</v>
      </c>
      <c r="G73" s="110" t="n"/>
      <c r="H73" s="111" t="n"/>
      <c r="I73" s="111" t="n"/>
      <c r="J73" s="5" t="n"/>
    </row>
    <row r="74" hidden="1" customFormat="1" s="16">
      <c r="A74" s="14" t="n">
        <v>66</v>
      </c>
      <c r="B74" s="107" t="inlineStr">
        <is>
          <t>Ubolt D200</t>
        </is>
      </c>
      <c r="C74" s="47" t="inlineStr">
        <is>
          <t>Việt Nam</t>
        </is>
      </c>
      <c r="D74" s="47" t="n"/>
      <c r="E74" s="108" t="inlineStr">
        <is>
          <t>cái</t>
        </is>
      </c>
      <c r="F74" s="109" t="n">
        <v>5</v>
      </c>
      <c r="G74" s="110" t="n"/>
      <c r="H74" s="111" t="n"/>
      <c r="I74" s="111" t="n"/>
      <c r="J74" s="5" t="n"/>
    </row>
    <row r="75" hidden="1" customFormat="1" s="16">
      <c r="A75" s="14" t="n">
        <v>67</v>
      </c>
      <c r="B75" s="107" t="inlineStr">
        <is>
          <t>Ubolt D150</t>
        </is>
      </c>
      <c r="C75" s="47" t="inlineStr">
        <is>
          <t>Việt Nam</t>
        </is>
      </c>
      <c r="D75" s="47" t="n"/>
      <c r="E75" s="108" t="inlineStr">
        <is>
          <t>cái</t>
        </is>
      </c>
      <c r="F75" s="109" t="n">
        <v>10</v>
      </c>
      <c r="G75" s="110" t="n"/>
      <c r="H75" s="111" t="n"/>
      <c r="I75" s="111" t="n"/>
      <c r="J75" s="5" t="n"/>
    </row>
    <row r="76" hidden="1" customFormat="1" s="16">
      <c r="A76" s="14" t="n">
        <v>68</v>
      </c>
      <c r="B76" s="107" t="inlineStr">
        <is>
          <t>Quang treo ống D65mm</t>
        </is>
      </c>
      <c r="C76" s="47" t="inlineStr">
        <is>
          <t>Việt Nam</t>
        </is>
      </c>
      <c r="D76" s="47" t="n"/>
      <c r="E76" s="108" t="inlineStr">
        <is>
          <t>bộ</t>
        </is>
      </c>
      <c r="F76" s="109" t="n">
        <v>2</v>
      </c>
      <c r="G76" s="110" t="n"/>
      <c r="H76" s="111" t="n"/>
      <c r="I76" s="111" t="n"/>
      <c r="J76" s="5" t="n"/>
    </row>
    <row r="77" hidden="1" customFormat="1" s="16">
      <c r="A77" s="14" t="n">
        <v>69</v>
      </c>
      <c r="B77" s="107" t="inlineStr">
        <is>
          <t>Quang treo ống D50mm</t>
        </is>
      </c>
      <c r="C77" s="47" t="inlineStr">
        <is>
          <t>Việt Nam</t>
        </is>
      </c>
      <c r="D77" s="47" t="n"/>
      <c r="E77" s="108" t="inlineStr">
        <is>
          <t>bộ</t>
        </is>
      </c>
      <c r="F77" s="109" t="n">
        <v>2</v>
      </c>
      <c r="G77" s="110" t="n"/>
      <c r="H77" s="111" t="n"/>
      <c r="I77" s="111" t="n"/>
      <c r="J77" s="5" t="n"/>
    </row>
    <row r="78" hidden="1" customFormat="1" s="16">
      <c r="A78" s="14" t="n">
        <v>70</v>
      </c>
      <c r="B78" s="107" t="inlineStr">
        <is>
          <t>Quang treo ống D25mm</t>
        </is>
      </c>
      <c r="C78" s="47" t="inlineStr">
        <is>
          <t>Việt Nam</t>
        </is>
      </c>
      <c r="D78" s="47" t="n"/>
      <c r="E78" s="108" t="inlineStr">
        <is>
          <t>bộ</t>
        </is>
      </c>
      <c r="F78" s="109" t="n">
        <v>4</v>
      </c>
      <c r="G78" s="110" t="n"/>
      <c r="H78" s="111" t="n"/>
      <c r="I78" s="111" t="n"/>
      <c r="J78" s="5" t="n"/>
    </row>
    <row r="79" hidden="1" customFormat="1" s="16">
      <c r="A79" s="14" t="n">
        <v>71</v>
      </c>
      <c r="B79" s="107" t="inlineStr">
        <is>
          <t>Sơn đỏ, sơn chống gỉ đường ống</t>
        </is>
      </c>
      <c r="C79" s="47" t="inlineStr">
        <is>
          <t>Alkyd Tk/VN</t>
        </is>
      </c>
      <c r="D79" s="47" t="n"/>
      <c r="E79" s="108" t="inlineStr">
        <is>
          <t>m2</t>
        </is>
      </c>
      <c r="F79" s="109" t="n">
        <v>10</v>
      </c>
      <c r="G79" s="110" t="n"/>
      <c r="H79" s="111" t="n"/>
      <c r="I79" s="111" t="n"/>
      <c r="J79" s="5" t="n"/>
    </row>
    <row r="80" hidden="1" customFormat="1" s="16">
      <c r="A80" s="14" t="n">
        <v>72</v>
      </c>
      <c r="B80" s="107" t="inlineStr">
        <is>
          <t>Quấn vải địa+quét bitum ống chôn ngầm</t>
        </is>
      </c>
      <c r="C80" s="47" t="inlineStr">
        <is>
          <t>Việt Nam</t>
        </is>
      </c>
      <c r="D80" s="47" t="n"/>
      <c r="E80" s="108" t="inlineStr">
        <is>
          <t>m2</t>
        </is>
      </c>
      <c r="F80" s="109" t="n">
        <v>249</v>
      </c>
      <c r="G80" s="110" t="n"/>
      <c r="H80" s="111" t="n"/>
      <c r="I80" s="111" t="n"/>
      <c r="J80" s="5" t="n"/>
    </row>
    <row r="81" hidden="1" customFormat="1" s="16">
      <c r="A81" s="14" t="n">
        <v>73</v>
      </c>
      <c r="B81" s="107" t="inlineStr">
        <is>
          <t>Bảng hướng dẫn sử dụng nội quy</t>
        </is>
      </c>
      <c r="C81" s="47" t="inlineStr">
        <is>
          <t>Việt Nam</t>
        </is>
      </c>
      <c r="D81" s="47" t="n"/>
      <c r="E81" s="108" t="inlineStr">
        <is>
          <t>cái</t>
        </is>
      </c>
      <c r="F81" s="109" t="n">
        <v>1</v>
      </c>
      <c r="G81" s="110" t="n"/>
      <c r="H81" s="111" t="n"/>
      <c r="I81" s="111" t="n"/>
      <c r="J81" s="5" t="n"/>
    </row>
    <row r="82" hidden="1" customFormat="1" s="16">
      <c r="A82" s="14" t="n">
        <v>74</v>
      </c>
      <c r="B82" s="107" t="inlineStr">
        <is>
          <t>Vật tư phụ</t>
        </is>
      </c>
      <c r="C82" s="47" t="inlineStr">
        <is>
          <t>Việt Nam</t>
        </is>
      </c>
      <c r="D82" s="47" t="n"/>
      <c r="E82" s="108" t="inlineStr">
        <is>
          <t>lô</t>
        </is>
      </c>
      <c r="F82" s="109" t="n">
        <v>1</v>
      </c>
      <c r="G82" s="110" t="n"/>
      <c r="H82" s="111" t="n"/>
      <c r="I82" s="111" t="n"/>
      <c r="J82" s="5" t="n"/>
    </row>
    <row r="83" customFormat="1" s="36">
      <c r="A83" s="100" t="inlineStr">
        <is>
          <t>I.2</t>
        </is>
      </c>
      <c r="B83" s="101" t="inlineStr">
        <is>
          <t>HỆ THỐNG EXIT, CSSC</t>
        </is>
      </c>
      <c r="C83" s="102" t="n"/>
      <c r="D83" s="103" t="n"/>
      <c r="E83" s="104" t="n"/>
      <c r="F83" s="104" t="n"/>
      <c r="G83" s="105" t="n"/>
      <c r="H83" s="106" t="n"/>
      <c r="I83" s="114" t="n"/>
      <c r="J83" s="35" t="n">
        <v>1</v>
      </c>
    </row>
    <row r="84" hidden="1" ht="84.75" customFormat="1" customHeight="1" s="16">
      <c r="A84" s="14" t="n">
        <v>1</v>
      </c>
      <c r="B84" s="107" t="inlineStr">
        <is>
          <t>Đèn chiếu sáng sự cố 3h</t>
        </is>
      </c>
      <c r="C84" s="47" t="inlineStr">
        <is>
          <t>APK/Liang/Kinglight/Trung Quốc/tđ</t>
        </is>
      </c>
      <c r="D84" s="47" t="n"/>
      <c r="E84" s="108" t="inlineStr">
        <is>
          <t>cái</t>
        </is>
      </c>
      <c r="F84" s="109" t="n">
        <v>1</v>
      </c>
      <c r="G84" s="110" t="n"/>
      <c r="H84" s="111" t="n"/>
      <c r="I84" s="111" t="n"/>
      <c r="J84" s="5" t="n"/>
    </row>
    <row r="85" hidden="1" ht="80.25" customFormat="1" customHeight="1" s="16">
      <c r="A85" s="14" t="n">
        <v>2</v>
      </c>
      <c r="B85" s="107" t="inlineStr">
        <is>
          <t>Đèn " Trạm bơm chữa cháy "</t>
        </is>
      </c>
      <c r="C85" s="47" t="inlineStr">
        <is>
          <t>APK/Liang/Kinglight/Trung Quốc/tđ</t>
        </is>
      </c>
      <c r="D85" s="47" t="n"/>
      <c r="E85" s="108" t="inlineStr">
        <is>
          <t>cái</t>
        </is>
      </c>
      <c r="F85" s="109" t="n">
        <v>1</v>
      </c>
      <c r="G85" s="110" t="n"/>
      <c r="H85" s="111" t="n"/>
      <c r="I85" s="111" t="n"/>
      <c r="J85" s="5" t="n"/>
    </row>
    <row r="86" hidden="1" customFormat="1" s="16">
      <c r="A86" s="14" t="n">
        <v>3</v>
      </c>
      <c r="B86" s="107" t="inlineStr">
        <is>
          <t>Ổ cắm cho đèn exit,cssc</t>
        </is>
      </c>
      <c r="C86" s="47" t="inlineStr">
        <is>
          <t>Sino/ Việt Nam</t>
        </is>
      </c>
      <c r="D86" s="47" t="n"/>
      <c r="E86" s="108" t="inlineStr">
        <is>
          <t>cái</t>
        </is>
      </c>
      <c r="F86" s="109" t="n">
        <v>1</v>
      </c>
      <c r="G86" s="110" t="n"/>
      <c r="H86" s="111" t="n"/>
      <c r="I86" s="111" t="n"/>
      <c r="J86" s="5" t="n"/>
    </row>
    <row r="87" hidden="1" customFormat="1" s="16">
      <c r="A87" s="14" t="n">
        <v>4</v>
      </c>
      <c r="B87" s="107" t="inlineStr">
        <is>
          <t>Lắp đặt ống nhựa, D20mm</t>
        </is>
      </c>
      <c r="C87" s="47" t="inlineStr">
        <is>
          <t>SP/ Việt Nam</t>
        </is>
      </c>
      <c r="D87" s="47" t="n"/>
      <c r="E87" s="108" t="inlineStr">
        <is>
          <t>m</t>
        </is>
      </c>
      <c r="F87" s="109" t="n">
        <v>20</v>
      </c>
      <c r="G87" s="110" t="n"/>
      <c r="H87" s="111" t="n"/>
      <c r="I87" s="111" t="n"/>
      <c r="J87" s="5" t="n"/>
    </row>
    <row r="88" hidden="1" customFormat="1" s="16">
      <c r="A88" s="14" t="n">
        <v>5</v>
      </c>
      <c r="B88" s="107" t="inlineStr">
        <is>
          <t>Kẹp đỡ ống D20</t>
        </is>
      </c>
      <c r="C88" s="47" t="inlineStr">
        <is>
          <t>SP/ Việt Nam</t>
        </is>
      </c>
      <c r="D88" s="47" t="n"/>
      <c r="E88" s="108" t="inlineStr">
        <is>
          <t>cái</t>
        </is>
      </c>
      <c r="F88" s="109" t="n">
        <v>20</v>
      </c>
      <c r="G88" s="110" t="n"/>
      <c r="H88" s="111" t="n"/>
      <c r="I88" s="111" t="n"/>
      <c r="J88" s="5" t="n"/>
    </row>
    <row r="89" hidden="1" customFormat="1" s="16">
      <c r="A89" s="14" t="n">
        <v>6</v>
      </c>
      <c r="B89" s="107" t="inlineStr">
        <is>
          <t>Măng xông nối ống D20</t>
        </is>
      </c>
      <c r="C89" s="47" t="inlineStr">
        <is>
          <t>SP/ Việt Nam</t>
        </is>
      </c>
      <c r="D89" s="47" t="n"/>
      <c r="E89" s="108" t="inlineStr">
        <is>
          <t>cái</t>
        </is>
      </c>
      <c r="F89" s="109" t="n">
        <v>5</v>
      </c>
      <c r="G89" s="110" t="n"/>
      <c r="H89" s="111" t="n"/>
      <c r="I89" s="111" t="n"/>
      <c r="J89" s="5" t="n"/>
    </row>
    <row r="90" hidden="1" ht="46.5" customFormat="1" customHeight="1" s="16">
      <c r="A90" s="14" t="n">
        <v>7</v>
      </c>
      <c r="B90" s="107" t="inlineStr">
        <is>
          <t>Lắp đặt dây dẫn 2 ruột 2x1,5mm2
cho HT Exit</t>
        </is>
      </c>
      <c r="C90" s="47" t="inlineStr">
        <is>
          <t>LS/Huviron/tđ</t>
        </is>
      </c>
      <c r="D90" s="47" t="n"/>
      <c r="E90" s="108" t="inlineStr">
        <is>
          <t>m</t>
        </is>
      </c>
      <c r="F90" s="109" t="n">
        <v>20</v>
      </c>
      <c r="G90" s="110" t="n"/>
      <c r="H90" s="111" t="n"/>
      <c r="I90" s="111" t="n"/>
      <c r="J90" s="5" t="n"/>
    </row>
    <row r="91" hidden="1" customFormat="1" s="16">
      <c r="A91" s="14" t="n">
        <v>8</v>
      </c>
      <c r="B91" s="107" t="inlineStr">
        <is>
          <t>Hộp chia ngả + nắp đậy</t>
        </is>
      </c>
      <c r="C91" s="47" t="inlineStr">
        <is>
          <t>SP/ Việt Nam</t>
        </is>
      </c>
      <c r="D91" s="47" t="n"/>
      <c r="E91" s="108" t="inlineStr">
        <is>
          <t>cái</t>
        </is>
      </c>
      <c r="F91" s="109" t="n">
        <v>1420</v>
      </c>
      <c r="G91" s="110" t="n"/>
      <c r="H91" s="111" t="n"/>
      <c r="I91" s="111" t="n"/>
      <c r="J91" s="5" t="n"/>
    </row>
    <row r="92" hidden="1" customFormat="1" s="16">
      <c r="A92" s="14" t="n">
        <v>9</v>
      </c>
      <c r="B92" s="107" t="inlineStr">
        <is>
          <t>Vật tư phụ</t>
        </is>
      </c>
      <c r="C92" s="47" t="inlineStr">
        <is>
          <t>Việt Nam</t>
        </is>
      </c>
      <c r="D92" s="47" t="n"/>
      <c r="E92" s="108" t="inlineStr">
        <is>
          <t>lô</t>
        </is>
      </c>
      <c r="F92" s="109" t="n">
        <v>1</v>
      </c>
      <c r="G92" s="110" t="n"/>
      <c r="H92" s="111" t="n"/>
      <c r="I92" s="111" t="n"/>
      <c r="J92" s="5" t="n"/>
    </row>
    <row r="93" customFormat="1" s="36">
      <c r="A93" s="100" t="inlineStr">
        <is>
          <t>I.3</t>
        </is>
      </c>
      <c r="B93" s="101" t="inlineStr">
        <is>
          <t>MÁY THI CÔNG</t>
        </is>
      </c>
      <c r="C93" s="102" t="n"/>
      <c r="D93" s="103" t="n"/>
      <c r="E93" s="104" t="n"/>
      <c r="F93" s="104" t="n"/>
      <c r="G93" s="105" t="n"/>
      <c r="H93" s="106" t="n"/>
      <c r="I93" s="114" t="n"/>
      <c r="J93" s="35" t="n">
        <v>1</v>
      </c>
    </row>
    <row r="94" hidden="1" customFormat="1" s="16">
      <c r="A94" s="14" t="n">
        <v>1</v>
      </c>
      <c r="B94" s="107" t="inlineStr">
        <is>
          <t xml:space="preserve">Đào, lấp đất đường ống ngoài nhà </t>
        </is>
      </c>
      <c r="C94" s="47" t="inlineStr">
        <is>
          <t>Việt Nam</t>
        </is>
      </c>
      <c r="D94" s="47" t="n"/>
      <c r="E94" s="108" t="inlineStr">
        <is>
          <t>m</t>
        </is>
      </c>
      <c r="F94" s="109" t="n">
        <v>467</v>
      </c>
      <c r="G94" s="110" t="n"/>
      <c r="H94" s="111" t="n"/>
      <c r="I94" s="111" t="n"/>
      <c r="J94" s="5" t="n"/>
    </row>
    <row r="95" hidden="1" customFormat="1" s="16">
      <c r="A95" s="14" t="n">
        <v>2</v>
      </c>
      <c r="B95" s="107" t="inlineStr">
        <is>
          <t>Vận chuyển vật tư, thiết bị</t>
        </is>
      </c>
      <c r="C95" s="47" t="inlineStr">
        <is>
          <t>Việt Nam</t>
        </is>
      </c>
      <c r="D95" s="47" t="n"/>
      <c r="E95" s="108" t="inlineStr">
        <is>
          <t>HT</t>
        </is>
      </c>
      <c r="F95" s="109" t="n">
        <v>1</v>
      </c>
      <c r="G95" s="110" t="n"/>
      <c r="H95" s="111" t="n"/>
      <c r="I95" s="111" t="n"/>
      <c r="J95" s="5" t="n"/>
    </row>
    <row r="96" customFormat="1" s="36">
      <c r="A96" s="100" t="inlineStr">
        <is>
          <t>II</t>
        </is>
      </c>
      <c r="B96" s="101" t="inlineStr">
        <is>
          <t xml:space="preserve">KHỐI NHÀ A </t>
        </is>
      </c>
      <c r="C96" s="102" t="n"/>
      <c r="D96" s="103" t="n"/>
      <c r="E96" s="104" t="n"/>
      <c r="F96" s="104" t="n"/>
      <c r="G96" s="105" t="n"/>
      <c r="H96" s="106" t="n"/>
      <c r="I96" s="114" t="n"/>
      <c r="J96" s="35" t="n">
        <v>1</v>
      </c>
    </row>
    <row r="97" customFormat="1" s="36">
      <c r="A97" s="100" t="inlineStr">
        <is>
          <t>II.1</t>
        </is>
      </c>
      <c r="B97" s="101" t="inlineStr">
        <is>
          <t>HỆ THỐNG CHỮA CHÁY</t>
        </is>
      </c>
      <c r="C97" s="102" t="n"/>
      <c r="D97" s="103" t="n"/>
      <c r="E97" s="104" t="n"/>
      <c r="F97" s="104" t="n"/>
      <c r="G97" s="105" t="n"/>
      <c r="H97" s="106" t="n"/>
      <c r="I97" s="114" t="n"/>
      <c r="J97" s="35" t="n">
        <v>1</v>
      </c>
    </row>
    <row r="98" hidden="1" ht="46.5" customFormat="1" customHeight="1" s="16">
      <c r="A98" s="14" t="n">
        <v>1</v>
      </c>
      <c r="B98" s="107" t="inlineStr">
        <is>
          <t>Lắp đặt ống thép đen bằng phương pháp hàn, đoạn ống dài 6m, đường kính ống d=150mm</t>
        </is>
      </c>
      <c r="C98" s="47" t="inlineStr">
        <is>
          <t>Việt Đức/Sao Việt/tđ</t>
        </is>
      </c>
      <c r="D98" s="47" t="inlineStr">
        <is>
          <t>độ dày 3,96mm</t>
        </is>
      </c>
      <c r="E98" s="108" t="inlineStr">
        <is>
          <t>m</t>
        </is>
      </c>
      <c r="F98" s="109" t="n">
        <v>2298</v>
      </c>
      <c r="G98" s="110" t="n"/>
      <c r="H98" s="111" t="n"/>
      <c r="I98" s="111" t="n"/>
      <c r="J98" s="5" t="n"/>
    </row>
    <row r="99" hidden="1" ht="46.5" customFormat="1" customHeight="1" s="16">
      <c r="A99" s="14" t="n">
        <v>2</v>
      </c>
      <c r="B99" s="107" t="inlineStr">
        <is>
          <t>Lắp đặt ống thép đen bằng phương pháp hàn, đoạn ống dài 6m, đường kính ống d=80mm</t>
        </is>
      </c>
      <c r="C99" s="47" t="inlineStr">
        <is>
          <t>Việt Đức/Sao Việt/tđ</t>
        </is>
      </c>
      <c r="D99" s="47" t="inlineStr">
        <is>
          <t>độ dày 3,0mm</t>
        </is>
      </c>
      <c r="E99" s="108" t="inlineStr">
        <is>
          <t>m</t>
        </is>
      </c>
      <c r="F99" s="109" t="n">
        <v>89</v>
      </c>
      <c r="G99" s="110" t="n"/>
      <c r="H99" s="111" t="n"/>
      <c r="I99" s="111" t="n"/>
      <c r="J99" s="5" t="n"/>
    </row>
    <row r="100" hidden="1" ht="46.5" customFormat="1" customHeight="1" s="16">
      <c r="A100" s="14" t="n">
        <v>3</v>
      </c>
      <c r="B100" s="107" t="inlineStr">
        <is>
          <t>Lắp đặt ống thép đen bằng phương pháp hàn, đoạn ống dài 6m, đường kính ống d=65mm</t>
        </is>
      </c>
      <c r="C100" s="47" t="inlineStr">
        <is>
          <t>Việt Đức/Sao Việt/tđ</t>
        </is>
      </c>
      <c r="D100" s="47" t="inlineStr">
        <is>
          <t>độ dày 2,8mm</t>
        </is>
      </c>
      <c r="E100" s="108" t="inlineStr">
        <is>
          <t>m</t>
        </is>
      </c>
      <c r="F100" s="109" t="n">
        <v>688</v>
      </c>
      <c r="G100" s="110" t="n"/>
      <c r="H100" s="111" t="n"/>
      <c r="I100" s="111" t="n"/>
      <c r="J100" s="5" t="n"/>
    </row>
    <row r="101" hidden="1" ht="69.75" customFormat="1" customHeight="1" s="16">
      <c r="A101" s="14" t="n">
        <v>4</v>
      </c>
      <c r="B101" s="107" t="inlineStr">
        <is>
          <t>Lắp đặt ống thép tráng kẽm bằng phương pháp măng xông, đoạn ống dài 6m, đường kính ống d=50mm</t>
        </is>
      </c>
      <c r="C101" s="47" t="inlineStr">
        <is>
          <t>Chính đại/Hòa Phát/ tương đương</t>
        </is>
      </c>
      <c r="D101" s="47" t="inlineStr">
        <is>
          <t>độ dày 2,6mm</t>
        </is>
      </c>
      <c r="E101" s="108" t="inlineStr">
        <is>
          <t>m</t>
        </is>
      </c>
      <c r="F101" s="109" t="n">
        <v>498</v>
      </c>
      <c r="G101" s="110" t="n"/>
      <c r="H101" s="111" t="n"/>
      <c r="I101" s="111" t="n"/>
      <c r="J101" s="5" t="n"/>
    </row>
    <row r="102" hidden="1" ht="69.75" customFormat="1" customHeight="1" s="16">
      <c r="A102" s="14" t="n">
        <v>5</v>
      </c>
      <c r="B102" s="107" t="inlineStr">
        <is>
          <t>Lắp đặt ống thép tráng kẽm bằng phương pháp măng xông, đoạn ống dài 6m, đường kính ống d=40mm</t>
        </is>
      </c>
      <c r="C102" s="47" t="inlineStr">
        <is>
          <t>Chính đại/Hòa Phát/ tương đương</t>
        </is>
      </c>
      <c r="D102" s="47" t="inlineStr">
        <is>
          <t>độ dày 2,5mm</t>
        </is>
      </c>
      <c r="E102" s="108" t="inlineStr">
        <is>
          <t>m</t>
        </is>
      </c>
      <c r="F102" s="109" t="n">
        <v>864</v>
      </c>
      <c r="G102" s="110" t="n"/>
      <c r="H102" s="111" t="n"/>
      <c r="I102" s="111" t="n"/>
      <c r="J102" s="5" t="n"/>
    </row>
    <row r="103" hidden="1" ht="69.75" customFormat="1" customHeight="1" s="16">
      <c r="A103" s="14" t="n">
        <v>6</v>
      </c>
      <c r="B103" s="107" t="inlineStr">
        <is>
          <t>Lắp đặt ống thép tráng kẽm bằng phương pháp măng xông, đoạn ống dài 6m, đường kính ống d=32mm</t>
        </is>
      </c>
      <c r="C103" s="47" t="inlineStr">
        <is>
          <t>Chính đại/Hòa Phát/ tương đương</t>
        </is>
      </c>
      <c r="D103" s="47" t="inlineStr">
        <is>
          <t>độ dày 2,6mm</t>
        </is>
      </c>
      <c r="E103" s="108" t="inlineStr">
        <is>
          <t>m</t>
        </is>
      </c>
      <c r="F103" s="109" t="n">
        <v>1950</v>
      </c>
      <c r="G103" s="110" t="n"/>
      <c r="H103" s="111" t="n"/>
      <c r="I103" s="111" t="n"/>
      <c r="J103" s="5" t="n"/>
    </row>
    <row r="104" hidden="1" ht="74.25" customFormat="1" customHeight="1" s="16">
      <c r="A104" s="14" t="n">
        <v>7</v>
      </c>
      <c r="B104" s="107" t="inlineStr">
        <is>
          <t>Lắp đặt ống thép tráng kẽm bằng phương pháp măng xông, đoạn ống dài 6m, đường kính ống d=25mm</t>
        </is>
      </c>
      <c r="C104" s="47" t="inlineStr">
        <is>
          <t>Chính đại/Hòa Phát/ tương đương</t>
        </is>
      </c>
      <c r="D104" s="47" t="inlineStr">
        <is>
          <t>độ dày 2,6mm</t>
        </is>
      </c>
      <c r="E104" s="108" t="inlineStr">
        <is>
          <t>m</t>
        </is>
      </c>
      <c r="F104" s="109" t="n">
        <v>7135</v>
      </c>
      <c r="G104" s="110" t="n"/>
      <c r="H104" s="111" t="n"/>
      <c r="I104" s="111" t="n"/>
      <c r="J104" s="5" t="n"/>
    </row>
    <row r="105" hidden="1" ht="31.5" customFormat="1" customHeight="1" s="16">
      <c r="A105" s="14" t="n">
        <v>8</v>
      </c>
      <c r="B105" s="107" t="inlineStr">
        <is>
          <t>Công tắc dòng chảy</t>
        </is>
      </c>
      <c r="C105" s="47" t="inlineStr">
        <is>
          <t>Trung Quốc</t>
        </is>
      </c>
      <c r="D105" s="47" t="n"/>
      <c r="E105" s="108" t="inlineStr">
        <is>
          <t>cái</t>
        </is>
      </c>
      <c r="F105" s="109" t="n">
        <v>10</v>
      </c>
      <c r="G105" s="110" t="n"/>
      <c r="H105" s="111" t="n"/>
      <c r="I105" s="111" t="n"/>
      <c r="J105" s="5" t="n"/>
    </row>
    <row r="106" hidden="1" customFormat="1" s="16">
      <c r="A106" s="14" t="n">
        <v>9</v>
      </c>
      <c r="B106" s="107" t="inlineStr">
        <is>
          <t>Van báo động Alarmvalve D150</t>
        </is>
      </c>
      <c r="C106" s="47" t="inlineStr">
        <is>
          <t>Baoding valvula</t>
        </is>
      </c>
      <c r="D106" s="47" t="n"/>
      <c r="E106" s="108" t="inlineStr">
        <is>
          <t>cái</t>
        </is>
      </c>
      <c r="F106" s="109" t="n">
        <v>6</v>
      </c>
      <c r="G106" s="110" t="n"/>
      <c r="H106" s="111" t="n"/>
      <c r="I106" s="111" t="n"/>
      <c r="J106" s="5" t="n"/>
    </row>
    <row r="107" hidden="1" customFormat="1" s="16">
      <c r="A107" s="14" t="n">
        <v>10</v>
      </c>
      <c r="B107" s="107" t="inlineStr">
        <is>
          <t>Van cổng tín hiệu D150</t>
        </is>
      </c>
      <c r="C107" s="47" t="inlineStr">
        <is>
          <t>Baoding valvula</t>
        </is>
      </c>
      <c r="D107" s="47" t="n"/>
      <c r="E107" s="108" t="inlineStr">
        <is>
          <t>cái</t>
        </is>
      </c>
      <c r="F107" s="109" t="n">
        <v>26</v>
      </c>
      <c r="G107" s="110" t="n"/>
      <c r="H107" s="111" t="n"/>
      <c r="I107" s="111" t="n"/>
      <c r="J107" s="5" t="n"/>
    </row>
    <row r="108" hidden="1" customFormat="1" s="16">
      <c r="A108" s="14" t="n">
        <v>11</v>
      </c>
      <c r="B108" s="107" t="inlineStr">
        <is>
          <t>Van xả khí D25</t>
        </is>
      </c>
      <c r="C108" s="47" t="inlineStr">
        <is>
          <t>Baoding Valvula</t>
        </is>
      </c>
      <c r="D108" s="47" t="n"/>
      <c r="E108" s="108" t="inlineStr">
        <is>
          <t>cái</t>
        </is>
      </c>
      <c r="F108" s="109" t="n">
        <v>16</v>
      </c>
      <c r="G108" s="110" t="n"/>
      <c r="H108" s="111" t="n"/>
      <c r="I108" s="111" t="n"/>
      <c r="J108" s="5" t="n"/>
    </row>
    <row r="109" hidden="1" customFormat="1" s="16">
      <c r="A109" s="14" t="n">
        <v>12</v>
      </c>
      <c r="B109" s="107" t="inlineStr">
        <is>
          <t>Van bi hợp kim tay gạt D25</t>
        </is>
      </c>
      <c r="C109" s="47" t="inlineStr">
        <is>
          <t>Miha/ Việt Nam</t>
        </is>
      </c>
      <c r="D109" s="47" t="n"/>
      <c r="E109" s="108" t="inlineStr">
        <is>
          <t>cái</t>
        </is>
      </c>
      <c r="F109" s="109" t="n">
        <v>22</v>
      </c>
      <c r="G109" s="110" t="n"/>
      <c r="H109" s="111" t="n"/>
      <c r="I109" s="111" t="n"/>
      <c r="J109" s="5" t="n"/>
    </row>
    <row r="110" hidden="1" customFormat="1" s="16">
      <c r="A110" s="14" t="n">
        <v>13</v>
      </c>
      <c r="B110" s="107" t="inlineStr">
        <is>
          <t>Bích thép rỗng D150 10K BS</t>
        </is>
      </c>
      <c r="C110" s="47" t="inlineStr">
        <is>
          <t>Cangzhou/TQ</t>
        </is>
      </c>
      <c r="D110" s="47" t="n"/>
      <c r="E110" s="108" t="inlineStr">
        <is>
          <t>cái</t>
        </is>
      </c>
      <c r="F110" s="109" t="n">
        <v>64</v>
      </c>
      <c r="G110" s="110" t="n"/>
      <c r="H110" s="111" t="n"/>
      <c r="I110" s="111" t="n"/>
      <c r="J110" s="5" t="n"/>
    </row>
    <row r="111" hidden="1" customFormat="1" s="16">
      <c r="A111" s="14" t="n">
        <v>14</v>
      </c>
      <c r="B111" s="107" t="inlineStr">
        <is>
          <t>Bích thép đặc D150 10K BS</t>
        </is>
      </c>
      <c r="C111" s="47" t="inlineStr">
        <is>
          <t>Cangzhou/TQ</t>
        </is>
      </c>
      <c r="D111" s="47" t="n"/>
      <c r="E111" s="108" t="inlineStr">
        <is>
          <t>cái</t>
        </is>
      </c>
      <c r="F111" s="109" t="n">
        <v>2</v>
      </c>
      <c r="G111" s="110" t="n"/>
      <c r="H111" s="111" t="n"/>
      <c r="I111" s="111" t="n"/>
      <c r="J111" s="5" t="n"/>
    </row>
    <row r="112" hidden="1" customFormat="1" s="16">
      <c r="A112" s="14" t="n">
        <v>15</v>
      </c>
      <c r="B112" s="107" t="inlineStr">
        <is>
          <t>Bích thép đặc D80 10K BS</t>
        </is>
      </c>
      <c r="C112" s="47" t="inlineStr">
        <is>
          <t>Cangzhou/TQ</t>
        </is>
      </c>
      <c r="D112" s="47" t="n"/>
      <c r="E112" s="108" t="inlineStr">
        <is>
          <t>cái</t>
        </is>
      </c>
      <c r="F112" s="109" t="n">
        <v>5</v>
      </c>
      <c r="G112" s="110" t="n"/>
      <c r="H112" s="111" t="n"/>
      <c r="I112" s="111" t="n"/>
      <c r="J112" s="5" t="n"/>
    </row>
    <row r="113" hidden="1" customFormat="1" s="16">
      <c r="A113" s="14" t="n">
        <v>16</v>
      </c>
      <c r="B113" s="107" t="inlineStr">
        <is>
          <t>Bích thép đặc D50 10K BS</t>
        </is>
      </c>
      <c r="C113" s="47" t="inlineStr">
        <is>
          <t>Cangzhou/TQ</t>
        </is>
      </c>
      <c r="D113" s="47" t="n"/>
      <c r="E113" s="108" t="inlineStr">
        <is>
          <t>cái</t>
        </is>
      </c>
      <c r="F113" s="109" t="n">
        <v>2</v>
      </c>
      <c r="G113" s="110" t="n"/>
      <c r="H113" s="111" t="n"/>
      <c r="I113" s="111" t="n"/>
      <c r="J113" s="5" t="n"/>
    </row>
    <row r="114" hidden="1" customFormat="1" s="16">
      <c r="A114" s="14" t="n">
        <v>17</v>
      </c>
      <c r="B114" s="107" t="inlineStr">
        <is>
          <t>Đồng hồ đo áp kèm van khóa D15</t>
        </is>
      </c>
      <c r="C114" s="47" t="inlineStr">
        <is>
          <t>Baoding Valvula</t>
        </is>
      </c>
      <c r="D114" s="47" t="n"/>
      <c r="E114" s="108" t="inlineStr">
        <is>
          <t>cái</t>
        </is>
      </c>
      <c r="F114" s="109" t="n">
        <v>13</v>
      </c>
      <c r="G114" s="110" t="n"/>
      <c r="H114" s="111" t="n"/>
      <c r="I114" s="111" t="n"/>
      <c r="J114" s="5" t="n"/>
    </row>
    <row r="115" hidden="1" customFormat="1" s="16">
      <c r="A115" s="14" t="n">
        <v>18</v>
      </c>
      <c r="B115" s="107" t="inlineStr">
        <is>
          <t>Thép V5 đen</t>
        </is>
      </c>
      <c r="C115" s="47" t="inlineStr">
        <is>
          <t>Việt Nam</t>
        </is>
      </c>
      <c r="D115" s="47" t="n"/>
      <c r="E115" s="108" t="inlineStr">
        <is>
          <t>m</t>
        </is>
      </c>
      <c r="F115" s="109" t="n">
        <v>1149</v>
      </c>
      <c r="G115" s="110" t="n"/>
      <c r="H115" s="111" t="n"/>
      <c r="I115" s="111" t="n"/>
      <c r="J115" s="5" t="n"/>
    </row>
    <row r="116" hidden="1" customFormat="1" s="16">
      <c r="A116" s="14" t="n">
        <v>19</v>
      </c>
      <c r="B116" s="107" t="inlineStr">
        <is>
          <t>Ty ren treo ống M10</t>
        </is>
      </c>
      <c r="C116" s="47" t="inlineStr">
        <is>
          <t>Việt Nam</t>
        </is>
      </c>
      <c r="D116" s="47" t="n"/>
      <c r="E116" s="108" t="inlineStr">
        <is>
          <t>m</t>
        </is>
      </c>
      <c r="F116" s="109" t="n">
        <v>7480</v>
      </c>
      <c r="G116" s="110" t="n"/>
      <c r="H116" s="111" t="n"/>
      <c r="I116" s="111" t="n"/>
      <c r="J116" s="5" t="n"/>
    </row>
    <row r="117" hidden="1" customFormat="1" s="16">
      <c r="A117" s="14" t="n">
        <v>20</v>
      </c>
      <c r="B117" s="107" t="inlineStr">
        <is>
          <t>Tê đều thép hàn đen D150</t>
        </is>
      </c>
      <c r="C117" s="47" t="inlineStr">
        <is>
          <t>Cangzhou/TQ</t>
        </is>
      </c>
      <c r="D117" s="47" t="n"/>
      <c r="E117" s="108" t="inlineStr">
        <is>
          <t>cái</t>
        </is>
      </c>
      <c r="F117" s="109" t="n">
        <v>56</v>
      </c>
      <c r="G117" s="110" t="n"/>
      <c r="H117" s="111" t="n"/>
      <c r="I117" s="111" t="n"/>
      <c r="J117" s="5" t="n"/>
    </row>
    <row r="118" hidden="1" customFormat="1" s="16">
      <c r="A118" s="14" t="n">
        <v>21</v>
      </c>
      <c r="B118" s="107" t="inlineStr">
        <is>
          <t>Tê thu thép hàn đen D150/80</t>
        </is>
      </c>
      <c r="C118" s="47" t="inlineStr">
        <is>
          <t>Cangzhou/TQ</t>
        </is>
      </c>
      <c r="D118" s="47" t="n"/>
      <c r="E118" s="108" t="inlineStr">
        <is>
          <t>cái</t>
        </is>
      </c>
      <c r="F118" s="109" t="n">
        <v>4</v>
      </c>
      <c r="G118" s="110" t="n"/>
      <c r="H118" s="111" t="n"/>
      <c r="I118" s="111" t="n"/>
      <c r="J118" s="5" t="n"/>
    </row>
    <row r="119" hidden="1" customFormat="1" s="16">
      <c r="A119" s="14" t="n">
        <v>22</v>
      </c>
      <c r="B119" s="107" t="inlineStr">
        <is>
          <t>Tê thu thép hàn đen D80/50</t>
        </is>
      </c>
      <c r="C119" s="47" t="inlineStr">
        <is>
          <t>Cangzhou/TQ</t>
        </is>
      </c>
      <c r="D119" s="47" t="n"/>
      <c r="E119" s="108" t="inlineStr">
        <is>
          <t>cái</t>
        </is>
      </c>
      <c r="F119" s="109" t="n">
        <v>7</v>
      </c>
      <c r="G119" s="110" t="n"/>
      <c r="H119" s="111" t="n"/>
      <c r="I119" s="111" t="n"/>
      <c r="J119" s="5" t="n"/>
    </row>
    <row r="120" hidden="1" ht="46.5" customFormat="1" customHeight="1" s="16">
      <c r="A120" s="14" t="n">
        <v>23</v>
      </c>
      <c r="B120" s="107" t="inlineStr">
        <is>
          <t>Tê đều thép ren mạ kẽm D50</t>
        </is>
      </c>
      <c r="C120" s="47" t="inlineStr">
        <is>
          <t>Shanxi/Trung Quốc</t>
        </is>
      </c>
      <c r="D120" s="47" t="n"/>
      <c r="E120" s="108" t="inlineStr">
        <is>
          <t>cái</t>
        </is>
      </c>
      <c r="F120" s="109" t="n">
        <v>4</v>
      </c>
      <c r="G120" s="110" t="n"/>
      <c r="H120" s="111" t="n"/>
      <c r="I120" s="111" t="n"/>
      <c r="J120" s="5" t="n"/>
    </row>
    <row r="121" hidden="1" ht="46.5" customFormat="1" customHeight="1" s="16">
      <c r="A121" s="14" t="n">
        <v>24</v>
      </c>
      <c r="B121" s="107" t="inlineStr">
        <is>
          <t>Tê thu thép ren mạ kẽm D50/40</t>
        </is>
      </c>
      <c r="C121" s="47" t="inlineStr">
        <is>
          <t>Shanxi/Trung Quốc</t>
        </is>
      </c>
      <c r="D121" s="47" t="n"/>
      <c r="E121" s="108" t="inlineStr">
        <is>
          <t>cái</t>
        </is>
      </c>
      <c r="F121" s="109" t="n">
        <v>34</v>
      </c>
      <c r="G121" s="110" t="n"/>
      <c r="H121" s="111" t="n"/>
      <c r="I121" s="111" t="n"/>
      <c r="J121" s="5" t="n"/>
    </row>
    <row r="122" hidden="1" ht="46.5" customFormat="1" customHeight="1" s="16">
      <c r="A122" s="14" t="n">
        <v>25</v>
      </c>
      <c r="B122" s="107" t="inlineStr">
        <is>
          <t>Tê đều thép ren mạ kẽm D40</t>
        </is>
      </c>
      <c r="C122" s="47" t="inlineStr">
        <is>
          <t>Shanxi/Trung Quốc</t>
        </is>
      </c>
      <c r="D122" s="47" t="n"/>
      <c r="E122" s="108" t="inlineStr">
        <is>
          <t>cái</t>
        </is>
      </c>
      <c r="F122" s="109" t="n">
        <v>3</v>
      </c>
      <c r="G122" s="110" t="n"/>
      <c r="H122" s="111" t="n"/>
      <c r="I122" s="111" t="n"/>
      <c r="J122" s="5" t="n"/>
    </row>
    <row r="123" hidden="1" ht="46.5" customFormat="1" customHeight="1" s="16">
      <c r="A123" s="14" t="n">
        <v>26</v>
      </c>
      <c r="B123" s="107" t="inlineStr">
        <is>
          <t>Tê thu thép ren mạ kẽm D40/32</t>
        </is>
      </c>
      <c r="C123" s="47" t="inlineStr">
        <is>
          <t>Shanxi/Trung Quốc</t>
        </is>
      </c>
      <c r="D123" s="47" t="n"/>
      <c r="E123" s="108" t="inlineStr">
        <is>
          <t>cái</t>
        </is>
      </c>
      <c r="F123" s="109" t="n">
        <v>2</v>
      </c>
      <c r="G123" s="110" t="n"/>
      <c r="H123" s="111" t="n"/>
      <c r="I123" s="111" t="n"/>
      <c r="J123" s="5" t="n"/>
    </row>
    <row r="124" hidden="1" ht="46.5" customFormat="1" customHeight="1" s="16">
      <c r="A124" s="14" t="n">
        <v>27</v>
      </c>
      <c r="B124" s="107" t="inlineStr">
        <is>
          <t>Tê thu thép ren mạ kẽm D40/25</t>
        </is>
      </c>
      <c r="C124" s="47" t="inlineStr">
        <is>
          <t>Shanxi/Trung Quốc</t>
        </is>
      </c>
      <c r="D124" s="47" t="n"/>
      <c r="E124" s="108" t="inlineStr">
        <is>
          <t>cái</t>
        </is>
      </c>
      <c r="F124" s="109" t="n">
        <v>220</v>
      </c>
      <c r="G124" s="110" t="n"/>
      <c r="H124" s="111" t="n"/>
      <c r="I124" s="111" t="n"/>
      <c r="J124" s="5" t="n"/>
    </row>
    <row r="125" hidden="1" ht="46.5" customFormat="1" customHeight="1" s="16">
      <c r="A125" s="14" t="n">
        <v>28</v>
      </c>
      <c r="B125" s="107" t="inlineStr">
        <is>
          <t>Tê đều thép ren mạ kẽm D32</t>
        </is>
      </c>
      <c r="C125" s="47" t="inlineStr">
        <is>
          <t>Shanxi/Trung Quốc</t>
        </is>
      </c>
      <c r="D125" s="47" t="n"/>
      <c r="E125" s="108" t="inlineStr">
        <is>
          <t>cái</t>
        </is>
      </c>
      <c r="F125" s="109" t="n">
        <v>272</v>
      </c>
      <c r="G125" s="110" t="n"/>
      <c r="H125" s="111" t="n"/>
      <c r="I125" s="111" t="n"/>
      <c r="J125" s="5" t="n"/>
    </row>
    <row r="126" hidden="1" ht="46.5" customFormat="1" customHeight="1" s="16">
      <c r="A126" s="14" t="n">
        <v>29</v>
      </c>
      <c r="B126" s="107" t="inlineStr">
        <is>
          <t>Tê thu thép ren mạ kẽm D32/25</t>
        </is>
      </c>
      <c r="C126" s="47" t="inlineStr">
        <is>
          <t>Shanxi/Trung Quốc</t>
        </is>
      </c>
      <c r="D126" s="47" t="n"/>
      <c r="E126" s="108" t="inlineStr">
        <is>
          <t>cái</t>
        </is>
      </c>
      <c r="F126" s="109" t="n">
        <v>298</v>
      </c>
      <c r="G126" s="110" t="n"/>
      <c r="H126" s="111" t="n"/>
      <c r="I126" s="111" t="n"/>
      <c r="J126" s="5" t="n"/>
    </row>
    <row r="127" hidden="1" ht="46.5" customFormat="1" customHeight="1" s="16">
      <c r="A127" s="14" t="n">
        <v>30</v>
      </c>
      <c r="B127" s="107" t="inlineStr">
        <is>
          <t>Tê đều thép ren mạ kẽm D25</t>
        </is>
      </c>
      <c r="C127" s="47" t="inlineStr">
        <is>
          <t>Shanxi/Trung Quốc</t>
        </is>
      </c>
      <c r="D127" s="47" t="n"/>
      <c r="E127" s="108" t="inlineStr">
        <is>
          <t>cái</t>
        </is>
      </c>
      <c r="F127" s="109" t="n">
        <v>831</v>
      </c>
      <c r="G127" s="110" t="n"/>
      <c r="H127" s="111" t="n"/>
      <c r="I127" s="106" t="n"/>
      <c r="J127" s="5" t="n"/>
    </row>
    <row r="128" hidden="1" ht="46.5" customFormat="1" customHeight="1" s="16">
      <c r="A128" s="14" t="n">
        <v>31</v>
      </c>
      <c r="B128" s="107" t="inlineStr">
        <is>
          <t>Côn thu thép ren mạ kẽm D50/40</t>
        </is>
      </c>
      <c r="C128" s="47" t="inlineStr">
        <is>
          <t>Shanxi/Trung Quốc</t>
        </is>
      </c>
      <c r="D128" s="47" t="n"/>
      <c r="E128" s="108" t="inlineStr">
        <is>
          <t>cái</t>
        </is>
      </c>
      <c r="F128" s="109" t="n">
        <v>34</v>
      </c>
      <c r="G128" s="110" t="n"/>
      <c r="H128" s="111" t="n"/>
      <c r="I128" s="106" t="n"/>
      <c r="J128" s="5" t="n"/>
    </row>
    <row r="129" hidden="1" ht="46.5" customFormat="1" customHeight="1" s="16">
      <c r="A129" s="14" t="n">
        <v>32</v>
      </c>
      <c r="B129" s="107" t="inlineStr">
        <is>
          <t>Côn thu thép ren mạ kẽm D40/32</t>
        </is>
      </c>
      <c r="C129" s="47" t="inlineStr">
        <is>
          <t>Shanxi/Trung Quốc</t>
        </is>
      </c>
      <c r="D129" s="47" t="n"/>
      <c r="E129" s="108" t="inlineStr">
        <is>
          <t>cái</t>
        </is>
      </c>
      <c r="F129" s="109" t="n">
        <v>2</v>
      </c>
      <c r="G129" s="110" t="n"/>
      <c r="H129" s="111" t="n"/>
      <c r="I129" s="106" t="n"/>
      <c r="J129" s="5" t="n"/>
    </row>
    <row r="130" hidden="1" ht="46.5" customFormat="1" customHeight="1" s="16">
      <c r="A130" s="14" t="n">
        <v>33</v>
      </c>
      <c r="B130" s="107" t="inlineStr">
        <is>
          <t>Côn thu thép ren mạ kẽm D40/25</t>
        </is>
      </c>
      <c r="C130" s="47" t="inlineStr">
        <is>
          <t>Shanxi/Trung Quốc</t>
        </is>
      </c>
      <c r="D130" s="47" t="n"/>
      <c r="E130" s="108" t="inlineStr">
        <is>
          <t>cái</t>
        </is>
      </c>
      <c r="F130" s="109" t="n">
        <v>220</v>
      </c>
      <c r="G130" s="110" t="n"/>
      <c r="H130" s="111" t="n"/>
      <c r="I130" s="106" t="n"/>
      <c r="J130" s="5" t="n"/>
    </row>
    <row r="131" hidden="1" ht="46.5" customFormat="1" customHeight="1" s="16">
      <c r="A131" s="14" t="n">
        <v>34</v>
      </c>
      <c r="B131" s="107" t="inlineStr">
        <is>
          <t>Côn thu thép ren mạ kẽm D32/25</t>
        </is>
      </c>
      <c r="C131" s="47" t="inlineStr">
        <is>
          <t>Shanxi/Trung Quốc</t>
        </is>
      </c>
      <c r="D131" s="47" t="n"/>
      <c r="E131" s="108" t="inlineStr">
        <is>
          <t>cái</t>
        </is>
      </c>
      <c r="F131" s="109" t="n">
        <v>298</v>
      </c>
      <c r="G131" s="110" t="n"/>
      <c r="H131" s="111" t="n"/>
      <c r="I131" s="114" t="n"/>
      <c r="J131" s="5" t="n"/>
    </row>
    <row r="132" hidden="1" ht="46.5" customFormat="1" customHeight="1" s="16">
      <c r="A132" s="14" t="n">
        <v>35</v>
      </c>
      <c r="B132" s="107" t="inlineStr">
        <is>
          <t>Côn thu thép ren mạ kẽm D25/20</t>
        </is>
      </c>
      <c r="C132" s="47" t="inlineStr">
        <is>
          <t>Shanxi/Trung Quốc</t>
        </is>
      </c>
      <c r="D132" s="47" t="n"/>
      <c r="E132" s="108" t="inlineStr">
        <is>
          <t>cái</t>
        </is>
      </c>
      <c r="F132" s="109" t="n">
        <v>172</v>
      </c>
      <c r="G132" s="110" t="n"/>
      <c r="H132" s="111" t="n"/>
      <c r="I132" s="111" t="n"/>
      <c r="J132" s="5" t="n"/>
    </row>
    <row r="133" hidden="1" ht="46.5" customFormat="1" customHeight="1" s="16">
      <c r="A133" s="14" t="n">
        <v>36</v>
      </c>
      <c r="B133" s="107" t="inlineStr">
        <is>
          <t>Côn thu thép ren mạ kẽm D25/15</t>
        </is>
      </c>
      <c r="C133" s="47" t="inlineStr">
        <is>
          <t>Shanxi/Trung Quốc</t>
        </is>
      </c>
      <c r="D133" s="47" t="n"/>
      <c r="E133" s="108" t="inlineStr">
        <is>
          <t>cái</t>
        </is>
      </c>
      <c r="F133" s="109" t="n">
        <v>2397</v>
      </c>
      <c r="G133" s="110" t="n"/>
      <c r="H133" s="111" t="n"/>
      <c r="I133" s="111" t="n"/>
      <c r="J133" s="5" t="n"/>
    </row>
    <row r="134" hidden="1" ht="46.5" customFormat="1" customHeight="1" s="16">
      <c r="A134" s="14" t="n">
        <v>36</v>
      </c>
      <c r="B134" s="107" t="inlineStr">
        <is>
          <t>Kép thép ren mạ kẽm D50</t>
        </is>
      </c>
      <c r="C134" s="47" t="inlineStr">
        <is>
          <t>Shanxi/Trung Quốc</t>
        </is>
      </c>
      <c r="D134" s="47" t="n"/>
      <c r="E134" s="108" t="inlineStr">
        <is>
          <t>cái</t>
        </is>
      </c>
      <c r="F134" s="109" t="n">
        <v>34</v>
      </c>
      <c r="G134" s="110" t="n"/>
      <c r="H134" s="111" t="n"/>
      <c r="I134" s="111" t="n"/>
      <c r="J134" s="5" t="n"/>
    </row>
    <row r="135" hidden="1" ht="46.5" customFormat="1" customHeight="1" s="16">
      <c r="A135" s="14" t="n">
        <v>37</v>
      </c>
      <c r="B135" s="107" t="inlineStr">
        <is>
          <t>Kép thép ren mạ kẽm D40</t>
        </is>
      </c>
      <c r="C135" s="47" t="inlineStr">
        <is>
          <t>Shanxi/Trung Quốc</t>
        </is>
      </c>
      <c r="D135" s="47" t="n"/>
      <c r="E135" s="108" t="inlineStr">
        <is>
          <t>cái</t>
        </is>
      </c>
      <c r="F135" s="109" t="n">
        <v>222</v>
      </c>
      <c r="G135" s="110" t="n"/>
      <c r="H135" s="111" t="n"/>
      <c r="I135" s="111" t="n"/>
      <c r="J135" s="5" t="n"/>
    </row>
    <row r="136" hidden="1" ht="46.5" customFormat="1" customHeight="1" s="16">
      <c r="A136" s="14" t="n">
        <v>38</v>
      </c>
      <c r="B136" s="107" t="inlineStr">
        <is>
          <t>Kép thép ren mạ kẽm D32</t>
        </is>
      </c>
      <c r="C136" s="47" t="inlineStr">
        <is>
          <t>Shanxi/Trung Quốc</t>
        </is>
      </c>
      <c r="D136" s="47" t="n"/>
      <c r="E136" s="108" t="inlineStr">
        <is>
          <t>cái</t>
        </is>
      </c>
      <c r="F136" s="109" t="n">
        <v>298</v>
      </c>
      <c r="G136" s="110" t="n"/>
      <c r="H136" s="111" t="n"/>
      <c r="I136" s="111" t="n"/>
      <c r="J136" s="5" t="n"/>
    </row>
    <row r="137" hidden="1" customFormat="1" s="16">
      <c r="A137" s="14" t="n">
        <v>39</v>
      </c>
      <c r="B137" s="107" t="inlineStr">
        <is>
          <t>Cút thép hàn đen D150</t>
        </is>
      </c>
      <c r="C137" s="47" t="inlineStr">
        <is>
          <t>Cangzhou/TQ</t>
        </is>
      </c>
      <c r="D137" s="47" t="n"/>
      <c r="E137" s="108" t="inlineStr">
        <is>
          <t>cái</t>
        </is>
      </c>
      <c r="F137" s="109" t="n">
        <v>100</v>
      </c>
      <c r="G137" s="110" t="n"/>
      <c r="H137" s="111" t="n"/>
      <c r="I137" s="111" t="n"/>
      <c r="J137" s="5" t="n"/>
    </row>
    <row r="138" hidden="1" customFormat="1" s="16">
      <c r="A138" s="14" t="n">
        <v>40</v>
      </c>
      <c r="B138" s="107" t="inlineStr">
        <is>
          <t>Cút thép hàn đen D80</t>
        </is>
      </c>
      <c r="C138" s="47" t="inlineStr">
        <is>
          <t>Cangzhou/TQ</t>
        </is>
      </c>
      <c r="D138" s="47" t="n"/>
      <c r="E138" s="108" t="inlineStr">
        <is>
          <t>cái</t>
        </is>
      </c>
      <c r="F138" s="109" t="n">
        <v>2</v>
      </c>
      <c r="G138" s="110" t="n"/>
      <c r="H138" s="111" t="n"/>
      <c r="I138" s="111" t="n"/>
      <c r="J138" s="5" t="n"/>
    </row>
    <row r="139" hidden="1" customFormat="1" s="16">
      <c r="A139" s="14" t="n">
        <v>41</v>
      </c>
      <c r="B139" s="107" t="inlineStr">
        <is>
          <t>Cút thép hàn đen D65</t>
        </is>
      </c>
      <c r="C139" s="47" t="inlineStr">
        <is>
          <t>Cangzhou/TQ</t>
        </is>
      </c>
      <c r="D139" s="47" t="n"/>
      <c r="E139" s="108" t="inlineStr">
        <is>
          <t>cái</t>
        </is>
      </c>
      <c r="F139" s="109" t="n">
        <v>111</v>
      </c>
      <c r="G139" s="110" t="n"/>
      <c r="H139" s="111" t="n"/>
      <c r="I139" s="111" t="n"/>
      <c r="J139" s="5" t="n"/>
    </row>
    <row r="140" hidden="1" ht="46.5" customFormat="1" customHeight="1" s="16">
      <c r="A140" s="14" t="n">
        <v>42</v>
      </c>
      <c r="B140" s="107" t="inlineStr">
        <is>
          <t>Cút thép ren mạ kẽm D50</t>
        </is>
      </c>
      <c r="C140" s="47" t="inlineStr">
        <is>
          <t>Shanxi/Trung Quốc</t>
        </is>
      </c>
      <c r="D140" s="47" t="n"/>
      <c r="E140" s="108" t="inlineStr">
        <is>
          <t>cái</t>
        </is>
      </c>
      <c r="F140" s="109" t="n">
        <v>213</v>
      </c>
      <c r="G140" s="110" t="n"/>
      <c r="H140" s="111" t="n"/>
      <c r="I140" s="111" t="n"/>
      <c r="J140" s="5" t="n"/>
    </row>
    <row r="141" hidden="1" ht="46.5" customFormat="1" customHeight="1" s="16">
      <c r="A141" s="14" t="n">
        <v>43</v>
      </c>
      <c r="B141" s="107" t="inlineStr">
        <is>
          <t>Cút thép ren mạ kẽm D40</t>
        </is>
      </c>
      <c r="C141" s="47" t="inlineStr">
        <is>
          <t>Shanxi/Trung Quốc</t>
        </is>
      </c>
      <c r="D141" s="47" t="n"/>
      <c r="E141" s="108" t="inlineStr">
        <is>
          <t>cái</t>
        </is>
      </c>
      <c r="F141" s="109" t="n">
        <v>303</v>
      </c>
      <c r="G141" s="110" t="n"/>
      <c r="H141" s="111" t="n"/>
      <c r="I141" s="111" t="n"/>
      <c r="J141" s="5" t="n"/>
    </row>
    <row r="142" hidden="1" ht="46.5" customFormat="1" customHeight="1" s="16">
      <c r="A142" s="14" t="n">
        <v>44</v>
      </c>
      <c r="B142" s="107" t="inlineStr">
        <is>
          <t>Cút thép ren mạ kẽm D32</t>
        </is>
      </c>
      <c r="C142" s="47" t="inlineStr">
        <is>
          <t>Shanxi/Trung Quốc</t>
        </is>
      </c>
      <c r="D142" s="47" t="n"/>
      <c r="E142" s="108" t="inlineStr">
        <is>
          <t>cái</t>
        </is>
      </c>
      <c r="F142" s="109" t="n">
        <v>542</v>
      </c>
      <c r="G142" s="110" t="n"/>
      <c r="H142" s="111" t="n"/>
      <c r="I142" s="111" t="n"/>
      <c r="J142" s="5" t="n"/>
    </row>
    <row r="143" hidden="1" ht="46.5" customFormat="1" customHeight="1" s="16">
      <c r="A143" s="14" t="n">
        <v>45</v>
      </c>
      <c r="B143" s="107" t="inlineStr">
        <is>
          <t>Cút thép ren mạ kẽm D25</t>
        </is>
      </c>
      <c r="C143" s="47" t="inlineStr">
        <is>
          <t>Shanxi/Trung Quốc</t>
        </is>
      </c>
      <c r="D143" s="47" t="n"/>
      <c r="E143" s="108" t="inlineStr">
        <is>
          <t xml:space="preserve">cái </t>
        </is>
      </c>
      <c r="F143" s="109" t="n">
        <v>4582</v>
      </c>
      <c r="G143" s="110" t="n"/>
      <c r="H143" s="111" t="n"/>
      <c r="I143" s="111" t="n"/>
      <c r="J143" s="5" t="n"/>
    </row>
    <row r="144" hidden="1" ht="46.5" customFormat="1" customHeight="1" s="16">
      <c r="A144" s="14" t="n">
        <v>46</v>
      </c>
      <c r="B144" s="107" t="inlineStr">
        <is>
          <t>Lắp đặt đầu phun quay xuống D20 - 68 độ C,K =11,2US</t>
        </is>
      </c>
      <c r="C144" s="47" t="inlineStr">
        <is>
          <t>APK; Minhong/TQ</t>
        </is>
      </c>
      <c r="D144" s="47" t="n"/>
      <c r="E144" s="108" t="inlineStr">
        <is>
          <t>cái</t>
        </is>
      </c>
      <c r="F144" s="109" t="n">
        <v>173</v>
      </c>
      <c r="G144" s="110" t="n"/>
      <c r="H144" s="111" t="n"/>
      <c r="I144" s="111" t="n"/>
      <c r="J144" s="5" t="n"/>
    </row>
    <row r="145" hidden="1" ht="46.5" customFormat="1" customHeight="1" s="16">
      <c r="A145" s="14" t="n">
        <v>47</v>
      </c>
      <c r="B145" s="107" t="inlineStr">
        <is>
          <t>Lắp đặt đầu phun quay xuống D15 - 93 độ C,K =5,6US</t>
        </is>
      </c>
      <c r="C145" s="47" t="inlineStr">
        <is>
          <t>APK; Minhong/TQ</t>
        </is>
      </c>
      <c r="D145" s="47" t="n"/>
      <c r="E145" s="108" t="inlineStr">
        <is>
          <t>cái</t>
        </is>
      </c>
      <c r="F145" s="109" t="n">
        <v>15</v>
      </c>
      <c r="G145" s="110" t="n"/>
      <c r="H145" s="111" t="n"/>
      <c r="I145" s="111" t="n"/>
      <c r="J145" s="5" t="n"/>
    </row>
    <row r="146" hidden="1" ht="46.5" customFormat="1" customHeight="1" s="16">
      <c r="A146" s="14" t="n">
        <v>48</v>
      </c>
      <c r="B146" s="107" t="inlineStr">
        <is>
          <t>Lắp đặt đầu phun quay xuống D15 - 68 độ C,K =5,6US</t>
        </is>
      </c>
      <c r="C146" s="47" t="inlineStr">
        <is>
          <t>APK; Minhong/TQ</t>
        </is>
      </c>
      <c r="D146" s="47" t="n"/>
      <c r="E146" s="108" t="inlineStr">
        <is>
          <t>cái</t>
        </is>
      </c>
      <c r="F146" s="109" t="n">
        <v>1552</v>
      </c>
      <c r="G146" s="110" t="n"/>
      <c r="H146" s="111" t="n"/>
      <c r="I146" s="111" t="n"/>
      <c r="J146" s="5" t="n"/>
    </row>
    <row r="147" hidden="1" ht="46.5" customFormat="1" customHeight="1" s="16">
      <c r="A147" s="14" t="n">
        <v>49</v>
      </c>
      <c r="B147" s="107" t="inlineStr">
        <is>
          <t>Lắp đặt đầu phun quay lên D15 - 68 độ C,K = 5,6US</t>
        </is>
      </c>
      <c r="C147" s="47" t="inlineStr">
        <is>
          <t>APK; Minhong/TQ</t>
        </is>
      </c>
      <c r="D147" s="47" t="n"/>
      <c r="E147" s="108" t="inlineStr">
        <is>
          <t>cái</t>
        </is>
      </c>
      <c r="F147" s="109" t="n">
        <v>860</v>
      </c>
      <c r="G147" s="110" t="n"/>
      <c r="H147" s="111" t="n"/>
      <c r="I147" s="111" t="n"/>
      <c r="J147" s="5" t="n"/>
    </row>
    <row r="148" hidden="1" customFormat="1" s="16">
      <c r="A148" s="14" t="n">
        <v>50</v>
      </c>
      <c r="B148" s="107" t="inlineStr">
        <is>
          <t>Nắp che đầu phun D15</t>
        </is>
      </c>
      <c r="C148" s="47" t="inlineStr">
        <is>
          <t>Trung Quốc</t>
        </is>
      </c>
      <c r="D148" s="47" t="n"/>
      <c r="E148" s="108" t="inlineStr">
        <is>
          <t>cái</t>
        </is>
      </c>
      <c r="F148" s="109" t="n">
        <v>1567</v>
      </c>
      <c r="G148" s="110" t="n"/>
      <c r="H148" s="111" t="n"/>
      <c r="I148" s="111" t="n"/>
      <c r="J148" s="5" t="n"/>
    </row>
    <row r="149" hidden="1" customFormat="1" s="16">
      <c r="A149" s="14" t="n">
        <v>51</v>
      </c>
      <c r="B149" s="107" t="inlineStr">
        <is>
          <t>Nắp che đầu phun D20</t>
        </is>
      </c>
      <c r="C149" s="47" t="inlineStr">
        <is>
          <t>Trung Quốc</t>
        </is>
      </c>
      <c r="D149" s="47" t="n"/>
      <c r="E149" s="108" t="inlineStr">
        <is>
          <t>cái</t>
        </is>
      </c>
      <c r="F149" s="109" t="n">
        <v>173</v>
      </c>
      <c r="G149" s="110" t="n"/>
      <c r="H149" s="111" t="n"/>
      <c r="I149" s="111" t="n"/>
      <c r="J149" s="5" t="n"/>
    </row>
    <row r="150" hidden="1" ht="46.5" customFormat="1" customHeight="1" s="16">
      <c r="A150" s="14" t="n">
        <v>52</v>
      </c>
      <c r="B150" s="107" t="inlineStr">
        <is>
          <t>Hộp đựng phương tiện chữa cháy vách tường chia 2 ngăn KT: 1500x800x200mm tôn 0.8mm</t>
        </is>
      </c>
      <c r="C150" s="47" t="inlineStr">
        <is>
          <t>Việt Nam</t>
        </is>
      </c>
      <c r="D150" s="47" t="n"/>
      <c r="E150" s="108" t="inlineStr">
        <is>
          <t>cái</t>
        </is>
      </c>
      <c r="F150" s="109" t="n">
        <v>75</v>
      </c>
      <c r="G150" s="110" t="n"/>
      <c r="H150" s="111" t="n"/>
      <c r="I150" s="111" t="n"/>
      <c r="J150" s="5" t="n"/>
    </row>
    <row r="151" hidden="1" customFormat="1" s="16">
      <c r="A151" s="14" t="n">
        <v>53</v>
      </c>
      <c r="B151" s="107" t="inlineStr">
        <is>
          <t>Van góc D65mm</t>
        </is>
      </c>
      <c r="C151" s="47" t="inlineStr">
        <is>
          <t>BQP/tđ</t>
        </is>
      </c>
      <c r="D151" s="47" t="n"/>
      <c r="E151" s="108" t="inlineStr">
        <is>
          <t>cái</t>
        </is>
      </c>
      <c r="F151" s="109" t="n">
        <v>94</v>
      </c>
      <c r="G151" s="110" t="n"/>
      <c r="H151" s="111" t="n"/>
      <c r="I151" s="111" t="n"/>
      <c r="J151" s="5" t="n"/>
    </row>
    <row r="152" hidden="1" customFormat="1" s="16">
      <c r="A152" s="14" t="n">
        <v>54</v>
      </c>
      <c r="B152" s="107" t="inlineStr">
        <is>
          <t>Vòi chữa cháy D65 dài 20m 16bar</t>
        </is>
      </c>
      <c r="C152" s="47" t="inlineStr">
        <is>
          <t>BQP/tđ</t>
        </is>
      </c>
      <c r="D152" s="47" t="n"/>
      <c r="E152" s="108" t="inlineStr">
        <is>
          <t xml:space="preserve">cuộn </t>
        </is>
      </c>
      <c r="F152" s="109" t="n">
        <v>74</v>
      </c>
      <c r="G152" s="110" t="n"/>
      <c r="H152" s="111" t="n"/>
      <c r="I152" s="111" t="n"/>
      <c r="J152" s="5" t="n"/>
    </row>
    <row r="153" hidden="1" customFormat="1" s="16">
      <c r="A153" s="14" t="n">
        <v>55</v>
      </c>
      <c r="B153" s="107" t="inlineStr">
        <is>
          <t>Lăng chữa cháy D65</t>
        </is>
      </c>
      <c r="C153" s="47" t="inlineStr">
        <is>
          <t>BQP/tđ</t>
        </is>
      </c>
      <c r="D153" s="47" t="n"/>
      <c r="E153" s="108" t="inlineStr">
        <is>
          <t>cái</t>
        </is>
      </c>
      <c r="F153" s="109" t="n">
        <v>74</v>
      </c>
      <c r="G153" s="110" t="n"/>
      <c r="H153" s="111" t="n"/>
      <c r="I153" s="111" t="n"/>
      <c r="J153" s="5" t="n"/>
    </row>
    <row r="154" hidden="1" customFormat="1" s="16">
      <c r="A154" s="14" t="n">
        <v>57</v>
      </c>
      <c r="B154" s="107" t="inlineStr">
        <is>
          <t>Van góc D50mm</t>
        </is>
      </c>
      <c r="C154" s="47" t="inlineStr">
        <is>
          <t>BQP/tđ</t>
        </is>
      </c>
      <c r="D154" s="47" t="n"/>
      <c r="E154" s="108" t="inlineStr">
        <is>
          <t>cái</t>
        </is>
      </c>
      <c r="F154" s="109" t="n">
        <v>76</v>
      </c>
      <c r="G154" s="110" t="n"/>
      <c r="H154" s="111" t="n"/>
      <c r="I154" s="111" t="n"/>
      <c r="J154" s="5" t="n"/>
    </row>
    <row r="155" hidden="1" customFormat="1" s="16">
      <c r="A155" s="14" t="n">
        <v>58</v>
      </c>
      <c r="B155" s="107" t="inlineStr">
        <is>
          <t>Vòi chữa cháy D50 dài 20m 16bar</t>
        </is>
      </c>
      <c r="C155" s="47" t="inlineStr">
        <is>
          <t>BQP/tđ</t>
        </is>
      </c>
      <c r="D155" s="47" t="n"/>
      <c r="E155" s="108" t="inlineStr">
        <is>
          <t xml:space="preserve">cuộn </t>
        </is>
      </c>
      <c r="F155" s="109" t="n">
        <v>76</v>
      </c>
      <c r="G155" s="110" t="n"/>
      <c r="H155" s="111" t="n"/>
      <c r="I155" s="111" t="n"/>
      <c r="J155" s="5" t="n"/>
    </row>
    <row r="156" hidden="1" customFormat="1" s="16">
      <c r="A156" s="14" t="n">
        <v>59</v>
      </c>
      <c r="B156" s="107" t="inlineStr">
        <is>
          <t>Lăng chữa cháy D50</t>
        </is>
      </c>
      <c r="C156" s="47" t="inlineStr">
        <is>
          <t>BQP/tđ</t>
        </is>
      </c>
      <c r="D156" s="47" t="n"/>
      <c r="E156" s="108" t="inlineStr">
        <is>
          <t>cái</t>
        </is>
      </c>
      <c r="F156" s="109" t="n">
        <v>76</v>
      </c>
      <c r="G156" s="110" t="n"/>
      <c r="H156" s="111" t="n"/>
      <c r="I156" s="111" t="n"/>
      <c r="J156" s="5" t="n"/>
    </row>
    <row r="157" hidden="1" ht="46.5" customFormat="1" customHeight="1" s="16">
      <c r="A157" s="14" t="n">
        <v>61</v>
      </c>
      <c r="B157" s="107" t="inlineStr">
        <is>
          <t>Lắp đặt kệ 3 đựng phương tiện chữa cháy xách tay</t>
        </is>
      </c>
      <c r="C157" s="47" t="inlineStr">
        <is>
          <t>Việt Nam</t>
        </is>
      </c>
      <c r="D157" s="47" t="n"/>
      <c r="E157" s="108" t="inlineStr">
        <is>
          <t>cái</t>
        </is>
      </c>
      <c r="F157" s="109" t="n">
        <v>12</v>
      </c>
      <c r="G157" s="110" t="n"/>
      <c r="H157" s="111" t="n"/>
      <c r="I157" s="111" t="n"/>
      <c r="J157" s="5" t="n"/>
    </row>
    <row r="158" hidden="1" customFormat="1" s="16">
      <c r="A158" s="14" t="n">
        <v>62</v>
      </c>
      <c r="B158" s="107" t="inlineStr">
        <is>
          <t>Bình khí CO2 5kg (MT5)</t>
        </is>
      </c>
      <c r="C158" s="47" t="inlineStr">
        <is>
          <t>BQP/tđ</t>
        </is>
      </c>
      <c r="D158" s="47" t="n"/>
      <c r="E158" s="108" t="inlineStr">
        <is>
          <t>bình</t>
        </is>
      </c>
      <c r="F158" s="109" t="n">
        <v>87</v>
      </c>
      <c r="G158" s="110" t="n"/>
      <c r="H158" s="111" t="n"/>
      <c r="I158" s="111" t="n"/>
      <c r="J158" s="5" t="n"/>
    </row>
    <row r="159" hidden="1" customFormat="1" s="16">
      <c r="A159" s="14" t="n">
        <v>63</v>
      </c>
      <c r="B159" s="107" t="inlineStr">
        <is>
          <t>Bình bột ABC 8kg (MFZL8)</t>
        </is>
      </c>
      <c r="C159" s="47" t="inlineStr">
        <is>
          <t>BQP/tđ</t>
        </is>
      </c>
      <c r="D159" s="47" t="n"/>
      <c r="E159" s="108" t="inlineStr">
        <is>
          <t>bình</t>
        </is>
      </c>
      <c r="F159" s="109" t="n">
        <v>174</v>
      </c>
      <c r="G159" s="110" t="n"/>
      <c r="H159" s="111" t="n"/>
      <c r="I159" s="111" t="n"/>
      <c r="J159" s="5" t="n"/>
    </row>
    <row r="160" hidden="1" customFormat="1" s="16">
      <c r="A160" s="14" t="n">
        <v>64</v>
      </c>
      <c r="B160" s="107" t="inlineStr">
        <is>
          <t xml:space="preserve">Nội quy, tiêu lệnh </t>
        </is>
      </c>
      <c r="C160" s="47" t="inlineStr">
        <is>
          <t>Việt Nam</t>
        </is>
      </c>
      <c r="D160" s="47" t="n"/>
      <c r="E160" s="108" t="inlineStr">
        <is>
          <t>bộ</t>
        </is>
      </c>
      <c r="F160" s="109" t="n">
        <v>75</v>
      </c>
      <c r="G160" s="110" t="n"/>
      <c r="H160" s="111" t="n"/>
      <c r="I160" s="111" t="n"/>
      <c r="J160" s="5" t="n"/>
    </row>
    <row r="161" hidden="1" ht="46.5" customFormat="1" customHeight="1" s="16">
      <c r="A161" s="14" t="n">
        <v>65</v>
      </c>
      <c r="B161" s="107" t="inlineStr">
        <is>
          <t>Tủ đựng mặt nạ lọc độc</t>
        </is>
      </c>
      <c r="C161" s="47" t="inlineStr">
        <is>
          <t>Việt Nam</t>
        </is>
      </c>
      <c r="D161" s="47" t="inlineStr">
        <is>
          <t>KT: 600x600x180; 0,8mm</t>
        </is>
      </c>
      <c r="E161" s="108" t="inlineStr">
        <is>
          <t>cái</t>
        </is>
      </c>
      <c r="F161" s="109" t="n">
        <v>44</v>
      </c>
      <c r="G161" s="110" t="n"/>
      <c r="H161" s="111" t="n"/>
      <c r="I161" s="111" t="n"/>
      <c r="J161" s="5" t="n"/>
    </row>
    <row r="162" hidden="1" ht="46.5" customFormat="1" customHeight="1" s="16">
      <c r="A162" s="14" t="n">
        <v>66</v>
      </c>
      <c r="B162" s="107" t="inlineStr">
        <is>
          <t>Mặt nạ lọc độc</t>
        </is>
      </c>
      <c r="C162" s="47" t="inlineStr">
        <is>
          <t>Việt Nam; Trung Quốc</t>
        </is>
      </c>
      <c r="D162" s="47" t="n"/>
      <c r="E162" s="108" t="inlineStr">
        <is>
          <t>cái</t>
        </is>
      </c>
      <c r="F162" s="109" t="n">
        <v>1056</v>
      </c>
      <c r="G162" s="110" t="n"/>
      <c r="H162" s="111" t="n"/>
      <c r="I162" s="111" t="n"/>
      <c r="J162" s="5" t="n"/>
    </row>
    <row r="163" hidden="1" customFormat="1" s="16">
      <c r="A163" s="14" t="n">
        <v>65</v>
      </c>
      <c r="B163" s="107" t="inlineStr">
        <is>
          <t>Ubolt D150</t>
        </is>
      </c>
      <c r="C163" s="47" t="inlineStr">
        <is>
          <t>Việt Nam</t>
        </is>
      </c>
      <c r="D163" s="47" t="n"/>
      <c r="E163" s="108" t="inlineStr">
        <is>
          <t>cái</t>
        </is>
      </c>
      <c r="F163" s="109" t="n">
        <v>766</v>
      </c>
      <c r="G163" s="110" t="n"/>
      <c r="H163" s="111" t="n"/>
      <c r="I163" s="111" t="n"/>
      <c r="J163" s="5" t="n"/>
    </row>
    <row r="164" hidden="1" customFormat="1" s="16">
      <c r="A164" s="14" t="n">
        <v>66</v>
      </c>
      <c r="B164" s="107" t="inlineStr">
        <is>
          <t>Quang treo ống D80mm</t>
        </is>
      </c>
      <c r="C164" s="47" t="inlineStr">
        <is>
          <t>Việt Nam</t>
        </is>
      </c>
      <c r="D164" s="47" t="n"/>
      <c r="E164" s="108" t="inlineStr">
        <is>
          <t>cái</t>
        </is>
      </c>
      <c r="F164" s="109" t="n">
        <v>29</v>
      </c>
      <c r="G164" s="110" t="n"/>
      <c r="H164" s="111" t="n"/>
      <c r="I164" s="111" t="n"/>
      <c r="J164" s="5" t="n"/>
    </row>
    <row r="165" hidden="1" customFormat="1" s="16">
      <c r="A165" s="14" t="n">
        <v>67</v>
      </c>
      <c r="B165" s="107" t="inlineStr">
        <is>
          <t>Quang treo ống D65mm</t>
        </is>
      </c>
      <c r="C165" s="47" t="inlineStr">
        <is>
          <t>Việt Nam</t>
        </is>
      </c>
      <c r="D165" s="47" t="n"/>
      <c r="E165" s="108" t="inlineStr">
        <is>
          <t>bộ</t>
        </is>
      </c>
      <c r="F165" s="109" t="n">
        <v>229</v>
      </c>
      <c r="G165" s="110" t="n"/>
      <c r="H165" s="111" t="n"/>
      <c r="I165" s="111" t="n"/>
      <c r="J165" s="5" t="n"/>
    </row>
    <row r="166" hidden="1" customFormat="1" s="16">
      <c r="A166" s="14" t="n">
        <v>68</v>
      </c>
      <c r="B166" s="107" t="inlineStr">
        <is>
          <t>Quang treo ống D50mm</t>
        </is>
      </c>
      <c r="C166" s="47" t="inlineStr">
        <is>
          <t>Việt Nam</t>
        </is>
      </c>
      <c r="D166" s="47" t="n"/>
      <c r="E166" s="108" t="inlineStr">
        <is>
          <t>bộ</t>
        </is>
      </c>
      <c r="F166" s="109" t="n">
        <v>166</v>
      </c>
      <c r="G166" s="110" t="n"/>
      <c r="H166" s="111" t="n"/>
      <c r="I166" s="111" t="n"/>
      <c r="J166" s="5" t="n"/>
    </row>
    <row r="167" hidden="1" customFormat="1" s="16">
      <c r="A167" s="14" t="n">
        <v>69</v>
      </c>
      <c r="B167" s="107" t="inlineStr">
        <is>
          <t>Quang treo ống D40mm</t>
        </is>
      </c>
      <c r="C167" s="47" t="inlineStr">
        <is>
          <t>Việt Nam</t>
        </is>
      </c>
      <c r="D167" s="47" t="n"/>
      <c r="E167" s="108" t="inlineStr">
        <is>
          <t>bộ</t>
        </is>
      </c>
      <c r="F167" s="109" t="n">
        <v>288</v>
      </c>
      <c r="G167" s="110" t="n"/>
      <c r="H167" s="111" t="n"/>
      <c r="I167" s="111" t="n"/>
      <c r="J167" s="5" t="n"/>
    </row>
    <row r="168" hidden="1" customFormat="1" s="16">
      <c r="A168" s="14" t="n">
        <v>70</v>
      </c>
      <c r="B168" s="107" t="inlineStr">
        <is>
          <t>Quang treo ống D32mm</t>
        </is>
      </c>
      <c r="C168" s="47" t="inlineStr">
        <is>
          <t>Việt Nam</t>
        </is>
      </c>
      <c r="D168" s="47" t="n"/>
      <c r="E168" s="108" t="inlineStr">
        <is>
          <t>bộ</t>
        </is>
      </c>
      <c r="F168" s="109" t="n">
        <v>650</v>
      </c>
      <c r="G168" s="110" t="n"/>
      <c r="H168" s="111" t="n"/>
      <c r="I168" s="106" t="n"/>
      <c r="J168" s="5" t="n"/>
    </row>
    <row r="169" hidden="1" customFormat="1" s="16">
      <c r="A169" s="14" t="n">
        <v>71</v>
      </c>
      <c r="B169" s="107" t="inlineStr">
        <is>
          <t>Quang treo ống D25mm</t>
        </is>
      </c>
      <c r="C169" s="47" t="inlineStr">
        <is>
          <t>Việt Nam</t>
        </is>
      </c>
      <c r="D169" s="47" t="n"/>
      <c r="E169" s="108" t="inlineStr">
        <is>
          <t>bộ</t>
        </is>
      </c>
      <c r="F169" s="109" t="n">
        <v>2378</v>
      </c>
      <c r="G169" s="110" t="n"/>
      <c r="H169" s="111" t="n"/>
      <c r="I169" s="114" t="n"/>
      <c r="J169" s="5" t="n"/>
    </row>
    <row r="170" hidden="1" customFormat="1" s="16">
      <c r="A170" s="14" t="n">
        <v>72</v>
      </c>
      <c r="B170" s="107" t="inlineStr">
        <is>
          <t>Sơn đỏ, sơn chống gỉ đường ống</t>
        </is>
      </c>
      <c r="C170" s="47" t="inlineStr">
        <is>
          <t>Alkyd Tk/VN</t>
        </is>
      </c>
      <c r="D170" s="47" t="n"/>
      <c r="E170" s="108" t="inlineStr">
        <is>
          <t>m2</t>
        </is>
      </c>
      <c r="F170" s="109" t="n">
        <v>2662</v>
      </c>
      <c r="G170" s="110" t="n"/>
      <c r="H170" s="111" t="n"/>
      <c r="I170" s="111" t="n"/>
      <c r="J170" s="5" t="n"/>
    </row>
    <row r="171" hidden="1" customFormat="1" s="16">
      <c r="A171" s="14" t="n">
        <v>73</v>
      </c>
      <c r="B171" s="107" t="inlineStr">
        <is>
          <t>Bảng hướng dẫn sử dụng nội quy</t>
        </is>
      </c>
      <c r="C171" s="47" t="inlineStr">
        <is>
          <t>Việt Nam</t>
        </is>
      </c>
      <c r="D171" s="47" t="n"/>
      <c r="E171" s="108" t="inlineStr">
        <is>
          <t>cái</t>
        </is>
      </c>
      <c r="F171" s="109" t="n">
        <v>1</v>
      </c>
      <c r="G171" s="110" t="n"/>
      <c r="H171" s="111" t="n"/>
      <c r="I171" s="111" t="n"/>
      <c r="J171" s="5" t="n"/>
    </row>
    <row r="172" hidden="1" customFormat="1" s="16">
      <c r="A172" s="14" t="n">
        <v>74</v>
      </c>
      <c r="B172" s="107" t="inlineStr">
        <is>
          <t>Hộp đựng dụng cụ phá dỡ thô sơ</t>
        </is>
      </c>
      <c r="C172" s="47" t="inlineStr">
        <is>
          <t>Việt Nam</t>
        </is>
      </c>
      <c r="D172" s="47" t="inlineStr">
        <is>
          <t>1200x600x200</t>
        </is>
      </c>
      <c r="E172" s="108" t="inlineStr">
        <is>
          <t>hộp</t>
        </is>
      </c>
      <c r="F172" s="109" t="n">
        <v>1</v>
      </c>
      <c r="G172" s="110" t="n"/>
      <c r="H172" s="111" t="n"/>
      <c r="I172" s="111" t="n"/>
      <c r="J172" s="5" t="n"/>
    </row>
    <row r="173" hidden="1" customFormat="1" s="16">
      <c r="A173" s="14" t="n">
        <v>75</v>
      </c>
      <c r="B173" s="107" t="inlineStr">
        <is>
          <t>Vật tư phụ (que hàn, đá cắt, bằng tan,…)</t>
        </is>
      </c>
      <c r="C173" s="47" t="inlineStr">
        <is>
          <t>Việt Nam</t>
        </is>
      </c>
      <c r="D173" s="47" t="n"/>
      <c r="E173" s="108" t="inlineStr">
        <is>
          <t>lô</t>
        </is>
      </c>
      <c r="F173" s="109" t="n">
        <v>1</v>
      </c>
      <c r="G173" s="110" t="n"/>
      <c r="H173" s="111" t="n"/>
      <c r="I173" s="111" t="n"/>
      <c r="J173" s="5" t="n"/>
    </row>
    <row r="174" customFormat="1" s="36">
      <c r="A174" s="100" t="inlineStr">
        <is>
          <t>II.2</t>
        </is>
      </c>
      <c r="B174" s="101" t="inlineStr">
        <is>
          <t>HỆ THỐNG CHỮA CHÁY FM200</t>
        </is>
      </c>
      <c r="C174" s="102" t="n"/>
      <c r="D174" s="103" t="n"/>
      <c r="E174" s="104" t="n"/>
      <c r="F174" s="104" t="n"/>
      <c r="G174" s="105" t="n"/>
      <c r="H174" s="106" t="n"/>
      <c r="I174" s="114" t="n"/>
      <c r="J174" s="35" t="n">
        <v>1</v>
      </c>
    </row>
    <row r="175" hidden="1" customFormat="1" s="16">
      <c r="A175" s="14" t="n">
        <v>1</v>
      </c>
      <c r="B175" s="107" t="inlineStr">
        <is>
          <t>Module giám sát trạng thái cho HT FM200</t>
        </is>
      </c>
      <c r="C175" s="47" t="inlineStr">
        <is>
          <t>Horing/EINet/tđ</t>
        </is>
      </c>
      <c r="D175" s="47" t="n"/>
      <c r="E175" s="108" t="inlineStr">
        <is>
          <t>cái</t>
        </is>
      </c>
      <c r="F175" s="109" t="n">
        <v>9</v>
      </c>
      <c r="G175" s="110" t="n"/>
      <c r="H175" s="111" t="n"/>
      <c r="I175" s="111" t="n"/>
      <c r="J175" s="5" t="n"/>
    </row>
    <row r="176" hidden="1" customFormat="1" s="16">
      <c r="A176" s="14" t="n">
        <v>2</v>
      </c>
      <c r="B176" s="107" t="inlineStr">
        <is>
          <t>Lắp đặt ống nhựa, D20mm</t>
        </is>
      </c>
      <c r="C176" s="47" t="inlineStr">
        <is>
          <t>SP/ Việt Nam</t>
        </is>
      </c>
      <c r="D176" s="47" t="n"/>
      <c r="E176" s="108" t="inlineStr">
        <is>
          <t>m</t>
        </is>
      </c>
      <c r="F176" s="109" t="n">
        <v>41</v>
      </c>
      <c r="G176" s="115" t="n"/>
      <c r="H176" s="111" t="n"/>
      <c r="I176" s="111" t="n"/>
      <c r="J176" s="5" t="n"/>
    </row>
    <row r="177" hidden="1" ht="46.5" customFormat="1" customHeight="1" s="16">
      <c r="A177" s="14" t="n">
        <v>3</v>
      </c>
      <c r="B177" s="107" t="inlineStr">
        <is>
          <t>Lắp đặt dây dẫn 2 ruột 2x1,5mm2,
dây chống cháy, chống nhiễu cho HT FM200</t>
        </is>
      </c>
      <c r="C177" s="47" t="inlineStr">
        <is>
          <t>LS/Huviron/tđ</t>
        </is>
      </c>
      <c r="D177" s="47" t="n"/>
      <c r="E177" s="108" t="inlineStr">
        <is>
          <t>m</t>
        </is>
      </c>
      <c r="F177" s="109" t="n">
        <v>46</v>
      </c>
      <c r="G177" s="66" t="n"/>
      <c r="H177" s="42" t="n"/>
      <c r="I177" s="111" t="n"/>
      <c r="J177" s="5" t="n"/>
    </row>
    <row r="178" hidden="1" ht="46.5" customFormat="1" customHeight="1" s="16">
      <c r="A178" s="14" t="n">
        <v>4</v>
      </c>
      <c r="B178" s="107" t="inlineStr">
        <is>
          <t>Bình SMS 25bar loại 15L nạp 13kg khí FM200, bao gồm van đầu bình</t>
        </is>
      </c>
      <c r="C178" s="47" t="inlineStr">
        <is>
          <t>STEC Vina/ Việt Nam</t>
        </is>
      </c>
      <c r="D178" s="47" t="n"/>
      <c r="E178" s="108" t="inlineStr">
        <is>
          <t>bình</t>
        </is>
      </c>
      <c r="F178" s="109" t="n">
        <v>5</v>
      </c>
      <c r="G178" s="116" t="n"/>
      <c r="H178" s="111" t="n"/>
      <c r="I178" s="111" t="n"/>
      <c r="J178" s="5" t="n"/>
    </row>
    <row r="179" hidden="1" ht="46.5" customFormat="1" customHeight="1" s="16">
      <c r="A179" s="14" t="n">
        <v>5</v>
      </c>
      <c r="B179" s="107" t="inlineStr">
        <is>
          <t>Bình SMS 25bar loại 15L nạp 12kg khí FM200, bao gồm van đầu bình</t>
        </is>
      </c>
      <c r="C179" s="47" t="inlineStr">
        <is>
          <t>STEC Vina/ Việt Nam</t>
        </is>
      </c>
      <c r="D179" s="47" t="n"/>
      <c r="E179" s="108" t="inlineStr">
        <is>
          <t>bình</t>
        </is>
      </c>
      <c r="F179" s="109" t="n">
        <v>3</v>
      </c>
      <c r="G179" s="110" t="n"/>
      <c r="H179" s="111" t="n"/>
      <c r="I179" s="111" t="n"/>
      <c r="J179" s="5" t="n"/>
    </row>
    <row r="180" hidden="1" ht="46.5" customFormat="1" customHeight="1" s="16">
      <c r="A180" s="14" t="n">
        <v>6</v>
      </c>
      <c r="B180" s="107" t="inlineStr">
        <is>
          <t>Bình SMS 25bar loại 15L nạp 10kg khí FM200, bao gồm van đầu bình</t>
        </is>
      </c>
      <c r="C180" s="47" t="inlineStr">
        <is>
          <t>STEC Vina/ Việt Nam</t>
        </is>
      </c>
      <c r="D180" s="47" t="n"/>
      <c r="E180" s="108" t="inlineStr">
        <is>
          <t>bình</t>
        </is>
      </c>
      <c r="F180" s="109" t="n">
        <v>16</v>
      </c>
      <c r="G180" s="110" t="n"/>
      <c r="H180" s="111" t="n"/>
      <c r="I180" s="111" t="n"/>
      <c r="J180" s="5" t="n"/>
    </row>
    <row r="181" hidden="1" ht="46.5" customFormat="1" customHeight="1" s="16">
      <c r="A181" s="14" t="n">
        <v>6</v>
      </c>
      <c r="B181" s="107" t="inlineStr">
        <is>
          <t>Công tắc áp lực khí dành cho bình 15L</t>
        </is>
      </c>
      <c r="C181" s="47" t="inlineStr">
        <is>
          <t>STEC Vina/ Việt Nam</t>
        </is>
      </c>
      <c r="D181" s="47" t="n"/>
      <c r="E181" s="108" t="inlineStr">
        <is>
          <t>cái</t>
        </is>
      </c>
      <c r="F181" s="109" t="n">
        <v>11</v>
      </c>
      <c r="G181" s="110" t="n"/>
      <c r="H181" s="111" t="n"/>
      <c r="I181" s="111" t="n"/>
      <c r="J181" s="5" t="n"/>
    </row>
    <row r="182" hidden="1" ht="36.75" customFormat="1" customHeight="1" s="16">
      <c r="A182" s="14" t="n">
        <v>7</v>
      </c>
      <c r="B182" s="107" t="inlineStr">
        <is>
          <t>Vật tư phụ (nở, ecu, long đen)</t>
        </is>
      </c>
      <c r="C182" s="47" t="inlineStr">
        <is>
          <t>Việt Nam</t>
        </is>
      </c>
      <c r="D182" s="47" t="n"/>
      <c r="E182" s="108" t="inlineStr">
        <is>
          <t>lô</t>
        </is>
      </c>
      <c r="F182" s="109" t="n">
        <v>1</v>
      </c>
      <c r="G182" s="110" t="n"/>
      <c r="H182" s="111" t="n"/>
      <c r="I182" s="111" t="n"/>
      <c r="J182" s="5" t="n"/>
    </row>
    <row r="183" ht="22.5" customFormat="1" customHeight="1" s="36">
      <c r="A183" s="100" t="inlineStr">
        <is>
          <t>II.3</t>
        </is>
      </c>
      <c r="B183" s="101" t="inlineStr">
        <is>
          <t>HỆ THỐNG BÁO CHÁY</t>
        </is>
      </c>
      <c r="C183" s="102" t="n"/>
      <c r="D183" s="103" t="n"/>
      <c r="E183" s="104" t="n"/>
      <c r="F183" s="104" t="n"/>
      <c r="G183" s="105" t="n"/>
      <c r="H183" s="106" t="n"/>
      <c r="I183" s="106" t="n"/>
      <c r="J183" s="35" t="n">
        <v>1</v>
      </c>
    </row>
    <row r="184" hidden="1" customFormat="1" s="16">
      <c r="A184" s="14" t="n">
        <v>1</v>
      </c>
      <c r="B184" s="107" t="inlineStr">
        <is>
          <t>Tủ trung tâm báo cháy 08 Loop</t>
        </is>
      </c>
      <c r="C184" s="47" t="inlineStr">
        <is>
          <t>Horing/EINet/tđ</t>
        </is>
      </c>
      <c r="D184" s="47" t="n"/>
      <c r="E184" s="108" t="inlineStr">
        <is>
          <t>cái</t>
        </is>
      </c>
      <c r="F184" s="109" t="n">
        <v>1</v>
      </c>
      <c r="G184" s="110" t="n"/>
      <c r="H184" s="111" t="n"/>
      <c r="I184" s="111" t="n"/>
      <c r="J184" s="5" t="n"/>
    </row>
    <row r="185" hidden="1" customFormat="1" s="16">
      <c r="A185" s="14" t="n">
        <v>2</v>
      </c>
      <c r="B185" s="107" t="inlineStr">
        <is>
          <t>Bộ nguồn dự phòng 24V</t>
        </is>
      </c>
      <c r="C185" s="47" t="inlineStr">
        <is>
          <t>Horing/EINet/tđ</t>
        </is>
      </c>
      <c r="D185" s="47" t="n"/>
      <c r="E185" s="108" t="inlineStr">
        <is>
          <t>bộ</t>
        </is>
      </c>
      <c r="F185" s="109" t="n">
        <v>1</v>
      </c>
      <c r="G185" s="110" t="n"/>
      <c r="H185" s="111" t="n"/>
      <c r="I185" s="111" t="n"/>
      <c r="J185" s="5" t="n"/>
    </row>
    <row r="186" hidden="1" customFormat="1" s="16">
      <c r="A186" s="14" t="n">
        <v>3</v>
      </c>
      <c r="B186" s="107" t="inlineStr">
        <is>
          <t>Hệ thống tiếp địa cho tủ báo cháy</t>
        </is>
      </c>
      <c r="C186" s="47" t="inlineStr">
        <is>
          <t>Việt Nam</t>
        </is>
      </c>
      <c r="D186" s="47" t="n"/>
      <c r="E186" s="108" t="inlineStr">
        <is>
          <t>bộ</t>
        </is>
      </c>
      <c r="F186" s="109" t="n">
        <v>1</v>
      </c>
      <c r="G186" s="110" t="n"/>
      <c r="H186" s="111" t="n"/>
      <c r="I186" s="111" t="n"/>
      <c r="J186" s="5" t="n"/>
    </row>
    <row r="187" hidden="1" customFormat="1" s="16">
      <c r="A187" s="14" t="n">
        <v>4</v>
      </c>
      <c r="B187" s="107" t="inlineStr">
        <is>
          <t>Đầu báo khói địa chỉ + đế</t>
        </is>
      </c>
      <c r="C187" s="47" t="inlineStr">
        <is>
          <t>Horing/EINet/tđ</t>
        </is>
      </c>
      <c r="D187" s="47" t="n"/>
      <c r="E187" s="108" t="inlineStr">
        <is>
          <t>cái</t>
        </is>
      </c>
      <c r="F187" s="109" t="n">
        <v>1003</v>
      </c>
      <c r="G187" s="110" t="n"/>
      <c r="H187" s="111" t="n"/>
      <c r="I187" s="111" t="n"/>
      <c r="J187" s="5" t="n"/>
    </row>
    <row r="188" hidden="1" customFormat="1" s="16">
      <c r="A188" s="14" t="n">
        <v>5</v>
      </c>
      <c r="B188" s="107" t="inlineStr">
        <is>
          <t>Đầu báo nhiệt địa chỉ + đế</t>
        </is>
      </c>
      <c r="C188" s="47" t="inlineStr">
        <is>
          <t>Horing/EINet/tđ</t>
        </is>
      </c>
      <c r="D188" s="47" t="n"/>
      <c r="E188" s="108" t="inlineStr">
        <is>
          <t>cái</t>
        </is>
      </c>
      <c r="F188" s="109" t="n">
        <v>34</v>
      </c>
      <c r="G188" s="110" t="n"/>
      <c r="H188" s="111" t="n"/>
      <c r="I188" s="111" t="n"/>
      <c r="J188" s="5" t="n"/>
    </row>
    <row r="189" hidden="1" customFormat="1" s="16">
      <c r="A189" s="14" t="n">
        <v>6</v>
      </c>
      <c r="B189" s="107" t="inlineStr">
        <is>
          <t>Đèn chỉ thị đầu báo trên trần giả</t>
        </is>
      </c>
      <c r="C189" s="47" t="inlineStr">
        <is>
          <t>Horing/EINet/tđ</t>
        </is>
      </c>
      <c r="D189" s="47" t="n"/>
      <c r="E189" s="108" t="inlineStr">
        <is>
          <t xml:space="preserve">cái </t>
        </is>
      </c>
      <c r="F189" s="109" t="n">
        <v>266</v>
      </c>
      <c r="G189" s="110" t="n"/>
      <c r="H189" s="111" t="n"/>
      <c r="I189" s="111" t="n"/>
      <c r="J189" s="5" t="n"/>
    </row>
    <row r="190" hidden="1" ht="30" customFormat="1" customHeight="1" s="16">
      <c r="A190" s="14" t="n">
        <v>7</v>
      </c>
      <c r="B190" s="107" t="inlineStr">
        <is>
          <t>Hộp đựng tổ hợp chuông, đèn, nút ấn</t>
        </is>
      </c>
      <c r="C190" s="47" t="inlineStr">
        <is>
          <t>Việt Nam</t>
        </is>
      </c>
      <c r="D190" s="47" t="n"/>
      <c r="E190" s="108" t="inlineStr">
        <is>
          <t>cái</t>
        </is>
      </c>
      <c r="F190" s="109" t="n">
        <v>39</v>
      </c>
      <c r="G190" s="110" t="n"/>
      <c r="H190" s="111" t="n"/>
      <c r="I190" s="111" t="n"/>
      <c r="J190" s="5" t="n"/>
    </row>
    <row r="191" hidden="1" customFormat="1" s="16">
      <c r="A191" s="14" t="n">
        <v>8</v>
      </c>
      <c r="B191" s="107" t="inlineStr">
        <is>
          <t>Chuông, đèn báo cháy kết hợp</t>
        </is>
      </c>
      <c r="C191" s="47" t="inlineStr">
        <is>
          <t>Horing/EINet/tđ</t>
        </is>
      </c>
      <c r="D191" s="47" t="n"/>
      <c r="E191" s="108" t="inlineStr">
        <is>
          <t>cái</t>
        </is>
      </c>
      <c r="F191" s="109" t="n">
        <v>39</v>
      </c>
      <c r="G191" s="110" t="n"/>
      <c r="H191" s="111" t="n"/>
      <c r="I191" s="111" t="n"/>
      <c r="J191" s="5" t="n"/>
    </row>
    <row r="192" hidden="1" customFormat="1" s="16">
      <c r="A192" s="14" t="n">
        <v>9</v>
      </c>
      <c r="B192" s="107" t="inlineStr">
        <is>
          <t>Nút ấn báo cháy địa chỉ</t>
        </is>
      </c>
      <c r="C192" s="47" t="inlineStr">
        <is>
          <t>Horing/EINet/tđ</t>
        </is>
      </c>
      <c r="D192" s="47" t="n"/>
      <c r="E192" s="108" t="inlineStr">
        <is>
          <t>cái</t>
        </is>
      </c>
      <c r="F192" s="109" t="n">
        <v>39</v>
      </c>
      <c r="G192" s="110" t="n"/>
      <c r="H192" s="111" t="n"/>
      <c r="I192" s="111" t="n"/>
      <c r="J192" s="5" t="n"/>
    </row>
    <row r="193" hidden="1" customFormat="1" s="16">
      <c r="A193" s="14" t="n">
        <v>10</v>
      </c>
      <c r="B193" s="107" t="inlineStr">
        <is>
          <t>Module cách ly</t>
        </is>
      </c>
      <c r="C193" s="47" t="inlineStr">
        <is>
          <t>Horing/EINet/tđ</t>
        </is>
      </c>
      <c r="D193" s="47" t="n"/>
      <c r="E193" s="108" t="inlineStr">
        <is>
          <t>cái</t>
        </is>
      </c>
      <c r="F193" s="109" t="n">
        <v>16</v>
      </c>
      <c r="G193" s="110" t="n"/>
      <c r="H193" s="111" t="n"/>
      <c r="I193" s="111" t="n"/>
      <c r="J193" s="5" t="n"/>
    </row>
    <row r="194" hidden="1" ht="46.5" customFormat="1" customHeight="1" s="16">
      <c r="A194" s="14" t="n">
        <v>11</v>
      </c>
      <c r="B194" s="107" t="inlineStr">
        <is>
          <t>Module giám sát trạng thái
(đầu báo, nút ấn, van…)</t>
        </is>
      </c>
      <c r="C194" s="47" t="inlineStr">
        <is>
          <t>Horing/EINet/tđ</t>
        </is>
      </c>
      <c r="D194" s="47" t="n"/>
      <c r="E194" s="108" t="inlineStr">
        <is>
          <t>cái</t>
        </is>
      </c>
      <c r="F194" s="109" t="n">
        <v>71</v>
      </c>
      <c r="G194" s="110" t="n"/>
      <c r="H194" s="111" t="n"/>
      <c r="I194" s="111" t="n"/>
      <c r="J194" s="5" t="n"/>
    </row>
    <row r="195" hidden="1" ht="46.5" customFormat="1" customHeight="1" s="16">
      <c r="A195" s="14" t="n">
        <v>12</v>
      </c>
      <c r="B195" s="107" t="inlineStr">
        <is>
          <t>Module điều khiển
(chuông, đèn báo cháy, van gió,…)</t>
        </is>
      </c>
      <c r="C195" s="47" t="inlineStr">
        <is>
          <t>Horing/EINet/tđ</t>
        </is>
      </c>
      <c r="D195" s="47" t="n"/>
      <c r="E195" s="108" t="inlineStr">
        <is>
          <t>cái</t>
        </is>
      </c>
      <c r="F195" s="109" t="n">
        <v>26</v>
      </c>
      <c r="G195" s="110" t="n"/>
      <c r="H195" s="111" t="n"/>
      <c r="I195" s="111" t="n"/>
      <c r="J195" s="5" t="n"/>
    </row>
    <row r="196" hidden="1" customFormat="1" s="16">
      <c r="A196" s="14" t="n">
        <v>13</v>
      </c>
      <c r="B196" s="107" t="inlineStr">
        <is>
          <t>Lắp đặt ống nhựa, D20mm</t>
        </is>
      </c>
      <c r="C196" s="47" t="inlineStr">
        <is>
          <t>SP/ Việt Nam</t>
        </is>
      </c>
      <c r="D196" s="47" t="n"/>
      <c r="E196" s="108" t="inlineStr">
        <is>
          <t>m</t>
        </is>
      </c>
      <c r="F196" s="109" t="n">
        <v>9278</v>
      </c>
      <c r="G196" s="110" t="n"/>
      <c r="H196" s="111" t="n"/>
      <c r="I196" s="111" t="n"/>
      <c r="J196" s="5" t="n"/>
    </row>
    <row r="197" hidden="1" customFormat="1" s="16">
      <c r="A197" s="14" t="n">
        <v>14</v>
      </c>
      <c r="B197" s="107" t="inlineStr">
        <is>
          <t>Lắp đặt ống gen mềm, D20mm</t>
        </is>
      </c>
      <c r="C197" s="47" t="inlineStr">
        <is>
          <t>SP/ Việt Nam</t>
        </is>
      </c>
      <c r="D197" s="47" t="n"/>
      <c r="E197" s="108" t="inlineStr">
        <is>
          <t>m</t>
        </is>
      </c>
      <c r="F197" s="109" t="n">
        <v>928</v>
      </c>
      <c r="G197" s="110" t="n"/>
      <c r="H197" s="111" t="n"/>
      <c r="I197" s="111" t="n"/>
      <c r="J197" s="5" t="n"/>
    </row>
    <row r="198" hidden="1" customFormat="1" s="16">
      <c r="A198" s="14" t="n">
        <v>15</v>
      </c>
      <c r="B198" s="107" t="inlineStr">
        <is>
          <t>Kẹp đỡ ống D20</t>
        </is>
      </c>
      <c r="C198" s="47" t="inlineStr">
        <is>
          <t>SP/ Việt Nam</t>
        </is>
      </c>
      <c r="D198" s="47" t="n"/>
      <c r="E198" s="108" t="inlineStr">
        <is>
          <t>cái</t>
        </is>
      </c>
      <c r="F198" s="109" t="n">
        <v>9278</v>
      </c>
      <c r="G198" s="110" t="n"/>
      <c r="H198" s="111" t="n"/>
      <c r="I198" s="111" t="n"/>
      <c r="J198" s="5" t="n"/>
    </row>
    <row r="199" hidden="1" customFormat="1" s="16">
      <c r="A199" s="14" t="n">
        <v>16</v>
      </c>
      <c r="B199" s="107" t="inlineStr">
        <is>
          <t>Măng xông nối ống D20</t>
        </is>
      </c>
      <c r="C199" s="47" t="inlineStr">
        <is>
          <t>SP/ Việt Nam</t>
        </is>
      </c>
      <c r="D199" s="47" t="n"/>
      <c r="E199" s="108" t="inlineStr">
        <is>
          <t>cái</t>
        </is>
      </c>
      <c r="F199" s="109" t="n">
        <v>4639</v>
      </c>
      <c r="G199" s="110" t="n"/>
      <c r="H199" s="111" t="n"/>
      <c r="I199" s="111" t="n"/>
      <c r="J199" s="5" t="n"/>
    </row>
    <row r="200" hidden="1" ht="46.5" customFormat="1" customHeight="1" s="16">
      <c r="A200" s="14" t="n">
        <v>15</v>
      </c>
      <c r="B200" s="107" t="inlineStr">
        <is>
          <t>Lắp đặt dây dẫn 2 ruột 2x1,5mm2,
dây chống cháy</t>
        </is>
      </c>
      <c r="C200" s="47" t="inlineStr">
        <is>
          <t>LS/Huviron/tđ</t>
        </is>
      </c>
      <c r="D200" s="47" t="n"/>
      <c r="E200" s="108" t="inlineStr">
        <is>
          <t>m</t>
        </is>
      </c>
      <c r="F200" s="109" t="n">
        <v>1807</v>
      </c>
      <c r="G200" s="68" t="n"/>
      <c r="H200" s="42" t="n"/>
      <c r="I200" s="42" t="n"/>
      <c r="J200" s="5" t="n"/>
    </row>
    <row r="201" hidden="1" ht="46.5" customFormat="1" customHeight="1" s="16">
      <c r="A201" s="14" t="n">
        <v>16</v>
      </c>
      <c r="B201" s="107" t="inlineStr">
        <is>
          <t>Lắp đặt dây dẫn 2 ruột 2x1,5mm2,
dây chống cháy, chống nhiễu</t>
        </is>
      </c>
      <c r="C201" s="47" t="inlineStr">
        <is>
          <t>LS/Huviron/tđ</t>
        </is>
      </c>
      <c r="D201" s="47" t="n"/>
      <c r="E201" s="108" t="inlineStr">
        <is>
          <t>m</t>
        </is>
      </c>
      <c r="F201" s="109" t="n">
        <v>8502</v>
      </c>
      <c r="G201" s="66" t="n"/>
      <c r="H201" s="42" t="n"/>
      <c r="I201" s="42" t="n"/>
      <c r="J201" s="5" t="n"/>
    </row>
    <row r="202" hidden="1" customFormat="1" s="16">
      <c r="A202" s="14" t="n">
        <v>17</v>
      </c>
      <c r="B202" s="107" t="inlineStr">
        <is>
          <t>Hộp chia ngả + nắp đậy</t>
        </is>
      </c>
      <c r="C202" s="47" t="inlineStr">
        <is>
          <t>SP/ Việt Nam</t>
        </is>
      </c>
      <c r="D202" s="47" t="n"/>
      <c r="E202" s="108" t="inlineStr">
        <is>
          <t>cái</t>
        </is>
      </c>
      <c r="F202" s="109" t="n">
        <v>1420</v>
      </c>
      <c r="G202" s="116" t="n"/>
      <c r="H202" s="111" t="n"/>
      <c r="I202" s="111" t="n"/>
      <c r="J202" s="5" t="n"/>
    </row>
    <row r="203" hidden="1" customFormat="1" s="16">
      <c r="A203" s="14" t="n">
        <v>18</v>
      </c>
      <c r="B203" s="107" t="inlineStr">
        <is>
          <t>Hộp kỹ thuật (KT: 110x110x50mm)</t>
        </is>
      </c>
      <c r="C203" s="47" t="inlineStr">
        <is>
          <t>SP/ Việt Nam</t>
        </is>
      </c>
      <c r="D203" s="47" t="n"/>
      <c r="E203" s="108" t="inlineStr">
        <is>
          <t>cái</t>
        </is>
      </c>
      <c r="F203" s="109" t="n">
        <v>113</v>
      </c>
      <c r="G203" s="110" t="n"/>
      <c r="H203" s="111" t="n"/>
      <c r="I203" s="111" t="n"/>
      <c r="J203" s="5" t="n"/>
    </row>
    <row r="204" hidden="1" customFormat="1" s="16">
      <c r="A204" s="14" t="n">
        <v>17</v>
      </c>
      <c r="B204" s="107" t="inlineStr">
        <is>
          <t>Vật tư phụ (vít, nở, băng dính điện,…)</t>
        </is>
      </c>
      <c r="C204" s="47" t="inlineStr">
        <is>
          <t>Việt Nam</t>
        </is>
      </c>
      <c r="D204" s="47" t="n"/>
      <c r="E204" s="108" t="inlineStr">
        <is>
          <t>gói</t>
        </is>
      </c>
      <c r="F204" s="109" t="n">
        <v>1</v>
      </c>
      <c r="G204" s="110" t="n"/>
      <c r="H204" s="111" t="n"/>
      <c r="I204" s="111" t="n"/>
      <c r="J204" s="5" t="n"/>
    </row>
    <row r="205" ht="22.5" customFormat="1" customHeight="1" s="36">
      <c r="A205" s="100" t="inlineStr">
        <is>
          <t>II.4</t>
        </is>
      </c>
      <c r="B205" s="101" t="inlineStr">
        <is>
          <t>HỆ THỐNG EXIT, CSSC</t>
        </is>
      </c>
      <c r="C205" s="102" t="n"/>
      <c r="D205" s="103" t="n"/>
      <c r="E205" s="104" t="n"/>
      <c r="F205" s="104" t="n"/>
      <c r="G205" s="105" t="n"/>
      <c r="H205" s="106" t="n"/>
      <c r="I205" s="106" t="n"/>
      <c r="J205" s="35" t="n">
        <v>1</v>
      </c>
    </row>
    <row r="206" hidden="1" ht="69.75" customFormat="1" customHeight="1" s="16">
      <c r="A206" s="14" t="n">
        <v>17</v>
      </c>
      <c r="B206" s="107" t="inlineStr">
        <is>
          <t>Đèn Exit thoát hiểm:
loại 1 mặt, không chỉ hướng</t>
        </is>
      </c>
      <c r="C206" s="47" t="inlineStr">
        <is>
          <t>APK/Liang/Kinglight/Trung Quốc/tđ</t>
        </is>
      </c>
      <c r="D206" s="47" t="n"/>
      <c r="E206" s="108" t="inlineStr">
        <is>
          <t>cái</t>
        </is>
      </c>
      <c r="F206" s="109" t="n">
        <v>101</v>
      </c>
      <c r="G206" s="110" t="n"/>
      <c r="H206" s="111" t="n"/>
      <c r="I206" s="111" t="n"/>
      <c r="J206" s="5" t="n"/>
    </row>
    <row r="207" hidden="1" ht="69.75" customFormat="1" customHeight="1" s="16">
      <c r="A207" s="14" t="n">
        <v>18</v>
      </c>
      <c r="B207" s="107" t="inlineStr">
        <is>
          <t>Đèn Exit thoát hiểm:
loại 2 mặt, chỉ 1 hướng</t>
        </is>
      </c>
      <c r="C207" s="47" t="inlineStr">
        <is>
          <t>APK/Liang/Kinglight/Trung Quốc/tđ</t>
        </is>
      </c>
      <c r="D207" s="47" t="n"/>
      <c r="E207" s="108" t="inlineStr">
        <is>
          <t>cái</t>
        </is>
      </c>
      <c r="F207" s="109" t="n">
        <v>128</v>
      </c>
      <c r="G207" s="110" t="n"/>
      <c r="H207" s="111" t="n"/>
      <c r="I207" s="111" t="n"/>
      <c r="J207" s="5" t="n"/>
    </row>
    <row r="208" hidden="1" ht="69.75" customFormat="1" customHeight="1" s="16">
      <c r="A208" s="14" t="n">
        <v>19</v>
      </c>
      <c r="B208" s="107" t="inlineStr">
        <is>
          <t>Đèn Exit thoát hiểm:
loại 2 mặt, chỉ 2 hướng</t>
        </is>
      </c>
      <c r="C208" s="47" t="inlineStr">
        <is>
          <t>APK/Liang/Kinglight/Trung Quốc/tđ</t>
        </is>
      </c>
      <c r="D208" s="47" t="n"/>
      <c r="E208" s="108" t="inlineStr">
        <is>
          <t>cái</t>
        </is>
      </c>
      <c r="F208" s="109" t="n">
        <v>19</v>
      </c>
      <c r="G208" s="110" t="n"/>
      <c r="H208" s="111" t="n"/>
      <c r="I208" s="111" t="n"/>
      <c r="J208" s="5" t="n"/>
    </row>
    <row r="209" hidden="1" ht="69.75" customFormat="1" customHeight="1" s="16">
      <c r="A209" s="14" t="n">
        <v>20</v>
      </c>
      <c r="B209" s="107" t="inlineStr">
        <is>
          <t>Đèn chiếu sáng sự cố</t>
        </is>
      </c>
      <c r="C209" s="47" t="inlineStr">
        <is>
          <t>APK/Liang/Kinglight/Trung Quốc/tđ</t>
        </is>
      </c>
      <c r="D209" s="47" t="n"/>
      <c r="E209" s="108" t="inlineStr">
        <is>
          <t>cái</t>
        </is>
      </c>
      <c r="F209" s="109" t="n">
        <v>144</v>
      </c>
      <c r="G209" s="110" t="n"/>
      <c r="H209" s="111" t="n"/>
      <c r="I209" s="111" t="n"/>
      <c r="J209" s="5" t="n"/>
    </row>
    <row r="210" hidden="1" ht="69.75" customFormat="1" customHeight="1" s="16">
      <c r="A210" s="14" t="n">
        <v>21</v>
      </c>
      <c r="B210" s="107" t="inlineStr">
        <is>
          <t>Đèn chiếu sáng sự cố âm trần</t>
        </is>
      </c>
      <c r="C210" s="47" t="inlineStr">
        <is>
          <t>APK/Liang/Kinglight/Trung Quốc/tđ</t>
        </is>
      </c>
      <c r="D210" s="47" t="n"/>
      <c r="E210" s="108" t="inlineStr">
        <is>
          <t>cái</t>
        </is>
      </c>
      <c r="F210" s="109" t="n">
        <v>113</v>
      </c>
      <c r="G210" s="110" t="n"/>
      <c r="H210" s="111" t="n"/>
      <c r="I210" s="111" t="n"/>
      <c r="J210" s="5" t="n"/>
    </row>
    <row r="211" hidden="1" customFormat="1" s="16">
      <c r="A211" s="14" t="n">
        <v>22</v>
      </c>
      <c r="B211" s="107" t="inlineStr">
        <is>
          <t>Ổ cắm cho đèn exit,cssc</t>
        </is>
      </c>
      <c r="C211" s="47" t="inlineStr">
        <is>
          <t>Sino/ Việt Nam</t>
        </is>
      </c>
      <c r="D211" s="47" t="n"/>
      <c r="E211" s="108" t="inlineStr">
        <is>
          <t>cái</t>
        </is>
      </c>
      <c r="F211" s="109" t="n">
        <v>392</v>
      </c>
      <c r="G211" s="110" t="n"/>
      <c r="H211" s="111" t="n"/>
      <c r="I211" s="111" t="n"/>
      <c r="J211" s="5" t="n"/>
    </row>
    <row r="212" hidden="1" customFormat="1" s="16">
      <c r="A212" s="14" t="n">
        <v>23</v>
      </c>
      <c r="B212" s="107" t="inlineStr">
        <is>
          <t>Bảng chỉ dẫn thoát nạn</t>
        </is>
      </c>
      <c r="C212" s="47" t="inlineStr">
        <is>
          <t>Việt Nam</t>
        </is>
      </c>
      <c r="D212" s="47" t="inlineStr">
        <is>
          <t>600x400</t>
        </is>
      </c>
      <c r="E212" s="108" t="inlineStr">
        <is>
          <t>cái</t>
        </is>
      </c>
      <c r="F212" s="109" t="n">
        <v>23</v>
      </c>
      <c r="G212" s="110" t="n"/>
      <c r="H212" s="111" t="n"/>
      <c r="I212" s="111" t="n"/>
      <c r="J212" s="5" t="n"/>
    </row>
    <row r="213" hidden="1" customFormat="1" s="16">
      <c r="A213" s="14" t="n">
        <v>24</v>
      </c>
      <c r="B213" s="107" t="inlineStr">
        <is>
          <t>Lắp đặt ống nhựa, D20mm</t>
        </is>
      </c>
      <c r="C213" s="47" t="inlineStr">
        <is>
          <t>SP/ Việt Nam</t>
        </is>
      </c>
      <c r="D213" s="47" t="n"/>
      <c r="E213" s="108" t="inlineStr">
        <is>
          <t>m</t>
        </is>
      </c>
      <c r="F213" s="109" t="n">
        <v>4098</v>
      </c>
      <c r="G213" s="110" t="n"/>
      <c r="H213" s="111" t="n"/>
      <c r="I213" s="111" t="n"/>
      <c r="J213" s="5" t="n"/>
    </row>
    <row r="214" hidden="1" customFormat="1" s="16">
      <c r="A214" s="14" t="n">
        <v>25</v>
      </c>
      <c r="B214" s="107" t="inlineStr">
        <is>
          <t>Lắp đặt ống gen mềm, D20mm cho HT Exit</t>
        </is>
      </c>
      <c r="C214" s="47" t="inlineStr">
        <is>
          <t>SP/ Việt Nam</t>
        </is>
      </c>
      <c r="D214" s="47" t="n"/>
      <c r="E214" s="108" t="inlineStr">
        <is>
          <t>m</t>
        </is>
      </c>
      <c r="F214" s="109" t="n">
        <v>410</v>
      </c>
      <c r="G214" s="110" t="n"/>
      <c r="H214" s="111" t="n"/>
      <c r="I214" s="111" t="n"/>
      <c r="J214" s="5" t="n"/>
    </row>
    <row r="215" hidden="1" customFormat="1" s="16">
      <c r="A215" s="14" t="n">
        <v>26</v>
      </c>
      <c r="B215" s="107" t="inlineStr">
        <is>
          <t>Kẹp đỡ ống D20</t>
        </is>
      </c>
      <c r="C215" s="47" t="inlineStr">
        <is>
          <t>SP/ Việt Nam</t>
        </is>
      </c>
      <c r="D215" s="47" t="n"/>
      <c r="E215" s="108" t="inlineStr">
        <is>
          <t>cái</t>
        </is>
      </c>
      <c r="F215" s="109" t="n">
        <v>4098</v>
      </c>
      <c r="G215" s="110" t="n"/>
      <c r="H215" s="111" t="n"/>
      <c r="I215" s="111" t="n"/>
      <c r="J215" s="5" t="n"/>
    </row>
    <row r="216" hidden="1" customFormat="1" s="16">
      <c r="A216" s="14" t="n">
        <v>27</v>
      </c>
      <c r="B216" s="107" t="inlineStr">
        <is>
          <t>Măng xông nối ống D20</t>
        </is>
      </c>
      <c r="C216" s="47" t="inlineStr">
        <is>
          <t>SP/ Việt Nam</t>
        </is>
      </c>
      <c r="D216" s="47" t="n"/>
      <c r="E216" s="108" t="inlineStr">
        <is>
          <t>cái</t>
        </is>
      </c>
      <c r="F216" s="109" t="n">
        <v>2049</v>
      </c>
      <c r="G216" s="110" t="n"/>
      <c r="H216" s="111" t="n"/>
      <c r="I216" s="111" t="n"/>
      <c r="J216" s="5" t="n"/>
    </row>
    <row r="217" hidden="1" ht="46.5" customFormat="1" customHeight="1" s="16">
      <c r="A217" s="14" t="n">
        <v>28</v>
      </c>
      <c r="B217" s="107" t="inlineStr">
        <is>
          <t>Lắp đặt dây dẫn 2 ruột 2x1,5mm2
cho HT Exit</t>
        </is>
      </c>
      <c r="C217" s="47" t="inlineStr">
        <is>
          <t>LS/Huviron/tđ</t>
        </is>
      </c>
      <c r="D217" s="47" t="n"/>
      <c r="E217" s="108" t="inlineStr">
        <is>
          <t>m</t>
        </is>
      </c>
      <c r="F217" s="109" t="n">
        <v>4553</v>
      </c>
      <c r="G217" s="110" t="n"/>
      <c r="H217" s="111" t="n"/>
      <c r="I217" s="111" t="n"/>
      <c r="J217" s="5" t="n"/>
    </row>
    <row r="218" hidden="1" customFormat="1" s="16">
      <c r="A218" s="14" t="n">
        <v>29</v>
      </c>
      <c r="B218" s="107" t="inlineStr">
        <is>
          <t>Hộp chia ngả + nắp đậy</t>
        </is>
      </c>
      <c r="C218" s="47" t="inlineStr">
        <is>
          <t>SP/ Việt Nam</t>
        </is>
      </c>
      <c r="D218" s="47" t="n"/>
      <c r="E218" s="108" t="inlineStr">
        <is>
          <t>cái</t>
        </is>
      </c>
      <c r="F218" s="109" t="n">
        <v>505</v>
      </c>
      <c r="G218" s="110" t="n"/>
      <c r="H218" s="111" t="n"/>
      <c r="I218" s="111" t="n"/>
      <c r="J218" s="5" t="n"/>
    </row>
    <row r="219" hidden="1" customFormat="1" s="16">
      <c r="A219" s="14" t="n">
        <v>30</v>
      </c>
      <c r="B219" s="107" t="inlineStr">
        <is>
          <t>Hộp kỹ thuật (KT: 160x160x80mm)</t>
        </is>
      </c>
      <c r="C219" s="47" t="inlineStr">
        <is>
          <t>SP/ Việt Nam</t>
        </is>
      </c>
      <c r="D219" s="47" t="n"/>
      <c r="E219" s="108" t="inlineStr">
        <is>
          <t>cái</t>
        </is>
      </c>
      <c r="F219" s="109" t="n">
        <v>133</v>
      </c>
      <c r="G219" s="110" t="n"/>
      <c r="H219" s="111" t="n"/>
      <c r="I219" s="111" t="n"/>
      <c r="J219" s="5" t="n"/>
    </row>
    <row r="220" hidden="1" customFormat="1" s="16">
      <c r="A220" s="14" t="n">
        <v>31</v>
      </c>
      <c r="B220" s="107" t="inlineStr">
        <is>
          <t>Vật tư phụ</t>
        </is>
      </c>
      <c r="C220" s="47" t="inlineStr">
        <is>
          <t>Việt Nam</t>
        </is>
      </c>
      <c r="D220" s="47" t="n"/>
      <c r="E220" s="108" t="inlineStr">
        <is>
          <t>lô</t>
        </is>
      </c>
      <c r="F220" s="109" t="n">
        <v>1</v>
      </c>
      <c r="G220" s="110" t="n"/>
      <c r="H220" s="111" t="n"/>
      <c r="I220" s="111" t="n"/>
      <c r="J220" s="5" t="n"/>
    </row>
    <row r="221" ht="22.5" customFormat="1" customHeight="1" s="36">
      <c r="A221" s="100" t="inlineStr">
        <is>
          <t>II.5</t>
        </is>
      </c>
      <c r="B221" s="101" t="inlineStr">
        <is>
          <t>HỆ THỐNG HÚT KHÓI</t>
        </is>
      </c>
      <c r="C221" s="102" t="n"/>
      <c r="D221" s="103" t="n"/>
      <c r="E221" s="104" t="n"/>
      <c r="F221" s="104" t="n"/>
      <c r="G221" s="105" t="n"/>
      <c r="H221" s="106" t="n"/>
      <c r="I221" s="106" t="n"/>
      <c r="J221" s="35" t="n">
        <v>1</v>
      </c>
    </row>
    <row r="222" ht="46.5" customFormat="1" customHeight="1" s="16">
      <c r="A222" s="14" t="n">
        <v>1</v>
      </c>
      <c r="B222" s="107" t="inlineStr">
        <is>
          <t>Quạt hút khói Ly tâm Q=60.000m3/h, H=700Pa</t>
        </is>
      </c>
      <c r="C222" s="47" t="inlineStr">
        <is>
          <t>TH VINASUN/VN/tđ</t>
        </is>
      </c>
      <c r="D222" s="47" t="n"/>
      <c r="E222" s="108" t="inlineStr">
        <is>
          <t>cái</t>
        </is>
      </c>
      <c r="F222" s="109" t="n">
        <v>2</v>
      </c>
      <c r="G222" s="110" t="n"/>
      <c r="H222" s="111">
        <f>F222*G222</f>
        <v/>
      </c>
      <c r="I222" s="111" t="n"/>
      <c r="J222" s="5" t="n">
        <v>1</v>
      </c>
    </row>
    <row r="223" ht="46.5" customFormat="1" customHeight="1" s="16">
      <c r="A223" s="14" t="n">
        <v>2</v>
      </c>
      <c r="B223" s="107" t="inlineStr">
        <is>
          <t>Quạt cấp bù hướng trục Q=51.000m3/h, H=350Pa</t>
        </is>
      </c>
      <c r="C223" s="47" t="inlineStr">
        <is>
          <t>TH VINASUN/VN/tđ</t>
        </is>
      </c>
      <c r="D223" s="47" t="n"/>
      <c r="E223" s="108" t="inlineStr">
        <is>
          <t>cái</t>
        </is>
      </c>
      <c r="F223" s="109" t="n">
        <v>2</v>
      </c>
      <c r="G223" s="110" t="n"/>
      <c r="H223" s="111">
        <f>F223*G223</f>
        <v/>
      </c>
      <c r="I223" s="111" t="n"/>
      <c r="J223" s="5" t="n">
        <v>1</v>
      </c>
    </row>
    <row r="224" ht="46.5" customFormat="1" customHeight="1" s="16">
      <c r="A224" s="14" t="n">
        <v>3</v>
      </c>
      <c r="B224" s="107" t="inlineStr">
        <is>
          <t>Quạt hút khói Hướng trục Q=55.000m3/h, H=700Pa</t>
        </is>
      </c>
      <c r="C224" s="47" t="inlineStr">
        <is>
          <t>TH VINASUN/VN/tđ</t>
        </is>
      </c>
      <c r="D224" s="47" t="n"/>
      <c r="E224" s="108" t="inlineStr">
        <is>
          <t>cái</t>
        </is>
      </c>
      <c r="F224" s="109" t="n">
        <v>1</v>
      </c>
      <c r="G224" s="110" t="n"/>
      <c r="H224" s="111">
        <f>F224*G224</f>
        <v/>
      </c>
      <c r="I224" s="111" t="n"/>
      <c r="J224" s="5" t="n">
        <v>1</v>
      </c>
    </row>
    <row r="225" ht="46.5" customFormat="1" customHeight="1" s="16">
      <c r="A225" s="14" t="n">
        <v>4</v>
      </c>
      <c r="B225" s="107" t="inlineStr">
        <is>
          <t>Quạt cấp bù Hướng trục Q=25.500m3/h, H=300Pa</t>
        </is>
      </c>
      <c r="C225" s="47" t="inlineStr">
        <is>
          <t>TH VINASUN/VN/tđ</t>
        </is>
      </c>
      <c r="D225" s="47" t="n"/>
      <c r="E225" s="108" t="inlineStr">
        <is>
          <t>cái</t>
        </is>
      </c>
      <c r="F225" s="109" t="n">
        <v>2</v>
      </c>
      <c r="G225" s="110" t="n"/>
      <c r="H225" s="111">
        <f>F225*G225</f>
        <v/>
      </c>
      <c r="I225" s="111" t="n"/>
      <c r="J225" s="5" t="n">
        <v>1</v>
      </c>
    </row>
    <row r="226" ht="46.5" customFormat="1" customHeight="1" s="16">
      <c r="A226" s="14" t="n">
        <v>5</v>
      </c>
      <c r="B226" s="107" t="inlineStr">
        <is>
          <t>Quạt hút khói Hướng trục Q=45.000m3/h, H=500Pa</t>
        </is>
      </c>
      <c r="C226" s="47" t="inlineStr">
        <is>
          <t>TH VINASUN/VN/tđ</t>
        </is>
      </c>
      <c r="D226" s="47" t="n"/>
      <c r="E226" s="108" t="inlineStr">
        <is>
          <t>cái</t>
        </is>
      </c>
      <c r="F226" s="109" t="n">
        <v>1</v>
      </c>
      <c r="G226" s="110" t="n"/>
      <c r="H226" s="111">
        <f>F226*G226</f>
        <v/>
      </c>
      <c r="I226" s="111" t="n"/>
      <c r="J226" s="5" t="n">
        <v>1</v>
      </c>
    </row>
    <row r="227" ht="46.5" customFormat="1" customHeight="1" s="16">
      <c r="A227" s="14" t="n">
        <v>6</v>
      </c>
      <c r="B227" s="107" t="inlineStr">
        <is>
          <t>Quạt hút khói Hướng trục Q=35.000m3/h, H=500Pa</t>
        </is>
      </c>
      <c r="C227" s="47" t="inlineStr">
        <is>
          <t>TH VINASUN/VN/tđ</t>
        </is>
      </c>
      <c r="D227" s="47" t="n"/>
      <c r="E227" s="108" t="inlineStr">
        <is>
          <t>cái</t>
        </is>
      </c>
      <c r="F227" s="109" t="n">
        <v>1</v>
      </c>
      <c r="G227" s="110" t="n"/>
      <c r="H227" s="111">
        <f>F227*G227</f>
        <v/>
      </c>
      <c r="I227" s="111" t="n"/>
      <c r="J227" s="5" t="n">
        <v>1</v>
      </c>
    </row>
    <row r="228" ht="46.5" customFormat="1" customHeight="1" s="16">
      <c r="A228" s="14" t="n">
        <v>7</v>
      </c>
      <c r="B228" s="107" t="inlineStr">
        <is>
          <t>Quạt cấp bù Hướng trục Q=30.000m3/h, H=200Pa</t>
        </is>
      </c>
      <c r="C228" s="47" t="inlineStr">
        <is>
          <t>TH VINASUN/VN/tđ</t>
        </is>
      </c>
      <c r="D228" s="47" t="n"/>
      <c r="E228" s="108" t="inlineStr">
        <is>
          <t>cái</t>
        </is>
      </c>
      <c r="F228" s="109" t="n">
        <v>1</v>
      </c>
      <c r="G228" s="110" t="n"/>
      <c r="H228" s="111">
        <f>F228*G228</f>
        <v/>
      </c>
      <c r="I228" s="111" t="n"/>
      <c r="J228" s="5" t="n">
        <v>1</v>
      </c>
    </row>
    <row r="229" ht="46.5" customFormat="1" customHeight="1" s="16">
      <c r="A229" s="14" t="n">
        <v>8</v>
      </c>
      <c r="B229" s="107" t="inlineStr">
        <is>
          <t>Quạt cấp bù Hướng trục Q=20.000m3/h, H=200Pa</t>
        </is>
      </c>
      <c r="C229" s="47" t="inlineStr">
        <is>
          <t>TH VINASUN/VN/tđ</t>
        </is>
      </c>
      <c r="D229" s="47" t="n"/>
      <c r="E229" s="108" t="inlineStr">
        <is>
          <t>cái</t>
        </is>
      </c>
      <c r="F229" s="109" t="n">
        <v>2</v>
      </c>
      <c r="G229" s="110" t="n"/>
      <c r="H229" s="111">
        <f>F229*G229</f>
        <v/>
      </c>
      <c r="I229" s="111" t="n"/>
      <c r="J229" s="5" t="n">
        <v>1</v>
      </c>
    </row>
    <row r="230" ht="46.5" customFormat="1" customHeight="1" s="16">
      <c r="A230" s="14" t="n">
        <v>9</v>
      </c>
      <c r="B230" s="107" t="inlineStr">
        <is>
          <t>Quạt tăng áp Hướng trục Q=35.000m3/h, H=500Pa</t>
        </is>
      </c>
      <c r="C230" s="47" t="inlineStr">
        <is>
          <t>TH VINASUN/VN/tđ</t>
        </is>
      </c>
      <c r="D230" s="47" t="n"/>
      <c r="E230" s="108" t="inlineStr">
        <is>
          <t>cái</t>
        </is>
      </c>
      <c r="F230" s="109" t="n">
        <v>3</v>
      </c>
      <c r="G230" s="110" t="n"/>
      <c r="H230" s="111">
        <f>F230*G230</f>
        <v/>
      </c>
      <c r="I230" s="111" t="n"/>
      <c r="J230" s="5" t="n">
        <v>1</v>
      </c>
    </row>
    <row r="231" ht="46.5" customFormat="1" customHeight="1" s="16">
      <c r="A231" s="14" t="n">
        <v>10</v>
      </c>
      <c r="B231" s="107" t="inlineStr">
        <is>
          <t>Quạt tăng áp Hướng trục Q=20.000m3/h, H=400Pa</t>
        </is>
      </c>
      <c r="C231" s="47" t="inlineStr">
        <is>
          <t>TH VINASUN/VN/tđ</t>
        </is>
      </c>
      <c r="D231" s="47" t="n"/>
      <c r="E231" s="108" t="inlineStr">
        <is>
          <t>cái</t>
        </is>
      </c>
      <c r="F231" s="109" t="n">
        <v>1</v>
      </c>
      <c r="G231" s="110" t="n"/>
      <c r="H231" s="111">
        <f>F231*G231</f>
        <v/>
      </c>
      <c r="I231" s="111" t="n"/>
      <c r="J231" s="5" t="n">
        <v>1</v>
      </c>
    </row>
    <row r="232" ht="46.5" customFormat="1" customHeight="1" s="16">
      <c r="A232" s="14" t="n">
        <v>11</v>
      </c>
      <c r="B232" s="107" t="inlineStr">
        <is>
          <t>Tủ điện cho quạt đặt tại tầng tum ( điều khiển 2 quạt 60.000m3/h, 2 quạt 51.000m3/h )</t>
        </is>
      </c>
      <c r="C232" s="47" t="inlineStr">
        <is>
          <t>Việt Nam</t>
        </is>
      </c>
      <c r="D232" s="47" t="inlineStr">
        <is>
          <t>Thiết bị đóng cắt LS</t>
        </is>
      </c>
      <c r="E232" s="108" t="inlineStr">
        <is>
          <t>Tủ</t>
        </is>
      </c>
      <c r="F232" s="109" t="n">
        <v>1</v>
      </c>
      <c r="G232" s="110" t="n"/>
      <c r="H232" s="111">
        <f>F232*G232</f>
        <v/>
      </c>
      <c r="I232" s="111" t="n"/>
      <c r="J232" s="5" t="n">
        <v>1</v>
      </c>
    </row>
    <row r="233" ht="46.5" customFormat="1" customHeight="1" s="16">
      <c r="A233" s="14" t="n">
        <v>12</v>
      </c>
      <c r="B233" s="107" t="inlineStr">
        <is>
          <t>Tủ điện cho quạt đặt tại tầng tum ( điều khiển 3 quạt 35.000m3/h, 1 quạt 20.000m3/h )</t>
        </is>
      </c>
      <c r="C233" s="47" t="inlineStr">
        <is>
          <t>Việt Nam</t>
        </is>
      </c>
      <c r="D233" s="47" t="inlineStr">
        <is>
          <t>Thiết bị đóng cắt LS</t>
        </is>
      </c>
      <c r="E233" s="108" t="inlineStr">
        <is>
          <t>Tủ</t>
        </is>
      </c>
      <c r="F233" s="109" t="n">
        <v>1</v>
      </c>
      <c r="G233" s="110" t="n"/>
      <c r="H233" s="111">
        <f>F233*G233</f>
        <v/>
      </c>
      <c r="I233" s="111" t="n"/>
      <c r="J233" s="5" t="n">
        <v>1</v>
      </c>
    </row>
    <row r="234" ht="46.5" customFormat="1" customHeight="1" s="16">
      <c r="A234" s="14" t="n">
        <v>13</v>
      </c>
      <c r="B234" s="107" t="inlineStr">
        <is>
          <t>Tủ điện cho quạt đặt tại tầng 1 ( điều khiển 1 quạt 55.000m3/h, 2 quạt 25.500m3/h )</t>
        </is>
      </c>
      <c r="C234" s="47" t="inlineStr">
        <is>
          <t>Việt Nam</t>
        </is>
      </c>
      <c r="D234" s="47" t="inlineStr">
        <is>
          <t>Thiết bị đóng cắt LS</t>
        </is>
      </c>
      <c r="E234" s="108" t="inlineStr">
        <is>
          <t>Tủ</t>
        </is>
      </c>
      <c r="F234" s="109" t="n">
        <v>1</v>
      </c>
      <c r="G234" s="110" t="n"/>
      <c r="H234" s="111">
        <f>F234*G234</f>
        <v/>
      </c>
      <c r="I234" s="111" t="n"/>
      <c r="J234" s="5" t="n">
        <v>1</v>
      </c>
    </row>
    <row r="235" ht="69.75" customFormat="1" customHeight="1" s="16">
      <c r="A235" s="14" t="n">
        <v>14</v>
      </c>
      <c r="B235" s="107" t="inlineStr">
        <is>
          <t>Tủ điện cho quạt đặt tại tầng 3 ( điều khiển 1 quạt 45.000m3/h, 1 quạt 35.000m3/h, 1 quạt 30.000m3/h, 2 quạt 20.000m3/h )</t>
        </is>
      </c>
      <c r="C235" s="47" t="inlineStr">
        <is>
          <t>Việt Nam</t>
        </is>
      </c>
      <c r="D235" s="47" t="inlineStr">
        <is>
          <t>Thiết bị đóng cắt LS</t>
        </is>
      </c>
      <c r="E235" s="108" t="inlineStr">
        <is>
          <t>Tủ</t>
        </is>
      </c>
      <c r="F235" s="109" t="n">
        <v>1</v>
      </c>
      <c r="G235" s="110" t="n"/>
      <c r="H235" s="111">
        <f>F235*G235</f>
        <v/>
      </c>
      <c r="I235" s="111" t="n"/>
      <c r="J235" s="5" t="n">
        <v>1</v>
      </c>
    </row>
    <row r="236" ht="139.5" customFormat="1" customHeight="1" s="16">
      <c r="A236" s="14" t="n">
        <v>15</v>
      </c>
      <c r="B236" s="107" t="inlineStr">
        <is>
          <t>Tủ điều khiển cưỡng bức quạt đặt phòng thường trực ( 2 quạt 60.000m3/h, 2 quạt 51.000m3/h, 3 quạt 35.000m3/h, 1 quạt 20.000m3/h, 1 quạt 55.000m3/h, 2 quạt 25.500m3/h, 1 quạt 45.000m3/h, 1 quạt 35.000m3/h, 1 quạt 30.000m3/h, 2 quạt 20.000m3/h)</t>
        </is>
      </c>
      <c r="C236" s="47" t="inlineStr">
        <is>
          <t>Việt Nam</t>
        </is>
      </c>
      <c r="D236" s="47" t="inlineStr">
        <is>
          <t>Thiết bị đóng cắt LS</t>
        </is>
      </c>
      <c r="E236" s="108" t="inlineStr">
        <is>
          <t>Tủ</t>
        </is>
      </c>
      <c r="F236" s="109" t="n">
        <v>1</v>
      </c>
      <c r="G236" s="110" t="n"/>
      <c r="H236" s="111">
        <f>F236*G236</f>
        <v/>
      </c>
      <c r="I236" s="111" t="n"/>
      <c r="J236" s="5" t="n">
        <v>1</v>
      </c>
    </row>
    <row r="237" customFormat="1" s="16">
      <c r="A237" s="14" t="n">
        <v>16</v>
      </c>
      <c r="B237" s="107" t="inlineStr">
        <is>
          <t>Tủ điện cho van gió các tầng khối A</t>
        </is>
      </c>
      <c r="C237" s="47" t="inlineStr">
        <is>
          <t>Việt Nam</t>
        </is>
      </c>
      <c r="D237" s="47" t="inlineStr">
        <is>
          <t>Thiết bị đóng cắt LS</t>
        </is>
      </c>
      <c r="E237" s="108" t="inlineStr">
        <is>
          <t>Tủ</t>
        </is>
      </c>
      <c r="F237" s="109" t="n">
        <v>8</v>
      </c>
      <c r="G237" s="117" t="n"/>
      <c r="H237" s="111">
        <f>F237*G237</f>
        <v/>
      </c>
      <c r="I237" s="111" t="n"/>
      <c r="J237" s="5" t="n">
        <v>1</v>
      </c>
    </row>
    <row r="238" ht="46.5" customFormat="1" customHeight="1" s="16">
      <c r="A238" s="14" t="n">
        <v>17</v>
      </c>
      <c r="B238" s="107" t="inlineStr">
        <is>
          <t>Tủ điều khiển cưỡng bức van khối A đặt phòng thường trực</t>
        </is>
      </c>
      <c r="C238" s="47" t="inlineStr">
        <is>
          <t>Việt Nam</t>
        </is>
      </c>
      <c r="D238" s="47" t="inlineStr">
        <is>
          <t>Thiết bị đóng cắt LS</t>
        </is>
      </c>
      <c r="E238" s="108" t="inlineStr">
        <is>
          <t>Tủ</t>
        </is>
      </c>
      <c r="F238" s="109" t="n">
        <v>1</v>
      </c>
      <c r="G238" s="117" t="n"/>
      <c r="H238" s="111">
        <f>F238*G238</f>
        <v/>
      </c>
      <c r="I238" s="111" t="n"/>
      <c r="J238" s="5" t="n">
        <v>1</v>
      </c>
    </row>
    <row r="239" customFormat="1" s="16">
      <c r="A239" s="14" t="n">
        <v>18</v>
      </c>
      <c r="B239" s="107" t="inlineStr">
        <is>
          <t>Lò so chống rung quạt hút khói</t>
        </is>
      </c>
      <c r="C239" s="47" t="inlineStr">
        <is>
          <t>Việt Nam</t>
        </is>
      </c>
      <c r="D239" s="47" t="n"/>
      <c r="E239" s="108" t="inlineStr">
        <is>
          <t>bộ</t>
        </is>
      </c>
      <c r="F239" s="109" t="n">
        <v>64</v>
      </c>
      <c r="G239" s="110" t="n"/>
      <c r="H239" s="111">
        <f>F239*G239</f>
        <v/>
      </c>
      <c r="I239" s="111" t="n"/>
      <c r="J239" s="5" t="n">
        <v>1</v>
      </c>
    </row>
    <row r="240" customFormat="1" s="16">
      <c r="A240" s="14" t="n">
        <v>19</v>
      </c>
      <c r="B240" s="107" t="inlineStr">
        <is>
          <t>Giá đỡ quạt hút khói</t>
        </is>
      </c>
      <c r="C240" s="47" t="inlineStr">
        <is>
          <t>Việt Nam</t>
        </is>
      </c>
      <c r="D240" s="47" t="n"/>
      <c r="E240" s="108" t="inlineStr">
        <is>
          <t>bộ</t>
        </is>
      </c>
      <c r="F240" s="109" t="n">
        <v>8</v>
      </c>
      <c r="G240" s="110" t="n"/>
      <c r="H240" s="111">
        <f>F240*G240</f>
        <v/>
      </c>
      <c r="I240" s="111" t="n"/>
      <c r="J240" s="5" t="n">
        <v>1</v>
      </c>
    </row>
    <row r="241" customFormat="1" s="16">
      <c r="A241" s="14" t="n">
        <v>20</v>
      </c>
      <c r="B241" s="107" t="inlineStr">
        <is>
          <t>Bệ đỡ quạt hút khói</t>
        </is>
      </c>
      <c r="C241" s="47" t="inlineStr">
        <is>
          <t>Việt Nam</t>
        </is>
      </c>
      <c r="D241" s="47" t="n"/>
      <c r="E241" s="108" t="inlineStr">
        <is>
          <t>bộ</t>
        </is>
      </c>
      <c r="F241" s="109" t="n">
        <v>8</v>
      </c>
      <c r="G241" s="117" t="n"/>
      <c r="H241" s="111">
        <f>F241*G241</f>
        <v/>
      </c>
      <c r="I241" s="111" t="inlineStr">
        <is>
          <t>Xây dựng thực hiện</t>
        </is>
      </c>
      <c r="J241" s="5" t="n">
        <v>1</v>
      </c>
    </row>
    <row r="242" ht="39.75" customFormat="1" customHeight="1" s="16">
      <c r="A242" s="14" t="n">
        <v>21</v>
      </c>
      <c r="B242" s="118" t="inlineStr">
        <is>
          <t>Bọc chống cháy cho quạt 45 phút</t>
        </is>
      </c>
      <c r="C242" s="47" t="inlineStr">
        <is>
          <t>Việt Nam</t>
        </is>
      </c>
      <c r="D242" s="47" t="n"/>
      <c r="E242" s="119" t="inlineStr">
        <is>
          <t>bộ</t>
        </is>
      </c>
      <c r="F242" s="120" t="n">
        <v>8</v>
      </c>
      <c r="G242" s="121" t="n"/>
      <c r="H242" s="111">
        <f>F242*G242</f>
        <v/>
      </c>
      <c r="I242" s="111" t="n"/>
      <c r="J242" s="5" t="n">
        <v>1</v>
      </c>
    </row>
    <row r="243" customFormat="1" s="16">
      <c r="A243" s="14" t="n">
        <v>22</v>
      </c>
      <c r="B243" s="107" t="inlineStr">
        <is>
          <t>Nối mềm chống cháy D quạt</t>
        </is>
      </c>
      <c r="C243" s="47" t="inlineStr">
        <is>
          <t>Việt Nam</t>
        </is>
      </c>
      <c r="D243" s="47" t="n"/>
      <c r="E243" s="108" t="inlineStr">
        <is>
          <t>cái</t>
        </is>
      </c>
      <c r="F243" s="109" t="n">
        <v>128</v>
      </c>
      <c r="G243" s="110" t="n"/>
      <c r="H243" s="111">
        <f>F243*G243</f>
        <v/>
      </c>
      <c r="I243" s="111" t="n"/>
      <c r="J243" s="5" t="n">
        <v>1</v>
      </c>
    </row>
    <row r="244" customFormat="1" s="16">
      <c r="A244" s="14" t="n">
        <v>23</v>
      </c>
      <c r="B244" s="107" t="inlineStr">
        <is>
          <t>Van xả áp cơ cho quạt tăng áp thang máy</t>
        </is>
      </c>
      <c r="C244" s="47" t="inlineStr">
        <is>
          <t>Việt Nam</t>
        </is>
      </c>
      <c r="D244" s="47" t="n"/>
      <c r="E244" s="108" t="inlineStr">
        <is>
          <t>cái</t>
        </is>
      </c>
      <c r="F244" s="109" t="n">
        <v>1</v>
      </c>
      <c r="G244" s="110" t="n"/>
      <c r="H244" s="111">
        <f>F244*G244</f>
        <v/>
      </c>
      <c r="I244" s="111" t="n"/>
      <c r="J244" s="5" t="n">
        <v>1</v>
      </c>
    </row>
    <row r="245" ht="46.5" customFormat="1" customHeight="1" s="16">
      <c r="A245" s="14" t="n">
        <v>24</v>
      </c>
      <c r="B245" s="107" t="inlineStr">
        <is>
          <t>Van xả áp kèm động cơ điện PRD cho buồng thang bộ và buồng đệm</t>
        </is>
      </c>
      <c r="C245" s="47" t="inlineStr">
        <is>
          <t>Việt Nam</t>
        </is>
      </c>
      <c r="D245" s="47" t="n"/>
      <c r="E245" s="108" t="inlineStr">
        <is>
          <t>cái</t>
        </is>
      </c>
      <c r="F245" s="109" t="n">
        <v>3</v>
      </c>
      <c r="G245" s="110" t="n"/>
      <c r="H245" s="111">
        <f>F245*G245</f>
        <v/>
      </c>
      <c r="I245" s="111" t="n"/>
      <c r="J245" s="5" t="n">
        <v>1</v>
      </c>
    </row>
    <row r="246" customFormat="1" s="16">
      <c r="A246" s="14" t="n">
        <v>25</v>
      </c>
      <c r="B246" s="107" t="inlineStr">
        <is>
          <t>Cảm biến áp suất</t>
        </is>
      </c>
      <c r="C246" s="47" t="n"/>
      <c r="D246" s="47" t="n"/>
      <c r="E246" s="108" t="inlineStr">
        <is>
          <t>bộ</t>
        </is>
      </c>
      <c r="F246" s="3" t="n">
        <v>3</v>
      </c>
      <c r="G246" s="110" t="n"/>
      <c r="H246" s="111">
        <f>F246*G246</f>
        <v/>
      </c>
      <c r="I246" s="111" t="n"/>
      <c r="J246" s="5" t="n">
        <v>1</v>
      </c>
    </row>
    <row r="247" ht="46.5" customFormat="1" customHeight="1" s="16">
      <c r="A247" s="14" t="n">
        <v>26</v>
      </c>
      <c r="B247" s="107" t="inlineStr">
        <is>
          <t>Dây cáp cấp nguồn chống cháy quạt 3x10mm</t>
        </is>
      </c>
      <c r="C247" s="47" t="inlineStr">
        <is>
          <t>Cadisun/ Việt Nam</t>
        </is>
      </c>
      <c r="D247" s="47" t="n"/>
      <c r="E247" s="108" t="inlineStr">
        <is>
          <t>m</t>
        </is>
      </c>
      <c r="F247" s="109" t="n">
        <v>229</v>
      </c>
      <c r="G247" s="122" t="n"/>
      <c r="H247" s="111">
        <f>F247*G247</f>
        <v/>
      </c>
      <c r="I247" s="111" t="n"/>
      <c r="J247" s="5" t="n">
        <v>1</v>
      </c>
    </row>
    <row r="248" ht="46.5" customFormat="1" customHeight="1" s="16">
      <c r="A248" s="14" t="n">
        <v>27</v>
      </c>
      <c r="B248" s="107" t="inlineStr">
        <is>
          <t>Dây cáp cấp nguồn chống cháy quạt 3x6mm</t>
        </is>
      </c>
      <c r="C248" s="47" t="inlineStr">
        <is>
          <t>Cadisun/ Việt Nam</t>
        </is>
      </c>
      <c r="D248" s="47" t="n"/>
      <c r="E248" s="108" t="inlineStr">
        <is>
          <t>m</t>
        </is>
      </c>
      <c r="F248" s="109" t="n">
        <v>522</v>
      </c>
      <c r="G248" s="122" t="n"/>
      <c r="H248" s="111">
        <f>F248*G248</f>
        <v/>
      </c>
      <c r="I248" s="111" t="n"/>
      <c r="J248" s="5" t="n">
        <v>1</v>
      </c>
    </row>
    <row r="249" ht="46.5" customFormat="1" customHeight="1" s="16">
      <c r="A249" s="14" t="n">
        <v>28</v>
      </c>
      <c r="B249" s="107" t="inlineStr">
        <is>
          <t>Dây cáp tiếp địa quạt hút khói 1x2,5mm</t>
        </is>
      </c>
      <c r="C249" s="47" t="inlineStr">
        <is>
          <t>Cadisun/ Việt Nam</t>
        </is>
      </c>
      <c r="D249" s="47" t="n"/>
      <c r="E249" s="108" t="inlineStr">
        <is>
          <t>m</t>
        </is>
      </c>
      <c r="F249" s="109" t="n">
        <v>637</v>
      </c>
      <c r="G249" s="122" t="n"/>
      <c r="H249" s="111">
        <f>F249*G249</f>
        <v/>
      </c>
      <c r="I249" s="111" t="n"/>
      <c r="J249" s="5" t="n">
        <v>1</v>
      </c>
    </row>
    <row r="250" ht="46.5" customFormat="1" customHeight="1" s="16">
      <c r="A250" s="14" t="n">
        <v>29</v>
      </c>
      <c r="B250" s="107" t="inlineStr">
        <is>
          <t>Lắp đặt ống xoắn HDPE D40mm cho HT Hút khói</t>
        </is>
      </c>
      <c r="C250" s="47" t="inlineStr">
        <is>
          <t>Open/ Việt Nam</t>
        </is>
      </c>
      <c r="D250" s="47" t="n"/>
      <c r="E250" s="108" t="inlineStr">
        <is>
          <t>m</t>
        </is>
      </c>
      <c r="F250" s="109" t="n">
        <v>229</v>
      </c>
      <c r="G250" s="110" t="n"/>
      <c r="H250" s="111">
        <f>F250*G250</f>
        <v/>
      </c>
      <c r="I250" s="111" t="n"/>
      <c r="J250" s="5" t="n">
        <v>1</v>
      </c>
    </row>
    <row r="251" ht="46.5" customFormat="1" customHeight="1" s="16">
      <c r="A251" s="14" t="n">
        <v>30</v>
      </c>
      <c r="B251" s="107" t="inlineStr">
        <is>
          <t>Lắp đặt ống xoắn HDPE D32mm cho HT Hút khói</t>
        </is>
      </c>
      <c r="C251" s="47" t="inlineStr">
        <is>
          <t>Open/ Việt Nam</t>
        </is>
      </c>
      <c r="D251" s="47" t="n"/>
      <c r="E251" s="108" t="inlineStr">
        <is>
          <t>m</t>
        </is>
      </c>
      <c r="F251" s="109" t="n">
        <v>522</v>
      </c>
      <c r="G251" s="110" t="n"/>
      <c r="H251" s="111">
        <f>F251*G251</f>
        <v/>
      </c>
      <c r="I251" s="111" t="n"/>
      <c r="J251" s="5" t="n">
        <v>1</v>
      </c>
    </row>
    <row r="252" ht="46.5" customFormat="1" customHeight="1" s="16">
      <c r="A252" s="14" t="n">
        <v>31</v>
      </c>
      <c r="B252" s="107" t="inlineStr">
        <is>
          <t>Ống tôn mạ kẽm KT 500x2750mm , tôn dày 0.95mm</t>
        </is>
      </c>
      <c r="C252" s="47" t="inlineStr">
        <is>
          <t>Việt Nam</t>
        </is>
      </c>
      <c r="D252" s="47" t="inlineStr">
        <is>
          <t>Tôn hoa sen Z08- dày 0.75mm</t>
        </is>
      </c>
      <c r="E252" s="108" t="inlineStr">
        <is>
          <t>m</t>
        </is>
      </c>
      <c r="F252" s="109" t="n">
        <v>10</v>
      </c>
      <c r="G252" s="110" t="n"/>
      <c r="H252" s="111">
        <f>F252*G252</f>
        <v/>
      </c>
      <c r="I252" s="111" t="n"/>
      <c r="J252" s="5" t="n">
        <v>1</v>
      </c>
    </row>
    <row r="253" ht="46.5" customFormat="1" customHeight="1" s="16">
      <c r="A253" s="14" t="n">
        <v>32</v>
      </c>
      <c r="B253" s="107" t="inlineStr">
        <is>
          <t>Ống tôn mạ kẽm KT 1210x400mm , tôn dày 0.95mm</t>
        </is>
      </c>
      <c r="C253" s="47" t="inlineStr">
        <is>
          <t>Việt Nam</t>
        </is>
      </c>
      <c r="D253" s="47" t="inlineStr">
        <is>
          <t>Tôn hoa sen Z08- dày 0.75mm</t>
        </is>
      </c>
      <c r="E253" s="108" t="inlineStr">
        <is>
          <t>m</t>
        </is>
      </c>
      <c r="F253" s="109" t="n">
        <v>80</v>
      </c>
      <c r="G253" s="110" t="n"/>
      <c r="H253" s="111">
        <f>F253*G253</f>
        <v/>
      </c>
      <c r="I253" s="111" t="n"/>
      <c r="J253" s="5" t="n">
        <v>1</v>
      </c>
    </row>
    <row r="254" ht="46.5" customFormat="1" customHeight="1" s="16">
      <c r="A254" s="14" t="n">
        <v>33</v>
      </c>
      <c r="B254" s="107" t="inlineStr">
        <is>
          <t>Ống tôn mạ kẽm KT 1000x500mm , tôn dày 0.95mm</t>
        </is>
      </c>
      <c r="C254" s="47" t="inlineStr">
        <is>
          <t>Việt Nam</t>
        </is>
      </c>
      <c r="D254" s="47" t="inlineStr">
        <is>
          <t>Tôn hoa sen Z08- dày 0.75mm</t>
        </is>
      </c>
      <c r="E254" s="108" t="inlineStr">
        <is>
          <t>m</t>
        </is>
      </c>
      <c r="F254" s="109" t="n">
        <v>166</v>
      </c>
      <c r="G254" s="110" t="n"/>
      <c r="H254" s="111">
        <f>F254*G254</f>
        <v/>
      </c>
      <c r="I254" s="111" t="n"/>
      <c r="J254" s="5" t="n">
        <v>1</v>
      </c>
    </row>
    <row r="255" ht="46.5" customFormat="1" customHeight="1" s="16">
      <c r="A255" s="14" t="n">
        <v>34</v>
      </c>
      <c r="B255" s="107" t="inlineStr">
        <is>
          <t>Ống tôn mạ kẽm KT 1200x300mm , tôn dày 0.95mm</t>
        </is>
      </c>
      <c r="C255" s="47" t="inlineStr">
        <is>
          <t>Việt Nam</t>
        </is>
      </c>
      <c r="D255" s="47" t="inlineStr">
        <is>
          <t>Tôn hoa sen Z08- dày 0.75mm</t>
        </is>
      </c>
      <c r="E255" s="108" t="inlineStr">
        <is>
          <t>m</t>
        </is>
      </c>
      <c r="F255" s="109" t="n">
        <v>38</v>
      </c>
      <c r="G255" s="110" t="n"/>
      <c r="H255" s="111">
        <f>F255*G255</f>
        <v/>
      </c>
      <c r="I255" s="111" t="n"/>
      <c r="J255" s="5" t="n">
        <v>1</v>
      </c>
    </row>
    <row r="256" ht="46.5" customFormat="1" customHeight="1" s="16">
      <c r="A256" s="14" t="n">
        <v>35</v>
      </c>
      <c r="B256" s="107" t="inlineStr">
        <is>
          <t>Ống tôn mạ kẽm KT 1400x500mm, EI45</t>
        </is>
      </c>
      <c r="C256" s="47" t="inlineStr">
        <is>
          <t>Việt Nam</t>
        </is>
      </c>
      <c r="D256" s="47" t="inlineStr">
        <is>
          <t>Tôn hoa sen Z08- dày 0.75mm</t>
        </is>
      </c>
      <c r="E256" s="108" t="inlineStr">
        <is>
          <t>m</t>
        </is>
      </c>
      <c r="F256" s="109" t="n">
        <v>30</v>
      </c>
      <c r="G256" s="110" t="n"/>
      <c r="H256" s="111">
        <f>F256*G256</f>
        <v/>
      </c>
      <c r="I256" s="111" t="n"/>
      <c r="J256" s="5" t="n">
        <v>1</v>
      </c>
    </row>
    <row r="257" ht="46.5" customFormat="1" customHeight="1" s="16">
      <c r="A257" s="14" t="n">
        <v>36</v>
      </c>
      <c r="B257" s="107" t="inlineStr">
        <is>
          <t>Ống tôn mạ kẽm KT 1200x300mm, EI45</t>
        </is>
      </c>
      <c r="C257" s="47" t="inlineStr">
        <is>
          <t>Việt Nam</t>
        </is>
      </c>
      <c r="D257" s="47" t="inlineStr">
        <is>
          <t>Tôn hoa sen Z08- dày 0.75mm</t>
        </is>
      </c>
      <c r="E257" s="108" t="inlineStr">
        <is>
          <t>m</t>
        </is>
      </c>
      <c r="F257" s="109" t="n">
        <v>34</v>
      </c>
      <c r="G257" s="110" t="n"/>
      <c r="H257" s="111">
        <f>F257*G257</f>
        <v/>
      </c>
      <c r="I257" s="111" t="n"/>
      <c r="J257" s="5" t="n">
        <v>1</v>
      </c>
    </row>
    <row r="258" ht="46.5" customFormat="1" customHeight="1" s="16">
      <c r="A258" s="14" t="n">
        <v>37</v>
      </c>
      <c r="B258" s="107" t="inlineStr">
        <is>
          <t>Ống tôn mạ kẽm KT 1000x300mm, EI45</t>
        </is>
      </c>
      <c r="C258" s="47" t="inlineStr">
        <is>
          <t>Việt Nam</t>
        </is>
      </c>
      <c r="D258" s="47" t="inlineStr">
        <is>
          <t>Tôn hoa sen Z08- dày 0.75mm</t>
        </is>
      </c>
      <c r="E258" s="108" t="inlineStr">
        <is>
          <t>m</t>
        </is>
      </c>
      <c r="F258" s="109" t="n">
        <v>49</v>
      </c>
      <c r="G258" s="110" t="n"/>
      <c r="H258" s="111">
        <f>F258*G258</f>
        <v/>
      </c>
      <c r="I258" s="111" t="n"/>
      <c r="J258" s="5" t="n">
        <v>1</v>
      </c>
    </row>
    <row r="259" ht="46.5" customFormat="1" customHeight="1" s="16">
      <c r="A259" s="14" t="n">
        <v>38</v>
      </c>
      <c r="B259" s="107" t="inlineStr">
        <is>
          <t>Ống tôn mạ kẽm KT 1000x300mm, EI30</t>
        </is>
      </c>
      <c r="C259" s="47" t="inlineStr">
        <is>
          <t>Việt Nam</t>
        </is>
      </c>
      <c r="D259" s="47" t="inlineStr">
        <is>
          <t>Tôn hoa sen Z08- dày 0.75mm</t>
        </is>
      </c>
      <c r="E259" s="108" t="inlineStr">
        <is>
          <t>m</t>
        </is>
      </c>
      <c r="F259" s="109" t="n">
        <v>15</v>
      </c>
      <c r="G259" s="110" t="n"/>
      <c r="H259" s="111">
        <f>F259*G259</f>
        <v/>
      </c>
      <c r="I259" s="111" t="n"/>
      <c r="J259" s="5" t="n">
        <v>1</v>
      </c>
    </row>
    <row r="260" ht="46.5" customFormat="1" customHeight="1" s="16">
      <c r="A260" s="14" t="n">
        <v>39</v>
      </c>
      <c r="B260" s="107" t="inlineStr">
        <is>
          <t>Ống tôn mạ kẽm KT 800x300mm, EI45</t>
        </is>
      </c>
      <c r="C260" s="47" t="inlineStr">
        <is>
          <t>Việt Nam</t>
        </is>
      </c>
      <c r="D260" s="47" t="inlineStr">
        <is>
          <t>Tôn hoa sen Z08- dày 0.75mm</t>
        </is>
      </c>
      <c r="E260" s="108" t="inlineStr">
        <is>
          <t>m</t>
        </is>
      </c>
      <c r="F260" s="109" t="n">
        <v>37</v>
      </c>
      <c r="G260" s="110" t="n"/>
      <c r="H260" s="111">
        <f>F260*G260</f>
        <v/>
      </c>
      <c r="I260" s="111" t="n"/>
      <c r="J260" s="5" t="n">
        <v>1</v>
      </c>
    </row>
    <row r="261" ht="46.5" customFormat="1" customHeight="1" s="16">
      <c r="A261" s="14" t="n">
        <v>40</v>
      </c>
      <c r="B261" s="107" t="inlineStr">
        <is>
          <t>Ống tôn mạ kẽm KT 800x300mm, EI30</t>
        </is>
      </c>
      <c r="C261" s="47" t="inlineStr">
        <is>
          <t>Việt Nam</t>
        </is>
      </c>
      <c r="D261" s="47" t="inlineStr">
        <is>
          <t>Tôn hoa sen Z08- dày 0.75mm</t>
        </is>
      </c>
      <c r="E261" s="108" t="inlineStr">
        <is>
          <t>m</t>
        </is>
      </c>
      <c r="F261" s="109" t="n">
        <v>264</v>
      </c>
      <c r="G261" s="110" t="n"/>
      <c r="H261" s="111">
        <f>F261*G261</f>
        <v/>
      </c>
      <c r="I261" s="111" t="n"/>
      <c r="J261" s="5" t="n">
        <v>1</v>
      </c>
    </row>
    <row r="262" ht="46.5" customFormat="1" customHeight="1" s="16">
      <c r="A262" s="14" t="n">
        <v>41</v>
      </c>
      <c r="B262" s="107" t="inlineStr">
        <is>
          <t>Ống tôn mạ kẽm KT 600x300mm, EI45</t>
        </is>
      </c>
      <c r="C262" s="47" t="inlineStr">
        <is>
          <t>Việt Nam</t>
        </is>
      </c>
      <c r="D262" s="47" t="inlineStr">
        <is>
          <t>Tôn hoa sen Z08- dày 0.75mm</t>
        </is>
      </c>
      <c r="E262" s="108" t="inlineStr">
        <is>
          <t>m</t>
        </is>
      </c>
      <c r="F262" s="109" t="n">
        <v>36</v>
      </c>
      <c r="G262" s="110" t="n"/>
      <c r="H262" s="111">
        <f>F262*G262</f>
        <v/>
      </c>
      <c r="I262" s="111" t="n"/>
      <c r="J262" s="5" t="n">
        <v>1</v>
      </c>
    </row>
    <row r="263" ht="46.5" customFormat="1" customHeight="1" s="16">
      <c r="A263" s="14" t="n">
        <v>42</v>
      </c>
      <c r="B263" s="107" t="inlineStr">
        <is>
          <t>Ống tôn mạ kẽm KT 600x300mm, EI30</t>
        </is>
      </c>
      <c r="C263" s="47" t="inlineStr">
        <is>
          <t>Việt Nam</t>
        </is>
      </c>
      <c r="D263" s="47" t="inlineStr">
        <is>
          <t>Tôn hoa sen Z08- dày 0.75mm</t>
        </is>
      </c>
      <c r="E263" s="108" t="inlineStr">
        <is>
          <t>m</t>
        </is>
      </c>
      <c r="F263" s="109" t="n">
        <v>293</v>
      </c>
      <c r="G263" s="110" t="n"/>
      <c r="H263" s="111">
        <f>F263*G263</f>
        <v/>
      </c>
      <c r="I263" s="111" t="n"/>
      <c r="J263" s="5" t="n">
        <v>1</v>
      </c>
    </row>
    <row r="264" ht="46.5" customFormat="1" customHeight="1" s="16">
      <c r="A264" s="14" t="n">
        <v>43</v>
      </c>
      <c r="B264" s="107" t="inlineStr">
        <is>
          <t>Côn đầu quạt KT 1400x500/D,L=500mm, EI45</t>
        </is>
      </c>
      <c r="C264" s="47" t="inlineStr">
        <is>
          <t>Việt Nam</t>
        </is>
      </c>
      <c r="D264" s="47" t="inlineStr">
        <is>
          <t>Tôn hoa sen Z08- dày 0.75mm</t>
        </is>
      </c>
      <c r="E264" s="108" t="inlineStr">
        <is>
          <t>cái</t>
        </is>
      </c>
      <c r="F264" s="109" t="n">
        <v>2</v>
      </c>
      <c r="G264" s="110" t="n"/>
      <c r="H264" s="111">
        <f>F264*G264</f>
        <v/>
      </c>
      <c r="I264" s="111" t="n"/>
      <c r="J264" s="5" t="n">
        <v>1</v>
      </c>
    </row>
    <row r="265" ht="46.5" customFormat="1" customHeight="1" s="16">
      <c r="A265" s="14" t="n">
        <v>44</v>
      </c>
      <c r="B265" s="107" t="inlineStr">
        <is>
          <t>Côn đầu quạt KT 1200x300/D,L=500mm, EI45</t>
        </is>
      </c>
      <c r="C265" s="47" t="inlineStr">
        <is>
          <t>Việt Nam</t>
        </is>
      </c>
      <c r="D265" s="47" t="inlineStr">
        <is>
          <t>Tôn hoa sen Z08- dày 0.75mm</t>
        </is>
      </c>
      <c r="E265" s="108" t="inlineStr">
        <is>
          <t>cái</t>
        </is>
      </c>
      <c r="F265" s="109" t="n">
        <v>2</v>
      </c>
      <c r="G265" s="110" t="n"/>
      <c r="H265" s="111">
        <f>F265*G265</f>
        <v/>
      </c>
      <c r="I265" s="111" t="n"/>
      <c r="J265" s="5" t="n">
        <v>1</v>
      </c>
    </row>
    <row r="266" ht="46.5" customFormat="1" customHeight="1" s="16">
      <c r="A266" s="14" t="n">
        <v>45</v>
      </c>
      <c r="B266" s="107" t="inlineStr">
        <is>
          <t>Côn đầu quạt KT 1000x300/D,L=500mm, EI45</t>
        </is>
      </c>
      <c r="C266" s="47" t="inlineStr">
        <is>
          <t>Việt Nam</t>
        </is>
      </c>
      <c r="D266" s="47" t="inlineStr">
        <is>
          <t>Tôn hoa sen Z08- dày 0.75mm</t>
        </is>
      </c>
      <c r="E266" s="108" t="inlineStr">
        <is>
          <t>cái</t>
        </is>
      </c>
      <c r="F266" s="109" t="n">
        <v>2</v>
      </c>
      <c r="G266" s="110" t="n"/>
      <c r="H266" s="111">
        <f>F266*G266</f>
        <v/>
      </c>
      <c r="I266" s="111" t="n"/>
      <c r="J266" s="5" t="n">
        <v>1</v>
      </c>
    </row>
    <row r="267" ht="46.5" customFormat="1" customHeight="1" s="16">
      <c r="A267" s="14" t="n">
        <v>46</v>
      </c>
      <c r="B267" s="107" t="inlineStr">
        <is>
          <t>Côn đầu quạt KT 600x300/D,L=500mm, EI30</t>
        </is>
      </c>
      <c r="C267" s="47" t="inlineStr">
        <is>
          <t>Việt Nam</t>
        </is>
      </c>
      <c r="D267" s="47" t="inlineStr">
        <is>
          <t>Tôn hoa sen Z08- dày 0.75mm</t>
        </is>
      </c>
      <c r="E267" s="108" t="inlineStr">
        <is>
          <t>cái</t>
        </is>
      </c>
      <c r="F267" s="109" t="n">
        <v>10</v>
      </c>
      <c r="G267" s="110" t="n"/>
      <c r="H267" s="111">
        <f>F267*G267</f>
        <v/>
      </c>
      <c r="I267" s="111" t="n"/>
      <c r="J267" s="5" t="n">
        <v>1</v>
      </c>
    </row>
    <row r="268" ht="46.5" customFormat="1" customHeight="1" s="16">
      <c r="A268" s="14" t="n">
        <v>47</v>
      </c>
      <c r="B268" s="107" t="inlineStr">
        <is>
          <t>Côn đầu quạt KT 1000x500/D,L=500mm, Tôn dày 0.95mm</t>
        </is>
      </c>
      <c r="C268" s="47" t="inlineStr">
        <is>
          <t>Việt Nam</t>
        </is>
      </c>
      <c r="D268" s="47" t="inlineStr">
        <is>
          <t>Tôn hoa sen Z08- dày 0.75mm</t>
        </is>
      </c>
      <c r="E268" s="108" t="inlineStr">
        <is>
          <t>cái</t>
        </is>
      </c>
      <c r="F268" s="109" t="n">
        <v>10</v>
      </c>
      <c r="G268" s="110" t="n"/>
      <c r="H268" s="111">
        <f>F268*G268</f>
        <v/>
      </c>
      <c r="I268" s="111" t="n"/>
      <c r="J268" s="5" t="n">
        <v>1</v>
      </c>
    </row>
    <row r="269" ht="46.5" customFormat="1" customHeight="1" s="16">
      <c r="A269" s="14" t="n">
        <v>48</v>
      </c>
      <c r="B269" s="107" t="inlineStr">
        <is>
          <t>Côn đầu quạt KT 1210x400/D,L=500mm, Tôn dày 0.95mm</t>
        </is>
      </c>
      <c r="C269" s="47" t="inlineStr">
        <is>
          <t>Việt Nam</t>
        </is>
      </c>
      <c r="D269" s="47" t="inlineStr">
        <is>
          <t>Tôn hoa sen Z08- dày 0.75mm</t>
        </is>
      </c>
      <c r="E269" s="108" t="inlineStr">
        <is>
          <t>cái</t>
        </is>
      </c>
      <c r="F269" s="109" t="n">
        <v>4</v>
      </c>
      <c r="G269" s="110" t="n"/>
      <c r="H269" s="111">
        <f>F269*G269</f>
        <v/>
      </c>
      <c r="I269" s="111" t="n"/>
      <c r="J269" s="5" t="n">
        <v>1</v>
      </c>
    </row>
    <row r="270" ht="46.5" customFormat="1" customHeight="1" s="16">
      <c r="A270" s="14" t="n">
        <v>49</v>
      </c>
      <c r="B270" s="107" t="inlineStr">
        <is>
          <t>Côn đầu quạt KT 1200x300/D,L=500mm, Tôn dày 0.95mm</t>
        </is>
      </c>
      <c r="C270" s="47" t="inlineStr">
        <is>
          <t>Việt Nam</t>
        </is>
      </c>
      <c r="D270" s="47" t="inlineStr">
        <is>
          <t>Tôn hoa sen Z08- dày 0.75mm</t>
        </is>
      </c>
      <c r="E270" s="108" t="inlineStr">
        <is>
          <t>cái</t>
        </is>
      </c>
      <c r="F270" s="109" t="n">
        <v>2</v>
      </c>
      <c r="G270" s="110" t="n"/>
      <c r="H270" s="111">
        <f>F270*G270</f>
        <v/>
      </c>
      <c r="I270" s="111" t="n"/>
      <c r="J270" s="5" t="n">
        <v>1</v>
      </c>
    </row>
    <row r="271" ht="46.5" customFormat="1" customHeight="1" s="16">
      <c r="A271" s="14" t="n">
        <v>50</v>
      </c>
      <c r="B271" s="107" t="inlineStr">
        <is>
          <t>Côn thu KT 1200x300/1000x300  L500 EI45</t>
        </is>
      </c>
      <c r="C271" s="47" t="inlineStr">
        <is>
          <t>Việt Nam</t>
        </is>
      </c>
      <c r="D271" s="47" t="inlineStr">
        <is>
          <t>Tôn hoa sen Z08- dày 0.75mm</t>
        </is>
      </c>
      <c r="E271" s="108" t="inlineStr">
        <is>
          <t>cái</t>
        </is>
      </c>
      <c r="F271" s="109" t="n">
        <v>1</v>
      </c>
      <c r="G271" s="110" t="n"/>
      <c r="H271" s="111">
        <f>F271*G271</f>
        <v/>
      </c>
      <c r="I271" s="111" t="n"/>
      <c r="J271" s="5" t="n">
        <v>1</v>
      </c>
    </row>
    <row r="272" ht="46.5" customFormat="1" customHeight="1" s="16">
      <c r="A272" s="14" t="n">
        <v>51</v>
      </c>
      <c r="B272" s="107" t="inlineStr">
        <is>
          <t>Côn thu KT 1000x300/800x300  L500 EI45</t>
        </is>
      </c>
      <c r="C272" s="47" t="inlineStr">
        <is>
          <t>Việt Nam</t>
        </is>
      </c>
      <c r="D272" s="47" t="inlineStr">
        <is>
          <t>Tôn hoa sen Z08- dày 0.75mm</t>
        </is>
      </c>
      <c r="E272" s="108" t="inlineStr">
        <is>
          <t>cái</t>
        </is>
      </c>
      <c r="F272" s="109" t="n">
        <v>2</v>
      </c>
      <c r="G272" s="110" t="n"/>
      <c r="H272" s="111">
        <f>F272*G272</f>
        <v/>
      </c>
      <c r="I272" s="111" t="n"/>
      <c r="J272" s="5" t="n">
        <v>1</v>
      </c>
    </row>
    <row r="273" ht="46.5" customFormat="1" customHeight="1" s="16">
      <c r="A273" s="14" t="n">
        <v>52</v>
      </c>
      <c r="B273" s="107" t="inlineStr">
        <is>
          <t>Côn thu KT 1000x300/800x300  L500 EI30</t>
        </is>
      </c>
      <c r="C273" s="47" t="inlineStr">
        <is>
          <t>Việt Nam</t>
        </is>
      </c>
      <c r="D273" s="47" t="inlineStr">
        <is>
          <t>Tôn hoa sen Z08- dày 0.75mm</t>
        </is>
      </c>
      <c r="E273" s="108" t="inlineStr">
        <is>
          <t>cái</t>
        </is>
      </c>
      <c r="F273" s="109" t="n">
        <v>14</v>
      </c>
      <c r="G273" s="110" t="n"/>
      <c r="H273" s="111">
        <f>F273*G273</f>
        <v/>
      </c>
      <c r="I273" s="111" t="n"/>
      <c r="J273" s="5" t="n">
        <v>1</v>
      </c>
    </row>
    <row r="274" ht="46.5" customFormat="1" customHeight="1" s="16">
      <c r="A274" s="14" t="n">
        <v>53</v>
      </c>
      <c r="B274" s="107" t="inlineStr">
        <is>
          <t>Côn thu KT 800x300/600x300  L500 EI45</t>
        </is>
      </c>
      <c r="C274" s="47" t="inlineStr">
        <is>
          <t>Việt Nam</t>
        </is>
      </c>
      <c r="D274" s="47" t="inlineStr">
        <is>
          <t>Tôn hoa sen Z08- dày 0.75mm</t>
        </is>
      </c>
      <c r="E274" s="108" t="inlineStr">
        <is>
          <t>cái</t>
        </is>
      </c>
      <c r="F274" s="109" t="n">
        <v>3</v>
      </c>
      <c r="G274" s="110" t="n"/>
      <c r="H274" s="111">
        <f>F274*G274</f>
        <v/>
      </c>
      <c r="I274" s="111" t="n"/>
      <c r="J274" s="5" t="n">
        <v>1</v>
      </c>
    </row>
    <row r="275" ht="46.5" customFormat="1" customHeight="1" s="16">
      <c r="A275" s="14" t="n">
        <v>54</v>
      </c>
      <c r="B275" s="107" t="inlineStr">
        <is>
          <t>Côn thu KT 800x300/600x300  L500 EI30</t>
        </is>
      </c>
      <c r="C275" s="47" t="inlineStr">
        <is>
          <t>Việt Nam</t>
        </is>
      </c>
      <c r="D275" s="47" t="inlineStr">
        <is>
          <t>Tôn hoa sen Z08- dày 0.75mm</t>
        </is>
      </c>
      <c r="E275" s="108" t="inlineStr">
        <is>
          <t>cái</t>
        </is>
      </c>
      <c r="F275" s="109" t="n">
        <v>26</v>
      </c>
      <c r="G275" s="110" t="n"/>
      <c r="H275" s="111">
        <f>F275*G275</f>
        <v/>
      </c>
      <c r="I275" s="111" t="n"/>
      <c r="J275" s="5" t="n">
        <v>1</v>
      </c>
    </row>
    <row r="276" ht="46.5" customFormat="1" customHeight="1" s="16">
      <c r="A276" s="14" t="n">
        <v>55</v>
      </c>
      <c r="B276" s="107" t="inlineStr">
        <is>
          <t>Cút KT 1210x400, R125, Tôn dày 0.95mm</t>
        </is>
      </c>
      <c r="C276" s="47" t="inlineStr">
        <is>
          <t>Việt Nam</t>
        </is>
      </c>
      <c r="D276" s="47" t="inlineStr">
        <is>
          <t>Tôn hoa sen Z08- dày 0.75mm</t>
        </is>
      </c>
      <c r="E276" s="108" t="inlineStr">
        <is>
          <t>cái</t>
        </is>
      </c>
      <c r="F276" s="109" t="n">
        <v>4</v>
      </c>
      <c r="G276" s="110" t="n"/>
      <c r="H276" s="111">
        <f>F276*G276</f>
        <v/>
      </c>
      <c r="I276" s="111" t="n"/>
      <c r="J276" s="5" t="n">
        <v>1</v>
      </c>
    </row>
    <row r="277" ht="46.5" customFormat="1" customHeight="1" s="16">
      <c r="A277" s="14" t="n">
        <v>56</v>
      </c>
      <c r="B277" s="107" t="inlineStr">
        <is>
          <t>Cút KT 1200x300, R125, Tôn dày 0.95mm</t>
        </is>
      </c>
      <c r="C277" s="47" t="inlineStr">
        <is>
          <t>Việt Nam</t>
        </is>
      </c>
      <c r="D277" s="47" t="inlineStr">
        <is>
          <t>Tôn hoa sen Z08- dày 0.75mm</t>
        </is>
      </c>
      <c r="E277" s="108" t="inlineStr">
        <is>
          <t>cái</t>
        </is>
      </c>
      <c r="F277" s="109" t="n">
        <v>1</v>
      </c>
      <c r="G277" s="110" t="n"/>
      <c r="H277" s="111">
        <f>F277*G277</f>
        <v/>
      </c>
      <c r="I277" s="111" t="n"/>
      <c r="J277" s="5" t="n">
        <v>1</v>
      </c>
    </row>
    <row r="278" ht="46.5" customFormat="1" customHeight="1" s="16">
      <c r="A278" s="14" t="n">
        <v>57</v>
      </c>
      <c r="B278" s="107" t="inlineStr">
        <is>
          <t>Cút KT 1000x500, R125, Tôn dày 0.95mm</t>
        </is>
      </c>
      <c r="C278" s="47" t="inlineStr">
        <is>
          <t>Việt Nam</t>
        </is>
      </c>
      <c r="D278" s="47" t="inlineStr">
        <is>
          <t>Tôn hoa sen Z08- dày 0.75mm</t>
        </is>
      </c>
      <c r="E278" s="108" t="inlineStr">
        <is>
          <t>cái</t>
        </is>
      </c>
      <c r="F278" s="109" t="n">
        <v>7</v>
      </c>
      <c r="G278" s="110" t="n"/>
      <c r="H278" s="111">
        <f>F278*G278</f>
        <v/>
      </c>
      <c r="I278" s="111" t="n"/>
      <c r="J278" s="5" t="n">
        <v>1</v>
      </c>
    </row>
    <row r="279" ht="46.5" customFormat="1" customHeight="1" s="16">
      <c r="A279" s="14" t="n">
        <v>58</v>
      </c>
      <c r="B279" s="107" t="inlineStr">
        <is>
          <t>Cút KT 1400x500, R125, EI45</t>
        </is>
      </c>
      <c r="C279" s="47" t="inlineStr">
        <is>
          <t>Việt Nam</t>
        </is>
      </c>
      <c r="D279" s="47" t="inlineStr">
        <is>
          <t>Tôn hoa sen Z08- dày 0.75mm</t>
        </is>
      </c>
      <c r="E279" s="108" t="inlineStr">
        <is>
          <t>cái</t>
        </is>
      </c>
      <c r="F279" s="109" t="n">
        <v>1</v>
      </c>
      <c r="G279" s="110" t="n"/>
      <c r="H279" s="111">
        <f>F279*G279</f>
        <v/>
      </c>
      <c r="I279" s="111" t="n"/>
      <c r="J279" s="5" t="n">
        <v>1</v>
      </c>
    </row>
    <row r="280" ht="46.5" customFormat="1" customHeight="1" s="16">
      <c r="A280" s="14" t="n">
        <v>59</v>
      </c>
      <c r="B280" s="107" t="inlineStr">
        <is>
          <t>Cút KT 1200x300, R125 EI45</t>
        </is>
      </c>
      <c r="C280" s="47" t="inlineStr">
        <is>
          <t>Việt Nam</t>
        </is>
      </c>
      <c r="D280" s="47" t="inlineStr">
        <is>
          <t>Tôn hoa sen Z08- dày 0.75mm</t>
        </is>
      </c>
      <c r="E280" s="108" t="inlineStr">
        <is>
          <t>cái</t>
        </is>
      </c>
      <c r="F280" s="109" t="n">
        <v>1</v>
      </c>
      <c r="G280" s="110" t="n"/>
      <c r="H280" s="111">
        <f>F280*G280</f>
        <v/>
      </c>
      <c r="I280" s="111" t="n"/>
      <c r="J280" s="5" t="n">
        <v>1</v>
      </c>
    </row>
    <row r="281" ht="46.5" customFormat="1" customHeight="1" s="16">
      <c r="A281" s="14" t="n">
        <v>60</v>
      </c>
      <c r="B281" s="107" t="inlineStr">
        <is>
          <t>Cút KT 1000x300, R125 EI45</t>
        </is>
      </c>
      <c r="C281" s="47" t="inlineStr">
        <is>
          <t>Việt Nam</t>
        </is>
      </c>
      <c r="D281" s="47" t="inlineStr">
        <is>
          <t>Tôn hoa sen Z08- dày 0.75mm</t>
        </is>
      </c>
      <c r="E281" s="108" t="inlineStr">
        <is>
          <t>cái</t>
        </is>
      </c>
      <c r="F281" s="109" t="n">
        <v>2</v>
      </c>
      <c r="G281" s="110" t="n"/>
      <c r="H281" s="111">
        <f>F281*G281</f>
        <v/>
      </c>
      <c r="I281" s="111" t="n"/>
      <c r="J281" s="5" t="n">
        <v>1</v>
      </c>
    </row>
    <row r="282" ht="46.5" customFormat="1" customHeight="1" s="16">
      <c r="A282" s="14" t="n">
        <v>61</v>
      </c>
      <c r="B282" s="107" t="inlineStr">
        <is>
          <t>Cút KT 800x300, R125 EI45</t>
        </is>
      </c>
      <c r="C282" s="47" t="inlineStr">
        <is>
          <t>Việt Nam</t>
        </is>
      </c>
      <c r="D282" s="47" t="inlineStr">
        <is>
          <t>Tôn hoa sen Z08- dày 0.75mm</t>
        </is>
      </c>
      <c r="E282" s="108" t="inlineStr">
        <is>
          <t>cái</t>
        </is>
      </c>
      <c r="F282" s="109" t="n">
        <v>1</v>
      </c>
      <c r="G282" s="110" t="n"/>
      <c r="H282" s="111">
        <f>F282*G282</f>
        <v/>
      </c>
      <c r="I282" s="111" t="n"/>
      <c r="J282" s="5" t="n">
        <v>1</v>
      </c>
    </row>
    <row r="283" ht="46.5" customFormat="1" customHeight="1" s="16">
      <c r="A283" s="14" t="n">
        <v>62</v>
      </c>
      <c r="B283" s="107" t="inlineStr">
        <is>
          <t>Cút KT 800x300, R125 EI30</t>
        </is>
      </c>
      <c r="C283" s="47" t="inlineStr">
        <is>
          <t>Việt Nam</t>
        </is>
      </c>
      <c r="D283" s="47" t="inlineStr">
        <is>
          <t>Tôn hoa sen Z08- dày 0.75mm</t>
        </is>
      </c>
      <c r="E283" s="108" t="inlineStr">
        <is>
          <t>cái</t>
        </is>
      </c>
      <c r="F283" s="109" t="n">
        <v>12</v>
      </c>
      <c r="G283" s="110" t="n"/>
      <c r="H283" s="111">
        <f>F283*G283</f>
        <v/>
      </c>
      <c r="I283" s="111" t="n"/>
      <c r="J283" s="5" t="n">
        <v>1</v>
      </c>
    </row>
    <row r="284" ht="46.5" customFormat="1" customHeight="1" s="16">
      <c r="A284" s="14" t="n">
        <v>63</v>
      </c>
      <c r="B284" s="107" t="inlineStr">
        <is>
          <t>Cút KT 600x300, R125 EI30</t>
        </is>
      </c>
      <c r="C284" s="47" t="inlineStr">
        <is>
          <t>Việt Nam</t>
        </is>
      </c>
      <c r="D284" s="47" t="inlineStr">
        <is>
          <t>Tôn hoa sen Z08- dày 0.75mm</t>
        </is>
      </c>
      <c r="E284" s="108" t="inlineStr">
        <is>
          <t>cái</t>
        </is>
      </c>
      <c r="F284" s="109" t="n">
        <v>7</v>
      </c>
      <c r="G284" s="110" t="n"/>
      <c r="H284" s="111">
        <f>F284*G284</f>
        <v/>
      </c>
      <c r="I284" s="111" t="n"/>
      <c r="J284" s="5" t="n">
        <v>1</v>
      </c>
    </row>
    <row r="285" ht="46.5" customFormat="1" customHeight="1" s="16">
      <c r="A285" s="14" t="n">
        <v>64</v>
      </c>
      <c r="B285" s="107" t="inlineStr">
        <is>
          <t>Chếch KT 1210x400, R125, Tôn dày 0.95mm</t>
        </is>
      </c>
      <c r="C285" s="47" t="inlineStr">
        <is>
          <t>Việt Nam</t>
        </is>
      </c>
      <c r="D285" s="47" t="inlineStr">
        <is>
          <t>Tôn hoa sen Z08- dày 0.75mm</t>
        </is>
      </c>
      <c r="E285" s="108" t="inlineStr">
        <is>
          <t>cái</t>
        </is>
      </c>
      <c r="F285" s="109" t="n">
        <v>2</v>
      </c>
      <c r="G285" s="110" t="n"/>
      <c r="H285" s="111">
        <f>F285*G285</f>
        <v/>
      </c>
      <c r="I285" s="111" t="n"/>
      <c r="J285" s="5" t="n">
        <v>1</v>
      </c>
    </row>
    <row r="286" ht="46.5" customFormat="1" customHeight="1" s="16">
      <c r="A286" s="14" t="n">
        <v>65</v>
      </c>
      <c r="B286" s="107" t="inlineStr">
        <is>
          <t>Chếch KT 1200x300, R125, Tôn dày 0.95mm</t>
        </is>
      </c>
      <c r="C286" s="47" t="inlineStr">
        <is>
          <t>Việt Nam</t>
        </is>
      </c>
      <c r="D286" s="47" t="inlineStr">
        <is>
          <t>Tôn hoa sen Z08- dày 0.75mm</t>
        </is>
      </c>
      <c r="E286" s="108" t="inlineStr">
        <is>
          <t>cái</t>
        </is>
      </c>
      <c r="F286" s="109" t="n">
        <v>1</v>
      </c>
      <c r="G286" s="110" t="n"/>
      <c r="H286" s="111">
        <f>F286*G286</f>
        <v/>
      </c>
      <c r="I286" s="111" t="n"/>
      <c r="J286" s="5" t="n">
        <v>1</v>
      </c>
    </row>
    <row r="287" ht="46.5" customFormat="1" customHeight="1" s="16">
      <c r="A287" s="14" t="n">
        <v>66</v>
      </c>
      <c r="B287" s="107" t="inlineStr">
        <is>
          <t>Chếch KT 1000x500, R125, Tôn dày 0.95mm</t>
        </is>
      </c>
      <c r="C287" s="47" t="inlineStr">
        <is>
          <t>Việt Nam</t>
        </is>
      </c>
      <c r="D287" s="47" t="inlineStr">
        <is>
          <t>Tôn hoa sen Z08- dày 0.75mm</t>
        </is>
      </c>
      <c r="E287" s="108" t="inlineStr">
        <is>
          <t>cái</t>
        </is>
      </c>
      <c r="F287" s="109" t="n">
        <v>5</v>
      </c>
      <c r="G287" s="110" t="n"/>
      <c r="H287" s="111">
        <f>F287*G287</f>
        <v/>
      </c>
      <c r="I287" s="111" t="n"/>
      <c r="J287" s="5" t="n">
        <v>1</v>
      </c>
    </row>
    <row r="288" customFormat="1" s="16">
      <c r="A288" s="14" t="n">
        <v>67</v>
      </c>
      <c r="B288" s="107" t="inlineStr">
        <is>
          <t>Bịt đầu 1000x500, Tôn dày 0.95mm</t>
        </is>
      </c>
      <c r="C288" s="47" t="inlineStr">
        <is>
          <t>Việt Nam</t>
        </is>
      </c>
      <c r="D288" s="47" t="n"/>
      <c r="E288" s="108" t="inlineStr">
        <is>
          <t>cái</t>
        </is>
      </c>
      <c r="F288" s="109" t="n">
        <v>5</v>
      </c>
      <c r="G288" s="110" t="n"/>
      <c r="H288" s="111">
        <f>F288*G288</f>
        <v/>
      </c>
      <c r="I288" s="111" t="n"/>
      <c r="J288" s="5" t="n">
        <v>1</v>
      </c>
    </row>
    <row r="289" customFormat="1" s="16">
      <c r="A289" s="14" t="n">
        <v>68</v>
      </c>
      <c r="B289" s="107" t="inlineStr">
        <is>
          <t>Bịt đầu 1210x400, Tôn dày 0.95mm</t>
        </is>
      </c>
      <c r="C289" s="47" t="inlineStr">
        <is>
          <t>Việt Nam</t>
        </is>
      </c>
      <c r="D289" s="47" t="n"/>
      <c r="E289" s="108" t="inlineStr">
        <is>
          <t>cái</t>
        </is>
      </c>
      <c r="F289" s="109" t="n">
        <v>2</v>
      </c>
      <c r="G289" s="110" t="n"/>
      <c r="H289" s="111">
        <f>F289*G289</f>
        <v/>
      </c>
      <c r="I289" s="111" t="n"/>
      <c r="J289" s="5" t="n">
        <v>1</v>
      </c>
    </row>
    <row r="290" customFormat="1" s="16">
      <c r="A290" s="14" t="n">
        <v>69</v>
      </c>
      <c r="B290" s="107" t="inlineStr">
        <is>
          <t>Bịt đầu 1200x300, Tôn dày 0.95mm</t>
        </is>
      </c>
      <c r="C290" s="47" t="inlineStr">
        <is>
          <t>Việt Nam</t>
        </is>
      </c>
      <c r="D290" s="47" t="n"/>
      <c r="E290" s="108" t="inlineStr">
        <is>
          <t>cái</t>
        </is>
      </c>
      <c r="F290" s="109" t="n">
        <v>1</v>
      </c>
      <c r="G290" s="110" t="n"/>
      <c r="H290" s="111">
        <f>F290*G290</f>
        <v/>
      </c>
      <c r="I290" s="111" t="n"/>
      <c r="J290" s="5" t="n">
        <v>1</v>
      </c>
    </row>
    <row r="291" customFormat="1" s="16">
      <c r="A291" s="14" t="n">
        <v>70</v>
      </c>
      <c r="B291" s="107" t="inlineStr">
        <is>
          <t>Bịt đầu 1200x300 EI45</t>
        </is>
      </c>
      <c r="C291" s="47" t="inlineStr">
        <is>
          <t>Việt Nam</t>
        </is>
      </c>
      <c r="D291" s="47" t="n"/>
      <c r="E291" s="108" t="inlineStr">
        <is>
          <t>cái</t>
        </is>
      </c>
      <c r="F291" s="109" t="n">
        <v>1</v>
      </c>
      <c r="G291" s="110" t="n"/>
      <c r="H291" s="111">
        <f>F291*G291</f>
        <v/>
      </c>
      <c r="I291" s="111" t="n"/>
      <c r="J291" s="5" t="n">
        <v>1</v>
      </c>
    </row>
    <row r="292" customFormat="1" s="16">
      <c r="A292" s="14" t="n">
        <v>71</v>
      </c>
      <c r="B292" s="107" t="inlineStr">
        <is>
          <t>Bịt đầu 800x300 EI45</t>
        </is>
      </c>
      <c r="C292" s="47" t="inlineStr">
        <is>
          <t>Việt Nam</t>
        </is>
      </c>
      <c r="D292" s="47" t="n"/>
      <c r="E292" s="108" t="inlineStr">
        <is>
          <t>cái</t>
        </is>
      </c>
      <c r="F292" s="109" t="n">
        <v>1</v>
      </c>
      <c r="G292" s="110" t="n"/>
      <c r="H292" s="111">
        <f>F292*G292</f>
        <v/>
      </c>
      <c r="I292" s="111" t="n"/>
      <c r="J292" s="5" t="n">
        <v>1</v>
      </c>
    </row>
    <row r="293" customFormat="1" s="16">
      <c r="A293" s="14" t="n">
        <v>72</v>
      </c>
      <c r="B293" s="107" t="inlineStr">
        <is>
          <t>Bịt đầu 800x300 EI30</t>
        </is>
      </c>
      <c r="C293" s="47" t="inlineStr">
        <is>
          <t>Việt Nam</t>
        </is>
      </c>
      <c r="D293" s="47" t="n"/>
      <c r="E293" s="108" t="inlineStr">
        <is>
          <t>cái</t>
        </is>
      </c>
      <c r="F293" s="109" t="n">
        <v>3</v>
      </c>
      <c r="G293" s="110" t="n"/>
      <c r="H293" s="111">
        <f>F293*G293</f>
        <v/>
      </c>
      <c r="I293" s="111" t="n"/>
      <c r="J293" s="5" t="n">
        <v>1</v>
      </c>
    </row>
    <row r="294" customFormat="1" s="16">
      <c r="A294" s="14" t="n">
        <v>73</v>
      </c>
      <c r="B294" s="107" t="inlineStr">
        <is>
          <t>Bịt đầu 600x300 EI45</t>
        </is>
      </c>
      <c r="C294" s="47" t="inlineStr">
        <is>
          <t>Việt Nam</t>
        </is>
      </c>
      <c r="D294" s="47" t="n"/>
      <c r="E294" s="108" t="inlineStr">
        <is>
          <t>cái</t>
        </is>
      </c>
      <c r="F294" s="109" t="n">
        <v>5</v>
      </c>
      <c r="G294" s="110" t="n"/>
      <c r="H294" s="111">
        <f>F294*G294</f>
        <v/>
      </c>
      <c r="I294" s="111" t="n"/>
      <c r="J294" s="5" t="n">
        <v>1</v>
      </c>
    </row>
    <row r="295" customFormat="1" s="16">
      <c r="A295" s="14" t="n">
        <v>74</v>
      </c>
      <c r="B295" s="107" t="inlineStr">
        <is>
          <t>Bịt đầu 600x300 EI30</t>
        </is>
      </c>
      <c r="C295" s="47" t="inlineStr">
        <is>
          <t>Việt Nam</t>
        </is>
      </c>
      <c r="D295" s="47" t="n"/>
      <c r="E295" s="108" t="inlineStr">
        <is>
          <t>cái</t>
        </is>
      </c>
      <c r="F295" s="109" t="n">
        <v>26</v>
      </c>
      <c r="G295" s="110" t="n"/>
      <c r="H295" s="111">
        <f>F295*G295</f>
        <v/>
      </c>
      <c r="I295" s="111" t="n"/>
      <c r="J295" s="5" t="n">
        <v>1</v>
      </c>
    </row>
    <row r="296" ht="46.5" customFormat="1" customHeight="1" s="16">
      <c r="A296" s="14" t="n">
        <v>75</v>
      </c>
      <c r="B296" s="107" t="inlineStr">
        <is>
          <t>Chân rẽ KT1200x300/800x300  EI45</t>
        </is>
      </c>
      <c r="C296" s="47" t="inlineStr">
        <is>
          <t>Việt Nam</t>
        </is>
      </c>
      <c r="D296" s="47" t="inlineStr">
        <is>
          <t>Tôn hoa sen Z08- dày 0.75mm</t>
        </is>
      </c>
      <c r="E296" s="108" t="inlineStr">
        <is>
          <t>cái</t>
        </is>
      </c>
      <c r="F296" s="109" t="n">
        <v>2</v>
      </c>
      <c r="G296" s="110" t="n"/>
      <c r="H296" s="111">
        <f>F296*G296</f>
        <v/>
      </c>
      <c r="I296" s="111" t="n"/>
      <c r="J296" s="5" t="n">
        <v>1</v>
      </c>
    </row>
    <row r="297" ht="46.5" customFormat="1" customHeight="1" s="16">
      <c r="A297" s="14" t="n">
        <v>76</v>
      </c>
      <c r="B297" s="107" t="inlineStr">
        <is>
          <t>Chân rẽ KT1200x300/600x300  EI45</t>
        </is>
      </c>
      <c r="C297" s="47" t="inlineStr">
        <is>
          <t>Việt Nam</t>
        </is>
      </c>
      <c r="D297" s="47" t="inlineStr">
        <is>
          <t>Tôn hoa sen Z08- dày 0.75mm</t>
        </is>
      </c>
      <c r="E297" s="108" t="inlineStr">
        <is>
          <t>cái</t>
        </is>
      </c>
      <c r="F297" s="109" t="n">
        <v>2</v>
      </c>
      <c r="G297" s="110" t="n"/>
      <c r="H297" s="111">
        <f>F297*G297</f>
        <v/>
      </c>
      <c r="I297" s="111" t="n"/>
      <c r="J297" s="5" t="n">
        <v>1</v>
      </c>
    </row>
    <row r="298" ht="46.5" customFormat="1" customHeight="1" s="16">
      <c r="A298" s="14" t="n">
        <v>77</v>
      </c>
      <c r="B298" s="107" t="inlineStr">
        <is>
          <t>Chân rẽ KT1000x500/1000x300  EI45</t>
        </is>
      </c>
      <c r="C298" s="47" t="inlineStr">
        <is>
          <t>Việt Nam</t>
        </is>
      </c>
      <c r="D298" s="47" t="inlineStr">
        <is>
          <t>Tôn hoa sen Z08- dày 0.75mm</t>
        </is>
      </c>
      <c r="E298" s="108" t="inlineStr">
        <is>
          <t>cái</t>
        </is>
      </c>
      <c r="F298" s="109" t="n">
        <v>7</v>
      </c>
      <c r="G298" s="110" t="n"/>
      <c r="H298" s="111">
        <f>F298*G298</f>
        <v/>
      </c>
      <c r="I298" s="111" t="n"/>
      <c r="J298" s="5" t="n">
        <v>1</v>
      </c>
    </row>
    <row r="299" ht="46.5" customFormat="1" customHeight="1" s="16">
      <c r="A299" s="14" t="n">
        <v>78</v>
      </c>
      <c r="B299" s="107" t="inlineStr">
        <is>
          <t>Chân rẽ KT1000x500/1000x300  EI45</t>
        </is>
      </c>
      <c r="C299" s="47" t="inlineStr">
        <is>
          <t>Việt Nam</t>
        </is>
      </c>
      <c r="D299" s="47" t="inlineStr">
        <is>
          <t>Tôn hoa sen Z08- dày 0.75mm</t>
        </is>
      </c>
      <c r="E299" s="108" t="inlineStr">
        <is>
          <t>cái</t>
        </is>
      </c>
      <c r="F299" s="109" t="n">
        <v>7</v>
      </c>
      <c r="G299" s="110" t="n"/>
      <c r="H299" s="111">
        <f>F299*G299</f>
        <v/>
      </c>
      <c r="I299" s="111" t="n"/>
      <c r="J299" s="5" t="n">
        <v>1</v>
      </c>
    </row>
    <row r="300" ht="46.5" customFormat="1" customHeight="1" s="16">
      <c r="A300" s="14" t="n">
        <v>79</v>
      </c>
      <c r="B300" s="107" t="inlineStr">
        <is>
          <t>Chân rẽ KT1210x400/800x300  EI45</t>
        </is>
      </c>
      <c r="C300" s="47" t="inlineStr">
        <is>
          <t>Việt Nam</t>
        </is>
      </c>
      <c r="D300" s="47" t="inlineStr">
        <is>
          <t>Tôn hoa sen Z08- dày 0.75mm</t>
        </is>
      </c>
      <c r="E300" s="108" t="inlineStr">
        <is>
          <t>cái</t>
        </is>
      </c>
      <c r="F300" s="109" t="n">
        <v>8</v>
      </c>
      <c r="G300" s="110" t="n"/>
      <c r="H300" s="111">
        <f>F300*G300</f>
        <v/>
      </c>
      <c r="I300" s="111" t="n"/>
      <c r="J300" s="5" t="n">
        <v>1</v>
      </c>
    </row>
    <row r="301" ht="46.5" customFormat="1" customHeight="1" s="16">
      <c r="A301" s="14" t="n">
        <v>80</v>
      </c>
      <c r="B301" s="107" t="inlineStr">
        <is>
          <t>Chân rẽ KT1210x400/1000x400  EI45</t>
        </is>
      </c>
      <c r="C301" s="47" t="inlineStr">
        <is>
          <t>Việt Nam</t>
        </is>
      </c>
      <c r="D301" s="47" t="inlineStr">
        <is>
          <t>Tôn hoa sen Z08- dày 0.75mm</t>
        </is>
      </c>
      <c r="E301" s="108" t="inlineStr">
        <is>
          <t>cái</t>
        </is>
      </c>
      <c r="F301" s="109" t="n">
        <v>8</v>
      </c>
      <c r="G301" s="110" t="n"/>
      <c r="H301" s="111">
        <f>F301*G301</f>
        <v/>
      </c>
      <c r="I301" s="111" t="n"/>
      <c r="J301" s="5" t="n">
        <v>1</v>
      </c>
    </row>
    <row r="302" ht="46.5" customFormat="1" customHeight="1" s="16">
      <c r="A302" s="14" t="n">
        <v>81</v>
      </c>
      <c r="B302" s="107" t="inlineStr">
        <is>
          <t>Tê ống tôn KT 1000x300/1000x300/1000x300mm  EI30</t>
        </is>
      </c>
      <c r="C302" s="47" t="inlineStr">
        <is>
          <t>Việt Nam</t>
        </is>
      </c>
      <c r="D302" s="47" t="inlineStr">
        <is>
          <t>Tôn hoa sen Z08- dày 0.75mm</t>
        </is>
      </c>
      <c r="E302" s="108" t="inlineStr">
        <is>
          <t>cái</t>
        </is>
      </c>
      <c r="F302" s="109" t="n">
        <v>7</v>
      </c>
      <c r="G302" s="110" t="n"/>
      <c r="H302" s="111">
        <f>F302*G302</f>
        <v/>
      </c>
      <c r="I302" s="111" t="n"/>
      <c r="J302" s="5" t="n">
        <v>1</v>
      </c>
    </row>
    <row r="303" ht="46.5" customFormat="1" customHeight="1" s="16">
      <c r="A303" s="14" t="n">
        <v>82</v>
      </c>
      <c r="B303" s="107" t="inlineStr">
        <is>
          <t>Tê ống tôn KT 800x300/800x300/800x300mm  EI30</t>
        </is>
      </c>
      <c r="C303" s="47" t="inlineStr">
        <is>
          <t>Việt Nam</t>
        </is>
      </c>
      <c r="D303" s="47" t="inlineStr">
        <is>
          <t>Tôn hoa sen Z08- dày 0.75mm</t>
        </is>
      </c>
      <c r="E303" s="108" t="inlineStr">
        <is>
          <t>cái</t>
        </is>
      </c>
      <c r="F303" s="109" t="n">
        <v>8</v>
      </c>
      <c r="G303" s="110" t="n"/>
      <c r="H303" s="111">
        <f>F303*G303</f>
        <v/>
      </c>
      <c r="I303" s="111" t="n"/>
      <c r="J303" s="5" t="n">
        <v>1</v>
      </c>
    </row>
    <row r="304" customFormat="1" s="16">
      <c r="A304" s="14" t="n">
        <v>83</v>
      </c>
      <c r="B304" s="107" t="inlineStr">
        <is>
          <t>Cửa gió hút khói kèm van OBD KT800x500</t>
        </is>
      </c>
      <c r="C304" s="47" t="inlineStr">
        <is>
          <t>SWIND</t>
        </is>
      </c>
      <c r="D304" s="47" t="inlineStr">
        <is>
          <t>SDG+O</t>
        </is>
      </c>
      <c r="E304" s="108" t="inlineStr">
        <is>
          <t>cái</t>
        </is>
      </c>
      <c r="F304" s="109" t="n">
        <v>8</v>
      </c>
      <c r="G304" s="123" t="n">
        <v>604000</v>
      </c>
      <c r="H304" s="124">
        <f>ROUNDUP(G304*F304, -2)</f>
        <v/>
      </c>
      <c r="I304" s="111" t="inlineStr">
        <is>
          <t>Cửa nan thẳng bầu dục kèm van OBD (tăng áp / hút khói)</t>
        </is>
      </c>
      <c r="J304" s="5" t="n">
        <v>1</v>
      </c>
    </row>
    <row r="305" customFormat="1" s="16">
      <c r="A305" s="14" t="n">
        <v>84</v>
      </c>
      <c r="B305" s="107" t="inlineStr">
        <is>
          <t>Cửa gió hút khói kèm van OBD KT600x600</t>
        </is>
      </c>
      <c r="C305" s="47" t="inlineStr">
        <is>
          <t>SWIND</t>
        </is>
      </c>
      <c r="D305" s="47" t="inlineStr">
        <is>
          <t>SDG+O</t>
        </is>
      </c>
      <c r="E305" s="108" t="inlineStr">
        <is>
          <t>cái</t>
        </is>
      </c>
      <c r="F305" s="109" t="n">
        <v>68</v>
      </c>
      <c r="G305" s="123" t="n">
        <v>546000</v>
      </c>
      <c r="H305" s="124">
        <f>ROUNDUP(G305*F305, -2)</f>
        <v/>
      </c>
      <c r="I305" s="111" t="inlineStr">
        <is>
          <t>Cửa nan thẳng bầu dục kèm van OBD (tăng áp / hút khói)</t>
        </is>
      </c>
      <c r="J305" s="5" t="n">
        <v>1</v>
      </c>
    </row>
    <row r="306" customFormat="1" s="16">
      <c r="A306" s="14" t="n">
        <v>85</v>
      </c>
      <c r="B306" s="107" t="inlineStr">
        <is>
          <t>Cửa gió cấp bù kèm van OBD KT1000x500</t>
        </is>
      </c>
      <c r="C306" s="47" t="inlineStr">
        <is>
          <t>SWIND</t>
        </is>
      </c>
      <c r="D306" s="47" t="inlineStr">
        <is>
          <t>SDG+O</t>
        </is>
      </c>
      <c r="E306" s="108" t="inlineStr">
        <is>
          <t>cái</t>
        </is>
      </c>
      <c r="F306" s="109" t="n">
        <v>18</v>
      </c>
      <c r="G306" s="123" t="n">
        <v>742000</v>
      </c>
      <c r="H306" s="124">
        <f>ROUNDUP(G306*F306, -2)</f>
        <v/>
      </c>
      <c r="I306" s="111" t="inlineStr">
        <is>
          <t>Cửa nan thẳng bầu dục kèm van OBD (tăng áp / hút khói)</t>
        </is>
      </c>
      <c r="J306" s="5" t="n">
        <v>1</v>
      </c>
    </row>
    <row r="307" customFormat="1" s="16">
      <c r="A307" s="14" t="n">
        <v>86</v>
      </c>
      <c r="B307" s="107" t="inlineStr">
        <is>
          <t>Cửa gió tăng áp kèm van OBD KT600x400</t>
        </is>
      </c>
      <c r="C307" s="47" t="inlineStr">
        <is>
          <t>SWIND</t>
        </is>
      </c>
      <c r="D307" s="47" t="inlineStr">
        <is>
          <t>SDG+O</t>
        </is>
      </c>
      <c r="E307" s="108" t="inlineStr">
        <is>
          <t>cái</t>
        </is>
      </c>
      <c r="F307" s="109" t="n">
        <v>28</v>
      </c>
      <c r="G307" s="123" t="n">
        <v>388000</v>
      </c>
      <c r="H307" s="124">
        <f>ROUNDUP(G307*F307, -2)</f>
        <v/>
      </c>
      <c r="I307" s="111" t="inlineStr">
        <is>
          <t>Cửa nan thẳng bầu dục kèm van OBD (tăng áp / hút khói)</t>
        </is>
      </c>
      <c r="J307" s="5" t="n">
        <v>1</v>
      </c>
    </row>
    <row r="308" ht="46.5" customFormat="1" customHeight="1" s="16">
      <c r="A308" s="14" t="n">
        <v>87</v>
      </c>
      <c r="B308" s="107" t="inlineStr">
        <is>
          <t>Van chặn lửa đóng mở bằng mo tơ KT1000x300 EI60</t>
        </is>
      </c>
      <c r="C308" s="47" t="inlineStr">
        <is>
          <t>SWIND</t>
        </is>
      </c>
      <c r="D308" s="47" t="inlineStr">
        <is>
          <t>SWIND-1.03-MFD-EI90</t>
        </is>
      </c>
      <c r="E308" s="108" t="inlineStr">
        <is>
          <t>cái</t>
        </is>
      </c>
      <c r="F308" s="109" t="n">
        <v>7</v>
      </c>
      <c r="G308" s="123" t="n">
        <v>4874725</v>
      </c>
      <c r="H308" s="124">
        <f>ROUNDUP(G308*F308, -2)</f>
        <v/>
      </c>
      <c r="I308" s="111" t="inlineStr">
        <is>
          <t>- Van ngăn cháy động cơ - Tiêu chuẩn EI 90
- 2 đầu bích TDC - Gắn kèm động cơ ON-OFF 5Nm, Hãng KLB
- Sản xuất theo BCTN số 4651/VLXD-TBMT</t>
        </is>
      </c>
      <c r="J308" s="5" t="n">
        <v>1</v>
      </c>
    </row>
    <row r="309" ht="46.5" customFormat="1" customHeight="1" s="16">
      <c r="A309" s="14" t="n">
        <v>88</v>
      </c>
      <c r="B309" s="107" t="inlineStr">
        <is>
          <t>Van chặn lửa đóng mở bằng mo tơ KT1000x500 EI60</t>
        </is>
      </c>
      <c r="C309" s="47" t="inlineStr">
        <is>
          <t>SWIND</t>
        </is>
      </c>
      <c r="D309" s="47" t="inlineStr">
        <is>
          <t>SWIND-1.03-MFD-EI90</t>
        </is>
      </c>
      <c r="E309" s="108" t="inlineStr">
        <is>
          <t>cái</t>
        </is>
      </c>
      <c r="F309" s="109" t="n">
        <v>8</v>
      </c>
      <c r="G309" s="123" t="n">
        <v>5942875</v>
      </c>
      <c r="H309" s="124">
        <f>ROUNDUP(G309*F309, -2)</f>
        <v/>
      </c>
      <c r="I309" s="111" t="inlineStr">
        <is>
          <t>- Van ngăn cháy động cơ - Tiêu chuẩn EI 90
- 2 đầu bích TDC - Gắn kèm động cơ ON-OFF 5Nm, Hãng KLB
- Sản xuất theo BCTN số 4651/VLXD-TBMT</t>
        </is>
      </c>
      <c r="J309" s="5" t="n">
        <v>1</v>
      </c>
    </row>
    <row r="310" ht="46.5" customFormat="1" customHeight="1" s="16">
      <c r="A310" s="14" t="n">
        <v>89</v>
      </c>
      <c r="B310" s="107" t="inlineStr">
        <is>
          <t>Van chặn lửa đóng mở bằng mo tơ KT1000x400 EI60</t>
        </is>
      </c>
      <c r="C310" s="47" t="inlineStr">
        <is>
          <t>SWIND</t>
        </is>
      </c>
      <c r="D310" s="47" t="inlineStr">
        <is>
          <t>SWIND-1.03-MFD-EI90</t>
        </is>
      </c>
      <c r="E310" s="108" t="inlineStr">
        <is>
          <t>cái</t>
        </is>
      </c>
      <c r="F310" s="109" t="n">
        <v>7</v>
      </c>
      <c r="G310" s="123" t="n">
        <v>5408800</v>
      </c>
      <c r="H310" s="124">
        <f>ROUNDUP(G310*F310, -2)</f>
        <v/>
      </c>
      <c r="I310" s="111" t="inlineStr">
        <is>
          <t>- Van ngăn cháy động cơ - Tiêu chuẩn EI 90
- 2 đầu bích TDC - Gắn kèm động cơ ON-OFF 5Nm, Hãng KLB
- Sản xuất theo BCTN số 4651/VLXD-TBMT</t>
        </is>
      </c>
      <c r="J310" s="5" t="n">
        <v>1</v>
      </c>
    </row>
    <row r="311" ht="46.5" customFormat="1" customHeight="1" s="16">
      <c r="A311" s="14" t="n">
        <v>90</v>
      </c>
      <c r="B311" s="107" t="inlineStr">
        <is>
          <t>Van chặn lửa đóng mở bằng mo tơ KT800x300 EI60</t>
        </is>
      </c>
      <c r="C311" s="47" t="inlineStr">
        <is>
          <t>SWIND</t>
        </is>
      </c>
      <c r="D311" s="47" t="inlineStr">
        <is>
          <t>SWIND-1.03-MFD-EI90</t>
        </is>
      </c>
      <c r="E311" s="108" t="inlineStr">
        <is>
          <t>cái</t>
        </is>
      </c>
      <c r="F311" s="109" t="n">
        <v>8</v>
      </c>
      <c r="G311" s="123" t="n">
        <v>4367780</v>
      </c>
      <c r="H311" s="124">
        <f>ROUNDUP(G311*F311, -2)</f>
        <v/>
      </c>
      <c r="I311" s="111" t="inlineStr">
        <is>
          <t>- Van ngăn cháy động cơ - Tiêu chuẩn EI 90
- 2 đầu bích TDC - Gắn kèm động cơ ON-OFF 5Nm, Hãng KLB
- Sản xuất theo BCTN số 4651/VLXD-TBMT</t>
        </is>
      </c>
      <c r="J311" s="5" t="n">
        <v>1</v>
      </c>
    </row>
    <row r="312" customFormat="1" s="16">
      <c r="A312" s="14" t="n">
        <v>91</v>
      </c>
      <c r="B312" s="107" t="inlineStr">
        <is>
          <t>Van chặn lửa KT1000x300 EI60</t>
        </is>
      </c>
      <c r="C312" s="47" t="inlineStr">
        <is>
          <t>SWIND</t>
        </is>
      </c>
      <c r="D312" s="47" t="inlineStr">
        <is>
          <t>SWIND-2.01- E-FD-EI120</t>
        </is>
      </c>
      <c r="E312" s="108" t="inlineStr">
        <is>
          <t>cái</t>
        </is>
      </c>
      <c r="F312" s="109" t="n">
        <v>2</v>
      </c>
      <c r="G312" s="123" t="n">
        <v>3274725</v>
      </c>
      <c r="H312" s="124">
        <f>ROUNDUP(G312*F312, -2)</f>
        <v/>
      </c>
      <c r="I312" s="111" t="inlineStr">
        <is>
          <t>- Van chặn lửa cầu chì - Tiêu chuẩn EI 120
- 2 đầu bích TDC - gắn cầu chì 70-74 độ C
- Sản xuất theo BCTN số: 4761/VLXD-TBMT</t>
        </is>
      </c>
      <c r="J312" s="5" t="n">
        <v>1</v>
      </c>
    </row>
    <row r="313" customFormat="1" s="16">
      <c r="A313" s="14" t="n">
        <v>92</v>
      </c>
      <c r="B313" s="107" t="inlineStr">
        <is>
          <t>Van chặn lửa KT1200x300 EI60</t>
        </is>
      </c>
      <c r="C313" s="47" t="inlineStr">
        <is>
          <t>SWIND</t>
        </is>
      </c>
      <c r="D313" s="47" t="inlineStr">
        <is>
          <t>SWIND-2.01- E-FD-EI120</t>
        </is>
      </c>
      <c r="E313" s="108" t="inlineStr">
        <is>
          <t>cái</t>
        </is>
      </c>
      <c r="F313" s="109" t="n">
        <v>1</v>
      </c>
      <c r="G313" s="123" t="n">
        <v>3781670</v>
      </c>
      <c r="H313" s="124">
        <f>ROUNDUP(G313*F313, -2)</f>
        <v/>
      </c>
      <c r="I313" s="111" t="inlineStr">
        <is>
          <t>- Van chặn lửa cầu chì - Tiêu chuẩn EI 120
- 2 đầu bích TDC - gắn cầu chì 70-74 độ C
- Sản xuất theo BCTN số: 4761/VLXD-TBMT</t>
        </is>
      </c>
      <c r="J313" s="5" t="n">
        <v>1</v>
      </c>
    </row>
    <row r="314" ht="46.5" customFormat="1" customHeight="1" s="16">
      <c r="A314" s="14" t="n">
        <v>93</v>
      </c>
      <c r="B314" s="107" t="inlineStr">
        <is>
          <t>Hộp gió KT 800x500 EI45</t>
        </is>
      </c>
      <c r="C314" s="47" t="inlineStr">
        <is>
          <t>Việt Nam</t>
        </is>
      </c>
      <c r="D314" s="47" t="inlineStr">
        <is>
          <t>Tôn hoa sen Z08- dày 0.75mm</t>
        </is>
      </c>
      <c r="E314" s="108" t="inlineStr">
        <is>
          <t>cái</t>
        </is>
      </c>
      <c r="F314" s="109" t="n">
        <v>8</v>
      </c>
      <c r="G314" s="125" t="n"/>
      <c r="H314" s="111">
        <f>F314*G314</f>
        <v/>
      </c>
      <c r="I314" s="111" t="n"/>
      <c r="J314" s="5" t="n">
        <v>1</v>
      </c>
    </row>
    <row r="315" ht="46.5" customFormat="1" customHeight="1" s="16">
      <c r="A315" s="14" t="n">
        <v>94</v>
      </c>
      <c r="B315" s="107" t="inlineStr">
        <is>
          <t>Hộp gió KT 600x600 EI30</t>
        </is>
      </c>
      <c r="C315" s="47" t="inlineStr">
        <is>
          <t>Việt Nam</t>
        </is>
      </c>
      <c r="D315" s="47" t="inlineStr">
        <is>
          <t>Tôn hoa sen Z08- dày 0.75mm</t>
        </is>
      </c>
      <c r="E315" s="108" t="inlineStr">
        <is>
          <t>cái</t>
        </is>
      </c>
      <c r="F315" s="109" t="n">
        <v>68</v>
      </c>
      <c r="G315" s="110" t="n"/>
      <c r="H315" s="111">
        <f>F315*G315</f>
        <v/>
      </c>
      <c r="I315" s="111" t="n"/>
      <c r="J315" s="5" t="n">
        <v>1</v>
      </c>
    </row>
    <row r="316" ht="46.5" customFormat="1" customHeight="1" s="16">
      <c r="A316" s="14" t="n">
        <v>95</v>
      </c>
      <c r="B316" s="107" t="inlineStr">
        <is>
          <t>Hộp gió KT 1000x500 EI45</t>
        </is>
      </c>
      <c r="C316" s="47" t="inlineStr">
        <is>
          <t>Việt Nam</t>
        </is>
      </c>
      <c r="D316" s="47" t="inlineStr">
        <is>
          <t>Tôn hoa sen Z08- dày 0.75mm</t>
        </is>
      </c>
      <c r="E316" s="108" t="inlineStr">
        <is>
          <t>cái</t>
        </is>
      </c>
      <c r="F316" s="109" t="n">
        <v>18</v>
      </c>
      <c r="G316" s="110" t="n"/>
      <c r="H316" s="111">
        <f>F316*G316</f>
        <v/>
      </c>
      <c r="I316" s="111" t="n"/>
      <c r="J316" s="5" t="n">
        <v>1</v>
      </c>
    </row>
    <row r="317" ht="46.5" customFormat="1" customHeight="1" s="16">
      <c r="A317" s="14" t="n">
        <v>96</v>
      </c>
      <c r="B317" s="107" t="inlineStr">
        <is>
          <t>Hộp gió KT 600x400</t>
        </is>
      </c>
      <c r="C317" s="47" t="inlineStr">
        <is>
          <t>Việt Nam</t>
        </is>
      </c>
      <c r="D317" s="47" t="inlineStr">
        <is>
          <t>Tôn hoa sen Z08- dày 0.75mm</t>
        </is>
      </c>
      <c r="E317" s="108" t="inlineStr">
        <is>
          <t>cái</t>
        </is>
      </c>
      <c r="F317" s="109" t="n">
        <v>28</v>
      </c>
      <c r="G317" s="110" t="n"/>
      <c r="H317" s="111">
        <f>F317*G317</f>
        <v/>
      </c>
      <c r="I317" s="111" t="n"/>
      <c r="J317" s="5" t="n">
        <v>1</v>
      </c>
    </row>
    <row r="318" ht="46.5" customFormat="1" customHeight="1" s="16">
      <c r="A318" s="14" t="n">
        <v>97</v>
      </c>
      <c r="B318" s="107" t="inlineStr">
        <is>
          <t>Louver thải gió kèm lưới chắn côn trùng, KT 500x2750</t>
        </is>
      </c>
      <c r="C318" s="47" t="inlineStr">
        <is>
          <t>SWIND</t>
        </is>
      </c>
      <c r="D318" s="47" t="inlineStr">
        <is>
          <t>WL+N</t>
        </is>
      </c>
      <c r="E318" s="108" t="inlineStr">
        <is>
          <t>cái</t>
        </is>
      </c>
      <c r="F318" s="109" t="n">
        <v>2</v>
      </c>
      <c r="G318" s="123" t="n">
        <v>1961000</v>
      </c>
      <c r="H318" s="124">
        <f>ROUNDUP(G318*F318, -2)</f>
        <v/>
      </c>
      <c r="I318" s="111" t="inlineStr">
        <is>
          <t>Louver nan Z ngoài trời kèm lưới chắn côn trùng Inox 304</t>
        </is>
      </c>
      <c r="J318" s="5" t="n">
        <v>1</v>
      </c>
    </row>
    <row r="319" ht="46.5" customFormat="1" customHeight="1" s="16">
      <c r="A319" s="14" t="n">
        <v>98</v>
      </c>
      <c r="B319" s="107" t="inlineStr">
        <is>
          <t>Louver thải gió kèm lưới chắn côn trùng, KT 600x300</t>
        </is>
      </c>
      <c r="C319" s="47" t="inlineStr">
        <is>
          <t>SWIND</t>
        </is>
      </c>
      <c r="D319" s="47" t="inlineStr">
        <is>
          <t>WL+N</t>
        </is>
      </c>
      <c r="E319" s="108" t="inlineStr">
        <is>
          <t>cái</t>
        </is>
      </c>
      <c r="F319" s="109" t="n">
        <v>5</v>
      </c>
      <c r="G319" s="123" t="n">
        <v>290000</v>
      </c>
      <c r="H319" s="124">
        <f>ROUNDUP(G319*F319, -2)</f>
        <v/>
      </c>
      <c r="I319" s="111" t="inlineStr">
        <is>
          <t>Louver nan Z ngoài trời kèm lưới chắn côn trùng Inox 304</t>
        </is>
      </c>
      <c r="J319" s="5" t="n">
        <v>1</v>
      </c>
    </row>
    <row r="320" ht="46.5" customFormat="1" customHeight="1" s="16">
      <c r="A320" s="14" t="n">
        <v>99</v>
      </c>
      <c r="B320" s="107" t="inlineStr">
        <is>
          <t>Louver thải gió kèm lưới chắn côn trùng, KT 1400x500</t>
        </is>
      </c>
      <c r="C320" s="47" t="inlineStr">
        <is>
          <t>SWIND</t>
        </is>
      </c>
      <c r="D320" s="47" t="inlineStr">
        <is>
          <t>WL+N</t>
        </is>
      </c>
      <c r="E320" s="108" t="inlineStr">
        <is>
          <t>cái</t>
        </is>
      </c>
      <c r="F320" s="109" t="n">
        <v>1</v>
      </c>
      <c r="G320" s="123" t="n">
        <v>983000</v>
      </c>
      <c r="H320" s="124">
        <f>ROUNDUP(G320*F320, -2)</f>
        <v/>
      </c>
      <c r="I320" s="111" t="inlineStr">
        <is>
          <t>Louver nan Z ngoài trời kèm lưới chắn côn trùng Inox 304</t>
        </is>
      </c>
      <c r="J320" s="5" t="n">
        <v>1</v>
      </c>
    </row>
    <row r="321" ht="46.5" customFormat="1" customHeight="1" s="16">
      <c r="A321" s="14" t="n">
        <v>100</v>
      </c>
      <c r="B321" s="107" t="inlineStr">
        <is>
          <t>Louver thải gió kèm lưới chắn côn trùng, KT 1200x300</t>
        </is>
      </c>
      <c r="C321" s="47" t="inlineStr">
        <is>
          <t>SWIND</t>
        </is>
      </c>
      <c r="D321" s="47" t="inlineStr">
        <is>
          <t>WL+N</t>
        </is>
      </c>
      <c r="E321" s="108" t="inlineStr">
        <is>
          <t>cái</t>
        </is>
      </c>
      <c r="F321" s="109" t="n">
        <v>1</v>
      </c>
      <c r="G321" s="123" t="n">
        <v>556000</v>
      </c>
      <c r="H321" s="124">
        <f>ROUNDUP(G321*F321, -2)</f>
        <v/>
      </c>
      <c r="I321" s="111" t="inlineStr">
        <is>
          <t>Louver nan Z ngoài trời kèm lưới chắn côn trùng Inox 304</t>
        </is>
      </c>
      <c r="J321" s="5" t="n">
        <v>1</v>
      </c>
    </row>
    <row r="322" ht="46.5" customFormat="1" customHeight="1" s="16">
      <c r="A322" s="14" t="n">
        <v>101</v>
      </c>
      <c r="B322" s="107" t="inlineStr">
        <is>
          <t>Louver thải gió kèm lưới chắn côn trùng, KT 1000x500</t>
        </is>
      </c>
      <c r="C322" s="47" t="inlineStr">
        <is>
          <t>SWIND</t>
        </is>
      </c>
      <c r="D322" s="47" t="inlineStr">
        <is>
          <t>WL+N</t>
        </is>
      </c>
      <c r="E322" s="108" t="inlineStr">
        <is>
          <t>cái</t>
        </is>
      </c>
      <c r="F322" s="109" t="n">
        <v>5</v>
      </c>
      <c r="G322" s="123" t="n">
        <v>713000</v>
      </c>
      <c r="H322" s="124">
        <f>ROUNDUP(G322*F322, -2)</f>
        <v/>
      </c>
      <c r="I322" s="111" t="inlineStr">
        <is>
          <t>Louver nan Z ngoài trời kèm lưới chắn côn trùng Inox 304</t>
        </is>
      </c>
      <c r="J322" s="5" t="n">
        <v>1</v>
      </c>
    </row>
    <row r="323" ht="46.5" customFormat="1" customHeight="1" s="16">
      <c r="A323" s="14" t="n">
        <v>102</v>
      </c>
      <c r="B323" s="107" t="inlineStr">
        <is>
          <t>Louver thải gió kèm lưới chắn côn trùng, KT 1210x400</t>
        </is>
      </c>
      <c r="C323" s="47" t="inlineStr">
        <is>
          <t>SWIND</t>
        </is>
      </c>
      <c r="D323" s="47" t="inlineStr">
        <is>
          <t>WL+N</t>
        </is>
      </c>
      <c r="E323" s="108" t="inlineStr">
        <is>
          <t>cái</t>
        </is>
      </c>
      <c r="F323" s="109" t="n">
        <v>2</v>
      </c>
      <c r="G323" s="123" t="n">
        <v>708000</v>
      </c>
      <c r="H323" s="124">
        <f>ROUNDUP(G323*F323, -2)</f>
        <v/>
      </c>
      <c r="I323" s="111" t="inlineStr">
        <is>
          <t>Louver nan Z ngoài trời kèm lưới chắn côn trùng Inox 304</t>
        </is>
      </c>
      <c r="J323" s="5" t="n">
        <v>1</v>
      </c>
    </row>
    <row r="324" ht="46.5" customFormat="1" customHeight="1" s="16">
      <c r="A324" s="14" t="n">
        <v>102</v>
      </c>
      <c r="B324" s="107" t="inlineStr">
        <is>
          <t>Lắp đặt dây dẫn 3x1,5mm2 chống cháy cho HT hút khói</t>
        </is>
      </c>
      <c r="C324" s="47" t="inlineStr">
        <is>
          <t>Cadisun/ Việt Nam</t>
        </is>
      </c>
      <c r="D324" s="47" t="n"/>
      <c r="E324" s="108" t="inlineStr">
        <is>
          <t>m</t>
        </is>
      </c>
      <c r="F324" s="109" t="n">
        <v>80</v>
      </c>
      <c r="G324" s="122" t="n"/>
      <c r="H324" s="111">
        <f>F324*G324</f>
        <v/>
      </c>
      <c r="I324" s="111" t="n"/>
      <c r="J324" s="5" t="n">
        <v>1</v>
      </c>
    </row>
    <row r="325" ht="46.5" customFormat="1" customHeight="1" s="16">
      <c r="A325" s="14" t="n">
        <v>103</v>
      </c>
      <c r="B325" s="107" t="inlineStr">
        <is>
          <t>Lắp đặt dây dẫn 2 ruột 2x1,5mm2 chống cháy cho HT hút khói</t>
        </is>
      </c>
      <c r="C325" s="47" t="inlineStr">
        <is>
          <t>LS/Huviron/tđ</t>
        </is>
      </c>
      <c r="D325" s="47" t="n"/>
      <c r="E325" s="108" t="inlineStr">
        <is>
          <t>m</t>
        </is>
      </c>
      <c r="F325" s="109" t="n">
        <v>987</v>
      </c>
      <c r="G325" s="122" t="n"/>
      <c r="H325" s="111">
        <f>F325*G325</f>
        <v/>
      </c>
      <c r="I325" s="111" t="n"/>
      <c r="J325" s="5" t="n">
        <v>1</v>
      </c>
    </row>
    <row r="326" customFormat="1" s="16">
      <c r="A326" s="14" t="n">
        <v>104</v>
      </c>
      <c r="B326" s="107" t="inlineStr">
        <is>
          <t>Lắp đặt ống nhựa, D20mm</t>
        </is>
      </c>
      <c r="C326" s="47" t="inlineStr">
        <is>
          <t>SP/ Việt Nam</t>
        </is>
      </c>
      <c r="D326" s="47" t="n"/>
      <c r="E326" s="108" t="inlineStr">
        <is>
          <t>m</t>
        </is>
      </c>
      <c r="F326" s="109" t="n">
        <v>1067</v>
      </c>
      <c r="G326" s="110" t="n"/>
      <c r="H326" s="111">
        <f>F326*G326</f>
        <v/>
      </c>
      <c r="I326" s="111" t="n"/>
      <c r="J326" s="5" t="n">
        <v>1</v>
      </c>
    </row>
    <row r="327" ht="46.5" customFormat="1" customHeight="1" s="16">
      <c r="A327" s="14" t="n">
        <v>105</v>
      </c>
      <c r="B327" s="107" t="inlineStr">
        <is>
          <t>Lắp đặt dây dẫn chống cháy 4x1,5mm cho HT hút khói</t>
        </is>
      </c>
      <c r="C327" s="47" t="inlineStr">
        <is>
          <t>Cadisun/ Việt Nam</t>
        </is>
      </c>
      <c r="D327" s="47" t="n"/>
      <c r="E327" s="108" t="inlineStr">
        <is>
          <t>m</t>
        </is>
      </c>
      <c r="F327" s="109" t="n">
        <v>128</v>
      </c>
      <c r="G327" s="122" t="n"/>
      <c r="H327" s="111">
        <f>F327*G327</f>
        <v/>
      </c>
      <c r="I327" s="111" t="n"/>
      <c r="J327" s="5" t="n">
        <v>1</v>
      </c>
    </row>
    <row r="328" customFormat="1" s="16">
      <c r="A328" s="14" t="n">
        <v>106</v>
      </c>
      <c r="B328" s="107" t="inlineStr">
        <is>
          <t>Lắp đặt ống xoắn HDPE D40mm HT hút khói</t>
        </is>
      </c>
      <c r="C328" s="47" t="inlineStr">
        <is>
          <t>Open/ Việt Nam</t>
        </is>
      </c>
      <c r="D328" s="47" t="n"/>
      <c r="E328" s="108" t="inlineStr">
        <is>
          <t>m</t>
        </is>
      </c>
      <c r="F328" s="109" t="n">
        <v>128</v>
      </c>
      <c r="G328" s="110" t="n"/>
      <c r="H328" s="111">
        <f>F328*G328</f>
        <v/>
      </c>
      <c r="I328" s="111" t="n"/>
      <c r="J328" s="5" t="n">
        <v>1</v>
      </c>
    </row>
    <row r="329" customFormat="1" s="16">
      <c r="A329" s="14" t="n">
        <v>107</v>
      </c>
      <c r="B329" s="107" t="inlineStr">
        <is>
          <t>Giá đỡ ống gió (Thép V4)</t>
        </is>
      </c>
      <c r="C329" s="47" t="inlineStr">
        <is>
          <t>Toàn Phát/VN</t>
        </is>
      </c>
      <c r="D329" s="47" t="n"/>
      <c r="E329" s="108" t="inlineStr">
        <is>
          <t>bộ</t>
        </is>
      </c>
      <c r="F329" s="109" t="n">
        <v>877</v>
      </c>
      <c r="G329" s="110" t="n"/>
      <c r="H329" s="111">
        <f>F329*G329</f>
        <v/>
      </c>
      <c r="I329" s="111" t="n"/>
      <c r="J329" s="5" t="n">
        <v>1</v>
      </c>
    </row>
    <row r="330" customFormat="1" s="16">
      <c r="A330" s="14" t="n">
        <v>108</v>
      </c>
      <c r="B330" s="107" t="inlineStr">
        <is>
          <t>Vật tư phụ (gioăng, silicon, ecu, long đen,…)</t>
        </is>
      </c>
      <c r="C330" s="47" t="inlineStr">
        <is>
          <t>Việt Nam</t>
        </is>
      </c>
      <c r="D330" s="47" t="n"/>
      <c r="E330" s="108" t="inlineStr">
        <is>
          <t>lô</t>
        </is>
      </c>
      <c r="F330" s="109" t="n">
        <v>1</v>
      </c>
      <c r="G330" s="117" t="n"/>
      <c r="H330" s="111">
        <f>F330*G330</f>
        <v/>
      </c>
      <c r="I330" s="111" t="n"/>
      <c r="J330" s="5" t="n">
        <v>1</v>
      </c>
    </row>
    <row r="331" customFormat="1" s="16">
      <c r="A331" s="14" t="n">
        <v>109</v>
      </c>
      <c r="B331" s="107" t="inlineStr">
        <is>
          <t>Vận chuyển vật tư, thiết bị</t>
        </is>
      </c>
      <c r="C331" s="47" t="inlineStr">
        <is>
          <t>Việt Nam</t>
        </is>
      </c>
      <c r="D331" s="47" t="n"/>
      <c r="E331" s="108" t="inlineStr">
        <is>
          <t>HT</t>
        </is>
      </c>
      <c r="F331" s="109" t="n">
        <v>1</v>
      </c>
      <c r="G331" s="117" t="n"/>
      <c r="H331" s="111">
        <f>F331*G331</f>
        <v/>
      </c>
      <c r="I331" s="111" t="n"/>
      <c r="J331" s="5" t="n">
        <v>1</v>
      </c>
    </row>
    <row r="332" ht="22.5" customFormat="1" customHeight="1" s="36">
      <c r="A332" s="37" t="inlineStr">
        <is>
          <t>III</t>
        </is>
      </c>
      <c r="B332" s="101" t="inlineStr">
        <is>
          <t>KHỐI NHÀ B</t>
        </is>
      </c>
      <c r="C332" s="59" t="n"/>
      <c r="D332" s="59" t="n"/>
      <c r="E332" s="100" t="n"/>
      <c r="F332" s="104" t="n"/>
      <c r="G332" s="105" t="n"/>
      <c r="H332" s="106" t="n"/>
      <c r="I332" s="106" t="n"/>
      <c r="J332" s="35" t="n">
        <v>1</v>
      </c>
    </row>
    <row r="333" ht="22.5" customFormat="1" customHeight="1" s="36">
      <c r="A333" s="37" t="inlineStr">
        <is>
          <t>III.1</t>
        </is>
      </c>
      <c r="B333" s="101" t="inlineStr">
        <is>
          <t>HỆ THỐNG CHỮA CHÁY</t>
        </is>
      </c>
      <c r="C333" s="59" t="n"/>
      <c r="D333" s="59" t="n"/>
      <c r="E333" s="100" t="n"/>
      <c r="F333" s="104" t="n"/>
      <c r="G333" s="105" t="n"/>
      <c r="H333" s="106" t="n"/>
      <c r="I333" s="106" t="n"/>
      <c r="J333" s="35" t="n">
        <v>1</v>
      </c>
    </row>
    <row r="334" hidden="1" ht="46.5" customFormat="1" customHeight="1" s="16">
      <c r="A334" s="14" t="n">
        <v>1</v>
      </c>
      <c r="B334" s="107" t="inlineStr">
        <is>
          <t>Lắp đặt ống thép đen bằng phương pháp hàn, đoạn ống dài 6m, đường kính ống d=100mm</t>
        </is>
      </c>
      <c r="C334" s="47" t="inlineStr">
        <is>
          <t>Việt Đức/Sao Việt/tđ</t>
        </is>
      </c>
      <c r="D334" s="47" t="inlineStr">
        <is>
          <t>độ dày 3,2mm</t>
        </is>
      </c>
      <c r="E334" s="108" t="inlineStr">
        <is>
          <t>m</t>
        </is>
      </c>
      <c r="F334" s="109" t="n">
        <v>265</v>
      </c>
      <c r="G334" s="110" t="n"/>
      <c r="H334" s="111" t="n"/>
      <c r="I334" s="111" t="n"/>
      <c r="J334" s="5" t="n"/>
    </row>
    <row r="335" hidden="1" ht="46.5" customFormat="1" customHeight="1" s="16">
      <c r="A335" s="14" t="n">
        <v>2</v>
      </c>
      <c r="B335" s="107" t="inlineStr">
        <is>
          <t>Lắp đặt ống thép đen bằng phương pháp hàn, đoạn ống dài 6m, đường kính ống d=65mm</t>
        </is>
      </c>
      <c r="C335" s="47" t="inlineStr">
        <is>
          <t>Việt Đức/Sao Việt/tđ</t>
        </is>
      </c>
      <c r="D335" s="47" t="inlineStr">
        <is>
          <t>độ dày 2,8mm</t>
        </is>
      </c>
      <c r="E335" s="108" t="inlineStr">
        <is>
          <t>m</t>
        </is>
      </c>
      <c r="F335" s="109" t="n">
        <v>56</v>
      </c>
      <c r="G335" s="110" t="n"/>
      <c r="H335" s="111" t="n"/>
      <c r="I335" s="111" t="n"/>
      <c r="J335" s="5" t="n"/>
    </row>
    <row r="336" hidden="1" ht="69.75" customFormat="1" customHeight="1" s="16">
      <c r="A336" s="14" t="n">
        <v>3</v>
      </c>
      <c r="B336" s="107" t="inlineStr">
        <is>
          <t>Lắp đặt ống thép tráng kẽm bằng phương pháp măng xông, đoạn ống dài 6m, đường kính ống d=40mm</t>
        </is>
      </c>
      <c r="C336" s="47" t="inlineStr">
        <is>
          <t>Chính đại/Hòa Phát/ tương đương</t>
        </is>
      </c>
      <c r="D336" s="47" t="inlineStr">
        <is>
          <t>độ dày 2,5mm</t>
        </is>
      </c>
      <c r="E336" s="108" t="inlineStr">
        <is>
          <t>m</t>
        </is>
      </c>
      <c r="F336" s="109" t="n">
        <v>15</v>
      </c>
      <c r="G336" s="110" t="n"/>
      <c r="H336" s="111" t="n"/>
      <c r="I336" s="111" t="n"/>
      <c r="J336" s="5" t="n"/>
    </row>
    <row r="337" hidden="1" ht="69.75" customFormat="1" customHeight="1" s="16">
      <c r="A337" s="14" t="n">
        <v>4</v>
      </c>
      <c r="B337" s="107" t="inlineStr">
        <is>
          <t>Lắp đặt ống thép tráng kẽm bằng phương pháp măng xông, đoạn ống dài 6m, đường kính ống d=32mm</t>
        </is>
      </c>
      <c r="C337" s="47" t="inlineStr">
        <is>
          <t>Chính đại/Hòa Phát/ tương đương</t>
        </is>
      </c>
      <c r="D337" s="47" t="inlineStr">
        <is>
          <t>độ dày 2,6mm</t>
        </is>
      </c>
      <c r="E337" s="108" t="inlineStr">
        <is>
          <t>m</t>
        </is>
      </c>
      <c r="F337" s="109" t="n">
        <v>27</v>
      </c>
      <c r="G337" s="110" t="n"/>
      <c r="H337" s="111" t="n"/>
      <c r="I337" s="111" t="n"/>
      <c r="J337" s="5" t="n"/>
    </row>
    <row r="338" hidden="1" ht="69.75" customFormat="1" customHeight="1" s="16">
      <c r="A338" s="14" t="n">
        <v>5</v>
      </c>
      <c r="B338" s="107" t="inlineStr">
        <is>
          <t>Lắp đặt ống thép tráng kẽm bằng phương pháp măng xông, đoạn ống dài 6m, đường kính ống d=25mm</t>
        </is>
      </c>
      <c r="C338" s="47" t="inlineStr">
        <is>
          <t>Chính đại/Hòa Phát/ tương đương</t>
        </is>
      </c>
      <c r="D338" s="47" t="inlineStr">
        <is>
          <t>độ dày 2,6mm</t>
        </is>
      </c>
      <c r="E338" s="108" t="inlineStr">
        <is>
          <t>m</t>
        </is>
      </c>
      <c r="F338" s="109" t="n">
        <v>367</v>
      </c>
      <c r="G338" s="110" t="n"/>
      <c r="H338" s="111" t="n"/>
      <c r="I338" s="111" t="n"/>
      <c r="J338" s="5" t="n"/>
    </row>
    <row r="339" hidden="1" customFormat="1" s="16">
      <c r="A339" s="14" t="n">
        <v>6</v>
      </c>
      <c r="B339" s="107" t="inlineStr">
        <is>
          <t>Công tắc dòng chảy</t>
        </is>
      </c>
      <c r="C339" s="47" t="inlineStr">
        <is>
          <t>Trung Quốc</t>
        </is>
      </c>
      <c r="D339" s="47" t="n"/>
      <c r="E339" s="108" t="inlineStr">
        <is>
          <t>cái</t>
        </is>
      </c>
      <c r="F339" s="109" t="n">
        <v>4</v>
      </c>
      <c r="G339" s="110" t="n"/>
      <c r="H339" s="111" t="n"/>
      <c r="I339" s="111" t="n"/>
      <c r="J339" s="5" t="n"/>
    </row>
    <row r="340" hidden="1" ht="66.75" customFormat="1" customHeight="1" s="16">
      <c r="A340" s="14" t="n">
        <v>7</v>
      </c>
      <c r="B340" s="107" t="inlineStr">
        <is>
          <t>Van cổng tín hiệu D100</t>
        </is>
      </c>
      <c r="C340" s="47" t="inlineStr">
        <is>
          <t>Baoding valvula</t>
        </is>
      </c>
      <c r="D340" s="47" t="n"/>
      <c r="E340" s="108" t="inlineStr">
        <is>
          <t>cái</t>
        </is>
      </c>
      <c r="F340" s="109" t="n">
        <v>8</v>
      </c>
      <c r="G340" s="110" t="n"/>
      <c r="H340" s="111" t="n"/>
      <c r="I340" s="111" t="n"/>
      <c r="J340" s="5" t="n"/>
    </row>
    <row r="341" hidden="1" customFormat="1" s="16">
      <c r="A341" s="14" t="n">
        <v>8</v>
      </c>
      <c r="B341" s="107" t="inlineStr">
        <is>
          <t>Van xả khí D25</t>
        </is>
      </c>
      <c r="C341" s="47" t="inlineStr">
        <is>
          <t>Baoding Valvula</t>
        </is>
      </c>
      <c r="D341" s="47" t="n"/>
      <c r="E341" s="108" t="inlineStr">
        <is>
          <t>cái</t>
        </is>
      </c>
      <c r="F341" s="109" t="n">
        <v>4</v>
      </c>
      <c r="G341" s="110" t="n"/>
      <c r="H341" s="111" t="n"/>
      <c r="I341" s="111" t="n"/>
      <c r="J341" s="5" t="n"/>
    </row>
    <row r="342" hidden="1" customFormat="1" s="16">
      <c r="A342" s="14" t="n">
        <v>9</v>
      </c>
      <c r="B342" s="107" t="inlineStr">
        <is>
          <t>Van bi hợp kim tay gạt D25</t>
        </is>
      </c>
      <c r="C342" s="47" t="inlineStr">
        <is>
          <t>Miha/ Việt Nam</t>
        </is>
      </c>
      <c r="D342" s="47" t="n"/>
      <c r="E342" s="108" t="inlineStr">
        <is>
          <t>cái</t>
        </is>
      </c>
      <c r="F342" s="109" t="n">
        <v>4</v>
      </c>
      <c r="G342" s="110" t="n"/>
      <c r="H342" s="111" t="n"/>
      <c r="I342" s="111" t="n"/>
      <c r="J342" s="5" t="n"/>
    </row>
    <row r="343" hidden="1" customFormat="1" s="16">
      <c r="A343" s="14" t="n">
        <v>10</v>
      </c>
      <c r="B343" s="107" t="inlineStr">
        <is>
          <t>Bích thép rỗng D100 10K BS</t>
        </is>
      </c>
      <c r="C343" s="47" t="inlineStr">
        <is>
          <t>Cangzhou/TQ</t>
        </is>
      </c>
      <c r="D343" s="47" t="n"/>
      <c r="E343" s="108" t="inlineStr">
        <is>
          <t>cái</t>
        </is>
      </c>
      <c r="F343" s="109" t="n">
        <v>16</v>
      </c>
      <c r="G343" s="110" t="n"/>
      <c r="H343" s="111" t="n"/>
      <c r="I343" s="111" t="n"/>
      <c r="J343" s="5" t="n"/>
    </row>
    <row r="344" hidden="1" customFormat="1" s="16">
      <c r="A344" s="14" t="n">
        <v>11</v>
      </c>
      <c r="B344" s="107" t="inlineStr">
        <is>
          <t>Đồng hồ đo áp kèm van khóa D15</t>
        </is>
      </c>
      <c r="C344" s="47" t="inlineStr">
        <is>
          <t>Baoding Valvula</t>
        </is>
      </c>
      <c r="D344" s="47" t="n"/>
      <c r="E344" s="108" t="inlineStr">
        <is>
          <t>cái</t>
        </is>
      </c>
      <c r="F344" s="109" t="n">
        <v>4</v>
      </c>
      <c r="G344" s="110" t="n"/>
      <c r="H344" s="111" t="n"/>
      <c r="I344" s="111" t="n"/>
      <c r="J344" s="5" t="n"/>
    </row>
    <row r="345" hidden="1" customFormat="1" s="16">
      <c r="A345" s="14" t="n">
        <v>12</v>
      </c>
      <c r="B345" s="107" t="inlineStr">
        <is>
          <t>Thép V5 đen</t>
        </is>
      </c>
      <c r="C345" s="47" t="inlineStr">
        <is>
          <t>Việt Nam</t>
        </is>
      </c>
      <c r="D345" s="47" t="n"/>
      <c r="E345" s="108" t="inlineStr">
        <is>
          <t>m</t>
        </is>
      </c>
      <c r="F345" s="109" t="n">
        <v>132</v>
      </c>
      <c r="G345" s="110" t="n"/>
      <c r="H345" s="111" t="n"/>
      <c r="I345" s="111" t="n"/>
      <c r="J345" s="5" t="n"/>
    </row>
    <row r="346" hidden="1" customFormat="1" s="16">
      <c r="A346" s="14" t="n">
        <v>13</v>
      </c>
      <c r="B346" s="107" t="inlineStr">
        <is>
          <t>Ty ren treo ống M10</t>
        </is>
      </c>
      <c r="C346" s="47" t="inlineStr">
        <is>
          <t>Việt Nam</t>
        </is>
      </c>
      <c r="D346" s="47" t="n"/>
      <c r="E346" s="108" t="inlineStr">
        <is>
          <t>m</t>
        </is>
      </c>
      <c r="F346" s="109" t="n">
        <v>308</v>
      </c>
      <c r="G346" s="110" t="n"/>
      <c r="H346" s="111" t="n"/>
      <c r="I346" s="111" t="n"/>
      <c r="J346" s="5" t="n"/>
    </row>
    <row r="347" hidden="1" customFormat="1" s="16">
      <c r="A347" s="14" t="n">
        <v>14</v>
      </c>
      <c r="B347" s="107" t="inlineStr">
        <is>
          <t>Tê đều thép hàn đen D100</t>
        </is>
      </c>
      <c r="C347" s="47" t="inlineStr">
        <is>
          <t>Cangzhou/TQ</t>
        </is>
      </c>
      <c r="D347" s="47" t="n"/>
      <c r="E347" s="108" t="inlineStr">
        <is>
          <t>cái</t>
        </is>
      </c>
      <c r="F347" s="109" t="n">
        <v>18</v>
      </c>
      <c r="G347" s="110" t="n"/>
      <c r="H347" s="111" t="n"/>
      <c r="I347" s="111" t="n"/>
      <c r="J347" s="5" t="n"/>
    </row>
    <row r="348" hidden="1" customFormat="1" s="16">
      <c r="A348" s="14" t="n">
        <v>15</v>
      </c>
      <c r="B348" s="107" t="inlineStr">
        <is>
          <t>Tê thu thép hàn đen D100/65</t>
        </is>
      </c>
      <c r="C348" s="47" t="inlineStr">
        <is>
          <t>Cangzhou/TQ</t>
        </is>
      </c>
      <c r="D348" s="47" t="n"/>
      <c r="E348" s="108" t="inlineStr">
        <is>
          <t>cái</t>
        </is>
      </c>
      <c r="F348" s="109" t="n">
        <v>10</v>
      </c>
      <c r="G348" s="110" t="n"/>
      <c r="H348" s="111" t="n"/>
      <c r="I348" s="111" t="n"/>
      <c r="J348" s="5" t="n"/>
    </row>
    <row r="349" hidden="1" ht="46.5" customFormat="1" customHeight="1" s="16">
      <c r="A349" s="14" t="n">
        <v>16</v>
      </c>
      <c r="B349" s="107" t="inlineStr">
        <is>
          <t>Tê đều thép ren mạ kẽm D40</t>
        </is>
      </c>
      <c r="C349" s="47" t="inlineStr">
        <is>
          <t>Shanxi/Trung Quốc</t>
        </is>
      </c>
      <c r="D349" s="47" t="n"/>
      <c r="E349" s="108" t="inlineStr">
        <is>
          <t>cái</t>
        </is>
      </c>
      <c r="F349" s="109" t="n">
        <v>1</v>
      </c>
      <c r="G349" s="110" t="n"/>
      <c r="H349" s="111" t="n"/>
      <c r="I349" s="111" t="n"/>
      <c r="J349" s="5" t="n"/>
    </row>
    <row r="350" hidden="1" ht="46.5" customFormat="1" customHeight="1" s="16">
      <c r="A350" s="14" t="n">
        <v>17</v>
      </c>
      <c r="B350" s="107" t="inlineStr">
        <is>
          <t>Tê thu thép ren mạ kẽm D40/32</t>
        </is>
      </c>
      <c r="C350" s="47" t="inlineStr">
        <is>
          <t>Shanxi/Trung Quốc</t>
        </is>
      </c>
      <c r="D350" s="47" t="n"/>
      <c r="E350" s="108" t="inlineStr">
        <is>
          <t>cái</t>
        </is>
      </c>
      <c r="F350" s="109" t="n">
        <v>1</v>
      </c>
      <c r="G350" s="110" t="n"/>
      <c r="H350" s="111" t="n"/>
      <c r="I350" s="111" t="n"/>
      <c r="J350" s="5" t="n"/>
    </row>
    <row r="351" hidden="1" ht="46.5" customFormat="1" customHeight="1" s="16">
      <c r="A351" s="14" t="n">
        <v>18</v>
      </c>
      <c r="B351" s="107" t="inlineStr">
        <is>
          <t>Tê thu thép ren mạ kẽm D32/25</t>
        </is>
      </c>
      <c r="C351" s="47" t="inlineStr">
        <is>
          <t>Shanxi/Trung Quốc</t>
        </is>
      </c>
      <c r="D351" s="47" t="n"/>
      <c r="E351" s="108" t="inlineStr">
        <is>
          <t>cái</t>
        </is>
      </c>
      <c r="F351" s="109" t="n">
        <v>1</v>
      </c>
      <c r="G351" s="110" t="n"/>
      <c r="H351" s="111" t="n"/>
      <c r="I351" s="111" t="n"/>
      <c r="J351" s="5" t="n"/>
    </row>
    <row r="352" hidden="1" ht="46.5" customFormat="1" customHeight="1" s="16">
      <c r="A352" s="14" t="n">
        <v>19</v>
      </c>
      <c r="B352" s="107" t="inlineStr">
        <is>
          <t>Tê đều thép ren mạ kẽm D25</t>
        </is>
      </c>
      <c r="C352" s="47" t="inlineStr">
        <is>
          <t>Shanxi/Trung Quốc</t>
        </is>
      </c>
      <c r="D352" s="47" t="n"/>
      <c r="E352" s="108" t="inlineStr">
        <is>
          <t>cái</t>
        </is>
      </c>
      <c r="F352" s="109" t="n">
        <v>22</v>
      </c>
      <c r="G352" s="110" t="n"/>
      <c r="H352" s="111" t="n"/>
      <c r="I352" s="111" t="n"/>
      <c r="J352" s="5" t="n"/>
    </row>
    <row r="353" hidden="1" ht="46.5" customFormat="1" customHeight="1" s="16">
      <c r="A353" s="14" t="n">
        <v>20</v>
      </c>
      <c r="B353" s="107" t="inlineStr">
        <is>
          <t>Côn thu thép ren mạ kẽm D40/32</t>
        </is>
      </c>
      <c r="C353" s="47" t="inlineStr">
        <is>
          <t>Shanxi/Trung Quốc</t>
        </is>
      </c>
      <c r="D353" s="47" t="n"/>
      <c r="E353" s="108" t="inlineStr">
        <is>
          <t>cái</t>
        </is>
      </c>
      <c r="F353" s="109" t="n">
        <v>1</v>
      </c>
      <c r="G353" s="110" t="n"/>
      <c r="H353" s="111" t="n"/>
      <c r="I353" s="111" t="n"/>
      <c r="J353" s="5" t="n"/>
    </row>
    <row r="354" hidden="1" ht="46.5" customFormat="1" customHeight="1" s="16">
      <c r="A354" s="14" t="n">
        <v>21</v>
      </c>
      <c r="B354" s="107" t="inlineStr">
        <is>
          <t>Côn thu thép ren mạ kẽm D32/25</t>
        </is>
      </c>
      <c r="C354" s="47" t="inlineStr">
        <is>
          <t>Shanxi/Trung Quốc</t>
        </is>
      </c>
      <c r="D354" s="47" t="n"/>
      <c r="E354" s="108" t="inlineStr">
        <is>
          <t>cái</t>
        </is>
      </c>
      <c r="F354" s="109" t="n">
        <v>1</v>
      </c>
      <c r="G354" s="110" t="n"/>
      <c r="H354" s="111" t="n"/>
      <c r="I354" s="111" t="n"/>
      <c r="J354" s="5" t="n"/>
    </row>
    <row r="355" hidden="1" ht="46.5" customFormat="1" customHeight="1" s="16">
      <c r="A355" s="14" t="n">
        <v>22</v>
      </c>
      <c r="B355" s="107" t="inlineStr">
        <is>
          <t>Côn thu thép ren mạ kẽm D25/15</t>
        </is>
      </c>
      <c r="C355" s="47" t="inlineStr">
        <is>
          <t>Shanxi/Trung Quốc</t>
        </is>
      </c>
      <c r="D355" s="47" t="n"/>
      <c r="E355" s="108" t="inlineStr">
        <is>
          <t>cái</t>
        </is>
      </c>
      <c r="F355" s="109" t="n">
        <v>122</v>
      </c>
      <c r="G355" s="110" t="n"/>
      <c r="H355" s="111" t="n"/>
      <c r="I355" s="111" t="n"/>
      <c r="J355" s="5" t="n"/>
    </row>
    <row r="356" hidden="1" ht="46.5" customFormat="1" customHeight="1" s="16">
      <c r="A356" s="14" t="n">
        <v>23</v>
      </c>
      <c r="B356" s="107" t="inlineStr">
        <is>
          <t>Kép thép ren mạ kẽm D40</t>
        </is>
      </c>
      <c r="C356" s="47" t="inlineStr">
        <is>
          <t>Shanxi/Trung Quốc</t>
        </is>
      </c>
      <c r="D356" s="47" t="n"/>
      <c r="E356" s="108" t="inlineStr">
        <is>
          <t>cái</t>
        </is>
      </c>
      <c r="F356" s="109" t="n">
        <v>1</v>
      </c>
      <c r="G356" s="110" t="n"/>
      <c r="H356" s="111" t="n"/>
      <c r="I356" s="111" t="n"/>
      <c r="J356" s="5" t="n"/>
    </row>
    <row r="357" hidden="1" ht="46.5" customFormat="1" customHeight="1" s="16">
      <c r="A357" s="14" t="n">
        <v>24</v>
      </c>
      <c r="B357" s="107" t="inlineStr">
        <is>
          <t>Kép thép ren mạ kẽm D32</t>
        </is>
      </c>
      <c r="C357" s="47" t="inlineStr">
        <is>
          <t>Shanxi/Trung Quốc</t>
        </is>
      </c>
      <c r="D357" s="47" t="n"/>
      <c r="E357" s="108" t="inlineStr">
        <is>
          <t>cái</t>
        </is>
      </c>
      <c r="F357" s="109" t="n">
        <v>1</v>
      </c>
      <c r="G357" s="110" t="n"/>
      <c r="H357" s="111" t="n"/>
      <c r="I357" s="111" t="n"/>
      <c r="J357" s="5" t="n"/>
    </row>
    <row r="358" hidden="1" customFormat="1" s="16">
      <c r="A358" s="14" t="n">
        <v>25</v>
      </c>
      <c r="B358" s="107" t="inlineStr">
        <is>
          <t>Cút thép hàn đen D100</t>
        </is>
      </c>
      <c r="C358" s="47" t="inlineStr">
        <is>
          <t>Cangzhou/TQ</t>
        </is>
      </c>
      <c r="D358" s="47" t="n"/>
      <c r="E358" s="108" t="inlineStr">
        <is>
          <t>cái</t>
        </is>
      </c>
      <c r="F358" s="109" t="n">
        <v>27</v>
      </c>
      <c r="G358" s="110" t="n"/>
      <c r="H358" s="111" t="n"/>
      <c r="I358" s="111" t="n"/>
      <c r="J358" s="5" t="n"/>
    </row>
    <row r="359" hidden="1" customFormat="1" s="16">
      <c r="A359" s="14" t="n">
        <v>26</v>
      </c>
      <c r="B359" s="107" t="inlineStr">
        <is>
          <t>Cút thép hàn đen D65</t>
        </is>
      </c>
      <c r="C359" s="47" t="inlineStr">
        <is>
          <t>Cangzhou/TQ</t>
        </is>
      </c>
      <c r="D359" s="47" t="n"/>
      <c r="E359" s="108" t="inlineStr">
        <is>
          <t>cái</t>
        </is>
      </c>
      <c r="F359" s="109" t="n">
        <v>20</v>
      </c>
      <c r="G359" s="110" t="n"/>
      <c r="H359" s="111" t="n"/>
      <c r="I359" s="111" t="n"/>
      <c r="J359" s="5" t="n"/>
    </row>
    <row r="360" hidden="1" ht="46.5" customFormat="1" customHeight="1" s="16">
      <c r="A360" s="14" t="n">
        <v>27</v>
      </c>
      <c r="B360" s="107" t="inlineStr">
        <is>
          <t>Cút thép ren mạ kẽm D40</t>
        </is>
      </c>
      <c r="C360" s="47" t="inlineStr">
        <is>
          <t>Shanxi/Trung Quốc</t>
        </is>
      </c>
      <c r="D360" s="47" t="n"/>
      <c r="E360" s="108" t="inlineStr">
        <is>
          <t>cái</t>
        </is>
      </c>
      <c r="F360" s="109" t="n">
        <v>2</v>
      </c>
      <c r="G360" s="110" t="n"/>
      <c r="H360" s="111" t="n"/>
      <c r="I360" s="111" t="n"/>
      <c r="J360" s="5" t="n"/>
    </row>
    <row r="361" hidden="1" ht="46.5" customFormat="1" customHeight="1" s="16">
      <c r="A361" s="14" t="n">
        <v>28</v>
      </c>
      <c r="B361" s="107" t="inlineStr">
        <is>
          <t>Cút thép ren mạ kẽm D32</t>
        </is>
      </c>
      <c r="C361" s="47" t="inlineStr">
        <is>
          <t>Shanxi/Trung Quốc</t>
        </is>
      </c>
      <c r="D361" s="47" t="n"/>
      <c r="E361" s="108" t="inlineStr">
        <is>
          <t>cái</t>
        </is>
      </c>
      <c r="F361" s="109" t="n">
        <v>6</v>
      </c>
      <c r="G361" s="110" t="n"/>
      <c r="H361" s="111" t="n"/>
      <c r="I361" s="111" t="n"/>
      <c r="J361" s="5" t="n"/>
    </row>
    <row r="362" hidden="1" ht="46.5" customFormat="1" customHeight="1" s="16">
      <c r="A362" s="14" t="n">
        <v>29</v>
      </c>
      <c r="B362" s="107" t="inlineStr">
        <is>
          <t>Cút thép ren mạ kẽm D25</t>
        </is>
      </c>
      <c r="C362" s="47" t="inlineStr">
        <is>
          <t>Shanxi/Trung Quốc</t>
        </is>
      </c>
      <c r="D362" s="47" t="n"/>
      <c r="E362" s="108" t="inlineStr">
        <is>
          <t xml:space="preserve">cái </t>
        </is>
      </c>
      <c r="F362" s="109" t="n">
        <v>201</v>
      </c>
      <c r="G362" s="110" t="n"/>
      <c r="H362" s="111" t="n"/>
      <c r="I362" s="111" t="n"/>
      <c r="J362" s="5" t="n"/>
    </row>
    <row r="363" hidden="1" ht="46.5" customFormat="1" customHeight="1" s="16">
      <c r="A363" s="14" t="n">
        <v>30</v>
      </c>
      <c r="B363" s="107" t="inlineStr">
        <is>
          <t>Lắp đặt đầu phun quay xuống D15 - 68 độ C,K =5,6US</t>
        </is>
      </c>
      <c r="C363" s="47" t="inlineStr">
        <is>
          <t>APK; Minhong/TQ</t>
        </is>
      </c>
      <c r="D363" s="47" t="n"/>
      <c r="E363" s="108" t="inlineStr">
        <is>
          <t>cái</t>
        </is>
      </c>
      <c r="F363" s="109" t="n">
        <v>118</v>
      </c>
      <c r="G363" s="110" t="n"/>
      <c r="H363" s="111" t="n"/>
      <c r="I363" s="111" t="n"/>
      <c r="J363" s="5" t="n"/>
    </row>
    <row r="364" hidden="1" ht="46.5" customFormat="1" customHeight="1" s="16">
      <c r="A364" s="14" t="n">
        <v>31</v>
      </c>
      <c r="B364" s="107" t="inlineStr">
        <is>
          <t>Lắp đặt đầu phun quay lên D15 - 68 độ C,K = 5,6US</t>
        </is>
      </c>
      <c r="C364" s="47" t="inlineStr">
        <is>
          <t>APK; Minhong/TQ</t>
        </is>
      </c>
      <c r="D364" s="47" t="n"/>
      <c r="E364" s="108" t="inlineStr">
        <is>
          <t>cái</t>
        </is>
      </c>
      <c r="F364" s="109" t="n">
        <v>4</v>
      </c>
      <c r="G364" s="110" t="n"/>
      <c r="H364" s="111" t="n"/>
      <c r="I364" s="111" t="n"/>
      <c r="J364" s="5" t="n"/>
    </row>
    <row r="365" hidden="1" customFormat="1" s="16">
      <c r="A365" s="14" t="n">
        <v>32</v>
      </c>
      <c r="B365" s="107" t="inlineStr">
        <is>
          <t>Nắp che đầu phun D15</t>
        </is>
      </c>
      <c r="C365" s="47" t="inlineStr">
        <is>
          <t>Trung Quốc</t>
        </is>
      </c>
      <c r="D365" s="47" t="n"/>
      <c r="E365" s="108" t="inlineStr">
        <is>
          <t>cái</t>
        </is>
      </c>
      <c r="F365" s="109" t="n">
        <v>118</v>
      </c>
      <c r="G365" s="110" t="n"/>
      <c r="H365" s="111" t="n"/>
      <c r="I365" s="111" t="n"/>
      <c r="J365" s="5" t="n"/>
    </row>
    <row r="366" hidden="1" ht="69.75" customFormat="1" customHeight="1" s="16">
      <c r="A366" s="14" t="n">
        <v>33</v>
      </c>
      <c r="B366" s="107" t="inlineStr">
        <is>
          <t>Hộp đựng phương tiện chữa cháy vách tường chia 2 ngăn KT: 1500x800x200mm tôn 0.8mm</t>
        </is>
      </c>
      <c r="C366" s="47" t="inlineStr">
        <is>
          <t>Việt Nam</t>
        </is>
      </c>
      <c r="D366" s="47" t="inlineStr">
        <is>
          <t>KT: 1500x800x200mm tôn 0.8mm</t>
        </is>
      </c>
      <c r="E366" s="108" t="inlineStr">
        <is>
          <t>cái</t>
        </is>
      </c>
      <c r="F366" s="109" t="n">
        <v>5</v>
      </c>
      <c r="G366" s="110" t="n"/>
      <c r="H366" s="111" t="n"/>
      <c r="I366" s="111" t="n"/>
      <c r="J366" s="5" t="n"/>
    </row>
    <row r="367" hidden="1" customFormat="1" s="16">
      <c r="A367" s="14" t="n">
        <v>34</v>
      </c>
      <c r="B367" s="107" t="inlineStr">
        <is>
          <t>Van góc D65mm</t>
        </is>
      </c>
      <c r="C367" s="47" t="inlineStr">
        <is>
          <t>BQP/tđ</t>
        </is>
      </c>
      <c r="D367" s="47" t="n"/>
      <c r="E367" s="108" t="inlineStr">
        <is>
          <t>cái</t>
        </is>
      </c>
      <c r="F367" s="109" t="n">
        <v>10</v>
      </c>
      <c r="G367" s="110" t="n"/>
      <c r="H367" s="111" t="n"/>
      <c r="I367" s="111" t="n"/>
      <c r="J367" s="5" t="n"/>
    </row>
    <row r="368" hidden="1" customFormat="1" s="16">
      <c r="A368" s="14" t="n">
        <v>35</v>
      </c>
      <c r="B368" s="107" t="inlineStr">
        <is>
          <t>Vòi chữa cháy D65 dài 20m 16bar</t>
        </is>
      </c>
      <c r="C368" s="47" t="inlineStr">
        <is>
          <t>BQP/tđ</t>
        </is>
      </c>
      <c r="D368" s="47" t="n"/>
      <c r="E368" s="108" t="inlineStr">
        <is>
          <t xml:space="preserve">cuộn </t>
        </is>
      </c>
      <c r="F368" s="109" t="n">
        <v>10</v>
      </c>
      <c r="G368" s="110" t="n"/>
      <c r="H368" s="111" t="n"/>
      <c r="I368" s="111" t="n"/>
      <c r="J368" s="5" t="n"/>
    </row>
    <row r="369" hidden="1" customFormat="1" s="16">
      <c r="A369" s="14" t="n">
        <v>36</v>
      </c>
      <c r="B369" s="107" t="inlineStr">
        <is>
          <t>Lăng chữa cháy D65</t>
        </is>
      </c>
      <c r="C369" s="47" t="inlineStr">
        <is>
          <t>BQP/tđ</t>
        </is>
      </c>
      <c r="D369" s="47" t="n"/>
      <c r="E369" s="108" t="inlineStr">
        <is>
          <t>cái</t>
        </is>
      </c>
      <c r="F369" s="109" t="n">
        <v>10</v>
      </c>
      <c r="G369" s="110" t="n"/>
      <c r="H369" s="111" t="n"/>
      <c r="I369" s="111" t="n"/>
      <c r="J369" s="5" t="n"/>
    </row>
    <row r="370" hidden="1" customFormat="1" s="16">
      <c r="A370" s="14" t="n">
        <v>38</v>
      </c>
      <c r="B370" s="107" t="inlineStr">
        <is>
          <t>Bình khí CO2 5kg (MT5)</t>
        </is>
      </c>
      <c r="C370" s="47" t="inlineStr">
        <is>
          <t>BQP/tđ</t>
        </is>
      </c>
      <c r="D370" s="47" t="n"/>
      <c r="E370" s="108" t="inlineStr">
        <is>
          <t>bình</t>
        </is>
      </c>
      <c r="F370" s="109" t="n">
        <v>5</v>
      </c>
      <c r="G370" s="110" t="n"/>
      <c r="H370" s="111" t="n"/>
      <c r="I370" s="111" t="n"/>
      <c r="J370" s="5" t="n"/>
    </row>
    <row r="371" hidden="1" customFormat="1" s="16">
      <c r="A371" s="14" t="n">
        <v>39</v>
      </c>
      <c r="B371" s="107" t="inlineStr">
        <is>
          <t>Bình bột ABC 8kg (MFZL8)</t>
        </is>
      </c>
      <c r="C371" s="47" t="inlineStr">
        <is>
          <t>BQP/tđ</t>
        </is>
      </c>
      <c r="D371" s="47" t="n"/>
      <c r="E371" s="108" t="inlineStr">
        <is>
          <t>bình</t>
        </is>
      </c>
      <c r="F371" s="109" t="n">
        <v>10</v>
      </c>
      <c r="G371" s="110" t="n"/>
      <c r="H371" s="111" t="n"/>
      <c r="I371" s="111" t="n"/>
      <c r="J371" s="5" t="n"/>
    </row>
    <row r="372" hidden="1" customFormat="1" s="16">
      <c r="A372" s="14" t="n">
        <v>40</v>
      </c>
      <c r="B372" s="107" t="inlineStr">
        <is>
          <t xml:space="preserve">Nội quy, tiêu lệnh </t>
        </is>
      </c>
      <c r="C372" s="47" t="inlineStr">
        <is>
          <t>Việt Nam</t>
        </is>
      </c>
      <c r="D372" s="47" t="n"/>
      <c r="E372" s="108" t="inlineStr">
        <is>
          <t>bộ</t>
        </is>
      </c>
      <c r="F372" s="109" t="n">
        <v>5</v>
      </c>
      <c r="G372" s="110" t="n"/>
      <c r="H372" s="111" t="n"/>
      <c r="I372" s="111" t="n"/>
      <c r="J372" s="5" t="n"/>
    </row>
    <row r="373" hidden="1" ht="46.5" customFormat="1" customHeight="1" s="16">
      <c r="A373" s="14" t="n">
        <v>41</v>
      </c>
      <c r="B373" s="107" t="inlineStr">
        <is>
          <t xml:space="preserve">Tủ đựng mặt nạ lọc độc </t>
        </is>
      </c>
      <c r="C373" s="47" t="inlineStr">
        <is>
          <t>Việt Nam</t>
        </is>
      </c>
      <c r="D373" s="47" t="inlineStr">
        <is>
          <t>KT: 600x600x180; 0,8mm</t>
        </is>
      </c>
      <c r="E373" s="108" t="inlineStr">
        <is>
          <t>cái</t>
        </is>
      </c>
      <c r="F373" s="109" t="n">
        <v>2</v>
      </c>
      <c r="G373" s="110" t="n"/>
      <c r="H373" s="111" t="n"/>
      <c r="I373" s="111" t="n"/>
      <c r="J373" s="5" t="n"/>
    </row>
    <row r="374" hidden="1" ht="46.5" customFormat="1" customHeight="1" s="16">
      <c r="A374" s="14" t="n">
        <v>42</v>
      </c>
      <c r="B374" s="107" t="inlineStr">
        <is>
          <t>Mặt nạ lọc độc</t>
        </is>
      </c>
      <c r="C374" s="47" t="inlineStr">
        <is>
          <t>Việt Nam, Trung Quốc</t>
        </is>
      </c>
      <c r="D374" s="47" t="n"/>
      <c r="E374" s="108" t="inlineStr">
        <is>
          <t>cái</t>
        </is>
      </c>
      <c r="F374" s="109" t="n">
        <v>48</v>
      </c>
      <c r="G374" s="110" t="n"/>
      <c r="H374" s="111" t="n"/>
      <c r="I374" s="111" t="n"/>
      <c r="J374" s="5" t="n"/>
    </row>
    <row r="375" hidden="1" customFormat="1" s="16">
      <c r="A375" s="14" t="n">
        <v>43</v>
      </c>
      <c r="B375" s="107" t="inlineStr">
        <is>
          <t>Ubolt D100mm</t>
        </is>
      </c>
      <c r="C375" s="47" t="inlineStr">
        <is>
          <t>Việt Nam</t>
        </is>
      </c>
      <c r="D375" s="47" t="n"/>
      <c r="E375" s="108" t="inlineStr">
        <is>
          <t>cái</t>
        </is>
      </c>
      <c r="F375" s="109" t="n">
        <v>88</v>
      </c>
      <c r="G375" s="110" t="n"/>
      <c r="H375" s="111" t="n"/>
      <c r="I375" s="111" t="n"/>
      <c r="J375" s="5" t="n"/>
    </row>
    <row r="376" hidden="1" customFormat="1" s="16">
      <c r="A376" s="14" t="n">
        <v>44</v>
      </c>
      <c r="B376" s="107" t="inlineStr">
        <is>
          <t>Quang treo ống D65mm</t>
        </is>
      </c>
      <c r="C376" s="47" t="inlineStr">
        <is>
          <t>Việt Nam</t>
        </is>
      </c>
      <c r="D376" s="47" t="n"/>
      <c r="E376" s="108" t="inlineStr">
        <is>
          <t>bộ</t>
        </is>
      </c>
      <c r="F376" s="109" t="n">
        <v>18</v>
      </c>
      <c r="G376" s="110" t="n"/>
      <c r="H376" s="111" t="n"/>
      <c r="I376" s="111" t="n"/>
      <c r="J376" s="5" t="n"/>
    </row>
    <row r="377" hidden="1" customFormat="1" s="16">
      <c r="A377" s="14" t="n">
        <v>45</v>
      </c>
      <c r="B377" s="107" t="inlineStr">
        <is>
          <t>Quang treo ống D40mm</t>
        </is>
      </c>
      <c r="C377" s="47" t="inlineStr">
        <is>
          <t>Việt Nam</t>
        </is>
      </c>
      <c r="D377" s="47" t="n"/>
      <c r="E377" s="108" t="inlineStr">
        <is>
          <t>bộ</t>
        </is>
      </c>
      <c r="F377" s="109" t="n">
        <v>5</v>
      </c>
      <c r="G377" s="110" t="n"/>
      <c r="H377" s="111" t="n"/>
      <c r="I377" s="111" t="n"/>
      <c r="J377" s="5" t="n"/>
    </row>
    <row r="378" hidden="1" customFormat="1" s="16">
      <c r="A378" s="14" t="n">
        <v>46</v>
      </c>
      <c r="B378" s="107" t="inlineStr">
        <is>
          <t>Quang treo ống D32mm</t>
        </is>
      </c>
      <c r="C378" s="47" t="inlineStr">
        <is>
          <t>Việt Nam</t>
        </is>
      </c>
      <c r="D378" s="47" t="n"/>
      <c r="E378" s="108" t="inlineStr">
        <is>
          <t>bộ</t>
        </is>
      </c>
      <c r="F378" s="109" t="n">
        <v>9</v>
      </c>
      <c r="G378" s="110" t="n"/>
      <c r="H378" s="111" t="n"/>
      <c r="I378" s="111" t="n"/>
      <c r="J378" s="5" t="n"/>
    </row>
    <row r="379" hidden="1" customFormat="1" s="16">
      <c r="A379" s="14" t="n">
        <v>47</v>
      </c>
      <c r="B379" s="107" t="inlineStr">
        <is>
          <t>Quang treo ống D25mm</t>
        </is>
      </c>
      <c r="C379" s="47" t="inlineStr">
        <is>
          <t>Việt Nam</t>
        </is>
      </c>
      <c r="D379" s="47" t="n"/>
      <c r="E379" s="108" t="inlineStr">
        <is>
          <t>bộ</t>
        </is>
      </c>
      <c r="F379" s="109" t="n">
        <v>122</v>
      </c>
      <c r="G379" s="110" t="n"/>
      <c r="H379" s="111" t="n"/>
      <c r="I379" s="111" t="n"/>
      <c r="J379" s="5" t="n"/>
    </row>
    <row r="380" hidden="1" customFormat="1" s="16">
      <c r="A380" s="14" t="n">
        <v>48</v>
      </c>
      <c r="B380" s="107" t="inlineStr">
        <is>
          <t>Sơn đỏ, sơn chống gỉ đường ống</t>
        </is>
      </c>
      <c r="C380" s="47" t="inlineStr">
        <is>
          <t>Alkyd Tk/VN</t>
        </is>
      </c>
      <c r="D380" s="47" t="n"/>
      <c r="E380" s="108" t="inlineStr">
        <is>
          <t>m2</t>
        </is>
      </c>
      <c r="F380" s="109" t="n">
        <v>154</v>
      </c>
      <c r="G380" s="110" t="n"/>
      <c r="H380" s="111" t="n"/>
      <c r="I380" s="111" t="n"/>
      <c r="J380" s="5" t="n"/>
    </row>
    <row r="381" hidden="1" customFormat="1" s="16">
      <c r="A381" s="14" t="n">
        <v>49</v>
      </c>
      <c r="B381" s="107" t="inlineStr">
        <is>
          <t>Bảng hướng dẫn sử dụng nội quy</t>
        </is>
      </c>
      <c r="C381" s="47" t="inlineStr">
        <is>
          <t>Việt Nam</t>
        </is>
      </c>
      <c r="D381" s="47" t="n"/>
      <c r="E381" s="108" t="inlineStr">
        <is>
          <t>cái</t>
        </is>
      </c>
      <c r="F381" s="109" t="n">
        <v>1</v>
      </c>
      <c r="G381" s="110" t="n"/>
      <c r="H381" s="111" t="n"/>
      <c r="I381" s="111" t="n"/>
      <c r="J381" s="5" t="n"/>
    </row>
    <row r="382" hidden="1" customFormat="1" s="16">
      <c r="A382" s="14" t="n">
        <v>50</v>
      </c>
      <c r="B382" s="107" t="inlineStr">
        <is>
          <t>Hộp đựng dụng cụ phá dỡ thô sơ</t>
        </is>
      </c>
      <c r="C382" s="47" t="inlineStr">
        <is>
          <t>Việt Nam</t>
        </is>
      </c>
      <c r="D382" s="47" t="inlineStr">
        <is>
          <t>1200x600x200</t>
        </is>
      </c>
      <c r="E382" s="108" t="inlineStr">
        <is>
          <t>hộp</t>
        </is>
      </c>
      <c r="F382" s="109" t="n">
        <v>1</v>
      </c>
      <c r="G382" s="110" t="n"/>
      <c r="H382" s="111" t="n"/>
      <c r="I382" s="111" t="n"/>
      <c r="J382" s="5" t="n"/>
    </row>
    <row r="383" hidden="1" customFormat="1" s="16">
      <c r="A383" s="14" t="n">
        <v>51</v>
      </c>
      <c r="B383" s="107" t="inlineStr">
        <is>
          <t>Vật tư phụ (que hàn, đá cắt, bằng tan,…)</t>
        </is>
      </c>
      <c r="C383" s="47" t="inlineStr">
        <is>
          <t>Việt Nam</t>
        </is>
      </c>
      <c r="D383" s="47" t="n"/>
      <c r="E383" s="108" t="inlineStr">
        <is>
          <t>lô</t>
        </is>
      </c>
      <c r="F383" s="109" t="n">
        <v>1</v>
      </c>
      <c r="G383" s="110" t="n"/>
      <c r="H383" s="111" t="n"/>
      <c r="I383" s="111" t="n"/>
      <c r="J383" s="5" t="n"/>
    </row>
    <row r="384" customFormat="1" s="36">
      <c r="A384" s="37" t="inlineStr">
        <is>
          <t>III.2</t>
        </is>
      </c>
      <c r="B384" s="101" t="inlineStr">
        <is>
          <t>HỆ THỐNG BÁO CHÁY</t>
        </is>
      </c>
      <c r="C384" s="60" t="n"/>
      <c r="D384" s="60" t="n"/>
      <c r="E384" s="100" t="n"/>
      <c r="F384" s="104" t="n"/>
      <c r="G384" s="105" t="n"/>
      <c r="H384" s="106" t="n"/>
      <c r="I384" s="106" t="n"/>
      <c r="J384" s="35" t="n">
        <v>1</v>
      </c>
    </row>
    <row r="385" hidden="1" customFormat="1" s="16">
      <c r="A385" s="14" t="n">
        <v>1</v>
      </c>
      <c r="B385" s="107" t="inlineStr">
        <is>
          <t>Đầu báo khói địa chỉ + đế</t>
        </is>
      </c>
      <c r="C385" s="47" t="inlineStr">
        <is>
          <t>Horing/EINet/tđ</t>
        </is>
      </c>
      <c r="D385" s="47" t="n"/>
      <c r="E385" s="108" t="inlineStr">
        <is>
          <t>cái</t>
        </is>
      </c>
      <c r="F385" s="109" t="n">
        <v>55</v>
      </c>
      <c r="G385" s="110" t="n"/>
      <c r="H385" s="111" t="n"/>
      <c r="I385" s="111" t="n"/>
      <c r="J385" s="5" t="n"/>
    </row>
    <row r="386" hidden="1" customFormat="1" s="16">
      <c r="A386" s="14" t="n">
        <v>2</v>
      </c>
      <c r="B386" s="107" t="inlineStr">
        <is>
          <t>Đèn chỉ thị đầu báo trên trần giả</t>
        </is>
      </c>
      <c r="C386" s="47" t="inlineStr">
        <is>
          <t>Horing/EINet/tđ</t>
        </is>
      </c>
      <c r="D386" s="47" t="n"/>
      <c r="E386" s="108" t="inlineStr">
        <is>
          <t xml:space="preserve">cái </t>
        </is>
      </c>
      <c r="F386" s="109" t="n">
        <v>13</v>
      </c>
      <c r="G386" s="110" t="n"/>
      <c r="H386" s="111" t="n"/>
      <c r="I386" s="111" t="n"/>
      <c r="J386" s="5" t="n"/>
    </row>
    <row r="387" hidden="1" customFormat="1" s="16">
      <c r="A387" s="14" t="n">
        <v>3</v>
      </c>
      <c r="B387" s="107" t="inlineStr">
        <is>
          <t>Hộp đựng tổ hợp chuông, đèn, nút ấn</t>
        </is>
      </c>
      <c r="C387" s="47" t="inlineStr">
        <is>
          <t>Việt Nam</t>
        </is>
      </c>
      <c r="D387" s="47" t="n"/>
      <c r="E387" s="108" t="inlineStr">
        <is>
          <t>cái</t>
        </is>
      </c>
      <c r="F387" s="109" t="n">
        <v>9</v>
      </c>
      <c r="G387" s="110" t="n"/>
      <c r="H387" s="111" t="n"/>
      <c r="I387" s="111" t="n"/>
      <c r="J387" s="5" t="n"/>
    </row>
    <row r="388" hidden="1" customFormat="1" s="16">
      <c r="A388" s="14" t="n">
        <v>4</v>
      </c>
      <c r="B388" s="107" t="inlineStr">
        <is>
          <t>Chuông, đèn báo cháy kết hợp</t>
        </is>
      </c>
      <c r="C388" s="47" t="inlineStr">
        <is>
          <t>Horing/EINet/tđ</t>
        </is>
      </c>
      <c r="D388" s="47" t="n"/>
      <c r="E388" s="108" t="inlineStr">
        <is>
          <t>cái</t>
        </is>
      </c>
      <c r="F388" s="109" t="n">
        <v>9</v>
      </c>
      <c r="G388" s="110" t="n"/>
      <c r="H388" s="111" t="n"/>
      <c r="I388" s="111" t="n"/>
      <c r="J388" s="5" t="n"/>
    </row>
    <row r="389" hidden="1" customFormat="1" s="16">
      <c r="A389" s="14" t="n">
        <v>5</v>
      </c>
      <c r="B389" s="107" t="inlineStr">
        <is>
          <t>Nút ấn báo cháy địa chỉ</t>
        </is>
      </c>
      <c r="C389" s="47" t="inlineStr">
        <is>
          <t>Horing/EINet/tđ</t>
        </is>
      </c>
      <c r="D389" s="47" t="n"/>
      <c r="E389" s="108" t="inlineStr">
        <is>
          <t>cái</t>
        </is>
      </c>
      <c r="F389" s="109" t="n">
        <v>9</v>
      </c>
      <c r="G389" s="110" t="n"/>
      <c r="H389" s="111" t="n"/>
      <c r="I389" s="111" t="n"/>
      <c r="J389" s="5" t="n"/>
    </row>
    <row r="390" hidden="1" ht="46.5" customFormat="1" customHeight="1" s="16">
      <c r="A390" s="14" t="n">
        <v>6</v>
      </c>
      <c r="B390" s="107" t="inlineStr">
        <is>
          <t>Module giám sát trạng thái
(đầu báo, nút ấn, van…)</t>
        </is>
      </c>
      <c r="C390" s="47" t="inlineStr">
        <is>
          <t>Horing/EINet/tđ</t>
        </is>
      </c>
      <c r="D390" s="47" t="n"/>
      <c r="E390" s="108" t="inlineStr">
        <is>
          <t>cái</t>
        </is>
      </c>
      <c r="F390" s="109" t="n">
        <v>17</v>
      </c>
      <c r="G390" s="110" t="n"/>
      <c r="H390" s="111" t="n"/>
      <c r="I390" s="111" t="n"/>
      <c r="J390" s="5" t="n"/>
    </row>
    <row r="391" hidden="1" ht="46.5" customFormat="1" customHeight="1" s="16">
      <c r="A391" s="14" t="n">
        <v>7</v>
      </c>
      <c r="B391" s="107" t="inlineStr">
        <is>
          <t>Module điều khiển
(chuông, đèn báo cháy, van gió,…)</t>
        </is>
      </c>
      <c r="C391" s="47" t="inlineStr">
        <is>
          <t>Horing/EINet/tđ</t>
        </is>
      </c>
      <c r="D391" s="47" t="n"/>
      <c r="E391" s="108" t="inlineStr">
        <is>
          <t>cái</t>
        </is>
      </c>
      <c r="F391" s="109" t="n">
        <v>9</v>
      </c>
      <c r="G391" s="110" t="n"/>
      <c r="H391" s="111" t="n"/>
      <c r="I391" s="111" t="n"/>
      <c r="J391" s="5" t="n"/>
    </row>
    <row r="392" hidden="1" customFormat="1" s="16">
      <c r="A392" s="14" t="n">
        <v>8</v>
      </c>
      <c r="B392" s="107" t="inlineStr">
        <is>
          <t>Lắp đặt ống nhựa, D20mm</t>
        </is>
      </c>
      <c r="C392" s="47" t="inlineStr">
        <is>
          <t>SP/ Việt Nam</t>
        </is>
      </c>
      <c r="D392" s="47" t="n"/>
      <c r="E392" s="108" t="inlineStr">
        <is>
          <t>m</t>
        </is>
      </c>
      <c r="F392" s="109" t="n">
        <v>716</v>
      </c>
      <c r="G392" s="110" t="n"/>
      <c r="H392" s="111" t="n"/>
      <c r="I392" s="111" t="n"/>
      <c r="J392" s="5" t="n"/>
    </row>
    <row r="393" hidden="1" customFormat="1" s="16">
      <c r="A393" s="14" t="n">
        <v>9</v>
      </c>
      <c r="B393" s="107" t="inlineStr">
        <is>
          <t>Lắp đặt ống gen mềm, D20mm</t>
        </is>
      </c>
      <c r="C393" s="47" t="inlineStr">
        <is>
          <t>SP/ Việt Nam</t>
        </is>
      </c>
      <c r="D393" s="47" t="n"/>
      <c r="E393" s="108" t="inlineStr">
        <is>
          <t>m</t>
        </is>
      </c>
      <c r="F393" s="109" t="n">
        <v>72</v>
      </c>
      <c r="G393" s="110" t="n"/>
      <c r="H393" s="111" t="n"/>
      <c r="I393" s="111" t="n"/>
      <c r="J393" s="5" t="n"/>
    </row>
    <row r="394" hidden="1" customFormat="1" s="16">
      <c r="A394" s="14" t="n">
        <v>10</v>
      </c>
      <c r="B394" s="107" t="inlineStr">
        <is>
          <t>Kẹp đỡ ống D20</t>
        </is>
      </c>
      <c r="C394" s="47" t="inlineStr">
        <is>
          <t>SP/ Việt Nam</t>
        </is>
      </c>
      <c r="D394" s="47" t="n"/>
      <c r="E394" s="108" t="inlineStr">
        <is>
          <t>cái</t>
        </is>
      </c>
      <c r="F394" s="109" t="n">
        <v>716</v>
      </c>
      <c r="G394" s="110" t="n"/>
      <c r="H394" s="111" t="n"/>
      <c r="I394" s="111" t="n"/>
      <c r="J394" s="5" t="n"/>
    </row>
    <row r="395" hidden="1" customFormat="1" s="16">
      <c r="A395" s="14" t="n">
        <v>11</v>
      </c>
      <c r="B395" s="107" t="inlineStr">
        <is>
          <t>Măng xông nối ống D20</t>
        </is>
      </c>
      <c r="C395" s="47" t="inlineStr">
        <is>
          <t>SP/ Việt Nam</t>
        </is>
      </c>
      <c r="D395" s="47" t="n"/>
      <c r="E395" s="108" t="inlineStr">
        <is>
          <t>cái</t>
        </is>
      </c>
      <c r="F395" s="109" t="n">
        <v>358</v>
      </c>
      <c r="G395" s="110" t="n"/>
      <c r="H395" s="111" t="n"/>
      <c r="I395" s="111" t="n"/>
      <c r="J395" s="5" t="n"/>
    </row>
    <row r="396" hidden="1" ht="46.5" customFormat="1" customHeight="1" s="16">
      <c r="A396" s="14" t="n">
        <v>12</v>
      </c>
      <c r="B396" s="107" t="inlineStr">
        <is>
          <t>Lắp đặt dây dẫn 2 ruột 2x1,5mm2,
dây chống cháy</t>
        </is>
      </c>
      <c r="C396" s="47" t="inlineStr">
        <is>
          <t>LS/Huviron/tđ</t>
        </is>
      </c>
      <c r="D396" s="47" t="n"/>
      <c r="E396" s="108" t="inlineStr">
        <is>
          <t>m</t>
        </is>
      </c>
      <c r="F396" s="109" t="n">
        <v>226</v>
      </c>
      <c r="G396" s="68" t="n"/>
      <c r="H396" s="42" t="n"/>
      <c r="I396" s="42" t="n"/>
      <c r="J396" s="5" t="n"/>
    </row>
    <row r="397" hidden="1" ht="46.5" customFormat="1" customHeight="1" s="16">
      <c r="A397" s="14" t="n">
        <v>13</v>
      </c>
      <c r="B397" s="107" t="inlineStr">
        <is>
          <t>Lắp đặt dây dẫn 2 ruột 2x1,5mm2,
dây chống cháy, chống nhiễu</t>
        </is>
      </c>
      <c r="C397" s="47" t="inlineStr">
        <is>
          <t>LS/Huviron/tđ</t>
        </is>
      </c>
      <c r="D397" s="47" t="n"/>
      <c r="E397" s="108" t="inlineStr">
        <is>
          <t>m</t>
        </is>
      </c>
      <c r="F397" s="109" t="n">
        <v>570</v>
      </c>
      <c r="G397" s="66" t="n"/>
      <c r="H397" s="42" t="n"/>
      <c r="I397" s="42" t="n"/>
      <c r="J397" s="5" t="n"/>
    </row>
    <row r="398" hidden="1" customFormat="1" s="16">
      <c r="A398" s="14" t="n">
        <v>14</v>
      </c>
      <c r="B398" s="107" t="inlineStr">
        <is>
          <t>Hộp chia ngả + nắp đậy</t>
        </is>
      </c>
      <c r="C398" s="47" t="inlineStr">
        <is>
          <t>SP/ Việt Nam</t>
        </is>
      </c>
      <c r="D398" s="47" t="n"/>
      <c r="E398" s="108" t="inlineStr">
        <is>
          <t>cái</t>
        </is>
      </c>
      <c r="F398" s="109" t="n">
        <v>95</v>
      </c>
      <c r="G398" s="116" t="n"/>
      <c r="H398" s="111" t="n"/>
      <c r="I398" s="111" t="n"/>
      <c r="J398" s="5" t="n"/>
    </row>
    <row r="399" hidden="1" customFormat="1" s="16">
      <c r="A399" s="14" t="n">
        <v>15</v>
      </c>
      <c r="B399" s="107" t="inlineStr">
        <is>
          <t>Hộp kỹ thuật (KT: 110x110x50mm)</t>
        </is>
      </c>
      <c r="C399" s="47" t="inlineStr">
        <is>
          <t>SP/ Việt Nam</t>
        </is>
      </c>
      <c r="D399" s="47" t="n"/>
      <c r="E399" s="108" t="inlineStr">
        <is>
          <t>cái</t>
        </is>
      </c>
      <c r="F399" s="109" t="n">
        <v>26</v>
      </c>
      <c r="G399" s="110" t="n"/>
      <c r="H399" s="111" t="n"/>
      <c r="I399" s="111" t="n"/>
      <c r="J399" s="5" t="n"/>
    </row>
    <row r="400" hidden="1" customFormat="1" s="16">
      <c r="A400" s="14" t="n">
        <v>14</v>
      </c>
      <c r="B400" s="107" t="inlineStr">
        <is>
          <t>Vật tư phụ (vít, nở, băng dính điện,…)</t>
        </is>
      </c>
      <c r="C400" s="47" t="n"/>
      <c r="D400" s="47" t="n"/>
      <c r="E400" s="108" t="inlineStr">
        <is>
          <t>gói</t>
        </is>
      </c>
      <c r="F400" s="109" t="n">
        <v>1</v>
      </c>
      <c r="G400" s="110" t="n"/>
      <c r="H400" s="111" t="n"/>
      <c r="I400" s="111" t="n"/>
      <c r="J400" s="5" t="n"/>
    </row>
    <row r="401" customFormat="1" s="36">
      <c r="A401" s="37" t="inlineStr">
        <is>
          <t>III.3</t>
        </is>
      </c>
      <c r="B401" s="101" t="inlineStr">
        <is>
          <t>HỆ THỐNG EXIT, CSSC</t>
        </is>
      </c>
      <c r="C401" s="60" t="n"/>
      <c r="D401" s="60" t="n"/>
      <c r="E401" s="100" t="n"/>
      <c r="F401" s="104" t="n"/>
      <c r="G401" s="105" t="n"/>
      <c r="H401" s="106" t="n"/>
      <c r="I401" s="106" t="n"/>
      <c r="J401" s="35" t="n">
        <v>1</v>
      </c>
    </row>
    <row r="402" hidden="1" ht="69.75" customFormat="1" customHeight="1" s="16">
      <c r="A402" s="14" t="n">
        <v>14</v>
      </c>
      <c r="B402" s="107" t="inlineStr">
        <is>
          <t>Đèn Exit thoát hiểm:
loại 1 mặt, không chỉ hướng</t>
        </is>
      </c>
      <c r="C402" s="47" t="inlineStr">
        <is>
          <t>APK/Liang/Kinglight/Trung Quốc/tđ</t>
        </is>
      </c>
      <c r="D402" s="47" t="n"/>
      <c r="E402" s="108" t="inlineStr">
        <is>
          <t>cái</t>
        </is>
      </c>
      <c r="F402" s="109" t="n">
        <v>11</v>
      </c>
      <c r="G402" s="110" t="n"/>
      <c r="H402" s="111" t="n"/>
      <c r="I402" s="111" t="n"/>
      <c r="J402" s="5" t="n"/>
    </row>
    <row r="403" hidden="1" ht="69.75" customFormat="1" customHeight="1" s="16">
      <c r="A403" s="14" t="n">
        <v>15</v>
      </c>
      <c r="B403" s="107" t="inlineStr">
        <is>
          <t>Đèn Exit thoát hiểm:
loại 2 mặt, chỉ 1 hướng</t>
        </is>
      </c>
      <c r="C403" s="47" t="inlineStr">
        <is>
          <t>APK/Liang/Kinglight/Trung Quốc/tđ</t>
        </is>
      </c>
      <c r="D403" s="47" t="n"/>
      <c r="E403" s="108" t="inlineStr">
        <is>
          <t>cái</t>
        </is>
      </c>
      <c r="F403" s="109" t="n">
        <v>1</v>
      </c>
      <c r="G403" s="110" t="n"/>
      <c r="H403" s="111" t="n"/>
      <c r="I403" s="111" t="n"/>
      <c r="J403" s="5" t="n"/>
    </row>
    <row r="404" hidden="1" ht="69.75" customFormat="1" customHeight="1" s="16">
      <c r="A404" s="14" t="n">
        <v>16</v>
      </c>
      <c r="B404" s="107" t="inlineStr">
        <is>
          <t>Đèn chiếu sáng sự cố</t>
        </is>
      </c>
      <c r="C404" s="47" t="inlineStr">
        <is>
          <t>APK/Liang/Kinglight/Trung Quốc/tđ</t>
        </is>
      </c>
      <c r="D404" s="47" t="n"/>
      <c r="E404" s="108" t="inlineStr">
        <is>
          <t>cái</t>
        </is>
      </c>
      <c r="F404" s="109" t="n">
        <v>17</v>
      </c>
      <c r="G404" s="110" t="n"/>
      <c r="H404" s="111" t="n"/>
      <c r="I404" s="111" t="n"/>
      <c r="J404" s="5" t="n"/>
    </row>
    <row r="405" hidden="1" ht="69.75" customFormat="1" customHeight="1" s="16">
      <c r="A405" s="14" t="n">
        <v>17</v>
      </c>
      <c r="B405" s="107" t="inlineStr">
        <is>
          <t>Đèn chiếu sáng sự cố âm trần</t>
        </is>
      </c>
      <c r="C405" s="47" t="inlineStr">
        <is>
          <t>APK/Liang/Kinglight/Trung Quốc/tđ</t>
        </is>
      </c>
      <c r="D405" s="47" t="n"/>
      <c r="E405" s="108" t="inlineStr">
        <is>
          <t>cái</t>
        </is>
      </c>
      <c r="F405" s="109" t="n">
        <v>15</v>
      </c>
      <c r="G405" s="110" t="n"/>
      <c r="H405" s="111" t="n"/>
      <c r="I405" s="111" t="n"/>
      <c r="J405" s="5" t="n"/>
    </row>
    <row r="406" hidden="1" customFormat="1" s="17">
      <c r="A406" s="14" t="n">
        <v>18</v>
      </c>
      <c r="B406" s="107" t="inlineStr">
        <is>
          <t>Ổ cắm cho đèn exit,cssc</t>
        </is>
      </c>
      <c r="C406" s="47" t="inlineStr">
        <is>
          <t>Sino/ Việt Nam</t>
        </is>
      </c>
      <c r="D406" s="47" t="n"/>
      <c r="E406" s="108" t="inlineStr">
        <is>
          <t>cái</t>
        </is>
      </c>
      <c r="F406" s="109" t="n">
        <v>29</v>
      </c>
      <c r="G406" s="110" t="n"/>
      <c r="H406" s="111" t="n"/>
      <c r="I406" s="111" t="n"/>
      <c r="J406" s="5" t="n"/>
    </row>
    <row r="407" hidden="1" customFormat="1" s="17">
      <c r="A407" s="14" t="n">
        <v>19</v>
      </c>
      <c r="B407" s="107" t="inlineStr">
        <is>
          <t>Bảng chỉ dẫn thoát nạn</t>
        </is>
      </c>
      <c r="C407" s="47" t="inlineStr">
        <is>
          <t>Việt Nam</t>
        </is>
      </c>
      <c r="D407" s="47" t="inlineStr">
        <is>
          <t>600x400</t>
        </is>
      </c>
      <c r="E407" s="108" t="inlineStr">
        <is>
          <t>cái</t>
        </is>
      </c>
      <c r="F407" s="109" t="n">
        <v>23</v>
      </c>
      <c r="G407" s="110" t="n"/>
      <c r="H407" s="111" t="n"/>
      <c r="I407" s="111" t="n"/>
      <c r="J407" s="5" t="n"/>
    </row>
    <row r="408" hidden="1" customFormat="1" s="17">
      <c r="A408" s="14" t="n">
        <v>20</v>
      </c>
      <c r="B408" s="107" t="inlineStr">
        <is>
          <t>Lắp đặt ống nhựa, D20mm</t>
        </is>
      </c>
      <c r="C408" s="47" t="inlineStr">
        <is>
          <t>SP/ Việt Nam</t>
        </is>
      </c>
      <c r="D408" s="47" t="n"/>
      <c r="E408" s="108" t="inlineStr">
        <is>
          <t>m</t>
        </is>
      </c>
      <c r="F408" s="109" t="n">
        <v>359</v>
      </c>
      <c r="G408" s="110" t="n"/>
      <c r="H408" s="111" t="n"/>
      <c r="I408" s="111" t="n"/>
      <c r="J408" s="5" t="n"/>
    </row>
    <row r="409" hidden="1" customFormat="1" s="17">
      <c r="A409" s="14" t="n">
        <v>21</v>
      </c>
      <c r="B409" s="107" t="inlineStr">
        <is>
          <t>Lắp đặt ống gen mềm, D20mm cho HT Exit</t>
        </is>
      </c>
      <c r="C409" s="47" t="inlineStr">
        <is>
          <t>SP/ Việt Nam</t>
        </is>
      </c>
      <c r="D409" s="47" t="n"/>
      <c r="E409" s="108" t="inlineStr">
        <is>
          <t>m</t>
        </is>
      </c>
      <c r="F409" s="109" t="n">
        <v>36</v>
      </c>
      <c r="G409" s="110" t="n"/>
      <c r="H409" s="111" t="n"/>
      <c r="I409" s="111" t="n"/>
      <c r="J409" s="5" t="n"/>
    </row>
    <row r="410" hidden="1" customFormat="1" s="17">
      <c r="A410" s="14" t="n">
        <v>22</v>
      </c>
      <c r="B410" s="107" t="inlineStr">
        <is>
          <t>Kẹp đỡ ống D20</t>
        </is>
      </c>
      <c r="C410" s="47" t="inlineStr">
        <is>
          <t>SP/ Việt Nam</t>
        </is>
      </c>
      <c r="D410" s="47" t="n"/>
      <c r="E410" s="108" t="inlineStr">
        <is>
          <t>cái</t>
        </is>
      </c>
      <c r="F410" s="109" t="n">
        <v>359</v>
      </c>
      <c r="G410" s="110" t="n"/>
      <c r="H410" s="111" t="n"/>
      <c r="I410" s="111" t="n"/>
      <c r="J410" s="5" t="n"/>
    </row>
    <row r="411" hidden="1" customFormat="1" s="17">
      <c r="A411" s="14" t="n">
        <v>23</v>
      </c>
      <c r="B411" s="107" t="inlineStr">
        <is>
          <t>Măng xông nối ống D20</t>
        </is>
      </c>
      <c r="C411" s="47" t="inlineStr">
        <is>
          <t>SP/ Việt Nam</t>
        </is>
      </c>
      <c r="D411" s="47" t="n"/>
      <c r="E411" s="108" t="inlineStr">
        <is>
          <t>cái</t>
        </is>
      </c>
      <c r="F411" s="109" t="n">
        <v>180</v>
      </c>
      <c r="G411" s="110" t="n"/>
      <c r="H411" s="111" t="n"/>
      <c r="I411" s="111" t="n"/>
      <c r="J411" s="5" t="n"/>
    </row>
    <row r="412" hidden="1" ht="46.5" customFormat="1" customHeight="1" s="17">
      <c r="A412" s="14" t="n">
        <v>24</v>
      </c>
      <c r="B412" s="107" t="inlineStr">
        <is>
          <t>Lắp đặt dây dẫn 2 ruột 2x1,5mm2
cho HT Exit</t>
        </is>
      </c>
      <c r="C412" s="47" t="inlineStr">
        <is>
          <t>LS/Huviron/tđ</t>
        </is>
      </c>
      <c r="D412" s="47" t="n"/>
      <c r="E412" s="108" t="inlineStr">
        <is>
          <t>m</t>
        </is>
      </c>
      <c r="F412" s="109" t="n">
        <v>399</v>
      </c>
      <c r="G412" s="110" t="n"/>
      <c r="H412" s="111" t="n"/>
      <c r="I412" s="111" t="n"/>
      <c r="J412" s="5" t="n"/>
    </row>
    <row r="413" hidden="1" customFormat="1" s="17">
      <c r="A413" s="14" t="n">
        <v>25</v>
      </c>
      <c r="B413" s="107" t="inlineStr">
        <is>
          <t>Hộp chia ngả + nắp đậy</t>
        </is>
      </c>
      <c r="C413" s="47" t="inlineStr">
        <is>
          <t>SP/ Việt Nam</t>
        </is>
      </c>
      <c r="D413" s="47" t="n"/>
      <c r="E413" s="108" t="inlineStr">
        <is>
          <t>cái</t>
        </is>
      </c>
      <c r="F413" s="109" t="n">
        <v>44</v>
      </c>
      <c r="G413" s="110" t="n"/>
      <c r="H413" s="111" t="n"/>
      <c r="I413" s="111" t="n"/>
      <c r="J413" s="5" t="n"/>
    </row>
    <row r="414" hidden="1" customFormat="1" s="17">
      <c r="A414" s="14" t="n">
        <v>26</v>
      </c>
      <c r="B414" s="107" t="inlineStr">
        <is>
          <t>Hộp kỹ thuật (KT: 160x160x80mm)</t>
        </is>
      </c>
      <c r="C414" s="47" t="inlineStr">
        <is>
          <t>SP/ Việt Nam</t>
        </is>
      </c>
      <c r="D414" s="47" t="n"/>
      <c r="E414" s="108" t="inlineStr">
        <is>
          <t>cái</t>
        </is>
      </c>
      <c r="F414" s="109" t="n">
        <v>32</v>
      </c>
      <c r="G414" s="110" t="n"/>
      <c r="H414" s="111" t="n"/>
      <c r="I414" s="111" t="n"/>
      <c r="J414" s="5" t="n"/>
    </row>
    <row r="415" hidden="1" customFormat="1" s="17">
      <c r="A415" s="14" t="n">
        <v>27</v>
      </c>
      <c r="B415" s="107" t="inlineStr">
        <is>
          <t>Vật tư phụ</t>
        </is>
      </c>
      <c r="C415" s="47" t="inlineStr">
        <is>
          <t>Việt Nam</t>
        </is>
      </c>
      <c r="D415" s="47" t="n"/>
      <c r="E415" s="108" t="inlineStr">
        <is>
          <t>lô</t>
        </is>
      </c>
      <c r="F415" s="109" t="n">
        <v>1</v>
      </c>
      <c r="G415" s="110" t="n"/>
      <c r="H415" s="111" t="n"/>
      <c r="I415" s="111" t="n"/>
      <c r="J415" s="5" t="n"/>
    </row>
    <row r="416" customFormat="1" s="40">
      <c r="A416" s="37" t="inlineStr">
        <is>
          <t>III.4</t>
        </is>
      </c>
      <c r="B416" s="101" t="inlineStr">
        <is>
          <t>HỆ THỐNG HÚT KHÓI</t>
        </is>
      </c>
      <c r="C416" s="60" t="n"/>
      <c r="D416" s="60" t="n"/>
      <c r="E416" s="126" t="n"/>
      <c r="F416" s="127" t="n"/>
      <c r="G416" s="117" t="n"/>
      <c r="H416" s="114" t="n"/>
      <c r="I416" s="114" t="n"/>
      <c r="J416" s="39" t="n">
        <v>1</v>
      </c>
    </row>
    <row r="417" ht="46.5" customFormat="1" customHeight="1" s="17">
      <c r="A417" s="14" t="n">
        <v>1</v>
      </c>
      <c r="B417" s="107" t="inlineStr">
        <is>
          <t>Quạt hút khói Ly tâm Q=30.000m3/h, H=500Pa</t>
        </is>
      </c>
      <c r="C417" s="47" t="inlineStr">
        <is>
          <t>TH VINASUN/VN/tđ</t>
        </is>
      </c>
      <c r="D417" s="47" t="n"/>
      <c r="E417" s="108" t="inlineStr">
        <is>
          <t>cái</t>
        </is>
      </c>
      <c r="F417" s="109" t="n">
        <v>1</v>
      </c>
      <c r="G417" s="110" t="n"/>
      <c r="H417" s="111">
        <f>F417*G417</f>
        <v/>
      </c>
      <c r="I417" s="111" t="n"/>
      <c r="J417" s="5" t="n">
        <v>1</v>
      </c>
    </row>
    <row r="418" ht="46.5" customFormat="1" customHeight="1" s="17">
      <c r="A418" s="14" t="n">
        <v>2</v>
      </c>
      <c r="B418" s="107" t="inlineStr">
        <is>
          <t>Quạt cấp bù Hướng trục Q=25.000m3/h, H=200Pa</t>
        </is>
      </c>
      <c r="C418" s="47" t="inlineStr">
        <is>
          <t>TH VINASUN/VN/tđ</t>
        </is>
      </c>
      <c r="D418" s="47" t="n"/>
      <c r="E418" s="108" t="inlineStr">
        <is>
          <t>cái</t>
        </is>
      </c>
      <c r="F418" s="109" t="n">
        <v>1</v>
      </c>
      <c r="G418" s="110" t="n"/>
      <c r="H418" s="111">
        <f>F418*G418</f>
        <v/>
      </c>
      <c r="I418" s="111" t="n"/>
      <c r="J418" s="5" t="n">
        <v>1</v>
      </c>
    </row>
    <row r="419" ht="46.5" customFormat="1" customHeight="1" s="17">
      <c r="A419" s="14" t="n">
        <v>3</v>
      </c>
      <c r="B419" s="107" t="inlineStr">
        <is>
          <t>Tủ điện cho quạt đặt tại tầng 1 ( điều khiển 1 quạt 30.000m3/h, 1 quạt 25.000m3/h )</t>
        </is>
      </c>
      <c r="C419" s="47" t="inlineStr">
        <is>
          <t>Việt Nam</t>
        </is>
      </c>
      <c r="D419" s="47" t="inlineStr">
        <is>
          <t>Thiết bị đóng cắt LS</t>
        </is>
      </c>
      <c r="E419" s="108" t="inlineStr">
        <is>
          <t>Tủ</t>
        </is>
      </c>
      <c r="F419" s="109" t="n">
        <v>1</v>
      </c>
      <c r="G419" s="110" t="n"/>
      <c r="H419" s="111">
        <f>F419*G419</f>
        <v/>
      </c>
      <c r="I419" s="111" t="n"/>
      <c r="J419" s="5" t="n">
        <v>1</v>
      </c>
    </row>
    <row r="420" ht="53.25" customFormat="1" customHeight="1" s="17">
      <c r="A420" s="14" t="n">
        <v>4</v>
      </c>
      <c r="B420" s="107" t="inlineStr">
        <is>
          <t>Tủ điều khiển cưỡng bức quạt đặt phòng thường trực ( 1 quạt 30.000m3/h, 1 quạt 25.000m3/h)</t>
        </is>
      </c>
      <c r="C420" s="47" t="inlineStr">
        <is>
          <t>Việt Nam</t>
        </is>
      </c>
      <c r="D420" s="47" t="inlineStr">
        <is>
          <t>Thiết bị đóng cắt LS</t>
        </is>
      </c>
      <c r="E420" s="108" t="inlineStr">
        <is>
          <t>Tủ</t>
        </is>
      </c>
      <c r="F420" s="109" t="n">
        <v>1</v>
      </c>
      <c r="G420" s="110" t="n"/>
      <c r="H420" s="111">
        <f>F420*G420</f>
        <v/>
      </c>
      <c r="I420" s="111" t="n"/>
      <c r="J420" s="5" t="n">
        <v>1</v>
      </c>
    </row>
    <row r="421" ht="31.5" customFormat="1" customHeight="1" s="17">
      <c r="A421" s="14" t="n">
        <v>5</v>
      </c>
      <c r="B421" s="107" t="inlineStr">
        <is>
          <t>Tủ điện cho van gió các tầng khối B</t>
        </is>
      </c>
      <c r="C421" s="47" t="inlineStr">
        <is>
          <t>Việt Nam</t>
        </is>
      </c>
      <c r="D421" s="47" t="inlineStr">
        <is>
          <t>Thiết bị đóng cắt LS</t>
        </is>
      </c>
      <c r="E421" s="108" t="inlineStr">
        <is>
          <t>Tủ</t>
        </is>
      </c>
      <c r="F421" s="109" t="n">
        <v>2</v>
      </c>
      <c r="G421" s="117" t="n"/>
      <c r="H421" s="111">
        <f>F421*G421</f>
        <v/>
      </c>
      <c r="I421" s="111" t="n"/>
      <c r="J421" s="5" t="n">
        <v>1</v>
      </c>
    </row>
    <row r="422" ht="46.5" customFormat="1" customHeight="1" s="17">
      <c r="A422" s="14" t="n">
        <v>6</v>
      </c>
      <c r="B422" s="107" t="inlineStr">
        <is>
          <t>Tủ điều khiển cưỡng bức van khối B đặt phòng thường trực</t>
        </is>
      </c>
      <c r="C422" s="47" t="inlineStr">
        <is>
          <t>Việt Nam</t>
        </is>
      </c>
      <c r="D422" s="47" t="inlineStr">
        <is>
          <t>Thiết bị đóng cắt LS</t>
        </is>
      </c>
      <c r="E422" s="108" t="inlineStr">
        <is>
          <t>Tủ</t>
        </is>
      </c>
      <c r="F422" s="109" t="n">
        <v>1</v>
      </c>
      <c r="G422" s="117" t="n"/>
      <c r="H422" s="111">
        <f>F422*G422</f>
        <v/>
      </c>
      <c r="I422" s="111" t="n"/>
      <c r="J422" s="5" t="n">
        <v>1</v>
      </c>
    </row>
    <row r="423" customFormat="1" s="17">
      <c r="A423" s="14" t="n">
        <v>7</v>
      </c>
      <c r="B423" s="107" t="inlineStr">
        <is>
          <t>Lò so chống rung quạt hút khói</t>
        </is>
      </c>
      <c r="C423" s="47" t="inlineStr">
        <is>
          <t>Việt Nam</t>
        </is>
      </c>
      <c r="D423" s="47" t="n"/>
      <c r="E423" s="108" t="inlineStr">
        <is>
          <t>bộ</t>
        </is>
      </c>
      <c r="F423" s="109" t="n">
        <v>4</v>
      </c>
      <c r="G423" s="110" t="n"/>
      <c r="H423" s="111">
        <f>F423*G423</f>
        <v/>
      </c>
      <c r="I423" s="111" t="n"/>
      <c r="J423" s="5" t="n">
        <v>1</v>
      </c>
    </row>
    <row r="424" ht="29.25" customFormat="1" customHeight="1" s="17">
      <c r="A424" s="14" t="n">
        <v>8</v>
      </c>
      <c r="B424" s="107" t="inlineStr">
        <is>
          <t>Bệ đỡ quạt hút khói</t>
        </is>
      </c>
      <c r="C424" s="47" t="inlineStr">
        <is>
          <t>Việt Nam</t>
        </is>
      </c>
      <c r="D424" s="47" t="n"/>
      <c r="E424" s="108" t="inlineStr">
        <is>
          <t>bộ</t>
        </is>
      </c>
      <c r="F424" s="109" t="n">
        <v>2</v>
      </c>
      <c r="G424" s="117" t="n"/>
      <c r="H424" s="111">
        <f>F424*G424</f>
        <v/>
      </c>
      <c r="I424" s="111" t="inlineStr">
        <is>
          <t>Xây dựng thực hiện</t>
        </is>
      </c>
      <c r="J424" s="5" t="n">
        <v>1</v>
      </c>
    </row>
    <row r="425" ht="29.25" customFormat="1" customHeight="1" s="17">
      <c r="A425" s="14" t="n">
        <v>9</v>
      </c>
      <c r="B425" s="107" t="inlineStr">
        <is>
          <t>Nối mềm chống cháy D quạt</t>
        </is>
      </c>
      <c r="C425" s="47" t="inlineStr">
        <is>
          <t>Việt Nam</t>
        </is>
      </c>
      <c r="D425" s="47" t="n"/>
      <c r="E425" s="108" t="inlineStr">
        <is>
          <t>cái</t>
        </is>
      </c>
      <c r="F425" s="109" t="n">
        <v>4</v>
      </c>
      <c r="G425" s="110" t="n"/>
      <c r="H425" s="111">
        <f>F425*G425</f>
        <v/>
      </c>
      <c r="I425" s="111" t="n"/>
      <c r="J425" s="5" t="n">
        <v>1</v>
      </c>
    </row>
    <row r="426" ht="46.5" customFormat="1" customHeight="1" s="17">
      <c r="A426" s="14" t="n">
        <v>10</v>
      </c>
      <c r="B426" s="107" t="inlineStr">
        <is>
          <t>Dây cáp cấp nguồn chống cháy quạt 3x6mm</t>
        </is>
      </c>
      <c r="C426" s="47" t="inlineStr">
        <is>
          <t>Cadisun/ Việt Nam</t>
        </is>
      </c>
      <c r="D426" s="47" t="n"/>
      <c r="E426" s="108" t="inlineStr">
        <is>
          <t>m</t>
        </is>
      </c>
      <c r="F426" s="109" t="n">
        <v>109</v>
      </c>
      <c r="G426" s="122" t="n"/>
      <c r="H426" s="111">
        <f>F426*G426</f>
        <v/>
      </c>
      <c r="I426" s="111" t="n"/>
      <c r="J426" s="5" t="n">
        <v>1</v>
      </c>
    </row>
    <row r="427" ht="46.5" customFormat="1" customHeight="1" s="17">
      <c r="A427" s="14" t="n">
        <v>11</v>
      </c>
      <c r="B427" s="107" t="inlineStr">
        <is>
          <t>Dây cáp tiếp địa quạt hút khói 1x2,5mm</t>
        </is>
      </c>
      <c r="C427" s="47" t="inlineStr">
        <is>
          <t>Cadisun/ Việt Nam</t>
        </is>
      </c>
      <c r="D427" s="47" t="n"/>
      <c r="E427" s="108" t="inlineStr">
        <is>
          <t>m</t>
        </is>
      </c>
      <c r="F427" s="109" t="n">
        <v>109</v>
      </c>
      <c r="G427" s="122" t="n"/>
      <c r="H427" s="111">
        <f>F427*G427</f>
        <v/>
      </c>
      <c r="I427" s="111" t="n"/>
      <c r="J427" s="5" t="n">
        <v>1</v>
      </c>
    </row>
    <row r="428" ht="46.5" customFormat="1" customHeight="1" s="17">
      <c r="A428" s="14" t="n">
        <v>12</v>
      </c>
      <c r="B428" s="107" t="inlineStr">
        <is>
          <t>Lắp đặt ống xoắn HDPE D32mm cho HT Hút khói</t>
        </is>
      </c>
      <c r="C428" s="47" t="inlineStr">
        <is>
          <t>Open/ Việt Nam</t>
        </is>
      </c>
      <c r="D428" s="47" t="n"/>
      <c r="E428" s="108" t="inlineStr">
        <is>
          <t>m</t>
        </is>
      </c>
      <c r="F428" s="109" t="n">
        <v>109</v>
      </c>
      <c r="G428" s="110" t="n"/>
      <c r="H428" s="111">
        <f>F428*G428</f>
        <v/>
      </c>
      <c r="I428" s="111" t="n"/>
      <c r="J428" s="5" t="n">
        <v>1</v>
      </c>
    </row>
    <row r="429" ht="46.5" customFormat="1" customHeight="1" s="17">
      <c r="A429" s="14" t="n">
        <v>13</v>
      </c>
      <c r="B429" s="107" t="inlineStr">
        <is>
          <t>Ống tôn mạ kẽm KT 1130x390mm, tôn dày 0.95mm</t>
        </is>
      </c>
      <c r="C429" s="47" t="inlineStr">
        <is>
          <t>Việt Nam</t>
        </is>
      </c>
      <c r="D429" s="47" t="inlineStr">
        <is>
          <t>Tôn hoa sen Z08- dày 0.75mm</t>
        </is>
      </c>
      <c r="E429" s="108" t="inlineStr">
        <is>
          <t>m</t>
        </is>
      </c>
      <c r="F429" s="109" t="n">
        <v>91</v>
      </c>
      <c r="G429" s="110" t="n"/>
      <c r="H429" s="111">
        <f>F429*G429</f>
        <v/>
      </c>
      <c r="I429" s="111" t="n"/>
      <c r="J429" s="5" t="n">
        <v>1</v>
      </c>
    </row>
    <row r="430" ht="46.5" customFormat="1" customHeight="1" s="17">
      <c r="A430" s="14" t="n">
        <v>14</v>
      </c>
      <c r="B430" s="107" t="inlineStr">
        <is>
          <t>Ống tôn mạ kẽm KT 800x300mm,EI45</t>
        </is>
      </c>
      <c r="C430" s="47" t="inlineStr">
        <is>
          <t>Việt Nam</t>
        </is>
      </c>
      <c r="D430" s="47" t="inlineStr">
        <is>
          <t>Tôn hoa sen Z08- dày 0.75mm</t>
        </is>
      </c>
      <c r="E430" s="108" t="inlineStr">
        <is>
          <t>m</t>
        </is>
      </c>
      <c r="F430" s="109" t="n">
        <v>13</v>
      </c>
      <c r="G430" s="110" t="n"/>
      <c r="H430" s="111">
        <f>F430*G430</f>
        <v/>
      </c>
      <c r="I430" s="111" t="n"/>
      <c r="J430" s="5" t="n">
        <v>1</v>
      </c>
    </row>
    <row r="431" ht="46.5" customFormat="1" customHeight="1" s="17">
      <c r="A431" s="14" t="n">
        <v>15</v>
      </c>
      <c r="B431" s="107" t="inlineStr">
        <is>
          <t>Ống tôn mạ kẽm KT 600x300mm, EI45</t>
        </is>
      </c>
      <c r="C431" s="47" t="inlineStr">
        <is>
          <t>Việt Nam</t>
        </is>
      </c>
      <c r="D431" s="47" t="inlineStr">
        <is>
          <t>Tôn hoa sen Z08- dày 0.75mm</t>
        </is>
      </c>
      <c r="E431" s="108" t="inlineStr">
        <is>
          <t>m</t>
        </is>
      </c>
      <c r="F431" s="109" t="n">
        <v>23</v>
      </c>
      <c r="G431" s="110" t="n"/>
      <c r="H431" s="111">
        <f>F431*G431</f>
        <v/>
      </c>
      <c r="I431" s="111" t="n"/>
      <c r="J431" s="5" t="n">
        <v>1</v>
      </c>
    </row>
    <row r="432" ht="46.5" customFormat="1" customHeight="1" s="17">
      <c r="A432" s="14" t="n">
        <v>16</v>
      </c>
      <c r="B432" s="107" t="inlineStr">
        <is>
          <t>Côn đầu quạt KT 1130x390/D,L=500mm, Tôn dày 0.95mm</t>
        </is>
      </c>
      <c r="C432" s="47" t="inlineStr">
        <is>
          <t>Việt Nam</t>
        </is>
      </c>
      <c r="D432" s="47" t="inlineStr">
        <is>
          <t>Tôn hoa sen Z08- dày 0.75mm</t>
        </is>
      </c>
      <c r="E432" s="108" t="inlineStr">
        <is>
          <t>cái</t>
        </is>
      </c>
      <c r="F432" s="109" t="n">
        <v>4</v>
      </c>
      <c r="G432" s="110" t="n"/>
      <c r="H432" s="111">
        <f>F432*G432</f>
        <v/>
      </c>
      <c r="I432" s="111" t="n"/>
      <c r="J432" s="5" t="n">
        <v>1</v>
      </c>
    </row>
    <row r="433" ht="46.5" customFormat="1" customHeight="1" s="17">
      <c r="A433" s="14" t="n">
        <v>17</v>
      </c>
      <c r="B433" s="107" t="inlineStr">
        <is>
          <t>Côn thu KT 800x300/600x300  L500,  EI45</t>
        </is>
      </c>
      <c r="C433" s="47" t="inlineStr">
        <is>
          <t>Việt Nam</t>
        </is>
      </c>
      <c r="D433" s="47" t="inlineStr">
        <is>
          <t>Tôn hoa sen Z08- dày 0.75mm</t>
        </is>
      </c>
      <c r="E433" s="108" t="inlineStr">
        <is>
          <t>cái</t>
        </is>
      </c>
      <c r="F433" s="109" t="n">
        <v>4</v>
      </c>
      <c r="G433" s="110" t="n"/>
      <c r="H433" s="111">
        <f>F433*G433</f>
        <v/>
      </c>
      <c r="I433" s="111" t="n"/>
      <c r="J433" s="5" t="n">
        <v>1</v>
      </c>
    </row>
    <row r="434" ht="46.5" customFormat="1" customHeight="1" s="17">
      <c r="A434" s="14" t="n">
        <v>18</v>
      </c>
      <c r="B434" s="107" t="inlineStr">
        <is>
          <t>Cút KT 1130x390, R125, Tôn dày 0.95mm</t>
        </is>
      </c>
      <c r="C434" s="47" t="inlineStr">
        <is>
          <t>Việt Nam</t>
        </is>
      </c>
      <c r="D434" s="47" t="inlineStr">
        <is>
          <t>Tôn hoa sen Z08- dày 0.75mm</t>
        </is>
      </c>
      <c r="E434" s="108" t="inlineStr">
        <is>
          <t>cái</t>
        </is>
      </c>
      <c r="F434" s="109" t="n">
        <v>4</v>
      </c>
      <c r="G434" s="110" t="n"/>
      <c r="H434" s="111">
        <f>F434*G434</f>
        <v/>
      </c>
      <c r="I434" s="111" t="n"/>
      <c r="J434" s="5" t="n">
        <v>1</v>
      </c>
    </row>
    <row r="435" ht="46.5" customFormat="1" customHeight="1" s="17">
      <c r="A435" s="14" t="n">
        <v>19</v>
      </c>
      <c r="B435" s="107" t="inlineStr">
        <is>
          <t>Chếch KT 1130x390, R125, Tôn dày 0.95mm</t>
        </is>
      </c>
      <c r="C435" s="47" t="inlineStr">
        <is>
          <t>Việt Nam</t>
        </is>
      </c>
      <c r="D435" s="47" t="inlineStr">
        <is>
          <t>Tôn hoa sen Z08- dày 0.75mm</t>
        </is>
      </c>
      <c r="E435" s="108" t="inlineStr">
        <is>
          <t>cái</t>
        </is>
      </c>
      <c r="F435" s="109" t="n">
        <v>2</v>
      </c>
      <c r="G435" s="110" t="n"/>
      <c r="H435" s="111">
        <f>F435*G435</f>
        <v/>
      </c>
      <c r="I435" s="111" t="n"/>
      <c r="J435" s="5" t="n">
        <v>1</v>
      </c>
    </row>
    <row r="436" customFormat="1" s="17">
      <c r="A436" s="14" t="n">
        <v>20</v>
      </c>
      <c r="B436" s="107" t="inlineStr">
        <is>
          <t>Bịt đầu 1130x390, Tôn dày 0.95mm</t>
        </is>
      </c>
      <c r="C436" s="47" t="inlineStr">
        <is>
          <t>Việt Nam</t>
        </is>
      </c>
      <c r="D436" s="47" t="n"/>
      <c r="E436" s="108" t="inlineStr">
        <is>
          <t>cái</t>
        </is>
      </c>
      <c r="F436" s="109" t="n">
        <v>2</v>
      </c>
      <c r="G436" s="110" t="n"/>
      <c r="H436" s="111">
        <f>F436*G436</f>
        <v/>
      </c>
      <c r="I436" s="111" t="n"/>
      <c r="J436" s="5" t="n">
        <v>1</v>
      </c>
    </row>
    <row r="437" customFormat="1" s="17">
      <c r="A437" s="14" t="n">
        <v>21</v>
      </c>
      <c r="B437" s="107" t="inlineStr">
        <is>
          <t>Bịt đầu 600x300,  EI45</t>
        </is>
      </c>
      <c r="C437" s="47" t="inlineStr">
        <is>
          <t>Việt Nam</t>
        </is>
      </c>
      <c r="D437" s="47" t="n"/>
      <c r="E437" s="108" t="inlineStr">
        <is>
          <t>cái</t>
        </is>
      </c>
      <c r="F437" s="109" t="n">
        <v>4</v>
      </c>
      <c r="G437" s="110" t="n"/>
      <c r="H437" s="111">
        <f>F437*G437</f>
        <v/>
      </c>
      <c r="I437" s="111" t="n"/>
      <c r="J437" s="5" t="n">
        <v>1</v>
      </c>
    </row>
    <row r="438" ht="46.5" customFormat="1" customHeight="1" s="17">
      <c r="A438" s="14" t="n">
        <v>22</v>
      </c>
      <c r="B438" s="107" t="inlineStr">
        <is>
          <t>Chân rẽ KT1130x390/800x300  EI45</t>
        </is>
      </c>
      <c r="C438" s="47" t="inlineStr">
        <is>
          <t>Việt Nam</t>
        </is>
      </c>
      <c r="D438" s="47" t="inlineStr">
        <is>
          <t>Tôn hoa sen Z08- dày 0.75mm</t>
        </is>
      </c>
      <c r="E438" s="108" t="inlineStr">
        <is>
          <t>cái</t>
        </is>
      </c>
      <c r="F438" s="109" t="n">
        <v>2</v>
      </c>
      <c r="G438" s="110" t="n"/>
      <c r="H438" s="111">
        <f>F438*G438</f>
        <v/>
      </c>
      <c r="I438" s="111" t="n"/>
      <c r="J438" s="5" t="n">
        <v>1</v>
      </c>
    </row>
    <row r="439" ht="46.5" customFormat="1" customHeight="1" s="17">
      <c r="A439" s="14" t="n">
        <v>23</v>
      </c>
      <c r="B439" s="107" t="inlineStr">
        <is>
          <t>Tê ống tôn KT 800x300/800x300/800x300mm  EI45</t>
        </is>
      </c>
      <c r="C439" s="47" t="inlineStr">
        <is>
          <t>Việt Nam</t>
        </is>
      </c>
      <c r="D439" s="47" t="inlineStr">
        <is>
          <t>Tôn hoa sen Z08- dày 0.75mm</t>
        </is>
      </c>
      <c r="E439" s="108" t="inlineStr">
        <is>
          <t>cái</t>
        </is>
      </c>
      <c r="F439" s="109" t="n">
        <v>2</v>
      </c>
      <c r="G439" s="110" t="n"/>
      <c r="H439" s="111">
        <f>F439*G439</f>
        <v/>
      </c>
      <c r="I439" s="111" t="n"/>
      <c r="J439" s="5" t="n">
        <v>1</v>
      </c>
    </row>
    <row r="440" customFormat="1" s="5">
      <c r="A440" s="14" t="n">
        <v>24</v>
      </c>
      <c r="B440" s="107" t="inlineStr">
        <is>
          <t>Cửa gió hút khói kèm van OBD KT600x600</t>
        </is>
      </c>
      <c r="C440" s="47" t="inlineStr">
        <is>
          <t>SWIND</t>
        </is>
      </c>
      <c r="D440" s="47" t="inlineStr">
        <is>
          <t>SDG+O</t>
        </is>
      </c>
      <c r="E440" s="108" t="inlineStr">
        <is>
          <t>cái</t>
        </is>
      </c>
      <c r="F440" s="109" t="n">
        <v>4</v>
      </c>
      <c r="G440" s="123" t="n">
        <v>546000</v>
      </c>
      <c r="H440" s="124">
        <f>ROUNDUP(G440*F440, -2)</f>
        <v/>
      </c>
      <c r="I440" s="111" t="inlineStr">
        <is>
          <t>Cửa nan thẳng bầu dục kèm van OBD (tăng áp / hút khói)</t>
        </is>
      </c>
      <c r="J440" s="5" t="n">
        <v>1</v>
      </c>
    </row>
    <row r="441" customFormat="1" s="5">
      <c r="A441" s="14" t="n">
        <v>25</v>
      </c>
      <c r="B441" s="107" t="inlineStr">
        <is>
          <t>Cửa gió cấp bù kèm van OBD KT1000x500</t>
        </is>
      </c>
      <c r="C441" s="47" t="inlineStr">
        <is>
          <t>SWIND</t>
        </is>
      </c>
      <c r="D441" s="47" t="inlineStr">
        <is>
          <t>SDG+O</t>
        </is>
      </c>
      <c r="E441" s="108" t="inlineStr">
        <is>
          <t>cái</t>
        </is>
      </c>
      <c r="F441" s="109" t="n">
        <v>2</v>
      </c>
      <c r="G441" s="123" t="n">
        <v>742000</v>
      </c>
      <c r="H441" s="124">
        <f>ROUNDUP(G441*F441, -2)</f>
        <v/>
      </c>
      <c r="I441" s="111" t="inlineStr">
        <is>
          <t>Cửa nan thẳng bầu dục kèm van OBD (tăng áp / hút khói)</t>
        </is>
      </c>
      <c r="J441" s="5" t="n">
        <v>1</v>
      </c>
    </row>
    <row r="442" ht="46.5" customFormat="1" customHeight="1" s="13">
      <c r="A442" s="14" t="n">
        <v>26</v>
      </c>
      <c r="B442" s="107" t="inlineStr">
        <is>
          <t>Van chặn lửa đóng mở bằng mo tơ KT1000x500 EI60</t>
        </is>
      </c>
      <c r="C442" s="47" t="inlineStr">
        <is>
          <t>SWIND</t>
        </is>
      </c>
      <c r="D442" s="47" t="inlineStr">
        <is>
          <t>SWIND-1.03-MFD-EI90</t>
        </is>
      </c>
      <c r="E442" s="108" t="inlineStr">
        <is>
          <t>cái</t>
        </is>
      </c>
      <c r="F442" s="109" t="n">
        <v>2</v>
      </c>
      <c r="G442" s="123" t="n">
        <v>5942875</v>
      </c>
      <c r="H442" s="124">
        <f>ROUNDUP(G442*F442, -2)</f>
        <v/>
      </c>
      <c r="I442" s="111" t="inlineStr">
        <is>
          <t>- Van ngăn cháy động cơ - Tiêu chuẩn EI 90
- 2 đầu bích TDC - Gắn kèm động cơ ON-OFF 5Nm, Hãng KLB
- Sản xuất theo BCTN số 4651/VLXD-TBMT</t>
        </is>
      </c>
      <c r="J442" s="5" t="n">
        <v>1</v>
      </c>
    </row>
    <row r="443" ht="46.5" customFormat="1" customHeight="1" s="13">
      <c r="A443" s="14" t="n">
        <v>27</v>
      </c>
      <c r="B443" s="107" t="inlineStr">
        <is>
          <t>Van chặn lửa đóng mở bằng mo tơ KT800x300 EI60</t>
        </is>
      </c>
      <c r="C443" s="47" t="inlineStr">
        <is>
          <t>SWIND</t>
        </is>
      </c>
      <c r="D443" s="47" t="inlineStr">
        <is>
          <t>SWIND-1.03-MFD-EI90</t>
        </is>
      </c>
      <c r="E443" s="108" t="inlineStr">
        <is>
          <t>cái</t>
        </is>
      </c>
      <c r="F443" s="109" t="n">
        <v>2</v>
      </c>
      <c r="G443" s="123" t="n">
        <v>4367780</v>
      </c>
      <c r="H443" s="124">
        <f>ROUNDUP(G443*F443, -2)</f>
        <v/>
      </c>
      <c r="I443" s="111" t="inlineStr">
        <is>
          <t>- Van ngăn cháy động cơ - Tiêu chuẩn EI 90
- 2 đầu bích TDC - Gắn kèm động cơ ON-OFF 5Nm, Hãng KLB
- Sản xuất theo BCTN số 4651/VLXD-TBMT</t>
        </is>
      </c>
      <c r="J443" s="5" t="n">
        <v>1</v>
      </c>
    </row>
    <row r="444" ht="46.5" customFormat="1" customHeight="1" s="13">
      <c r="A444" s="14" t="n">
        <v>28</v>
      </c>
      <c r="B444" s="107" t="inlineStr">
        <is>
          <t>Hộp gió KT 1000x500 EI45</t>
        </is>
      </c>
      <c r="C444" s="47" t="inlineStr">
        <is>
          <t>Việt Nam</t>
        </is>
      </c>
      <c r="D444" s="47" t="inlineStr">
        <is>
          <t>Tôn hoa sen Z08- dày 0.75mm</t>
        </is>
      </c>
      <c r="E444" s="108" t="inlineStr">
        <is>
          <t>cái</t>
        </is>
      </c>
      <c r="F444" s="109" t="n">
        <v>2</v>
      </c>
      <c r="G444" s="110" t="n"/>
      <c r="H444" s="111">
        <f>F444*G444</f>
        <v/>
      </c>
      <c r="I444" s="111" t="n"/>
      <c r="J444" s="5" t="n">
        <v>1</v>
      </c>
    </row>
    <row r="445" ht="46.5" customFormat="1" customHeight="1" s="13">
      <c r="A445" s="14" t="n">
        <v>29</v>
      </c>
      <c r="B445" s="107" t="inlineStr">
        <is>
          <t>Louver thải gió kèm lưới chắn côn trùng, KT 1130x390</t>
        </is>
      </c>
      <c r="C445" s="47" t="inlineStr">
        <is>
          <t>SWIND</t>
        </is>
      </c>
      <c r="D445" s="47" t="inlineStr">
        <is>
          <t>WL+N</t>
        </is>
      </c>
      <c r="E445" s="108" t="inlineStr">
        <is>
          <t>cái</t>
        </is>
      </c>
      <c r="F445" s="109" t="n">
        <v>2</v>
      </c>
      <c r="G445" s="123" t="n">
        <v>660000</v>
      </c>
      <c r="H445" s="124">
        <f>ROUNDUP(G445*F445, -2)</f>
        <v/>
      </c>
      <c r="I445" s="111" t="inlineStr">
        <is>
          <t>Louver nan Z ngoài trời kèm lưới chắn côn trùng Inox 304</t>
        </is>
      </c>
      <c r="J445" s="5" t="n">
        <v>1</v>
      </c>
    </row>
    <row r="446" ht="46.5" customFormat="1" customHeight="1" s="5">
      <c r="A446" s="14" t="n">
        <v>30</v>
      </c>
      <c r="B446" s="107" t="inlineStr">
        <is>
          <t>Lắp đặt dây dẫn 2 ruột 2x1,5mm2 chống cháy cho HT hút khói</t>
        </is>
      </c>
      <c r="C446" s="47" t="inlineStr">
        <is>
          <t>LS/Huviron/tđ</t>
        </is>
      </c>
      <c r="D446" s="47" t="n"/>
      <c r="E446" s="108" t="inlineStr">
        <is>
          <t>m</t>
        </is>
      </c>
      <c r="F446" s="109" t="n">
        <v>299</v>
      </c>
      <c r="G446" s="122" t="n"/>
      <c r="H446" s="111">
        <f>F446*G446</f>
        <v/>
      </c>
      <c r="I446" s="111" t="n"/>
      <c r="J446" s="5" t="n">
        <v>1</v>
      </c>
    </row>
    <row r="447" customFormat="1" s="5">
      <c r="A447" s="14" t="n">
        <v>31</v>
      </c>
      <c r="B447" s="107" t="inlineStr">
        <is>
          <t>Lắp đặt ống nhựa, D20mm</t>
        </is>
      </c>
      <c r="C447" s="47" t="inlineStr">
        <is>
          <t>SP/ Việt Nam</t>
        </is>
      </c>
      <c r="D447" s="47" t="n"/>
      <c r="E447" s="108" t="inlineStr">
        <is>
          <t>m</t>
        </is>
      </c>
      <c r="F447" s="109" t="n">
        <v>299</v>
      </c>
      <c r="G447" s="110" t="n"/>
      <c r="H447" s="111">
        <f>F447*G447</f>
        <v/>
      </c>
      <c r="I447" s="111" t="n"/>
      <c r="J447" s="5" t="n">
        <v>1</v>
      </c>
    </row>
    <row r="448" ht="46.5" customFormat="1" customHeight="1" s="5">
      <c r="A448" s="14" t="n">
        <v>32</v>
      </c>
      <c r="B448" s="107" t="inlineStr">
        <is>
          <t>Lắp đặt dây dẫn chống cháy 4x1,5mm cho HT hút khói</t>
        </is>
      </c>
      <c r="C448" s="47" t="inlineStr">
        <is>
          <t>Cadisun/ Việt Nam</t>
        </is>
      </c>
      <c r="D448" s="47" t="n"/>
      <c r="E448" s="108" t="inlineStr">
        <is>
          <t>m</t>
        </is>
      </c>
      <c r="F448" s="109" t="n">
        <v>90</v>
      </c>
      <c r="G448" s="122" t="n"/>
      <c r="H448" s="111">
        <f>F448*G448</f>
        <v/>
      </c>
      <c r="I448" s="111" t="n"/>
      <c r="J448" s="5" t="n">
        <v>1</v>
      </c>
    </row>
    <row r="449" customFormat="1" s="5">
      <c r="A449" s="14" t="n">
        <v>33</v>
      </c>
      <c r="B449" s="107" t="inlineStr">
        <is>
          <t>Lắp đặt ống xoắn HDPE  D40mm HT hút khói</t>
        </is>
      </c>
      <c r="C449" s="47" t="inlineStr">
        <is>
          <t>Open/ Việt Nam</t>
        </is>
      </c>
      <c r="D449" s="47" t="n"/>
      <c r="E449" s="108" t="inlineStr">
        <is>
          <t>m</t>
        </is>
      </c>
      <c r="F449" s="109" t="n">
        <v>90</v>
      </c>
      <c r="G449" s="110" t="n"/>
      <c r="H449" s="111">
        <f>F449*G449</f>
        <v/>
      </c>
      <c r="I449" s="111" t="n"/>
      <c r="J449" s="5" t="n">
        <v>1</v>
      </c>
    </row>
    <row r="450" ht="33" customFormat="1" customHeight="1" s="5">
      <c r="A450" s="14" t="n">
        <v>34</v>
      </c>
      <c r="B450" s="107" t="inlineStr">
        <is>
          <t>Giá đỡ ống gió (Thép V4)</t>
        </is>
      </c>
      <c r="C450" s="47" t="inlineStr">
        <is>
          <t>Thịnh Phát</t>
        </is>
      </c>
      <c r="D450" s="47" t="n"/>
      <c r="E450" s="108" t="inlineStr">
        <is>
          <t>bộ</t>
        </is>
      </c>
      <c r="F450" s="109" t="n">
        <v>106</v>
      </c>
      <c r="G450" s="110" t="n"/>
      <c r="H450" s="111">
        <f>F450*G450</f>
        <v/>
      </c>
      <c r="I450" s="111" t="n"/>
      <c r="J450" s="5" t="n">
        <v>1</v>
      </c>
    </row>
    <row r="451" ht="33" customFormat="1" customHeight="1" s="5">
      <c r="A451" s="14" t="n">
        <v>35</v>
      </c>
      <c r="B451" s="107" t="inlineStr">
        <is>
          <t>Vật tư phụ (gioăng, silicon, ecu, long đen,…)</t>
        </is>
      </c>
      <c r="C451" s="47" t="inlineStr">
        <is>
          <t>Việt Nam</t>
        </is>
      </c>
      <c r="D451" s="47" t="n"/>
      <c r="E451" s="108" t="inlineStr">
        <is>
          <t>lô</t>
        </is>
      </c>
      <c r="F451" s="109" t="n">
        <v>1</v>
      </c>
      <c r="G451" s="117" t="n"/>
      <c r="H451" s="111">
        <f>F451*G451</f>
        <v/>
      </c>
      <c r="I451" s="111" t="n"/>
      <c r="J451" s="5" t="n">
        <v>1</v>
      </c>
    </row>
    <row r="452" ht="33" customFormat="1" customHeight="1" s="5">
      <c r="A452" s="14" t="n">
        <v>36</v>
      </c>
      <c r="B452" s="107" t="inlineStr">
        <is>
          <t>Vận chuyển vật tư, thiết bị</t>
        </is>
      </c>
      <c r="C452" s="47" t="inlineStr">
        <is>
          <t>Việt Nam</t>
        </is>
      </c>
      <c r="D452" s="47" t="n"/>
      <c r="E452" s="108" t="inlineStr">
        <is>
          <t>HT</t>
        </is>
      </c>
      <c r="F452" s="109" t="n">
        <v>1</v>
      </c>
      <c r="G452" s="117" t="n"/>
      <c r="H452" s="111">
        <f>F452*G452</f>
        <v/>
      </c>
      <c r="I452" s="111" t="n"/>
      <c r="J452" s="5" t="n">
        <v>1</v>
      </c>
    </row>
    <row r="453" ht="22.5" customFormat="1" customHeight="1" s="35">
      <c r="A453" s="37" t="inlineStr">
        <is>
          <t>IV</t>
        </is>
      </c>
      <c r="B453" s="101" t="inlineStr">
        <is>
          <t>NHÀ PHỤ TRỢ</t>
        </is>
      </c>
      <c r="C453" s="59" t="n"/>
      <c r="D453" s="59" t="n"/>
      <c r="E453" s="100" t="n"/>
      <c r="F453" s="104" t="n"/>
      <c r="G453" s="105" t="n"/>
      <c r="H453" s="106" t="n"/>
      <c r="I453" s="106" t="n"/>
      <c r="J453" s="35" t="n">
        <v>1</v>
      </c>
    </row>
    <row r="454" hidden="1" customFormat="1" s="5">
      <c r="A454" s="14" t="n">
        <v>1</v>
      </c>
      <c r="B454" s="107" t="inlineStr">
        <is>
          <t>Module giám sát trạng thái cho HT FM200</t>
        </is>
      </c>
      <c r="C454" s="47" t="inlineStr">
        <is>
          <t>Horing/EINet/tđ</t>
        </is>
      </c>
      <c r="D454" s="47" t="n"/>
      <c r="E454" s="108" t="inlineStr">
        <is>
          <t>cái</t>
        </is>
      </c>
      <c r="F454" s="109" t="n">
        <v>2</v>
      </c>
      <c r="G454" s="110" t="n"/>
      <c r="H454" s="111" t="n"/>
      <c r="I454" s="111" t="n"/>
    </row>
    <row r="455" hidden="1" customFormat="1" s="5">
      <c r="A455" s="14" t="n">
        <v>2</v>
      </c>
      <c r="B455" s="107" t="inlineStr">
        <is>
          <t>Lắp đặt ống nhựa, D20mm</t>
        </is>
      </c>
      <c r="C455" s="47" t="inlineStr">
        <is>
          <t>SP/ Việt Nam</t>
        </is>
      </c>
      <c r="D455" s="47" t="n"/>
      <c r="E455" s="108" t="inlineStr">
        <is>
          <t>m</t>
        </is>
      </c>
      <c r="F455" s="109" t="n">
        <v>27</v>
      </c>
      <c r="G455" s="115" t="n"/>
      <c r="H455" s="111" t="n"/>
      <c r="I455" s="111" t="n"/>
    </row>
    <row r="456" hidden="1" ht="46.5" customFormat="1" customHeight="1" s="5">
      <c r="A456" s="14" t="n">
        <v>3</v>
      </c>
      <c r="B456" s="107" t="inlineStr">
        <is>
          <t>Lắp đặt dây dẫn 2 ruột 2x1,5mm2,
dây chống cháy, chống nhiễu cho HT FM200</t>
        </is>
      </c>
      <c r="C456" s="47" t="inlineStr">
        <is>
          <t>LS/Huviron/tđ</t>
        </is>
      </c>
      <c r="D456" s="47" t="n"/>
      <c r="E456" s="108" t="inlineStr">
        <is>
          <t>m</t>
        </is>
      </c>
      <c r="F456" s="109" t="n">
        <v>30</v>
      </c>
      <c r="G456" s="66" t="n"/>
      <c r="H456" s="42" t="n"/>
      <c r="I456" s="42" t="n"/>
    </row>
    <row r="457" hidden="1" ht="46.5" customFormat="1" customHeight="1" s="5">
      <c r="A457" s="14" t="n">
        <v>4</v>
      </c>
      <c r="B457" s="107" t="inlineStr">
        <is>
          <t>Bình SMS 25bar loại 15L nạp 14kg khí FM200, bao gồm van đầu bình</t>
        </is>
      </c>
      <c r="C457" s="47" t="inlineStr">
        <is>
          <t>STEC Vina/ Việt Nam</t>
        </is>
      </c>
      <c r="D457" s="47" t="n"/>
      <c r="E457" s="108" t="inlineStr">
        <is>
          <t>bình</t>
        </is>
      </c>
      <c r="F457" s="109" t="n">
        <v>4</v>
      </c>
      <c r="G457" s="116" t="n"/>
      <c r="H457" s="111" t="n"/>
      <c r="I457" s="111" t="n"/>
    </row>
    <row r="458" hidden="1" ht="46.5" customFormat="1" customHeight="1" s="5">
      <c r="A458" s="14" t="n">
        <v>5</v>
      </c>
      <c r="B458" s="107" t="inlineStr">
        <is>
          <t>Bình SMS 25bar loại 15L nạp 13kg khí FM200, bao gồm van đầu bình</t>
        </is>
      </c>
      <c r="C458" s="47" t="inlineStr">
        <is>
          <t>STEC Vina/ Việt Nam</t>
        </is>
      </c>
      <c r="D458" s="47" t="n"/>
      <c r="E458" s="108" t="inlineStr">
        <is>
          <t>bình</t>
        </is>
      </c>
      <c r="F458" s="109" t="n">
        <v>3</v>
      </c>
      <c r="G458" s="110" t="n"/>
      <c r="H458" s="111" t="n"/>
      <c r="I458" s="111" t="n"/>
    </row>
    <row r="459" hidden="1" ht="46.5" customFormat="1" customHeight="1" s="5">
      <c r="A459" s="14" t="n">
        <v>6</v>
      </c>
      <c r="B459" s="107" t="inlineStr">
        <is>
          <t>Công tắc áp lực khí dành cho bình 15L</t>
        </is>
      </c>
      <c r="C459" s="47" t="inlineStr">
        <is>
          <t>STEC Vina/ Việt Nam</t>
        </is>
      </c>
      <c r="D459" s="47" t="n"/>
      <c r="E459" s="108" t="inlineStr">
        <is>
          <t>cái</t>
        </is>
      </c>
      <c r="F459" s="109" t="n">
        <v>7</v>
      </c>
      <c r="G459" s="110" t="n"/>
      <c r="H459" s="111" t="n"/>
      <c r="I459" s="111" t="n"/>
    </row>
    <row r="460" hidden="1" customFormat="1" s="5">
      <c r="A460" s="14" t="n">
        <v>7</v>
      </c>
      <c r="B460" s="107" t="inlineStr">
        <is>
          <t>Vật tư phụ</t>
        </is>
      </c>
      <c r="C460" s="47" t="inlineStr">
        <is>
          <t>Việt Nam</t>
        </is>
      </c>
      <c r="D460" s="47" t="n"/>
      <c r="E460" s="108" t="inlineStr">
        <is>
          <t>lô</t>
        </is>
      </c>
      <c r="F460" s="109" t="n">
        <v>1</v>
      </c>
      <c r="G460" s="110" t="n"/>
      <c r="H460" s="111" t="n"/>
      <c r="I460" s="111" t="n"/>
    </row>
    <row r="461" customFormat="1" s="39">
      <c r="A461" s="37" t="inlineStr">
        <is>
          <t>V</t>
        </is>
      </c>
      <c r="B461" s="101" t="inlineStr">
        <is>
          <t>CHI PHÍ KHÁC</t>
        </is>
      </c>
      <c r="C461" s="126" t="n"/>
      <c r="D461" s="126" t="n"/>
      <c r="E461" s="126" t="n"/>
      <c r="F461" s="127" t="n"/>
      <c r="G461" s="117" t="n"/>
      <c r="H461" s="114" t="n"/>
      <c r="I461" s="114" t="n"/>
      <c r="J461" s="39" t="n">
        <v>1</v>
      </c>
    </row>
    <row r="462" ht="27.75" customFormat="1" customHeight="1" s="5">
      <c r="A462" s="14" t="n">
        <v>1</v>
      </c>
      <c r="B462" s="54" t="inlineStr">
        <is>
          <t>Kiểm định thiết bị chữa cháy, báo cháy, exit, ống gió</t>
        </is>
      </c>
      <c r="C462" s="19" t="n"/>
      <c r="D462" s="19" t="n"/>
      <c r="E462" s="3" t="inlineStr">
        <is>
          <t>gói</t>
        </is>
      </c>
      <c r="F462" s="109" t="n">
        <v>1</v>
      </c>
      <c r="G462" s="128" t="n"/>
      <c r="H462" s="111">
        <f>F462*G462</f>
        <v/>
      </c>
      <c r="I462" s="111" t="inlineStr">
        <is>
          <t>Bên A thực hiện</t>
        </is>
      </c>
      <c r="J462" s="5" t="n">
        <v>1</v>
      </c>
    </row>
    <row r="463" customFormat="1" s="5">
      <c r="A463" s="14" t="n">
        <v>2</v>
      </c>
      <c r="B463" s="54" t="inlineStr">
        <is>
          <t>Chi phí quản lý</t>
        </is>
      </c>
      <c r="C463" s="19" t="n"/>
      <c r="D463" s="19" t="n"/>
      <c r="E463" s="3" t="inlineStr">
        <is>
          <t>gói</t>
        </is>
      </c>
      <c r="F463" s="109" t="n">
        <v>1</v>
      </c>
      <c r="G463" s="128" t="n"/>
      <c r="H463" s="111">
        <f>F463*G463</f>
        <v/>
      </c>
      <c r="I463" s="111" t="inlineStr">
        <is>
          <t>Bên A thực hiện</t>
        </is>
      </c>
      <c r="J463" s="5" t="n">
        <v>1</v>
      </c>
    </row>
    <row r="464" customFormat="1" s="5">
      <c r="A464" s="14" t="n">
        <v>3</v>
      </c>
      <c r="B464" s="54" t="inlineStr">
        <is>
          <t>Nghiệm thu pccc với cơ quan chức năng</t>
        </is>
      </c>
      <c r="C464" s="19" t="n"/>
      <c r="D464" s="19" t="n"/>
      <c r="E464" s="3" t="inlineStr">
        <is>
          <t>gói</t>
        </is>
      </c>
      <c r="F464" s="109" t="n">
        <v>1</v>
      </c>
      <c r="G464" s="128" t="n"/>
      <c r="H464" s="111">
        <f>F464*G464</f>
        <v/>
      </c>
      <c r="I464" s="111" t="inlineStr">
        <is>
          <t>Bên A thực hiện</t>
        </is>
      </c>
      <c r="J464" s="5" t="n">
        <v>1</v>
      </c>
    </row>
    <row r="465" customFormat="1" s="5">
      <c r="A465" s="14" t="inlineStr">
        <is>
          <t>4</t>
        </is>
      </c>
      <c r="B465" s="54" t="inlineStr">
        <is>
          <t>Rọ hút mặt bích DN200</t>
        </is>
      </c>
      <c r="C465" s="19" t="n"/>
      <c r="D465" s="19" t="n"/>
      <c r="E465" s="3" t="inlineStr">
        <is>
          <t>Cái</t>
        </is>
      </c>
      <c r="F465" s="109" t="n">
        <v>2</v>
      </c>
      <c r="G465" s="110" t="n"/>
      <c r="H465" s="111">
        <f>F465*G465</f>
        <v/>
      </c>
      <c r="I465" s="111" t="inlineStr">
        <is>
          <t>Bên A thực hiện</t>
        </is>
      </c>
      <c r="J465" s="5" t="n">
        <v>1</v>
      </c>
    </row>
    <row r="466" ht="24.75" customFormat="1" customHeight="1" s="5">
      <c r="A466" s="14" t="inlineStr">
        <is>
          <t>5</t>
        </is>
      </c>
      <c r="B466" s="54" t="inlineStr">
        <is>
          <t>Bộ điều khiển cảm biến áp suất</t>
        </is>
      </c>
      <c r="C466" s="19" t="n"/>
      <c r="D466" s="19" t="n"/>
      <c r="E466" s="108" t="inlineStr">
        <is>
          <t>bộ</t>
        </is>
      </c>
      <c r="F466" s="109" t="n">
        <v>3</v>
      </c>
      <c r="G466" s="110" t="n"/>
      <c r="H466" s="111">
        <f>F466*G466</f>
        <v/>
      </c>
      <c r="I466" s="111" t="n"/>
      <c r="J466" s="5" t="n">
        <v>1</v>
      </c>
    </row>
    <row r="467" ht="93" customFormat="1" customHeight="1" s="5">
      <c r="A467" s="14" t="inlineStr">
        <is>
          <t>6</t>
        </is>
      </c>
      <c r="B467" s="54" t="inlineStr">
        <is>
          <t>Chi phí khoan rút lõi họng khô, cắt đục trám vá lỗ chờ ống gió TAHK</t>
        </is>
      </c>
      <c r="C467" s="55" t="n"/>
      <c r="D467" s="55" t="n"/>
      <c r="E467" s="3" t="inlineStr">
        <is>
          <t>gói</t>
        </is>
      </c>
      <c r="F467" s="109" t="n">
        <v>1</v>
      </c>
      <c r="G467" s="110" t="n"/>
      <c r="H467" s="111">
        <f>F467*G467</f>
        <v/>
      </c>
      <c r="I467" s="54" t="inlineStr">
        <is>
          <t>Cắt đục mở lỗ trên tường, Không bao gồm khoan rút lõi mở trục</t>
        </is>
      </c>
      <c r="J467" s="5" t="n">
        <v>1</v>
      </c>
    </row>
    <row r="468" customFormat="1" s="5">
      <c r="A468" s="14" t="inlineStr">
        <is>
          <t>7</t>
        </is>
      </c>
      <c r="B468" s="54" t="inlineStr">
        <is>
          <t>Bộ điều khiển cảm biến áp suất</t>
        </is>
      </c>
      <c r="C468" s="55" t="n"/>
      <c r="D468" s="55" t="n"/>
      <c r="E468" s="3" t="inlineStr">
        <is>
          <t>Bộ</t>
        </is>
      </c>
      <c r="F468" s="109" t="n">
        <v>3</v>
      </c>
      <c r="G468" s="110" t="n"/>
      <c r="H468" s="111">
        <f>F468*G468</f>
        <v/>
      </c>
      <c r="I468" s="111" t="n"/>
      <c r="J468" s="5" t="n">
        <v>1</v>
      </c>
    </row>
    <row r="469" ht="46.5" customFormat="1" customHeight="1" s="5">
      <c r="A469" s="14" t="inlineStr">
        <is>
          <t>8</t>
        </is>
      </c>
      <c r="B469" s="54" t="inlineStr">
        <is>
          <t>Cáp điện chống cháy cho máy bơm chữa cháy 3x120+1x70mm</t>
        </is>
      </c>
      <c r="C469" s="55" t="n"/>
      <c r="D469" s="55" t="inlineStr">
        <is>
          <t>Cadisun/ Việt Nam</t>
        </is>
      </c>
      <c r="E469" s="3" t="inlineStr">
        <is>
          <t>m</t>
        </is>
      </c>
      <c r="F469" s="109" t="n">
        <v>1</v>
      </c>
      <c r="G469" s="117" t="n"/>
      <c r="H469" s="111">
        <f>F469*G469</f>
        <v/>
      </c>
      <c r="I469" s="111" t="n"/>
      <c r="J469" s="5" t="n">
        <v>1</v>
      </c>
    </row>
    <row r="470" customFormat="1" s="5">
      <c r="A470" s="14" t="inlineStr">
        <is>
          <t>9</t>
        </is>
      </c>
      <c r="B470" s="54" t="inlineStr">
        <is>
          <t>Dây cáp cấp nguồn chống cháy quạt 3x16mm</t>
        </is>
      </c>
      <c r="C470" s="55" t="n"/>
      <c r="D470" s="55" t="inlineStr">
        <is>
          <t>Cadisun/ Việt Nam</t>
        </is>
      </c>
      <c r="E470" s="3" t="inlineStr">
        <is>
          <t>m</t>
        </is>
      </c>
      <c r="F470" s="109" t="n">
        <v>1</v>
      </c>
      <c r="G470" s="122" t="n"/>
      <c r="H470" s="111">
        <f>F470*G470</f>
        <v/>
      </c>
      <c r="I470" s="111" t="n"/>
      <c r="J470" s="5" t="n">
        <v>1</v>
      </c>
    </row>
    <row r="471" customFormat="1" s="5">
      <c r="A471" s="14" t="inlineStr">
        <is>
          <t>10</t>
        </is>
      </c>
      <c r="B471" s="54" t="inlineStr">
        <is>
          <t>Dây cáp cấp nguồn chống cháy quạt 3x4mm</t>
        </is>
      </c>
      <c r="C471" s="55" t="n"/>
      <c r="D471" s="55" t="inlineStr">
        <is>
          <t>Cadisun/ Việt Nam</t>
        </is>
      </c>
      <c r="E471" s="3" t="inlineStr">
        <is>
          <t>m</t>
        </is>
      </c>
      <c r="F471" s="109" t="n">
        <v>1</v>
      </c>
      <c r="G471" s="122" t="n"/>
      <c r="H471" s="111">
        <f>F471*G471</f>
        <v/>
      </c>
      <c r="I471" s="111" t="n"/>
      <c r="J471" s="5" t="n">
        <v>1</v>
      </c>
    </row>
    <row r="472" customFormat="1" s="5">
      <c r="A472" s="14" t="inlineStr">
        <is>
          <t>11</t>
        </is>
      </c>
      <c r="B472" s="54" t="inlineStr">
        <is>
          <t>Dây cáp cấp nguồn chống cháy quạt 3x4mm</t>
        </is>
      </c>
      <c r="C472" s="56" t="n"/>
      <c r="D472" s="56" t="inlineStr">
        <is>
          <t>Cadisun/ Việt Nam</t>
        </is>
      </c>
      <c r="E472" s="57" t="inlineStr">
        <is>
          <t>m</t>
        </is>
      </c>
      <c r="F472" s="129" t="n">
        <v>1</v>
      </c>
      <c r="G472" s="130" t="n"/>
      <c r="H472" s="111">
        <f>F472*G472</f>
        <v/>
      </c>
      <c r="I472" s="111" t="n"/>
      <c r="J472" s="5" t="n">
        <v>1</v>
      </c>
    </row>
    <row r="473" ht="30.75" customFormat="1" customHeight="1" s="5">
      <c r="A473" s="18" t="n"/>
      <c r="B473" s="12" t="inlineStr">
        <is>
          <t>TỔNG TRƯỚC VAT</t>
        </is>
      </c>
      <c r="C473" s="19" t="n"/>
      <c r="D473" s="20" t="n"/>
      <c r="E473" s="4" t="n"/>
      <c r="F473" s="131" t="n"/>
      <c r="G473" s="4" t="n"/>
      <c r="H473" s="132">
        <f>SUM(H6:H472)</f>
        <v/>
      </c>
      <c r="I473" s="11" t="n"/>
      <c r="J473" s="5" t="n">
        <v>1</v>
      </c>
    </row>
    <row r="474" ht="30.75" customFormat="1" customHeight="1" s="5">
      <c r="A474" s="18" t="n"/>
      <c r="B474" s="12" t="inlineStr">
        <is>
          <t xml:space="preserve">VAT 08% </t>
        </is>
      </c>
      <c r="C474" s="19" t="n"/>
      <c r="D474" s="20" t="n"/>
      <c r="E474" s="4" t="n"/>
      <c r="F474" s="131" t="n"/>
      <c r="G474" s="4" t="n"/>
      <c r="H474" s="132">
        <f>H473*8%</f>
        <v/>
      </c>
      <c r="I474" s="11" t="n"/>
      <c r="J474" s="5" t="n">
        <v>1</v>
      </c>
    </row>
    <row r="475" ht="30.75" customFormat="1" customHeight="1" s="5">
      <c r="A475" s="18" t="n"/>
      <c r="B475" s="12" t="inlineStr">
        <is>
          <t>TỔNG SAU VAT</t>
        </is>
      </c>
      <c r="C475" s="19" t="n"/>
      <c r="D475" s="20" t="n"/>
      <c r="E475" s="4" t="n"/>
      <c r="F475" s="4" t="n"/>
      <c r="G475" s="4" t="n"/>
      <c r="H475" s="132">
        <f>H473+H474</f>
        <v/>
      </c>
      <c r="I475" s="11" t="n"/>
      <c r="J475" s="5" t="n">
        <v>1</v>
      </c>
    </row>
    <row r="476" customFormat="1" s="5">
      <c r="A476" s="8" t="n"/>
      <c r="B476" s="9" t="n"/>
      <c r="C476" s="22" t="n"/>
      <c r="D476" s="10" t="n"/>
      <c r="E476" s="44" t="n"/>
    </row>
    <row r="477" customFormat="1" s="5">
      <c r="A477" s="8" t="n"/>
      <c r="B477" s="9" t="n"/>
      <c r="C477" s="22" t="n"/>
      <c r="D477" s="10" t="n"/>
      <c r="E477" s="44" t="n"/>
    </row>
    <row r="478" customFormat="1" s="5">
      <c r="A478" s="8" t="n"/>
      <c r="B478" s="9" t="n"/>
      <c r="C478" s="22" t="n"/>
      <c r="D478" s="10" t="n"/>
      <c r="E478" s="44" t="n"/>
    </row>
    <row r="479" customFormat="1" s="5">
      <c r="A479" s="8" t="n"/>
      <c r="B479" s="9" t="n"/>
      <c r="C479" s="22" t="n"/>
      <c r="D479" s="10" t="n"/>
      <c r="E479" s="44" t="n"/>
    </row>
    <row r="480" ht="30.75" customFormat="1" customHeight="1" s="27">
      <c r="A480" s="23" t="n"/>
      <c r="B480" s="24" t="n"/>
      <c r="C480" s="25" t="n"/>
      <c r="D480" s="26" t="n"/>
      <c r="E480" s="45" t="n"/>
    </row>
    <row r="481" ht="30.75" customFormat="1" customHeight="1" s="27">
      <c r="A481" s="23" t="n"/>
      <c r="B481" s="24" t="n"/>
      <c r="C481" s="25" t="n"/>
      <c r="D481" s="26" t="n"/>
      <c r="E481" s="45" t="n"/>
    </row>
    <row r="482" ht="30.75" customFormat="1" customHeight="1" s="27">
      <c r="A482" s="23" t="n"/>
      <c r="B482" s="24" t="n"/>
      <c r="C482" s="25" t="n"/>
      <c r="D482" s="26" t="n"/>
      <c r="E482" s="45" t="n"/>
    </row>
  </sheetData>
  <autoFilter ref="A5:J475">
    <filterColumn colId="9" hiddenButton="0" showButton="1">
      <customFilters>
        <customFilter val=" " operator="notEqual"/>
      </customFilters>
    </filterColumn>
  </autoFilter>
  <mergeCells count="9">
    <mergeCell ref="C3:C5"/>
    <mergeCell ref="I4:I5"/>
    <mergeCell ref="A3:A5"/>
    <mergeCell ref="A1:I1"/>
    <mergeCell ref="E3:E5"/>
    <mergeCell ref="F3:F5"/>
    <mergeCell ref="D3:D5"/>
    <mergeCell ref="B3:B5"/>
    <mergeCell ref="G3:I3"/>
  </mergeCells>
  <conditionalFormatting sqref="G417 G419:G424 G426 G428:G440 G442:G450 G452">
    <cfRule type="expression" priority="3" dxfId="0">
      <formula>$F417=0</formula>
    </cfRule>
  </conditionalFormatting>
  <conditionalFormatting sqref="G465">
    <cfRule type="expression" priority="4" dxfId="0">
      <formula>$F465=0</formula>
    </cfRule>
  </conditionalFormatting>
  <conditionalFormatting sqref="G467:G472">
    <cfRule type="expression" priority="2" dxfId="0">
      <formula>$F467=0</formula>
    </cfRule>
  </conditionalFormatting>
  <conditionalFormatting sqref="G241">
    <cfRule type="expression" priority="1" dxfId="0">
      <formula>$F241=0</formula>
    </cfRule>
  </conditionalFormatting>
  <dataValidations count="1">
    <dataValidation sqref="C8" showDropDown="0" showInputMessage="0" showErrorMessage="0" allowBlank="1"/>
  </dataValidations>
  <printOptions horizontalCentered="1"/>
  <pageMargins left="0.1968503937007874" right="0.1968503937007874" top="0.5905511811023623" bottom="0.3937007874015748" header="0.3149606299212598" footer="0.3149606299212598"/>
  <pageSetup orientation="landscape" paperSize="8" scale="7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2024-06-18T03:58:19Z</dcterms:created>
  <dcterms:modified xsi:type="dcterms:W3CDTF">2026-10-19T07:21:12Z</dcterms:modified>
  <cp:lastModifiedBy>Hi</cp:lastModifiedBy>
  <cp:lastPrinted>2025-06-19T01:57:14Z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2024-06-17T00:00:00Z</vt:filetime>
  </property>
  <property name="Creator" fmtid="{D5CDD505-2E9C-101B-9397-08002B2CF9AE}" pid="3">
    <vt:lpwstr>Microsoft® Excel® 2013</vt:lpwstr>
  </property>
  <property name="LastSaved" fmtid="{D5CDD505-2E9C-101B-9397-08002B2CF9AE}" pid="4">
    <vt:filetime>2024-06-18T00:00:00Z</vt:filetime>
  </property>
  <property name="Producer" fmtid="{D5CDD505-2E9C-101B-9397-08002B2CF9AE}" pid="5">
    <vt:lpwstr>3-Heights(TM) PDF Security Shell 4.8.25.2 (http://www.pdf-tools.com)</vt:lpwstr>
  </property>
</Properties>
</file>
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7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0" t="n"/>
      <c r="G11" s="20" t="n"/>
      <c r="H11" s="21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2" t="n"/>
      <c r="B12" s="22" t="n"/>
      <c r="C12" s="22" t="n"/>
      <c r="D12" s="22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ht="20" customHeight="1">
      <c r="A13" s="23" t="n"/>
      <c r="B13" s="23" t="n"/>
      <c r="C13" s="23" t="n"/>
      <c r="D13" s="23" t="n"/>
      <c r="E13" s="5" t="inlineStr">
        <is>
          <t>Face size</t>
        </is>
      </c>
      <c r="F13" s="21" t="n"/>
      <c r="G13" s="5" t="inlineStr">
        <is>
          <t>Neck size</t>
        </is>
      </c>
      <c r="H13" s="21" t="n"/>
      <c r="I13" s="23" t="n"/>
      <c r="J13" s="23" t="n"/>
      <c r="K13" s="23" t="n"/>
      <c r="L13" s="23" t="n"/>
      <c r="M13" s="23" t="n"/>
      <c r="N13" s="23" t="n"/>
      <c r="O13" s="23" t="n"/>
      <c r="P13" s="23" t="n"/>
    </row>
    <row r="14">
      <c r="A14" s="6" t="n">
        <v>36</v>
      </c>
      <c r="B14" s="7" t="inlineStr">
        <is>
          <t>Chụp thông hơi inox DN80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inlineStr">
        <is>
          <t>Cái</t>
        </is>
      </c>
      <c r="M14" s="8" t="n">
        <v>2</v>
      </c>
      <c r="N14" s="9" t="n"/>
      <c r="O14" s="9" t="n"/>
      <c r="P14" s="7" t="n"/>
    </row>
    <row r="15">
      <c r="A15" s="6" t="n">
        <v>14</v>
      </c>
      <c r="B15" s="7" t="inlineStr">
        <is>
          <t>FAL 500x400, Louver+ LCCT</t>
        </is>
      </c>
      <c r="C15" s="6" t="inlineStr">
        <is>
          <t>WL+N</t>
        </is>
      </c>
      <c r="D15" s="6" t="inlineStr">
        <is>
          <t>SWIND</t>
        </is>
      </c>
      <c r="E15" s="6" t="n">
        <v>500</v>
      </c>
      <c r="F15" s="6" t="n">
        <v>400</v>
      </c>
      <c r="G15" s="6" t="n">
        <v>450</v>
      </c>
      <c r="H15" s="6" t="n">
        <v>350</v>
      </c>
      <c r="I15" s="6" t="n"/>
      <c r="J15" s="6" t="n"/>
      <c r="K15" s="6" t="n"/>
      <c r="L15" s="6" t="inlineStr">
        <is>
          <t>cái</t>
        </is>
      </c>
      <c r="M15" s="8" t="n">
        <v>1</v>
      </c>
      <c r="N15" s="8" t="n">
        <v>311000</v>
      </c>
      <c r="O15" s="8">
        <f>ROUNDUP(N15*M15, -2)</f>
        <v/>
      </c>
      <c r="P15" s="7" t="inlineStr">
        <is>
          <t>Louver nan Z ngoài trời kèm lưới chắn côn trùng Inox 304</t>
        </is>
      </c>
    </row>
    <row r="16">
      <c r="A16" s="6" t="n">
        <v>1</v>
      </c>
      <c r="B16" s="7" t="inlineStr">
        <is>
          <t>EAL + LCCT 300x200, Louver</t>
        </is>
      </c>
      <c r="C16" s="6" t="inlineStr">
        <is>
          <t>WL+N</t>
        </is>
      </c>
      <c r="D16" s="6" t="inlineStr">
        <is>
          <t>SWIND</t>
        </is>
      </c>
      <c r="E16" s="6" t="n">
        <v>300</v>
      </c>
      <c r="F16" s="6" t="n">
        <v>200</v>
      </c>
      <c r="G16" s="6" t="n">
        <v>250</v>
      </c>
      <c r="H16" s="6" t="n">
        <v>150</v>
      </c>
      <c r="I16" s="6" t="n"/>
      <c r="J16" s="6" t="n"/>
      <c r="K16" s="6" t="n"/>
      <c r="L16" s="6" t="inlineStr">
        <is>
          <t>cái</t>
        </is>
      </c>
      <c r="M16" s="8" t="n">
        <v>5</v>
      </c>
      <c r="N16" s="8" t="n">
        <v>103000</v>
      </c>
      <c r="O16" s="8">
        <f>ROUNDUP(N16*M16, -2)</f>
        <v/>
      </c>
      <c r="P16" s="7" t="inlineStr">
        <is>
          <t>Louver nan Z ngoài trời kèm lưới chắn côn trùng Inox 304</t>
        </is>
      </c>
    </row>
    <row r="17">
      <c r="A17" s="6" t="n">
        <v>3</v>
      </c>
      <c r="B17" s="7" t="inlineStr">
        <is>
          <t>VCD 900x400, van chỉnh lưu lượng gió</t>
        </is>
      </c>
      <c r="C17" s="6" t="inlineStr">
        <is>
          <t>VCD</t>
        </is>
      </c>
      <c r="D17" s="6" t="inlineStr">
        <is>
          <t>SWIND</t>
        </is>
      </c>
      <c r="E17" s="6" t="n">
        <v>900</v>
      </c>
      <c r="F17" s="6" t="n">
        <v>400</v>
      </c>
      <c r="G17" s="6" t="n"/>
      <c r="H17" s="6" t="n"/>
      <c r="I17" s="6" t="n"/>
      <c r="J17" s="6" t="n">
        <v>200</v>
      </c>
      <c r="K17" s="10" t="n">
        <v>0.75</v>
      </c>
      <c r="L17" s="6" t="inlineStr">
        <is>
          <t>cái</t>
        </is>
      </c>
      <c r="M17" s="8" t="n">
        <v>36</v>
      </c>
      <c r="N17" s="8" t="n">
        <v>478000</v>
      </c>
      <c r="O17" s="8">
        <f>ROUNDUP(N17*M17, -2)</f>
        <v/>
      </c>
      <c r="P17" s="7" t="inlineStr">
        <is>
          <t>Van điều chỉnh lưu lượng tay gạt tôn mạ kẽm</t>
        </is>
      </c>
    </row>
    <row r="18">
      <c r="A18" s="6" t="n">
        <v>3</v>
      </c>
      <c r="B18" s="7" t="inlineStr">
        <is>
          <t>VCD 600x300, van chỉnh lưu lượng gió</t>
        </is>
      </c>
      <c r="C18" s="6" t="inlineStr">
        <is>
          <t>VCD</t>
        </is>
      </c>
      <c r="D18" s="6" t="inlineStr">
        <is>
          <t>SWIND</t>
        </is>
      </c>
      <c r="E18" s="6" t="n">
        <v>600</v>
      </c>
      <c r="F18" s="6" t="n">
        <v>300</v>
      </c>
      <c r="G18" s="6" t="n"/>
      <c r="H18" s="6" t="n"/>
      <c r="I18" s="6" t="n"/>
      <c r="J18" s="6" t="n">
        <v>200</v>
      </c>
      <c r="K18" s="10" t="n">
        <v>0.75</v>
      </c>
      <c r="L18" s="6" t="inlineStr">
        <is>
          <t>cái</t>
        </is>
      </c>
      <c r="M18" s="8" t="n">
        <v>36</v>
      </c>
      <c r="N18" s="8" t="n">
        <v>364000</v>
      </c>
      <c r="O18" s="8">
        <f>ROUNDUP(N18*M18, -2)</f>
        <v/>
      </c>
      <c r="P18" s="7" t="inlineStr">
        <is>
          <t>Van điều chỉnh lưu lượng tay gạt tôn mạ kẽm</t>
        </is>
      </c>
    </row>
    <row r="19">
      <c r="A19" s="6" t="n">
        <v>1</v>
      </c>
      <c r="B19" s="7" t="inlineStr">
        <is>
          <t>EAG 150x150 kèm OBD, miệng gió thải</t>
        </is>
      </c>
      <c r="C19" s="6" t="inlineStr">
        <is>
          <t>SDG+O</t>
        </is>
      </c>
      <c r="D19" s="6" t="inlineStr">
        <is>
          <t>SWIND</t>
        </is>
      </c>
      <c r="E19" s="6" t="n">
        <v>150</v>
      </c>
      <c r="F19" s="6" t="n">
        <v>150</v>
      </c>
      <c r="G19" s="6" t="n">
        <v>100</v>
      </c>
      <c r="H19" s="6" t="n">
        <v>100</v>
      </c>
      <c r="I19" s="6" t="n"/>
      <c r="J19" s="6" t="n"/>
      <c r="K19" s="6" t="n"/>
      <c r="L19" s="6" t="inlineStr">
        <is>
          <t>cái</t>
        </is>
      </c>
      <c r="M19" s="8" t="n">
        <v>88</v>
      </c>
      <c r="N19" s="8" t="n">
        <v>59000</v>
      </c>
      <c r="O19" s="8">
        <f>ROUNDUP(N19*M19, -2)</f>
        <v/>
      </c>
      <c r="P19" s="7" t="inlineStr">
        <is>
          <t>Cửa nan bầu dục 1 lớp kèm van OBD</t>
        </is>
      </c>
    </row>
    <row r="20">
      <c r="A20" s="6" t="n">
        <v>1</v>
      </c>
      <c r="B20" s="7" t="inlineStr">
        <is>
          <t>Miệng gió EAG+OBD 1200x600</t>
        </is>
      </c>
      <c r="C20" s="6" t="inlineStr">
        <is>
          <t>SDG+O</t>
        </is>
      </c>
      <c r="D20" s="6" t="inlineStr">
        <is>
          <t>SWIND</t>
        </is>
      </c>
      <c r="E20" s="6" t="n">
        <v>1200</v>
      </c>
      <c r="F20" s="6" t="n">
        <v>600</v>
      </c>
      <c r="G20" s="6" t="n">
        <v>1150</v>
      </c>
      <c r="H20" s="6" t="n">
        <v>550</v>
      </c>
      <c r="I20" s="6" t="n"/>
      <c r="J20" s="6" t="n"/>
      <c r="K20" s="6" t="n"/>
      <c r="L20" s="6" t="inlineStr">
        <is>
          <t>Cái</t>
        </is>
      </c>
      <c r="M20" s="8" t="n">
        <v>31</v>
      </c>
      <c r="N20" s="8" t="n">
        <v>1025000</v>
      </c>
      <c r="O20" s="8">
        <f>ROUNDUP(N20*M20, -2)</f>
        <v/>
      </c>
      <c r="P20" s="7" t="inlineStr">
        <is>
          <t>Cửa nan bầu dục 1 lớp kèm van OBD</t>
        </is>
      </c>
    </row>
    <row r="21">
      <c r="A21" s="6" t="n">
        <v>1</v>
      </c>
      <c r="B21" s="7" t="inlineStr">
        <is>
          <t>Miệng gió PAG + OBD 600x600</t>
        </is>
      </c>
      <c r="C21" s="6" t="inlineStr">
        <is>
          <t>SDG+O</t>
        </is>
      </c>
      <c r="D21" s="6" t="inlineStr">
        <is>
          <t>SWIND</t>
        </is>
      </c>
      <c r="E21" s="6" t="n">
        <v>600</v>
      </c>
      <c r="F21" s="6" t="n">
        <v>600</v>
      </c>
      <c r="G21" s="6" t="n">
        <v>550</v>
      </c>
      <c r="H21" s="6" t="n">
        <v>550</v>
      </c>
      <c r="I21" s="6" t="n"/>
      <c r="J21" s="6" t="n"/>
      <c r="K21" s="6" t="n"/>
      <c r="L21" s="6" t="inlineStr">
        <is>
          <t>Cái</t>
        </is>
      </c>
      <c r="M21" s="8" t="n">
        <v>32</v>
      </c>
      <c r="N21" s="8" t="n">
        <v>546000</v>
      </c>
      <c r="O21" s="8">
        <f>ROUNDUP(N21*M21, -2)</f>
        <v/>
      </c>
      <c r="P21" s="7" t="inlineStr">
        <is>
          <t>Cửa nan thẳng bầu dục kèm van OBD (tăng áp / hút khói)</t>
        </is>
      </c>
    </row>
    <row r="22">
      <c r="A22" s="6" t="n">
        <v>21</v>
      </c>
      <c r="B22" s="7" t="inlineStr">
        <is>
          <t>Chụp thông hơi inox DN100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inlineStr">
        <is>
          <t>cái</t>
        </is>
      </c>
      <c r="M22" s="8" t="n">
        <v>4</v>
      </c>
      <c r="N22" s="9" t="n"/>
      <c r="O22" s="9" t="n"/>
      <c r="P22" s="7" t="n"/>
    </row>
    <row r="23">
      <c r="A23" s="6" t="n">
        <v>1</v>
      </c>
      <c r="B23" s="7" t="inlineStr">
        <is>
          <t>Chụp thông hơi inox D200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inlineStr">
        <is>
          <t>cái</t>
        </is>
      </c>
      <c r="M23" s="8" t="n">
        <v>6</v>
      </c>
      <c r="N23" s="9" t="n"/>
      <c r="O23" s="9" t="n"/>
      <c r="P23" s="7" t="n"/>
    </row>
    <row r="24">
      <c r="A24" s="6" t="n">
        <v>2</v>
      </c>
      <c r="B24" s="7" t="inlineStr">
        <is>
          <t>Chụp thông hơi inox D110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inlineStr">
        <is>
          <t>cái</t>
        </is>
      </c>
      <c r="M24" s="8" t="n">
        <v>2</v>
      </c>
      <c r="N24" s="9" t="n"/>
      <c r="O24" s="9" t="n"/>
      <c r="P24" s="7" t="n"/>
    </row>
    <row r="25">
      <c r="A25" s="6" t="n">
        <v>3</v>
      </c>
      <c r="B25" s="7" t="inlineStr">
        <is>
          <t>Chụp thông hơi inox D90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inlineStr">
        <is>
          <t>cái</t>
        </is>
      </c>
      <c r="M25" s="8" t="n">
        <v>6</v>
      </c>
      <c r="N25" s="9" t="n"/>
      <c r="O25" s="9" t="n"/>
      <c r="P25" s="7" t="n"/>
    </row>
    <row r="26">
      <c r="A26" s="6" t="n">
        <v>13</v>
      </c>
      <c r="B26" s="7" t="inlineStr">
        <is>
          <t>FAL 500x300, Louver+ LCCT</t>
        </is>
      </c>
      <c r="C26" s="6" t="inlineStr">
        <is>
          <t>WL+N</t>
        </is>
      </c>
      <c r="D26" s="6" t="inlineStr">
        <is>
          <t>SWIND</t>
        </is>
      </c>
      <c r="E26" s="6" t="n">
        <v>500</v>
      </c>
      <c r="F26" s="6" t="n">
        <v>300</v>
      </c>
      <c r="G26" s="6" t="n">
        <v>450</v>
      </c>
      <c r="H26" s="6" t="n">
        <v>250</v>
      </c>
      <c r="I26" s="6" t="n"/>
      <c r="J26" s="6" t="n"/>
      <c r="K26" s="6" t="n"/>
      <c r="L26" s="6" t="inlineStr">
        <is>
          <t>cái</t>
        </is>
      </c>
      <c r="M26" s="8" t="n">
        <v>10</v>
      </c>
      <c r="N26" s="8" t="n">
        <v>246000</v>
      </c>
      <c r="O26" s="8">
        <f>ROUNDUP(N26*M26, -2)</f>
        <v/>
      </c>
      <c r="P26" s="7" t="inlineStr">
        <is>
          <t>Louver nan Z ngoài trời kèm lưới chắn côn trùng Inox 304</t>
        </is>
      </c>
    </row>
    <row r="27">
      <c r="A27" s="6" t="n">
        <v>21</v>
      </c>
      <c r="B27" s="7" t="inlineStr">
        <is>
          <t>NRD 900x400 van 1 chiều</t>
        </is>
      </c>
      <c r="C27" s="6" t="inlineStr">
        <is>
          <t>NRD</t>
        </is>
      </c>
      <c r="D27" s="6" t="inlineStr">
        <is>
          <t>SWIND</t>
        </is>
      </c>
      <c r="E27" s="6" t="n">
        <v>900</v>
      </c>
      <c r="F27" s="6" t="n">
        <v>400</v>
      </c>
      <c r="G27" s="6" t="n"/>
      <c r="H27" s="6" t="n"/>
      <c r="I27" s="6" t="n"/>
      <c r="J27" s="6" t="n">
        <v>200</v>
      </c>
      <c r="K27" s="10" t="n">
        <v>0.75</v>
      </c>
      <c r="L27" s="6" t="inlineStr">
        <is>
          <t>cái</t>
        </is>
      </c>
      <c r="M27" s="8" t="n">
        <v>1</v>
      </c>
      <c r="N27" s="8" t="n">
        <v>422000</v>
      </c>
      <c r="O27" s="8">
        <f>ROUNDUP(N27*M27, -2)</f>
        <v/>
      </c>
      <c r="P27" s="7" t="inlineStr">
        <is>
          <t>Van 1 chiều tôn mạ kẽm</t>
        </is>
      </c>
    </row>
    <row r="28">
      <c r="A28" s="6" t="n">
        <v>23</v>
      </c>
      <c r="B28" s="7" t="inlineStr">
        <is>
          <t>NRD 500x200 van 1 chiều</t>
        </is>
      </c>
      <c r="C28" s="6" t="inlineStr">
        <is>
          <t>NRD</t>
        </is>
      </c>
      <c r="D28" s="6" t="inlineStr">
        <is>
          <t>SWIND</t>
        </is>
      </c>
      <c r="E28" s="6" t="n">
        <v>500</v>
      </c>
      <c r="F28" s="6" t="n">
        <v>200</v>
      </c>
      <c r="G28" s="6" t="n"/>
      <c r="H28" s="6" t="n"/>
      <c r="I28" s="6" t="n"/>
      <c r="J28" s="6" t="n">
        <v>200</v>
      </c>
      <c r="K28" s="10" t="n">
        <v>0.75</v>
      </c>
      <c r="L28" s="6" t="inlineStr">
        <is>
          <t>cái</t>
        </is>
      </c>
      <c r="M28" s="8" t="n">
        <v>2</v>
      </c>
      <c r="N28" s="8" t="n">
        <v>209000</v>
      </c>
      <c r="O28" s="8">
        <f>ROUNDUP(N28*M28, -2)</f>
        <v/>
      </c>
      <c r="P28" s="7" t="inlineStr">
        <is>
          <t>Van 1 chiều tôn mạ kẽm</t>
        </is>
      </c>
    </row>
    <row r="29">
      <c r="A29" s="6" t="n">
        <v>24</v>
      </c>
      <c r="B29" s="7" t="inlineStr">
        <is>
          <t>EAG + OBD 300x200, miệng gió thải</t>
        </is>
      </c>
      <c r="C29" s="6" t="inlineStr">
        <is>
          <t>SDG+O</t>
        </is>
      </c>
      <c r="D29" s="6" t="inlineStr">
        <is>
          <t>SWIND</t>
        </is>
      </c>
      <c r="E29" s="6" t="n">
        <v>300</v>
      </c>
      <c r="F29" s="6" t="n">
        <v>200</v>
      </c>
      <c r="G29" s="6" t="n">
        <v>250</v>
      </c>
      <c r="H29" s="6" t="n">
        <v>150</v>
      </c>
      <c r="I29" s="6" t="n"/>
      <c r="J29" s="6" t="n"/>
      <c r="K29" s="6" t="n"/>
      <c r="L29" s="6" t="inlineStr">
        <is>
          <t>cái</t>
        </is>
      </c>
      <c r="M29" s="8" t="n">
        <v>5</v>
      </c>
      <c r="N29" s="8" t="n">
        <v>126000</v>
      </c>
      <c r="O29" s="8">
        <f>ROUNDUP(N29*M29, -2)</f>
        <v/>
      </c>
      <c r="P29" s="7" t="inlineStr">
        <is>
          <t>Cửa nan bầu dục 1 lớp kèm van OBD</t>
        </is>
      </c>
    </row>
    <row r="30">
      <c r="A30" s="6" t="n">
        <v>4</v>
      </c>
      <c r="B30" s="7" t="inlineStr">
        <is>
          <t>VCD 800x400, van chỉnh lưu lượng gió</t>
        </is>
      </c>
      <c r="C30" s="6" t="inlineStr">
        <is>
          <t>VCD</t>
        </is>
      </c>
      <c r="D30" s="6" t="inlineStr">
        <is>
          <t>SWIND</t>
        </is>
      </c>
      <c r="E30" s="6" t="n">
        <v>800</v>
      </c>
      <c r="F30" s="6" t="n">
        <v>400</v>
      </c>
      <c r="G30" s="6" t="n"/>
      <c r="H30" s="6" t="n"/>
      <c r="I30" s="6" t="n"/>
      <c r="J30" s="6" t="n">
        <v>200</v>
      </c>
      <c r="K30" s="10" t="n">
        <v>0.75</v>
      </c>
      <c r="L30" s="6" t="inlineStr">
        <is>
          <t>cái</t>
        </is>
      </c>
      <c r="M30" s="8" t="n">
        <v>4</v>
      </c>
      <c r="N30" s="8" t="n">
        <v>451000</v>
      </c>
      <c r="O30" s="8">
        <f>ROUNDUP(N30*M30, -2)</f>
        <v/>
      </c>
      <c r="P30" s="7" t="inlineStr">
        <is>
          <t>Van điều chỉnh lưu lượng tay gạt tôn mạ kẽm</t>
        </is>
      </c>
    </row>
    <row r="31">
      <c r="A31" s="6" t="n">
        <v>6</v>
      </c>
      <c r="B31" s="7" t="inlineStr">
        <is>
          <t>VCD 700x400, van chỉnh lưu lượng gió</t>
        </is>
      </c>
      <c r="C31" s="6" t="inlineStr">
        <is>
          <t>VCD</t>
        </is>
      </c>
      <c r="D31" s="6" t="inlineStr">
        <is>
          <t>SWIND</t>
        </is>
      </c>
      <c r="E31" s="6" t="n">
        <v>700</v>
      </c>
      <c r="F31" s="6" t="n">
        <v>400</v>
      </c>
      <c r="G31" s="6" t="n"/>
      <c r="H31" s="6" t="n"/>
      <c r="I31" s="6" t="n"/>
      <c r="J31" s="6" t="n">
        <v>200</v>
      </c>
      <c r="K31" s="10" t="n">
        <v>0.75</v>
      </c>
      <c r="L31" s="6" t="inlineStr">
        <is>
          <t>cái</t>
        </is>
      </c>
      <c r="M31" s="8" t="n">
        <v>28</v>
      </c>
      <c r="N31" s="8" t="n">
        <v>424000</v>
      </c>
      <c r="O31" s="8">
        <f>ROUNDUP(N31*M31, -2)</f>
        <v/>
      </c>
      <c r="P31" s="7" t="inlineStr">
        <is>
          <t>Van điều chỉnh lưu lượng tay gạt tôn mạ kẽm</t>
        </is>
      </c>
    </row>
    <row r="32">
      <c r="A32" s="6" t="n">
        <v>7</v>
      </c>
      <c r="B32" s="7" t="inlineStr">
        <is>
          <t>VCD 500x350, van chỉnh lưu lượng gió</t>
        </is>
      </c>
      <c r="C32" s="6" t="inlineStr">
        <is>
          <t>VCD</t>
        </is>
      </c>
      <c r="D32" s="6" t="inlineStr">
        <is>
          <t>SWIND</t>
        </is>
      </c>
      <c r="E32" s="6" t="n">
        <v>500</v>
      </c>
      <c r="F32" s="6" t="n">
        <v>350</v>
      </c>
      <c r="G32" s="6" t="n"/>
      <c r="H32" s="6" t="n"/>
      <c r="I32" s="6" t="n"/>
      <c r="J32" s="6" t="n">
        <v>200</v>
      </c>
      <c r="K32" s="10" t="n">
        <v>0.75</v>
      </c>
      <c r="L32" s="6" t="inlineStr">
        <is>
          <t>cái</t>
        </is>
      </c>
      <c r="M32" s="8" t="n">
        <v>32</v>
      </c>
      <c r="N32" s="8" t="n">
        <v>354000</v>
      </c>
      <c r="O32" s="8">
        <f>ROUNDUP(N32*M32, -2)</f>
        <v/>
      </c>
      <c r="P32" s="7" t="inlineStr">
        <is>
          <t>Van điều chỉnh lưu lượng tay gạt tôn mạ kẽm</t>
        </is>
      </c>
    </row>
    <row r="33">
      <c r="A33" s="6" t="n">
        <v>8</v>
      </c>
      <c r="B33" s="7" t="inlineStr">
        <is>
          <t>VCD 600x350, van chỉnh lưu lượng gió</t>
        </is>
      </c>
      <c r="C33" s="6" t="inlineStr">
        <is>
          <t>VCD</t>
        </is>
      </c>
      <c r="D33" s="6" t="inlineStr">
        <is>
          <t>SWIND</t>
        </is>
      </c>
      <c r="E33" s="6" t="n">
        <v>600</v>
      </c>
      <c r="F33" s="6" t="n">
        <v>350</v>
      </c>
      <c r="G33" s="6" t="n"/>
      <c r="H33" s="6" t="n"/>
      <c r="I33" s="6" t="n"/>
      <c r="J33" s="6" t="n">
        <v>200</v>
      </c>
      <c r="K33" s="10" t="n">
        <v>0.75</v>
      </c>
      <c r="L33" s="6" t="inlineStr">
        <is>
          <t>cái</t>
        </is>
      </c>
      <c r="M33" s="8" t="n">
        <v>4</v>
      </c>
      <c r="N33" s="8" t="n">
        <v>380000</v>
      </c>
      <c r="O33" s="8">
        <f>ROUNDUP(N33*M33, -2)</f>
        <v/>
      </c>
      <c r="P33" s="7" t="inlineStr">
        <is>
          <t>Van điều chỉnh lưu lượng tay gạt tôn mạ kẽm</t>
        </is>
      </c>
    </row>
    <row r="34">
      <c r="A34" s="6" t="n">
        <v>4</v>
      </c>
      <c r="B34" s="7" t="inlineStr">
        <is>
          <t>VCD 500x250, van chỉnh lưu lượng gió</t>
        </is>
      </c>
      <c r="C34" s="6" t="inlineStr">
        <is>
          <t>VCD</t>
        </is>
      </c>
      <c r="D34" s="6" t="inlineStr">
        <is>
          <t>SWIND</t>
        </is>
      </c>
      <c r="E34" s="6" t="n">
        <v>500</v>
      </c>
      <c r="F34" s="6" t="n">
        <v>250</v>
      </c>
      <c r="G34" s="6" t="n"/>
      <c r="H34" s="6" t="n"/>
      <c r="I34" s="6" t="n"/>
      <c r="J34" s="6" t="n">
        <v>200</v>
      </c>
      <c r="K34" s="10" t="n">
        <v>0.75</v>
      </c>
      <c r="L34" s="6" t="inlineStr">
        <is>
          <t>cái</t>
        </is>
      </c>
      <c r="M34" s="8" t="n">
        <v>32</v>
      </c>
      <c r="N34" s="8" t="n">
        <v>273000</v>
      </c>
      <c r="O34" s="8">
        <f>ROUNDUP(N34*M34, -2)</f>
        <v/>
      </c>
      <c r="P34" s="7" t="inlineStr">
        <is>
          <t>Van điều chỉnh lưu lượng tay gạt tôn mạ kẽm</t>
        </is>
      </c>
    </row>
    <row r="35">
      <c r="A35" s="6" t="n">
        <v>5</v>
      </c>
      <c r="B35" s="7" t="inlineStr">
        <is>
          <t>VCD 400x200, van chỉnh lưu lượng gió</t>
        </is>
      </c>
      <c r="C35" s="6" t="inlineStr">
        <is>
          <t>VCD</t>
        </is>
      </c>
      <c r="D35" s="6" t="inlineStr">
        <is>
          <t>SWIND</t>
        </is>
      </c>
      <c r="E35" s="6" t="n">
        <v>400</v>
      </c>
      <c r="F35" s="6" t="n">
        <v>200</v>
      </c>
      <c r="G35" s="6" t="n"/>
      <c r="H35" s="6" t="n"/>
      <c r="I35" s="6" t="n"/>
      <c r="J35" s="6" t="n">
        <v>200</v>
      </c>
      <c r="K35" s="10" t="n">
        <v>0.75</v>
      </c>
      <c r="L35" s="6" t="inlineStr">
        <is>
          <t>cái</t>
        </is>
      </c>
      <c r="M35" s="8" t="n">
        <v>36</v>
      </c>
      <c r="N35" s="8" t="n">
        <v>236000</v>
      </c>
      <c r="O35" s="8">
        <f>ROUNDUP(N35*M35, -2)</f>
        <v/>
      </c>
      <c r="P35" s="7" t="inlineStr">
        <is>
          <t>Van điều chỉnh lưu lượng tay gạt tôn mạ kẽm</t>
        </is>
      </c>
    </row>
    <row r="36">
      <c r="A36" s="6" t="n">
        <v>1</v>
      </c>
      <c r="B36" s="7" t="inlineStr">
        <is>
          <t>Van gió 1 chiều NRD kích thước 400x200</t>
        </is>
      </c>
      <c r="C36" s="6" t="inlineStr">
        <is>
          <t>NRD</t>
        </is>
      </c>
      <c r="D36" s="6" t="inlineStr">
        <is>
          <t>SWIND</t>
        </is>
      </c>
      <c r="E36" s="6" t="n">
        <v>400</v>
      </c>
      <c r="F36" s="6" t="n">
        <v>200</v>
      </c>
      <c r="G36" s="6" t="n"/>
      <c r="H36" s="6" t="n"/>
      <c r="I36" s="6" t="n"/>
      <c r="J36" s="6" t="n">
        <v>200</v>
      </c>
      <c r="K36" s="10" t="n">
        <v>0.75</v>
      </c>
      <c r="L36" s="6" t="inlineStr">
        <is>
          <t>cái</t>
        </is>
      </c>
      <c r="M36" s="8" t="n">
        <v>8</v>
      </c>
      <c r="N36" s="8" t="n">
        <v>188000</v>
      </c>
      <c r="O36" s="8">
        <f>ROUNDUP(N36*M36, -2)</f>
        <v/>
      </c>
      <c r="P36" s="7" t="inlineStr">
        <is>
          <t>Van 1 chiều tôn mạ kẽm</t>
        </is>
      </c>
    </row>
    <row r="37">
      <c r="A37" s="6" t="n">
        <v>2</v>
      </c>
      <c r="B37" s="7" t="inlineStr">
        <is>
          <t>VCD 1000x650, van chỉnh lưu lượng gió</t>
        </is>
      </c>
      <c r="C37" s="6" t="inlineStr">
        <is>
          <t>VCD</t>
        </is>
      </c>
      <c r="D37" s="6" t="inlineStr">
        <is>
          <t>SWIND</t>
        </is>
      </c>
      <c r="E37" s="6" t="n">
        <v>1000</v>
      </c>
      <c r="F37" s="6" t="n">
        <v>650</v>
      </c>
      <c r="G37" s="6" t="n"/>
      <c r="H37" s="6" t="n"/>
      <c r="I37" s="6" t="n"/>
      <c r="J37" s="6" t="n">
        <v>200</v>
      </c>
      <c r="K37" s="10" t="n">
        <v>1.15</v>
      </c>
      <c r="L37" s="6" t="inlineStr">
        <is>
          <t>cái</t>
        </is>
      </c>
      <c r="M37" s="8" t="n">
        <v>4</v>
      </c>
      <c r="N37" s="8" t="n">
        <v>1253750</v>
      </c>
      <c r="O37" s="8">
        <f>ROUNDUP(N37*M37, -2)</f>
        <v/>
      </c>
      <c r="P37" s="7" t="inlineStr">
        <is>
          <t>Van điều chỉnh lưu lượng tay gạt tôn mạ kẽm</t>
        </is>
      </c>
    </row>
    <row r="38">
      <c r="A38" s="6" t="n">
        <v>2</v>
      </c>
      <c r="B38" s="7" t="inlineStr">
        <is>
          <t>Miệng gió SAG+MD 1200x600</t>
        </is>
      </c>
      <c r="C38" s="6" t="inlineStr">
        <is>
          <t>SDG+MD</t>
        </is>
      </c>
      <c r="D38" s="6" t="inlineStr">
        <is>
          <t>SWIND</t>
        </is>
      </c>
      <c r="E38" s="6" t="n">
        <v>1200</v>
      </c>
      <c r="F38" s="6" t="n">
        <v>600</v>
      </c>
      <c r="G38" s="6" t="n">
        <v>1150</v>
      </c>
      <c r="H38" s="6" t="n">
        <v>550</v>
      </c>
      <c r="I38" s="6" t="n"/>
      <c r="J38" s="6" t="n"/>
      <c r="K38" s="6" t="n"/>
      <c r="L38" s="6" t="inlineStr">
        <is>
          <t>Cái</t>
        </is>
      </c>
      <c r="M38" s="8" t="n">
        <v>5</v>
      </c>
      <c r="N38" s="8" t="n">
        <v>4107500</v>
      </c>
      <c r="O38" s="8">
        <f>ROUNDUP(N38*M38, -2)</f>
        <v/>
      </c>
      <c r="P38" s="7" t="inlineStr">
        <is>
          <t>Cửa nan bầu dục 1 lớp kèm van động cơ ON-OFF BELIMO (đóng mở 150s), xuất xứ Thụy Sỹ</t>
        </is>
      </c>
    </row>
    <row r="39">
      <c r="A39" s="6" t="n">
        <v>9</v>
      </c>
      <c r="B39" s="7" t="inlineStr">
        <is>
          <t>Cửa bù gió 1200x500</t>
        </is>
      </c>
      <c r="C39" s="6" t="inlineStr">
        <is>
          <t>WL+N</t>
        </is>
      </c>
      <c r="D39" s="6" t="inlineStr">
        <is>
          <t>SWIND</t>
        </is>
      </c>
      <c r="E39" s="6" t="n">
        <v>1200</v>
      </c>
      <c r="F39" s="6" t="n">
        <v>500</v>
      </c>
      <c r="G39" s="6" t="n">
        <v>1150</v>
      </c>
      <c r="H39" s="6" t="n">
        <v>450</v>
      </c>
      <c r="I39" s="6" t="n"/>
      <c r="J39" s="6" t="n"/>
      <c r="K39" s="6" t="n"/>
      <c r="L39" s="6" t="inlineStr">
        <is>
          <t>cái</t>
        </is>
      </c>
      <c r="M39" s="8" t="n">
        <v>2</v>
      </c>
      <c r="N39" s="8" t="n">
        <v>849000</v>
      </c>
      <c r="O39" s="8">
        <f>ROUNDUP(N39*M39, -2)</f>
        <v/>
      </c>
      <c r="P39" s="7" t="inlineStr">
        <is>
          <t>Louver nan Z ngoài trời kèm lưới chắn côn trùng Inox 304</t>
        </is>
      </c>
    </row>
    <row r="40">
      <c r="A40" s="6" t="n">
        <v>10</v>
      </c>
      <c r="B40" s="7" t="inlineStr">
        <is>
          <t>Cửa bù gió 3000x600</t>
        </is>
      </c>
      <c r="C40" s="6" t="inlineStr">
        <is>
          <t>WL+N</t>
        </is>
      </c>
      <c r="D40" s="6" t="inlineStr">
        <is>
          <t>SWIND</t>
        </is>
      </c>
      <c r="E40" s="6" t="n">
        <v>3000</v>
      </c>
      <c r="F40" s="6" t="n">
        <v>600</v>
      </c>
      <c r="G40" s="6" t="n">
        <v>2950</v>
      </c>
      <c r="H40" s="6" t="n">
        <v>550</v>
      </c>
      <c r="I40" s="6" t="n"/>
      <c r="J40" s="6" t="n"/>
      <c r="K40" s="6" t="n"/>
      <c r="L40" s="6" t="inlineStr">
        <is>
          <t>cái</t>
        </is>
      </c>
      <c r="M40" s="8" t="n">
        <v>1</v>
      </c>
      <c r="N40" s="8" t="n">
        <v>2416000</v>
      </c>
      <c r="O40" s="8">
        <f>ROUNDUP(N40*M40, -2)</f>
        <v/>
      </c>
      <c r="P40" s="7" t="inlineStr">
        <is>
          <t>Louver nan Z ngoài trời kèm lưới chắn côn trùng Inox 304</t>
        </is>
      </c>
    </row>
    <row r="41">
      <c r="A41" s="6" t="n">
        <v>11</v>
      </c>
      <c r="B41" s="7" t="inlineStr">
        <is>
          <t>Cửa bù gió 3300x500</t>
        </is>
      </c>
      <c r="C41" s="6" t="inlineStr">
        <is>
          <t>WL+N</t>
        </is>
      </c>
      <c r="D41" s="6" t="inlineStr">
        <is>
          <t>SWIND</t>
        </is>
      </c>
      <c r="E41" s="6" t="n">
        <v>3300</v>
      </c>
      <c r="F41" s="6" t="n">
        <v>500</v>
      </c>
      <c r="G41" s="6" t="n">
        <v>3250</v>
      </c>
      <c r="H41" s="6" t="n">
        <v>450</v>
      </c>
      <c r="I41" s="6" t="n"/>
      <c r="J41" s="6" t="n"/>
      <c r="K41" s="6" t="n"/>
      <c r="L41" s="6" t="inlineStr">
        <is>
          <t>cái</t>
        </is>
      </c>
      <c r="M41" s="8" t="n">
        <v>1</v>
      </c>
      <c r="N41" s="8" t="n">
        <v>2264000</v>
      </c>
      <c r="O41" s="8">
        <f>ROUNDUP(N41*M41, -2)</f>
        <v/>
      </c>
      <c r="P41" s="7" t="inlineStr">
        <is>
          <t>Louver nan Z ngoài trời kèm lưới chắn côn trùng Inox 304</t>
        </is>
      </c>
    </row>
    <row r="42">
      <c r="A42" s="6" t="n">
        <v>2</v>
      </c>
      <c r="B42" s="7" t="inlineStr">
        <is>
          <t>Miệng gió SEG + OBD 1000x600</t>
        </is>
      </c>
      <c r="C42" s="6" t="inlineStr">
        <is>
          <t>SDG+O</t>
        </is>
      </c>
      <c r="D42" s="6" t="inlineStr">
        <is>
          <t>SWIND</t>
        </is>
      </c>
      <c r="E42" s="6" t="n">
        <v>1000</v>
      </c>
      <c r="F42" s="6" t="n">
        <v>600</v>
      </c>
      <c r="G42" s="6" t="n">
        <v>950</v>
      </c>
      <c r="H42" s="6" t="n">
        <v>550</v>
      </c>
      <c r="I42" s="6" t="n"/>
      <c r="J42" s="6" t="n"/>
      <c r="K42" s="6" t="n"/>
      <c r="L42" s="6" t="inlineStr">
        <is>
          <t>Cái</t>
        </is>
      </c>
      <c r="M42" s="8" t="n">
        <v>68</v>
      </c>
      <c r="N42" s="8" t="n">
        <v>865000</v>
      </c>
      <c r="O42" s="8">
        <f>ROUNDUP(N42*M42, -2)</f>
        <v/>
      </c>
      <c r="P42" s="7" t="inlineStr">
        <is>
          <t>Cửa nan thẳng bầu dục kèm van OBD (tăng áp / hút khói)</t>
        </is>
      </c>
    </row>
    <row r="43">
      <c r="A43" s="6" t="n">
        <v>2</v>
      </c>
      <c r="B43" s="7" t="inlineStr">
        <is>
          <t>Miệng gió PAG + MD 700x1200</t>
        </is>
      </c>
      <c r="C43" s="6" t="inlineStr">
        <is>
          <t>SDG+MD</t>
        </is>
      </c>
      <c r="D43" s="6" t="inlineStr">
        <is>
          <t>SWIND</t>
        </is>
      </c>
      <c r="E43" s="6" t="n">
        <v>700</v>
      </c>
      <c r="F43" s="6" t="n">
        <v>1200</v>
      </c>
      <c r="G43" s="6" t="n">
        <v>650</v>
      </c>
      <c r="H43" s="6" t="n">
        <v>1150</v>
      </c>
      <c r="I43" s="6" t="n"/>
      <c r="J43" s="6" t="n"/>
      <c r="K43" s="6" t="n"/>
      <c r="L43" s="6" t="inlineStr">
        <is>
          <t>Cái</t>
        </is>
      </c>
      <c r="M43" s="8" t="n">
        <v>32</v>
      </c>
      <c r="N43" s="8" t="n">
        <v>4893000</v>
      </c>
      <c r="O43" s="8">
        <f>ROUNDUP(N43*M43, -2)</f>
        <v/>
      </c>
      <c r="P43" s="7" t="inlineStr">
        <is>
          <t>Cửa nan bầu dục 1 lớp kèm van động cơ ON-OFF BELIMO (đóng mở 150s), xuất xứ Thụy Sỹ</t>
        </is>
      </c>
    </row>
    <row r="44">
      <c r="A44" s="6" t="n">
        <v>1</v>
      </c>
      <c r="B44" s="7" t="inlineStr">
        <is>
          <t>Chụp thông hơi inox D160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inlineStr">
        <is>
          <t>cái</t>
        </is>
      </c>
      <c r="M44" s="8" t="n">
        <v>2</v>
      </c>
      <c r="N44" s="9" t="n"/>
      <c r="O44" s="9" t="n"/>
      <c r="P44" s="7" t="n"/>
    </row>
    <row r="45">
      <c r="A45" s="6" t="n">
        <v>2</v>
      </c>
      <c r="B45" s="7" t="inlineStr">
        <is>
          <t>Chụp thông hơi inox D140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inlineStr">
        <is>
          <t>cái</t>
        </is>
      </c>
      <c r="M45" s="8" t="n">
        <v>1</v>
      </c>
      <c r="N45" s="9" t="n"/>
      <c r="O45" s="9" t="n"/>
      <c r="P45" s="7" t="n"/>
    </row>
    <row r="46">
      <c r="A46" s="6" t="n">
        <v>11</v>
      </c>
      <c r="B46" s="7" t="inlineStr">
        <is>
          <t>FAL 1300x1200, Louver+ LCCT</t>
        </is>
      </c>
      <c r="C46" s="6" t="inlineStr">
        <is>
          <t>WL+N</t>
        </is>
      </c>
      <c r="D46" s="6" t="inlineStr">
        <is>
          <t>SWIND</t>
        </is>
      </c>
      <c r="E46" s="6" t="n">
        <v>1300</v>
      </c>
      <c r="F46" s="6" t="n">
        <v>1200</v>
      </c>
      <c r="G46" s="6" t="n">
        <v>1250</v>
      </c>
      <c r="H46" s="6" t="n">
        <v>1150</v>
      </c>
      <c r="I46" s="6" t="n"/>
      <c r="J46" s="6" t="n"/>
      <c r="K46" s="6" t="n"/>
      <c r="L46" s="6" t="inlineStr">
        <is>
          <t>cái</t>
        </is>
      </c>
      <c r="M46" s="8" t="n">
        <v>1</v>
      </c>
      <c r="N46" s="8" t="n">
        <v>2145000</v>
      </c>
      <c r="O46" s="8">
        <f>ROUNDUP(N46*M46, -2)</f>
        <v/>
      </c>
      <c r="P46" s="7" t="inlineStr">
        <is>
          <t>Louver nan Z ngoài trời kèm lưới chắn côn trùng Inox 304</t>
        </is>
      </c>
    </row>
    <row r="47">
      <c r="A47" s="6" t="n">
        <v>12</v>
      </c>
      <c r="B47" s="7" t="inlineStr">
        <is>
          <t>FAL 700x400, Louver+ LCCT</t>
        </is>
      </c>
      <c r="C47" s="6" t="inlineStr">
        <is>
          <t>WL+N</t>
        </is>
      </c>
      <c r="D47" s="6" t="inlineStr">
        <is>
          <t>SWIND</t>
        </is>
      </c>
      <c r="E47" s="6" t="n">
        <v>700</v>
      </c>
      <c r="F47" s="6" t="n">
        <v>400</v>
      </c>
      <c r="G47" s="6" t="n">
        <v>650</v>
      </c>
      <c r="H47" s="6" t="n">
        <v>350</v>
      </c>
      <c r="I47" s="6" t="n"/>
      <c r="J47" s="6" t="n"/>
      <c r="K47" s="6" t="n"/>
      <c r="L47" s="6" t="inlineStr">
        <is>
          <t>cái</t>
        </is>
      </c>
      <c r="M47" s="8" t="n">
        <v>1</v>
      </c>
      <c r="N47" s="8" t="n">
        <v>423000</v>
      </c>
      <c r="O47" s="8">
        <f>ROUNDUP(N47*M47, -2)</f>
        <v/>
      </c>
      <c r="P47" s="7" t="inlineStr">
        <is>
          <t>Louver nan Z ngoài trời kèm lưới chắn côn trùng Inox 304</t>
        </is>
      </c>
    </row>
    <row r="48">
      <c r="A48" s="6" t="n">
        <v>13</v>
      </c>
      <c r="B48" s="7" t="inlineStr">
        <is>
          <t>EAL 600x300, Louver+ LCCT</t>
        </is>
      </c>
      <c r="C48" s="6" t="inlineStr">
        <is>
          <t>WL+N</t>
        </is>
      </c>
      <c r="D48" s="6" t="inlineStr">
        <is>
          <t>SWIND</t>
        </is>
      </c>
      <c r="E48" s="6" t="n">
        <v>600</v>
      </c>
      <c r="F48" s="6" t="n">
        <v>300</v>
      </c>
      <c r="G48" s="6" t="n">
        <v>550</v>
      </c>
      <c r="H48" s="6" t="n">
        <v>250</v>
      </c>
      <c r="I48" s="6" t="n"/>
      <c r="J48" s="6" t="n"/>
      <c r="K48" s="6" t="n"/>
      <c r="L48" s="6" t="inlineStr">
        <is>
          <t>cái</t>
        </is>
      </c>
      <c r="M48" s="8" t="n">
        <v>3</v>
      </c>
      <c r="N48" s="8" t="n">
        <v>290000</v>
      </c>
      <c r="O48" s="8">
        <f>ROUNDUP(N48*M48, -2)</f>
        <v/>
      </c>
      <c r="P48" s="7" t="inlineStr">
        <is>
          <t>Louver nan Z ngoài trời kèm lưới chắn côn trùng Inox 304</t>
        </is>
      </c>
    </row>
    <row r="49">
      <c r="A49" s="6" t="n">
        <v>15</v>
      </c>
      <c r="B49" s="7" t="inlineStr">
        <is>
          <t>FAL 500x350, Louver+ LCCT</t>
        </is>
      </c>
      <c r="C49" s="6" t="inlineStr">
        <is>
          <t>WL+N</t>
        </is>
      </c>
      <c r="D49" s="6" t="inlineStr">
        <is>
          <t>SWIND</t>
        </is>
      </c>
      <c r="E49" s="6" t="n">
        <v>500</v>
      </c>
      <c r="F49" s="6" t="n">
        <v>350</v>
      </c>
      <c r="G49" s="6" t="n">
        <v>450</v>
      </c>
      <c r="H49" s="6" t="n">
        <v>300</v>
      </c>
      <c r="I49" s="6" t="n"/>
      <c r="J49" s="6" t="n"/>
      <c r="K49" s="6" t="n"/>
      <c r="L49" s="6" t="inlineStr">
        <is>
          <t>cái</t>
        </is>
      </c>
      <c r="M49" s="8" t="n">
        <v>1</v>
      </c>
      <c r="N49" s="8" t="n">
        <v>278000</v>
      </c>
      <c r="O49" s="8">
        <f>ROUNDUP(N49*M49, -2)</f>
        <v/>
      </c>
      <c r="P49" s="7" t="inlineStr">
        <is>
          <t>Louver nan Z ngoài trời kèm lưới chắn côn trùng Inox 304</t>
        </is>
      </c>
    </row>
    <row r="50">
      <c r="A50" s="6" t="n">
        <v>16</v>
      </c>
      <c r="B50" s="7" t="inlineStr">
        <is>
          <t>FAL 400x300, Louver+ LCCT</t>
        </is>
      </c>
      <c r="C50" s="6" t="inlineStr">
        <is>
          <t>WL+N</t>
        </is>
      </c>
      <c r="D50" s="6" t="inlineStr">
        <is>
          <t>SWIND</t>
        </is>
      </c>
      <c r="E50" s="6" t="n">
        <v>400</v>
      </c>
      <c r="F50" s="6" t="n">
        <v>300</v>
      </c>
      <c r="G50" s="6" t="n">
        <v>350</v>
      </c>
      <c r="H50" s="6" t="n">
        <v>250</v>
      </c>
      <c r="I50" s="6" t="n"/>
      <c r="J50" s="6" t="n"/>
      <c r="K50" s="6" t="n"/>
      <c r="L50" s="6" t="inlineStr">
        <is>
          <t>cái</t>
        </is>
      </c>
      <c r="M50" s="8" t="n">
        <v>4</v>
      </c>
      <c r="N50" s="8" t="n">
        <v>201000</v>
      </c>
      <c r="O50" s="8">
        <f>ROUNDUP(N50*M50, -2)</f>
        <v/>
      </c>
      <c r="P50" s="7" t="inlineStr">
        <is>
          <t>Louver nan Z ngoài trời kèm lưới chắn côn trùng Inox 304</t>
        </is>
      </c>
    </row>
    <row r="51">
      <c r="A51" s="6" t="n">
        <v>24</v>
      </c>
      <c r="B51" s="7" t="inlineStr">
        <is>
          <t>NRD 1000x400 van 1 chiều</t>
        </is>
      </c>
      <c r="C51" s="6" t="inlineStr">
        <is>
          <t>NRD</t>
        </is>
      </c>
      <c r="D51" s="6" t="inlineStr">
        <is>
          <t>SWIND</t>
        </is>
      </c>
      <c r="E51" s="6" t="n">
        <v>1000</v>
      </c>
      <c r="F51" s="6" t="n">
        <v>400</v>
      </c>
      <c r="G51" s="6" t="n"/>
      <c r="H51" s="6" t="n"/>
      <c r="I51" s="6" t="n"/>
      <c r="J51" s="6" t="n">
        <v>200</v>
      </c>
      <c r="K51" s="10" t="n">
        <v>1.15</v>
      </c>
      <c r="L51" s="6" t="inlineStr">
        <is>
          <t>cái</t>
        </is>
      </c>
      <c r="M51" s="8" t="n">
        <v>2</v>
      </c>
      <c r="N51" s="8" t="n">
        <v>935000</v>
      </c>
      <c r="O51" s="8">
        <f>ROUNDUP(N51*M51, -2)</f>
        <v/>
      </c>
      <c r="P51" s="7" t="inlineStr">
        <is>
          <t>Van 1 chiều tôn mạ kẽm</t>
        </is>
      </c>
    </row>
    <row r="52">
      <c r="A52" s="6" t="n">
        <v>25</v>
      </c>
      <c r="B52" s="7" t="inlineStr">
        <is>
          <t>NRD 400x250 van 1 chiều</t>
        </is>
      </c>
      <c r="C52" s="6" t="inlineStr">
        <is>
          <t>NRD</t>
        </is>
      </c>
      <c r="D52" s="6" t="inlineStr">
        <is>
          <t>SWIND</t>
        </is>
      </c>
      <c r="E52" s="6" t="n">
        <v>400</v>
      </c>
      <c r="F52" s="6" t="n">
        <v>250</v>
      </c>
      <c r="G52" s="6" t="n"/>
      <c r="H52" s="6" t="n"/>
      <c r="I52" s="6" t="n"/>
      <c r="J52" s="6" t="n">
        <v>200</v>
      </c>
      <c r="K52" s="10" t="n">
        <v>0.75</v>
      </c>
      <c r="L52" s="6" t="inlineStr">
        <is>
          <t>cái</t>
        </is>
      </c>
      <c r="M52" s="8" t="n">
        <v>1</v>
      </c>
      <c r="N52" s="8" t="n">
        <v>201000</v>
      </c>
      <c r="O52" s="8">
        <f>ROUNDUP(N52*M52, -2)</f>
        <v/>
      </c>
      <c r="P52" s="7" t="inlineStr">
        <is>
          <t>Van 1 chiều tôn mạ kẽm</t>
        </is>
      </c>
    </row>
    <row r="53">
      <c r="A53" s="6" t="n">
        <v>26</v>
      </c>
      <c r="B53" s="7" t="inlineStr">
        <is>
          <t>NRD 300x150 van 1 chiều</t>
        </is>
      </c>
      <c r="C53" s="6" t="inlineStr">
        <is>
          <t>NRD</t>
        </is>
      </c>
      <c r="D53" s="6" t="inlineStr">
        <is>
          <t>SWIND</t>
        </is>
      </c>
      <c r="E53" s="6" t="n">
        <v>300</v>
      </c>
      <c r="F53" s="6" t="n">
        <v>150</v>
      </c>
      <c r="G53" s="6" t="n"/>
      <c r="H53" s="6" t="n"/>
      <c r="I53" s="6" t="n"/>
      <c r="J53" s="6" t="n">
        <v>200</v>
      </c>
      <c r="K53" s="10" t="n">
        <v>0.75</v>
      </c>
      <c r="L53" s="6" t="inlineStr">
        <is>
          <t>cái</t>
        </is>
      </c>
      <c r="M53" s="8" t="n">
        <v>1</v>
      </c>
      <c r="N53" s="8" t="n">
        <v>154000</v>
      </c>
      <c r="O53" s="8">
        <f>ROUNDUP(N53*M53, -2)</f>
        <v/>
      </c>
      <c r="P53" s="7" t="inlineStr">
        <is>
          <t>Van 1 chiều tôn mạ kẽm</t>
        </is>
      </c>
    </row>
    <row r="54">
      <c r="A54" s="6" t="n">
        <v>27</v>
      </c>
      <c r="B54" s="7" t="inlineStr">
        <is>
          <t>EAG + OBD 400x300, miệng gió thải</t>
        </is>
      </c>
      <c r="C54" s="6" t="inlineStr">
        <is>
          <t>SDG+O</t>
        </is>
      </c>
      <c r="D54" s="6" t="inlineStr">
        <is>
          <t>SWIND</t>
        </is>
      </c>
      <c r="E54" s="6" t="n">
        <v>400</v>
      </c>
      <c r="F54" s="6" t="n">
        <v>300</v>
      </c>
      <c r="G54" s="6" t="n">
        <v>350</v>
      </c>
      <c r="H54" s="6" t="n">
        <v>250</v>
      </c>
      <c r="I54" s="6" t="n"/>
      <c r="J54" s="6" t="n"/>
      <c r="K54" s="6" t="n"/>
      <c r="L54" s="6" t="inlineStr">
        <is>
          <t>cái</t>
        </is>
      </c>
      <c r="M54" s="8" t="n">
        <v>8</v>
      </c>
      <c r="N54" s="8" t="n">
        <v>217000</v>
      </c>
      <c r="O54" s="8">
        <f>ROUNDUP(N54*M54, -2)</f>
        <v/>
      </c>
      <c r="P54" s="7" t="inlineStr">
        <is>
          <t>Cửa nan bầu dục 1 lớp kèm van OBD</t>
        </is>
      </c>
    </row>
    <row r="55">
      <c r="A55" s="6" t="n">
        <v>28</v>
      </c>
      <c r="B55" s="7" t="inlineStr">
        <is>
          <t>Lưới chắn côn trùng bằng inox</t>
        </is>
      </c>
      <c r="C55" s="6" t="inlineStr">
        <is>
          <t>LCCT</t>
        </is>
      </c>
      <c r="D55" s="6" t="inlineStr">
        <is>
          <t>SWIND</t>
        </is>
      </c>
      <c r="E55" s="6" t="inlineStr">
        <is>
          <t>Ø</t>
        </is>
      </c>
      <c r="F55" s="6" t="n">
        <v>800</v>
      </c>
      <c r="G55" s="6" t="n"/>
      <c r="H55" s="6" t="n"/>
      <c r="I55" s="6" t="n"/>
      <c r="J55" s="6" t="n"/>
      <c r="K55" s="6" t="n"/>
      <c r="L55" s="6" t="inlineStr">
        <is>
          <t>cái</t>
        </is>
      </c>
      <c r="M55" s="8" t="n">
        <v>2</v>
      </c>
      <c r="N55" s="8" t="n">
        <v>128000</v>
      </c>
      <c r="O55" s="8">
        <f>ROUNDUP(N55*M55, -2)</f>
        <v/>
      </c>
      <c r="P55" s="7" t="inlineStr">
        <is>
          <t>Lưới chắn côn trùng</t>
        </is>
      </c>
    </row>
    <row r="56">
      <c r="A56" s="6" t="n">
        <v>1</v>
      </c>
      <c r="B56" s="7" t="inlineStr">
        <is>
          <t>Van gió 1 chiều NRD kích thước 500x200</t>
        </is>
      </c>
      <c r="C56" s="6" t="inlineStr">
        <is>
          <t>NRD</t>
        </is>
      </c>
      <c r="D56" s="6" t="inlineStr">
        <is>
          <t>SWIND</t>
        </is>
      </c>
      <c r="E56" s="6" t="n">
        <v>500</v>
      </c>
      <c r="F56" s="6" t="n">
        <v>200</v>
      </c>
      <c r="G56" s="6" t="n"/>
      <c r="H56" s="6" t="n"/>
      <c r="I56" s="6" t="n"/>
      <c r="J56" s="6" t="n">
        <v>200</v>
      </c>
      <c r="K56" s="10" t="n">
        <v>0.75</v>
      </c>
      <c r="L56" s="6" t="inlineStr">
        <is>
          <t>cái</t>
        </is>
      </c>
      <c r="M56" s="8" t="n">
        <v>2</v>
      </c>
      <c r="N56" s="8" t="n">
        <v>209000</v>
      </c>
      <c r="O56" s="8">
        <f>ROUNDUP(N56*M56, -2)</f>
        <v/>
      </c>
      <c r="P56" s="7" t="inlineStr">
        <is>
          <t>Van 1 chiều tôn mạ kẽm</t>
        </is>
      </c>
    </row>
    <row r="57">
      <c r="A57" s="6" t="n">
        <v>2</v>
      </c>
      <c r="B57" s="7" t="inlineStr">
        <is>
          <t>Miệng gió SAG+MD 1200x600</t>
        </is>
      </c>
      <c r="C57" s="6" t="inlineStr">
        <is>
          <t>SDG+MD</t>
        </is>
      </c>
      <c r="D57" s="6" t="inlineStr">
        <is>
          <t>SWIND</t>
        </is>
      </c>
      <c r="E57" s="6" t="n">
        <v>1200</v>
      </c>
      <c r="F57" s="6" t="n">
        <v>600</v>
      </c>
      <c r="G57" s="6" t="n">
        <v>1150</v>
      </c>
      <c r="H57" s="6" t="n">
        <v>550</v>
      </c>
      <c r="I57" s="6" t="n"/>
      <c r="J57" s="6" t="n"/>
      <c r="K57" s="6" t="n"/>
      <c r="L57" s="6" t="inlineStr">
        <is>
          <t>Cái</t>
        </is>
      </c>
      <c r="M57" s="8" t="n">
        <v>2</v>
      </c>
      <c r="N57" s="8" t="n">
        <v>4107500</v>
      </c>
      <c r="O57" s="8">
        <f>ROUNDUP(N57*M57, -2)</f>
        <v/>
      </c>
      <c r="P57" s="7" t="inlineStr">
        <is>
          <t>Cửa nan bầu dục 1 lớp kèm van động cơ ON-OFF BELIMO (đóng mở 150s), xuất xứ Thụy Sỹ</t>
        </is>
      </c>
    </row>
    <row r="58">
      <c r="A58" s="6" t="n">
        <v>3</v>
      </c>
      <c r="B58" s="7" t="inlineStr">
        <is>
          <t>NRD 1000x800 van 1 chiều</t>
        </is>
      </c>
      <c r="C58" s="6" t="inlineStr">
        <is>
          <t>NRD</t>
        </is>
      </c>
      <c r="D58" s="6" t="inlineStr">
        <is>
          <t>SWIND</t>
        </is>
      </c>
      <c r="E58" s="6" t="n">
        <v>1000</v>
      </c>
      <c r="F58" s="6" t="n">
        <v>800</v>
      </c>
      <c r="G58" s="6" t="n"/>
      <c r="H58" s="6" t="n"/>
      <c r="I58" s="6" t="n"/>
      <c r="J58" s="6" t="n">
        <v>200</v>
      </c>
      <c r="K58" s="10" t="n">
        <v>1.15</v>
      </c>
      <c r="L58" s="6" t="inlineStr">
        <is>
          <t>cái</t>
        </is>
      </c>
      <c r="M58" s="8" t="n">
        <v>2</v>
      </c>
      <c r="N58" s="8" t="n">
        <v>1831600</v>
      </c>
      <c r="O58" s="8">
        <f>ROUNDUP(N58*M58, -2)</f>
        <v/>
      </c>
      <c r="P58" s="7" t="inlineStr">
        <is>
          <t>Van 1 chiều tôn mạ kẽm. ĐG bao gồm bọc thêm tấm cách nhiệt KSH dày 10mm</t>
        </is>
      </c>
    </row>
    <row r="59">
      <c r="A59" s="6" t="n">
        <v>4</v>
      </c>
      <c r="B59" s="7" t="inlineStr">
        <is>
          <t>Van xả áp cơ 600x500</t>
        </is>
      </c>
      <c r="C59" s="6" t="inlineStr">
        <is>
          <t>PRD</t>
        </is>
      </c>
      <c r="D59" s="6" t="inlineStr">
        <is>
          <t>SWIND</t>
        </is>
      </c>
      <c r="E59" s="6" t="n">
        <v>600</v>
      </c>
      <c r="F59" s="6" t="n">
        <v>500</v>
      </c>
      <c r="G59" s="6" t="n"/>
      <c r="H59" s="6" t="n"/>
      <c r="I59" s="6" t="n"/>
      <c r="J59" s="6" t="n">
        <v>200</v>
      </c>
      <c r="K59" s="10" t="n">
        <v>1.15</v>
      </c>
      <c r="L59" s="6" t="inlineStr">
        <is>
          <t>cái</t>
        </is>
      </c>
      <c r="M59" s="8" t="n">
        <v>2</v>
      </c>
      <c r="N59" s="8" t="n">
        <v>929200</v>
      </c>
      <c r="O59" s="8">
        <f>ROUNDUP(N59*M59, -2)</f>
        <v/>
      </c>
      <c r="P59" s="7" t="inlineStr">
        <is>
          <t>Van xả áp đối trọng tôn mạ kẽm. ĐG bao gồm bọc thêm tấm cách nhiệt KSH dày 10mm</t>
        </is>
      </c>
    </row>
    <row r="60">
      <c r="A60" s="6" t="n">
        <v>5</v>
      </c>
      <c r="B60" s="7" t="inlineStr">
        <is>
          <t>Cửa bù gió 4000x600</t>
        </is>
      </c>
      <c r="C60" s="6" t="inlineStr">
        <is>
          <t>WL+N</t>
        </is>
      </c>
      <c r="D60" s="6" t="inlineStr">
        <is>
          <t>SWIND</t>
        </is>
      </c>
      <c r="E60" s="6" t="n">
        <v>4000</v>
      </c>
      <c r="F60" s="6" t="n">
        <v>600</v>
      </c>
      <c r="G60" s="6" t="n">
        <v>3950</v>
      </c>
      <c r="H60" s="6" t="n">
        <v>550</v>
      </c>
      <c r="I60" s="6" t="n"/>
      <c r="J60" s="6" t="n"/>
      <c r="K60" s="6" t="n"/>
      <c r="L60" s="6" t="inlineStr">
        <is>
          <t>cái</t>
        </is>
      </c>
      <c r="M60" s="8" t="n">
        <v>1</v>
      </c>
      <c r="N60" s="8" t="n">
        <v>3206000</v>
      </c>
      <c r="O60" s="8">
        <f>ROUNDUP(N60*M60, -2)</f>
        <v/>
      </c>
      <c r="P60" s="7" t="inlineStr">
        <is>
          <t>Louver nan Z ngoài trời kèm lưới chắn côn trùng Inox 304</t>
        </is>
      </c>
    </row>
    <row r="61">
      <c r="A61" s="6" t="n">
        <v>1</v>
      </c>
      <c r="B61" s="7" t="inlineStr">
        <is>
          <t>Louver cấp bù khí tươi qua cửa sổ FL+100MM, 1000x500</t>
        </is>
      </c>
      <c r="C61" s="6" t="inlineStr">
        <is>
          <t>WL+N</t>
        </is>
      </c>
      <c r="D61" s="6" t="inlineStr">
        <is>
          <t>SWIND</t>
        </is>
      </c>
      <c r="E61" s="6" t="n">
        <v>1000</v>
      </c>
      <c r="F61" s="6" t="n">
        <v>500</v>
      </c>
      <c r="G61" s="6" t="n">
        <v>950</v>
      </c>
      <c r="H61" s="6" t="n">
        <v>450</v>
      </c>
      <c r="I61" s="6" t="n"/>
      <c r="J61" s="6" t="n"/>
      <c r="K61" s="6" t="n"/>
      <c r="L61" s="6" t="inlineStr">
        <is>
          <t>Cái</t>
        </is>
      </c>
      <c r="M61" s="8" t="n">
        <v>16</v>
      </c>
      <c r="N61" s="8" t="n">
        <v>713000</v>
      </c>
      <c r="O61" s="8">
        <f>ROUNDUP(N61*M61, -2)</f>
        <v/>
      </c>
      <c r="P61" s="7" t="inlineStr">
        <is>
          <t>Louver nan Z ngoài trời kèm lưới chắn côn trùng Inox 304</t>
        </is>
      </c>
    </row>
    <row r="62">
      <c r="A62" s="6" t="n">
        <v>2</v>
      </c>
      <c r="B62" s="7" t="inlineStr">
        <is>
          <t>Miệng gió SEG + OBD 1200x600</t>
        </is>
      </c>
      <c r="C62" s="6" t="inlineStr">
        <is>
          <t>SDG+O</t>
        </is>
      </c>
      <c r="D62" s="6" t="inlineStr">
        <is>
          <t>SWIND</t>
        </is>
      </c>
      <c r="E62" s="6" t="n">
        <v>1200</v>
      </c>
      <c r="F62" s="6" t="n">
        <v>600</v>
      </c>
      <c r="G62" s="6" t="n">
        <v>1150</v>
      </c>
      <c r="H62" s="6" t="n">
        <v>550</v>
      </c>
      <c r="I62" s="6" t="n"/>
      <c r="J62" s="6" t="n"/>
      <c r="K62" s="6" t="n"/>
      <c r="L62" s="6" t="inlineStr">
        <is>
          <t>Cái</t>
        </is>
      </c>
      <c r="M62" s="8" t="n">
        <v>9</v>
      </c>
      <c r="N62" s="8" t="n">
        <v>1025000</v>
      </c>
      <c r="O62" s="8">
        <f>ROUNDUP(N62*M62, -2)</f>
        <v/>
      </c>
      <c r="P62" s="7" t="inlineStr">
        <is>
          <t>Cửa nan thẳng bầu dục kèm van OBD (tăng áp / hút khói)</t>
        </is>
      </c>
    </row>
    <row r="63">
      <c r="A63" s="6" t="n">
        <v>3</v>
      </c>
      <c r="B63" s="7" t="inlineStr">
        <is>
          <t>Miệng gió SEG + OBD 600x600</t>
        </is>
      </c>
      <c r="C63" s="6" t="inlineStr">
        <is>
          <t>SDG+O</t>
        </is>
      </c>
      <c r="D63" s="6" t="inlineStr">
        <is>
          <t>SWIND</t>
        </is>
      </c>
      <c r="E63" s="6" t="n">
        <v>600</v>
      </c>
      <c r="F63" s="6" t="n">
        <v>600</v>
      </c>
      <c r="G63" s="6" t="n">
        <v>550</v>
      </c>
      <c r="H63" s="6" t="n">
        <v>550</v>
      </c>
      <c r="I63" s="6" t="n"/>
      <c r="J63" s="6" t="n"/>
      <c r="K63" s="6" t="n"/>
      <c r="L63" s="6" t="inlineStr">
        <is>
          <t>Cái</t>
        </is>
      </c>
      <c r="M63" s="8" t="n">
        <v>16</v>
      </c>
      <c r="N63" s="8" t="n">
        <v>546000</v>
      </c>
      <c r="O63" s="8">
        <f>ROUNDUP(N63*M63, -2)</f>
        <v/>
      </c>
      <c r="P63" s="7" t="inlineStr">
        <is>
          <t>Cửa nan thẳng bầu dục kèm van OBD (tăng áp / hút khói)</t>
        </is>
      </c>
    </row>
    <row r="64">
      <c r="A64" s="6" t="n">
        <v>2</v>
      </c>
      <c r="B64" s="7" t="inlineStr">
        <is>
          <t>Miệng gió PAG + MD 500x500</t>
        </is>
      </c>
      <c r="C64" s="6" t="inlineStr">
        <is>
          <t>SDG+MD</t>
        </is>
      </c>
      <c r="D64" s="6" t="inlineStr">
        <is>
          <t>SWIND</t>
        </is>
      </c>
      <c r="E64" s="6" t="n">
        <v>500</v>
      </c>
      <c r="F64" s="6" t="n">
        <v>500</v>
      </c>
      <c r="G64" s="6" t="n">
        <v>450</v>
      </c>
      <c r="H64" s="6" t="n">
        <v>450</v>
      </c>
      <c r="I64" s="6" t="n"/>
      <c r="J64" s="6" t="n"/>
      <c r="K64" s="6" t="n"/>
      <c r="L64" s="6" t="inlineStr">
        <is>
          <t>Cái</t>
        </is>
      </c>
      <c r="M64" s="8" t="n">
        <v>8</v>
      </c>
      <c r="N64" s="8" t="n">
        <v>2950000</v>
      </c>
      <c r="O64" s="8">
        <f>ROUNDUP(N64*M64, -2)</f>
        <v/>
      </c>
      <c r="P64" s="7" t="inlineStr">
        <is>
          <t>Cửa nan bầu dục 1 lớp kèm van động cơ ON-OFF BELIMO (đóng mở 150s), xuất xứ Thụy Sỹ</t>
        </is>
      </c>
    </row>
    <row r="65">
      <c r="A65" s="6" t="n">
        <v>3</v>
      </c>
      <c r="B65" s="7" t="inlineStr">
        <is>
          <t>Van xả áp cơ 1100x600</t>
        </is>
      </c>
      <c r="C65" s="6" t="inlineStr">
        <is>
          <t>PRD</t>
        </is>
      </c>
      <c r="D65" s="6" t="inlineStr">
        <is>
          <t>SWIND</t>
        </is>
      </c>
      <c r="E65" s="6" t="n">
        <v>1100</v>
      </c>
      <c r="F65" s="6" t="n">
        <v>600</v>
      </c>
      <c r="G65" s="6" t="n"/>
      <c r="H65" s="6" t="n"/>
      <c r="I65" s="6" t="n"/>
      <c r="J65" s="6" t="n">
        <v>200</v>
      </c>
      <c r="K65" s="10" t="n">
        <v>1.15</v>
      </c>
      <c r="L65" s="6" t="inlineStr">
        <is>
          <t>Cái</t>
        </is>
      </c>
      <c r="M65" s="8" t="n">
        <v>2</v>
      </c>
      <c r="N65" s="8" t="n">
        <v>1271900</v>
      </c>
      <c r="O65" s="8">
        <f>ROUNDUP(N65*M65, -2)</f>
        <v/>
      </c>
      <c r="P65" s="7" t="inlineStr">
        <is>
          <t>Van xả áp đối trọng tôn mạ kẽm</t>
        </is>
      </c>
    </row>
    <row r="66">
      <c r="A66" s="6" t="n">
        <v>4</v>
      </c>
      <c r="B66" s="7" t="inlineStr">
        <is>
          <t>Van xả áp động cơ 1100x600</t>
        </is>
      </c>
      <c r="C66" s="6" t="inlineStr">
        <is>
          <t>MD</t>
        </is>
      </c>
      <c r="D66" s="6" t="inlineStr">
        <is>
          <t>SWIND</t>
        </is>
      </c>
      <c r="E66" s="6" t="n">
        <v>1100</v>
      </c>
      <c r="F66" s="6" t="n">
        <v>600</v>
      </c>
      <c r="G66" s="6" t="n"/>
      <c r="H66" s="6" t="n"/>
      <c r="I66" s="6" t="n"/>
      <c r="J66" s="6" t="n">
        <v>200</v>
      </c>
      <c r="K66" s="10" t="n">
        <v>1.15</v>
      </c>
      <c r="L66" s="6" t="inlineStr">
        <is>
          <t>Cái</t>
        </is>
      </c>
      <c r="M66" s="8" t="n">
        <v>2</v>
      </c>
      <c r="N66" s="8" t="n">
        <v>3472500</v>
      </c>
      <c r="O66" s="8">
        <f>ROUNDUP(N66*M66, -2)</f>
        <v/>
      </c>
      <c r="P66" s="7" t="inlineStr">
        <is>
          <t>Van động cơ ON-OFF BELIMO (đóng mở 150s), xuất xứ Thụy Sỹ</t>
        </is>
      </c>
    </row>
    <row r="67">
      <c r="A67" s="6" t="n">
        <v>14</v>
      </c>
      <c r="B67" s="7" t="inlineStr">
        <is>
          <t>FAL 900x400, Louver+ LCCT</t>
        </is>
      </c>
      <c r="C67" s="6" t="inlineStr">
        <is>
          <t>WL+N</t>
        </is>
      </c>
      <c r="D67" s="6" t="inlineStr">
        <is>
          <t>SWIND</t>
        </is>
      </c>
      <c r="E67" s="6" t="n">
        <v>900</v>
      </c>
      <c r="F67" s="6" t="n">
        <v>400</v>
      </c>
      <c r="G67" s="6" t="n">
        <v>850</v>
      </c>
      <c r="H67" s="6" t="n">
        <v>350</v>
      </c>
      <c r="I67" s="6" t="n"/>
      <c r="J67" s="6" t="n"/>
      <c r="K67" s="6" t="n"/>
      <c r="L67" s="6" t="inlineStr">
        <is>
          <t>cái</t>
        </is>
      </c>
      <c r="M67" s="8" t="n">
        <v>1</v>
      </c>
      <c r="N67" s="8" t="n">
        <v>535000</v>
      </c>
      <c r="O67" s="8">
        <f>ROUNDUP(N67*M67, -2)</f>
        <v/>
      </c>
      <c r="P67" s="7" t="inlineStr">
        <is>
          <t>Louver nan Z ngoài trời kèm lưới chắn côn trùng Inox 304</t>
        </is>
      </c>
    </row>
    <row r="68">
      <c r="A68" s="6" t="n">
        <v>22</v>
      </c>
      <c r="B68" s="7" t="inlineStr">
        <is>
          <t>NRD 800x400 van 1 chiều</t>
        </is>
      </c>
      <c r="C68" s="6" t="inlineStr">
        <is>
          <t>NRD</t>
        </is>
      </c>
      <c r="D68" s="6" t="inlineStr">
        <is>
          <t>SWIND</t>
        </is>
      </c>
      <c r="E68" s="6" t="n">
        <v>800</v>
      </c>
      <c r="F68" s="6" t="n">
        <v>400</v>
      </c>
      <c r="G68" s="6" t="n"/>
      <c r="H68" s="6" t="n"/>
      <c r="I68" s="6" t="n"/>
      <c r="J68" s="6" t="n">
        <v>200</v>
      </c>
      <c r="K68" s="10" t="n">
        <v>0.75</v>
      </c>
      <c r="L68" s="6" t="inlineStr">
        <is>
          <t>cái</t>
        </is>
      </c>
      <c r="M68" s="8" t="n">
        <v>1</v>
      </c>
      <c r="N68" s="8" t="n">
        <v>395000</v>
      </c>
      <c r="O68" s="8">
        <f>ROUNDUP(N68*M68, -2)</f>
        <v/>
      </c>
      <c r="P68" s="7" t="inlineStr">
        <is>
          <t>Van 1 chiều tôn mạ kẽm</t>
        </is>
      </c>
    </row>
    <row r="69">
      <c r="A69" s="6" t="n">
        <v>25</v>
      </c>
      <c r="B69" s="7" t="inlineStr">
        <is>
          <t>EAG + OBD 250x250, miệng gió thải</t>
        </is>
      </c>
      <c r="C69" s="6" t="inlineStr">
        <is>
          <t>SDG+O</t>
        </is>
      </c>
      <c r="D69" s="6" t="inlineStr">
        <is>
          <t>SWIND</t>
        </is>
      </c>
      <c r="E69" s="6" t="n">
        <v>250</v>
      </c>
      <c r="F69" s="6" t="n">
        <v>250</v>
      </c>
      <c r="G69" s="6" t="n">
        <v>200</v>
      </c>
      <c r="H69" s="6" t="n">
        <v>200</v>
      </c>
      <c r="I69" s="6" t="n"/>
      <c r="J69" s="6" t="n"/>
      <c r="K69" s="6" t="n"/>
      <c r="L69" s="6" t="inlineStr">
        <is>
          <t>cái</t>
        </is>
      </c>
      <c r="M69" s="8" t="n">
        <v>3</v>
      </c>
      <c r="N69" s="8" t="n">
        <v>127000</v>
      </c>
      <c r="O69" s="8">
        <f>ROUNDUP(N69*M69, -2)</f>
        <v/>
      </c>
      <c r="P69" s="7" t="inlineStr">
        <is>
          <t>Cửa nan bầu dục 1 lớp kèm van OBD</t>
        </is>
      </c>
    </row>
    <row r="70">
      <c r="A70" s="6" t="n">
        <v>26</v>
      </c>
      <c r="B70" s="7" t="inlineStr">
        <is>
          <t>VCD D100x100, van điều chỉnh lưu lượng</t>
        </is>
      </c>
      <c r="C70" s="6" t="inlineStr">
        <is>
          <t>VCD</t>
        </is>
      </c>
      <c r="D70" s="6" t="inlineStr">
        <is>
          <t>SWIND</t>
        </is>
      </c>
      <c r="E70" s="6" t="inlineStr">
        <is>
          <t>Ø</t>
        </is>
      </c>
      <c r="F70" s="6" t="n">
        <v>100</v>
      </c>
      <c r="G70" s="6" t="n"/>
      <c r="H70" s="6" t="n"/>
      <c r="I70" s="6" t="n"/>
      <c r="J70" s="6" t="n">
        <v>150</v>
      </c>
      <c r="K70" s="10" t="n">
        <v>0.75</v>
      </c>
      <c r="L70" s="6" t="inlineStr">
        <is>
          <t>cái</t>
        </is>
      </c>
      <c r="M70" s="8" t="n">
        <v>2</v>
      </c>
      <c r="N70" s="8" t="n">
        <v>103000</v>
      </c>
      <c r="O70" s="8">
        <f>ROUNDUP(N70*M70, -2)</f>
        <v/>
      </c>
      <c r="P70" s="7" t="inlineStr">
        <is>
          <t>Van điều chỉnh lưu lượng tay gạt tôn mạ kẽm</t>
        </is>
      </c>
    </row>
    <row r="71">
      <c r="A71" s="6" t="n">
        <v>27</v>
      </c>
      <c r="B71" s="7" t="inlineStr">
        <is>
          <t>VCD D150, van điều chỉnh lưu lượng</t>
        </is>
      </c>
      <c r="C71" s="6" t="inlineStr">
        <is>
          <t>VCD</t>
        </is>
      </c>
      <c r="D71" s="6" t="inlineStr">
        <is>
          <t>SWIND</t>
        </is>
      </c>
      <c r="E71" s="6" t="inlineStr">
        <is>
          <t>Ø</t>
        </is>
      </c>
      <c r="F71" s="6" t="n">
        <v>150</v>
      </c>
      <c r="G71" s="6" t="n"/>
      <c r="H71" s="6" t="n"/>
      <c r="I71" s="6" t="n"/>
      <c r="J71" s="6" t="n">
        <v>200</v>
      </c>
      <c r="K71" s="10" t="n">
        <v>0.75</v>
      </c>
      <c r="L71" s="6" t="inlineStr">
        <is>
          <t>cái</t>
        </is>
      </c>
      <c r="M71" s="8" t="n">
        <v>3</v>
      </c>
      <c r="N71" s="8" t="n">
        <v>126000</v>
      </c>
      <c r="O71" s="8">
        <f>ROUNDUP(N71*M71, -2)</f>
        <v/>
      </c>
      <c r="P71" s="7" t="inlineStr">
        <is>
          <t>Van điều chỉnh lưu lượng tay gạt tôn mạ kẽm</t>
        </is>
      </c>
    </row>
    <row r="72"/>
    <row r="73">
      <c r="B73" s="11" t="inlineStr">
        <is>
          <t>TỔNG CỘNG (CHƯA BAO GỒM VAT):</t>
        </is>
      </c>
      <c r="O73" s="12">
        <f>SUBTOTAL(9,O14:O71)</f>
        <v/>
      </c>
    </row>
    <row r="74">
      <c r="B74" s="11" t="inlineStr">
        <is>
          <t>THUẾ GTGT (VAT 8%):</t>
        </is>
      </c>
      <c r="O74" s="12">
        <f>ROUND(O73*0.08, 0)</f>
        <v/>
      </c>
    </row>
    <row r="75">
      <c r="B75" s="11" t="inlineStr">
        <is>
          <t>TỔNG CỘNG THANH TOÁN (ĐÃ GỒM VAT 8%):</t>
        </is>
      </c>
      <c r="O75" s="12">
        <f>O73+O74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2026-10-19T06:41:25Z</dcterms:created>
  <dcterms:modified xsi:type="dcterms:W3CDTF">2026-10-19T06:41:25Z</dcterms:modified>
  <cp:lastModifiedBy>Swind Multi-Agent AI</cp:lastModifiedBy>
</cp:coreProperties>
</file>
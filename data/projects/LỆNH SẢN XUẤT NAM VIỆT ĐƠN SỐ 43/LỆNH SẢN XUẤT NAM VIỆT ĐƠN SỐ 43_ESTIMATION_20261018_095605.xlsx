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BG Đơn Cánh ĐC FSLF 24V" sheetId="1" state="visible" r:id="rId1"/>
    <sheet xmlns:r="http://schemas.openxmlformats.org/officeDocument/2006/relationships" name="BG Đa Cánh BFN 24" sheetId="2" state="visible" r:id="rId2"/>
    <sheet xmlns:r="http://schemas.openxmlformats.org/officeDocument/2006/relationships" name="00_BANG_CHAO_GIA" sheetId="3" state="visible" r:id="rId3"/>
    <sheet xmlns:r="http://schemas.openxmlformats.org/officeDocument/2006/relationships" name="00_TONG_HOP_BAO_GIA" sheetId="4" state="visible" r:id="rId4"/>
    <sheet xmlns:r="http://schemas.openxmlformats.org/officeDocument/2006/relationships" name="01_BOC_TACH_ONG" sheetId="5" state="visible" r:id="rId5"/>
    <sheet xmlns:r="http://schemas.openxmlformats.org/officeDocument/2006/relationships" name="02_BOC_TACH_CUA" sheetId="6" state="visible" r:id="rId6"/>
    <sheet xmlns:r="http://schemas.openxmlformats.org/officeDocument/2006/relationships" name="03_BOC_TACH_VAN" sheetId="7" state="visible" r:id="rId7"/>
    <sheet xmlns:r="http://schemas.openxmlformats.org/officeDocument/2006/relationships" name="05_DANH_MUC_KY_THUAT_GOC" sheetId="8" state="visible" r:id="rId8"/>
    <sheet xmlns:r="http://schemas.openxmlformats.org/officeDocument/2006/relationships" name="06_BANG_GIA_VAT_TU_AP_DUNG" sheetId="9" state="visible" r:id="rId9"/>
  </sheets>
  <definedNames>
    <definedName name="__">#REF!</definedName>
    <definedName name="_________________________________________________________________________________________________________tu4">{"'Sheet1'!$L$16"}</definedName>
    <definedName name="_______________________________________________________________________________________________________tu4">{"'Sheet1'!$L$16"}</definedName>
    <definedName name="_____________________________________________________________________________________________________tu4">{"'Sheet1'!$L$16"}</definedName>
    <definedName name="___________________________________________________________________________________________________tu4">{"'Sheet1'!$L$16"}</definedName>
    <definedName name="_________________________________________________________________________________________________tu4">{"'Sheet1'!$L$16"}</definedName>
    <definedName name="_______________________________________________________________________________________________tu4">{"'Sheet1'!$L$16"}</definedName>
    <definedName name="_____________________________________________________________________________________________tu4">{"'Sheet1'!$L$16"}</definedName>
    <definedName name="___________________________________________________________________________________________tu4">{"'Sheet1'!$L$16"}</definedName>
    <definedName name="_________________________________________________________________________________________tu4">{"'Sheet1'!$L$16"}</definedName>
    <definedName name="_______________________________________________________________________________________tu4">{"'Sheet1'!$L$16"}</definedName>
    <definedName name="_____________________________________________________________________________________tu4">{"'Sheet1'!$L$16"}</definedName>
    <definedName name="___________________________________________________________________________________tu4">{"'Sheet1'!$L$16"}</definedName>
    <definedName name="_________________________________________________________________________________tu4">{"'Sheet1'!$L$16"}</definedName>
    <definedName name="_______________________________________________________________________________tu4">{"'Sheet1'!$L$16"}</definedName>
    <definedName name="_____________________________________________________________________________tu4">{"'Sheet1'!$L$16"}</definedName>
    <definedName name="___________________________________________________________________________tu4">{"'Sheet1'!$L$16"}</definedName>
    <definedName name="_________________________________________________________________________tu4">{"'Sheet1'!$L$16"}</definedName>
    <definedName name="_______________________________________________________________________tu4">{"'Sheet1'!$L$16"}</definedName>
    <definedName name="_____________________________________________________________________tu4">{"'Sheet1'!$L$16"}</definedName>
    <definedName name="___________________________________________________________________tu4">{"'Sheet1'!$L$16"}</definedName>
    <definedName name="_________________________________________________________________tu4">{"'Sheet1'!$L$16"}</definedName>
    <definedName name="_______________________________________________________________tu4">{"'Sheet1'!$L$16"}</definedName>
    <definedName name="_____________________________________________________________tu4">{"'Sheet1'!$L$16"}</definedName>
    <definedName name="___________________________________________________________tu4">{"'Sheet1'!$L$16"}</definedName>
    <definedName name="_________________________________________________________tu4">{"'Sheet1'!$L$16"}</definedName>
    <definedName name="_______________________________________________________tu4">{"'Sheet1'!$L$16"}</definedName>
    <definedName name="_____________________________________________________tu4">{"'Sheet1'!$L$16"}</definedName>
    <definedName name="___________________________________________________tu4">{"'Sheet1'!$L$16"}</definedName>
    <definedName name="_________________________________________________tu4">{"'Sheet1'!$L$16"}</definedName>
    <definedName name="_______________________________________________tu4">{"'Sheet1'!$L$16"}</definedName>
    <definedName name="_____________________________________________tu4">{"'Sheet1'!$L$16"}</definedName>
    <definedName name="___________________________________________tu4">{"'Sheet1'!$L$16"}</definedName>
    <definedName name="_________________________________________tu4">{"'Sheet1'!$L$16"}</definedName>
    <definedName name="________________________________________PPP3">#REF!</definedName>
    <definedName name="________________________________________PPP33">#REF!</definedName>
    <definedName name="________________________________________ppp34">#REF!</definedName>
    <definedName name="________________________________________ppp3444">#REF!</definedName>
    <definedName name="_______________________________________tu4">{"'Sheet1'!$L$16"}</definedName>
    <definedName name="______________________________________P3">#REF!</definedName>
    <definedName name="_____________________________________tu4">{"'Sheet1'!$L$16"}</definedName>
    <definedName name="___________________________________tu4">{"'Sheet1'!$L$16"}</definedName>
    <definedName name="__________________________________tu4">{"'Sheet1'!$L$16"}</definedName>
    <definedName name="_________________________________tu4">{"'Sheet1'!$L$16"}</definedName>
    <definedName name="_______________________________tu4">{"'Sheet1'!$L$16"}</definedName>
    <definedName name="_____________________________tu4">{"'Sheet1'!$L$16"}</definedName>
    <definedName name="____________________________PPP3">#REF!</definedName>
    <definedName name="____________________________PPP33">#REF!</definedName>
    <definedName name="____________________________ppp34">#REF!</definedName>
    <definedName name="____________________________ppp3444">#REF!</definedName>
    <definedName name="___________________________tu4">{"'Sheet1'!$L$16"}</definedName>
    <definedName name="__________________________P3">#REF!</definedName>
    <definedName name="__________________________PPP3">#REF!</definedName>
    <definedName name="__________________________PPP33">#REF!</definedName>
    <definedName name="__________________________ppp34">#REF!</definedName>
    <definedName name="__________________________ppp3444">#REF!</definedName>
    <definedName name="_________________________PPP3">#REF!</definedName>
    <definedName name="_________________________PPP33">#REF!</definedName>
    <definedName name="_________________________ppp34">#REF!</definedName>
    <definedName name="_________________________ppp3444">#REF!</definedName>
    <definedName name="_________________________tu4">{"'Sheet1'!$L$16"}</definedName>
    <definedName name="________________________P3">#REF!</definedName>
    <definedName name="________________________tu">{"'Sheet1'!$L$16"}</definedName>
    <definedName name="_______________________P3">#REF!</definedName>
    <definedName name="_______________________tu4">{"'Sheet1'!$L$16"}</definedName>
    <definedName name="_____________________tu4">{"'Sheet1'!$L$16"}</definedName>
    <definedName name="____________________a1" hidden="1">{"'Sheet1'!$L$16"}</definedName>
    <definedName name="___________________CN1" hidden="1">{"'Sheet1'!$L$16"}</definedName>
    <definedName name="___________________tu4">{"'Sheet1'!$L$16"}</definedName>
    <definedName name="__________________a1" hidden="1">{"'Sheet1'!$L$16"}</definedName>
    <definedName name="__________________BG12" hidden="1">{"'Sheet1'!$L$16"}</definedName>
    <definedName name="__________________tu4">{"'Sheet1'!$L$16"}</definedName>
    <definedName name="_________________a1" hidden="1">{"'Sheet1'!$L$16"}</definedName>
    <definedName name="_________________CN1" hidden="1">{"'Sheet1'!$L$16"}</definedName>
    <definedName name="________________a1" hidden="1">{"'Sheet1'!$L$16"}</definedName>
    <definedName name="________________BG12" hidden="1">{"'Sheet1'!$L$16"}</definedName>
    <definedName name="________________CN1" hidden="1">{"'Sheet1'!$L$16"}</definedName>
    <definedName name="________________tu4">{"'Sheet1'!$L$16"}</definedName>
    <definedName name="_______________a1" hidden="1">{"'Sheet1'!$L$16"}</definedName>
    <definedName name="_______________BG12" hidden="1">{"'Sheet1'!$L$16"}</definedName>
    <definedName name="_______________CN1" hidden="1">{"'Sheet1'!$L$16"}</definedName>
    <definedName name="_______________tu4">{"'Sheet1'!$L$16"}</definedName>
    <definedName name="_______________xlfn.BAHTTEXT" hidden="1">#NAME?</definedName>
    <definedName name="______________a1" hidden="1">{"'Sheet1'!$L$16"}</definedName>
    <definedName name="______________BG12" hidden="1">{"'Sheet1'!$L$16"}</definedName>
    <definedName name="______________CN1" hidden="1">{"'Sheet1'!$L$16"}</definedName>
    <definedName name="______________xlfn.BAHTTEXT" hidden="1">#NAME?</definedName>
    <definedName name="_____________a1" hidden="1">{"'Sheet1'!$L$16"}</definedName>
    <definedName name="_____________BG12" hidden="1">{"'Sheet1'!$L$16"}</definedName>
    <definedName name="_____________CN1" hidden="1">{"'Sheet1'!$L$16"}</definedName>
    <definedName name="_____________Goi8" hidden="1">{"'Sheet1'!$L$16"}</definedName>
    <definedName name="_____________PA3" hidden="1">{"'Sheet1'!$L$16"}</definedName>
    <definedName name="_____________PPP3">#REF!</definedName>
    <definedName name="_____________PPP33">#REF!</definedName>
    <definedName name="_____________ppp34">#REF!</definedName>
    <definedName name="_____________ppp3444">#REF!</definedName>
    <definedName name="_____________SCL4" hidden="1">{"'Sheet1'!$L$16"}</definedName>
    <definedName name="_____________tu4">{"'Sheet1'!$L$16"}</definedName>
    <definedName name="_____________xlfn.BAHTTEXT" hidden="1">#NAME?</definedName>
    <definedName name="____________a1" hidden="1">{"'Sheet1'!$L$16"}</definedName>
    <definedName name="____________BG12" hidden="1">{"'Sheet1'!$L$16"}</definedName>
    <definedName name="____________CN1" hidden="1">{"'Sheet1'!$L$16"}</definedName>
    <definedName name="____________lop111">#REF!</definedName>
    <definedName name="____________PPP3">#REF!</definedName>
    <definedName name="____________PPP33">#REF!</definedName>
    <definedName name="____________ppp34">#REF!</definedName>
    <definedName name="____________ppp3444">#REF!</definedName>
    <definedName name="____________xlfn.BAHTTEXT" hidden="1">#NAME?</definedName>
    <definedName name="___________a1" hidden="1">{"'Sheet1'!$L$16"}</definedName>
    <definedName name="___________a129">#REF!</definedName>
    <definedName name="___________a130">#REF!</definedName>
    <definedName name="___________BG12" hidden="1">{"'Sheet1'!$L$16"}</definedName>
    <definedName name="___________CN1" hidden="1">{"'Sheet1'!$L$16"}</definedName>
    <definedName name="___________Goi8" hidden="1">{"'Sheet1'!$L$16"}</definedName>
    <definedName name="___________lop111">#REF!</definedName>
    <definedName name="___________P3">#REF!</definedName>
    <definedName name="___________PA3" hidden="1">{"'Sheet1'!$L$16"}</definedName>
    <definedName name="___________PPP3">#REF!</definedName>
    <definedName name="___________PPP33">#REF!</definedName>
    <definedName name="___________ppp34">#REF!</definedName>
    <definedName name="___________ppp3444">#REF!</definedName>
    <definedName name="___________SCL4" hidden="1">{"'Sheet1'!$L$16"}</definedName>
    <definedName name="___________tu4">{"'Sheet1'!$L$16"}</definedName>
    <definedName name="___________xlfn.BAHTTEXT" hidden="1">#NAME?</definedName>
    <definedName name="__________a1" hidden="1">{"'Sheet1'!$L$16"}</definedName>
    <definedName name="__________BG12" hidden="1">{"'Sheet1'!$L$16"}</definedName>
    <definedName name="__________CN1" hidden="1">{"'Sheet1'!$L$16"}</definedName>
    <definedName name="__________lop111">#REF!</definedName>
    <definedName name="__________P3">#REF!</definedName>
    <definedName name="__________PPP3">#REF!</definedName>
    <definedName name="__________PPP33">#REF!</definedName>
    <definedName name="__________ppp34">#REF!</definedName>
    <definedName name="__________ppp3444">#REF!</definedName>
    <definedName name="__________xlfn.BAHTTEXT" hidden="1">#NAME?</definedName>
    <definedName name="_________a1" hidden="1">{"'Sheet1'!$L$16"}</definedName>
    <definedName name="_________a129">#REF!</definedName>
    <definedName name="_________a130">#REF!</definedName>
    <definedName name="_________BG12" hidden="1">{"'Sheet1'!$L$16"}</definedName>
    <definedName name="_________CN1" hidden="1">{"'Sheet1'!$L$16"}</definedName>
    <definedName name="_________lop111">#REF!</definedName>
    <definedName name="_________MCC3">#REF!</definedName>
    <definedName name="_________P3">#REF!</definedName>
    <definedName name="_________PA3" hidden="1">{"'Sheet1'!$L$16"}</definedName>
    <definedName name="_________PPP3">#REF!</definedName>
    <definedName name="_________PPP33">#REF!</definedName>
    <definedName name="_________ppp34">#REF!</definedName>
    <definedName name="_________ppp3444">#REF!</definedName>
    <definedName name="_________tu4">{"'Sheet1'!$L$16"}</definedName>
    <definedName name="_________xlfn.BAHTTEXT" hidden="1">#NAME?</definedName>
    <definedName name="________a1" hidden="1">{"'Sheet1'!$L$16"}</definedName>
    <definedName name="________a129">#REF!</definedName>
    <definedName name="________a130">#REF!</definedName>
    <definedName name="________BG12" hidden="1">{"'Sheet1'!$L$16"}</definedName>
    <definedName name="________CN1" hidden="1">{"'Sheet1'!$L$16"}</definedName>
    <definedName name="________lop111">#REF!</definedName>
    <definedName name="________MCC3">#REF!</definedName>
    <definedName name="________NO2">#REF!</definedName>
    <definedName name="________P3">#REF!</definedName>
    <definedName name="________PPP3">#REF!</definedName>
    <definedName name="________PPP33">#REF!</definedName>
    <definedName name="________ppp34">#REF!</definedName>
    <definedName name="________ppp3444">#REF!</definedName>
    <definedName name="________xlfn.BAHTTEXT" hidden="1">#NAME?</definedName>
    <definedName name="_______a1" hidden="1">{"'Sheet1'!$L$16"}</definedName>
    <definedName name="_______a129">#REF!</definedName>
    <definedName name="_______a130">#REF!</definedName>
    <definedName name="_______BG12" hidden="1">{"'Sheet1'!$L$16"}</definedName>
    <definedName name="_______CN1" hidden="1">{"'Sheet1'!$L$16"}</definedName>
    <definedName name="_______key2">#REF!</definedName>
    <definedName name="_______lop111">#REF!</definedName>
    <definedName name="_______MCC3">#REF!</definedName>
    <definedName name="_______NO1">#REF!</definedName>
    <definedName name="_______NO2">#REF!</definedName>
    <definedName name="_______P3">#REF!</definedName>
    <definedName name="_______PA3" hidden="1">{"'Sheet1'!$L$16"}</definedName>
    <definedName name="_______PPP3">#REF!</definedName>
    <definedName name="_______PPP33">#REF!</definedName>
    <definedName name="_______ppp34">#REF!</definedName>
    <definedName name="_______ppp3444">#REF!</definedName>
    <definedName name="_______tu4">{"'Sheet1'!$L$16"}</definedName>
    <definedName name="_______xlfn.BAHTTEXT" hidden="1">#NAME?</definedName>
    <definedName name="______4__123Graph_Aｸﾞﾗﾌ_2">#REF!</definedName>
    <definedName name="______a1" hidden="1">{"'Sheet1'!$L$16"}</definedName>
    <definedName name="______a129">#REF!</definedName>
    <definedName name="______a130">#REF!</definedName>
    <definedName name="______BG12" hidden="1">{"'Sheet1'!$L$16"}</definedName>
    <definedName name="______CN1" hidden="1">{"'Sheet1'!$L$16"}</definedName>
    <definedName name="______FAB4">#REF!</definedName>
    <definedName name="______Goi8" hidden="1">{"'Sheet1'!$L$16"}</definedName>
    <definedName name="______lop111">#REF!</definedName>
    <definedName name="______MCC3">#REF!</definedName>
    <definedName name="______NO1">#REF!</definedName>
    <definedName name="______NO2">#REF!</definedName>
    <definedName name="______P3">#REF!</definedName>
    <definedName name="______PA3">{"'Sheet1'!$L$16"}</definedName>
    <definedName name="______PPP3">#REF!</definedName>
    <definedName name="______PPP33">#REF!</definedName>
    <definedName name="______ppp34">#REF!</definedName>
    <definedName name="______ppp3444">#REF!</definedName>
    <definedName name="______xlfn.BAHTTEXT" hidden="1">#NAME?</definedName>
    <definedName name="_____11__123Graph_Xｸﾞﾗﾌ_1">#REF!</definedName>
    <definedName name="_____12__123Graph_Xｸﾞﾗﾌ_2">#REF!</definedName>
    <definedName name="_____13__123Graph_Xｸﾞﾗﾌ_3">#REF!</definedName>
    <definedName name="_____14__123Graph_Xｸﾞﾗﾌ_4">#REF!</definedName>
    <definedName name="_____15__123Graph_Xｸﾞﾗﾌ_5">#REF!</definedName>
    <definedName name="_____3__123Graph_Aｸﾞﾗﾌ_1">#REF!</definedName>
    <definedName name="_____4__123Graph_Aｸﾞﾗﾌ_2">#REF!</definedName>
    <definedName name="_____5__123Graph_Aｸﾞﾗﾌ_3">#REF!</definedName>
    <definedName name="_____6__123Graph_Aｸﾞﾗﾌ_4">#REF!</definedName>
    <definedName name="_____7__123Graph_Aｸﾞﾗﾌ_5">#REF!</definedName>
    <definedName name="_____a1" hidden="1">{"'Sheet1'!$L$16"}</definedName>
    <definedName name="_____a129">#REF!</definedName>
    <definedName name="_____a130">#REF!</definedName>
    <definedName name="_____BG12" hidden="1">{"'Sheet1'!$L$16"}</definedName>
    <definedName name="_____CN1" hidden="1">{"'Sheet1'!$L$16"}</definedName>
    <definedName name="_____Goi8" hidden="1">{"'Sheet1'!$L$16"}</definedName>
    <definedName name="_____h1">{"'Sheet1'!$L$16"}</definedName>
    <definedName name="_____hu1">{"'Sheet1'!$L$16"}</definedName>
    <definedName name="_____hu2">{"'Sheet1'!$L$16"}</definedName>
    <definedName name="_____hu5">{"'Sheet1'!$L$16"}</definedName>
    <definedName name="_____hu6">{"'Sheet1'!$L$16"}</definedName>
    <definedName name="_____key2">#REF!</definedName>
    <definedName name="_____lop111">#REF!</definedName>
    <definedName name="_____MCC3">#REF!</definedName>
    <definedName name="_____NO1">#REF!</definedName>
    <definedName name="_____NO2">#REF!</definedName>
    <definedName name="_____NSO2" hidden="1">{"'Sheet1'!$L$16"}</definedName>
    <definedName name="_____P3">#REF!</definedName>
    <definedName name="_____PA3" hidden="1">{"'Sheet1'!$L$16"}</definedName>
    <definedName name="_____PPP3">#REF!</definedName>
    <definedName name="_____PPP33">#REF!</definedName>
    <definedName name="_____ppp34">#REF!</definedName>
    <definedName name="_____ppp3444">#REF!</definedName>
    <definedName name="_____SCL4" hidden="1">{"'Sheet1'!$L$16"}</definedName>
    <definedName name="_____tu4" hidden="1">{"'Sheet1'!$L$16"}</definedName>
    <definedName name="_____UI33" hidden="1">{"'Sheet1'!$L$16"}</definedName>
    <definedName name="_____xlfn.BAHTTEXT" hidden="1">#NAME?</definedName>
    <definedName name="____11__123Graph_Xｸﾞﾗﾌ_1">#REF!</definedName>
    <definedName name="____12__123Graph_Xｸﾞﾗﾌ_2">#REF!</definedName>
    <definedName name="____13__123Graph_Xｸﾞﾗﾌ_3">#REF!</definedName>
    <definedName name="____14__123Graph_Xｸﾞﾗﾌ_4">#REF!</definedName>
    <definedName name="____15__123Graph_Xｸﾞﾗﾌ_5">#REF!</definedName>
    <definedName name="____3__123Graph_Aｸﾞﾗﾌ_1">#REF!</definedName>
    <definedName name="____4__123Graph_Aｸﾞﾗﾌ_2">#REF!</definedName>
    <definedName name="____5__123Graph_Aｸﾞﾗﾌ_3">#REF!</definedName>
    <definedName name="____6__123Graph_Aｸﾞﾗﾌ_4">#REF!</definedName>
    <definedName name="____7__123Graph_Aｸﾞﾗﾌ_5">#REF!</definedName>
    <definedName name="____a1" hidden="1">{"'Sheet1'!$L$16"}</definedName>
    <definedName name="____a129">#REF!</definedName>
    <definedName name="____a130">#REF!</definedName>
    <definedName name="____a2" hidden="1">{"'Sheet1'!$L$16"}</definedName>
    <definedName name="____BG12" hidden="1">{"'Sheet1'!$L$16"}</definedName>
    <definedName name="____CN1" hidden="1">{"'Sheet1'!$L$16"}</definedName>
    <definedName name="____FAB4">#REF!</definedName>
    <definedName name="____Goi8" hidden="1">{"'Sheet1'!$L$16"}</definedName>
    <definedName name="____h1">{"'Sheet1'!$L$16"}</definedName>
    <definedName name="____hu1">{"'Sheet1'!$L$16"}</definedName>
    <definedName name="____hu2">{"'Sheet1'!$L$16"}</definedName>
    <definedName name="____hu5">{"'Sheet1'!$L$16"}</definedName>
    <definedName name="____hu6">{"'Sheet1'!$L$16"}</definedName>
    <definedName name="____huy1" hidden="1">{"'Sheet1'!$L$16"}</definedName>
    <definedName name="____huy2" hidden="1">{"'Sheet1'!$L$16"}</definedName>
    <definedName name="____lan1" hidden="1">{#N/A,#N/A,TRUE,"BT M200 da 10x20"}</definedName>
    <definedName name="____lop111">#REF!</definedName>
    <definedName name="____MCC3">#REF!</definedName>
    <definedName name="____NO1">#REF!</definedName>
    <definedName name="____NO2">#REF!</definedName>
    <definedName name="____nso1" hidden="1">{"'Sheet1'!$L$16"}</definedName>
    <definedName name="____NSO2" hidden="1">{"'Sheet1'!$L$16"}</definedName>
    <definedName name="____P3">#REF!</definedName>
    <definedName name="____PA3" hidden="1">{"'Sheet1'!$L$16"}</definedName>
    <definedName name="____PPP3">#REF!</definedName>
    <definedName name="____PPP33">#REF!</definedName>
    <definedName name="____ppp34">#REF!</definedName>
    <definedName name="____ppp3444">#REF!</definedName>
    <definedName name="____SCL4" hidden="1">{"'Sheet1'!$L$16"}</definedName>
    <definedName name="____T3" hidden="1">{"'Sheet1'!$L$16"}</definedName>
    <definedName name="____ttt1" hidden="1">{"'Sheet1'!$L$16"}</definedName>
    <definedName name="____tu4" hidden="1">{"'Sheet1'!$L$16"}</definedName>
    <definedName name="____xlfn.BAHTTEXT" hidden="1">#NAME?</definedName>
    <definedName name="___1__123Graph_Aｸﾞﾗﾌ_1">#REF!</definedName>
    <definedName name="___10__123Graph_Xｸﾞﾗﾌ_5">#REF!</definedName>
    <definedName name="___11__123Graph_Xｸﾞﾗﾌ_1">#REF!</definedName>
    <definedName name="___12__123Graph_Xｸﾞﾗﾌ_2">#REF!</definedName>
    <definedName name="___13__123Graph_Xｸﾞﾗﾌ_3">#REF!</definedName>
    <definedName name="___14__123Graph_Xｸﾞﾗﾌ_4">#REF!</definedName>
    <definedName name="___15__123Graph_Xｸﾞﾗﾌ_5">#REF!</definedName>
    <definedName name="___2__123Graph_Aｸﾞﾗﾌ_2">#REF!</definedName>
    <definedName name="___3__123Graph_Aｸﾞﾗﾌ_1">#REF!</definedName>
    <definedName name="___3__123Graph_Aｸﾞﾗﾌ_3">#REF!</definedName>
    <definedName name="___4__123Graph_Aｸﾞﾗﾌ_2">#REF!</definedName>
    <definedName name="___4__123Graph_Aｸﾞﾗﾌ_4">#REF!</definedName>
    <definedName name="___5__123Graph_Aｸﾞﾗﾌ_3">#REF!</definedName>
    <definedName name="___5__123Graph_Aｸﾞﾗﾌ_5">#REF!</definedName>
    <definedName name="___6__123Graph_Aｸﾞﾗﾌ_4">#REF!</definedName>
    <definedName name="___6__123Graph_Xｸﾞﾗﾌ_1">#REF!</definedName>
    <definedName name="___7__123Graph_Aｸﾞﾗﾌ_5">#REF!</definedName>
    <definedName name="___7__123Graph_Xｸﾞﾗﾌ_2">#REF!</definedName>
    <definedName name="___8__123Graph_Xｸﾞﾗﾌ_3">#REF!</definedName>
    <definedName name="___9__123Graph_Xｸﾞﾗﾌ_4">#REF!</definedName>
    <definedName name="___a1" hidden="1">{"'Sheet1'!$L$16"}</definedName>
    <definedName name="___a129">#REF!</definedName>
    <definedName name="___a130">#REF!</definedName>
    <definedName name="___a2" hidden="1">{"'Sheet1'!$L$16"}</definedName>
    <definedName name="___BG12" hidden="1">{"'Sheet1'!$L$16"}</definedName>
    <definedName name="___CN1" hidden="1">{"'Sheet1'!$L$16"}</definedName>
    <definedName name="___Coc39">{"'Sheet1'!$L$16"}</definedName>
    <definedName name="___Goi8" hidden="1">{"'Sheet1'!$L$16"}</definedName>
    <definedName name="___h1">{"'Sheet1'!$L$16"}</definedName>
    <definedName name="___hu1">{"'Sheet1'!$L$16"}</definedName>
    <definedName name="___hu2">{"'Sheet1'!$L$16"}</definedName>
    <definedName name="___hu5">{"'Sheet1'!$L$16"}</definedName>
    <definedName name="___hu6">{"'Sheet1'!$L$16"}</definedName>
    <definedName name="___huy1" hidden="1">{"'Sheet1'!$L$16"}</definedName>
    <definedName name="___huy2" hidden="1">{"'Sheet1'!$L$16"}</definedName>
    <definedName name="___key2">#REF!</definedName>
    <definedName name="___lan1" hidden="1">{#N/A,#N/A,TRUE,"BT M200 da 10x20"}</definedName>
    <definedName name="___LAN3">{"'Sheet1'!$L$16"}</definedName>
    <definedName name="___lk2">{"'Sheet1'!$L$16"}</definedName>
    <definedName name="___lop111">#REF!</definedName>
    <definedName name="___MCC3">#REF!</definedName>
    <definedName name="___MEP2">#REF!</definedName>
    <definedName name="___NO1">#REF!</definedName>
    <definedName name="___NO2">#REF!</definedName>
    <definedName name="___nso1" hidden="1">{"'Sheet1'!$L$16"}</definedName>
    <definedName name="___NSO2" hidden="1">{"'Sheet1'!$L$16"}</definedName>
    <definedName name="___P3">#REF!</definedName>
    <definedName name="___PA3" hidden="1">{"'Sheet1'!$L$16"}</definedName>
    <definedName name="___PPP3">#REF!</definedName>
    <definedName name="___PPP33">#REF!</definedName>
    <definedName name="___ppp34">#REF!</definedName>
    <definedName name="___ppp3444">#REF!</definedName>
    <definedName name="___SCL4" hidden="1">{"'Sheet1'!$L$16"}</definedName>
    <definedName name="___T3" hidden="1">{"'Sheet1'!$L$16"}</definedName>
    <definedName name="___td1">{"'Sheet1'!$L$16"}</definedName>
    <definedName name="___tt3">{"'Sheet1'!$L$16"}</definedName>
    <definedName name="___ttt1" hidden="1">{"'Sheet1'!$L$16"}</definedName>
    <definedName name="___tu4" hidden="1">{"'Sheet1'!$L$16"}</definedName>
    <definedName name="___xlfn.BAHTTEXT" hidden="1">#NAME?</definedName>
    <definedName name="__1__123Graph_Aｸﾞﾗﾌ_1">#REF!</definedName>
    <definedName name="__10__123Graph_Xｸﾞﾗﾌ_5">#REF!</definedName>
    <definedName name="__11__123Graph_Xｸﾞﾗﾌ_1">#REF!</definedName>
    <definedName name="__12__123Graph_Xｸﾞﾗﾌ_2">#REF!</definedName>
    <definedName name="__123Graph_A">#REF!</definedName>
    <definedName name="__123Graph_A120.CGM">#REF!</definedName>
    <definedName name="__123Graph_A150.CGM">#REF!</definedName>
    <definedName name="__123Graph_A180.CGM">#REF!</definedName>
    <definedName name="__123Graph_A210.CGM">#REF!</definedName>
    <definedName name="__123Graph_A240.CGM">#REF!</definedName>
    <definedName name="__123Graph_A270.CGM">#REF!</definedName>
    <definedName name="__123Graph_A300.CGM">#REF!</definedName>
    <definedName name="__123Graph_A60.CGN">#REF!</definedName>
    <definedName name="__123Graph_A90.CGM">#REF!</definedName>
    <definedName name="__123Graph_ACURRENT">#REF!</definedName>
    <definedName name="__123Graph_B">#REF!</definedName>
    <definedName name="__123Graph_B120.CGM">#REF!</definedName>
    <definedName name="__123Graph_B150.CGM">#REF!</definedName>
    <definedName name="__123Graph_B180.CGM">#REF!</definedName>
    <definedName name="__123Graph_B210.CGM">#REF!</definedName>
    <definedName name="__123Graph_B240.CGM">#REF!</definedName>
    <definedName name="__123Graph_B270.CGM">#REF!</definedName>
    <definedName name="__123Graph_B300.CGM">#REF!</definedName>
    <definedName name="__123Graph_B60.CGN">#REF!</definedName>
    <definedName name="__123Graph_B90.CGM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LBL_A">#REF!</definedName>
    <definedName name="__123Graph_LBL_A120.CGM">#REF!</definedName>
    <definedName name="__123Graph_LBL_A150.CGM">#REF!</definedName>
    <definedName name="__123Graph_LBL_A180.CGM">#REF!</definedName>
    <definedName name="__123Graph_LBL_A210.CGM">#REF!</definedName>
    <definedName name="__123Graph_LBL_A240.CGM">#REF!</definedName>
    <definedName name="__123Graph_LBL_A270.CGM">#REF!</definedName>
    <definedName name="__123Graph_LBL_A300.CGM">#REF!</definedName>
    <definedName name="__123Graph_LBL_A60.CGN">#REF!</definedName>
    <definedName name="__123Graph_LBL_A90.CGM">#REF!</definedName>
    <definedName name="__123Graph_X">#REF!</definedName>
    <definedName name="__123Graph_X120.CGM">#REF!</definedName>
    <definedName name="__123Graph_X150.CGM">#REF!</definedName>
    <definedName name="__123Graph_X180.CGM">#REF!</definedName>
    <definedName name="__123Graph_X210.CGM">#REF!</definedName>
    <definedName name="__123Graph_X240.CGM">#REF!</definedName>
    <definedName name="__123Graph_X270.CGM">#REF!</definedName>
    <definedName name="__123Graph_X300.CGM">#REF!</definedName>
    <definedName name="__123Graph_X60.CGN">#REF!</definedName>
    <definedName name="__123Graph_X90.CGM">#REF!</definedName>
    <definedName name="__123gsdfsdfs" hidden="1">#REF!</definedName>
    <definedName name="__13__123Graph_Xｸﾞﾗﾌ_3">#REF!</definedName>
    <definedName name="__14__123Graph_Xｸﾞﾗﾌ_4">#REF!</definedName>
    <definedName name="__15__123Graph_Xｸﾞﾗﾌ_5">#REF!</definedName>
    <definedName name="__2__123Graph_Aｸﾞﾗﾌ_2">#REF!</definedName>
    <definedName name="__3__123Graph_Aｸﾞﾗﾌ_1">#REF!</definedName>
    <definedName name="__3__123Graph_Aｸﾞﾗﾌ_3">#REF!</definedName>
    <definedName name="__4__123Graph_Aｸﾞﾗﾌ_2">#REF!</definedName>
    <definedName name="__4__123Graph_Aｸﾞﾗﾌ_4">#REF!</definedName>
    <definedName name="__5__123Graph_Aｸﾞﾗﾌ_1">#REF!</definedName>
    <definedName name="__5__123Graph_Aｸﾞﾗﾌ_3">#REF!</definedName>
    <definedName name="__5__123Graph_Aｸﾞﾗﾌ_5">#REF!</definedName>
    <definedName name="__6__123Graph_Aｸﾞﾗﾌ_4">#REF!</definedName>
    <definedName name="__6__123Graph_Xｸﾞﾗﾌ_1">#REF!</definedName>
    <definedName name="__7__123Graph_Aｸﾞﾗﾌ_5">#REF!</definedName>
    <definedName name="__7__123Graph_Xｸﾞﾗﾌ_2">#REF!</definedName>
    <definedName name="__8__123Graph_Xｸﾞﾗﾌ_3">#REF!</definedName>
    <definedName name="__9__123Graph_Xｸﾞﾗﾌ_4">#REF!</definedName>
    <definedName name="__a1" hidden="1">{"'Sheet1'!$L$16"}</definedName>
    <definedName name="__a129">#REF!</definedName>
    <definedName name="__a130">#REF!</definedName>
    <definedName name="__a2" hidden="1">{"'Sheet1'!$L$16"}</definedName>
    <definedName name="__BG12" hidden="1">{"'Sheet1'!$L$16"}</definedName>
    <definedName name="__CN1" hidden="1">{"'Sheet1'!$L$16"}</definedName>
    <definedName name="__coc1000">#REF!</definedName>
    <definedName name="__Coc39">{"'Sheet1'!$L$16"}</definedName>
    <definedName name="__d1500">{"'Sheet1'!$L$16"}</definedName>
    <definedName name="__D6">#REF!</definedName>
    <definedName name="__dsa3">#REF!</definedName>
    <definedName name="__E1200">{"'Sheet1'!$L$16"}</definedName>
    <definedName name="__FAB4">#REF!</definedName>
    <definedName name="__Goi8" hidden="1">{"'Sheet1'!$L$16"}</definedName>
    <definedName name="__h1" hidden="1">{"'Sheet1'!$L$16"}</definedName>
    <definedName name="__hu1" hidden="1">{"'Sheet1'!$L$16"}</definedName>
    <definedName name="__hu2" hidden="1">{"'Sheet1'!$L$16"}</definedName>
    <definedName name="__hu5" hidden="1">{"'Sheet1'!$L$16"}</definedName>
    <definedName name="__hu6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ey2">#REF!</definedName>
    <definedName name="__Km36">#REF!</definedName>
    <definedName name="__Knc36">#REF!</definedName>
    <definedName name="__Knc57">#REF!</definedName>
    <definedName name="__Kvl36">#REF!</definedName>
    <definedName name="__lan1" hidden="1">{#N/A,#N/A,TRUE,"BT M200 da 10x20"}</definedName>
    <definedName name="__Lan2" hidden="1">{"'Sheet1'!$L$16"}</definedName>
    <definedName name="__LAN3">{"'Sheet1'!$L$16"}</definedName>
    <definedName name="__lk2">{"'Sheet1'!$L$16"}</definedName>
    <definedName name="__lop111">#REF!</definedName>
    <definedName name="__MCC3">#REF!</definedName>
    <definedName name="__MEP2">#REF!</definedName>
    <definedName name="__NO1">#REF!</definedName>
    <definedName name="__NO2">#REF!</definedName>
    <definedName name="__nso1" hidden="1">{"'Sheet1'!$L$16"}</definedName>
    <definedName name="__NSO2" hidden="1">{"'Sheet1'!$L$16"}</definedName>
    <definedName name="__p06">{"'Sheet1'!$L$16"}</definedName>
    <definedName name="__P3">#REF!</definedName>
    <definedName name="__PA3" hidden="1">{"'Sheet1'!$L$16"}</definedName>
    <definedName name="__PPP3">#REF!</definedName>
    <definedName name="__PPP33">#REF!</definedName>
    <definedName name="__ppp34">#REF!</definedName>
    <definedName name="__ppp3444">#REF!</definedName>
    <definedName name="__SB22">{"'Sheet1'!$L$16"}</definedName>
    <definedName name="__SCL4" hidden="1">{"'Sheet1'!$L$16"}</definedName>
    <definedName name="__SS2">{"'Sheet1'!$L$16"}</definedName>
    <definedName name="__T1">#REF!</definedName>
    <definedName name="__T3" hidden="1">{"'Sheet1'!$L$16"}</definedName>
    <definedName name="__td1">{"'Sheet1'!$L$16"}</definedName>
    <definedName name="__TS2004">{"'Sheet1'!$L$16"}</definedName>
    <definedName name="__tt3" hidden="1">{"'Sheet1'!$L$16"}</definedName>
    <definedName name="__ttt1" hidden="1">{"'Sheet1'!$L$16"}</definedName>
    <definedName name="__tu4" hidden="1">{"'Sheet1'!$L$16"}</definedName>
    <definedName name="__xlfn.BAHTTEXT" hidden="1">#NAME?</definedName>
    <definedName name="_001">#REF!</definedName>
    <definedName name="_1">#REF!</definedName>
    <definedName name="_1____123Graph_Aｸﾞﾗﾌ_1">#REF!</definedName>
    <definedName name="_1__123Graph_A????_1">#REF!</definedName>
    <definedName name="_1__123Graph_Aｸﾞﾗﾌ_1">#REF!</definedName>
    <definedName name="_1_0_F">#REF!</definedName>
    <definedName name="_10____123Graph_Xｸﾞﾗﾌ_5">#REF!</definedName>
    <definedName name="_10__123Graph_Aｸﾞﾗﾌ_1" hidden="1">#REF!</definedName>
    <definedName name="_10__123Graph_Aｸﾞﾗﾌ_2">#REF!</definedName>
    <definedName name="_10__123Graph_Aｸﾞﾗﾌ_5">#REF!</definedName>
    <definedName name="_10__123Graph_Xｸﾞﾗﾌ_1">#REF!</definedName>
    <definedName name="_10__123Graph_Xｸﾞﾗﾌ_5">#REF!</definedName>
    <definedName name="_100__123Graph_Xｸﾞﾗﾌ_3">#REF!</definedName>
    <definedName name="_103__123Graph_X????_4">#REF!</definedName>
    <definedName name="_103__123Graph_Xｸﾞﾗﾌ_5">#REF!</definedName>
    <definedName name="_106__123Graph_Xｸﾞﾗﾌ_4">#REF!</definedName>
    <definedName name="_108__123Graph_X????_5">#REF!</definedName>
    <definedName name="_11__123Graph_Aｸﾞﾗﾌ_2" hidden="1">#REF!</definedName>
    <definedName name="_11__123Graph_Aｸﾞﾗﾌ_3">#REF!</definedName>
    <definedName name="_11__123Graph_Aｸﾞﾗﾌ_4">#REF!</definedName>
    <definedName name="_11__123Graph_X????_1">#REF!</definedName>
    <definedName name="_11__123Graph_Xｸﾞﾗﾌ_1">#REF!</definedName>
    <definedName name="_11__123Graph_Xｸﾞﾗﾌ_2">#REF!</definedName>
    <definedName name="_112__123Graph_Xｸﾞﾗﾌ_5">#REF!</definedName>
    <definedName name="_116__123Graph_Xｸﾞﾗﾌ_1">#REF!</definedName>
    <definedName name="_11P3_">#REF!</definedName>
    <definedName name="_12__123Graph_A????_2">#REF!</definedName>
    <definedName name="_12__123Graph_Aｸﾞﾗﾌ_3" hidden="1">#REF!</definedName>
    <definedName name="_12__123Graph_Aｸﾞﾗﾌ_4">#REF!</definedName>
    <definedName name="_12__123Graph_X????_2">#REF!</definedName>
    <definedName name="_12__123Graph_Xｸﾞﾗﾌ_1">#REF!</definedName>
    <definedName name="_12__123Graph_Xｸﾞﾗﾌ_2">#REF!</definedName>
    <definedName name="_12__123Graph_Xｸﾞﾗﾌ_3">#REF!</definedName>
    <definedName name="_123Graph_A300.CGM">#REF!</definedName>
    <definedName name="_123Graph_F">#REF!</definedName>
    <definedName name="_124__123Graph_Xｸﾞﾗﾌ_2">#REF!</definedName>
    <definedName name="_13__123Graph_Aｸﾞﾗﾌ_2">#REF!</definedName>
    <definedName name="_13__123Graph_Aｸﾞﾗﾌ_4" hidden="1">#REF!</definedName>
    <definedName name="_13__123Graph_Aｸﾞﾗﾌ_5">#REF!</definedName>
    <definedName name="_13__123Graph_X????_3">#REF!</definedName>
    <definedName name="_13__123Graph_Xｸﾞﾗﾌ_2">#REF!</definedName>
    <definedName name="_13__123Graph_Xｸﾞﾗﾌ_3">#REF!</definedName>
    <definedName name="_13__123Graph_Xｸﾞﾗﾌ_4">#REF!</definedName>
    <definedName name="_132__123Graph_Xｸﾞﾗﾌ_3">#REF!</definedName>
    <definedName name="_14__123Graph_Aｸﾞﾗﾌ_4">#REF!</definedName>
    <definedName name="_14__123Graph_Aｸﾞﾗﾌ_5" hidden="1">#REF!</definedName>
    <definedName name="_14__123Graph_X????_1">#REF!</definedName>
    <definedName name="_14__123Graph_X????_4">#REF!</definedName>
    <definedName name="_14__123Graph_Xｸﾞﾗﾌ_2">#REF!</definedName>
    <definedName name="_14__123Graph_Xｸﾞﾗﾌ_3">#REF!</definedName>
    <definedName name="_14__123Graph_Xｸﾞﾗﾌ_4">#REF!</definedName>
    <definedName name="_14__123Graph_Xｸﾞﾗﾌ_5">#REF!</definedName>
    <definedName name="_140__123Graph_Xｸﾞﾗﾌ_4">#REF!</definedName>
    <definedName name="_148__123Graph_Xｸﾞﾗﾌ_5">#REF!</definedName>
    <definedName name="_15__123Graph_X????_1" hidden="1">#REF!</definedName>
    <definedName name="_15__123Graph_X????_2">#REF!</definedName>
    <definedName name="_15__123Graph_X????_5">#REF!</definedName>
    <definedName name="_15__123Graph_Xｸﾞﾗﾌ_4">#REF!</definedName>
    <definedName name="_15__123Graph_Xｸﾞﾗﾌ_5">#REF!</definedName>
    <definedName name="_16__123Graph_X????_2" hidden="1">#REF!</definedName>
    <definedName name="_16__123Graph_X????_3">#REF!</definedName>
    <definedName name="_16__123Graph_Xｸﾞﾗﾌ_1">#REF!</definedName>
    <definedName name="_16__123Graph_Xｸﾞﾗﾌ_3">#REF!</definedName>
    <definedName name="_16__123Graph_Xｸﾞﾗﾌ_5">#REF!</definedName>
    <definedName name="_16P3_">#REF!</definedName>
    <definedName name="_17__123Graph_A????_1">#REF!</definedName>
    <definedName name="_17__123Graph_A????_3">#REF!</definedName>
    <definedName name="_17__123Graph_Aｸﾞﾗﾌ_3">#REF!</definedName>
    <definedName name="_17__123Graph_Aｸﾞﾗﾌ_5">#REF!</definedName>
    <definedName name="_17__123Graph_X????_3" hidden="1">#REF!</definedName>
    <definedName name="_17__123Graph_X????_4">#REF!</definedName>
    <definedName name="_17__123Graph_Xｸﾞﾗﾌ_2">#REF!</definedName>
    <definedName name="_17a1_" hidden="1">{"'Sheet1'!$L$16"}</definedName>
    <definedName name="_17P3_">#REF!</definedName>
    <definedName name="_18__123Graph_X????_4" hidden="1">#REF!</definedName>
    <definedName name="_18__123Graph_X????_5">#REF!</definedName>
    <definedName name="_18__123Graph_Xｸﾞﾗﾌ_1">#REF!</definedName>
    <definedName name="_18__123Graph_Xｸﾞﾗﾌ_3">#REF!</definedName>
    <definedName name="_18__123Graph_Xｸﾞﾗﾌ_4">#REF!</definedName>
    <definedName name="_19__123Graph_X????_5" hidden="1">#REF!</definedName>
    <definedName name="_19__123Graph_Xｸﾞﾗﾌ_1">#REF!</definedName>
    <definedName name="_19__123Graph_Xｸﾞﾗﾌ_4">#REF!</definedName>
    <definedName name="_19P3_">#REF!</definedName>
    <definedName name="_1P3_">#REF!</definedName>
    <definedName name="_2">#REF!</definedName>
    <definedName name="_2____123Graph_Aｸﾞﾗﾌ_2">#REF!</definedName>
    <definedName name="_2__123Graph_A????_2">#REF!</definedName>
    <definedName name="_2__123Graph_Aｸﾞﾗﾌ_1">#REF!</definedName>
    <definedName name="_2__123Graph_Aｸﾞﾗﾌ_2">#REF!</definedName>
    <definedName name="_2_0_0_F">#REF!</definedName>
    <definedName name="_2_0_F">#REF!</definedName>
    <definedName name="_20__123Graph_Xｸﾞﾗﾌ_1" hidden="1">#REF!</definedName>
    <definedName name="_20__123Graph_Xｸﾞﾗﾌ_2">#REF!</definedName>
    <definedName name="_20__123Graph_Xｸﾞﾗﾌ_5">#REF!</definedName>
    <definedName name="_21__123Graph_A????_2">#REF!</definedName>
    <definedName name="_21__123Graph_Aｸﾞﾗﾌ_4">#REF!</definedName>
    <definedName name="_21__123Graph_Xｸﾞﾗﾌ_2" hidden="1">#REF!</definedName>
    <definedName name="_21__123Graph_Xｸﾞﾗﾌ_3">#REF!</definedName>
    <definedName name="_22__123Graph_A????_4">#REF!</definedName>
    <definedName name="_22__123Graph_Xｸﾞﾗﾌ_1">#REF!</definedName>
    <definedName name="_22__123Graph_Xｸﾞﾗﾌ_3">#REF!</definedName>
    <definedName name="_22__123Graph_Xｸﾞﾗﾌ_4">#REF!</definedName>
    <definedName name="_23__123Graph_A????_1">#REF!</definedName>
    <definedName name="_23__123Graph_Xｸﾞﾗﾌ_4" hidden="1">#REF!</definedName>
    <definedName name="_23__123Graph_Xｸﾞﾗﾌ_5">#REF!</definedName>
    <definedName name="_24__123Graph_Xｸﾞﾗﾌ_4">#REF!</definedName>
    <definedName name="_24__123Graph_Xｸﾞﾗﾌ_5" hidden="1">#REF!</definedName>
    <definedName name="_25__123Graph_A????_3">#REF!</definedName>
    <definedName name="_25__123Graph_Aｸﾞﾗﾌ_5">#REF!</definedName>
    <definedName name="_25__123Graph_Xｸﾞﾗﾌ_2">#REF!</definedName>
    <definedName name="_26__123Graph_Xｸﾞﾗﾌ_5">#REF!</definedName>
    <definedName name="_27__123Graph_A????_5">#REF!</definedName>
    <definedName name="_28__123Graph_A????_2">#REF!</definedName>
    <definedName name="_28__123Graph_Xｸﾞﾗﾌ_3">#REF!</definedName>
    <definedName name="_29__123Graph_A????_4">#REF!</definedName>
    <definedName name="_3">#REF!</definedName>
    <definedName name="_3____123Graph_Aｸﾞﾗﾌ_3">#REF!</definedName>
    <definedName name="_3__123Graph_A????_3">#REF!</definedName>
    <definedName name="_3__123Graph_Aｸﾞﾗﾌ_1">#REF!</definedName>
    <definedName name="_3__123Graph_Aｸﾞﾗﾌ_3">#REF!</definedName>
    <definedName name="_3_2_0_Parse">#REF!</definedName>
    <definedName name="_31__123Graph_Xｸﾞﾗﾌ_4">#REF!</definedName>
    <definedName name="_33__123Graph_A????_3">#REF!</definedName>
    <definedName name="_33__123Graph_A????_5">#REF!</definedName>
    <definedName name="_33__123Graph_Aｸﾞﾗﾌ_1">#REF!</definedName>
    <definedName name="_34__123Graph_Xｸﾞﾗﾌ_1">#REF!</definedName>
    <definedName name="_34__123Graph_Xｸﾞﾗﾌ_5">#REF!</definedName>
    <definedName name="_38__123Graph_A????_4">#REF!</definedName>
    <definedName name="_38__123Graph_Aｸﾞﾗﾌ_1">#REF!</definedName>
    <definedName name="_38__123Graph_Xｸﾞﾗﾌ_2">#REF!</definedName>
    <definedName name="_39__123Graph_Aｸﾞﾗﾌ_2">#REF!</definedName>
    <definedName name="_4____123Graph_Aｸﾞﾗﾌ_4">#REF!</definedName>
    <definedName name="_4__123Graph_A????_1">#REF!</definedName>
    <definedName name="_4__123Graph_A????_4">#REF!</definedName>
    <definedName name="_4__123Graph_Aｸﾞﾗﾌ_1">#REF!</definedName>
    <definedName name="_4__123Graph_Aｸﾞﾗﾌ_2">#REF!</definedName>
    <definedName name="_4__123Graph_Aｸﾞﾗﾌ_4">#REF!</definedName>
    <definedName name="_4_0_0_F">#REF!</definedName>
    <definedName name="_42__123Graph_Xｸﾞﾗﾌ_3">#REF!</definedName>
    <definedName name="_43__123Graph_A????_5">#REF!</definedName>
    <definedName name="_43__123Graph_Aｸﾞﾗﾌ_2">#REF!</definedName>
    <definedName name="_45__123Graph_Aｸﾞﾗﾌ_3">#REF!</definedName>
    <definedName name="_46__123Graph_Xｸﾞﾗﾌ_4">#REF!</definedName>
    <definedName name="_48__123Graph_Aｸﾞﾗﾌ_3">#REF!</definedName>
    <definedName name="_5____123Graph_Aｸﾞﾗﾌ_5">#REF!</definedName>
    <definedName name="_5__123Graph_A????_1" hidden="1">#REF!</definedName>
    <definedName name="_5__123Graph_A????_2">#REF!</definedName>
    <definedName name="_5__123Graph_A????_5">#REF!</definedName>
    <definedName name="_5__123Graph_Aｸﾞﾗﾌ_1">#REF!</definedName>
    <definedName name="_5__123Graph_Aｸﾞﾗﾌ_2">#REF!</definedName>
    <definedName name="_5__123Graph_Aｸﾞﾗﾌ_3">#REF!</definedName>
    <definedName name="_5__123Graph_Aｸﾞﾗﾌ_5">#REF!</definedName>
    <definedName name="_50__123Graph_Xｸﾞﾗﾌ_5">#REF!</definedName>
    <definedName name="_51__123Graph_Aｸﾞﾗﾌ_1">#REF!</definedName>
    <definedName name="_51__123Graph_Aｸﾞﾗﾌ_4">#REF!</definedName>
    <definedName name="_53__123Graph_Aｸﾞﾗﾌ_4">#REF!</definedName>
    <definedName name="_57__123Graph_Aｸﾞﾗﾌ_5">#REF!</definedName>
    <definedName name="_58__123Graph_Aｸﾞﾗﾌ_5">#REF!</definedName>
    <definedName name="_59__123Graph_Aｸﾞﾗﾌ_2">#REF!</definedName>
    <definedName name="_6____123Graph_Xｸﾞﾗﾌ_1">#REF!</definedName>
    <definedName name="_6__123Graph_A????_2" hidden="1">#REF!</definedName>
    <definedName name="_6__123Graph_A????_3">#REF!</definedName>
    <definedName name="_6__123Graph_Aｸﾞﾗﾌ_1">#REF!</definedName>
    <definedName name="_6__123Graph_Aｸﾞﾗﾌ_3">#REF!</definedName>
    <definedName name="_6__123Graph_Aｸﾞﾗﾌ_4">#REF!</definedName>
    <definedName name="_6__123Graph_Xｸﾞﾗﾌ_1">#REF!</definedName>
    <definedName name="_6_2_0_Parse">#REF!</definedName>
    <definedName name="_62__123Graph_X????_1">#REF!</definedName>
    <definedName name="_66__123Graph_X????_2">#REF!</definedName>
    <definedName name="_67__123Graph_Aｸﾞﾗﾌ_3">#REF!</definedName>
    <definedName name="_67__123Graph_X????_2">#REF!</definedName>
    <definedName name="_7____123Graph_Xｸﾞﾗﾌ_2">#REF!</definedName>
    <definedName name="_7__123Graph_A????_1">#REF!</definedName>
    <definedName name="_7__123Graph_A????_3" hidden="1">#REF!</definedName>
    <definedName name="_7__123Graph_A????_4">#REF!</definedName>
    <definedName name="_7__123Graph_Aｸﾞﾗﾌ_2">#REF!</definedName>
    <definedName name="_7__123Graph_Aｸﾞﾗﾌ_4">#REF!</definedName>
    <definedName name="_7__123Graph_Aｸﾞﾗﾌ_5">#REF!</definedName>
    <definedName name="_7__123Graph_Xｸﾞﾗﾌ_2">#REF!</definedName>
    <definedName name="_70__123Graph_X????_3">#REF!</definedName>
    <definedName name="_72__123Graph_X????_3">#REF!</definedName>
    <definedName name="_74__123Graph_X????_4">#REF!</definedName>
    <definedName name="_75__123Graph_Aｸﾞﾗﾌ_4">#REF!</definedName>
    <definedName name="_77__123Graph_X????_4">#REF!</definedName>
    <definedName name="_78__123Graph_X????_5">#REF!</definedName>
    <definedName name="_8____123Graph_Xｸﾞﾗﾌ_3">#REF!</definedName>
    <definedName name="_8__123Graph_A????_4" hidden="1">#REF!</definedName>
    <definedName name="_8__123Graph_A????_5">#REF!</definedName>
    <definedName name="_8__123Graph_Aｸﾞﾗﾌ_2">#REF!</definedName>
    <definedName name="_8__123Graph_Aｸﾞﾗﾌ_3">#REF!</definedName>
    <definedName name="_8__123Graph_Aｸﾞﾗﾌ_4">#REF!</definedName>
    <definedName name="_8__123Graph_Aｸﾞﾗﾌ_5">#REF!</definedName>
    <definedName name="_8__123Graph_Xｸﾞﾗﾌ_3">#REF!</definedName>
    <definedName name="_82__123Graph_X????_5">#REF!</definedName>
    <definedName name="_83__123Graph_Aｸﾞﾗﾌ_5">#REF!</definedName>
    <definedName name="_83__123Graph_Xｸﾞﾗﾌ_1">#REF!</definedName>
    <definedName name="_88__123Graph_X????_1">#REF!</definedName>
    <definedName name="_88__123Graph_Xｸﾞﾗﾌ_1">#REF!</definedName>
    <definedName name="_88__123Graph_Xｸﾞﾗﾌ_2">#REF!</definedName>
    <definedName name="_9____123Graph_Xｸﾞﾗﾌ_4">#REF!</definedName>
    <definedName name="_9__123Graph_A????_5" hidden="1">#REF!</definedName>
    <definedName name="_9__123Graph_Aｸﾞﾗﾌ_1">#REF!</definedName>
    <definedName name="_9__123Graph_Aｸﾞﾗﾌ_3">#REF!</definedName>
    <definedName name="_9__123Graph_Aｸﾞﾗﾌ_4">#REF!</definedName>
    <definedName name="_9__123Graph_Xｸﾞﾗﾌ_4">#REF!</definedName>
    <definedName name="_93__123Graph_X????_2">#REF!</definedName>
    <definedName name="_93__123Graph_Xｸﾞﾗﾌ_3">#REF!</definedName>
    <definedName name="_94__123Graph_Xｸﾞﾗﾌ_2">#REF!</definedName>
    <definedName name="_98__123Graph_X????_3">#REF!</definedName>
    <definedName name="_98__123Graph_Xｸﾞﾗﾌ_4">#REF!</definedName>
    <definedName name="_a1" hidden="1">{"'Sheet1'!$L$16"}</definedName>
    <definedName name="_a129">#REF!</definedName>
    <definedName name="_a130">#REF!</definedName>
    <definedName name="_a2" hidden="1">{"'Sheet1'!$L$16"}</definedName>
    <definedName name="_adv1">#REF!</definedName>
    <definedName name="_adv2">#REF!</definedName>
    <definedName name="_BG12" hidden="1">{"'Sheet1'!$L$16"}</definedName>
    <definedName name="_bht4">#REF!</definedName>
    <definedName name="_bht5">#REF!</definedName>
    <definedName name="_Builtin0">#REF!</definedName>
    <definedName name="_Builtin155">#REF!</definedName>
    <definedName name="_CN1" hidden="1">{"'Sheet1'!$L$16"}</definedName>
    <definedName name="_coc1000">#REF!</definedName>
    <definedName name="_Coc39">{"'Sheet1'!$L$16"}</definedName>
    <definedName name="_D1">{"'Sheet1'!$L$16"}</definedName>
    <definedName name="_D2">{"'Sheet1'!$L$16"}</definedName>
    <definedName name="_Dist_Bin">#REF!</definedName>
    <definedName name="_Dist_Values">#REF!</definedName>
    <definedName name="_DUC">#REF!</definedName>
    <definedName name="_FAB4">#REF!</definedName>
    <definedName name="_Fill">#REF!</definedName>
    <definedName name="_Fill1">#REF!</definedName>
    <definedName name="_Fill2">#REF!</definedName>
    <definedName name="_GD2">{"'Sheet1'!$L$16"}</definedName>
    <definedName name="_Goi8" hidden="1">{"'Sheet1'!$L$16"}</definedName>
    <definedName name="_h1" hidden="1">{"'Sheet1'!$L$16"}</definedName>
    <definedName name="_hu1" hidden="1">{"'Sheet1'!$L$16"}</definedName>
    <definedName name="_hu2" hidden="1">{"'Sheet1'!$L$16"}</definedName>
    <definedName name="_hu5" hidden="1">{"'Sheet1'!$L$16"}</definedName>
    <definedName name="_hu57" hidden="1">{"'Sheet1'!$L$16"}</definedName>
    <definedName name="_hu6" hidden="1">{"'Sheet1'!$L$16"}</definedName>
    <definedName name="_huy1" hidden="1">{"'Sheet1'!$L$16"}</definedName>
    <definedName name="_huy2" hidden="1">{"'Sheet1'!$L$16"}</definedName>
    <definedName name="_Key1">#REF!</definedName>
    <definedName name="_KEY12">#REF!</definedName>
    <definedName name="_Key2">#REF!</definedName>
    <definedName name="_keydd" hidden="1">#REF!</definedName>
    <definedName name="_KH12">#REF!</definedName>
    <definedName name="_Km36">#REF!</definedName>
    <definedName name="_Knc1">#REF!</definedName>
    <definedName name="_Knc36">#REF!</definedName>
    <definedName name="_Knc57">#REF!</definedName>
    <definedName name="_Kvl36">#REF!</definedName>
    <definedName name="_lan1" hidden="1">{#N/A,#N/A,TRUE,"BT M200 da 10x20"}</definedName>
    <definedName name="_Lan2" hidden="1">{"'Sheet1'!$L$16"}</definedName>
    <definedName name="_LAN3">{"'Sheet1'!$L$16"}</definedName>
    <definedName name="_ldp7201">#REF!</definedName>
    <definedName name="_LDP7901">#REF!</definedName>
    <definedName name="_lk2">{"'Sheet1'!$L$16"}</definedName>
    <definedName name="_LN1">#REF!</definedName>
    <definedName name="_lop111">#REF!</definedName>
    <definedName name="_lr2">#REF!</definedName>
    <definedName name="_MatInverse_In">#REF!</definedName>
    <definedName name="_MCC3">#REF!</definedName>
    <definedName name="_NO1">#REF!</definedName>
    <definedName name="_NO2">#REF!</definedName>
    <definedName name="_nso1" hidden="1">{"'Sheet1'!$L$16"}</definedName>
    <definedName name="_NSO2" hidden="1">{"'Sheet1'!$L$16"}</definedName>
    <definedName name="_Order1" hidden="1">255</definedName>
    <definedName name="_Order2" hidden="1">255</definedName>
    <definedName name="_p06">{"'Sheet1'!$L$16"}</definedName>
    <definedName name="_P3">#REF!</definedName>
    <definedName name="_PA3" hidden="1">{"'Sheet1'!$L$16"}</definedName>
    <definedName name="_Parse_In">#REF!</definedName>
    <definedName name="_Parse_Out">#REF!</definedName>
    <definedName name="_pm1">#REF!</definedName>
    <definedName name="_pm2">#REF!</definedName>
    <definedName name="_pm3">#REF!</definedName>
    <definedName name="_pm4">#REF!</definedName>
    <definedName name="_pm5">#REF!</definedName>
    <definedName name="_PPP3">#REF!</definedName>
    <definedName name="_PPP33">#REF!</definedName>
    <definedName name="_ppp34">#REF!</definedName>
    <definedName name="_ppp3444">#REF!</definedName>
    <definedName name="_QLO7">#REF!</definedName>
    <definedName name="_Regression_Out">#REF!</definedName>
    <definedName name="_Regression_X">#REF!</definedName>
    <definedName name="_Regression_Y">#REF!</definedName>
    <definedName name="_REV1">#REF!</definedName>
    <definedName name="_SCL4" hidden="1">{"'Sheet1'!$L$16"}</definedName>
    <definedName name="_Sort">#REF!</definedName>
    <definedName name="_Sortmoi">#REF!</definedName>
    <definedName name="_SXT3">#REF!</definedName>
    <definedName name="_sxt6">#REF!</definedName>
    <definedName name="_T1">#REF!</definedName>
    <definedName name="_t12">#REF!</definedName>
    <definedName name="_T3" hidden="1">{"'Sheet1'!$L$16"}</definedName>
    <definedName name="_Table1_In1">#REF!</definedName>
    <definedName name="_Table1_Out">#REF!</definedName>
    <definedName name="_Table2_In1">#REF!</definedName>
    <definedName name="_Table2_Out">#REF!</definedName>
    <definedName name="_td1">{"'Sheet1'!$L$16"}</definedName>
    <definedName name="_tt3" hidden="1">{"'Sheet1'!$L$16"}</definedName>
    <definedName name="_ttt1" hidden="1">{"'Sheet1'!$L$16"}</definedName>
    <definedName name="_tu4" hidden="1">{"'Sheet1'!$L$16"}</definedName>
    <definedName name="_UI33" hidden="1">{"'Sheet1'!$L$16"}</definedName>
    <definedName name="_Unknown_User_Defined_Name_0">#REF!</definedName>
    <definedName name="_Unknown_User_Defined_Name_1">#REF!</definedName>
    <definedName name="_Unknown_User_Defined_Name_2">#REF!</definedName>
    <definedName name="_Unknown_User_Defined_Name_3">#REF!</definedName>
    <definedName name="_up2">#REF!</definedName>
    <definedName name="_XB2">#REF!</definedName>
    <definedName name="¸df" hidden="1">#REF!</definedName>
    <definedName name="A">#REF!</definedName>
    <definedName name="a129_xoa">#REF!</definedName>
    <definedName name="a129_xoaxoa">#REF!</definedName>
    <definedName name="a130_xoa">#REF!</definedName>
    <definedName name="a130_xoaxoa">#REF!</definedName>
    <definedName name="a3e32">#REF!</definedName>
    <definedName name="aa">#REF!</definedName>
    <definedName name="AAA">#REF!</definedName>
    <definedName name="aaaa">#REF!</definedName>
    <definedName name="aaaaaa">#REF!</definedName>
    <definedName name="aaaaaaaaaaaaaaaa">#REF!</definedName>
    <definedName name="aaag">#REF!</definedName>
    <definedName name="ÀASA" hidden="1">{"'Sheet1'!$L$16"}</definedName>
    <definedName name="AAX">#REF!</definedName>
    <definedName name="ab">#REF!</definedName>
    <definedName name="ABAB">#REF!</definedName>
    <definedName name="abbsite">#REF!</definedName>
    <definedName name="abbsite_dt">#REF!</definedName>
    <definedName name="abbsite_pt">#REF!</definedName>
    <definedName name="ABC">#REF!</definedName>
    <definedName name="abcd">#REF!</definedName>
    <definedName name="abxzsss">#REF!</definedName>
    <definedName name="AccessDatabase" hidden="1">"C:\My Documents\HAU\Danhsach\List Cpn.mdb"</definedName>
    <definedName name="ACDA">#REF!</definedName>
    <definedName name="Acell" hidden="1">INDIRECT(ADDRESS(ROW(),COLUMN()))</definedName>
    <definedName name="AD">#REF!</definedName>
    <definedName name="ÁD" hidden="1">#REF!</definedName>
    <definedName name="ada">#REF!</definedName>
    <definedName name="adadadad">#REF!</definedName>
    <definedName name="ÁDAF" hidden="1">{"'Sheet1'!$L$16"}</definedName>
    <definedName name="adasasdda">#REF!</definedName>
    <definedName name="ADC">#REF!</definedName>
    <definedName name="ADCD">#REF!</definedName>
    <definedName name="ade">#REF!</definedName>
    <definedName name="ÁDF">#REF!</definedName>
    <definedName name="adfdda">#REF!</definedName>
    <definedName name="adfghkk">#REF!</definedName>
    <definedName name="ADG">#REF!</definedName>
    <definedName name="ádsấ">#REF!</definedName>
    <definedName name="adsadsa">#REF!</definedName>
    <definedName name="adsdghtyyuiui">#REF!</definedName>
    <definedName name="adv1_dt">#REF!</definedName>
    <definedName name="adv1_end">#REF!</definedName>
    <definedName name="adv1_pt">#REF!</definedName>
    <definedName name="adv1_start">#REF!</definedName>
    <definedName name="adv1_start_dt">#REF!</definedName>
    <definedName name="adv1_start_pt">#REF!</definedName>
    <definedName name="adv2_dt">#REF!</definedName>
    <definedName name="adv2_end">#REF!</definedName>
    <definedName name="adv2_pt">#REF!</definedName>
    <definedName name="adv2_start">#REF!</definedName>
    <definedName name="adv2_start_dt">#REF!</definedName>
    <definedName name="adv2_start_pt">#REF!</definedName>
    <definedName name="advass" hidden="1">{"'Sheet1'!$L$16"}</definedName>
    <definedName name="aerhs">#REF!</definedName>
    <definedName name="aesde">#REF!</definedName>
    <definedName name="AEWWQAFDASF" hidden="1">{"'Sheet1'!$L$16"}</definedName>
    <definedName name="afaf" hidden="1">{#N/A,#N/A,FALSE,"Chi tiÆt"}</definedName>
    <definedName name="afasd">#REF!</definedName>
    <definedName name="afasfsagfas">#REF!</definedName>
    <definedName name="afd">#REF!</definedName>
    <definedName name="AFDA">#REF!</definedName>
    <definedName name="AFDFD">#REF!</definedName>
    <definedName name="afff" hidden="1">{"'Sheet1'!$L$16"}</definedName>
    <definedName name="ĂFRSGDF" hidden="1">{"'Sheet1'!$L$16"}</definedName>
    <definedName name="AGE" hidden="1">{"'Sheet1'!$L$16"}</definedName>
    <definedName name="ầgfabg">#REF!</definedName>
    <definedName name="ahah" hidden="1">{"'Sheet1'!$L$16"}</definedName>
    <definedName name="ahajdks" hidden="1">{"'Sheet1'!$L$16"}</definedName>
    <definedName name="ak">#REF!</definedName>
    <definedName name="ALCKDGH">#REF!</definedName>
    <definedName name="ALPH">#REF!</definedName>
    <definedName name="anh">#REF!</definedName>
    <definedName name="anh\">{"'Sheet1'!$L$16"}</definedName>
    <definedName name="anscount" hidden="1">1</definedName>
    <definedName name="Antoan">{"'Sheet1'!$L$16"}</definedName>
    <definedName name="AQWS">#REF!</definedName>
    <definedName name="AS">#REF!</definedName>
    <definedName name="AS2DocOpenMode" hidden="1">"AS2DocumentEdit"</definedName>
    <definedName name="AS2ReportLS">1</definedName>
    <definedName name="AS2StaticLS">#REF!</definedName>
    <definedName name="AS2SyncStepLS">0</definedName>
    <definedName name="AS2TickmarkLS">#REF!</definedName>
    <definedName name="AS2VersionLS">300</definedName>
    <definedName name="asas">#REF!</definedName>
    <definedName name="ASD">#REF!</definedName>
    <definedName name="asdada">#REF!</definedName>
    <definedName name="ASDAS">#REF!</definedName>
    <definedName name="asdccccc">#REF!</definedName>
    <definedName name="asdf">#REF!</definedName>
    <definedName name="asdfa">#REF!</definedName>
    <definedName name="asdfas" hidden="1">#REF!</definedName>
    <definedName name="ASEW" hidden="1">{"'Sheet1'!$L$16"}</definedName>
    <definedName name="asfas">#REF!</definedName>
    <definedName name="asGDBhsN" hidden="1">{"'Sheet1'!$L$16"}</definedName>
    <definedName name="asghjjjj">#REF!</definedName>
    <definedName name="asq" hidden="1">{"'Sheet1'!$L$16"}</definedName>
    <definedName name="assss">#REF!</definedName>
    <definedName name="asssss">#REF!</definedName>
    <definedName name="aswd" hidden="1">{"'Sheet1'!$L$16"}</definedName>
    <definedName name="AT">#REF!</definedName>
    <definedName name="atdakdh" hidden="1">#REF!</definedName>
    <definedName name="ATGT" hidden="1">{"'Sheet1'!$L$16"}</definedName>
    <definedName name="atien1" hidden="1">{"'Sheet1'!$L$16"}</definedName>
    <definedName name="ATW">#REF!</definedName>
    <definedName name="avađsf">#REF!</definedName>
    <definedName name="awegw" hidden="1">{#N/A,#N/A,TRUE,"BT M200 da 10x20"}</definedName>
    <definedName name="aws">#REF!</definedName>
    <definedName name="B">#REF!</definedName>
    <definedName name="BacKan">#REF!</definedName>
    <definedName name="BANGGIA">#REF!</definedName>
    <definedName name="BANGGIA1">#REF!</definedName>
    <definedName name="BAVF" hidden="1">{"'Sheet1'!$L$16"}</definedName>
    <definedName name="BB">#REF!</definedName>
    <definedName name="bbanbnn">#REF!</definedName>
    <definedName name="BBB" hidden="1">{"'Sheet1'!$L$16"}</definedName>
    <definedName name="BBgach">{"'Sheet1'!$L$16"}</definedName>
    <definedName name="bbv">#REF!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FD">#REF!</definedName>
    <definedName name="BFDBRBSD" hidden="1">{"NGUYEN QUI THIEP - Personal View",#N/A,FALSE,"XDCB.HT.FUR."}</definedName>
    <definedName name="BFSBFD" hidden="1">{"'Sheet1'!$L$16"}</definedName>
    <definedName name="BG">#REF!</definedName>
    <definedName name="BG_Del">15</definedName>
    <definedName name="BG_Ins">4</definedName>
    <definedName name="BG_Mod">6</definedName>
    <definedName name="BGFNC" hidden="1">{"'Sheet1'!$L$16"}</definedName>
    <definedName name="Bgiang" hidden="1">{"'Sheet1'!$L$16"}</definedName>
    <definedName name="BGSFGSD" hidden="1">{"'Sheet1'!$L$16"}</definedName>
    <definedName name="Bhthang4">#REF!</definedName>
    <definedName name="bhthang5">#REF!</definedName>
    <definedName name="BIGC">#REF!</definedName>
    <definedName name="Bike">#REF!</definedName>
    <definedName name="Binh" hidden="1">{"'Sheet1'!$L$16"}</definedName>
    <definedName name="BM">#REF!</definedName>
    <definedName name="BMS" hidden="1">{"'Sheet1'!$L$16"}</definedName>
    <definedName name="BN">#REF!</definedName>
    <definedName name="BOQCongtruong">#REF!</definedName>
    <definedName name="BREAK">#REF!</definedName>
    <definedName name="BSA" hidden="1">{"'Sheet1'!$L$16"}</definedName>
    <definedName name="BSFSDBVSD" hidden="1">{"'Sheet1'!$L$16"}</definedName>
    <definedName name="btdc2">#REF!</definedName>
    <definedName name="btl" hidden="1">{"'Sheet1'!$L$16"}</definedName>
    <definedName name="bvhjggj">#REF!</definedName>
    <definedName name="BXBXCBC" hidden="1">{"'Sheet1'!$L$16"}</definedName>
    <definedName name="CA">#REF!</definedName>
    <definedName name="CẪ" hidden="1">{"'Sheet1'!$L$16"}</definedName>
    <definedName name="cald">#REF!</definedName>
    <definedName name="camsw">#REF!</definedName>
    <definedName name="CARL">#REF!</definedName>
    <definedName name="CARL1">#REF!</definedName>
    <definedName name="CARL2">#REF!</definedName>
    <definedName name="cccc">#REF!</definedName>
    <definedName name="CCM">#REF!</definedName>
    <definedName name="CD">#REF!</definedName>
    <definedName name="CDFRRR">#REF!</definedName>
    <definedName name="cdfrt">#REF!</definedName>
    <definedName name="cds">#REF!</definedName>
    <definedName name="cdt">#REF!</definedName>
    <definedName name="cfddddd">#REF!</definedName>
    <definedName name="CHAIN">#REF!</definedName>
    <definedName name="chitietbgiang2" hidden="1">{"'Sheet1'!$L$16"}</definedName>
    <definedName name="CHO">#REF!</definedName>
    <definedName name="CHO.J">#REF!</definedName>
    <definedName name="CHOJ">#REF!</definedName>
    <definedName name="CHOJU">#REF!</definedName>
    <definedName name="chosd">#REF!</definedName>
    <definedName name="chot3" hidden="1">{"'Sheet1'!$L$16"}</definedName>
    <definedName name="chottda" hidden="1">{"'Sheet1'!$L$16"}</definedName>
    <definedName name="chuyen" hidden="1">{"'Sheet1'!$L$16"}</definedName>
    <definedName name="cjh">#REF!</definedName>
    <definedName name="CMC" hidden="1">{"'Sheet1'!$L$16"}</definedName>
    <definedName name="cnjfnbnn">#REF!</definedName>
    <definedName name="COAT">#REF!</definedName>
    <definedName name="coba">#REF!</definedName>
    <definedName name="Coc_60">{"'Sheet1'!$L$16"}</definedName>
    <definedName name="Code">#REF!</definedName>
    <definedName name="Column">#REF!</definedName>
    <definedName name="Company2013">#REF!</definedName>
    <definedName name="coping">#REF!</definedName>
    <definedName name="CP">#REF!</definedName>
    <definedName name="credit1">#REF!</definedName>
    <definedName name="credit1_dt">#REF!</definedName>
    <definedName name="credit1_end">#REF!</definedName>
    <definedName name="credit1_pt">#REF!</definedName>
    <definedName name="credit1_start">#REF!</definedName>
    <definedName name="credit1_start_dt">#REF!</definedName>
    <definedName name="credit1_start_pt">#REF!</definedName>
    <definedName name="credit2">#REF!</definedName>
    <definedName name="credit2_dt">#REF!</definedName>
    <definedName name="credit2_end">#REF!</definedName>
    <definedName name="credit2_pt">#REF!</definedName>
    <definedName name="credit2_start">#REF!</definedName>
    <definedName name="credit2_start_dt">#REF!</definedName>
    <definedName name="credit2_start_pt">#REF!</definedName>
    <definedName name="credit3">#REF!</definedName>
    <definedName name="credit3_dt">#REF!</definedName>
    <definedName name="credit3_end">#REF!</definedName>
    <definedName name="credit3_pt">#REF!</definedName>
    <definedName name="credit3_start">#REF!</definedName>
    <definedName name="credit3_start_dt">#REF!</definedName>
    <definedName name="credit3_start_pt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csdvdfvdfbdfbd">#REF!</definedName>
    <definedName name="CSODJWO">#REF!</definedName>
    <definedName name="ctct">{"'Sheet1'!$L$16"}</definedName>
    <definedName name="CTCT1" hidden="1">{"'Sheet1'!$L$16"}</definedName>
    <definedName name="ctctct">{"'Sheet1'!$L$16"}</definedName>
    <definedName name="CTGS">{"'Sheet1'!$L$16"}</definedName>
    <definedName name="ctrl">#REF!</definedName>
    <definedName name="cuong" hidden="1">{"'Sheet1'!$L$16"}</definedName>
    <definedName name="CVBCXBCV" hidden="1">{"'Sheet1'!$L$16"}</definedName>
    <definedName name="CVBGHNNJ">#REF!</definedName>
    <definedName name="CXVBGFHHG">#REF!</definedName>
    <definedName name="D">#REF!</definedName>
    <definedName name="Đ">#REF!</definedName>
    <definedName name="D1DUONG">#REF!</definedName>
    <definedName name="D1DUONG1">#REF!</definedName>
    <definedName name="da">#REF!</definedName>
    <definedName name="daa">#REF!</definedName>
    <definedName name="dad">#REF!</definedName>
    <definedName name="dada">#REF!</definedName>
    <definedName name="dadasda">#REF!</definedName>
    <definedName name="dadsws" hidden="1">{"'Sheet1'!$L$16"}</definedName>
    <definedName name="dafas" hidden="1">{#N/A,#N/A,TRUE,"BT M200 da 10x20"}</definedName>
    <definedName name="DAGA">#REF!</definedName>
    <definedName name="dasasasa" hidden="1">{"'Sheet1'!$L$16"}</definedName>
    <definedName name="dase">#REF!</definedName>
    <definedName name="daSFSSASADSD">#REF!</definedName>
    <definedName name="dat">#REF!</definedName>
    <definedName name="DATA">#REF!</definedName>
    <definedName name="data1">#REF!</definedName>
    <definedName name="data2">#REF!</definedName>
    <definedName name="data3">#REF!</definedName>
    <definedName name="_xlnm.Database" hidden="1">#REF!</definedName>
    <definedName name="davdacsa" hidden="1">{"'Sheet1'!$L$16"}</definedName>
    <definedName name="DBSDVSDVS" hidden="1">{"'Sheet1'!$L$16"}</definedName>
    <definedName name="dc" hidden="1">{"'Sheet1'!$L$16"}</definedName>
    <definedName name="DCFBGYYT">#REF!</definedName>
    <definedName name="dCuocVC_Bachang" hidden="1">#REF!</definedName>
    <definedName name="dda" hidden="1">{"'Sheet1'!$L$16"}</definedName>
    <definedName name="ddång" hidden="1">{"'Sheet1'!$L$16"}</definedName>
    <definedName name="ddd" hidden="1">{"'Sheet1'!$L$16"}</definedName>
    <definedName name="dddd">#REF!</definedName>
    <definedName name="ddddd" hidden="1">{"'Sheet1'!$L$16"}</definedName>
    <definedName name="dddddd">#REF!</definedName>
    <definedName name="DDDDDDDD">#REF!</definedName>
    <definedName name="DDDDDDDDDDDDDDDDDDDDDDDDDDDDDDDDDDDD">#REF!</definedName>
    <definedName name="ddggdg">#REF!</definedName>
    <definedName name="ddghhjjjj">#REF!</definedName>
    <definedName name="dÊd">#REF!</definedName>
    <definedName name="dede" hidden="1">{"'Sheet1'!$L$16"}</definedName>
    <definedName name="defef">#REF!</definedName>
    <definedName name="deviation">#REF!</definedName>
    <definedName name="DEWSLDW">#REF!</definedName>
    <definedName name="df">#REF!</definedName>
    <definedName name="DFA" hidden="1">#REF!</definedName>
    <definedName name="DFADFDA" hidden="1">{"'Sheet1'!$L$16"}</definedName>
    <definedName name="dfafa" hidden="1">{#N/A,#N/A,FALSE,"Chi tiÆt"}</definedName>
    <definedName name="dfcvddddds">#REF!</definedName>
    <definedName name="dfd">#REF!</definedName>
    <definedName name="DFDF">#REF!</definedName>
    <definedName name="DFDFDS">#REF!</definedName>
    <definedName name="DFDFGE" hidden="1">{#N/A,#N/A,FALSE,"Chi tiÆt"}</definedName>
    <definedName name="DFDFSADFA" hidden="1">{"NGUYEN QUI THIEP - Personal View",#N/A,FALSE,"XDCB.HT.FUR."}</definedName>
    <definedName name="DFDFSDFSD">#REF!</definedName>
    <definedName name="DFDSFA" hidden="1">{"'Sheet1'!$L$16"}</definedName>
    <definedName name="DFF">#REF!</definedName>
    <definedName name="dfgadfa" hidden="1">{#N/A,#N/A,TRUE,"BT M200 da 10x20"}</definedName>
    <definedName name="DFGASDFA" hidden="1">{"'Sheet1'!$L$16"}</definedName>
    <definedName name="dfgfdg">{"'Sheet1'!$L$16"}</definedName>
    <definedName name="DFGHFSGFDS" hidden="1">{"'Sheet1'!$L$16"}</definedName>
    <definedName name="dfgrgqrrrr">#REF!</definedName>
    <definedName name="dfgsdsdfe" hidden="1">{"'Sheet1'!$L$16"}</definedName>
    <definedName name="dfgzxdf">#REF!</definedName>
    <definedName name="dfret">#REF!</definedName>
    <definedName name="dfrgt">#REF!</definedName>
    <definedName name="dfrgthyyy">#REF!</definedName>
    <definedName name="dfs">#REF!</definedName>
    <definedName name="dfsdf">#REF!</definedName>
    <definedName name="DFSF">#REF!</definedName>
    <definedName name="DGD">#REF!</definedName>
    <definedName name="dgdjdkgd">#REF!</definedName>
    <definedName name="DGF">#REF!</definedName>
    <definedName name="DGFDG">#REF!</definedName>
    <definedName name="DGKL">#REF!</definedName>
    <definedName name="DGSEGWE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dhfsg">#REF!</definedName>
    <definedName name="DHSRHGR" hidden="1">{"'Sheet1'!$L$16"}</definedName>
    <definedName name="Discount">#REF!</definedName>
    <definedName name="DiscTab1">#REF!</definedName>
    <definedName name="display_area_2">#REF!</definedName>
    <definedName name="djhfytr">#REF!</definedName>
    <definedName name="dkdjhlajf">#REF!</definedName>
    <definedName name="dlff">#REF!</definedName>
    <definedName name="DMVT">#REF!</definedName>
    <definedName name="dn">#REF!</definedName>
    <definedName name="DN1_CT5" hidden="1">{"'Sheet1'!$L$16"}</definedName>
    <definedName name="DNCJFGHH">#REF!</definedName>
    <definedName name="DNTT">#REF!</definedName>
    <definedName name="Docso">#REF!</definedName>
    <definedName name="Domain">#REF!</definedName>
    <definedName name="dQlda_GdpVal" hidden="1">#N/A</definedName>
    <definedName name="dQlda_GtongVal" hidden="1">#N/A</definedName>
    <definedName name="dQlda_GxlGtbVal" hidden="1">dQlda_GxlVal+dQlda_GtbVal</definedName>
    <definedName name="DR">#REF!</definedName>
    <definedName name="ds">#REF!</definedName>
    <definedName name="dsa" hidden="1">{#N/A,#N/A,FALSE,"Chi tiÆt"}</definedName>
    <definedName name="dsaaee" hidden="1">{"'Sheet1'!$L$16"}</definedName>
    <definedName name="dsasdasdasd">#REF!</definedName>
    <definedName name="DSCFDRE">#REF!</definedName>
    <definedName name="dsd">{"'Sheet1'!$L$16"}</definedName>
    <definedName name="dsddd">#REF!</definedName>
    <definedName name="dsdsd">#REF!</definedName>
    <definedName name="dse" hidden="1">{"'Sheet1'!$L$16"}</definedName>
    <definedName name="dsewrtgy">#REF!</definedName>
    <definedName name="dsfd">#REF!</definedName>
    <definedName name="dsfds">#REF!</definedName>
    <definedName name="dsgfhtyjjt">#REF!</definedName>
    <definedName name="DSJKLDE">#REF!</definedName>
    <definedName name="dss">#REF!</definedName>
    <definedName name="dt">#REF!</definedName>
    <definedName name="dtdt">#REF!</definedName>
    <definedName name="dthft">{"'Sheet1'!$L$16"}</definedName>
    <definedName name="dTHKP_Rng" hidden="1">#REF!</definedName>
    <definedName name="DTMG_vumua">#REF!</definedName>
    <definedName name="DTTK">{"'Sheet1'!$L$16"}</definedName>
    <definedName name="duc" hidden="1">{"'Sheet1'!$L$16"}</definedName>
    <definedName name="DucO" hidden="1">{"'Sheet1'!$L$16"}</definedName>
    <definedName name="DUCT">#REF!</definedName>
    <definedName name="dumbwaiter">#REF!</definedName>
    <definedName name="duong">{"'Sheet1'!$L$16"}</definedName>
    <definedName name="dutruchiphi">#REF!</definedName>
    <definedName name="DVGEWVBEW" hidden="1">{"'Sheet1'!$L$16"}</definedName>
    <definedName name="DWPRICE">#REF!</definedName>
    <definedName name="dwqwq">#REF!</definedName>
    <definedName name="E">#REF!</definedName>
    <definedName name="É" hidden="1">{"'Sheet1'!$L$16"}</definedName>
    <definedName name="Ẻ">#REF!</definedName>
    <definedName name="ED">#REF!</definedName>
    <definedName name="edffgggg">#REF!</definedName>
    <definedName name="edssqq">#REF!</definedName>
    <definedName name="edwfrhjy">#REF!</definedName>
    <definedName name="ee">#REF!</definedName>
    <definedName name="eed">#REF!</definedName>
    <definedName name="eee" hidden="1">{"'Sheet1'!$L$16"}</definedName>
    <definedName name="eeeee">#REF!</definedName>
    <definedName name="eeeeeeeeeee">#REF!</definedName>
    <definedName name="eerefdg">#REF!</definedName>
    <definedName name="EFFFEFFF">#REF!</definedName>
    <definedName name="ẻger" hidden="1">{#N/A,#N/A,TRUE,"BT M200 da 10x20"}</definedName>
    <definedName name="ẻgwe" hidden="1">{"'Sheet1'!$L$16"}</definedName>
    <definedName name="ẻgwrq" hidden="1">#REF!</definedName>
    <definedName name="EK">#REF!</definedName>
    <definedName name="ELLEN1">#REF!</definedName>
    <definedName name="ELLEN10">#REF!</definedName>
    <definedName name="ELLEN11">#REF!</definedName>
    <definedName name="ELLEN12">#REF!</definedName>
    <definedName name="ELLEN13">#REF!</definedName>
    <definedName name="ELLEN14">#REF!</definedName>
    <definedName name="ELLEN15">#REF!</definedName>
    <definedName name="ELLEN16">#REF!</definedName>
    <definedName name="ELLEN17">#REF!</definedName>
    <definedName name="ELLEN18">#REF!</definedName>
    <definedName name="ELLEN19">#REF!</definedName>
    <definedName name="ELLEN2">#REF!</definedName>
    <definedName name="ELLEN3">#REF!</definedName>
    <definedName name="ELLEN4">#REF!</definedName>
    <definedName name="ELLEN5">#REF!</definedName>
    <definedName name="ELLEN6">#REF!</definedName>
    <definedName name="ELLEN7">#REF!</definedName>
    <definedName name="ELLEN8">#REF!</definedName>
    <definedName name="ELLEN9">#REF!</definedName>
    <definedName name="eng">#REF!</definedName>
    <definedName name="eng_dt">#REF!</definedName>
    <definedName name="eng_pt">#REF!</definedName>
    <definedName name="ÊR" hidden="1">{"'Sheet1'!$L$16"}</definedName>
    <definedName name="erewaf">#REF!</definedName>
    <definedName name="ERQW" hidden="1">#REF!</definedName>
    <definedName name="ERR">#REF!</definedName>
    <definedName name="erw">#REF!</definedName>
    <definedName name="erwe">#REF!</definedName>
    <definedName name="eryhrtgabqergerggbvrth">#REF!</definedName>
    <definedName name="ẺTWTW" hidden="1">{"'Sheet1'!$L$16"}</definedName>
    <definedName name="ew" hidden="1">{"'Sheet1'!$L$16"}</definedName>
    <definedName name="ÈW">#REF!</definedName>
    <definedName name="EWEREWRE" hidden="1">{"'Sheet1'!$L$16"}</definedName>
    <definedName name="ẺWERWE" hidden="1">{"'Sheet1'!$L$16"}</definedName>
    <definedName name="ewfawg" hidden="1">#REF!</definedName>
    <definedName name="EWFS">#REF!</definedName>
    <definedName name="ex">#REF!</definedName>
    <definedName name="Excavati">#REF!</definedName>
    <definedName name="Excel">#REF!</definedName>
    <definedName name="F">#REF!</definedName>
    <definedName name="F5TF">#REF!</definedName>
    <definedName name="FADHAFH">#REF!</definedName>
    <definedName name="FAFA" hidden="1">{"'Sheet1'!$L$16"}</definedName>
    <definedName name="FASDFA" hidden="1">#REF!</definedName>
    <definedName name="FASFA" hidden="1">{"'Sheet1'!$L$16"}</definedName>
    <definedName name="FBCB">#REF!</definedName>
    <definedName name="FBSEEBASD" hidden="1">{"'Sheet1'!$L$16"}</definedName>
    <definedName name="FCode">#REF!</definedName>
    <definedName name="fd" hidden="1">{"'Sheet1'!$L$16"}</definedName>
    <definedName name="FDA">#REF!</definedName>
    <definedName name="fdcvgfty">#REF!</definedName>
    <definedName name="FDED">#REF!</definedName>
    <definedName name="FDF">#REF!</definedName>
    <definedName name="fdfd">#REF!</definedName>
    <definedName name="FDFDSF">#REF!</definedName>
    <definedName name="fdfs">#REF!</definedName>
    <definedName name="fdfs2">#REF!</definedName>
    <definedName name="fdfsdfs">#REF!</definedName>
    <definedName name="fdfsf">#REF!</definedName>
    <definedName name="FDGDGDF">#REF!</definedName>
    <definedName name="fdgfgjghhk">#REF!</definedName>
    <definedName name="fdgssda" hidden="1">{"'Sheet1'!$L$16"}</definedName>
    <definedName name="fdsfds">#REF!</definedName>
    <definedName name="fdsff" hidden="1">{"'Sheet1'!$L$16"}</definedName>
    <definedName name="fdy">#REF!</definedName>
    <definedName name="FEDSBSD" hidden="1">{"'Sheet1'!$L$16"}</definedName>
    <definedName name="FERQAA" hidden="1">{"'Sheet1'!$L$16"}</definedName>
    <definedName name="ff">#REF!</definedName>
    <definedName name="FFDFG">#REF!</definedName>
    <definedName name="fff" hidden="1">{"'Sheet1'!$L$16"}</definedName>
    <definedName name="FFFF" hidden="1">{"'Sheet1'!$L$16"}</definedName>
    <definedName name="ffffd">#REF!</definedName>
    <definedName name="FFMNQUJQ">#REF!</definedName>
    <definedName name="fg">#REF!</definedName>
    <definedName name="FGDFHG" hidden="1">{"'Sheet1'!$L$16"}</definedName>
    <definedName name="FGDV">#REF!</definedName>
    <definedName name="FGF">#REF!</definedName>
    <definedName name="fgff">#REF!</definedName>
    <definedName name="fgfg">#REF!</definedName>
    <definedName name="fgfh">#REF!</definedName>
    <definedName name="fgh">#REF!</definedName>
    <definedName name="fghbys">#REF!</definedName>
    <definedName name="FGHDGFHDF" hidden="1">{"'Sheet1'!$L$16"}</definedName>
    <definedName name="FGHDGHD" hidden="1">{"'Sheet1'!$L$16"}</definedName>
    <definedName name="fghfd">#REF!</definedName>
    <definedName name="FGHRGS" hidden="1">{"NGUYEN QUI THIEP - Personal View",#N/A,FALSE,"XDCB.HT.FUR."}</definedName>
    <definedName name="fghytr">#REF!</definedName>
    <definedName name="FGJFGH" hidden="1">{"'Sheet1'!$L$16"}</definedName>
    <definedName name="FGNFGNFGNF" hidden="1">{"NGUYEN QUI THIEP - Personal View",#N/A,FALSE,"XDCB.HT.FUR."}</definedName>
    <definedName name="fgsdaa" hidden="1">{#N/A,#N/A,TRUE,"BT M200 da 10x20"}</definedName>
    <definedName name="fh">#REF!</definedName>
    <definedName name="FHJHJHG" hidden="1">{"'Sheet1'!$L$16"}</definedName>
    <definedName name="fill">#REF!</definedName>
    <definedName name="FILLL">#REF!</definedName>
    <definedName name="FOR">#REF!</definedName>
    <definedName name="FORMAT">#REF!</definedName>
    <definedName name="FP">#REF!</definedName>
    <definedName name="FQWERWE">#REF!</definedName>
    <definedName name="FQWFF">#REF!</definedName>
    <definedName name="fr">#REF!</definedName>
    <definedName name="fr_end">#REF!</definedName>
    <definedName name="fr_start">#REF!</definedName>
    <definedName name="fre" hidden="1">{"'Sheet1'!$L$16"}</definedName>
    <definedName name="FRGTHGFRT">#REF!</definedName>
    <definedName name="FRWDS" hidden="1">{"'Sheet1'!$L$16"}</definedName>
    <definedName name="frwrw">#REF!</definedName>
    <definedName name="fsdf">#REF!</definedName>
    <definedName name="fsdfdsf">{"'Sheet1'!$L$16"}</definedName>
    <definedName name="FSDFSDF">#REF!</definedName>
    <definedName name="fsdfsdfsdfs">{"'Sheet1'!$L$16"}</definedName>
    <definedName name="fsdfsf">#REF!</definedName>
    <definedName name="fsf">#REF!</definedName>
    <definedName name="fsfs">#REF!</definedName>
    <definedName name="fsfsfdd" hidden="1">{"'Sheet1'!$L$16"}</definedName>
    <definedName name="ftgfg">#REF!</definedName>
    <definedName name="fu">#REF!</definedName>
    <definedName name="FUCK">#REF!</definedName>
    <definedName name="FULL">#REF!</definedName>
    <definedName name="fvcgfdr">#REF!</definedName>
    <definedName name="fwef">#REF!</definedName>
    <definedName name="FXBFXB" hidden="1">{"'Sheet1'!$L$16"}</definedName>
    <definedName name="g" hidden="1">{"'Sheet1'!$L$16"}</definedName>
    <definedName name="ga" hidden="1">{"'Sheet1'!$L$16"}</definedName>
    <definedName name="GADGAFDH">#REF!</definedName>
    <definedName name="GAGA">#REF!</definedName>
    <definedName name="găgawg" hidden="1">#REF!</definedName>
    <definedName name="GD">#REF!</definedName>
    <definedName name="gdb">#REF!</definedName>
    <definedName name="GDFG">#REF!</definedName>
    <definedName name="gdfgds">#REF!</definedName>
    <definedName name="GDG">#REF!</definedName>
    <definedName name="GDRFHDF" hidden="1">{"'Sheet1'!$L$16"}</definedName>
    <definedName name="ge" hidden="1">{"'Sheet1'!$L$16"}</definedName>
    <definedName name="gể4">#REF!</definedName>
    <definedName name="gegE">#REF!</definedName>
    <definedName name="GÈGEWG" hidden="1">{"'Sheet1'!$L$16"}</definedName>
    <definedName name="gẻgweg" hidden="1">#REF!</definedName>
    <definedName name="GEWGEW" hidden="1">{"'Sheet1'!$L$16"}</definedName>
    <definedName name="gfbb" hidden="1">{"'Sheet1'!$L$16"}</definedName>
    <definedName name="GFBV" hidden="1">{"'Sheet1'!$L$16"}</definedName>
    <definedName name="GFDHG" hidden="1">{"NGUYEN QUI THIEP - Personal View",#N/A,FALSE,"XDCB.HT.FUR."}</definedName>
    <definedName name="gfeg">#REF!</definedName>
    <definedName name="GFF">#REF!</definedName>
    <definedName name="GFG">#REF!</definedName>
    <definedName name="gfgdfg">#REF!</definedName>
    <definedName name="gfgf">#REF!</definedName>
    <definedName name="gfh">#REF!</definedName>
    <definedName name="GFSDFSF" hidden="1">{"'Sheet1'!$L$16"}</definedName>
    <definedName name="gftrhgtrfhb">#REF!</definedName>
    <definedName name="GG">#REF!</definedName>
    <definedName name="GGG">#REF!</definedName>
    <definedName name="GGGGG">#REF!</definedName>
    <definedName name="GGIA">#REF!</definedName>
    <definedName name="ggsf">#REF!</definedName>
    <definedName name="GH">#REF!</definedName>
    <definedName name="GHGH">#REF!</definedName>
    <definedName name="ghhdsg">#REF!</definedName>
    <definedName name="ghhgfj">#REF!</definedName>
    <definedName name="ghjghjgh" hidden="1">#REF!</definedName>
    <definedName name="gi">#REF!</definedName>
    <definedName name="gÎ">#REF!</definedName>
    <definedName name="gjfge4">#REF!</definedName>
    <definedName name="gjfgvfh">#REF!</definedName>
    <definedName name="GJKHJFG" hidden="1">{"'Sheet1'!$L$16"}</definedName>
    <definedName name="GJKHK" hidden="1">{"'Sheet1'!$L$16"}</definedName>
    <definedName name="GKGHJH" hidden="1">{#N/A,#N/A,FALSE,"Chi tiÆt"}</definedName>
    <definedName name="GMG">#REF!</definedName>
    <definedName name="GNCBN" hidden="1">{"NGUYEN QUI THIEP - Personal View",#N/A,FALSE,"XDCB.HT.FUR."}</definedName>
    <definedName name="gndfd" hidden="1">{"'Sheet1'!$L$16"}</definedName>
    <definedName name="GNFKD">#REF!</definedName>
    <definedName name="gnytemy5">#REF!</definedName>
    <definedName name="grap_b">#REF!</definedName>
    <definedName name="grew">#REF!</definedName>
    <definedName name="grewgrhj">#REF!</definedName>
    <definedName name="grgeg" hidden="1">#REF!</definedName>
    <definedName name="GSGSD" hidden="1">{"'Sheet1'!$L$16"}</definedName>
    <definedName name="gt">{"'Sheet1'!$L$16"}</definedName>
    <definedName name="gtrfxjmjl" hidden="1">{"'Sheet1'!$L$16"}</definedName>
    <definedName name="GƯEGWEGED" hidden="1">{"'Sheet1'!$L$16"}</definedName>
    <definedName name="gwgw">#REF!</definedName>
    <definedName name="GYGY">#REF!</definedName>
    <definedName name="h" hidden="1">{"'Sheet1'!$L$16"}</definedName>
    <definedName name="h_xoa" hidden="1">{"'Sheet1'!$L$16"}</definedName>
    <definedName name="h_xoa2" hidden="1">{"'Sheet1'!$L$16"}</definedName>
    <definedName name="HA" hidden="1">{"'Sheet1'!$L$16"}</definedName>
    <definedName name="hai">#REF!</definedName>
    <definedName name="han">#REF!</definedName>
    <definedName name="hangmuc">#REF!</definedName>
    <definedName name="hanh" hidden="1">{"'Sheet1'!$L$16"}</definedName>
    <definedName name="HAO">#REF!</definedName>
    <definedName name="hàodajk" hidden="1">{"'Sheet1'!$L$16"}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" hidden="1">{"'Sheet1'!$L$16"}</definedName>
    <definedName name="hd">#REF!</definedName>
    <definedName name="HDFGHFD" hidden="1">{"'Sheet1'!$L$16"}</definedName>
    <definedName name="hdfhdh">#REF!</definedName>
    <definedName name="hdhgd">#REF!</definedName>
    <definedName name="hehdhdh">#REF!</definedName>
    <definedName name="hehehe">#REF!</definedName>
    <definedName name="hehgeh">#REF!</definedName>
    <definedName name="HẺHRE" hidden="1">{#N/A,#N/A,FALSE,"Chi tiÆt"}</definedName>
    <definedName name="HESO1">#REF!</definedName>
    <definedName name="HESO2">#REF!</definedName>
    <definedName name="HESO3">#REF!</definedName>
    <definedName name="HESO4">#REF!</definedName>
    <definedName name="HESO5">#REF!</definedName>
    <definedName name="HESO6">#REF!</definedName>
    <definedName name="HETH" hidden="1">{"'Sheet1'!$L$16"}</definedName>
    <definedName name="hethongthoatnuocngoainha">#REF!</definedName>
    <definedName name="HFGHFGHDG" hidden="1">{"'Sheet1'!$L$16"}</definedName>
    <definedName name="hfgk">#REF!</definedName>
    <definedName name="hfgsdf" hidden="1">{"'Sheet1'!$L$16"}</definedName>
    <definedName name="hg" hidden="1">{"'Sheet1'!$L$16"}</definedName>
    <definedName name="HGDHDFG" hidden="1">{"'Sheet1'!$L$16"}</definedName>
    <definedName name="hgf">#REF!</definedName>
    <definedName name="hgfagl">#REF!</definedName>
    <definedName name="HGFGJHG" hidden="1">{"'Sheet1'!$L$16"}</definedName>
    <definedName name="HGFH">#REF!</definedName>
    <definedName name="hgggggggggggggg" hidden="1">{"'Sheet1'!$L$16"}</definedName>
    <definedName name="hgtgftryt" hidden="1">{"'Sheet1'!$L$16"}</definedName>
    <definedName name="hhb" hidden="1">{"'Sheet1'!$L$16"}</definedName>
    <definedName name="hhh">#REF!</definedName>
    <definedName name="hhhhh">#REF!</definedName>
    <definedName name="HHHHHH">#REF!</definedName>
    <definedName name="HiddenRows">#REF!</definedName>
    <definedName name="HIGH">#REF!</definedName>
    <definedName name="HJFGHGDH" hidden="1">{"NGUYEN QUI THIEP - Personal View",#N/A,FALSE,"XDCB.HT.FUR."}</definedName>
    <definedName name="HJHH">#REF!</definedName>
    <definedName name="HJTHE" hidden="1">{"'Sheet1'!$L$16"}</definedName>
    <definedName name="HKJHJ">#REF!</definedName>
    <definedName name="hkkkfd">{"'Sheet1'!$L$16"}</definedName>
    <definedName name="HMFDFG" hidden="1">{"'Sheet1'!$L$16"}</definedName>
    <definedName name="HMFGMFG" hidden="1">{"'Sheet1'!$L$16"}</definedName>
    <definedName name="HREHRE" hidden="1">{"'Sheet1'!$L$16"}</definedName>
    <definedName name="hrtt">#REF!</definedName>
    <definedName name="HTD">#REF!</definedName>
    <definedName name="hteye">#REF!</definedName>
    <definedName name="HTHTR" hidden="1">{"'Sheet1'!$L$16"}</definedName>
    <definedName name="htlm" hidden="1">{"'Sheet1'!$L$16"}</definedName>
    <definedName name="HTML_CodePage" hidden="1">950</definedName>
    <definedName name="HTML_Control" hidden="1">{"'Sheet1'!$L$16"}</definedName>
    <definedName name="html_control_xoa2" hidden="1">{"'Sheet1'!$L$16"}</definedName>
    <definedName name="HTML_Control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"C:\2689\Q\??\00q3961????PTA3??\MyHTML.htm"</definedName>
    <definedName name="HTML_Title" hidden="1">"00Q3961-SUM"</definedName>
    <definedName name="HTVBCVBGBB">#REF!</definedName>
    <definedName name="htwht">#REF!</definedName>
    <definedName name="htwshnb">#REF!</definedName>
    <definedName name="hu">{"'Sheet1'!$L$16"}</definedName>
    <definedName name="HUH">#REF!</definedName>
    <definedName name="HUHU">#REF!</definedName>
    <definedName name="HUHUH">#REF!</definedName>
    <definedName name="HUNG">#REF!</definedName>
    <definedName name="HUO">#REF!</definedName>
    <definedName name="huy" hidden="1">{"'Sheet1'!$L$16"}</definedName>
    <definedName name="huy_xoa" hidden="1">{"'Sheet1'!$L$16"}</definedName>
    <definedName name="huy_xoa2" hidden="1">{"'Sheet1'!$L$16"}</definedName>
    <definedName name="HUYØ" hidden="1">{"'Sheet1'!$L$16"}</definedName>
    <definedName name="hvac1">#REF!</definedName>
    <definedName name="hy" hidden="1">{"'Sheet1'!$L$16"}</definedName>
    <definedName name="Ìag">{"'Sheet1'!$L$16"}</definedName>
    <definedName name="iii" hidden="1">{"'Sheet1'!$L$16"}</definedName>
    <definedName name="Inc">#REF!</definedName>
    <definedName name="IO">#REF!</definedName>
    <definedName name="ityityit">#REF!</definedName>
    <definedName name="iutrir">#REF!</definedName>
    <definedName name="J">#REF!</definedName>
    <definedName name="j\" hidden="1">#REF!</definedName>
    <definedName name="JDFHDH" hidden="1">{"'Sheet1'!$L$16"}</definedName>
    <definedName name="jfgjfjfj">#REF!</definedName>
    <definedName name="JFH">#REF!</definedName>
    <definedName name="JFJFGHG" hidden="1">{"'Sheet1'!$L$16"}</definedName>
    <definedName name="JGHJFHJJ" hidden="1">{"'Sheet1'!$L$16"}</definedName>
    <definedName name="JGJ">#REF!</definedName>
    <definedName name="jhakjhskjd">#REF!</definedName>
    <definedName name="JHG">#REF!</definedName>
    <definedName name="JHGH">#REF!</definedName>
    <definedName name="jhn" hidden="1">{"'Sheet1'!$L$16"}</definedName>
    <definedName name="jjjjjjjjjjjjj">{"'Sheet1'!$L$16"}</definedName>
    <definedName name="JKDFSJCSDKJ">#REF!</definedName>
    <definedName name="JKH">#REF!</definedName>
    <definedName name="jkjk" hidden="1">#REF!</definedName>
    <definedName name="JRY" hidden="1">{"'Sheet1'!$L$16"}</definedName>
    <definedName name="JTDEYW" hidden="1">{"'Sheet1'!$L$16"}</definedName>
    <definedName name="jtrujt">#REF!</definedName>
    <definedName name="jyemkuek">#REF!</definedName>
    <definedName name="JYJYTJYT" hidden="1">{"NGUYEN QUI THIEP - Personal View",#N/A,FALSE,"XDCB.HT.FUR."}</definedName>
    <definedName name="jytdj">#REF!</definedName>
    <definedName name="k">#REF!</definedName>
    <definedName name="K.viecBAHUNG" hidden="1">{"'Sheet1'!$L$16"}</definedName>
    <definedName name="k_xoa">#REF!</definedName>
    <definedName name="k_xoa2">#REF!</definedName>
    <definedName name="K2_K2">#REF!</definedName>
    <definedName name="ke" hidden="1">#REF!</definedName>
    <definedName name="KFTCGN" hidden="1">{"'Sheet1'!$L$16"}</definedName>
    <definedName name="KHGDFKHGFJKGF" hidden="1">#REF!</definedName>
    <definedName name="kj">#REF!</definedName>
    <definedName name="kjoh">#REF!</definedName>
    <definedName name="kk">#REF!</definedName>
    <definedName name="KLduonggiaods">{"'Sheet1'!$L$16"}</definedName>
    <definedName name="klhkl">#REF!</definedName>
    <definedName name="klkklk">#REF!</definedName>
    <definedName name="KLLT">#REF!</definedName>
    <definedName name="KNDAT_CHUA_SU_DUNG">#REF!</definedName>
    <definedName name="ks" hidden="1">{"'Sheet1'!$L$16"}</definedName>
    <definedName name="ksbn" hidden="1">{"'Sheet1'!$L$16"}</definedName>
    <definedName name="kshn" hidden="1">{"'Sheet1'!$L$16"}</definedName>
    <definedName name="ksls" hidden="1">{"'Sheet1'!$L$16"}</definedName>
    <definedName name="Kye" hidden="1">#REF!</definedName>
    <definedName name="KYUKGH" hidden="1">{"'Sheet1'!$L$16"}</definedName>
    <definedName name="LA1_EN02">#REF!</definedName>
    <definedName name="LA1_EN11">#REF!</definedName>
    <definedName name="LA1_EN20">#REF!</definedName>
    <definedName name="lab">#REF!</definedName>
    <definedName name="lab_dt">#REF!</definedName>
    <definedName name="lab_pt">#REF!</definedName>
    <definedName name="LAI">#REF!</definedName>
    <definedName name="lan">#REF!</definedName>
    <definedName name="langson" hidden="1">{"'Sheet1'!$L$16"}</definedName>
    <definedName name="le" hidden="1">{"'Sheet1'!$L$16"}</definedName>
    <definedName name="LEEEE">#REF!</definedName>
    <definedName name="LG">#REF!</definedName>
    <definedName name="LJHMN" hidden="1">{"'Sheet1'!$L$16"}</definedName>
    <definedName name="ljkㅏㅎ">#REF!</definedName>
    <definedName name="ljl">#REF!</definedName>
    <definedName name="LLEE">#REF!</definedName>
    <definedName name="lll">#REF!</definedName>
    <definedName name="LLLLLLL">#REF!</definedName>
    <definedName name="LOCO" hidden="1">{"'Sheet1'!$L$16"}</definedName>
    <definedName name="LOCO2" hidden="1">{"'Sheet1'!$L$16"}</definedName>
    <definedName name="Long" hidden="1">{"'Sheet1'!$L$16"}</definedName>
    <definedName name="LOP">#REF!</definedName>
    <definedName name="lop.">#REF!</definedName>
    <definedName name="lt">#REF!</definedName>
    <definedName name="luan" hidden="1">{"'Sheet1'!$L$16"}</definedName>
    <definedName name="luc">#REF!</definedName>
    <definedName name="LV">#REF!</definedName>
    <definedName name="M10." hidden="1">{"'Sheet1'!$L$16"}</definedName>
    <definedName name="mat">#REF!</definedName>
    <definedName name="mat_end">#REF!</definedName>
    <definedName name="mat_start">#REF!</definedName>
    <definedName name="MAU" hidden="1">{"'Sheet1'!$L$16"}</definedName>
    <definedName name="MBM">#REF!</definedName>
    <definedName name="mccb">#REF!</definedName>
    <definedName name="MCCO">#REF!</definedName>
    <definedName name="MCCO10">#REF!</definedName>
    <definedName name="MCCO11">#REF!</definedName>
    <definedName name="MCCO12">#REF!</definedName>
    <definedName name="MCCO13">#REF!</definedName>
    <definedName name="MCCO3">#REF!</definedName>
    <definedName name="MCCO4">#REF!</definedName>
    <definedName name="MCCO5">#REF!</definedName>
    <definedName name="MCCO6">#REF!</definedName>
    <definedName name="MCCO7">#REF!</definedName>
    <definedName name="MCCO8">#REF!</definedName>
    <definedName name="MCCO9">#REF!</definedName>
    <definedName name="MCCOÙ">#REF!</definedName>
    <definedName name="mck">#REF!</definedName>
    <definedName name="Mech">#REF!</definedName>
    <definedName name="MF">#REF!</definedName>
    <definedName name="MFGND" hidden="1">{"'Sheet1'!$L$16"}</definedName>
    <definedName name="MFHMFGNG" hidden="1">{"'Sheet1'!$L$16"}</definedName>
    <definedName name="MGB">#REF!</definedName>
    <definedName name="mjh" hidden="1">{"'Sheet1'!$L$16"}</definedName>
    <definedName name="mmmmmmmm" hidden="1">{"'Sheet1'!$L$16"}</definedName>
    <definedName name="MNB">#REF!</definedName>
    <definedName name="mo" hidden="1">{"'Sheet1'!$L$16"}</definedName>
    <definedName name="MTYMYTMY" hidden="1">{"'Sheet1'!$L$16"}</definedName>
    <definedName name="MV">#REF!</definedName>
    <definedName name="mvac" hidden="1">{"'Sheet1'!$L$16"}</definedName>
    <definedName name="MVBNMVB" hidden="1">{"NGUYEN QUI THIEP - Personal View",#N/A,FALSE,"XDCB.HT.FUR."}</definedName>
    <definedName name="n">#REF!</definedName>
    <definedName name="nam" hidden="1">{"'Sheet1'!$L$16"}</definedName>
    <definedName name="NAME">#REF!</definedName>
    <definedName name="name_one">#REF!</definedName>
    <definedName name="name_three">#REF!</definedName>
    <definedName name="name_two">#REF!</definedName>
    <definedName name="NB">#REF!</definedName>
    <definedName name="nbfđ" hidden="1">{"'Sheet1'!$L$16"}</definedName>
    <definedName name="nc">#REF!</definedName>
    <definedName name="NCVBXVCB" hidden="1">{"'Sheet1'!$L$16"}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go검토">#REF!</definedName>
    <definedName name="nepcua">#REF!</definedName>
    <definedName name="NEW">#REF!</definedName>
    <definedName name="NEWNAME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FN" hidden="1">{"'Sheet1'!$L$16"}</definedName>
    <definedName name="nham">#REF!</definedName>
    <definedName name="nharac">#REF!</definedName>
    <definedName name="nhb" hidden="1">{#N/A,#N/A,FALSE,"Chi tiÆt"}</definedName>
    <definedName name="Nhiem" hidden="1">{"'Sheet1'!$L$16"}</definedName>
    <definedName name="nhug" hidden="1">{"một";"hai";"ba";"bốn";"năm";"sáu";"bảy";"tám";"chín";"mười";"mươi";"mốt";"lăm";"trăm";"nghìn";"triệu";"tỷ";"lẻ";"không trăm";"Bằng chử : "}</definedName>
    <definedName name="NHUNG" hidden="1">zIsDgiaCTiet_Gia.VTu*2+3</definedName>
    <definedName name="nmhjjjj">#REF!</definedName>
    <definedName name="NNN">#REF!</definedName>
    <definedName name="nnnn">#REF!</definedName>
    <definedName name="NO">#REF!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wrt" hidden="1">#REF!</definedName>
    <definedName name="NVBNBNV" hidden="1">{#N/A,#N/A,FALSE,"Chi tiÆt"}</definedName>
    <definedName name="NVCB" hidden="1">{"'Sheet1'!$L$16"}</definedName>
    <definedName name="oa">#REF!</definedName>
    <definedName name="oanh" hidden="1">{"'Sheet1'!$L$16"}</definedName>
    <definedName name="oc" hidden="1">{"'Sheet1'!$L$16"}</definedName>
    <definedName name="ok" hidden="1">#REF!</definedName>
    <definedName name="olk">#REF!</definedName>
    <definedName name="OO">#REF!</definedName>
    <definedName name="OrderTable">#REF!</definedName>
    <definedName name="ouioyoigoigyiyugi">#REF!</definedName>
    <definedName name="P">#REF!</definedName>
    <definedName name="PA">#REF!</definedName>
    <definedName name="PAIII_" hidden="1">{"'Sheet1'!$L$16"}</definedName>
    <definedName name="Panel">#REF!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ayTerms">#REF!</definedName>
    <definedName name="PB">#REF!</definedName>
    <definedName name="PEJM">#REF!</definedName>
    <definedName name="PF">#REF!</definedName>
    <definedName name="PGV">#REF!</definedName>
    <definedName name="PHOTO">#REF!</definedName>
    <definedName name="Phuong" hidden="1">{"'Sheet1'!$L$16"}</definedName>
    <definedName name="Pipe">#REF!</definedName>
    <definedName name="PL_Sample_1">#REF!</definedName>
    <definedName name="pm1_ac_dt">#REF!</definedName>
    <definedName name="pm1_ac_pt">#REF!</definedName>
    <definedName name="pm1_dt">#REF!</definedName>
    <definedName name="pm1_end_dt">#REF!</definedName>
    <definedName name="pm1_end_pt">#REF!</definedName>
    <definedName name="pm1_pt">#REF!</definedName>
    <definedName name="pm1_start">#REF!</definedName>
    <definedName name="pm1_start_dt">#REF!</definedName>
    <definedName name="pm1_start_pt">#REF!</definedName>
    <definedName name="pm2_ac_dt">#REF!</definedName>
    <definedName name="pm2_ac_pt">#REF!</definedName>
    <definedName name="pm2_dt">#REF!</definedName>
    <definedName name="pm2_end_dt">#REF!</definedName>
    <definedName name="pm2_end_pt">#REF!</definedName>
    <definedName name="pm2_pt">#REF!</definedName>
    <definedName name="pm2_start">#REF!</definedName>
    <definedName name="pm2_start_dt">#REF!</definedName>
    <definedName name="pm2_start_pt">#REF!</definedName>
    <definedName name="pm3_ac_dt">#REF!</definedName>
    <definedName name="pm3_ac_pt">#REF!</definedName>
    <definedName name="pm3_dt">#REF!</definedName>
    <definedName name="pm3_end_dt">#REF!</definedName>
    <definedName name="pm3_end_pt">#REF!</definedName>
    <definedName name="pm3_pt">#REF!</definedName>
    <definedName name="pm3_start">#REF!</definedName>
    <definedName name="pm3_start_dt">#REF!</definedName>
    <definedName name="pm3_start_pt">#REF!</definedName>
    <definedName name="pm4_ac_dt">#REF!</definedName>
    <definedName name="pm4_ac_pt">#REF!</definedName>
    <definedName name="pm4_dt">#REF!</definedName>
    <definedName name="pm4_end_dt">#REF!</definedName>
    <definedName name="pm4_end_pt">#REF!</definedName>
    <definedName name="pm4_pt">#REF!</definedName>
    <definedName name="pm4_start">#REF!</definedName>
    <definedName name="pm4_start_dt">#REF!</definedName>
    <definedName name="pm4_start_pt">#REF!</definedName>
    <definedName name="pm5_ac_dt">#REF!</definedName>
    <definedName name="pm5_ac_pt">#REF!</definedName>
    <definedName name="pm5_dt">#REF!</definedName>
    <definedName name="pm5_end_dt">#REF!</definedName>
    <definedName name="pm5_end_pt">#REF!</definedName>
    <definedName name="pm5_pt">#REF!</definedName>
    <definedName name="pm5_start">#REF!</definedName>
    <definedName name="pm5_start_dt">#REF!</definedName>
    <definedName name="pm5_start_pt">#REF!</definedName>
    <definedName name="PMS" hidden="1">{"'Sheet1'!$L$16"}</definedName>
    <definedName name="Port1">#REF!</definedName>
    <definedName name="port11">#REF!</definedName>
    <definedName name="pp">#REF!</definedName>
    <definedName name="ppp">#REF!</definedName>
    <definedName name="PPPP" hidden="1">{"'Sheet1'!$L$16"}</definedName>
    <definedName name="pri">#REF!</definedName>
    <definedName name="price04">#REF!</definedName>
    <definedName name="Print_Titles_MI">#REF!</definedName>
    <definedName name="PRINTA">#REF!</definedName>
    <definedName name="prjName">#REF!</definedName>
    <definedName name="prjNo">#REF!</definedName>
    <definedName name="prod_end">#REF!</definedName>
    <definedName name="prod_end_dt">#REF!</definedName>
    <definedName name="prod_end_pt">#REF!</definedName>
    <definedName name="prod_start">#REF!</definedName>
    <definedName name="prod_start_dt">#REF!</definedName>
    <definedName name="prod_start_pt">#REF!</definedName>
    <definedName name="ProdForm">#REF!</definedName>
    <definedName name="Product">#REF!</definedName>
    <definedName name="project_end">#REF!</definedName>
    <definedName name="project_end_dt">#REF!</definedName>
    <definedName name="project_end_pt">#REF!</definedName>
    <definedName name="project_start_pt">#REF!</definedName>
    <definedName name="Q">#REF!</definedName>
    <definedName name="qaaaaxzs">#REF!</definedName>
    <definedName name="qd10_gt" hidden="1">{"'Sheet1'!$L$16"}</definedName>
    <definedName name="qew">#REF!</definedName>
    <definedName name="QGFADB" hidden="1">{"'Sheet1'!$L$16"}</definedName>
    <definedName name="QL">#REF!</definedName>
    <definedName name="qncjstkdehdwhrud">#REF!</definedName>
    <definedName name="qöeqwerqwereq">#REF!</definedName>
    <definedName name="qq">#REF!</definedName>
    <definedName name="qqq" hidden="1">{"'Sheet1'!$L$16"}</definedName>
    <definedName name="qqqq" hidden="1">{"'Sheet1'!$L$16"}</definedName>
    <definedName name="qqqqq" hidden="1">{"'Sheet1'!$L$16"}</definedName>
    <definedName name="qqqqqqq" hidden="1">{"'Sheet1'!$L$16"}</definedName>
    <definedName name="qqwwww">#REF!</definedName>
    <definedName name="qrw">#REF!</definedName>
    <definedName name="qs">#REF!</definedName>
    <definedName name="QƯ">#REF!</definedName>
    <definedName name="quang">#REF!</definedName>
    <definedName name="quantity">#REF!</definedName>
    <definedName name="QUOC">#REF!</definedName>
    <definedName name="QƯQ">#REF!</definedName>
    <definedName name="qw">#REF!</definedName>
    <definedName name="QWEQW">#REF!</definedName>
    <definedName name="QWERCDFGV">#REF!</definedName>
    <definedName name="qws">#REF!</definedName>
    <definedName name="qwwqe" hidden="1">{"'Sheet1'!$L$16"}</definedName>
    <definedName name="Ranhxay">{"'Sheet1'!$L$16"}</definedName>
    <definedName name="rbsr" hidden="1">{"'Sheet1'!$L$16"}</definedName>
    <definedName name="RCArea">#REF!</definedName>
    <definedName name="_xlnm.Recorder" hidden="1">#REF!</definedName>
    <definedName name="ref">#REF!</definedName>
    <definedName name="report1">#REF!</definedName>
    <definedName name="report2">#REF!</definedName>
    <definedName name="reûtht" hidden="1">{"'Sheet1'!$L$16"}</definedName>
    <definedName name="Revised">#REF!</definedName>
    <definedName name="rewgwegn" hidden="1">{"'Sheet1'!$L$16"}</definedName>
    <definedName name="RFV">#REF!</definedName>
    <definedName name="rgeger" hidden="1">#REF!</definedName>
    <definedName name="rger" hidden="1">#REF!</definedName>
    <definedName name="rgwerg" hidden="1">{#N/A,#N/A,FALSE,"Chi tiÆt"}</definedName>
    <definedName name="RHODIA" hidden="1">{"'DocTypeCode'!$A$142:$A$226"}</definedName>
    <definedName name="rjs">#REF!</definedName>
    <definedName name="rkd">#REF!</definedName>
    <definedName name="rkdkd">#REF!</definedName>
    <definedName name="RKDLKS">#REF!</definedName>
    <definedName name="RO">#REF!</definedName>
    <definedName name="row">#REF!</definedName>
    <definedName name="RQ" hidden="1">#REF!</definedName>
    <definedName name="rqbbqngrt">#REF!</definedName>
    <definedName name="RQGBVV">#REF!</definedName>
    <definedName name="RQWERFAF" hidden="1">#REF!</definedName>
    <definedName name="rr" hidden="1">{"'Sheet1'!$L$16"}</definedName>
    <definedName name="RRG">#REF!</definedName>
    <definedName name="rrr" hidden="1">{"'Sheet1'!$L$16"}</definedName>
    <definedName name="rrrrfrt">#REF!</definedName>
    <definedName name="rrrrrr">#REF!</definedName>
    <definedName name="RT">#REF!</definedName>
    <definedName name="RTJR" hidden="1">{"'Sheet1'!$L$16"}</definedName>
    <definedName name="rtr">#REF!</definedName>
    <definedName name="RTWR" hidden="1">{"'Sheet1'!$L$16"}</definedName>
    <definedName name="rtyrtyt">#REF!</definedName>
    <definedName name="rtytry">#REF!</definedName>
    <definedName name="RƯET" hidden="1">{"'Sheet1'!$L$16"}</definedName>
    <definedName name="RƯT4WTW" hidden="1">{"'Sheet1'!$L$16"}</definedName>
    <definedName name="RVVRRRRR">#REF!</definedName>
    <definedName name="ryedfg">#REF!</definedName>
    <definedName name="S">#REF!</definedName>
    <definedName name="sa" hidden="1">{"'Sheet1'!$L$16"}</definedName>
    <definedName name="saa">#REF!</definedName>
    <definedName name="saada">#REF!</definedName>
    <definedName name="sadSa">#REF!</definedName>
    <definedName name="sadsgfjhkhluiluil">#REF!</definedName>
    <definedName name="sagawa">#REF!</definedName>
    <definedName name="SAPBEXrevision" hidden="1">1</definedName>
    <definedName name="SAPBEXsysID" hidden="1">"TA2"</definedName>
    <definedName name="SAPBEXwbID" hidden="1">"E9Q3LCWW911VAJ39BASH84PBR"</definedName>
    <definedName name="sasa">#REF!</definedName>
    <definedName name="sbcxdnndf">#REF!</definedName>
    <definedName name="sbdhdhdh">#REF!</definedName>
    <definedName name="SBSDGBRS" hidden="1">{"'Sheet1'!$L$16"}</definedName>
    <definedName name="SC">#REF!</definedName>
    <definedName name="scẪ" hidden="1">{"'Sheet1'!$L$16"}</definedName>
    <definedName name="SCAAAAX">#REF!</definedName>
    <definedName name="scaawws">#REF!</definedName>
    <definedName name="scÂC" hidden="1">{"'Sheet1'!$L$16"}</definedName>
    <definedName name="scddddd">#REF!</definedName>
    <definedName name="scdfrrrr">#REF!</definedName>
    <definedName name="scdfrt">#REF!</definedName>
    <definedName name="SCH">#REF!</definedName>
    <definedName name="sCol" hidden="1">zIsDgiaCTiet_Gia.VTu*2+3</definedName>
    <definedName name="SD" hidden="1">{"'ELEC'!$A$2:$H$216","'ELEC'!$C$2:$D$2"}</definedName>
    <definedName name="sdasa">#REF!</definedName>
    <definedName name="sdc_dt">#REF!</definedName>
    <definedName name="sdc_pt">#REF!</definedName>
    <definedName name="sdc_start_dt">#REF!</definedName>
    <definedName name="sdc_start_pt">#REF!</definedName>
    <definedName name="SDCDFVQQW">#REF!</definedName>
    <definedName name="sdcfffff">#REF!</definedName>
    <definedName name="sdcfgggrt">#REF!</definedName>
    <definedName name="sdd" hidden="1">{"'Sheet1'!$L$16"}</definedName>
    <definedName name="sderftg">#REF!</definedName>
    <definedName name="sdf" hidden="1">{"'Sheet1'!$L$16"}</definedName>
    <definedName name="SDFASFSA" hidden="1">{"'Sheet1'!$L$16"}</definedName>
    <definedName name="sdfastgawtwqetr">#REF!</definedName>
    <definedName name="sdfda" hidden="1">{"'Sheet1'!$L$16"}</definedName>
    <definedName name="sdfdf" hidden="1">#REF!</definedName>
    <definedName name="sdfgdfg">#REF!</definedName>
    <definedName name="sdfhsf" hidden="1">#REF!</definedName>
    <definedName name="sdfs">#REF!</definedName>
    <definedName name="SDFSDGD" hidden="1">{"'Sheet1'!$L$16"}</definedName>
    <definedName name="SDFSDGF" hidden="1">{"'Sheet1'!$L$16"}</definedName>
    <definedName name="SDFSE" hidden="1">{"'Sheet1'!$L$16"}</definedName>
    <definedName name="sdg">#REF!</definedName>
    <definedName name="SDGSDG" hidden="1">{"'Sheet1'!$L$16"}</definedName>
    <definedName name="SDGSDHET" hidden="1">{"'Sheet1'!$L$16"}</definedName>
    <definedName name="SDGWRSRWG" hidden="1">{"'Sheet1'!$L$16"}</definedName>
    <definedName name="sdjfngggng">#REF!</definedName>
    <definedName name="SDRƯE">#REF!</definedName>
    <definedName name="SDS">#REF!</definedName>
    <definedName name="SDSD" hidden="1">{#N/A,#N/A,FALSE,"Sheet1";#N/A,#N/A,FALSE,"Sheet3";#N/A,#N/A,FALSE,"Sheet5"}</definedName>
    <definedName name="sdsdwdwdd">#REF!</definedName>
    <definedName name="SEC.C1">#REF!</definedName>
    <definedName name="SEGSD" hidden="1">{"NGUYEN QUI THIEP - Personal View",#N/A,FALSE,"XDCB.HT.FUR."}</definedName>
    <definedName name="sencount" hidden="1">1</definedName>
    <definedName name="SFA">#REF!</definedName>
    <definedName name="SFasfa" hidden="1">{"'Sheet1'!$L$16"}</definedName>
    <definedName name="SFBAS" hidden="1">{"'Sheet1'!$L$16"}</definedName>
    <definedName name="sfdgdfgfhgjgjgjghj">#REF!</definedName>
    <definedName name="sfdgnl">#REF!</definedName>
    <definedName name="SFEFSG" hidden="1">{"'Sheet1'!$L$16"}</definedName>
    <definedName name="sga">#REF!</definedName>
    <definedName name="sga_dt">#REF!</definedName>
    <definedName name="sga_pt">#REF!</definedName>
    <definedName name="sgasgreg" hidden="1">#REF!</definedName>
    <definedName name="SGG" hidden="1">{"'Sheet1'!$L$16"}</definedName>
    <definedName name="sheet1">#REF!</definedName>
    <definedName name="Sheet2">#REF!</definedName>
    <definedName name="sheet3">#REF!</definedName>
    <definedName name="SHGREGER" hidden="1">{"NGUYEN QUI THIEP - Personal View",#N/A,FALSE,"XDCB.HT.FUR."}</definedName>
    <definedName name="sHsVlNcCm" hidden="1">VALUE(IF(LEFT(OFFSET(Acell,0,-4),1)="A",dTHKP_HsVl,IF(LEFT(OFFSET(Acell,0,-4),1)="B",dTHKP_HsNc,dTHKP_HsCm)))</definedName>
    <definedName name="Sie">#REF!</definedName>
    <definedName name="sjdbhfrree">#REF!</definedName>
    <definedName name="sjdhggfff">#REF!</definedName>
    <definedName name="sjdnfhrrr">#REF!</definedName>
    <definedName name="skdjhnffds">#REF!</definedName>
    <definedName name="SL">#REF!</definedName>
    <definedName name="sMh" hidden="1">IF(LEFT(OFFSET(Acell,0,-6),1)="1",dVTu_Mh,IF(LEFT(OFFSET(Acell,0,-6),1)="2",dNCong_Mh,dCMay_Mh))</definedName>
    <definedName name="SnACOST_TABLE">#REF!</definedName>
    <definedName name="SnACOST_Table1">#REF!</definedName>
    <definedName name="sName" hidden="1">IF(LEFT(OFFSET(Acell,0,-6),1)="1",dVTu_Name,IF(LEFT(OFFSET(Acell,0,-6),1)="2",dNCong_Name,dCMay_Name))</definedName>
    <definedName name="SORT">#REF!</definedName>
    <definedName name="Sort1">#REF!</definedName>
    <definedName name="Sosanh2">{"'Sheet1'!$L$16"}</definedName>
    <definedName name="SP">#REF!</definedName>
    <definedName name="SpecialPrice">#REF!</definedName>
    <definedName name="sqw">#REF!</definedName>
    <definedName name="sRng" hidden="1">IF(LEFT(OFFSET(Acell,0,-6),1)="1",dVTu_Rng,IF(LEFT(OFFSET(Acell,0,-6),1)="2",dNCong_Rng,dCMay_Rng))</definedName>
    <definedName name="SRTWER" hidden="1">{"'Sheet1'!$L$16"}</definedName>
    <definedName name="ss">#REF!</definedName>
    <definedName name="sss">#REF!</definedName>
    <definedName name="sssdsdsd">#REF!</definedName>
    <definedName name="ssss">#REF!</definedName>
    <definedName name="ssssssss">#REF!</definedName>
    <definedName name="stgaerterterte" hidden="1">#REF!</definedName>
    <definedName name="sum">#REF!</definedName>
    <definedName name="summar">#REF!</definedName>
    <definedName name="SWw">#REF!</definedName>
    <definedName name="sy">#REF!</definedName>
    <definedName name="szdasda">#REF!</definedName>
    <definedName name="T">#REF!</definedName>
    <definedName name="tammmm">#REF!</definedName>
    <definedName name="tbl_ProdInfo">#REF!</definedName>
    <definedName name="TEMP">#REF!</definedName>
    <definedName name="test">#REF!</definedName>
    <definedName name="tg">#REF!</definedName>
    <definedName name="TGIA">#REF!</definedName>
    <definedName name="th">#REF!</definedName>
    <definedName name="TH.tinh">#REF!</definedName>
    <definedName name="tha" hidden="1">{"'Sheet1'!$L$16"}</definedName>
    <definedName name="thang" hidden="1">{"'Sheet1'!$L$16"}</definedName>
    <definedName name="THANH" hidden="1">{"'Sheet1'!$L$16"}</definedName>
    <definedName name="thanhluan">#REF!</definedName>
    <definedName name="Thautinh">#REF!</definedName>
    <definedName name="THC" hidden="1">{"'Sheet1'!$L$16"}</definedName>
    <definedName name="THDT" hidden="1">{"'Sheet1'!$L$16"}</definedName>
    <definedName name="them01" hidden="1">#REF!</definedName>
    <definedName name="THK">#REF!</definedName>
    <definedName name="THKPM8" hidden="1">{"'Sheet1'!$L$16"}</definedName>
    <definedName name="THQT">#REF!</definedName>
    <definedName name="thtyhyjyjyjyjjjyujyj">#REF!</definedName>
    <definedName name="thuy" hidden="1">{"'Sheet1'!$L$16"}</definedName>
    <definedName name="tigia">#REF!</definedName>
    <definedName name="TINH">#REF!</definedName>
    <definedName name="tirirn" hidden="1">{"'Sheet1'!$L$16"}</definedName>
    <definedName name="tl">#REF!</definedName>
    <definedName name="TLP">#REF!</definedName>
    <definedName name="Toanbo">#REF!</definedName>
    <definedName name="Tong">#REF!</definedName>
    <definedName name="TOTAL">#REF!</definedName>
    <definedName name="TRHEH" hidden="1">{"'Sheet1'!$L$16"}</definedName>
    <definedName name="TRUNGNGUYEN">#REF!</definedName>
    <definedName name="trutriutit">#REF!</definedName>
    <definedName name="TT">#REF!</definedName>
    <definedName name="TT_Key1">#REF!</definedName>
    <definedName name="tttt" hidden="1">{"'Sheet1'!$L$16"}</definedName>
    <definedName name="TTTTT">#REF!</definedName>
    <definedName name="tttttt" hidden="1">{#N/A,#N/A,FALSE,"Chi tiÆt"}</definedName>
    <definedName name="TU" hidden="1">{"'Sheet1'!$L$16"}</definedName>
    <definedName name="tuam" hidden="1">{"'Sheet1'!$L$16"}</definedName>
    <definedName name="tuan03" hidden="1">{"'Sheet1'!$L$16"}</definedName>
    <definedName name="tuan2" hidden="1">{"'Sheet1'!$L$16"}</definedName>
    <definedName name="TUANKHANHTUYET45" hidden="1">{0}</definedName>
    <definedName name="TUKHKJT" hidden="1">{"'Sheet1'!$L$16"}</definedName>
    <definedName name="tuyennhanh" hidden="1">{"'Sheet1'!$L$16"}</definedName>
    <definedName name="TW">#REF!</definedName>
    <definedName name="twerjhr">#REF!</definedName>
    <definedName name="U">#REF!</definedName>
    <definedName name="ư">#REF!</definedName>
    <definedName name="ự">{"'Sheet1'!$L$16"}</definedName>
    <definedName name="ỨD">#REF!</definedName>
    <definedName name="ƯE">#REF!</definedName>
    <definedName name="ƯẺ">#REF!</definedName>
    <definedName name="ưeawegw" hidden="1">#REF!</definedName>
    <definedName name="ưegweg" hidden="1">{"'Sheet1'!$L$16"}</definedName>
    <definedName name="ưergasd" hidden="1">#REF!</definedName>
    <definedName name="ưergwrgn" hidden="1">{"'Sheet1'!$L$16"}</definedName>
    <definedName name="ƯERWER" hidden="1">{"'Sheet1'!$L$16"}</definedName>
    <definedName name="ưerwerewr" hidden="1">{"'Sheet1'!$L$16"}</definedName>
    <definedName name="ưgawegw" hidden="1">#REF!</definedName>
    <definedName name="UIU">#REF!</definedName>
    <definedName name="ujdffdf">#REF!</definedName>
    <definedName name="UKKY">#REF!</definedName>
    <definedName name="underslab">#REF!</definedName>
    <definedName name="UP">#REF!</definedName>
    <definedName name="urreur">#REF!</definedName>
    <definedName name="urtureu">#REF!</definedName>
    <definedName name="urtureuer">#REF!</definedName>
    <definedName name="uru4u4urur">#REF!</definedName>
    <definedName name="utrutr">#REF!</definedName>
    <definedName name="UTWER" hidden="1">{"'Sheet1'!$L$16"}</definedName>
    <definedName name="utyutru">#REF!</definedName>
    <definedName name="UUU">#REF!</definedName>
    <definedName name="uyedgnhgdf">#REF!</definedName>
    <definedName name="v">#REF!</definedName>
    <definedName name="V8.Refresh">#REF!</definedName>
    <definedName name="VÁCH">#REF!</definedName>
    <definedName name="vadvsa" hidden="1">{"'Sheet1'!$L$16"}</definedName>
    <definedName name="VATM">{"'Sheet1'!$L$16"}</definedName>
    <definedName name="vbvb">#REF!</definedName>
    <definedName name="vcoto" hidden="1">{"'Sheet1'!$L$16"}</definedName>
    <definedName name="VEN">#REF!</definedName>
    <definedName name="VF">#REF!</definedName>
    <definedName name="vgjh">#REF!</definedName>
    <definedName name="Viet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>#REF!</definedName>
    <definedName name="Von.KL">#REF!</definedName>
    <definedName name="VS">#REF!</definedName>
    <definedName name="vsdvs" hidden="1">#REF!</definedName>
    <definedName name="vt">#REF!</definedName>
    <definedName name="VTTON">#REF!</definedName>
    <definedName name="vv" hidden="1">{"'Sheet1'!$L$16"}</definedName>
    <definedName name="VVVV" hidden="1">#REF!</definedName>
    <definedName name="vvvvvvv">#REF!</definedName>
    <definedName name="vxfsđs">{"'Sheet1'!$L$16"}</definedName>
    <definedName name="VZDVA" hidden="1">{"'Sheet1'!$L$16"}</definedName>
    <definedName name="VZVZD" hidden="1">{"'Sheet1'!$L$16"}</definedName>
    <definedName name="VZVZXCZ" hidden="1">{"'Sheet1'!$L$16"}</definedName>
    <definedName name="w">#REF!</definedName>
    <definedName name="wd">#REF!</definedName>
    <definedName name="WEẺWE">#REF!</definedName>
    <definedName name="weqew">#REF!</definedName>
    <definedName name="wererr">#REF!</definedName>
    <definedName name="werewr">#REF!</definedName>
    <definedName name="werwer">#REF!</definedName>
    <definedName name="wew">#REF!</definedName>
    <definedName name="window">#REF!</definedName>
    <definedName name="wis">#REF!</definedName>
    <definedName name="wjsr">#REF!</definedName>
    <definedName name="wm.조골재1">#REF!</definedName>
    <definedName name="WQ3VF21" hidden="1">{"'Sheet1'!$L$16"}</definedName>
    <definedName name="WRITE">#REF!</definedName>
    <definedName name="WRN">#REF!</definedName>
    <definedName name="wrn.2번.">#REF!</definedName>
    <definedName name="wrn.97년._.사업계획._.및._.예산지침.">#REF!</definedName>
    <definedName name="wrn.A.">#REF!</definedName>
    <definedName name="wrn.aaa.">#REF!</definedName>
    <definedName name="wrn.Bang._.ke._.nhan._.hang.">#REF!</definedName>
    <definedName name="wrn.BAOCAO.">#REF!</definedName>
    <definedName name="wrn.BIDSUM.">#REF!</definedName>
    <definedName name="wrn.BILLS._.OF._.QUANTITY.">#REF!</definedName>
    <definedName name="wrn.BM.">#REF!</definedName>
    <definedName name="wrn.CBA.">#REF!</definedName>
    <definedName name="wrn.CBA_RO.">#REF!</definedName>
    <definedName name="wrn.CBA_ST.">#REF!</definedName>
    <definedName name="wrn.Che._.do._.duoc._.huong.">#REF!</definedName>
    <definedName name="wrn.chi._.tiÆt.">#REF!</definedName>
    <definedName name="wrn.cong.">#REF!</definedName>
    <definedName name="wrn.DIRLABR.">#REF!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>#REF!</definedName>
    <definedName name="wrn.INDIRCOS.">#REF!</definedName>
    <definedName name="wrn.jvreport." hidden="1">{#N/A,#N/A,TRUE,"SAS-SHEL";#N/A,#N/A,TRUE,"SAS-DECK";#N/A,#N/A,TRUE,"SAS-BHDS";#N/A,#N/A,TRUE,"SAS-TWEB";#N/A,#N/A,TRUE,"SAS-LONG";#N/A,#N/A,TRUE,"SAS-PKTK";#N/A,#N/A,TRUE,"Weighting"}</definedName>
    <definedName name="wrn.mai._.khanh.">#REF!</definedName>
    <definedName name="wrn.Monthly._.Statement.">#REF!</definedName>
    <definedName name="wrn.MTD1.">#REF!</definedName>
    <definedName name="wrn.MTD2.">#REF!</definedName>
    <definedName name="wrn.Print._.Output.">#REF!</definedName>
    <definedName name="wrn.re_xoa2">#REF!</definedName>
    <definedName name="wrn.Report.">#REF!</definedName>
    <definedName name="wrn.report1.">#REF!</definedName>
    <definedName name="wrn.Residential.">#REF!</definedName>
    <definedName name="wrn.Site._.expenses.">#REF!</definedName>
    <definedName name="wrn.vd.">#REF!</definedName>
    <definedName name="WRN.VOLTAGE.">#REF!</definedName>
    <definedName name="wrn.건물기초.">#REF!</definedName>
    <definedName name="wrn.건설기계사업소._.상반기보고.">#REF!</definedName>
    <definedName name="wrn.골재소요량.">#REF!</definedName>
    <definedName name="wrn.교육청.">#REF!</definedName>
    <definedName name="wrn.교육청.1">#REF!</definedName>
    <definedName name="wrn.구조2.">#REF!</definedName>
    <definedName name="wrn.단가표지.">#REF!</definedName>
    <definedName name="wrn.담배인삼공사._.실행품의.">#REF!</definedName>
    <definedName name="wrn.배수1.">#REF!</definedName>
    <definedName name="wrn.배수2.">#REF!</definedName>
    <definedName name="wrn.변경예산.">#REF!</definedName>
    <definedName name="wrn.부대1.">#REF!</definedName>
    <definedName name="wrn.부대2.">#REF!</definedName>
    <definedName name="wrn.부산주경기장.">#REF!</definedName>
    <definedName name="wrn.사업현황.">#REF!</definedName>
    <definedName name="wrn.속도.">#REF!</definedName>
    <definedName name="wrn.손익보고.">#REF!</definedName>
    <definedName name="wrn.실행품의.">#REF!</definedName>
    <definedName name="wrn.업체별._.견적공사명.">#REF!</definedName>
    <definedName name="wrn.예상손익.">#REF!</definedName>
    <definedName name="wrn.운반시간.">#REF!</definedName>
    <definedName name="wrn.이정표.">#REF!</definedName>
    <definedName name="wrn.조골재.">#REF!</definedName>
    <definedName name="wrn.진각빌딩.">#REF!</definedName>
    <definedName name="wrn.철골집계표._.5칸.">#REF!</definedName>
    <definedName name="wrn.토공1.">#REF!</definedName>
    <definedName name="wrn.토공2.">#REF!</definedName>
    <definedName name="wrn.통신지.">#REF!</definedName>
    <definedName name="wrn.포장1.">#REF!</definedName>
    <definedName name="wrn.포장2.">#REF!</definedName>
    <definedName name="wrn.표지.">#REF!</definedName>
    <definedName name="wrn.표지목차.">#REF!</definedName>
    <definedName name="wrn.현장._.NCR._.분석.">#REF!</definedName>
    <definedName name="wrn.혼합골재.">#REF!</definedName>
    <definedName name="wrn_xoa2">#REF!</definedName>
    <definedName name="wrnf.report">#REF!</definedName>
    <definedName name="wrnf_xoa2">#REF!</definedName>
    <definedName name="WRTWE" hidden="1">{"'Sheet1'!$L$16"}</definedName>
    <definedName name="WRWRRREWR">#REF!</definedName>
    <definedName name="wsq">#REF!</definedName>
    <definedName name="wtwtwtew">#REF!</definedName>
    <definedName name="wvu.박경희.">#REF!</definedName>
    <definedName name="ww" hidden="1">{#N/A,#N/A,FALSE,"Sheet2";#N/A,#N/A,FALSE,"Sheet4";#N/A,#N/A,FALSE,"Sheet6"}</definedName>
    <definedName name="www">#REF!</definedName>
    <definedName name="WWWW">#REF!</definedName>
    <definedName name="wwwwwww">#REF!</definedName>
    <definedName name="x">#REF!</definedName>
    <definedName name="XAC">#REF!</definedName>
    <definedName name="XCB">#REF!</definedName>
    <definedName name="XCVBGGHN">#REF!</definedName>
    <definedName name="XDKT">#REF!</definedName>
    <definedName name="XFBDSBSB" hidden="1">{"'Sheet1'!$L$16"}</definedName>
    <definedName name="XFHGHTD" hidden="1">{"'Sheet1'!$L$16"}</definedName>
    <definedName name="xlttbninh" hidden="1">{"'Sheet1'!$L$16"}</definedName>
    <definedName name="XLxa">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x">#REF!</definedName>
    <definedName name="XXXAAAA" hidden="1">{"'Sheet1'!$L$16"}</definedName>
    <definedName name="xzZsfx" hidden="1">{#N/A,#N/A,FALSE,"Chi tiÆt"}</definedName>
    <definedName name="Y">#REF!</definedName>
    <definedName name="y5ey3y33y3">#REF!</definedName>
    <definedName name="Y5T45" hidden="1">{"'Sheet1'!$L$16"}</definedName>
    <definedName name="y6ytyjtyjytjtyj">#REF!</definedName>
    <definedName name="yeryewy3">#REF!</definedName>
    <definedName name="yheryey">#REF!</definedName>
    <definedName name="yhetyt">#REF!</definedName>
    <definedName name="YI7I" hidden="1">{"'Sheet1'!$L$16"}</definedName>
    <definedName name="YSJSJSW">#REF!</definedName>
    <definedName name="YSY">#REF!</definedName>
    <definedName name="YU">#REF!</definedName>
    <definedName name="yuo">#REF!</definedName>
    <definedName name="z">#REF!</definedName>
    <definedName name="Z_2BD578FA_E2CB_4B2F_9A88_B148DA6298A5_.wvu.Cols">#REF!</definedName>
    <definedName name="Z_2BD578FA_E2CB_4B2F_9A88_B148DA6298A5_.wvu.PrintArea">#REF!</definedName>
    <definedName name="ZCZXC" hidden="1">{"'Sheet1'!$L$16"}</definedName>
    <definedName name="zDT_End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VChuyen" hidden="1">"zVatGiaCP_89_00|zVatGiaCP_89_00|zVatGiaCP_89_00"</definedName>
    <definedName name="zIsHThong_ShChange" hidden="1">"True|False|False|False|False|False|False|True|True|True|True|False|False|False|True"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x">#REF!</definedName>
    <definedName name="ZXzX">{"'Sheet1'!$L$16"}</definedName>
    <definedName name="ZYX">#REF!</definedName>
    <definedName name="ZZZ">#REF!</definedName>
    <definedName name="っｋ">#REF!</definedName>
    <definedName name="ㄱㄹㅇㄷ">#REF!</definedName>
    <definedName name="ㄱㅈㅎ">#REF!</definedName>
    <definedName name="간접비">#REF!</definedName>
    <definedName name="간접비1">#REF!</definedName>
    <definedName name="갑지">#REF!</definedName>
    <definedName name="갑지지">#REF!</definedName>
    <definedName name="강교">#REF!</definedName>
    <definedName name="강구조물">#REF!</definedName>
    <definedName name="개요">#REF!</definedName>
    <definedName name="개요1">#REF!</definedName>
    <definedName name="개요2">#REF!</definedName>
    <definedName name="건축">#REF!</definedName>
    <definedName name="건축비목집계">#REF!</definedName>
    <definedName name="건축토공">#REF!</definedName>
    <definedName name="견대">#REF!</definedName>
    <definedName name="견적" hidden="1">{#N/A,#N/A,FALSE,"CCTV"}</definedName>
    <definedName name="견적2">#REF!</definedName>
    <definedName name="견적SHEET">#REF!</definedName>
    <definedName name="견적대비">#REF!</definedName>
    <definedName name="견적서">#REF!</definedName>
    <definedName name="견적조건">#REF!</definedName>
    <definedName name="견적조건8">#REF!</definedName>
    <definedName name="결">#REF!</definedName>
    <definedName name="결과">#REF!</definedName>
    <definedName name="계측기기">#REF!</definedName>
    <definedName name="공">#REF!</definedName>
    <definedName name="공공도서">#REF!</definedName>
    <definedName name="공공도서1">#REF!</definedName>
    <definedName name="공기1">#REF!</definedName>
    <definedName name="공동구토공">#REF!</definedName>
    <definedName name="공사비">#REF!</definedName>
    <definedName name="공사비분석">#REF!</definedName>
    <definedName name="공종별집계표">#REF!</definedName>
    <definedName name="공통가설">#REF!</definedName>
    <definedName name="관리비2">#REF!</definedName>
    <definedName name="교좌">#REF!</definedName>
    <definedName name="구산갑지">#REF!</definedName>
    <definedName name="권대협">#REF!</definedName>
    <definedName name="근거">#REF!</definedName>
    <definedName name="금광추정">#REF!</definedName>
    <definedName name="금오관">#REF!</definedName>
    <definedName name="기계주차">#REF!</definedName>
    <definedName name="기술">#REF!</definedName>
    <definedName name="김">#REF!</definedName>
    <definedName name="ㄳ">#REF!</definedName>
    <definedName name="ㄴㄱㄹ">#REF!</definedName>
    <definedName name="ㄴㄷㄹ">#REF!</definedName>
    <definedName name="ㄴㄻㄴㅇ">#REF!</definedName>
    <definedName name="ㄴㅁ">#REF!</definedName>
    <definedName name="ㄴㅁㄹㄴㅁㅇㄴㅇㅁㄹㄴ">#REF!</definedName>
    <definedName name="내역산출근거">#REF!</definedName>
    <definedName name="넣러">#REF!</definedName>
    <definedName name="노원문화">#REF!</definedName>
    <definedName name="노원문화1">#REF!</definedName>
    <definedName name="놓ㄹ노">#REF!</definedName>
    <definedName name="ㄶㅇㅀㄴㅇ">#REF!</definedName>
    <definedName name="ㄷ">#REF!</definedName>
    <definedName name="ㄷㄱ">#REF!</definedName>
    <definedName name="ㄷㄳ">#REF!</definedName>
    <definedName name="ㄷㄷㄷ">#REF!</definedName>
    <definedName name="단ㄱ">#REF!</definedName>
    <definedName name="당초계획">#REF!</definedName>
    <definedName name="대구공항">#REF!</definedName>
    <definedName name="대비표">#REF!</definedName>
    <definedName name="덕">#REF!</definedName>
    <definedName name="덕진">#REF!</definedName>
    <definedName name="덕호">#REF!</definedName>
    <definedName name="독립기초">#REF!</definedName>
    <definedName name="독립기초토공수량산출">#REF!</definedName>
    <definedName name="동구연숩">#REF!</definedName>
    <definedName name="동명공통가설관리비">#REF!</definedName>
    <definedName name="ㄹㄴㄹ">#REF!</definedName>
    <definedName name="ㄹㄴㅇㄻㄴ">#REF!</definedName>
    <definedName name="ㄹㄴ웋">#REF!</definedName>
    <definedName name="ㄹㄹㄹ">#REF!</definedName>
    <definedName name="ㄹㅇㄹ">#REF!</definedName>
    <definedName name="ㄹㅇㅎㄴㅇ">#REF!</definedName>
    <definedName name="ㄹ호">#REF!</definedName>
    <definedName name="래그">#REF!</definedName>
    <definedName name="려ㅛㄹ">#REF!</definedName>
    <definedName name="ㄻㄴㄹㅇㄴㅁ">#REF!</definedName>
    <definedName name="ㄻㄴㅇㄻㄴ">#REF!</definedName>
    <definedName name="ㄻㄴㅇㄻㄴㄹ">#REF!</definedName>
    <definedName name="ㄻㄴㅇㄻㄴㄻㄴㅁㄴ">#REF!</definedName>
    <definedName name="ㄻㄴㅇㄻㄴㅁ">#REF!</definedName>
    <definedName name="ㄻㄴㅇㄻㄴㅇ">#REF!</definedName>
    <definedName name="ㄻㄴㅇㄻㄴㅇㄻ">#REF!</definedName>
    <definedName name="ㄻㄴㅇㅁㄴㅇ">#REF!</definedName>
    <definedName name="ㄻㅁ">#REF!</definedName>
    <definedName name="ㅀㅇㅁ">#REF!</definedName>
    <definedName name="ㅀ허">#REF!</definedName>
    <definedName name="ㅁ">#REF!</definedName>
    <definedName name="ㅁㄴ">#REF!</definedName>
    <definedName name="ㅁㄴㄹ">#REF!</definedName>
    <definedName name="ㅁㄴㄹㄴ">#REF!</definedName>
    <definedName name="ㅁㄴㄹㅇㅁ">#REF!</definedName>
    <definedName name="ㅁㄹㄴㅇ">#REF!</definedName>
    <definedName name="ㅁㄹㄴㅇㄻㄴㄹ">#REF!</definedName>
    <definedName name="ㅁㄹㄴㅇㅁ">#REF!</definedName>
    <definedName name="ㅁㄹㅇㄴ">#REF!</definedName>
    <definedName name="ㅁㄹㅇㅁㄴ">#REF!</definedName>
    <definedName name="ㅁㄻ">#REF!</definedName>
    <definedName name="ㅁㄻㄴㄹ">#REF!</definedName>
    <definedName name="ㅁㅁ">#REF!</definedName>
    <definedName name="ㅁㅁㅁ">#REF!</definedName>
    <definedName name="ㅁㅁㅁㅁ">#REF!</definedName>
    <definedName name="ㅁㅁㅁㅁㅁㅁ">#REF!</definedName>
    <definedName name="ㅁㅇㄹㄴㅇㅁㄹ">#REF!</definedName>
    <definedName name="ㅁㅇㄻ">#REF!</definedName>
    <definedName name="ㅁㅇㄻㄴㄹ">#REF!</definedName>
    <definedName name="ㅁㅇㄻㅇㅎ">#REF!</definedName>
    <definedName name="ㅁㅇㅀㅁㅇ">#REF!</definedName>
    <definedName name="ㅁㅎㄻㅇㄻ">#REF!</definedName>
    <definedName name="ㅁㅎㅁ">#REF!</definedName>
    <definedName name="ㅁㅎㅇㅀㅁㅇ">#REF!</definedName>
    <definedName name="ㅁㅎㅇㅀㅁㅎ">#REF!</definedName>
    <definedName name="명일">#REF!</definedName>
    <definedName name="모">#REF!</definedName>
    <definedName name="ㅂ">#REF!</definedName>
    <definedName name="ㅂㅂ">#REF!</definedName>
    <definedName name="ㅂㅂㅂㅂ">#REF!</definedName>
    <definedName name="ㅂㅈ">#REF!</definedName>
    <definedName name="바붕">#REF!</definedName>
    <definedName name="배기덕트공사">#REF!</definedName>
    <definedName name="법인세4.6">#REF!</definedName>
    <definedName name="변경개요">#REF!</definedName>
    <definedName name="변경개요2">#REF!</definedName>
    <definedName name="변경후개요">#REF!</definedName>
    <definedName name="보링">#REF!</definedName>
    <definedName name="보오링그라우팅">#REF!</definedName>
    <definedName name="보충">#REF!</definedName>
    <definedName name="복지">#REF!</definedName>
    <definedName name="부대">#REF!</definedName>
    <definedName name="부대1">#REF!</definedName>
    <definedName name="부대원가">#REF!</definedName>
    <definedName name="부대원본">#REF!</definedName>
    <definedName name="부손익">#REF!</definedName>
    <definedName name="부천상동조경">#REF!</definedName>
    <definedName name="분석변경">#REF!</definedName>
    <definedName name="뷰">#REF!</definedName>
    <definedName name="ㅅ굲유">#REF!</definedName>
    <definedName name="사">#REF!</definedName>
    <definedName name="사급">#REF!</definedName>
    <definedName name="사업부양식2">#REF!</definedName>
    <definedName name="삼호">#REF!</definedName>
    <definedName name="샘풀카피">#REF!</definedName>
    <definedName name="샘플카피2">#REF!</definedName>
    <definedName name="샘플카피3">#REF!</definedName>
    <definedName name="설명서">#REF!</definedName>
    <definedName name="소ㅑ104">#REF!</definedName>
    <definedName name="손익계산서">#REF!</definedName>
    <definedName name="수">#REF!</definedName>
    <definedName name="수량산출근거">#REF!</definedName>
    <definedName name="ㅇㄴㄹ">#REF!</definedName>
    <definedName name="ㅇㄴㄻ">#REF!</definedName>
    <definedName name="ㅇㄴㄻㄴㅇ">#REF!</definedName>
    <definedName name="ㅇㄴㄿ">#REF!</definedName>
    <definedName name="ㅇㄹ">#REF!</definedName>
    <definedName name="ㅇㄹㄹ">#REF!</definedName>
    <definedName name="ㅇㄹㅇ">#REF!</definedName>
    <definedName name="ㅇㄻㅇㄻㄴㄹ">#REF!</definedName>
    <definedName name="ㅇㅀㅁㅇㅁㅇ">#REF!</definedName>
    <definedName name="ㅇㅇ">#REF!</definedName>
    <definedName name="ㅇ호">#REF!</definedName>
    <definedName name="아무">#REF!</definedName>
    <definedName name="아무거나">#REF!</definedName>
    <definedName name="아싸">#REF!</definedName>
    <definedName name="아ㅓ림">#REF!</definedName>
    <definedName name="양재승2222222">#REF!</definedName>
    <definedName name="억이상">#REF!</definedName>
    <definedName name="업">#REF!</definedName>
    <definedName name="업종">#REF!</definedName>
    <definedName name="업체">#REF!</definedName>
    <definedName name="업체순위">#REF!</definedName>
    <definedName name="영암실행">#REF!</definedName>
    <definedName name="오수토공">#REF!</definedName>
    <definedName name="완도">#REF!</definedName>
    <definedName name="용용">#REF!</definedName>
    <definedName name="우ㅗ홓ㅇ">#REF!</definedName>
    <definedName name="원가">#REF!</definedName>
    <definedName name="의">#REF!</definedName>
    <definedName name="이릉">#REF!</definedName>
    <definedName name="이천순복음">#REF!</definedName>
    <definedName name="인천지검">#REF!</definedName>
    <definedName name="임형">#REF!</definedName>
    <definedName name="입찰금액안">#REF!</definedName>
    <definedName name="자재1">#REF!</definedName>
    <definedName name="자재2">#REF!</definedName>
    <definedName name="자재단가근거">#REF!</definedName>
    <definedName name="작동">#REF!</definedName>
    <definedName name="전기내역">#REF!</definedName>
    <definedName name="전기산출">#REF!</definedName>
    <definedName name="전기산출내역">#REF!</definedName>
    <definedName name="조건2">#REF!</definedName>
    <definedName name="조경공사">#REF!</definedName>
    <definedName name="조경사본">#REF!</definedName>
    <definedName name="조사가">#REF!</definedName>
    <definedName name="조직">#REF!</definedName>
    <definedName name="종합청사">#REF!</definedName>
    <definedName name="주차장">#REF!</definedName>
    <definedName name="지역업체">#REF!</definedName>
    <definedName name="지철">#REF!</definedName>
    <definedName name="지철자재">#REF!</definedName>
    <definedName name="지토">#REF!</definedName>
    <definedName name="지토자재">#REF!</definedName>
    <definedName name="ㅊㅍㅋㅌㅊㅋ">#REF!</definedName>
    <definedName name="ㅊㅍㅋㅌㅍㅌ">#REF!</definedName>
    <definedName name="철근량">#REF!</definedName>
    <definedName name="철콘부대외">#REF!</definedName>
    <definedName name="총">#REF!</definedName>
    <definedName name="총공사비2">#REF!</definedName>
    <definedName name="총괄제출2차">#REF!</definedName>
    <definedName name="총괄표">#REF!</definedName>
    <definedName name="추가옵션01">#REF!</definedName>
    <definedName name="추정">#REF!</definedName>
    <definedName name="켐온건축">#REF!</definedName>
    <definedName name="ㅌㅍ츛ㅌ">#REF!</definedName>
    <definedName name="태영지급">#REF!</definedName>
    <definedName name="테스크">#REF!</definedName>
    <definedName name="토">#REF!</definedName>
    <definedName name="토공11">#REF!</definedName>
    <definedName name="토공이수">#REF!</definedName>
    <definedName name="토목">#REF!</definedName>
    <definedName name="토목설계">#REF!</definedName>
    <definedName name="투3">#REF!</definedName>
    <definedName name="투찰표">#REF!</definedName>
    <definedName name="ㅍ춫">#REF!</definedName>
    <definedName name="ㅍ츝">#REF!</definedName>
    <definedName name="파일">#REF!</definedName>
    <definedName name="팔">#REF!</definedName>
    <definedName name="평당견적">#REF!</definedName>
    <definedName name="표지2">#REF!</definedName>
    <definedName name="ㅎㄴ">#REF!</definedName>
    <definedName name="ㅎㄹㄴㅇ">#REF!</definedName>
    <definedName name="ㅎㄹㅇㄴ">#REF!</definedName>
    <definedName name="ㅎㄹㅇㅁㅁㅎ">#REF!</definedName>
    <definedName name="ㅎㄹㅇㅁㅎㅁ">#REF!</definedName>
    <definedName name="ㅎㄹㅇㅎ">#REF!</definedName>
    <definedName name="ㅎㄹㅇㅎㅇㅁㅎ">#REF!</definedName>
    <definedName name="ㅎㄹ오하ㅓ">#REF!</definedName>
    <definedName name="ㅎ륜ㅇㄹ">#REF!</definedName>
    <definedName name="ㅎ르ㅓㅗㅓ">#REF!</definedName>
    <definedName name="ㅎㄻㄹㅇㅎㅇㅁ">#REF!</definedName>
    <definedName name="ㅎㄻㅇㅎㅁㅇㅎㅁㅇㅎ">#REF!</definedName>
    <definedName name="ㅎㅁㅇㅀㅁㅇ">#REF!</definedName>
    <definedName name="ㅎㅁㅇㅀㅁㅇㅎㅁ">#REF!</definedName>
    <definedName name="ㅎㅇㄴ">#REF!</definedName>
    <definedName name="ㅎㅇㄹ홍ㄴ로">#REF!</definedName>
    <definedName name="ㅎㅇㄻㅎㅁㅇ">#REF!</definedName>
    <definedName name="ㅎㅇㄻㅎㅁㅎㅁㅇ">#REF!</definedName>
    <definedName name="ㅎㅇㅀ">#REF!</definedName>
    <definedName name="ㅎㅇㅀㄴ">#REF!</definedName>
    <definedName name="ㅎㅇㅀㅁㅇㅎㅁㅇ">#REF!</definedName>
    <definedName name="ㅎㅇㅀㅇㅀ">#REF!</definedName>
    <definedName name="ㅎㅇㅀㅇㅀㅇ">#REF!</definedName>
    <definedName name="ㅎㅇㅁㄴㄹ">#REF!</definedName>
    <definedName name="ㅎㅇㅁㅀㅁㅇ">#REF!</definedName>
    <definedName name="하도">#REF!</definedName>
    <definedName name="하도사">#REF!</definedName>
    <definedName name="하한선">#REF!</definedName>
    <definedName name="한">#REF!</definedName>
    <definedName name="현장">#REF!</definedName>
    <definedName name="현조">#REF!</definedName>
    <definedName name="협">#REF!</definedName>
    <definedName name="협력">#REF!</definedName>
    <definedName name="협력업체">#REF!</definedName>
    <definedName name="협철">#REF!</definedName>
    <definedName name="협토">#REF!</definedName>
    <definedName name="협토1">#REF!</definedName>
    <definedName name="협토자재">#REF!</definedName>
    <definedName name="형제">#REF!</definedName>
    <definedName name="호우">#REF!</definedName>
    <definedName name="호우ㅗ">#REF!</definedName>
    <definedName name="호ㅓㅎ">#REF!</definedName>
    <definedName name="호ㅓㅕㅏ6ㅅ서ㅛㅓ">#REF!</definedName>
    <definedName name="혼ㄹ">#REF!</definedName>
    <definedName name="홀ㄴㄺㅅ">#REF!</definedName>
    <definedName name="홓렁호ㅓ호">#REF!</definedName>
    <definedName name="홓로">#REF!</definedName>
    <definedName name="화허호ㅓ">#REF!</definedName>
    <definedName name="ㅏ허화">#REF!</definedName>
    <definedName name="ㅏㅓ화호">#REF!</definedName>
    <definedName name="ㅏㅓㅗ라">#REF!</definedName>
    <definedName name="ㅏㅓㅗㅎ">#REF!</definedName>
    <definedName name="ㅏㅓㅗㅓ">#REF!</definedName>
    <definedName name="ㅏㅓㅘ허호">#REF!</definedName>
    <definedName name="ㅏㅗㅓㅏ화호">#REF!</definedName>
    <definedName name="ㅏㅣ">#REF!</definedName>
    <definedName name="ㅓ롤">#REF!</definedName>
    <definedName name="ㅓㅇㄴ">#REF!</definedName>
    <definedName name="ㅓㅇ호ㅓㅇ호ㅓㅇ허">#REF!</definedName>
    <definedName name="ㅓㅎ렁홍">#REF!</definedName>
    <definedName name="ㅓㅎ로ㅗㄴ">#REF!</definedName>
    <definedName name="ㅓㅎㅇㅎ">#REF!</definedName>
    <definedName name="ㅓ호ㅓ">#REF!</definedName>
    <definedName name="ㅓ호ㅓㅗㄹ">#REF!</definedName>
    <definedName name="ㅓㅏ호">#REF!</definedName>
    <definedName name="ㅓㅏ호ㅓ">#REF!</definedName>
    <definedName name="ㅓㅏㅗ하ㅗㅓㅎ">#REF!</definedName>
    <definedName name="ㅓㅗ">#REF!</definedName>
    <definedName name="ㅓㅗㅎㄹ">#REF!</definedName>
    <definedName name="ㅓㅗㅎ러ㅗㅎ러">#REF!</definedName>
    <definedName name="ㅓㅗㅎ러ㅗ호ㅓ">#REF!</definedName>
    <definedName name="ㅓㅗ허">#REF!</definedName>
    <definedName name="ㅓㅗ허ㅗㄹ">#REF!</definedName>
    <definedName name="ㅓㅗ허ㅗㅎㄹ">#REF!</definedName>
    <definedName name="ㅓㅗ허ㅗㅎ러">#REF!</definedName>
    <definedName name="ㅓㅗ헝홍허">#REF!</definedName>
    <definedName name="ㅓㅗ헣ㄹ">#REF!</definedName>
    <definedName name="ㅓㅗ헣러">#REF!</definedName>
    <definedName name="ㅓㅗ헣로ㅓ">#REF!</definedName>
    <definedName name="ㅓㅗ헣호ㅓ">#REF!</definedName>
    <definedName name="ㅓㅗ호">#REF!</definedName>
    <definedName name="ㅓㅗ호ㅓㅗ">#REF!</definedName>
    <definedName name="ㅓㅗㅗ">#REF!</definedName>
    <definedName name="ㅓㅗㅗㅗ">#REF!</definedName>
    <definedName name="ㅔㅔ">#REF!</definedName>
    <definedName name="ㅗㄹㄶ">#REF!</definedName>
    <definedName name="ㅗㅎ">#REF!</definedName>
    <definedName name="ㅗㅎㄴ">#REF!</definedName>
    <definedName name="ㅗㅎㄴㄹ">#REF!</definedName>
    <definedName name="ㅗㅎ로ㅜ">#REF!</definedName>
    <definedName name="ㅗㅎ론ㄹ">#REF!</definedName>
    <definedName name="ㅗㅎ롯홋ㄱ">#REF!</definedName>
    <definedName name="ㅗ허ㅗ">#REF!</definedName>
    <definedName name="ㅗ호">#REF!</definedName>
    <definedName name="ㅗㅓ쇼ㅓㅕㄷ쇼ㅓㅕㄷㅅ">#REF!</definedName>
    <definedName name="ㅗㅓㅎ로ㅓㅎㄹ">#REF!</definedName>
    <definedName name="ㅗㅝㅓㅓㅓㅓ">#REF!</definedName>
    <definedName name="ㅗㅠㅍ">#REF!</definedName>
    <definedName name="ㅜ">#REF!</definedName>
    <definedName name="ㅜㄴㄱ">#REF!</definedName>
    <definedName name="ㅜㄹ윤">#REF!</definedName>
    <definedName name="ㅜㅊㅍ">#REF!</definedName>
    <definedName name="ㅜㅋㅊㅍ">#REF!</definedName>
    <definedName name="ㅜㅍ추ㅠ">#REF!</definedName>
    <definedName name="ㅜㅎㄴ">#REF!</definedName>
    <definedName name="ㅜㅎㅅㄱㄴ">#REF!</definedName>
    <definedName name="ㅜㅗㅇㅎㅌ">#REF!</definedName>
    <definedName name="ㅜㅗㅇ훟">#REF!</definedName>
    <definedName name="ㅜㅗㅗㅗㅇㅎ">#REF!</definedName>
    <definedName name="ㅜㅠ푸">#REF!</definedName>
    <definedName name="ㅜㅠㅠ">#REF!</definedName>
    <definedName name="ㅝㅎㄹ">#REF!</definedName>
    <definedName name="ㅠㄴ">#REF!</definedName>
    <definedName name="ㅠㄹㅇㄴㄴㄹㅇ">#REF!</definedName>
    <definedName name="ㅠㅊㅌ퓿ㅌ">#REF!</definedName>
    <definedName name="ㅠㅊㅍㅌ">#REF!</definedName>
    <definedName name="ㅠㅊㅍ튜">#REF!</definedName>
    <definedName name="ㅠㅊㅍ튵ㅊ">#REF!</definedName>
    <definedName name="ㅠㅊ픁츄">#REF!</definedName>
    <definedName name="ㅠㅍ">#REF!</definedName>
    <definedName name="ㅠㅍㅊ">#REF!</definedName>
    <definedName name="ㅠㅍㅊ튳">#REF!</definedName>
    <definedName name="ㅠㅍㅊ튳ㅌㅍ">#REF!</definedName>
    <definedName name="ㅠㅍㅊ튵">#REF!</definedName>
    <definedName name="ㅠㅍㅊ튵ㅊ">#REF!</definedName>
    <definedName name="ㅠㅍ츄ㅜ">#REF!</definedName>
    <definedName name="ㅠㅍ츛ㅍ">#REF!</definedName>
    <definedName name="ㅠㅍ츜ㅊ">#REF!</definedName>
    <definedName name="ㅠㅍ츜ㅍ">#REF!</definedName>
    <definedName name="ㅠㅍ츝">#REF!</definedName>
    <definedName name="ㅠㅍ츝ㅊ">#REF!</definedName>
    <definedName name="ㅠㅍㅋㅊㅍㅍ">#REF!</definedName>
    <definedName name="ㅠ퓿큨ㅊ">#REF!</definedName>
    <definedName name="ㅠ픀ㅊ">#REF!</definedName>
    <definedName name="ㅠ픀ㅊㅍ">#REF!</definedName>
    <definedName name="ㅠ픀ㅋㅊㅍ">#REF!</definedName>
    <definedName name="ㅣ허ㅏㅣ하">#REF!</definedName>
    <definedName name="ㅣ허ㅣ호ㅓㅏ">#REF!</definedName>
    <definedName name="ㅣㅏ허ㅏ허ㅏ허ㅏ">#REF!</definedName>
    <definedName name="ㅣㅏㅓㅎ">#REF!</definedName>
    <definedName name="ㅣㅏㅓ허ㅏㅓㅎ">#REF!</definedName>
    <definedName name="ㅣㅏㅓㅣ허ㅏㅎ">#REF!</definedName>
    <definedName name="ㅣㅏㅓㅣ허ㅏㅏ허">#REF!</definedName>
    <definedName name="ㅣㅓㅏ허">#REF!</definedName>
    <definedName name="ㅣㅓㅏ허ㅏㅣ허ㅏㅓ">#REF!</definedName>
    <definedName name="ㅣㅚㅓㅏ">#REF!</definedName>
    <definedName name="外注資材集計表">#REF!</definedName>
    <definedName name="岡田">#REF!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_(* #,##0_);_(* \(#,##0\);_(* &quot;-&quot;??_);_(@_)"/>
    <numFmt numFmtId="165" formatCode="0.0"/>
    <numFmt numFmtId="166" formatCode="_-* #,##0.00_-;\-* #,##0.00_-;_-* &quot;-&quot;??_-;_-@_-"/>
    <numFmt numFmtId="167" formatCode="[$-409]General"/>
    <numFmt numFmtId="168" formatCode="&quot;£&quot;#,##0.00;\-&quot;£&quot;#,##0.00"/>
    <numFmt numFmtId="169" formatCode="&quot;\&quot;#,##0.00;[Red]&quot;\&quot;&quot;\&quot;&quot;\&quot;\-#,##0.00"/>
    <numFmt numFmtId="170" formatCode="_-* #,##0.00\ _₫_-;\-* #,##0.00\ _₫_-;_-* &quot;-&quot;??\ _₫_-;_-@_-"/>
    <numFmt numFmtId="171" formatCode="0.0%"/>
    <numFmt numFmtId="172" formatCode="#,##0.000"/>
  </numFmts>
  <fonts count="57">
    <font>
      <name val=".VnTime"/>
      <family val="2"/>
      <sz val="12"/>
    </font>
    <font>
      <name val="Calibri"/>
      <family val="2"/>
      <color theme="1"/>
      <sz val="11"/>
      <scheme val="minor"/>
    </font>
    <font>
      <name val="Calibri"/>
      <charset val="163"/>
      <family val="2"/>
      <color theme="1"/>
      <sz val="11"/>
      <scheme val="minor"/>
    </font>
    <font>
      <name val="Calibri"/>
      <charset val="163"/>
      <family val="2"/>
      <color theme="1"/>
      <sz val="11"/>
      <scheme val="minor"/>
    </font>
    <font>
      <name val="Calibri"/>
      <charset val="163"/>
      <family val="2"/>
      <color theme="1"/>
      <sz val="11"/>
      <scheme val="minor"/>
    </font>
    <font>
      <name val="Calibri"/>
      <charset val="163"/>
      <family val="2"/>
      <b val="1"/>
      <color theme="1"/>
      <sz val="11"/>
      <scheme val="minor"/>
    </font>
    <font>
      <name val="Calibri"/>
      <family val="2"/>
      <color rgb="FF000000"/>
      <sz val="11"/>
    </font>
    <font>
      <name val=".VnTime"/>
      <family val="2"/>
      <sz val="12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Arial"/>
      <charset val="163"/>
      <family val="2"/>
      <sz val="10"/>
    </font>
    <font>
      <name val="Arial"/>
      <family val="2"/>
      <color indexed="8"/>
      <sz val="11"/>
    </font>
    <font>
      <name val="Arial"/>
      <family val="2"/>
      <sz val="8"/>
    </font>
    <font>
      <name val=".VnTime"/>
      <family val="2"/>
      <sz val="13"/>
    </font>
    <font>
      <name val="VNI-Times"/>
      <sz val="10"/>
    </font>
    <font>
      <name val=".VnTime"/>
      <sz val="12"/>
    </font>
    <font>
      <name val="Arial"/>
      <family val="2"/>
      <color theme="1"/>
      <sz val="9"/>
    </font>
    <font>
      <name val="Calibri"/>
      <family val="2"/>
      <color indexed="8"/>
      <sz val="11"/>
    </font>
    <font>
      <name val="Arial"/>
      <family val="2"/>
      <color indexed="8"/>
      <sz val="9"/>
    </font>
    <font>
      <name val="Arial"/>
      <family val="2"/>
      <b val="1"/>
      <color theme="1"/>
      <sz val="10"/>
    </font>
    <font>
      <name val="Arial"/>
      <family val="2"/>
      <b val="1"/>
      <i val="1"/>
      <color theme="1"/>
      <sz val="9"/>
    </font>
    <font>
      <name val="Arial"/>
      <family val="2"/>
      <b val="1"/>
      <color indexed="8"/>
      <sz val="20"/>
    </font>
    <font>
      <name val="Calibri"/>
      <family val="2"/>
      <color indexed="8"/>
      <sz val="10"/>
    </font>
    <font>
      <name val="Arial"/>
      <family val="2"/>
      <b val="1"/>
      <color theme="1"/>
      <sz val="8"/>
    </font>
    <font>
      <name val="Arial"/>
      <family val="2"/>
      <color theme="1"/>
      <sz val="8"/>
    </font>
    <font>
      <name val="Times New Roman"/>
      <family val="1"/>
      <sz val="10"/>
    </font>
    <font>
      <name val="Times New Roman"/>
      <family val="1"/>
      <color indexed="8"/>
      <sz val="10"/>
    </font>
    <font>
      <name val="Times New Roman"/>
      <family val="1"/>
      <b val="1"/>
      <color indexed="8"/>
      <sz val="10"/>
    </font>
    <font>
      <name val="Arial"/>
      <family val="2"/>
      <color indexed="8"/>
      <sz val="10"/>
    </font>
    <font>
      <name val="Arial"/>
      <family val="2"/>
      <b val="1"/>
      <i val="1"/>
      <color indexed="8"/>
      <sz val="10"/>
      <u val="single"/>
    </font>
    <font>
      <name val="Times New Roman"/>
      <family val="1"/>
      <b val="1"/>
      <sz val="11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color indexed="8"/>
      <sz val="9"/>
    </font>
    <font>
      <name val="Arial"/>
      <family val="2"/>
      <b val="1"/>
      <i val="1"/>
      <sz val="10"/>
    </font>
    <font>
      <name val="Times New Roman"/>
      <family val="1"/>
      <b val="1"/>
      <color rgb="FFFF0000"/>
      <sz val="9"/>
      <u val="single"/>
    </font>
    <font>
      <name val="Times New Roman"/>
      <family val="1"/>
      <i val="1"/>
      <sz val="9"/>
    </font>
    <font>
      <name val="Times New Roman"/>
      <charset val="163"/>
      <family val="1"/>
      <color indexed="8"/>
      <sz val="11"/>
    </font>
    <font>
      <name val="Arial"/>
      <family val="2"/>
      <i val="1"/>
      <sz val="9.5"/>
    </font>
    <font>
      <name val="Arial"/>
      <family val="2"/>
      <b val="1"/>
      <color indexed="8"/>
      <sz val="10"/>
    </font>
    <font>
      <name val="Calibri"/>
      <family val="1"/>
      <color theme="1"/>
      <sz val="11"/>
      <scheme val="minor"/>
    </font>
    <font>
      <name val="Times New Roman"/>
      <family val="1"/>
      <color rgb="FFFF0000"/>
      <sz val="10"/>
    </font>
    <font>
      <name val="Times New Roman"/>
      <family val="1"/>
      <b val="1"/>
      <color rgb="FFFF0000"/>
      <sz val="10"/>
    </font>
    <font>
      <name val="Times New Roman"/>
      <family val="1"/>
      <b val="1"/>
      <sz val="10"/>
    </font>
    <font>
      <name val="Times New Roman"/>
      <family val="1"/>
      <b val="1"/>
      <color theme="1"/>
      <sz val="10"/>
    </font>
    <font>
      <name val="Times New Roman"/>
      <family val="1"/>
      <color theme="1"/>
      <sz val="10"/>
    </font>
    <font>
      <name val="Arial"/>
      <b val="1"/>
      <color rgb="00FFFFFF"/>
      <sz val="10"/>
    </font>
    <font>
      <b val="1"/>
    </font>
    <font>
      <b val="1"/>
      <color rgb="00FF0000"/>
    </font>
    <font>
      <name val="Times New Roman"/>
      <b val="1"/>
      <color rgb="00002060"/>
      <sz val="11"/>
    </font>
    <font>
      <name val="Times New Roman"/>
      <sz val="10"/>
    </font>
    <font>
      <name val="Times New Roman"/>
      <b val="1"/>
      <sz val="10"/>
    </font>
    <font>
      <name val="Times New Roman"/>
      <b val="1"/>
      <color rgb="00002060"/>
      <sz val="16"/>
    </font>
    <font>
      <name val="Times New Roman"/>
      <b val="1"/>
      <color rgb="00FFFFFF"/>
      <sz val="10"/>
    </font>
    <font>
      <name val="Times New Roman"/>
      <b val="1"/>
      <color rgb="00002060"/>
      <sz val="10"/>
    </font>
    <font>
      <name val="Times New Roman"/>
      <b val="1"/>
      <color rgb="00FF0000"/>
      <sz val="11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002060"/>
      </patternFill>
    </fill>
    <fill>
      <patternFill patternType="solid">
        <fgColor rgb="00D9E1F2"/>
      </patternFill>
    </fill>
  </fills>
  <borders count="3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70">
    <xf numFmtId="0" fontId="7" fillId="0" borderId="0"/>
    <xf numFmtId="0" fontId="6" fillId="0" borderId="0"/>
    <xf numFmtId="43" fontId="6" fillId="0" borderId="0"/>
    <xf numFmtId="166" fontId="4" fillId="0" borderId="0"/>
    <xf numFmtId="43" fontId="8" fillId="0" borderId="0"/>
    <xf numFmtId="0" fontId="8" fillId="0" borderId="0"/>
    <xf numFmtId="167" fontId="9" fillId="0" borderId="0"/>
    <xf numFmtId="0" fontId="8" fillId="0" borderId="0"/>
    <xf numFmtId="0" fontId="4" fillId="0" borderId="0"/>
    <xf numFmtId="168" fontId="10" fillId="0" borderId="0"/>
    <xf numFmtId="0" fontId="10" fillId="0" borderId="0"/>
    <xf numFmtId="43" fontId="4" fillId="0" borderId="0"/>
    <xf numFmtId="0" fontId="4" fillId="0" borderId="0"/>
    <xf numFmtId="43" fontId="8" fillId="0" borderId="0"/>
    <xf numFmtId="43" fontId="11" fillId="0" borderId="0"/>
    <xf numFmtId="43" fontId="4" fillId="0" borderId="0"/>
    <xf numFmtId="43" fontId="4" fillId="0" borderId="0"/>
    <xf numFmtId="0" fontId="8" fillId="0" borderId="0"/>
    <xf numFmtId="0" fontId="10" fillId="0" borderId="0"/>
    <xf numFmtId="0" fontId="12" fillId="0" borderId="0"/>
    <xf numFmtId="166" fontId="7" fillId="0" borderId="0"/>
    <xf numFmtId="0" fontId="8" fillId="0" borderId="0"/>
    <xf numFmtId="169" fontId="13" fillId="0" borderId="0"/>
    <xf numFmtId="170" fontId="10" fillId="0" borderId="0"/>
    <xf numFmtId="43" fontId="7" fillId="0" borderId="0"/>
    <xf numFmtId="0" fontId="8" fillId="0" borderId="0"/>
    <xf numFmtId="0" fontId="8" fillId="0" borderId="0"/>
    <xf numFmtId="43" fontId="6" fillId="0" borderId="0"/>
    <xf numFmtId="0" fontId="11" fillId="0" borderId="0"/>
    <xf numFmtId="43" fontId="7" fillId="0" borderId="0"/>
    <xf numFmtId="0" fontId="8" fillId="0" borderId="0"/>
    <xf numFmtId="0" fontId="8" fillId="0" borderId="0"/>
    <xf numFmtId="0" fontId="4" fillId="0" borderId="0"/>
    <xf numFmtId="0" fontId="5" fillId="0" borderId="1"/>
    <xf numFmtId="0" fontId="8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7" fillId="0" borderId="0"/>
    <xf numFmtId="43" fontId="8" fillId="0" borderId="0"/>
    <xf numFmtId="43" fontId="4" fillId="0" borderId="0"/>
    <xf numFmtId="0" fontId="8" fillId="0" borderId="0"/>
    <xf numFmtId="0" fontId="14" fillId="0" borderId="0"/>
    <xf numFmtId="42" fontId="15" fillId="0" borderId="0"/>
    <xf numFmtId="167" fontId="10" fillId="0" borderId="0"/>
    <xf numFmtId="0" fontId="7" fillId="0" borderId="0"/>
    <xf numFmtId="43" fontId="7" fillId="0" borderId="0"/>
    <xf numFmtId="0" fontId="4" fillId="0" borderId="0"/>
    <xf numFmtId="0" fontId="8" fillId="0" borderId="0"/>
    <xf numFmtId="0" fontId="8" fillId="0" borderId="0"/>
    <xf numFmtId="0" fontId="11" fillId="0" borderId="0"/>
    <xf numFmtId="0" fontId="10" fillId="0" borderId="0"/>
    <xf numFmtId="166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16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18" fillId="0" borderId="0"/>
    <xf numFmtId="43" fontId="7" fillId="0" borderId="0"/>
    <xf numFmtId="43" fontId="8" fillId="0" borderId="0"/>
    <xf numFmtId="0" fontId="7" fillId="0" borderId="0"/>
    <xf numFmtId="0" fontId="10" fillId="0" borderId="0"/>
    <xf numFmtId="0" fontId="10" fillId="0" borderId="0"/>
    <xf numFmtId="43" fontId="7" fillId="0" borderId="0"/>
  </cellStyleXfs>
  <cellXfs count="256">
    <xf numFmtId="0" fontId="0" fillId="0" borderId="0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horizontal="center" wrapText="1"/>
    </xf>
    <xf numFmtId="0" fontId="17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164" fontId="17" fillId="0" borderId="0" applyAlignment="1" pivotButton="0" quotePrefix="0" xfId="63">
      <alignment horizontal="center" vertical="center"/>
    </xf>
    <xf numFmtId="164" fontId="19" fillId="0" borderId="0" pivotButton="0" quotePrefix="0" xfId="64"/>
    <xf numFmtId="164" fontId="17" fillId="0" borderId="0" pivotButton="0" quotePrefix="0" xfId="64"/>
    <xf numFmtId="164" fontId="17" fillId="0" borderId="0" applyAlignment="1" pivotButton="0" quotePrefix="0" xfId="63">
      <alignment horizontal="center"/>
    </xf>
    <xf numFmtId="0" fontId="17" fillId="0" borderId="0" applyAlignment="1" pivotButton="0" quotePrefix="0" xfId="0">
      <alignment wrapText="1"/>
    </xf>
    <xf numFmtId="0" fontId="17" fillId="0" borderId="3" pivotButton="0" quotePrefix="0" xfId="0"/>
    <xf numFmtId="0" fontId="21" fillId="0" borderId="3" applyAlignment="1" pivotButton="0" quotePrefix="0" xfId="0">
      <alignment horizontal="center" vertical="center" wrapText="1"/>
    </xf>
    <xf numFmtId="0" fontId="23" fillId="0" borderId="0" pivotButton="0" quotePrefix="0" xfId="0"/>
    <xf numFmtId="164" fontId="24" fillId="0" borderId="2" applyAlignment="1" pivotButton="0" quotePrefix="0" xfId="63">
      <alignment horizontal="left" vertical="center"/>
    </xf>
    <xf numFmtId="164" fontId="25" fillId="0" borderId="5" applyAlignment="1" pivotButton="0" quotePrefix="0" xfId="64">
      <alignment horizontal="left" vertical="center"/>
    </xf>
    <xf numFmtId="164" fontId="25" fillId="0" borderId="9" applyAlignment="1" pivotButton="0" quotePrefix="0" xfId="64">
      <alignment vertical="center"/>
    </xf>
    <xf numFmtId="43" fontId="24" fillId="0" borderId="2" applyAlignment="1" pivotButton="0" quotePrefix="0" xfId="65">
      <alignment horizontal="left" vertical="center" wrapText="1"/>
    </xf>
    <xf numFmtId="164" fontId="25" fillId="0" borderId="2" applyAlignment="1" pivotButton="0" quotePrefix="0" xfId="64">
      <alignment horizontal="left" vertical="center"/>
    </xf>
    <xf numFmtId="164" fontId="24" fillId="0" borderId="2" applyAlignment="1" pivotButton="0" quotePrefix="0" xfId="65">
      <alignment horizontal="left" vertical="center"/>
    </xf>
    <xf numFmtId="0" fontId="24" fillId="0" borderId="2" applyAlignment="1" pivotButton="0" quotePrefix="1" xfId="65">
      <alignment horizontal="left" vertical="center"/>
    </xf>
    <xf numFmtId="164" fontId="24" fillId="0" borderId="2" applyAlignment="1" pivotButton="0" quotePrefix="0" xfId="63">
      <alignment horizontal="center" vertical="center"/>
    </xf>
    <xf numFmtId="0" fontId="24" fillId="0" borderId="2" applyAlignment="1" pivotButton="0" quotePrefix="0" xfId="18">
      <alignment horizontal="center" vertical="center"/>
    </xf>
    <xf numFmtId="0" fontId="24" fillId="4" borderId="6" applyAlignment="1" pivotButton="0" quotePrefix="0" xfId="0">
      <alignment horizontal="center" vertical="center" wrapText="1"/>
    </xf>
    <xf numFmtId="0" fontId="24" fillId="4" borderId="6" applyAlignment="1" pivotButton="0" quotePrefix="0" xfId="66">
      <alignment horizontal="center" vertical="center" wrapText="1"/>
    </xf>
    <xf numFmtId="0" fontId="24" fillId="4" borderId="6" applyAlignment="1" pivotButton="0" quotePrefix="0" xfId="18">
      <alignment horizontal="center" vertical="center"/>
    </xf>
    <xf numFmtId="165" fontId="24" fillId="4" borderId="6" applyAlignment="1" pivotButton="0" quotePrefix="0" xfId="0">
      <alignment horizontal="center" vertical="center" wrapText="1"/>
    </xf>
    <xf numFmtId="164" fontId="24" fillId="4" borderId="6" applyAlignment="1" pivotButton="0" quotePrefix="0" xfId="63">
      <alignment horizontal="center" vertical="center" wrapText="1"/>
    </xf>
    <xf numFmtId="164" fontId="24" fillId="4" borderId="6" applyAlignment="1" pivotButton="0" quotePrefix="0" xfId="64">
      <alignment horizontal="center" vertical="center" wrapText="1"/>
    </xf>
    <xf numFmtId="43" fontId="24" fillId="4" borderId="6" applyAlignment="1" pivotButton="0" quotePrefix="0" xfId="65">
      <alignment horizontal="center" vertical="center" wrapText="1"/>
    </xf>
    <xf numFmtId="0" fontId="26" fillId="0" borderId="7" applyAlignment="1" pivotButton="0" quotePrefix="0" xfId="0">
      <alignment horizontal="center" vertical="center" wrapText="1"/>
    </xf>
    <xf numFmtId="0" fontId="26" fillId="0" borderId="7" applyAlignment="1" pivotButton="0" quotePrefix="0" xfId="0">
      <alignment horizontal="left" vertical="center" wrapText="1"/>
    </xf>
    <xf numFmtId="164" fontId="26" fillId="0" borderId="7" applyAlignment="1" pivotButton="0" quotePrefix="0" xfId="64">
      <alignment horizontal="center" vertical="center" wrapText="1"/>
    </xf>
    <xf numFmtId="0" fontId="27" fillId="0" borderId="0" applyAlignment="1" pivotButton="0" quotePrefix="0" xfId="62">
      <alignment wrapText="1"/>
    </xf>
    <xf numFmtId="0" fontId="27" fillId="0" borderId="0" pivotButton="0" quotePrefix="0" xfId="62"/>
    <xf numFmtId="164" fontId="28" fillId="4" borderId="13" applyAlignment="1" pivotButton="0" quotePrefix="0" xfId="64">
      <alignment horizontal="right" vertical="center"/>
    </xf>
    <xf numFmtId="164" fontId="28" fillId="4" borderId="17" applyAlignment="1" pivotButton="0" quotePrefix="0" xfId="64">
      <alignment horizontal="right" vertical="center"/>
    </xf>
    <xf numFmtId="0" fontId="27" fillId="4" borderId="17" applyAlignment="1" pivotButton="0" quotePrefix="0" xfId="62">
      <alignment horizontal="center" vertical="center" wrapText="1"/>
    </xf>
    <xf numFmtId="164" fontId="28" fillId="4" borderId="21" applyAlignment="1" pivotButton="0" quotePrefix="0" xfId="64">
      <alignment horizontal="right" vertical="center"/>
    </xf>
    <xf numFmtId="0" fontId="29" fillId="0" borderId="0" pivotButton="0" quotePrefix="0" xfId="0"/>
    <xf numFmtId="0" fontId="29" fillId="0" borderId="0" applyAlignment="1" pivotButton="0" quotePrefix="0" xfId="0">
      <alignment horizontal="center" wrapText="1"/>
    </xf>
    <xf numFmtId="0" fontId="29" fillId="0" borderId="0" applyAlignment="1" pivotButton="0" quotePrefix="0" xfId="0">
      <alignment horizontal="center"/>
    </xf>
    <xf numFmtId="0" fontId="29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vertical="center"/>
    </xf>
    <xf numFmtId="164" fontId="29" fillId="0" borderId="0" applyAlignment="1" pivotButton="0" quotePrefix="0" xfId="63">
      <alignment horizontal="center" vertical="center"/>
    </xf>
    <xf numFmtId="164" fontId="29" fillId="0" borderId="0" pivotButton="0" quotePrefix="0" xfId="64"/>
    <xf numFmtId="164" fontId="29" fillId="0" borderId="0" applyAlignment="1" pivotButton="0" quotePrefix="0" xfId="63">
      <alignment horizontal="center"/>
    </xf>
    <xf numFmtId="0" fontId="27" fillId="0" borderId="0" pivotButton="0" quotePrefix="0" xfId="0"/>
    <xf numFmtId="0" fontId="30" fillId="0" borderId="0" applyAlignment="1" pivotButton="0" quotePrefix="0" xfId="0">
      <alignment horizontal="left" vertical="center" wrapText="1"/>
    </xf>
    <xf numFmtId="0" fontId="31" fillId="0" borderId="0" applyAlignment="1" pivotButton="0" quotePrefix="1" xfId="67">
      <alignment horizontal="left"/>
    </xf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30" fillId="0" borderId="0" applyAlignment="1" pivotButton="0" quotePrefix="0" xfId="0">
      <alignment vertical="center" wrapText="1"/>
    </xf>
    <xf numFmtId="164" fontId="30" fillId="0" borderId="0" applyAlignment="1" pivotButton="0" quotePrefix="0" xfId="64">
      <alignment vertical="center" wrapText="1"/>
    </xf>
    <xf numFmtId="164" fontId="27" fillId="0" borderId="0" pivotButton="0" quotePrefix="0" xfId="64"/>
    <xf numFmtId="0" fontId="32" fillId="3" borderId="0" applyAlignment="1" pivotButton="0" quotePrefix="0" xfId="0">
      <alignment horizontal="left" vertical="center"/>
    </xf>
    <xf numFmtId="0" fontId="34" fillId="3" borderId="0" applyAlignment="1" pivotButton="0" quotePrefix="0" xfId="0">
      <alignment horizontal="center" vertical="center"/>
    </xf>
    <xf numFmtId="43" fontId="34" fillId="3" borderId="0" applyAlignment="1" pivotButton="0" quotePrefix="0" xfId="63">
      <alignment horizontal="left" vertical="center"/>
    </xf>
    <xf numFmtId="164" fontId="30" fillId="0" borderId="0" applyAlignment="1" pivotButton="0" quotePrefix="0" xfId="63">
      <alignment horizontal="center" vertical="center" wrapText="1"/>
    </xf>
    <xf numFmtId="3" fontId="30" fillId="0" borderId="0" applyAlignment="1" pivotButton="0" quotePrefix="0" xfId="0">
      <alignment vertical="center" wrapText="1"/>
    </xf>
    <xf numFmtId="49" fontId="36" fillId="3" borderId="0" applyAlignment="1" pivotButton="0" quotePrefix="0" xfId="0">
      <alignment horizontal="left" vertical="center"/>
    </xf>
    <xf numFmtId="49" fontId="36" fillId="3" borderId="0" applyAlignment="1" pivotButton="0" quotePrefix="0" xfId="0">
      <alignment horizontal="center" vertical="center"/>
    </xf>
    <xf numFmtId="43" fontId="34" fillId="3" borderId="0" applyAlignment="1" pivotButton="0" quotePrefix="0" xfId="63">
      <alignment horizontal="right" vertical="center"/>
    </xf>
    <xf numFmtId="3" fontId="30" fillId="0" borderId="0" applyAlignment="1" pivotButton="0" quotePrefix="0" xfId="0">
      <alignment horizontal="left" vertical="center" wrapText="1"/>
    </xf>
    <xf numFmtId="3" fontId="29" fillId="0" borderId="0" applyAlignment="1" pivotButton="0" quotePrefix="0" xfId="0">
      <alignment vertical="center"/>
    </xf>
    <xf numFmtId="164" fontId="29" fillId="0" borderId="0" applyAlignment="1" pivotButton="0" quotePrefix="0" xfId="64">
      <alignment vertical="center"/>
    </xf>
    <xf numFmtId="0" fontId="32" fillId="3" borderId="0" applyAlignment="1" pivotButton="0" quotePrefix="0" xfId="0">
      <alignment vertical="center"/>
    </xf>
    <xf numFmtId="49" fontId="37" fillId="3" borderId="0" applyAlignment="1" pivotButton="0" quotePrefix="0" xfId="0">
      <alignment horizontal="left" vertical="center"/>
    </xf>
    <xf numFmtId="0" fontId="31" fillId="0" borderId="0" pivotButton="0" quotePrefix="0" xfId="67"/>
    <xf numFmtId="0" fontId="38" fillId="0" borderId="0" pivotButton="0" quotePrefix="0" xfId="18"/>
    <xf numFmtId="0" fontId="38" fillId="0" borderId="0" applyAlignment="1" pivotButton="0" quotePrefix="0" xfId="18">
      <alignment horizontal="center" vertical="center"/>
    </xf>
    <xf numFmtId="164" fontId="29" fillId="0" borderId="0" applyAlignment="1" pivotButton="0" quotePrefix="0" xfId="64">
      <alignment horizontal="center" vertical="center"/>
    </xf>
    <xf numFmtId="0" fontId="2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32" fillId="3" borderId="0" applyAlignment="1" pivotButton="0" quotePrefix="1" xfId="0">
      <alignment vertical="center"/>
    </xf>
    <xf numFmtId="1" fontId="29" fillId="0" borderId="0" applyAlignment="1" pivotButton="0" quotePrefix="0" xfId="18">
      <alignment horizontal="center" vertical="center"/>
    </xf>
    <xf numFmtId="0" fontId="40" fillId="0" borderId="0" applyAlignment="1" pivotButton="0" quotePrefix="0" xfId="66">
      <alignment horizontal="center" vertical="center"/>
    </xf>
    <xf numFmtId="164" fontId="40" fillId="0" borderId="0" applyAlignment="1" pivotButton="0" quotePrefix="0" xfId="65">
      <alignment horizontal="center" vertical="center" wrapText="1"/>
    </xf>
    <xf numFmtId="0" fontId="10" fillId="0" borderId="0" applyAlignment="1" pivotButton="0" quotePrefix="0" xfId="68">
      <alignment horizontal="center" vertical="center" wrapText="1"/>
    </xf>
    <xf numFmtId="164" fontId="23" fillId="0" borderId="0" pivotButton="0" quotePrefix="0" xfId="64"/>
    <xf numFmtId="0" fontId="38" fillId="0" borderId="0" applyAlignment="1" pivotButton="0" quotePrefix="0" xfId="18">
      <alignment vertical="center"/>
    </xf>
    <xf numFmtId="3" fontId="29" fillId="0" borderId="0" pivotButton="0" quotePrefix="0" xfId="63"/>
    <xf numFmtId="164" fontId="29" fillId="0" borderId="0" applyAlignment="1" pivotButton="0" quotePrefix="0" xfId="64">
      <alignment horizontal="center"/>
    </xf>
    <xf numFmtId="0" fontId="27" fillId="0" borderId="0" applyAlignment="1" pivotButton="0" quotePrefix="0" xfId="0">
      <alignment horizontal="center" wrapText="1"/>
    </xf>
    <xf numFmtId="0" fontId="27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vertical="center"/>
    </xf>
    <xf numFmtId="164" fontId="27" fillId="0" borderId="0" applyAlignment="1" pivotButton="0" quotePrefix="0" xfId="63">
      <alignment horizontal="center" vertical="center"/>
    </xf>
    <xf numFmtId="164" fontId="27" fillId="0" borderId="0" applyAlignment="1" pivotButton="0" quotePrefix="0" xfId="63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63">
      <alignment horizontal="center" vertical="center"/>
    </xf>
    <xf numFmtId="164" fontId="18" fillId="0" borderId="0" pivotButton="0" quotePrefix="0" xfId="64"/>
    <xf numFmtId="164" fontId="41" fillId="0" borderId="0" pivotButton="0" quotePrefix="0" xfId="64"/>
    <xf numFmtId="164" fontId="41" fillId="0" borderId="0" applyAlignment="1" pivotButton="0" quotePrefix="0" xfId="63">
      <alignment horizontal="center"/>
    </xf>
    <xf numFmtId="0" fontId="24" fillId="0" borderId="8" applyAlignment="1" pivotButton="0" quotePrefix="0" xfId="0">
      <alignment horizontal="left" vertical="center" wrapText="1"/>
    </xf>
    <xf numFmtId="164" fontId="28" fillId="0" borderId="0" pivotButton="0" quotePrefix="0" xfId="64"/>
    <xf numFmtId="0" fontId="43" fillId="0" borderId="7" applyAlignment="1" pivotButton="0" quotePrefix="0" xfId="0">
      <alignment horizontal="center" vertical="center" wrapText="1"/>
    </xf>
    <xf numFmtId="0" fontId="44" fillId="0" borderId="7" applyAlignment="1" pivotButton="0" quotePrefix="0" xfId="0">
      <alignment horizontal="left" vertical="center" wrapText="1"/>
    </xf>
    <xf numFmtId="0" fontId="42" fillId="0" borderId="7" applyAlignment="1" pivotButton="0" quotePrefix="0" xfId="0">
      <alignment horizontal="center" vertical="center" wrapText="1"/>
    </xf>
    <xf numFmtId="164" fontId="42" fillId="0" borderId="7" applyAlignment="1" pivotButton="0" quotePrefix="0" xfId="64">
      <alignment horizontal="center" vertical="center" wrapText="1"/>
    </xf>
    <xf numFmtId="164" fontId="46" fillId="0" borderId="7" applyAlignment="1" pivotButton="0" quotePrefix="0" xfId="64">
      <alignment horizontal="center" vertical="center" wrapText="1"/>
    </xf>
    <xf numFmtId="0" fontId="46" fillId="0" borderId="7" applyAlignment="1" pivotButton="0" quotePrefix="0" xfId="0">
      <alignment horizontal="left" vertical="center" wrapText="1"/>
    </xf>
    <xf numFmtId="0" fontId="46" fillId="0" borderId="7" applyAlignment="1" pivotButton="0" quotePrefix="0" xfId="0">
      <alignment horizontal="center" vertical="center" wrapText="1"/>
    </xf>
    <xf numFmtId="0" fontId="44" fillId="2" borderId="7" applyAlignment="1" pivotButton="0" quotePrefix="0" xfId="0">
      <alignment horizontal="left" vertical="center" wrapText="1"/>
    </xf>
    <xf numFmtId="164" fontId="44" fillId="2" borderId="7" applyAlignment="1" pivotButton="0" quotePrefix="0" xfId="64">
      <alignment horizontal="left" vertical="center" wrapText="1"/>
    </xf>
    <xf numFmtId="164" fontId="45" fillId="2" borderId="7" applyAlignment="1" pivotButton="0" quotePrefix="0" xfId="64">
      <alignment horizontal="left" vertical="center" wrapText="1"/>
    </xf>
    <xf numFmtId="0" fontId="42" fillId="0" borderId="0" applyAlignment="1" pivotButton="0" quotePrefix="0" xfId="62">
      <alignment wrapText="1"/>
    </xf>
    <xf numFmtId="0" fontId="45" fillId="0" borderId="7" applyAlignment="1" pivotButton="0" quotePrefix="0" xfId="0">
      <alignment horizontal="left" vertical="center" wrapText="1"/>
    </xf>
    <xf numFmtId="0" fontId="45" fillId="0" borderId="7" applyAlignment="1" pivotButton="0" quotePrefix="0" xfId="0">
      <alignment horizontal="center" vertical="center" wrapText="1"/>
    </xf>
    <xf numFmtId="164" fontId="45" fillId="0" borderId="7" applyAlignment="1" pivotButton="0" quotePrefix="0" xfId="64">
      <alignment horizontal="center" vertical="center" wrapText="1"/>
    </xf>
    <xf numFmtId="0" fontId="44" fillId="0" borderId="7" applyAlignment="1" pivotButton="0" quotePrefix="0" xfId="0">
      <alignment horizontal="center" vertical="center" wrapText="1"/>
    </xf>
    <xf numFmtId="2" fontId="45" fillId="0" borderId="7" applyAlignment="1" pivotButton="0" quotePrefix="0" xfId="69">
      <alignment horizontal="center" vertical="center" wrapText="1"/>
    </xf>
    <xf numFmtId="0" fontId="45" fillId="0" borderId="7" applyAlignment="1" pivotButton="0" quotePrefix="0" xfId="0">
      <alignment horizontal="left" vertical="center" wrapText="1"/>
    </xf>
    <xf numFmtId="0" fontId="45" fillId="0" borderId="7" applyAlignment="1" pivotButton="0" quotePrefix="0" xfId="0">
      <alignment horizontal="center" vertical="center" wrapText="1"/>
    </xf>
    <xf numFmtId="2" fontId="45" fillId="0" borderId="7" applyAlignment="1" pivotButton="0" quotePrefix="0" xfId="69">
      <alignment horizontal="center" vertical="center" wrapText="1"/>
    </xf>
    <xf numFmtId="164" fontId="45" fillId="0" borderId="7" applyAlignment="1" pivotButton="0" quotePrefix="0" xfId="64">
      <alignment horizontal="center" vertical="center" wrapText="1"/>
    </xf>
    <xf numFmtId="3" fontId="27" fillId="0" borderId="0" pivotButton="0" quotePrefix="0" xfId="62"/>
    <xf numFmtId="3" fontId="27" fillId="4" borderId="13" applyAlignment="1" pivotButton="0" quotePrefix="0" xfId="62">
      <alignment horizontal="center" vertical="center" wrapText="1"/>
    </xf>
    <xf numFmtId="41" fontId="27" fillId="0" borderId="0" pivotButton="0" quotePrefix="0" xfId="62"/>
    <xf numFmtId="3" fontId="27" fillId="4" borderId="21" applyAlignment="1" pivotButton="0" quotePrefix="0" xfId="62">
      <alignment horizontal="center" vertical="center" wrapText="1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6" applyAlignment="1" pivotButton="0" quotePrefix="0" xfId="0">
      <alignment horizontal="center" vertical="center" wrapText="1"/>
    </xf>
    <xf numFmtId="165" fontId="24" fillId="0" borderId="5" applyAlignment="1" pivotButton="0" quotePrefix="0" xfId="0">
      <alignment horizontal="left" vertical="center" wrapText="1"/>
    </xf>
    <xf numFmtId="165" fontId="24" fillId="0" borderId="8" applyAlignment="1" pivotButton="0" quotePrefix="0" xfId="0">
      <alignment horizontal="left" vertical="center" wrapText="1"/>
    </xf>
    <xf numFmtId="165" fontId="24" fillId="0" borderId="9" applyAlignment="1" pivotButton="0" quotePrefix="0" xfId="0">
      <alignment horizontal="left" vertical="center" wrapText="1"/>
    </xf>
    <xf numFmtId="165" fontId="20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wrapText="1"/>
    </xf>
    <xf numFmtId="165" fontId="17" fillId="0" borderId="0" applyAlignment="1" pivotButton="0" quotePrefix="0" xfId="0">
      <alignment horizontal="right" vertical="center"/>
    </xf>
    <xf numFmtId="165" fontId="17" fillId="0" borderId="3" applyAlignment="1" pivotButton="0" quotePrefix="0" xfId="0">
      <alignment horizontal="right" vertical="center"/>
    </xf>
    <xf numFmtId="0" fontId="22" fillId="0" borderId="0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8" applyAlignment="1" pivotButton="0" quotePrefix="0" xfId="0">
      <alignment horizontal="left" vertical="center" wrapText="1"/>
    </xf>
    <xf numFmtId="0" fontId="24" fillId="0" borderId="9" applyAlignment="1" pivotButton="0" quotePrefix="0" xfId="0">
      <alignment horizontal="left" vertical="center" wrapText="1"/>
    </xf>
    <xf numFmtId="43" fontId="24" fillId="0" borderId="4" applyAlignment="1" pivotButton="0" quotePrefix="0" xfId="65">
      <alignment horizontal="center" vertical="center" wrapText="1"/>
    </xf>
    <xf numFmtId="43" fontId="24" fillId="0" borderId="6" applyAlignment="1" pivotButton="0" quotePrefix="0" xfId="65">
      <alignment horizontal="center" vertical="center" wrapText="1"/>
    </xf>
    <xf numFmtId="0" fontId="24" fillId="0" borderId="4" applyAlignment="1" pivotButton="0" quotePrefix="0" xfId="18">
      <alignment horizontal="center" vertical="center"/>
    </xf>
    <xf numFmtId="164" fontId="28" fillId="4" borderId="10" applyAlignment="1" pivotButton="0" quotePrefix="0" xfId="65">
      <alignment horizontal="right" vertical="center" wrapText="1"/>
    </xf>
    <xf numFmtId="164" fontId="28" fillId="4" borderId="11" applyAlignment="1" pivotButton="0" quotePrefix="0" xfId="65">
      <alignment horizontal="right" vertical="center" wrapText="1"/>
    </xf>
    <xf numFmtId="164" fontId="28" fillId="4" borderId="12" applyAlignment="1" pivotButton="0" quotePrefix="0" xfId="65">
      <alignment horizontal="right" vertical="center" wrapText="1"/>
    </xf>
    <xf numFmtId="164" fontId="28" fillId="4" borderId="14" applyAlignment="1" pivotButton="0" quotePrefix="0" xfId="65">
      <alignment horizontal="right" vertical="center" wrapText="1"/>
    </xf>
    <xf numFmtId="164" fontId="28" fillId="4" borderId="15" applyAlignment="1" pivotButton="0" quotePrefix="0" xfId="65">
      <alignment horizontal="right" vertical="center" wrapText="1"/>
    </xf>
    <xf numFmtId="164" fontId="28" fillId="4" borderId="16" applyAlignment="1" pivotButton="0" quotePrefix="0" xfId="65">
      <alignment horizontal="right" vertical="center" wrapText="1"/>
    </xf>
    <xf numFmtId="0" fontId="24" fillId="0" borderId="4" applyAlignment="1" pivotButton="0" quotePrefix="0" xfId="66">
      <alignment horizontal="center" vertical="center" wrapText="1"/>
    </xf>
    <xf numFmtId="0" fontId="24" fillId="0" borderId="6" applyAlignment="1" pivotButton="0" quotePrefix="0" xfId="66">
      <alignment horizontal="center" vertical="center" wrapText="1"/>
    </xf>
    <xf numFmtId="165" fontId="24" fillId="0" borderId="4" applyAlignment="1" pivotButton="0" quotePrefix="0" xfId="0">
      <alignment horizontal="center" vertical="center" wrapText="1"/>
    </xf>
    <xf numFmtId="165" fontId="24" fillId="0" borderId="6" applyAlignment="1" pivotButton="0" quotePrefix="0" xfId="0">
      <alignment horizontal="center" vertical="center" wrapText="1"/>
    </xf>
    <xf numFmtId="164" fontId="24" fillId="0" borderId="4" applyAlignment="1" pivotButton="0" quotePrefix="0" xfId="63">
      <alignment horizontal="center" vertical="center" wrapText="1"/>
    </xf>
    <xf numFmtId="164" fontId="24" fillId="0" borderId="6" applyAlignment="1" pivotButton="0" quotePrefix="0" xfId="63">
      <alignment horizontal="center" vertical="center" wrapText="1"/>
    </xf>
    <xf numFmtId="164" fontId="24" fillId="0" borderId="4" applyAlignment="1" pivotButton="0" quotePrefix="0" xfId="64">
      <alignment horizontal="center" vertical="center" wrapText="1"/>
    </xf>
    <xf numFmtId="164" fontId="24" fillId="0" borderId="6" applyAlignment="1" pivotButton="0" quotePrefix="0" xfId="64">
      <alignment horizontal="center" vertical="center" wrapText="1"/>
    </xf>
    <xf numFmtId="0" fontId="24" fillId="0" borderId="2" applyAlignment="1" pivotButton="0" quotePrefix="0" xfId="67">
      <alignment horizontal="center" vertical="center"/>
    </xf>
    <xf numFmtId="0" fontId="44" fillId="2" borderId="14" applyAlignment="1" pivotButton="0" quotePrefix="0" xfId="0">
      <alignment horizontal="left" vertical="center" wrapText="1"/>
    </xf>
    <xf numFmtId="0" fontId="44" fillId="2" borderId="16" applyAlignment="1" pivotButton="0" quotePrefix="0" xfId="0">
      <alignment horizontal="left" vertical="center" wrapText="1"/>
    </xf>
    <xf numFmtId="0" fontId="43" fillId="0" borderId="14" applyAlignment="1" pivotButton="0" quotePrefix="0" xfId="0">
      <alignment horizontal="center" vertical="center" wrapText="1"/>
    </xf>
    <xf numFmtId="0" fontId="43" fillId="0" borderId="16" applyAlignment="1" pivotButton="0" quotePrefix="0" xfId="0">
      <alignment horizontal="center" vertical="center" wrapText="1"/>
    </xf>
    <xf numFmtId="0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64">
      <alignment horizontal="center" vertical="center"/>
    </xf>
    <xf numFmtId="0" fontId="9" fillId="0" borderId="0" applyAlignment="1" pivotButton="0" quotePrefix="0" xfId="0">
      <alignment horizontal="left" vertical="center" indent="12"/>
    </xf>
    <xf numFmtId="164" fontId="9" fillId="0" borderId="0" applyAlignment="1" pivotButton="0" quotePrefix="0" xfId="64">
      <alignment horizontal="left" vertical="center" indent="12"/>
    </xf>
    <xf numFmtId="164" fontId="10" fillId="0" borderId="0" applyAlignment="1" pivotButton="0" quotePrefix="0" xfId="63">
      <alignment horizontal="center" vertical="center" wrapText="1"/>
    </xf>
    <xf numFmtId="164" fontId="10" fillId="0" borderId="0" applyAlignment="1" pivotButton="0" quotePrefix="0" xfId="64">
      <alignment horizontal="center" vertical="center" wrapText="1"/>
    </xf>
    <xf numFmtId="164" fontId="28" fillId="4" borderId="18" applyAlignment="1" pivotButton="0" quotePrefix="0" xfId="65">
      <alignment horizontal="right" vertical="center" wrapText="1"/>
    </xf>
    <xf numFmtId="164" fontId="28" fillId="4" borderId="19" applyAlignment="1" pivotButton="0" quotePrefix="0" xfId="65">
      <alignment horizontal="right" vertical="center" wrapText="1"/>
    </xf>
    <xf numFmtId="164" fontId="28" fillId="4" borderId="20" applyAlignment="1" pivotButton="0" quotePrefix="0" xfId="65">
      <alignment horizontal="right" vertical="center" wrapText="1"/>
    </xf>
    <xf numFmtId="0" fontId="50" fillId="0" borderId="0" pivotButton="0" quotePrefix="0" xfId="0"/>
    <xf numFmtId="0" fontId="51" fillId="0" borderId="0" pivotButton="0" quotePrefix="0" xfId="0"/>
    <xf numFmtId="0" fontId="52" fillId="0" borderId="0" pivotButton="0" quotePrefix="0" xfId="0"/>
    <xf numFmtId="0" fontId="53" fillId="0" borderId="0" applyAlignment="1" pivotButton="0" quotePrefix="0" xfId="0">
      <alignment horizontal="center" vertical="center"/>
    </xf>
    <xf numFmtId="0" fontId="54" fillId="5" borderId="32" applyAlignment="1" pivotButton="0" quotePrefix="0" xfId="0">
      <alignment horizontal="center" vertical="center" wrapText="1"/>
    </xf>
    <xf numFmtId="0" fontId="0" fillId="6" borderId="31" pivotButton="0" quotePrefix="0" xfId="0"/>
    <xf numFmtId="0" fontId="55" fillId="6" borderId="31" pivotButton="0" quotePrefix="0" xfId="0"/>
    <xf numFmtId="0" fontId="51" fillId="0" borderId="31" applyAlignment="1" pivotButton="0" quotePrefix="0" xfId="0">
      <alignment horizontal="center" vertical="center" wrapText="1"/>
    </xf>
    <xf numFmtId="0" fontId="51" fillId="0" borderId="31" applyAlignment="1" pivotButton="0" quotePrefix="0" xfId="0">
      <alignment horizontal="left" vertical="center" wrapText="1"/>
    </xf>
    <xf numFmtId="2" fontId="51" fillId="0" borderId="31" applyAlignment="1" pivotButton="0" quotePrefix="0" xfId="0">
      <alignment horizontal="center" vertical="center" wrapText="1"/>
    </xf>
    <xf numFmtId="3" fontId="51" fillId="0" borderId="31" applyAlignment="1" pivotButton="0" quotePrefix="0" xfId="0">
      <alignment horizontal="right" vertical="center"/>
    </xf>
    <xf numFmtId="0" fontId="56" fillId="0" borderId="0" pivotButton="0" quotePrefix="0" xfId="0"/>
    <xf numFmtId="3" fontId="56" fillId="0" borderId="0" pivotButton="0" quotePrefix="0" xfId="0"/>
    <xf numFmtId="164" fontId="0" fillId="0" borderId="0" applyAlignment="1" pivotButton="0" quotePrefix="0" xfId="63">
      <alignment horizontal="center" vertical="center"/>
    </xf>
    <xf numFmtId="164" fontId="18" fillId="0" borderId="0" pivotButton="0" quotePrefix="0" xfId="64"/>
    <xf numFmtId="164" fontId="41" fillId="0" borderId="0" pivotButton="0" quotePrefix="0" xfId="64"/>
    <xf numFmtId="164" fontId="41" fillId="0" borderId="0" applyAlignment="1" pivotButton="0" quotePrefix="0" xfId="63">
      <alignment horizontal="center"/>
    </xf>
    <xf numFmtId="164" fontId="17" fillId="0" borderId="0" applyAlignment="1" pivotButton="0" quotePrefix="0" xfId="63">
      <alignment horizontal="center" vertical="center"/>
    </xf>
    <xf numFmtId="164" fontId="19" fillId="0" borderId="0" pivotButton="0" quotePrefix="0" xfId="64"/>
    <xf numFmtId="164" fontId="17" fillId="0" borderId="0" pivotButton="0" quotePrefix="0" xfId="64"/>
    <xf numFmtId="164" fontId="17" fillId="0" borderId="0" applyAlignment="1" pivotButton="0" quotePrefix="0" xfId="63">
      <alignment horizontal="center"/>
    </xf>
    <xf numFmtId="165" fontId="20" fillId="0" borderId="0" applyAlignment="1" pivotButton="0" quotePrefix="0" xfId="0">
      <alignment horizontal="right" vertical="center"/>
    </xf>
    <xf numFmtId="165" fontId="17" fillId="0" borderId="0" applyAlignment="1" pivotButton="0" quotePrefix="0" xfId="0">
      <alignment horizontal="right" vertical="center"/>
    </xf>
    <xf numFmtId="165" fontId="17" fillId="0" borderId="3" applyAlignment="1" pivotButton="0" quotePrefix="0" xfId="0">
      <alignment horizontal="right" vertical="center"/>
    </xf>
    <xf numFmtId="0" fontId="0" fillId="0" borderId="3" pivotButton="0" quotePrefix="0" xfId="0"/>
    <xf numFmtId="0" fontId="24" fillId="0" borderId="2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  <xf numFmtId="164" fontId="24" fillId="0" borderId="2" applyAlignment="1" pivotButton="0" quotePrefix="0" xfId="63">
      <alignment horizontal="left" vertical="center"/>
    </xf>
    <xf numFmtId="164" fontId="25" fillId="0" borderId="5" applyAlignment="1" pivotButton="0" quotePrefix="0" xfId="64">
      <alignment horizontal="left" vertical="center"/>
    </xf>
    <xf numFmtId="164" fontId="25" fillId="0" borderId="9" applyAlignment="1" pivotButton="0" quotePrefix="0" xfId="64">
      <alignment vertical="center"/>
    </xf>
    <xf numFmtId="164" fontId="25" fillId="0" borderId="2" applyAlignment="1" pivotButton="0" quotePrefix="0" xfId="64">
      <alignment horizontal="left" vertical="center"/>
    </xf>
    <xf numFmtId="164" fontId="24" fillId="0" borderId="2" applyAlignment="1" pivotButton="0" quotePrefix="0" xfId="65">
      <alignment horizontal="left" vertical="center"/>
    </xf>
    <xf numFmtId="164" fontId="24" fillId="0" borderId="2" applyAlignment="1" pivotButton="0" quotePrefix="0" xfId="63">
      <alignment horizontal="center" vertical="center"/>
    </xf>
    <xf numFmtId="165" fontId="24" fillId="0" borderId="2" applyAlignment="1" pivotButton="0" quotePrefix="0" xfId="0">
      <alignment horizontal="left" vertical="center" wrapText="1"/>
    </xf>
    <xf numFmtId="165" fontId="24" fillId="0" borderId="4" applyAlignment="1" pivotButton="0" quotePrefix="0" xfId="0">
      <alignment horizontal="center" vertical="center" wrapText="1"/>
    </xf>
    <xf numFmtId="164" fontId="24" fillId="0" borderId="4" applyAlignment="1" pivotButton="0" quotePrefix="0" xfId="63">
      <alignment horizontal="center" vertical="center" wrapText="1"/>
    </xf>
    <xf numFmtId="164" fontId="24" fillId="0" borderId="4" applyAlignment="1" pivotButton="0" quotePrefix="0" xfId="64">
      <alignment horizontal="center" vertical="center" wrapText="1"/>
    </xf>
    <xf numFmtId="0" fontId="0" fillId="0" borderId="6" pivotButton="0" quotePrefix="0" xfId="0"/>
    <xf numFmtId="0" fontId="0" fillId="0" borderId="26" pivotButton="0" quotePrefix="0" xfId="0"/>
    <xf numFmtId="0" fontId="0" fillId="0" borderId="30" pivotButton="0" quotePrefix="0" xfId="0"/>
    <xf numFmtId="165" fontId="24" fillId="4" borderId="6" applyAlignment="1" pivotButton="0" quotePrefix="0" xfId="0">
      <alignment horizontal="center" vertical="center" wrapText="1"/>
    </xf>
    <xf numFmtId="164" fontId="24" fillId="4" borderId="6" applyAlignment="1" pivotButton="0" quotePrefix="0" xfId="63">
      <alignment horizontal="center" vertical="center" wrapText="1"/>
    </xf>
    <xf numFmtId="164" fontId="24" fillId="4" borderId="6" applyAlignment="1" pivotButton="0" quotePrefix="0" xfId="64">
      <alignment horizontal="center" vertical="center" wrapText="1"/>
    </xf>
    <xf numFmtId="0" fontId="44" fillId="2" borderId="29" applyAlignment="1" pivotButton="0" quotePrefix="0" xfId="0">
      <alignment horizontal="left" vertical="center" wrapText="1"/>
    </xf>
    <xf numFmtId="0" fontId="0" fillId="0" borderId="16" pivotButton="0" quotePrefix="0" xfId="0"/>
    <xf numFmtId="164" fontId="44" fillId="2" borderId="7" applyAlignment="1" pivotButton="0" quotePrefix="0" xfId="64">
      <alignment horizontal="left" vertical="center" wrapText="1"/>
    </xf>
    <xf numFmtId="164" fontId="45" fillId="2" borderId="7" applyAlignment="1" pivotButton="0" quotePrefix="0" xfId="64">
      <alignment horizontal="left" vertical="center" wrapText="1"/>
    </xf>
    <xf numFmtId="164" fontId="45" fillId="0" borderId="7" applyAlignment="1" pivotButton="0" quotePrefix="0" xfId="64">
      <alignment horizontal="center" vertical="center" wrapText="1"/>
    </xf>
    <xf numFmtId="0" fontId="43" fillId="0" borderId="29" applyAlignment="1" pivotButton="0" quotePrefix="0" xfId="0">
      <alignment horizontal="center" vertical="center" wrapText="1"/>
    </xf>
    <xf numFmtId="164" fontId="42" fillId="0" borderId="7" applyAlignment="1" pivotButton="0" quotePrefix="0" xfId="64">
      <alignment horizontal="center" vertical="center" wrapText="1"/>
    </xf>
    <xf numFmtId="164" fontId="46" fillId="0" borderId="7" applyAlignment="1" pivotButton="0" quotePrefix="0" xfId="64">
      <alignment horizontal="center" vertical="center" wrapText="1"/>
    </xf>
    <xf numFmtId="164" fontId="26" fillId="0" borderId="7" applyAlignment="1" pivotButton="0" quotePrefix="0" xfId="64">
      <alignment horizontal="center" vertical="center" wrapText="1"/>
    </xf>
    <xf numFmtId="164" fontId="28" fillId="4" borderId="27" applyAlignment="1" pivotButton="0" quotePrefix="0" xfId="65">
      <alignment horizontal="right" vertical="center" wrapText="1"/>
    </xf>
    <xf numFmtId="0" fontId="0" fillId="0" borderId="11" pivotButton="0" quotePrefix="0" xfId="0"/>
    <xf numFmtId="0" fontId="0" fillId="0" borderId="12" pivotButton="0" quotePrefix="0" xfId="0"/>
    <xf numFmtId="164" fontId="28" fillId="4" borderId="13" applyAlignment="1" pivotButton="0" quotePrefix="0" xfId="64">
      <alignment horizontal="right" vertical="center"/>
    </xf>
    <xf numFmtId="164" fontId="28" fillId="4" borderId="29" applyAlignment="1" pivotButton="0" quotePrefix="0" xfId="65">
      <alignment horizontal="right" vertical="center" wrapText="1"/>
    </xf>
    <xf numFmtId="0" fontId="0" fillId="0" borderId="15" pivotButton="0" quotePrefix="0" xfId="0"/>
    <xf numFmtId="164" fontId="28" fillId="4" borderId="17" applyAlignment="1" pivotButton="0" quotePrefix="0" xfId="64">
      <alignment horizontal="right" vertical="center"/>
    </xf>
    <xf numFmtId="164" fontId="28" fillId="4" borderId="21" applyAlignment="1" pivotButton="0" quotePrefix="0" xfId="65">
      <alignment horizontal="right" vertical="center" wrapText="1"/>
    </xf>
    <xf numFmtId="0" fontId="0" fillId="0" borderId="19" pivotButton="0" quotePrefix="0" xfId="0"/>
    <xf numFmtId="0" fontId="0" fillId="0" borderId="20" pivotButton="0" quotePrefix="0" xfId="0"/>
    <xf numFmtId="164" fontId="28" fillId="4" borderId="21" applyAlignment="1" pivotButton="0" quotePrefix="0" xfId="64">
      <alignment horizontal="right" vertical="center"/>
    </xf>
    <xf numFmtId="164" fontId="29" fillId="0" borderId="0" applyAlignment="1" pivotButton="0" quotePrefix="0" xfId="63">
      <alignment horizontal="center" vertical="center"/>
    </xf>
    <xf numFmtId="164" fontId="29" fillId="0" borderId="0" pivotButton="0" quotePrefix="0" xfId="64"/>
    <xf numFmtId="164" fontId="29" fillId="0" borderId="0" applyAlignment="1" pivotButton="0" quotePrefix="0" xfId="63">
      <alignment horizontal="center"/>
    </xf>
    <xf numFmtId="164" fontId="30" fillId="0" borderId="0" applyAlignment="1" pivotButton="0" quotePrefix="0" xfId="64">
      <alignment vertical="center" wrapText="1"/>
    </xf>
    <xf numFmtId="164" fontId="28" fillId="0" borderId="0" pivotButton="0" quotePrefix="0" xfId="64"/>
    <xf numFmtId="164" fontId="30" fillId="0" borderId="0" applyAlignment="1" pivotButton="0" quotePrefix="0" xfId="63">
      <alignment horizontal="center" vertical="center" wrapText="1"/>
    </xf>
    <xf numFmtId="164" fontId="27" fillId="0" borderId="0" pivotButton="0" quotePrefix="0" xfId="64"/>
    <xf numFmtId="164" fontId="29" fillId="0" borderId="0" applyAlignment="1" pivotButton="0" quotePrefix="0" xfId="64">
      <alignment vertical="center"/>
    </xf>
    <xf numFmtId="164" fontId="29" fillId="0" borderId="0" applyAlignment="1" pivotButton="0" quotePrefix="0" xfId="64">
      <alignment horizontal="center" vertical="center"/>
    </xf>
    <xf numFmtId="164" fontId="40" fillId="0" borderId="0" applyAlignment="1" pivotButton="0" quotePrefix="0" xfId="65">
      <alignment horizontal="center" vertical="center" wrapText="1"/>
    </xf>
    <xf numFmtId="164" fontId="10" fillId="0" borderId="0" applyAlignment="1" pivotButton="0" quotePrefix="0" xfId="63">
      <alignment horizontal="center" vertical="center" wrapText="1"/>
    </xf>
    <xf numFmtId="164" fontId="23" fillId="0" borderId="0" pivotButton="0" quotePrefix="0" xfId="64"/>
    <xf numFmtId="164" fontId="29" fillId="0" borderId="0" applyAlignment="1" pivotButton="0" quotePrefix="0" xfId="64">
      <alignment horizontal="center"/>
    </xf>
    <xf numFmtId="164" fontId="27" fillId="0" borderId="0" applyAlignment="1" pivotButton="0" quotePrefix="0" xfId="63">
      <alignment horizontal="center" vertical="center"/>
    </xf>
    <xf numFmtId="164" fontId="27" fillId="0" borderId="0" applyAlignment="1" pivotButton="0" quotePrefix="0" xfId="63">
      <alignment horizontal="center"/>
    </xf>
    <xf numFmtId="0" fontId="49" fillId="0" borderId="0" pivotButton="0" quotePrefix="0" xfId="0"/>
    <xf numFmtId="3" fontId="49" fillId="0" borderId="0" pivotButton="0" quotePrefix="0" xfId="0"/>
    <xf numFmtId="0" fontId="47" fillId="5" borderId="31" applyAlignment="1" pivotButton="0" quotePrefix="0" xfId="0">
      <alignment horizontal="center" vertical="center" wrapText="1"/>
    </xf>
    <xf numFmtId="3" fontId="0" fillId="0" borderId="0" pivotButton="0" quotePrefix="0" xfId="0"/>
    <xf numFmtId="171" fontId="0" fillId="0" borderId="0" pivotButton="0" quotePrefix="0" xfId="0"/>
    <xf numFmtId="0" fontId="48" fillId="0" borderId="0" applyAlignment="1" pivotButton="0" quotePrefix="0" xfId="0">
      <alignment horizontal="center"/>
    </xf>
    <xf numFmtId="3" fontId="48" fillId="0" borderId="0" pivotButton="0" quotePrefix="0" xfId="0"/>
    <xf numFmtId="172" fontId="0" fillId="0" borderId="0" pivotButton="0" quotePrefix="0" xfId="0"/>
    <xf numFmtId="4" fontId="0" fillId="0" borderId="0" pivotButton="0" quotePrefix="0" xfId="0"/>
  </cellXfs>
  <cellStyles count="70">
    <cellStyle name="Normal" xfId="0" builtinId="0"/>
    <cellStyle name="Normal 2 7" xfId="1"/>
    <cellStyle name="Comma 6 2" xfId="2"/>
    <cellStyle name="Comma 14 5 3" xfId="3"/>
    <cellStyle name="Comma 10 6 2" xfId="4"/>
    <cellStyle name="Normal 21 2 3" xfId="5"/>
    <cellStyle name="RowLevel_1 2 2" xfId="6"/>
    <cellStyle name="Normal 10 3 2 3" xfId="7"/>
    <cellStyle name="Normal 18 3" xfId="8"/>
    <cellStyle name="Comma 3 2 2" xfId="9"/>
    <cellStyle name="Normal 30 2" xfId="10"/>
    <cellStyle name="Comma 14 2 2" xfId="11"/>
    <cellStyle name="Normal 18 3 2" xfId="12"/>
    <cellStyle name="Comma 34" xfId="13"/>
    <cellStyle name="Comma 2" xfId="14"/>
    <cellStyle name="Comma 102" xfId="15"/>
    <cellStyle name="Comma 11 3 2" xfId="16"/>
    <cellStyle name="Normal 53" xfId="17"/>
    <cellStyle name="Normal 3 2 2 3" xfId="18"/>
    <cellStyle name="Normal 4 3" xfId="19"/>
    <cellStyle name="Comma 3 2 3" xfId="20"/>
    <cellStyle name="Normal - Style1 2 4 3" xfId="21"/>
    <cellStyle name="Normal - Style1 2 2" xfId="22"/>
    <cellStyle name="Comma 2 19" xfId="23"/>
    <cellStyle name="Comma 3 3" xfId="24"/>
    <cellStyle name="Normal 10 3 2 2" xfId="25"/>
    <cellStyle name="Normal 10 3 2 2 2 2" xfId="26"/>
    <cellStyle name="Comma 6 2 3" xfId="27"/>
    <cellStyle name="Normal 10" xfId="28"/>
    <cellStyle name="Comma 45" xfId="29"/>
    <cellStyle name="Normal 3 2 4" xfId="30"/>
    <cellStyle name="Normal 32" xfId="31"/>
    <cellStyle name="Normal 10 2" xfId="32"/>
    <cellStyle name="Total 4" xfId="33"/>
    <cellStyle name="Normal 21 2 3 4" xfId="34"/>
    <cellStyle name="Normal 6 5" xfId="35"/>
    <cellStyle name="Normal 16 2 5" xfId="36"/>
    <cellStyle name="Normal - Style1 2 5 4 3 10" xfId="37"/>
    <cellStyle name="Normal - Style1 2 5 2 4" xfId="38"/>
    <cellStyle name="Normal 70" xfId="39"/>
    <cellStyle name="Comma 34 7" xfId="40"/>
    <cellStyle name="Comma 102 2" xfId="41"/>
    <cellStyle name="Normal - Style1 2 5 3 2 5" xfId="42"/>
    <cellStyle name="Normal 2 8 5" xfId="43"/>
    <cellStyle name="Style 1" xfId="44"/>
    <cellStyle name="Normal 10 6 2" xfId="45"/>
    <cellStyle name="Normal 85 2" xfId="46"/>
    <cellStyle name="Comma 3 2 3 3" xfId="47"/>
    <cellStyle name="Normal 2 2 5 2 2" xfId="48"/>
    <cellStyle name="Normal 10 3 2 3 8" xfId="49"/>
    <cellStyle name="Normal 4 2 2 3 2" xfId="50"/>
    <cellStyle name="Normal 13 3" xfId="51"/>
    <cellStyle name="Normal 12 2" xfId="52"/>
    <cellStyle name="Comma 14 5 3 2" xfId="53"/>
    <cellStyle name="Normal 18 3 3" xfId="54"/>
    <cellStyle name="Comma 14 2 2 2" xfId="55"/>
    <cellStyle name="Normal 18 3 2 2" xfId="56"/>
    <cellStyle name="Comma 102 3" xfId="57"/>
    <cellStyle name="Normal 2" xfId="58"/>
    <cellStyle name="Comma 11 3 2 2" xfId="59"/>
    <cellStyle name="Normal 10 2 2" xfId="60"/>
    <cellStyle name="Comma 102 2 2" xfId="61"/>
    <cellStyle name="Normal 2 2 5 2 2 2" xfId="62"/>
    <cellStyle name="Comma 11" xfId="63"/>
    <cellStyle name="Comma 3 2 4" xfId="64"/>
    <cellStyle name="Comma 4" xfId="65"/>
    <cellStyle name="Normal 3 2" xfId="66"/>
    <cellStyle name="Normal_Sheet1" xfId="67"/>
    <cellStyle name="Normal 143" xfId="68"/>
    <cellStyle name="Comma" xfId="69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44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9" customWidth="1" min="12" max="12"/>
    <col width="11" customWidth="1" min="13" max="13"/>
    <col width="16" customWidth="1" min="14" max="14"/>
    <col width="18" customWidth="1" min="15" max="15"/>
    <col width="44" customWidth="1" min="16" max="16"/>
  </cols>
  <sheetData>
    <row r="2">
      <c r="C2" s="168" t="inlineStr">
        <is>
          <t>CÔNG TY CỔ PHẦN TẬP ĐOÀN QUỐC TẾ SLAND</t>
        </is>
      </c>
    </row>
    <row r="3">
      <c r="C3" s="169" t="inlineStr">
        <is>
          <t>VPGD: SỐ 49, Ngõ 1295 Giải Phóng, Phường Hoàng Mai, TP Hà Nội</t>
        </is>
      </c>
    </row>
    <row r="4">
      <c r="C4" s="169" t="inlineStr">
        <is>
          <t>Nhà máy: Thôn Nhân Hiền - xã Thường Tín - TP Hà Nội</t>
        </is>
      </c>
    </row>
    <row r="5">
      <c r="C5" s="170" t="inlineStr">
        <is>
          <t>Hotline: 082 5577 999</t>
        </is>
      </c>
    </row>
    <row r="6" ht="28" customHeight="1">
      <c r="A6" s="171" t="inlineStr">
        <is>
          <t>BẢNG BÁO GIÁ (PHƯƠNG ÁN 1: VAN MFD ĐƠN CÁNH - ĐỘNG CƠ BELIMO FSLF24V)</t>
        </is>
      </c>
    </row>
    <row r="7">
      <c r="A7" s="170" t="inlineStr">
        <is>
          <t xml:space="preserve">Khách hàng : </t>
        </is>
      </c>
      <c r="M7" s="170" t="inlineStr">
        <is>
          <t>Số hiệu</t>
        </is>
      </c>
    </row>
    <row r="8">
      <c r="A8" s="170" t="inlineStr">
        <is>
          <t>Địa chỉ :</t>
        </is>
      </c>
      <c r="M8" s="170" t="inlineStr">
        <is>
          <t>PT Kinh doanh</t>
        </is>
      </c>
    </row>
    <row r="9">
      <c r="A9" s="170" t="inlineStr">
        <is>
          <t xml:space="preserve">Người nhận : </t>
        </is>
      </c>
      <c r="M9" s="170" t="inlineStr">
        <is>
          <t>Điện thoại</t>
        </is>
      </c>
    </row>
    <row r="10">
      <c r="A10" s="170" t="inlineStr">
        <is>
          <t xml:space="preserve">Email: </t>
        </is>
      </c>
      <c r="C10" s="170" t="inlineStr">
        <is>
          <t>Số điện thoại :</t>
        </is>
      </c>
      <c r="M10" s="170" t="inlineStr">
        <is>
          <t>Dự án</t>
        </is>
      </c>
    </row>
    <row r="11" ht="20" customHeight="1">
      <c r="A11" s="172" t="inlineStr">
        <is>
          <t>STT</t>
        </is>
      </c>
      <c r="B11" s="172" t="inlineStr">
        <is>
          <t>Danh mục sản phẩm</t>
        </is>
      </c>
      <c r="C11" s="172" t="inlineStr">
        <is>
          <t>Model</t>
        </is>
      </c>
      <c r="D11" s="172" t="inlineStr">
        <is>
          <t>Thương hiệu</t>
        </is>
      </c>
      <c r="E11" s="172" t="inlineStr">
        <is>
          <t>Kích thước (mm)</t>
        </is>
      </c>
      <c r="F11" s="172" t="n"/>
      <c r="G11" s="172" t="n"/>
      <c r="H11" s="172" t="n"/>
      <c r="I11" s="172" t="inlineStr">
        <is>
          <t>Modul</t>
        </is>
      </c>
      <c r="J11" s="172" t="inlineStr">
        <is>
          <t>L</t>
        </is>
      </c>
      <c r="K11" s="172" t="inlineStr">
        <is>
          <t>Độ dày
(mm)</t>
        </is>
      </c>
      <c r="L11" s="172" t="inlineStr">
        <is>
          <t>Unit
Đơn vị</t>
        </is>
      </c>
      <c r="M11" s="172" t="inlineStr">
        <is>
          <t>Q'ty
Số lượng</t>
        </is>
      </c>
      <c r="N11" s="172" t="inlineStr">
        <is>
          <t>Đơn Giá
(VNĐ)</t>
        </is>
      </c>
      <c r="O11" s="172" t="inlineStr">
        <is>
          <t>Total price
Thành tiền</t>
        </is>
      </c>
      <c r="P11" s="172" t="inlineStr">
        <is>
          <t>Remarks
Ghi chú</t>
        </is>
      </c>
    </row>
    <row r="12" ht="20" customHeight="1">
      <c r="A12" s="172" t="n"/>
      <c r="B12" s="172" t="n"/>
      <c r="C12" s="172" t="n"/>
      <c r="D12" s="172" t="n"/>
      <c r="E12" s="172" t="inlineStr">
        <is>
          <t>A1</t>
        </is>
      </c>
      <c r="F12" s="172" t="inlineStr">
        <is>
          <t>A2</t>
        </is>
      </c>
      <c r="G12" s="172" t="inlineStr">
        <is>
          <t>B1</t>
        </is>
      </c>
      <c r="H12" s="172" t="inlineStr">
        <is>
          <t>B2</t>
        </is>
      </c>
      <c r="I12" s="172" t="n"/>
      <c r="J12" s="172" t="n"/>
      <c r="K12" s="172" t="n"/>
      <c r="L12" s="172" t="n"/>
      <c r="M12" s="172" t="n"/>
      <c r="N12" s="172" t="n"/>
      <c r="O12" s="172" t="n"/>
      <c r="P12" s="172" t="n"/>
    </row>
    <row r="13" ht="20" customHeight="1">
      <c r="A13" s="172" t="n"/>
      <c r="B13" s="172" t="n"/>
      <c r="C13" s="172" t="n"/>
      <c r="D13" s="172" t="n"/>
      <c r="E13" s="172" t="inlineStr">
        <is>
          <t>Face size</t>
        </is>
      </c>
      <c r="F13" s="172" t="n"/>
      <c r="G13" s="172" t="inlineStr">
        <is>
          <t>Neck size</t>
        </is>
      </c>
      <c r="H13" s="172" t="n"/>
      <c r="I13" s="172" t="n"/>
      <c r="J13" s="172" t="n"/>
      <c r="K13" s="172" t="n"/>
      <c r="L13" s="172" t="n"/>
      <c r="M13" s="172" t="n"/>
      <c r="N13" s="172" t="n"/>
      <c r="O13" s="172" t="n"/>
      <c r="P13" s="172" t="n"/>
    </row>
    <row r="14">
      <c r="A14" s="173" t="n"/>
      <c r="B14" s="174" t="inlineStr">
        <is>
          <t>VẬT TƯ THI CÔNG P1B: (số BNH-ĐXVT-P1B-29-M-Van ống hồi gió lạnh  L12 - P1B)</t>
        </is>
      </c>
      <c r="C14" s="173" t="n"/>
      <c r="D14" s="173" t="n"/>
      <c r="E14" s="173" t="n"/>
      <c r="F14" s="173" t="n"/>
      <c r="G14" s="173" t="n"/>
      <c r="H14" s="173" t="n"/>
      <c r="I14" s="173" t="n"/>
      <c r="J14" s="173" t="n"/>
      <c r="K14" s="173" t="n"/>
      <c r="L14" s="173" t="n"/>
      <c r="M14" s="173" t="n"/>
      <c r="N14" s="173" t="n"/>
      <c r="O14" s="173" t="n"/>
      <c r="P14" s="173" t="n"/>
    </row>
    <row r="15">
      <c r="A15" s="175" t="n">
        <v>1</v>
      </c>
      <c r="B15" s="176" t="inlineStr">
        <is>
          <t>Van FD 1000x1200xL200</t>
        </is>
      </c>
      <c r="C15" s="175" t="inlineStr">
        <is>
          <t>SWIND-2.01- E-FD-EI120</t>
        </is>
      </c>
      <c r="D15" s="175" t="inlineStr">
        <is>
          <t>SWIND</t>
        </is>
      </c>
      <c r="E15" s="175" t="n">
        <v>1000</v>
      </c>
      <c r="F15" s="175" t="n">
        <v>1200</v>
      </c>
      <c r="G15" s="175" t="n">
        <v>1000</v>
      </c>
      <c r="H15" s="175" t="n">
        <v>600</v>
      </c>
      <c r="I15" s="175" t="n">
        <v>2</v>
      </c>
      <c r="J15" s="175" t="n">
        <v>200</v>
      </c>
      <c r="K15" s="177" t="n">
        <v>1.15</v>
      </c>
      <c r="L15" s="175" t="inlineStr">
        <is>
          <t>cái</t>
        </is>
      </c>
      <c r="M15" s="178" t="n">
        <v>1</v>
      </c>
      <c r="N15" s="178">
        <f>ROUND('00_TONG_HOP_BAO_GIA'!Q2, 0)</f>
        <v/>
      </c>
      <c r="O15" s="178">
        <f>N15*M15</f>
        <v/>
      </c>
      <c r="P15" s="176" t="inlineStr">
        <is>
          <t>- Van chặn lửa cầu chì - Tiêu chuẩn EI 120
- 2 đầu bích TDC - gắn cầu chì 70-74 độ C
- Sản xuất theo BCTN số: 4761/VLXD-TBMT
- Chia 2 modul khi sản xuất</t>
        </is>
      </c>
    </row>
    <row r="16">
      <c r="A16" s="175" t="n">
        <v>2</v>
      </c>
      <c r="B16" s="176" t="inlineStr">
        <is>
          <t>Van FD 1200x700xL200</t>
        </is>
      </c>
      <c r="C16" s="175" t="inlineStr">
        <is>
          <t>SWIND-2.01- E-FD-EI120</t>
        </is>
      </c>
      <c r="D16" s="175" t="inlineStr">
        <is>
          <t>SWIND</t>
        </is>
      </c>
      <c r="E16" s="175" t="n">
        <v>1200</v>
      </c>
      <c r="F16" s="175" t="n">
        <v>700</v>
      </c>
      <c r="G16" s="175" t="n"/>
      <c r="H16" s="175" t="n"/>
      <c r="I16" s="175" t="n"/>
      <c r="J16" s="175" t="n">
        <v>200</v>
      </c>
      <c r="K16" s="177" t="n">
        <v>1.15</v>
      </c>
      <c r="L16" s="175" t="inlineStr">
        <is>
          <t>cái</t>
        </is>
      </c>
      <c r="M16" s="178" t="n">
        <v>1</v>
      </c>
      <c r="N16" s="178">
        <f>ROUND('00_TONG_HOP_BAO_GIA'!Q3, 0)</f>
        <v/>
      </c>
      <c r="O16" s="178">
        <f>N16*M16</f>
        <v/>
      </c>
      <c r="P16" s="176" t="inlineStr">
        <is>
          <t>- Van chặn lửa cầu chì - Tiêu chuẩn EI 120
- 2 đầu bích TDC - gắn cầu chì 70-74 độ C
- Sản xuất theo BCTN số: 4761/VLXD-TBMT</t>
        </is>
      </c>
    </row>
    <row r="17">
      <c r="A17" s="175" t="n">
        <v>3</v>
      </c>
      <c r="B17" s="176" t="inlineStr">
        <is>
          <t>Van FD 1250x1000xL200</t>
        </is>
      </c>
      <c r="C17" s="175" t="inlineStr">
        <is>
          <t>SWIND-2.01- E-FD-EI120</t>
        </is>
      </c>
      <c r="D17" s="175" t="inlineStr">
        <is>
          <t>SWIND</t>
        </is>
      </c>
      <c r="E17" s="175" t="n">
        <v>1250</v>
      </c>
      <c r="F17" s="175" t="n">
        <v>1000</v>
      </c>
      <c r="G17" s="175" t="n">
        <v>1250</v>
      </c>
      <c r="H17" s="175" t="n">
        <v>500</v>
      </c>
      <c r="I17" s="175" t="n">
        <v>2</v>
      </c>
      <c r="J17" s="175" t="n">
        <v>200</v>
      </c>
      <c r="K17" s="177" t="n">
        <v>1.15</v>
      </c>
      <c r="L17" s="175" t="inlineStr">
        <is>
          <t>cái</t>
        </is>
      </c>
      <c r="M17" s="178" t="n">
        <v>2</v>
      </c>
      <c r="N17" s="178">
        <f>ROUND('00_TONG_HOP_BAO_GIA'!Q4, 0)</f>
        <v/>
      </c>
      <c r="O17" s="178">
        <f>N17*M17</f>
        <v/>
      </c>
      <c r="P17" s="176" t="inlineStr">
        <is>
          <t>- Van chặn lửa cầu chì - Tiêu chuẩn EI 120
- 2 đầu bích TDC - gắn cầu chì 70-74 độ C
- Sản xuất theo BCTN số: 4761/VLXD-TBMT
- Chia 2 modul khi sản xuất</t>
        </is>
      </c>
    </row>
    <row r="18">
      <c r="A18" s="175" t="n">
        <v>4</v>
      </c>
      <c r="B18" s="176" t="inlineStr">
        <is>
          <t>Van FD 1350x900xL200</t>
        </is>
      </c>
      <c r="C18" s="175" t="inlineStr">
        <is>
          <t>SWIND-2.01- E-FD-EI120</t>
        </is>
      </c>
      <c r="D18" s="175" t="inlineStr">
        <is>
          <t>SWIND</t>
        </is>
      </c>
      <c r="E18" s="175" t="n">
        <v>1350</v>
      </c>
      <c r="F18" s="175" t="n">
        <v>900</v>
      </c>
      <c r="G18" s="175" t="n">
        <v>1350</v>
      </c>
      <c r="H18" s="175" t="n">
        <v>450</v>
      </c>
      <c r="I18" s="175" t="n">
        <v>2</v>
      </c>
      <c r="J18" s="175" t="n">
        <v>200</v>
      </c>
      <c r="K18" s="177" t="n">
        <v>1.15</v>
      </c>
      <c r="L18" s="175" t="inlineStr">
        <is>
          <t>cái</t>
        </is>
      </c>
      <c r="M18" s="178" t="n">
        <v>1</v>
      </c>
      <c r="N18" s="178">
        <f>ROUND('00_TONG_HOP_BAO_GIA'!Q5, 0)</f>
        <v/>
      </c>
      <c r="O18" s="178">
        <f>N18*M18</f>
        <v/>
      </c>
      <c r="P18" s="176" t="inlineStr">
        <is>
          <t>- Van chặn lửa cầu chì - Tiêu chuẩn EI 120
- 2 đầu bích TDC - gắn cầu chì 70-74 độ C
- Sản xuất theo BCTN số: 4761/VLXD-TBMT
- Chia 2 modul khi sản xuất</t>
        </is>
      </c>
    </row>
    <row r="19">
      <c r="A19" s="175" t="n">
        <v>5</v>
      </c>
      <c r="B19" s="176" t="inlineStr">
        <is>
          <t>Van FD 1350x900xL300</t>
        </is>
      </c>
      <c r="C19" s="175" t="inlineStr">
        <is>
          <t>SWIND-2.01- E-FD-EI120</t>
        </is>
      </c>
      <c r="D19" s="175" t="inlineStr">
        <is>
          <t>SWIND</t>
        </is>
      </c>
      <c r="E19" s="175" t="n">
        <v>1350</v>
      </c>
      <c r="F19" s="175" t="n">
        <v>900</v>
      </c>
      <c r="G19" s="175" t="n">
        <v>1350</v>
      </c>
      <c r="H19" s="175" t="n">
        <v>450</v>
      </c>
      <c r="I19" s="175" t="n">
        <v>2</v>
      </c>
      <c r="J19" s="175" t="n">
        <v>200</v>
      </c>
      <c r="K19" s="177" t="n">
        <v>1.15</v>
      </c>
      <c r="L19" s="175" t="inlineStr">
        <is>
          <t>cái</t>
        </is>
      </c>
      <c r="M19" s="178" t="n">
        <v>1</v>
      </c>
      <c r="N19" s="178">
        <f>ROUND('00_TONG_HOP_BAO_GIA'!Q6, 0)</f>
        <v/>
      </c>
      <c r="O19" s="178">
        <f>N19*M19</f>
        <v/>
      </c>
      <c r="P19" s="176" t="inlineStr">
        <is>
          <t>- Van chặn lửa cầu chì - Tiêu chuẩn EI 120
- 2 đầu bích TDC - gắn cầu chì 70-74 độ C
- Sản xuất theo BCTN số: 4761/VLXD-TBMT
- Chia 2 modul khi sản xuất</t>
        </is>
      </c>
    </row>
    <row r="20">
      <c r="A20" s="175" t="n">
        <v>6</v>
      </c>
      <c r="B20" s="176" t="inlineStr">
        <is>
          <t>Van FD 1400x1100xL200</t>
        </is>
      </c>
      <c r="C20" s="175" t="inlineStr">
        <is>
          <t>SWIND-2.01- E-FD-EI120</t>
        </is>
      </c>
      <c r="D20" s="175" t="inlineStr">
        <is>
          <t>SWIND</t>
        </is>
      </c>
      <c r="E20" s="175" t="n">
        <v>1400</v>
      </c>
      <c r="F20" s="175" t="n">
        <v>1100</v>
      </c>
      <c r="G20" s="175" t="n">
        <v>1400</v>
      </c>
      <c r="H20" s="175" t="n">
        <v>550</v>
      </c>
      <c r="I20" s="175" t="n">
        <v>2</v>
      </c>
      <c r="J20" s="175" t="n">
        <v>200</v>
      </c>
      <c r="K20" s="177" t="n">
        <v>1.15</v>
      </c>
      <c r="L20" s="175" t="inlineStr">
        <is>
          <t>cái</t>
        </is>
      </c>
      <c r="M20" s="178" t="n">
        <v>1</v>
      </c>
      <c r="N20" s="178">
        <f>ROUND('00_TONG_HOP_BAO_GIA'!Q7, 0)</f>
        <v/>
      </c>
      <c r="O20" s="178">
        <f>N20*M20</f>
        <v/>
      </c>
      <c r="P20" s="176" t="inlineStr">
        <is>
          <t>- Van chặn lửa cầu chì - Tiêu chuẩn EI 120
- 2 đầu bích TDC - gắn cầu chì 70-74 độ C
- Sản xuất theo BCTN số: 4761/VLXD-TBMT
- Chia 2 modul khi sản xuất</t>
        </is>
      </c>
    </row>
    <row r="21">
      <c r="A21" s="175" t="n">
        <v>7</v>
      </c>
      <c r="B21" s="176" t="inlineStr">
        <is>
          <t>Van FD 1800x700xL200</t>
        </is>
      </c>
      <c r="C21" s="175" t="inlineStr">
        <is>
          <t>SWIND-2.01- E-FD-EI120</t>
        </is>
      </c>
      <c r="D21" s="175" t="inlineStr">
        <is>
          <t>SWIND</t>
        </is>
      </c>
      <c r="E21" s="175" t="n">
        <v>1800</v>
      </c>
      <c r="F21" s="175" t="n">
        <v>700</v>
      </c>
      <c r="G21" s="175" t="n">
        <v>900</v>
      </c>
      <c r="H21" s="175" t="n">
        <v>700</v>
      </c>
      <c r="I21" s="175" t="n">
        <v>2</v>
      </c>
      <c r="J21" s="175" t="n">
        <v>200</v>
      </c>
      <c r="K21" s="177" t="n">
        <v>1.15</v>
      </c>
      <c r="L21" s="175" t="inlineStr">
        <is>
          <t>cái</t>
        </is>
      </c>
      <c r="M21" s="178" t="n">
        <v>1</v>
      </c>
      <c r="N21" s="178">
        <f>ROUND('00_TONG_HOP_BAO_GIA'!Q8, 0)</f>
        <v/>
      </c>
      <c r="O21" s="178">
        <f>N21*M21</f>
        <v/>
      </c>
      <c r="P21" s="176" t="inlineStr">
        <is>
          <t>- Van chặn lửa cầu chì - Tiêu chuẩn EI 120
- 2 đầu bích TDC - gắn cầu chì 70-74 độ C
- Sản xuất theo BCTN số: 4761/VLXD-TBMT
- Chia 2 modul khi sản xuất</t>
        </is>
      </c>
    </row>
    <row r="22">
      <c r="A22" s="175" t="n">
        <v>8</v>
      </c>
      <c r="B22" s="176" t="inlineStr">
        <is>
          <t>Van FD 500x400xL200</t>
        </is>
      </c>
      <c r="C22" s="175" t="inlineStr">
        <is>
          <t>SWIND-2.01- E-FD-EI120</t>
        </is>
      </c>
      <c r="D22" s="175" t="inlineStr">
        <is>
          <t>SWIND</t>
        </is>
      </c>
      <c r="E22" s="175" t="n">
        <v>500</v>
      </c>
      <c r="F22" s="175" t="n">
        <v>400</v>
      </c>
      <c r="G22" s="175" t="n"/>
      <c r="H22" s="175" t="n"/>
      <c r="I22" s="175" t="n"/>
      <c r="J22" s="175" t="n">
        <v>200</v>
      </c>
      <c r="K22" s="177" t="n">
        <v>1.15</v>
      </c>
      <c r="L22" s="175" t="inlineStr">
        <is>
          <t>cái</t>
        </is>
      </c>
      <c r="M22" s="178" t="n">
        <v>2</v>
      </c>
      <c r="N22" s="178">
        <f>ROUND('00_TONG_HOP_BAO_GIA'!Q9, 0)</f>
        <v/>
      </c>
      <c r="O22" s="178">
        <f>N22*M22</f>
        <v/>
      </c>
      <c r="P22" s="176" t="inlineStr">
        <is>
          <t>- Van chặn lửa cầu chì - Tiêu chuẩn EI 120
- 2 đầu bích TDC - gắn cầu chì 70-74 độ C
- Sản xuất theo BCTN số: 4761/VLXD-TBMT</t>
        </is>
      </c>
    </row>
    <row r="23">
      <c r="A23" s="175" t="n">
        <v>9</v>
      </c>
      <c r="B23" s="176" t="inlineStr">
        <is>
          <t>Van FD 700x500xL200</t>
        </is>
      </c>
      <c r="C23" s="175" t="inlineStr">
        <is>
          <t>SWIND-2.01- E-FD-EI120</t>
        </is>
      </c>
      <c r="D23" s="175" t="inlineStr">
        <is>
          <t>SWIND</t>
        </is>
      </c>
      <c r="E23" s="175" t="n">
        <v>700</v>
      </c>
      <c r="F23" s="175" t="n">
        <v>500</v>
      </c>
      <c r="G23" s="175" t="n"/>
      <c r="H23" s="175" t="n"/>
      <c r="I23" s="175" t="n"/>
      <c r="J23" s="175" t="n">
        <v>200</v>
      </c>
      <c r="K23" s="177" t="n">
        <v>1.15</v>
      </c>
      <c r="L23" s="175" t="inlineStr">
        <is>
          <t>cái</t>
        </is>
      </c>
      <c r="M23" s="178" t="n">
        <v>1</v>
      </c>
      <c r="N23" s="178">
        <f>ROUND('00_TONG_HOP_BAO_GIA'!Q10, 0)</f>
        <v/>
      </c>
      <c r="O23" s="178">
        <f>N23*M23</f>
        <v/>
      </c>
      <c r="P23" s="176" t="inlineStr">
        <is>
          <t>- Van chặn lửa cầu chì - Tiêu chuẩn EI 120
- 2 đầu bích TDC - gắn cầu chì 70-74 độ C
- Sản xuất theo BCTN số: 4761/VLXD-TBMT</t>
        </is>
      </c>
    </row>
    <row r="24">
      <c r="A24" s="175" t="n">
        <v>10</v>
      </c>
      <c r="B24" s="176" t="inlineStr">
        <is>
          <t>Van FD 800x1550xL200</t>
        </is>
      </c>
      <c r="C24" s="175" t="inlineStr">
        <is>
          <t>SWIND-2.01- E-FD-EI120</t>
        </is>
      </c>
      <c r="D24" s="175" t="inlineStr">
        <is>
          <t>SWIND</t>
        </is>
      </c>
      <c r="E24" s="175" t="n">
        <v>800</v>
      </c>
      <c r="F24" s="175" t="n">
        <v>1550</v>
      </c>
      <c r="G24" s="175" t="n">
        <v>800</v>
      </c>
      <c r="H24" s="175" t="n">
        <v>775</v>
      </c>
      <c r="I24" s="175" t="n">
        <v>2</v>
      </c>
      <c r="J24" s="175" t="n">
        <v>200</v>
      </c>
      <c r="K24" s="177" t="n">
        <v>1.15</v>
      </c>
      <c r="L24" s="175" t="inlineStr">
        <is>
          <t>cái</t>
        </is>
      </c>
      <c r="M24" s="178" t="n">
        <v>1</v>
      </c>
      <c r="N24" s="178">
        <f>ROUND('00_TONG_HOP_BAO_GIA'!Q11, 0)</f>
        <v/>
      </c>
      <c r="O24" s="178">
        <f>N24*M24</f>
        <v/>
      </c>
      <c r="P24" s="176" t="inlineStr">
        <is>
          <t>- Van chặn lửa cầu chì - Tiêu chuẩn EI 120
- 2 đầu bích TDC - gắn cầu chì 70-74 độ C
- Sản xuất theo BCTN số: 4761/VLXD-TBMT
- Chia 2 modul khi sản xuất</t>
        </is>
      </c>
    </row>
    <row r="25">
      <c r="A25" s="173" t="n"/>
      <c r="B25" s="174" t="inlineStr">
        <is>
          <t>VẬT TƯ THI CÔNG H1: (số BNH_DXVT_H1_29_M_Van MD, FD, VCD hệ HVAC trong phòng JS/DD, K1/DD, K1/AR, K1/K1 tầng 10-19 tòa H1)</t>
        </is>
      </c>
      <c r="C25" s="173" t="n"/>
      <c r="D25" s="173" t="n"/>
      <c r="E25" s="173" t="n"/>
      <c r="F25" s="173" t="n"/>
      <c r="G25" s="173" t="n"/>
      <c r="H25" s="173" t="n"/>
      <c r="I25" s="173" t="n"/>
      <c r="J25" s="173" t="n"/>
      <c r="K25" s="173" t="n"/>
      <c r="L25" s="173" t="n"/>
      <c r="M25" s="173" t="n"/>
      <c r="N25" s="173" t="n"/>
      <c r="O25" s="173" t="n"/>
      <c r="P25" s="173" t="n"/>
    </row>
    <row r="26">
      <c r="A26" s="175" t="n">
        <v>11</v>
      </c>
      <c r="B26" s="176" t="inlineStr">
        <is>
          <t>Van chặn lửa MFD - EI45 - Kích thước: 150x100</t>
        </is>
      </c>
      <c r="C26" s="175" t="inlineStr">
        <is>
          <t>SWIND-2.01- E-FD-EI120</t>
        </is>
      </c>
      <c r="D26" s="175" t="inlineStr">
        <is>
          <t>SWIND</t>
        </is>
      </c>
      <c r="E26" s="175" t="n">
        <v>150</v>
      </c>
      <c r="F26" s="175" t="n">
        <v>100</v>
      </c>
      <c r="G26" s="175" t="n">
        <v>150</v>
      </c>
      <c r="H26" s="175" t="n">
        <v>150</v>
      </c>
      <c r="I26" s="175" t="n"/>
      <c r="J26" s="175" t="n">
        <v>200</v>
      </c>
      <c r="K26" s="177" t="n">
        <v>1.15</v>
      </c>
      <c r="L26" s="175" t="inlineStr">
        <is>
          <t>Cái</t>
        </is>
      </c>
      <c r="M26" s="178" t="n">
        <v>39</v>
      </c>
      <c r="N26" s="178">
        <f>ROUND('00_TONG_HOP_BAO_GIA'!Q12, 0)</f>
        <v/>
      </c>
      <c r="O26" s="178">
        <f>N26*M26</f>
        <v/>
      </c>
      <c r="P26" s="176" t="inlineStr">
        <is>
          <t>- Van chặn lửa cầu chì - Tiêu chuẩn EI 120
- 2 đầu bích TDC - gắn cầu chì 70-74 độ C
- Sản xuất theo BCTN số: 4761/VLXD-TBMT
- Van thu côn 2 đầu</t>
        </is>
      </c>
    </row>
    <row r="27">
      <c r="A27" s="175" t="n">
        <v>12</v>
      </c>
      <c r="B27" s="176" t="inlineStr">
        <is>
          <t>Van chặn lửa MFD - EI45 - Kích thước: 150x150</t>
        </is>
      </c>
      <c r="C27" s="175" t="inlineStr">
        <is>
          <t>SWIND-2.01- E-FD-EI120</t>
        </is>
      </c>
      <c r="D27" s="175" t="inlineStr">
        <is>
          <t>SWIND</t>
        </is>
      </c>
      <c r="E27" s="175" t="n">
        <v>150</v>
      </c>
      <c r="F27" s="175" t="n">
        <v>150</v>
      </c>
      <c r="G27" s="175" t="n"/>
      <c r="H27" s="175" t="n"/>
      <c r="I27" s="175" t="n"/>
      <c r="J27" s="175" t="n">
        <v>200</v>
      </c>
      <c r="K27" s="177" t="n">
        <v>1.15</v>
      </c>
      <c r="L27" s="175" t="inlineStr">
        <is>
          <t>Cái</t>
        </is>
      </c>
      <c r="M27" s="178" t="n">
        <v>19</v>
      </c>
      <c r="N27" s="178">
        <f>ROUND('00_TONG_HOP_BAO_GIA'!Q13, 0)</f>
        <v/>
      </c>
      <c r="O27" s="178">
        <f>N27*M27</f>
        <v/>
      </c>
      <c r="P27" s="176" t="inlineStr">
        <is>
          <t>- Van chặn lửa cầu chì - Tiêu chuẩn EI 120
- 2 đầu bích TDC - gắn cầu chì 70-74 độ C
- Sản xuất theo BCTN số: 4761/VLXD-TBMT</t>
        </is>
      </c>
    </row>
    <row r="28">
      <c r="A28" s="175" t="n">
        <v>13</v>
      </c>
      <c r="B28" s="176" t="inlineStr">
        <is>
          <t>Van điều chỉnh lưu lượng VCD - Kích thước: 150x100</t>
        </is>
      </c>
      <c r="C28" s="175" t="inlineStr">
        <is>
          <t>VCD</t>
        </is>
      </c>
      <c r="D28" s="175" t="inlineStr">
        <is>
          <t>SWIND</t>
        </is>
      </c>
      <c r="E28" s="175" t="n">
        <v>150</v>
      </c>
      <c r="F28" s="175" t="n">
        <v>100</v>
      </c>
      <c r="G28" s="175" t="n"/>
      <c r="H28" s="175" t="n"/>
      <c r="I28" s="175" t="n"/>
      <c r="J28" s="175" t="n">
        <v>200</v>
      </c>
      <c r="K28" s="177" t="n">
        <v>0.75</v>
      </c>
      <c r="L28" s="175" t="inlineStr">
        <is>
          <t>Cái</t>
        </is>
      </c>
      <c r="M28" s="178" t="n">
        <v>63</v>
      </c>
      <c r="N28" s="178">
        <f>ROUND('00_TONG_HOP_BAO_GIA'!Q14, 0)</f>
        <v/>
      </c>
      <c r="O28" s="178">
        <f>N28*M28</f>
        <v/>
      </c>
      <c r="P28" s="176" t="inlineStr">
        <is>
          <t>Van điều chỉnh lưu lượng tay gạt tôn mạ kẽm</t>
        </is>
      </c>
    </row>
    <row r="29">
      <c r="A29" s="175" t="n">
        <v>14</v>
      </c>
      <c r="B29" s="176" t="inlineStr">
        <is>
          <t>Van điều chỉnh lưu lượng VCD - Kích thước: 150x150</t>
        </is>
      </c>
      <c r="C29" s="175" t="inlineStr">
        <is>
          <t>VCD</t>
        </is>
      </c>
      <c r="D29" s="175" t="inlineStr">
        <is>
          <t>SWIND</t>
        </is>
      </c>
      <c r="E29" s="175" t="n">
        <v>150</v>
      </c>
      <c r="F29" s="175" t="n">
        <v>150</v>
      </c>
      <c r="G29" s="175" t="n"/>
      <c r="H29" s="175" t="n"/>
      <c r="I29" s="175" t="n"/>
      <c r="J29" s="175" t="n">
        <v>200</v>
      </c>
      <c r="K29" s="177" t="n">
        <v>0.75</v>
      </c>
      <c r="L29" s="175" t="inlineStr">
        <is>
          <t>Cái</t>
        </is>
      </c>
      <c r="M29" s="178" t="n">
        <v>23</v>
      </c>
      <c r="N29" s="178">
        <f>ROUND('00_TONG_HOP_BAO_GIA'!Q15, 0)</f>
        <v/>
      </c>
      <c r="O29" s="178">
        <f>N29*M29</f>
        <v/>
      </c>
      <c r="P29" s="176" t="inlineStr">
        <is>
          <t>Van điều chỉnh lưu lượng tay gạt tôn mạ kẽm</t>
        </is>
      </c>
    </row>
    <row r="30">
      <c r="A30" s="175" t="n">
        <v>15</v>
      </c>
      <c r="B30" s="176" t="inlineStr">
        <is>
          <t>Van điều chỉnh lưu lượng VCD - Kích thước: 300x200</t>
        </is>
      </c>
      <c r="C30" s="175" t="inlineStr">
        <is>
          <t>VCD</t>
        </is>
      </c>
      <c r="D30" s="175" t="inlineStr">
        <is>
          <t>SWIND</t>
        </is>
      </c>
      <c r="E30" s="175" t="n">
        <v>300</v>
      </c>
      <c r="F30" s="175" t="n">
        <v>200</v>
      </c>
      <c r="G30" s="175" t="n"/>
      <c r="H30" s="175" t="n"/>
      <c r="I30" s="175" t="n"/>
      <c r="J30" s="175" t="n">
        <v>200</v>
      </c>
      <c r="K30" s="177" t="n">
        <v>0.75</v>
      </c>
      <c r="L30" s="175" t="inlineStr">
        <is>
          <t>Cái</t>
        </is>
      </c>
      <c r="M30" s="178" t="n">
        <v>2</v>
      </c>
      <c r="N30" s="178">
        <f>ROUND('00_TONG_HOP_BAO_GIA'!Q16, 0)</f>
        <v/>
      </c>
      <c r="O30" s="178">
        <f>N30*M30</f>
        <v/>
      </c>
      <c r="P30" s="176" t="inlineStr">
        <is>
          <t>Van điều chỉnh lưu lượng tay gạt tôn mạ kẽm</t>
        </is>
      </c>
    </row>
    <row r="31">
      <c r="A31" s="175" t="n">
        <v>16</v>
      </c>
      <c r="B31" s="176" t="inlineStr">
        <is>
          <t>Van điều gió MD - Kích thước: 150x100</t>
        </is>
      </c>
      <c r="C31" s="175" t="inlineStr">
        <is>
          <t>MD</t>
        </is>
      </c>
      <c r="D31" s="175" t="inlineStr">
        <is>
          <t>SWIND</t>
        </is>
      </c>
      <c r="E31" s="175" t="n">
        <v>150</v>
      </c>
      <c r="F31" s="175" t="n">
        <v>100</v>
      </c>
      <c r="G31" s="175" t="n"/>
      <c r="H31" s="175" t="n"/>
      <c r="I31" s="175" t="n"/>
      <c r="J31" s="175" t="n">
        <v>200</v>
      </c>
      <c r="K31" s="177" t="n">
        <v>0.75</v>
      </c>
      <c r="L31" s="175" t="inlineStr">
        <is>
          <t>Cái</t>
        </is>
      </c>
      <c r="M31" s="178" t="n">
        <v>41</v>
      </c>
      <c r="N31" s="178">
        <f>ROUND('00_TONG_HOP_BAO_GIA'!Q17, 0)</f>
        <v/>
      </c>
      <c r="O31" s="178">
        <f>N31*M31</f>
        <v/>
      </c>
      <c r="P31" s="176" t="inlineStr">
        <is>
          <t>Van động cơ ON-OFF BELIMO (đóng mở 150s), xuất xứ Thụy Sỹ</t>
        </is>
      </c>
    </row>
    <row r="32">
      <c r="A32" s="175" t="n">
        <v>17</v>
      </c>
      <c r="B32" s="176" t="inlineStr">
        <is>
          <t>Van điều gió MD - Kích thước: 150x150</t>
        </is>
      </c>
      <c r="C32" s="175" t="inlineStr">
        <is>
          <t>MD</t>
        </is>
      </c>
      <c r="D32" s="175" t="inlineStr">
        <is>
          <t>SWIND</t>
        </is>
      </c>
      <c r="E32" s="175" t="n">
        <v>150</v>
      </c>
      <c r="F32" s="175" t="n">
        <v>150</v>
      </c>
      <c r="G32" s="175" t="n"/>
      <c r="H32" s="175" t="n"/>
      <c r="I32" s="175" t="n"/>
      <c r="J32" s="175" t="n">
        <v>200</v>
      </c>
      <c r="K32" s="177" t="n">
        <v>0.75</v>
      </c>
      <c r="L32" s="175" t="inlineStr">
        <is>
          <t>Cái</t>
        </is>
      </c>
      <c r="M32" s="178" t="n">
        <v>14</v>
      </c>
      <c r="N32" s="178">
        <f>ROUND('00_TONG_HOP_BAO_GIA'!Q18, 0)</f>
        <v/>
      </c>
      <c r="O32" s="178">
        <f>N32*M32</f>
        <v/>
      </c>
      <c r="P32" s="176" t="inlineStr">
        <is>
          <t>Van động cơ ON-OFF BELIMO (đóng mở 150s), xuất xứ Thụy Sỹ</t>
        </is>
      </c>
    </row>
    <row r="33">
      <c r="A33" s="173" t="n"/>
      <c r="B33" s="174" t="inlineStr">
        <is>
          <t>Van gió, miệng gió</t>
        </is>
      </c>
      <c r="C33" s="173" t="n"/>
      <c r="D33" s="173" t="n"/>
      <c r="E33" s="173" t="n"/>
      <c r="F33" s="173" t="n"/>
      <c r="G33" s="173" t="n"/>
      <c r="H33" s="173" t="n"/>
      <c r="I33" s="173" t="n"/>
      <c r="J33" s="173" t="n"/>
      <c r="K33" s="173" t="n"/>
      <c r="L33" s="173" t="n"/>
      <c r="M33" s="173" t="n"/>
      <c r="N33" s="173" t="n"/>
      <c r="O33" s="173" t="n"/>
      <c r="P33" s="173" t="n"/>
    </row>
    <row r="34">
      <c r="A34" s="175" t="n">
        <v>18</v>
      </c>
      <c r="B34" s="176" t="inlineStr">
        <is>
          <t>Van chặn lửa MFD - EI45 - Kích thước: 150x100</t>
        </is>
      </c>
      <c r="C34" s="175" t="inlineStr">
        <is>
          <t>SWIND-2.01- E-FD-EI120</t>
        </is>
      </c>
      <c r="D34" s="175" t="inlineStr">
        <is>
          <t>SWIND</t>
        </is>
      </c>
      <c r="E34" s="175" t="n">
        <v>150</v>
      </c>
      <c r="F34" s="175" t="n">
        <v>100</v>
      </c>
      <c r="G34" s="175" t="n">
        <v>150</v>
      </c>
      <c r="H34" s="175" t="n">
        <v>150</v>
      </c>
      <c r="I34" s="175" t="n"/>
      <c r="J34" s="175" t="n">
        <v>200</v>
      </c>
      <c r="K34" s="177" t="n">
        <v>1.15</v>
      </c>
      <c r="L34" s="175" t="inlineStr">
        <is>
          <t>Cái</t>
        </is>
      </c>
      <c r="M34" s="178" t="n">
        <v>46</v>
      </c>
      <c r="N34" s="178">
        <f>ROUND('00_TONG_HOP_BAO_GIA'!Q19, 0)</f>
        <v/>
      </c>
      <c r="O34" s="178">
        <f>N34*M34</f>
        <v/>
      </c>
      <c r="P34" s="176" t="inlineStr">
        <is>
          <t>- Van chặn lửa cầu chì - Tiêu chuẩn EI 120
- 2 đầu bích TDC - gắn cầu chì 70-74 độ C
- Sản xuất theo BCTN số: 4761/VLXD-TBMT
- Van thu côn 2 đầu</t>
        </is>
      </c>
    </row>
    <row r="35">
      <c r="A35" s="175" t="n">
        <v>19</v>
      </c>
      <c r="B35" s="176" t="inlineStr">
        <is>
          <t>Van chặn lửa MFD - EI45 - Kích thước: 150x150</t>
        </is>
      </c>
      <c r="C35" s="175" t="inlineStr">
        <is>
          <t>SWIND-2.01- E-FD-EI120</t>
        </is>
      </c>
      <c r="D35" s="175" t="inlineStr">
        <is>
          <t>SWIND</t>
        </is>
      </c>
      <c r="E35" s="175" t="n">
        <v>150</v>
      </c>
      <c r="F35" s="175" t="n">
        <v>150</v>
      </c>
      <c r="G35" s="175" t="n"/>
      <c r="H35" s="175" t="n"/>
      <c r="I35" s="175" t="n"/>
      <c r="J35" s="175" t="n">
        <v>200</v>
      </c>
      <c r="K35" s="177" t="n">
        <v>1.15</v>
      </c>
      <c r="L35" s="175" t="inlineStr">
        <is>
          <t>Cái</t>
        </is>
      </c>
      <c r="M35" s="178" t="n">
        <v>9</v>
      </c>
      <c r="N35" s="178">
        <f>ROUND('00_TONG_HOP_BAO_GIA'!Q20, 0)</f>
        <v/>
      </c>
      <c r="O35" s="178">
        <f>N35*M35</f>
        <v/>
      </c>
      <c r="P35" s="176" t="inlineStr">
        <is>
          <t>- Van chặn lửa cầu chì - Tiêu chuẩn EI 120
- 2 đầu bích TDC - gắn cầu chì 70-74 độ C
- Sản xuất theo BCTN số: 4761/VLXD-TBMT</t>
        </is>
      </c>
    </row>
    <row r="36">
      <c r="A36" s="175" t="n">
        <v>20</v>
      </c>
      <c r="B36" s="176" t="inlineStr">
        <is>
          <t>Van điều chỉnh lưu lượng VCD - Kích thước: 150x100</t>
        </is>
      </c>
      <c r="C36" s="175" t="inlineStr">
        <is>
          <t>VCD</t>
        </is>
      </c>
      <c r="D36" s="175" t="inlineStr">
        <is>
          <t>SWIND</t>
        </is>
      </c>
      <c r="E36" s="175" t="n">
        <v>150</v>
      </c>
      <c r="F36" s="175" t="n">
        <v>100</v>
      </c>
      <c r="G36" s="175" t="n"/>
      <c r="H36" s="175" t="n"/>
      <c r="I36" s="175" t="n"/>
      <c r="J36" s="175" t="n">
        <v>200</v>
      </c>
      <c r="K36" s="177" t="n">
        <v>0.75</v>
      </c>
      <c r="L36" s="175" t="inlineStr">
        <is>
          <t>Cái</t>
        </is>
      </c>
      <c r="M36" s="178" t="n">
        <v>37</v>
      </c>
      <c r="N36" s="178">
        <f>ROUND('00_TONG_HOP_BAO_GIA'!Q21, 0)</f>
        <v/>
      </c>
      <c r="O36" s="178">
        <f>N36*M36</f>
        <v/>
      </c>
      <c r="P36" s="176" t="inlineStr">
        <is>
          <t>Van điều chỉnh lưu lượng tay gạt tôn mạ kẽm</t>
        </is>
      </c>
    </row>
    <row r="37">
      <c r="A37" s="175" t="n">
        <v>21</v>
      </c>
      <c r="B37" s="176" t="inlineStr">
        <is>
          <t>Van điều chỉnh lưu lượng VCD - Kích thước: 150x150</t>
        </is>
      </c>
      <c r="C37" s="175" t="inlineStr">
        <is>
          <t>VCD</t>
        </is>
      </c>
      <c r="D37" s="175" t="inlineStr">
        <is>
          <t>SWIND</t>
        </is>
      </c>
      <c r="E37" s="175" t="n">
        <v>150</v>
      </c>
      <c r="F37" s="175" t="n">
        <v>150</v>
      </c>
      <c r="G37" s="175" t="n"/>
      <c r="H37" s="175" t="n"/>
      <c r="I37" s="175" t="n"/>
      <c r="J37" s="175" t="n">
        <v>200</v>
      </c>
      <c r="K37" s="177" t="n">
        <v>0.75</v>
      </c>
      <c r="L37" s="175" t="inlineStr">
        <is>
          <t>Cái</t>
        </is>
      </c>
      <c r="M37" s="178" t="n">
        <v>7</v>
      </c>
      <c r="N37" s="178">
        <f>ROUND('00_TONG_HOP_BAO_GIA'!Q22, 0)</f>
        <v/>
      </c>
      <c r="O37" s="178">
        <f>N37*M37</f>
        <v/>
      </c>
      <c r="P37" s="176" t="inlineStr">
        <is>
          <t>Van điều chỉnh lưu lượng tay gạt tôn mạ kẽm</t>
        </is>
      </c>
    </row>
    <row r="38">
      <c r="A38" s="175" t="n">
        <v>22</v>
      </c>
      <c r="B38" s="176" t="inlineStr">
        <is>
          <t>Van điều gió MD - Kích thước: 150x100</t>
        </is>
      </c>
      <c r="C38" s="175" t="inlineStr">
        <is>
          <t>MD</t>
        </is>
      </c>
      <c r="D38" s="175" t="inlineStr">
        <is>
          <t>SWIND</t>
        </is>
      </c>
      <c r="E38" s="175" t="n">
        <v>150</v>
      </c>
      <c r="F38" s="175" t="n">
        <v>100</v>
      </c>
      <c r="G38" s="175" t="n"/>
      <c r="H38" s="175" t="n"/>
      <c r="I38" s="175" t="n"/>
      <c r="J38" s="175" t="n">
        <v>200</v>
      </c>
      <c r="K38" s="177" t="n">
        <v>0.75</v>
      </c>
      <c r="L38" s="175" t="inlineStr">
        <is>
          <t>Cái</t>
        </is>
      </c>
      <c r="M38" s="178" t="n">
        <v>55</v>
      </c>
      <c r="N38" s="178">
        <f>ROUND('00_TONG_HOP_BAO_GIA'!Q23, 0)</f>
        <v/>
      </c>
      <c r="O38" s="178">
        <f>N38*M38</f>
        <v/>
      </c>
      <c r="P38" s="176" t="inlineStr">
        <is>
          <t>Van động cơ ON-OFF BELIMO (đóng mở 150s), xuất xứ Thụy Sỹ</t>
        </is>
      </c>
    </row>
    <row r="39">
      <c r="A39" s="175" t="n">
        <v>23</v>
      </c>
      <c r="B39" s="176" t="inlineStr">
        <is>
          <t>Chi phí kiểm định</t>
        </is>
      </c>
      <c r="C39" s="175" t="n"/>
      <c r="D39" s="175" t="n"/>
      <c r="E39" s="175" t="n"/>
      <c r="F39" s="175" t="n"/>
      <c r="G39" s="175" t="n"/>
      <c r="H39" s="175" t="n"/>
      <c r="I39" s="175" t="n"/>
      <c r="J39" s="175" t="n"/>
      <c r="K39" s="175" t="n"/>
      <c r="L39" s="175" t="inlineStr">
        <is>
          <t>lô</t>
        </is>
      </c>
      <c r="M39" s="178" t="n">
        <v>1</v>
      </c>
      <c r="N39" s="178">
        <f>ROUND('00_TONG_HOP_BAO_GIA'!Q24, 0)</f>
        <v/>
      </c>
      <c r="O39" s="178">
        <f>N39*M39</f>
        <v/>
      </c>
      <c r="P39" s="176" t="inlineStr">
        <is>
          <t>Hạng mục phụ trợ / Nhà thầu tự thực hiện</t>
        </is>
      </c>
    </row>
    <row r="40">
      <c r="A40" s="175" t="n">
        <v>24</v>
      </c>
      <c r="B40" s="176" t="inlineStr">
        <is>
          <t>Vận chuyển</t>
        </is>
      </c>
      <c r="C40" s="175" t="n"/>
      <c r="D40" s="175" t="n"/>
      <c r="E40" s="175" t="n"/>
      <c r="F40" s="175" t="n"/>
      <c r="G40" s="175" t="n"/>
      <c r="H40" s="175" t="n"/>
      <c r="I40" s="175" t="n"/>
      <c r="J40" s="175" t="n"/>
      <c r="K40" s="175" t="n"/>
      <c r="L40" s="175" t="inlineStr">
        <is>
          <t>lô</t>
        </is>
      </c>
      <c r="M40" s="178" t="n">
        <v>1</v>
      </c>
      <c r="N40" s="178">
        <f>ROUND('00_TONG_HOP_BAO_GIA'!Q25, 0)</f>
        <v/>
      </c>
      <c r="O40" s="178">
        <f>N40*M40</f>
        <v/>
      </c>
      <c r="P40" s="176" t="inlineStr">
        <is>
          <t>Hạng mục phụ trợ / Nhà thầu tự thực hiện</t>
        </is>
      </c>
    </row>
    <row r="42">
      <c r="B42" s="179" t="inlineStr">
        <is>
          <t>TỔNG CỘNG (CHƯA BAO GỒM VAT):</t>
        </is>
      </c>
      <c r="O42" s="180">
        <f>SUBTOTAL(9,O14:O40)</f>
        <v/>
      </c>
    </row>
    <row r="43">
      <c r="B43" s="179" t="inlineStr">
        <is>
          <t>THUẾ GTGT (VAT 8%):</t>
        </is>
      </c>
      <c r="O43" s="180">
        <f>ROUND(O42*0.08, 0)</f>
        <v/>
      </c>
    </row>
    <row r="44">
      <c r="B44" s="179" t="inlineStr">
        <is>
          <t>TỔNG CỘNG THANH TOÁN (ĐÃ GỒM VAT 8%):</t>
        </is>
      </c>
      <c r="O44" s="180">
        <f>O42+O43</f>
        <v/>
      </c>
    </row>
  </sheetData>
  <mergeCells count="25">
    <mergeCell ref="C3:P3"/>
    <mergeCell ref="A7:L7"/>
    <mergeCell ref="C11:C13"/>
    <mergeCell ref="O11:O13"/>
    <mergeCell ref="C5:P5"/>
    <mergeCell ref="C4:P4"/>
    <mergeCell ref="L11:L13"/>
    <mergeCell ref="A8:L8"/>
    <mergeCell ref="N11:N13"/>
    <mergeCell ref="E13:F13"/>
    <mergeCell ref="G13:H13"/>
    <mergeCell ref="I11:I13"/>
    <mergeCell ref="K11:K13"/>
    <mergeCell ref="C2:P2"/>
    <mergeCell ref="A6:P6"/>
    <mergeCell ref="A11:A13"/>
    <mergeCell ref="B11:B13"/>
    <mergeCell ref="M11:M13"/>
    <mergeCell ref="A9:L9"/>
    <mergeCell ref="C10:L10"/>
    <mergeCell ref="A10:B10"/>
    <mergeCell ref="D11:D13"/>
    <mergeCell ref="J11:J13"/>
    <mergeCell ref="P11:P13"/>
    <mergeCell ref="E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44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9" customWidth="1" min="12" max="12"/>
    <col width="11" customWidth="1" min="13" max="13"/>
    <col width="16" customWidth="1" min="14" max="14"/>
    <col width="18" customWidth="1" min="15" max="15"/>
    <col width="44" customWidth="1" min="16" max="16"/>
  </cols>
  <sheetData>
    <row r="2">
      <c r="C2" s="168" t="inlineStr">
        <is>
          <t>CÔNG TY CỔ PHẦN TẬP ĐOÀN QUỐC TẾ SLAND</t>
        </is>
      </c>
    </row>
    <row r="3">
      <c r="C3" s="169" t="inlineStr">
        <is>
          <t>VPGD: SỐ 49, Ngõ 1295 Giải Phóng, Phường Hoàng Mai, TP Hà Nội</t>
        </is>
      </c>
    </row>
    <row r="4">
      <c r="C4" s="169" t="inlineStr">
        <is>
          <t>Nhà máy: Thôn Nhân Hiền - xã Thường Tín - TP Hà Nội</t>
        </is>
      </c>
    </row>
    <row r="5">
      <c r="C5" s="170" t="inlineStr">
        <is>
          <t>Hotline: 082 5577 999</t>
        </is>
      </c>
    </row>
    <row r="6" ht="28" customHeight="1">
      <c r="A6" s="171" t="inlineStr">
        <is>
          <t>BẢNG BÁO GIÁ (PHƯƠNG ÁN 2: VAN MFD ĐA CÁNH - ĐỘNG CƠ BELIMO BFN24)</t>
        </is>
      </c>
    </row>
    <row r="7">
      <c r="A7" s="170" t="inlineStr">
        <is>
          <t xml:space="preserve">Khách hàng : </t>
        </is>
      </c>
      <c r="M7" s="170" t="inlineStr">
        <is>
          <t>Số hiệu</t>
        </is>
      </c>
    </row>
    <row r="8">
      <c r="A8" s="170" t="inlineStr">
        <is>
          <t>Địa chỉ :</t>
        </is>
      </c>
      <c r="M8" s="170" t="inlineStr">
        <is>
          <t>PT Kinh doanh</t>
        </is>
      </c>
    </row>
    <row r="9">
      <c r="A9" s="170" t="inlineStr">
        <is>
          <t xml:space="preserve">Người nhận : </t>
        </is>
      </c>
      <c r="M9" s="170" t="inlineStr">
        <is>
          <t>Điện thoại</t>
        </is>
      </c>
    </row>
    <row r="10">
      <c r="A10" s="170" t="inlineStr">
        <is>
          <t xml:space="preserve">Email: </t>
        </is>
      </c>
      <c r="C10" s="170" t="inlineStr">
        <is>
          <t>Số điện thoại :</t>
        </is>
      </c>
      <c r="M10" s="170" t="inlineStr">
        <is>
          <t>Dự án</t>
        </is>
      </c>
    </row>
    <row r="11" ht="20" customHeight="1">
      <c r="A11" s="172" t="inlineStr">
        <is>
          <t>STT</t>
        </is>
      </c>
      <c r="B11" s="172" t="inlineStr">
        <is>
          <t>Danh mục sản phẩm</t>
        </is>
      </c>
      <c r="C11" s="172" t="inlineStr">
        <is>
          <t>Model</t>
        </is>
      </c>
      <c r="D11" s="172" t="inlineStr">
        <is>
          <t>Thương hiệu</t>
        </is>
      </c>
      <c r="E11" s="172" t="inlineStr">
        <is>
          <t>Kích thước (mm)</t>
        </is>
      </c>
      <c r="F11" s="172" t="n"/>
      <c r="G11" s="172" t="n"/>
      <c r="H11" s="172" t="n"/>
      <c r="I11" s="172" t="inlineStr">
        <is>
          <t>Modul</t>
        </is>
      </c>
      <c r="J11" s="172" t="inlineStr">
        <is>
          <t>L</t>
        </is>
      </c>
      <c r="K11" s="172" t="inlineStr">
        <is>
          <t>Độ dày
(mm)</t>
        </is>
      </c>
      <c r="L11" s="172" t="inlineStr">
        <is>
          <t>Unit
Đơn vị</t>
        </is>
      </c>
      <c r="M11" s="172" t="inlineStr">
        <is>
          <t>Q'ty
Số lượng</t>
        </is>
      </c>
      <c r="N11" s="172" t="inlineStr">
        <is>
          <t>Đơn Giá
(VNĐ)</t>
        </is>
      </c>
      <c r="O11" s="172" t="inlineStr">
        <is>
          <t>Total price
Thành tiền</t>
        </is>
      </c>
      <c r="P11" s="172" t="inlineStr">
        <is>
          <t>Remarks
Ghi chú</t>
        </is>
      </c>
    </row>
    <row r="12" ht="20" customHeight="1">
      <c r="A12" s="172" t="n"/>
      <c r="B12" s="172" t="n"/>
      <c r="C12" s="172" t="n"/>
      <c r="D12" s="172" t="n"/>
      <c r="E12" s="172" t="inlineStr">
        <is>
          <t>A1</t>
        </is>
      </c>
      <c r="F12" s="172" t="inlineStr">
        <is>
          <t>A2</t>
        </is>
      </c>
      <c r="G12" s="172" t="inlineStr">
        <is>
          <t>B1</t>
        </is>
      </c>
      <c r="H12" s="172" t="inlineStr">
        <is>
          <t>B2</t>
        </is>
      </c>
      <c r="I12" s="172" t="n"/>
      <c r="J12" s="172" t="n"/>
      <c r="K12" s="172" t="n"/>
      <c r="L12" s="172" t="n"/>
      <c r="M12" s="172" t="n"/>
      <c r="N12" s="172" t="n"/>
      <c r="O12" s="172" t="n"/>
      <c r="P12" s="172" t="n"/>
    </row>
    <row r="13" ht="20" customHeight="1">
      <c r="A13" s="172" t="n"/>
      <c r="B13" s="172" t="n"/>
      <c r="C13" s="172" t="n"/>
      <c r="D13" s="172" t="n"/>
      <c r="E13" s="172" t="inlineStr">
        <is>
          <t>Face size</t>
        </is>
      </c>
      <c r="F13" s="172" t="n"/>
      <c r="G13" s="172" t="inlineStr">
        <is>
          <t>Neck size</t>
        </is>
      </c>
      <c r="H13" s="172" t="n"/>
      <c r="I13" s="172" t="n"/>
      <c r="J13" s="172" t="n"/>
      <c r="K13" s="172" t="n"/>
      <c r="L13" s="172" t="n"/>
      <c r="M13" s="172" t="n"/>
      <c r="N13" s="172" t="n"/>
      <c r="O13" s="172" t="n"/>
      <c r="P13" s="172" t="n"/>
    </row>
    <row r="14">
      <c r="A14" s="173" t="n"/>
      <c r="B14" s="174" t="inlineStr">
        <is>
          <t>VẬT TƯ THI CÔNG P1B: (số BNH-ĐXVT-P1B-29-M-Van ống hồi gió lạnh  L12 - P1B)</t>
        </is>
      </c>
      <c r="C14" s="173" t="n"/>
      <c r="D14" s="173" t="n"/>
      <c r="E14" s="173" t="n"/>
      <c r="F14" s="173" t="n"/>
      <c r="G14" s="173" t="n"/>
      <c r="H14" s="173" t="n"/>
      <c r="I14" s="173" t="n"/>
      <c r="J14" s="173" t="n"/>
      <c r="K14" s="173" t="n"/>
      <c r="L14" s="173" t="n"/>
      <c r="M14" s="173" t="n"/>
      <c r="N14" s="173" t="n"/>
      <c r="O14" s="173" t="n"/>
      <c r="P14" s="173" t="n"/>
    </row>
    <row r="15">
      <c r="A15" s="175" t="n">
        <v>1</v>
      </c>
      <c r="B15" s="176" t="inlineStr">
        <is>
          <t>Van FD 1000x1200xL200</t>
        </is>
      </c>
      <c r="C15" s="175" t="inlineStr">
        <is>
          <t>SWIND-2.01- E-FD-EI120</t>
        </is>
      </c>
      <c r="D15" s="175" t="inlineStr">
        <is>
          <t>SWIND</t>
        </is>
      </c>
      <c r="E15" s="175" t="n">
        <v>1000</v>
      </c>
      <c r="F15" s="175" t="n">
        <v>1200</v>
      </c>
      <c r="G15" s="175" t="n">
        <v>1000</v>
      </c>
      <c r="H15" s="175" t="n">
        <v>600</v>
      </c>
      <c r="I15" s="175" t="n">
        <v>2</v>
      </c>
      <c r="J15" s="175" t="n">
        <v>200</v>
      </c>
      <c r="K15" s="177" t="n">
        <v>1.15</v>
      </c>
      <c r="L15" s="175" t="inlineStr">
        <is>
          <t>cái</t>
        </is>
      </c>
      <c r="M15" s="178" t="n">
        <v>1</v>
      </c>
      <c r="N15" s="178">
        <f>ROUND('00_TONG_HOP_BAO_GIA'!Q2, 0)</f>
        <v/>
      </c>
      <c r="O15" s="178">
        <f>N15*M15</f>
        <v/>
      </c>
      <c r="P15" s="176" t="inlineStr">
        <is>
          <t>- Van chặn lửa cầu chì - Tiêu chuẩn EI 120
- 2 đầu bích TDC - gắn cầu chì 70-74 độ C
- Sản xuất theo BCTN số: 4761/VLXD-TBMT
- Chia 2 modul khi sản xuất</t>
        </is>
      </c>
    </row>
    <row r="16">
      <c r="A16" s="175" t="n">
        <v>2</v>
      </c>
      <c r="B16" s="176" t="inlineStr">
        <is>
          <t>Van FD 1200x700xL200</t>
        </is>
      </c>
      <c r="C16" s="175" t="inlineStr">
        <is>
          <t>SWIND-2.01- E-FD-EI120</t>
        </is>
      </c>
      <c r="D16" s="175" t="inlineStr">
        <is>
          <t>SWIND</t>
        </is>
      </c>
      <c r="E16" s="175" t="n">
        <v>1200</v>
      </c>
      <c r="F16" s="175" t="n">
        <v>700</v>
      </c>
      <c r="G16" s="175" t="n"/>
      <c r="H16" s="175" t="n"/>
      <c r="I16" s="175" t="n"/>
      <c r="J16" s="175" t="n">
        <v>200</v>
      </c>
      <c r="K16" s="177" t="n">
        <v>1.15</v>
      </c>
      <c r="L16" s="175" t="inlineStr">
        <is>
          <t>cái</t>
        </is>
      </c>
      <c r="M16" s="178" t="n">
        <v>1</v>
      </c>
      <c r="N16" s="178">
        <f>ROUND('00_TONG_HOP_BAO_GIA'!Q3, 0)</f>
        <v/>
      </c>
      <c r="O16" s="178">
        <f>N16*M16</f>
        <v/>
      </c>
      <c r="P16" s="176" t="inlineStr">
        <is>
          <t>- Van chặn lửa cầu chì - Tiêu chuẩn EI 120
- 2 đầu bích TDC - gắn cầu chì 70-74 độ C
- Sản xuất theo BCTN số: 4761/VLXD-TBMT</t>
        </is>
      </c>
    </row>
    <row r="17">
      <c r="A17" s="175" t="n">
        <v>3</v>
      </c>
      <c r="B17" s="176" t="inlineStr">
        <is>
          <t>Van FD 1250x1000xL200</t>
        </is>
      </c>
      <c r="C17" s="175" t="inlineStr">
        <is>
          <t>SWIND-2.01- E-FD-EI120</t>
        </is>
      </c>
      <c r="D17" s="175" t="inlineStr">
        <is>
          <t>SWIND</t>
        </is>
      </c>
      <c r="E17" s="175" t="n">
        <v>1250</v>
      </c>
      <c r="F17" s="175" t="n">
        <v>1000</v>
      </c>
      <c r="G17" s="175" t="n">
        <v>1250</v>
      </c>
      <c r="H17" s="175" t="n">
        <v>500</v>
      </c>
      <c r="I17" s="175" t="n">
        <v>2</v>
      </c>
      <c r="J17" s="175" t="n">
        <v>200</v>
      </c>
      <c r="K17" s="177" t="n">
        <v>1.15</v>
      </c>
      <c r="L17" s="175" t="inlineStr">
        <is>
          <t>cái</t>
        </is>
      </c>
      <c r="M17" s="178" t="n">
        <v>2</v>
      </c>
      <c r="N17" s="178">
        <f>ROUND('00_TONG_HOP_BAO_GIA'!Q4, 0)</f>
        <v/>
      </c>
      <c r="O17" s="178">
        <f>N17*M17</f>
        <v/>
      </c>
      <c r="P17" s="176" t="inlineStr">
        <is>
          <t>- Van chặn lửa cầu chì - Tiêu chuẩn EI 120
- 2 đầu bích TDC - gắn cầu chì 70-74 độ C
- Sản xuất theo BCTN số: 4761/VLXD-TBMT
- Chia 2 modul khi sản xuất</t>
        </is>
      </c>
    </row>
    <row r="18">
      <c r="A18" s="175" t="n">
        <v>4</v>
      </c>
      <c r="B18" s="176" t="inlineStr">
        <is>
          <t>Van FD 1350x900xL200</t>
        </is>
      </c>
      <c r="C18" s="175" t="inlineStr">
        <is>
          <t>SWIND-2.01- E-FD-EI120</t>
        </is>
      </c>
      <c r="D18" s="175" t="inlineStr">
        <is>
          <t>SWIND</t>
        </is>
      </c>
      <c r="E18" s="175" t="n">
        <v>1350</v>
      </c>
      <c r="F18" s="175" t="n">
        <v>900</v>
      </c>
      <c r="G18" s="175" t="n">
        <v>1350</v>
      </c>
      <c r="H18" s="175" t="n">
        <v>450</v>
      </c>
      <c r="I18" s="175" t="n">
        <v>2</v>
      </c>
      <c r="J18" s="175" t="n">
        <v>200</v>
      </c>
      <c r="K18" s="177" t="n">
        <v>1.15</v>
      </c>
      <c r="L18" s="175" t="inlineStr">
        <is>
          <t>cái</t>
        </is>
      </c>
      <c r="M18" s="178" t="n">
        <v>1</v>
      </c>
      <c r="N18" s="178">
        <f>ROUND('00_TONG_HOP_BAO_GIA'!Q5, 0)</f>
        <v/>
      </c>
      <c r="O18" s="178">
        <f>N18*M18</f>
        <v/>
      </c>
      <c r="P18" s="176" t="inlineStr">
        <is>
          <t>- Van chặn lửa cầu chì - Tiêu chuẩn EI 120
- 2 đầu bích TDC - gắn cầu chì 70-74 độ C
- Sản xuất theo BCTN số: 4761/VLXD-TBMT
- Chia 2 modul khi sản xuất</t>
        </is>
      </c>
    </row>
    <row r="19">
      <c r="A19" s="175" t="n">
        <v>5</v>
      </c>
      <c r="B19" s="176" t="inlineStr">
        <is>
          <t>Van FD 1350x900xL300</t>
        </is>
      </c>
      <c r="C19" s="175" t="inlineStr">
        <is>
          <t>SWIND-2.01- E-FD-EI120</t>
        </is>
      </c>
      <c r="D19" s="175" t="inlineStr">
        <is>
          <t>SWIND</t>
        </is>
      </c>
      <c r="E19" s="175" t="n">
        <v>1350</v>
      </c>
      <c r="F19" s="175" t="n">
        <v>900</v>
      </c>
      <c r="G19" s="175" t="n">
        <v>1350</v>
      </c>
      <c r="H19" s="175" t="n">
        <v>450</v>
      </c>
      <c r="I19" s="175" t="n">
        <v>2</v>
      </c>
      <c r="J19" s="175" t="n">
        <v>200</v>
      </c>
      <c r="K19" s="177" t="n">
        <v>1.15</v>
      </c>
      <c r="L19" s="175" t="inlineStr">
        <is>
          <t>cái</t>
        </is>
      </c>
      <c r="M19" s="178" t="n">
        <v>1</v>
      </c>
      <c r="N19" s="178">
        <f>ROUND('00_TONG_HOP_BAO_GIA'!Q6, 0)</f>
        <v/>
      </c>
      <c r="O19" s="178">
        <f>N19*M19</f>
        <v/>
      </c>
      <c r="P19" s="176" t="inlineStr">
        <is>
          <t>- Van chặn lửa cầu chì - Tiêu chuẩn EI 120
- 2 đầu bích TDC - gắn cầu chì 70-74 độ C
- Sản xuất theo BCTN số: 4761/VLXD-TBMT
- Chia 2 modul khi sản xuất</t>
        </is>
      </c>
    </row>
    <row r="20">
      <c r="A20" s="175" t="n">
        <v>6</v>
      </c>
      <c r="B20" s="176" t="inlineStr">
        <is>
          <t>Van FD 1400x1100xL200</t>
        </is>
      </c>
      <c r="C20" s="175" t="inlineStr">
        <is>
          <t>SWIND-2.01- E-FD-EI120</t>
        </is>
      </c>
      <c r="D20" s="175" t="inlineStr">
        <is>
          <t>SWIND</t>
        </is>
      </c>
      <c r="E20" s="175" t="n">
        <v>1400</v>
      </c>
      <c r="F20" s="175" t="n">
        <v>1100</v>
      </c>
      <c r="G20" s="175" t="n">
        <v>1400</v>
      </c>
      <c r="H20" s="175" t="n">
        <v>550</v>
      </c>
      <c r="I20" s="175" t="n">
        <v>2</v>
      </c>
      <c r="J20" s="175" t="n">
        <v>200</v>
      </c>
      <c r="K20" s="177" t="n">
        <v>1.15</v>
      </c>
      <c r="L20" s="175" t="inlineStr">
        <is>
          <t>cái</t>
        </is>
      </c>
      <c r="M20" s="178" t="n">
        <v>1</v>
      </c>
      <c r="N20" s="178">
        <f>ROUND('00_TONG_HOP_BAO_GIA'!Q7, 0)</f>
        <v/>
      </c>
      <c r="O20" s="178">
        <f>N20*M20</f>
        <v/>
      </c>
      <c r="P20" s="176" t="inlineStr">
        <is>
          <t>- Van chặn lửa cầu chì - Tiêu chuẩn EI 120
- 2 đầu bích TDC - gắn cầu chì 70-74 độ C
- Sản xuất theo BCTN số: 4761/VLXD-TBMT
- Chia 2 modul khi sản xuất</t>
        </is>
      </c>
    </row>
    <row r="21">
      <c r="A21" s="175" t="n">
        <v>7</v>
      </c>
      <c r="B21" s="176" t="inlineStr">
        <is>
          <t>Van FD 1800x700xL200</t>
        </is>
      </c>
      <c r="C21" s="175" t="inlineStr">
        <is>
          <t>SWIND-2.01- E-FD-EI120</t>
        </is>
      </c>
      <c r="D21" s="175" t="inlineStr">
        <is>
          <t>SWIND</t>
        </is>
      </c>
      <c r="E21" s="175" t="n">
        <v>1800</v>
      </c>
      <c r="F21" s="175" t="n">
        <v>700</v>
      </c>
      <c r="G21" s="175" t="n">
        <v>900</v>
      </c>
      <c r="H21" s="175" t="n">
        <v>700</v>
      </c>
      <c r="I21" s="175" t="n">
        <v>2</v>
      </c>
      <c r="J21" s="175" t="n">
        <v>200</v>
      </c>
      <c r="K21" s="177" t="n">
        <v>1.15</v>
      </c>
      <c r="L21" s="175" t="inlineStr">
        <is>
          <t>cái</t>
        </is>
      </c>
      <c r="M21" s="178" t="n">
        <v>1</v>
      </c>
      <c r="N21" s="178">
        <f>ROUND('00_TONG_HOP_BAO_GIA'!Q8, 0)</f>
        <v/>
      </c>
      <c r="O21" s="178">
        <f>N21*M21</f>
        <v/>
      </c>
      <c r="P21" s="176" t="inlineStr">
        <is>
          <t>- Van chặn lửa cầu chì - Tiêu chuẩn EI 120
- 2 đầu bích TDC - gắn cầu chì 70-74 độ C
- Sản xuất theo BCTN số: 4761/VLXD-TBMT
- Chia 2 modul khi sản xuất</t>
        </is>
      </c>
    </row>
    <row r="22">
      <c r="A22" s="175" t="n">
        <v>8</v>
      </c>
      <c r="B22" s="176" t="inlineStr">
        <is>
          <t>Van FD 500x400xL200</t>
        </is>
      </c>
      <c r="C22" s="175" t="inlineStr">
        <is>
          <t>SWIND-2.01- E-FD-EI120</t>
        </is>
      </c>
      <c r="D22" s="175" t="inlineStr">
        <is>
          <t>SWIND</t>
        </is>
      </c>
      <c r="E22" s="175" t="n">
        <v>500</v>
      </c>
      <c r="F22" s="175" t="n">
        <v>400</v>
      </c>
      <c r="G22" s="175" t="n"/>
      <c r="H22" s="175" t="n"/>
      <c r="I22" s="175" t="n"/>
      <c r="J22" s="175" t="n">
        <v>200</v>
      </c>
      <c r="K22" s="177" t="n">
        <v>1.15</v>
      </c>
      <c r="L22" s="175" t="inlineStr">
        <is>
          <t>cái</t>
        </is>
      </c>
      <c r="M22" s="178" t="n">
        <v>2</v>
      </c>
      <c r="N22" s="178">
        <f>ROUND('00_TONG_HOP_BAO_GIA'!Q9, 0)</f>
        <v/>
      </c>
      <c r="O22" s="178">
        <f>N22*M22</f>
        <v/>
      </c>
      <c r="P22" s="176" t="inlineStr">
        <is>
          <t>- Van chặn lửa cầu chì - Tiêu chuẩn EI 120
- 2 đầu bích TDC - gắn cầu chì 70-74 độ C
- Sản xuất theo BCTN số: 4761/VLXD-TBMT</t>
        </is>
      </c>
    </row>
    <row r="23">
      <c r="A23" s="175" t="n">
        <v>9</v>
      </c>
      <c r="B23" s="176" t="inlineStr">
        <is>
          <t>Van FD 700x500xL200</t>
        </is>
      </c>
      <c r="C23" s="175" t="inlineStr">
        <is>
          <t>SWIND-2.01- E-FD-EI120</t>
        </is>
      </c>
      <c r="D23" s="175" t="inlineStr">
        <is>
          <t>SWIND</t>
        </is>
      </c>
      <c r="E23" s="175" t="n">
        <v>700</v>
      </c>
      <c r="F23" s="175" t="n">
        <v>500</v>
      </c>
      <c r="G23" s="175" t="n"/>
      <c r="H23" s="175" t="n"/>
      <c r="I23" s="175" t="n"/>
      <c r="J23" s="175" t="n">
        <v>200</v>
      </c>
      <c r="K23" s="177" t="n">
        <v>1.15</v>
      </c>
      <c r="L23" s="175" t="inlineStr">
        <is>
          <t>cái</t>
        </is>
      </c>
      <c r="M23" s="178" t="n">
        <v>1</v>
      </c>
      <c r="N23" s="178">
        <f>ROUND('00_TONG_HOP_BAO_GIA'!Q10, 0)</f>
        <v/>
      </c>
      <c r="O23" s="178">
        <f>N23*M23</f>
        <v/>
      </c>
      <c r="P23" s="176" t="inlineStr">
        <is>
          <t>- Van chặn lửa cầu chì - Tiêu chuẩn EI 120
- 2 đầu bích TDC - gắn cầu chì 70-74 độ C
- Sản xuất theo BCTN số: 4761/VLXD-TBMT</t>
        </is>
      </c>
    </row>
    <row r="24">
      <c r="A24" s="175" t="n">
        <v>10</v>
      </c>
      <c r="B24" s="176" t="inlineStr">
        <is>
          <t>Van FD 800x1550xL200</t>
        </is>
      </c>
      <c r="C24" s="175" t="inlineStr">
        <is>
          <t>SWIND-2.01- E-FD-EI120</t>
        </is>
      </c>
      <c r="D24" s="175" t="inlineStr">
        <is>
          <t>SWIND</t>
        </is>
      </c>
      <c r="E24" s="175" t="n">
        <v>800</v>
      </c>
      <c r="F24" s="175" t="n">
        <v>1550</v>
      </c>
      <c r="G24" s="175" t="n">
        <v>800</v>
      </c>
      <c r="H24" s="175" t="n">
        <v>775</v>
      </c>
      <c r="I24" s="175" t="n">
        <v>2</v>
      </c>
      <c r="J24" s="175" t="n">
        <v>200</v>
      </c>
      <c r="K24" s="177" t="n">
        <v>1.15</v>
      </c>
      <c r="L24" s="175" t="inlineStr">
        <is>
          <t>cái</t>
        </is>
      </c>
      <c r="M24" s="178" t="n">
        <v>1</v>
      </c>
      <c r="N24" s="178">
        <f>ROUND('00_TONG_HOP_BAO_GIA'!Q11, 0)</f>
        <v/>
      </c>
      <c r="O24" s="178">
        <f>N24*M24</f>
        <v/>
      </c>
      <c r="P24" s="176" t="inlineStr">
        <is>
          <t>- Van chặn lửa cầu chì - Tiêu chuẩn EI 120
- 2 đầu bích TDC - gắn cầu chì 70-74 độ C
- Sản xuất theo BCTN số: 4761/VLXD-TBMT
- Chia 2 modul khi sản xuất</t>
        </is>
      </c>
    </row>
    <row r="25">
      <c r="A25" s="173" t="n"/>
      <c r="B25" s="174" t="inlineStr">
        <is>
          <t>VẬT TƯ THI CÔNG H1: (số BNH_DXVT_H1_29_M_Van MD, FD, VCD hệ HVAC trong phòng JS/DD, K1/DD, K1/AR, K1/K1 tầng 10-19 tòa H1)</t>
        </is>
      </c>
      <c r="C25" s="173" t="n"/>
      <c r="D25" s="173" t="n"/>
      <c r="E25" s="173" t="n"/>
      <c r="F25" s="173" t="n"/>
      <c r="G25" s="173" t="n"/>
      <c r="H25" s="173" t="n"/>
      <c r="I25" s="173" t="n"/>
      <c r="J25" s="173" t="n"/>
      <c r="K25" s="173" t="n"/>
      <c r="L25" s="173" t="n"/>
      <c r="M25" s="173" t="n"/>
      <c r="N25" s="173" t="n"/>
      <c r="O25" s="173" t="n"/>
      <c r="P25" s="173" t="n"/>
    </row>
    <row r="26">
      <c r="A26" s="175" t="n">
        <v>11</v>
      </c>
      <c r="B26" s="176" t="inlineStr">
        <is>
          <t>Van chặn lửa MFD - EI45 - Kích thước: 150x100</t>
        </is>
      </c>
      <c r="C26" s="175" t="inlineStr">
        <is>
          <t>SWIND-2.01- E-FD-EI120</t>
        </is>
      </c>
      <c r="D26" s="175" t="inlineStr">
        <is>
          <t>SWIND</t>
        </is>
      </c>
      <c r="E26" s="175" t="n">
        <v>150</v>
      </c>
      <c r="F26" s="175" t="n">
        <v>100</v>
      </c>
      <c r="G26" s="175" t="n">
        <v>150</v>
      </c>
      <c r="H26" s="175" t="n">
        <v>150</v>
      </c>
      <c r="I26" s="175" t="n"/>
      <c r="J26" s="175" t="n">
        <v>200</v>
      </c>
      <c r="K26" s="177" t="n">
        <v>1.15</v>
      </c>
      <c r="L26" s="175" t="inlineStr">
        <is>
          <t>Cái</t>
        </is>
      </c>
      <c r="M26" s="178" t="n">
        <v>39</v>
      </c>
      <c r="N26" s="178">
        <f>ROUND('00_TONG_HOP_BAO_GIA'!Q12, 0)</f>
        <v/>
      </c>
      <c r="O26" s="178">
        <f>N26*M26</f>
        <v/>
      </c>
      <c r="P26" s="176" t="inlineStr">
        <is>
          <t>- Van chặn lửa cầu chì - Tiêu chuẩn EI 120
- 2 đầu bích TDC - gắn cầu chì 70-74 độ C
- Sản xuất theo BCTN số: 4761/VLXD-TBMT
- Van thu côn 2 đầu</t>
        </is>
      </c>
    </row>
    <row r="27">
      <c r="A27" s="175" t="n">
        <v>12</v>
      </c>
      <c r="B27" s="176" t="inlineStr">
        <is>
          <t>Van chặn lửa MFD - EI45 - Kích thước: 150x150</t>
        </is>
      </c>
      <c r="C27" s="175" t="inlineStr">
        <is>
          <t>SWIND-2.01- E-FD-EI120</t>
        </is>
      </c>
      <c r="D27" s="175" t="inlineStr">
        <is>
          <t>SWIND</t>
        </is>
      </c>
      <c r="E27" s="175" t="n">
        <v>150</v>
      </c>
      <c r="F27" s="175" t="n">
        <v>150</v>
      </c>
      <c r="G27" s="175" t="n"/>
      <c r="H27" s="175" t="n"/>
      <c r="I27" s="175" t="n"/>
      <c r="J27" s="175" t="n">
        <v>200</v>
      </c>
      <c r="K27" s="177" t="n">
        <v>1.15</v>
      </c>
      <c r="L27" s="175" t="inlineStr">
        <is>
          <t>Cái</t>
        </is>
      </c>
      <c r="M27" s="178" t="n">
        <v>19</v>
      </c>
      <c r="N27" s="178">
        <f>ROUND('00_TONG_HOP_BAO_GIA'!Q13, 0)</f>
        <v/>
      </c>
      <c r="O27" s="178">
        <f>N27*M27</f>
        <v/>
      </c>
      <c r="P27" s="176" t="inlineStr">
        <is>
          <t>- Van chặn lửa cầu chì - Tiêu chuẩn EI 120
- 2 đầu bích TDC - gắn cầu chì 70-74 độ C
- Sản xuất theo BCTN số: 4761/VLXD-TBMT</t>
        </is>
      </c>
    </row>
    <row r="28">
      <c r="A28" s="175" t="n">
        <v>13</v>
      </c>
      <c r="B28" s="176" t="inlineStr">
        <is>
          <t>Van điều chỉnh lưu lượng VCD - Kích thước: 150x100</t>
        </is>
      </c>
      <c r="C28" s="175" t="inlineStr">
        <is>
          <t>VCD</t>
        </is>
      </c>
      <c r="D28" s="175" t="inlineStr">
        <is>
          <t>SWIND</t>
        </is>
      </c>
      <c r="E28" s="175" t="n">
        <v>150</v>
      </c>
      <c r="F28" s="175" t="n">
        <v>100</v>
      </c>
      <c r="G28" s="175" t="n"/>
      <c r="H28" s="175" t="n"/>
      <c r="I28" s="175" t="n"/>
      <c r="J28" s="175" t="n">
        <v>200</v>
      </c>
      <c r="K28" s="177" t="n">
        <v>0.75</v>
      </c>
      <c r="L28" s="175" t="inlineStr">
        <is>
          <t>Cái</t>
        </is>
      </c>
      <c r="M28" s="178" t="n">
        <v>63</v>
      </c>
      <c r="N28" s="178">
        <f>ROUND('00_TONG_HOP_BAO_GIA'!Q14, 0)</f>
        <v/>
      </c>
      <c r="O28" s="178">
        <f>N28*M28</f>
        <v/>
      </c>
      <c r="P28" s="176" t="inlineStr">
        <is>
          <t>Van điều chỉnh lưu lượng tay gạt tôn mạ kẽm</t>
        </is>
      </c>
    </row>
    <row r="29">
      <c r="A29" s="175" t="n">
        <v>14</v>
      </c>
      <c r="B29" s="176" t="inlineStr">
        <is>
          <t>Van điều chỉnh lưu lượng VCD - Kích thước: 150x150</t>
        </is>
      </c>
      <c r="C29" s="175" t="inlineStr">
        <is>
          <t>VCD</t>
        </is>
      </c>
      <c r="D29" s="175" t="inlineStr">
        <is>
          <t>SWIND</t>
        </is>
      </c>
      <c r="E29" s="175" t="n">
        <v>150</v>
      </c>
      <c r="F29" s="175" t="n">
        <v>150</v>
      </c>
      <c r="G29" s="175" t="n"/>
      <c r="H29" s="175" t="n"/>
      <c r="I29" s="175" t="n"/>
      <c r="J29" s="175" t="n">
        <v>200</v>
      </c>
      <c r="K29" s="177" t="n">
        <v>0.75</v>
      </c>
      <c r="L29" s="175" t="inlineStr">
        <is>
          <t>Cái</t>
        </is>
      </c>
      <c r="M29" s="178" t="n">
        <v>23</v>
      </c>
      <c r="N29" s="178">
        <f>ROUND('00_TONG_HOP_BAO_GIA'!Q15, 0)</f>
        <v/>
      </c>
      <c r="O29" s="178">
        <f>N29*M29</f>
        <v/>
      </c>
      <c r="P29" s="176" t="inlineStr">
        <is>
          <t>Van điều chỉnh lưu lượng tay gạt tôn mạ kẽm</t>
        </is>
      </c>
    </row>
    <row r="30">
      <c r="A30" s="175" t="n">
        <v>15</v>
      </c>
      <c r="B30" s="176" t="inlineStr">
        <is>
          <t>Van điều chỉnh lưu lượng VCD - Kích thước: 300x200</t>
        </is>
      </c>
      <c r="C30" s="175" t="inlineStr">
        <is>
          <t>VCD</t>
        </is>
      </c>
      <c r="D30" s="175" t="inlineStr">
        <is>
          <t>SWIND</t>
        </is>
      </c>
      <c r="E30" s="175" t="n">
        <v>300</v>
      </c>
      <c r="F30" s="175" t="n">
        <v>200</v>
      </c>
      <c r="G30" s="175" t="n"/>
      <c r="H30" s="175" t="n"/>
      <c r="I30" s="175" t="n"/>
      <c r="J30" s="175" t="n">
        <v>200</v>
      </c>
      <c r="K30" s="177" t="n">
        <v>0.75</v>
      </c>
      <c r="L30" s="175" t="inlineStr">
        <is>
          <t>Cái</t>
        </is>
      </c>
      <c r="M30" s="178" t="n">
        <v>2</v>
      </c>
      <c r="N30" s="178">
        <f>ROUND('00_TONG_HOP_BAO_GIA'!Q16, 0)</f>
        <v/>
      </c>
      <c r="O30" s="178">
        <f>N30*M30</f>
        <v/>
      </c>
      <c r="P30" s="176" t="inlineStr">
        <is>
          <t>Van điều chỉnh lưu lượng tay gạt tôn mạ kẽm</t>
        </is>
      </c>
    </row>
    <row r="31">
      <c r="A31" s="175" t="n">
        <v>16</v>
      </c>
      <c r="B31" s="176" t="inlineStr">
        <is>
          <t>Van điều gió MD - Kích thước: 150x100</t>
        </is>
      </c>
      <c r="C31" s="175" t="inlineStr">
        <is>
          <t>MD</t>
        </is>
      </c>
      <c r="D31" s="175" t="inlineStr">
        <is>
          <t>SWIND</t>
        </is>
      </c>
      <c r="E31" s="175" t="n">
        <v>150</v>
      </c>
      <c r="F31" s="175" t="n">
        <v>100</v>
      </c>
      <c r="G31" s="175" t="n"/>
      <c r="H31" s="175" t="n"/>
      <c r="I31" s="175" t="n"/>
      <c r="J31" s="175" t="n">
        <v>200</v>
      </c>
      <c r="K31" s="177" t="n">
        <v>0.75</v>
      </c>
      <c r="L31" s="175" t="inlineStr">
        <is>
          <t>Cái</t>
        </is>
      </c>
      <c r="M31" s="178" t="n">
        <v>41</v>
      </c>
      <c r="N31" s="178">
        <f>ROUND('00_TONG_HOP_BAO_GIA'!Q17, 0)</f>
        <v/>
      </c>
      <c r="O31" s="178">
        <f>N31*M31</f>
        <v/>
      </c>
      <c r="P31" s="176" t="inlineStr">
        <is>
          <t>Van động cơ ON-OFF BELIMO (đóng mở 150s), xuất xứ Thụy Sỹ</t>
        </is>
      </c>
    </row>
    <row r="32">
      <c r="A32" s="175" t="n">
        <v>17</v>
      </c>
      <c r="B32" s="176" t="inlineStr">
        <is>
          <t>Van điều gió MD - Kích thước: 150x150</t>
        </is>
      </c>
      <c r="C32" s="175" t="inlineStr">
        <is>
          <t>MD</t>
        </is>
      </c>
      <c r="D32" s="175" t="inlineStr">
        <is>
          <t>SWIND</t>
        </is>
      </c>
      <c r="E32" s="175" t="n">
        <v>150</v>
      </c>
      <c r="F32" s="175" t="n">
        <v>150</v>
      </c>
      <c r="G32" s="175" t="n"/>
      <c r="H32" s="175" t="n"/>
      <c r="I32" s="175" t="n"/>
      <c r="J32" s="175" t="n">
        <v>200</v>
      </c>
      <c r="K32" s="177" t="n">
        <v>0.75</v>
      </c>
      <c r="L32" s="175" t="inlineStr">
        <is>
          <t>Cái</t>
        </is>
      </c>
      <c r="M32" s="178" t="n">
        <v>14</v>
      </c>
      <c r="N32" s="178">
        <f>ROUND('00_TONG_HOP_BAO_GIA'!Q18, 0)</f>
        <v/>
      </c>
      <c r="O32" s="178">
        <f>N32*M32</f>
        <v/>
      </c>
      <c r="P32" s="176" t="inlineStr">
        <is>
          <t>Van động cơ ON-OFF BELIMO (đóng mở 150s), xuất xứ Thụy Sỹ</t>
        </is>
      </c>
    </row>
    <row r="33">
      <c r="A33" s="173" t="n"/>
      <c r="B33" s="174" t="inlineStr">
        <is>
          <t>Van gió, miệng gió</t>
        </is>
      </c>
      <c r="C33" s="173" t="n"/>
      <c r="D33" s="173" t="n"/>
      <c r="E33" s="173" t="n"/>
      <c r="F33" s="173" t="n"/>
      <c r="G33" s="173" t="n"/>
      <c r="H33" s="173" t="n"/>
      <c r="I33" s="173" t="n"/>
      <c r="J33" s="173" t="n"/>
      <c r="K33" s="173" t="n"/>
      <c r="L33" s="173" t="n"/>
      <c r="M33" s="173" t="n"/>
      <c r="N33" s="173" t="n"/>
      <c r="O33" s="173" t="n"/>
      <c r="P33" s="173" t="n"/>
    </row>
    <row r="34">
      <c r="A34" s="175" t="n">
        <v>18</v>
      </c>
      <c r="B34" s="176" t="inlineStr">
        <is>
          <t>Van chặn lửa MFD - EI45 - Kích thước: 150x100</t>
        </is>
      </c>
      <c r="C34" s="175" t="inlineStr">
        <is>
          <t>SWIND-2.01- E-FD-EI120</t>
        </is>
      </c>
      <c r="D34" s="175" t="inlineStr">
        <is>
          <t>SWIND</t>
        </is>
      </c>
      <c r="E34" s="175" t="n">
        <v>150</v>
      </c>
      <c r="F34" s="175" t="n">
        <v>100</v>
      </c>
      <c r="G34" s="175" t="n">
        <v>150</v>
      </c>
      <c r="H34" s="175" t="n">
        <v>150</v>
      </c>
      <c r="I34" s="175" t="n"/>
      <c r="J34" s="175" t="n">
        <v>200</v>
      </c>
      <c r="K34" s="177" t="n">
        <v>1.15</v>
      </c>
      <c r="L34" s="175" t="inlineStr">
        <is>
          <t>Cái</t>
        </is>
      </c>
      <c r="M34" s="178" t="n">
        <v>46</v>
      </c>
      <c r="N34" s="178">
        <f>ROUND('00_TONG_HOP_BAO_GIA'!Q19, 0)</f>
        <v/>
      </c>
      <c r="O34" s="178">
        <f>N34*M34</f>
        <v/>
      </c>
      <c r="P34" s="176" t="inlineStr">
        <is>
          <t>- Van chặn lửa cầu chì - Tiêu chuẩn EI 120
- 2 đầu bích TDC - gắn cầu chì 70-74 độ C
- Sản xuất theo BCTN số: 4761/VLXD-TBMT
- Van thu côn 2 đầu</t>
        </is>
      </c>
    </row>
    <row r="35">
      <c r="A35" s="175" t="n">
        <v>19</v>
      </c>
      <c r="B35" s="176" t="inlineStr">
        <is>
          <t>Van chặn lửa MFD - EI45 - Kích thước: 150x150</t>
        </is>
      </c>
      <c r="C35" s="175" t="inlineStr">
        <is>
          <t>SWIND-2.01- E-FD-EI120</t>
        </is>
      </c>
      <c r="D35" s="175" t="inlineStr">
        <is>
          <t>SWIND</t>
        </is>
      </c>
      <c r="E35" s="175" t="n">
        <v>150</v>
      </c>
      <c r="F35" s="175" t="n">
        <v>150</v>
      </c>
      <c r="G35" s="175" t="n"/>
      <c r="H35" s="175" t="n"/>
      <c r="I35" s="175" t="n"/>
      <c r="J35" s="175" t="n">
        <v>200</v>
      </c>
      <c r="K35" s="177" t="n">
        <v>1.15</v>
      </c>
      <c r="L35" s="175" t="inlineStr">
        <is>
          <t>Cái</t>
        </is>
      </c>
      <c r="M35" s="178" t="n">
        <v>9</v>
      </c>
      <c r="N35" s="178">
        <f>ROUND('00_TONG_HOP_BAO_GIA'!Q20, 0)</f>
        <v/>
      </c>
      <c r="O35" s="178">
        <f>N35*M35</f>
        <v/>
      </c>
      <c r="P35" s="176" t="inlineStr">
        <is>
          <t>- Van chặn lửa cầu chì - Tiêu chuẩn EI 120
- 2 đầu bích TDC - gắn cầu chì 70-74 độ C
- Sản xuất theo BCTN số: 4761/VLXD-TBMT</t>
        </is>
      </c>
    </row>
    <row r="36">
      <c r="A36" s="175" t="n">
        <v>20</v>
      </c>
      <c r="B36" s="176" t="inlineStr">
        <is>
          <t>Van điều chỉnh lưu lượng VCD - Kích thước: 150x100</t>
        </is>
      </c>
      <c r="C36" s="175" t="inlineStr">
        <is>
          <t>VCD</t>
        </is>
      </c>
      <c r="D36" s="175" t="inlineStr">
        <is>
          <t>SWIND</t>
        </is>
      </c>
      <c r="E36" s="175" t="n">
        <v>150</v>
      </c>
      <c r="F36" s="175" t="n">
        <v>100</v>
      </c>
      <c r="G36" s="175" t="n"/>
      <c r="H36" s="175" t="n"/>
      <c r="I36" s="175" t="n"/>
      <c r="J36" s="175" t="n">
        <v>200</v>
      </c>
      <c r="K36" s="177" t="n">
        <v>0.75</v>
      </c>
      <c r="L36" s="175" t="inlineStr">
        <is>
          <t>Cái</t>
        </is>
      </c>
      <c r="M36" s="178" t="n">
        <v>37</v>
      </c>
      <c r="N36" s="178">
        <f>ROUND('00_TONG_HOP_BAO_GIA'!Q21, 0)</f>
        <v/>
      </c>
      <c r="O36" s="178">
        <f>N36*M36</f>
        <v/>
      </c>
      <c r="P36" s="176" t="inlineStr">
        <is>
          <t>Van điều chỉnh lưu lượng tay gạt tôn mạ kẽm</t>
        </is>
      </c>
    </row>
    <row r="37">
      <c r="A37" s="175" t="n">
        <v>21</v>
      </c>
      <c r="B37" s="176" t="inlineStr">
        <is>
          <t>Van điều chỉnh lưu lượng VCD - Kích thước: 150x150</t>
        </is>
      </c>
      <c r="C37" s="175" t="inlineStr">
        <is>
          <t>VCD</t>
        </is>
      </c>
      <c r="D37" s="175" t="inlineStr">
        <is>
          <t>SWIND</t>
        </is>
      </c>
      <c r="E37" s="175" t="n">
        <v>150</v>
      </c>
      <c r="F37" s="175" t="n">
        <v>150</v>
      </c>
      <c r="G37" s="175" t="n"/>
      <c r="H37" s="175" t="n"/>
      <c r="I37" s="175" t="n"/>
      <c r="J37" s="175" t="n">
        <v>200</v>
      </c>
      <c r="K37" s="177" t="n">
        <v>0.75</v>
      </c>
      <c r="L37" s="175" t="inlineStr">
        <is>
          <t>Cái</t>
        </is>
      </c>
      <c r="M37" s="178" t="n">
        <v>7</v>
      </c>
      <c r="N37" s="178">
        <f>ROUND('00_TONG_HOP_BAO_GIA'!Q22, 0)</f>
        <v/>
      </c>
      <c r="O37" s="178">
        <f>N37*M37</f>
        <v/>
      </c>
      <c r="P37" s="176" t="inlineStr">
        <is>
          <t>Van điều chỉnh lưu lượng tay gạt tôn mạ kẽm</t>
        </is>
      </c>
    </row>
    <row r="38">
      <c r="A38" s="175" t="n">
        <v>22</v>
      </c>
      <c r="B38" s="176" t="inlineStr">
        <is>
          <t>Van điều gió MD - Kích thước: 150x100</t>
        </is>
      </c>
      <c r="C38" s="175" t="inlineStr">
        <is>
          <t>MD</t>
        </is>
      </c>
      <c r="D38" s="175" t="inlineStr">
        <is>
          <t>SWIND</t>
        </is>
      </c>
      <c r="E38" s="175" t="n">
        <v>150</v>
      </c>
      <c r="F38" s="175" t="n">
        <v>100</v>
      </c>
      <c r="G38" s="175" t="n"/>
      <c r="H38" s="175" t="n"/>
      <c r="I38" s="175" t="n"/>
      <c r="J38" s="175" t="n">
        <v>200</v>
      </c>
      <c r="K38" s="177" t="n">
        <v>0.75</v>
      </c>
      <c r="L38" s="175" t="inlineStr">
        <is>
          <t>Cái</t>
        </is>
      </c>
      <c r="M38" s="178" t="n">
        <v>55</v>
      </c>
      <c r="N38" s="178">
        <f>ROUND('00_TONG_HOP_BAO_GIA'!Q23, 0)</f>
        <v/>
      </c>
      <c r="O38" s="178">
        <f>N38*M38</f>
        <v/>
      </c>
      <c r="P38" s="176" t="inlineStr">
        <is>
          <t>Van động cơ ON-OFF BELIMO (đóng mở 150s), xuất xứ Thụy Sỹ</t>
        </is>
      </c>
    </row>
    <row r="39">
      <c r="A39" s="175" t="n">
        <v>23</v>
      </c>
      <c r="B39" s="176" t="inlineStr">
        <is>
          <t>Chi phí kiểm định</t>
        </is>
      </c>
      <c r="C39" s="175" t="n"/>
      <c r="D39" s="175" t="n"/>
      <c r="E39" s="175" t="n"/>
      <c r="F39" s="175" t="n"/>
      <c r="G39" s="175" t="n"/>
      <c r="H39" s="175" t="n"/>
      <c r="I39" s="175" t="n"/>
      <c r="J39" s="175" t="n"/>
      <c r="K39" s="175" t="n"/>
      <c r="L39" s="175" t="inlineStr">
        <is>
          <t>lô</t>
        </is>
      </c>
      <c r="M39" s="178" t="n">
        <v>1</v>
      </c>
      <c r="N39" s="178">
        <f>ROUND('00_TONG_HOP_BAO_GIA'!Q24, 0)</f>
        <v/>
      </c>
      <c r="O39" s="178">
        <f>N39*M39</f>
        <v/>
      </c>
      <c r="P39" s="176" t="inlineStr">
        <is>
          <t>Hạng mục phụ trợ / Nhà thầu tự thực hiện</t>
        </is>
      </c>
    </row>
    <row r="40">
      <c r="A40" s="175" t="n">
        <v>24</v>
      </c>
      <c r="B40" s="176" t="inlineStr">
        <is>
          <t>Vận chuyển</t>
        </is>
      </c>
      <c r="C40" s="175" t="n"/>
      <c r="D40" s="175" t="n"/>
      <c r="E40" s="175" t="n"/>
      <c r="F40" s="175" t="n"/>
      <c r="G40" s="175" t="n"/>
      <c r="H40" s="175" t="n"/>
      <c r="I40" s="175" t="n"/>
      <c r="J40" s="175" t="n"/>
      <c r="K40" s="175" t="n"/>
      <c r="L40" s="175" t="inlineStr">
        <is>
          <t>lô</t>
        </is>
      </c>
      <c r="M40" s="178" t="n">
        <v>1</v>
      </c>
      <c r="N40" s="178">
        <f>ROUND('00_TONG_HOP_BAO_GIA'!Q25, 0)</f>
        <v/>
      </c>
      <c r="O40" s="178">
        <f>N40*M40</f>
        <v/>
      </c>
      <c r="P40" s="176" t="inlineStr">
        <is>
          <t>Hạng mục phụ trợ / Nhà thầu tự thực hiện</t>
        </is>
      </c>
    </row>
    <row r="42">
      <c r="B42" s="179" t="inlineStr">
        <is>
          <t>TỔNG CỘNG (CHƯA BAO GỒM VAT):</t>
        </is>
      </c>
      <c r="O42" s="180">
        <f>SUBTOTAL(9,O14:O40)</f>
        <v/>
      </c>
    </row>
    <row r="43">
      <c r="B43" s="179" t="inlineStr">
        <is>
          <t>THUẾ GTGT (VAT 8%):</t>
        </is>
      </c>
      <c r="O43" s="180">
        <f>ROUND(O42*0.08, 0)</f>
        <v/>
      </c>
    </row>
    <row r="44">
      <c r="B44" s="179" t="inlineStr">
        <is>
          <t>TỔNG CỘNG THANH TOÁN (ĐÃ GỒM VAT 8%):</t>
        </is>
      </c>
      <c r="O44" s="180">
        <f>O42+O43</f>
        <v/>
      </c>
    </row>
  </sheetData>
  <mergeCells count="25">
    <mergeCell ref="C3:P3"/>
    <mergeCell ref="A7:L7"/>
    <mergeCell ref="C11:C13"/>
    <mergeCell ref="O11:O13"/>
    <mergeCell ref="C5:P5"/>
    <mergeCell ref="C4:P4"/>
    <mergeCell ref="L11:L13"/>
    <mergeCell ref="A8:L8"/>
    <mergeCell ref="N11:N13"/>
    <mergeCell ref="E13:F13"/>
    <mergeCell ref="G13:H13"/>
    <mergeCell ref="I11:I13"/>
    <mergeCell ref="K11:K13"/>
    <mergeCell ref="C2:P2"/>
    <mergeCell ref="A6:P6"/>
    <mergeCell ref="A11:A13"/>
    <mergeCell ref="B11:B13"/>
    <mergeCell ref="M11:M13"/>
    <mergeCell ref="A9:L9"/>
    <mergeCell ref="C10:L10"/>
    <mergeCell ref="A10:B10"/>
    <mergeCell ref="D11:D13"/>
    <mergeCell ref="J11:J13"/>
    <mergeCell ref="P11:P13"/>
    <mergeCell ref="E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49"/>
  <sheetViews>
    <sheetView tabSelected="1" zoomScale="85" zoomScaleNormal="85" workbookViewId="0">
      <selection activeCell="E11" sqref="E11:E13"/>
    </sheetView>
  </sheetViews>
  <sheetFormatPr baseColWidth="8" defaultColWidth="6.81640625" defaultRowHeight="15.6"/>
  <cols>
    <col width="3.7265625" customWidth="1" min="1" max="1"/>
    <col width="20.90625" customWidth="1" style="89" min="2" max="2"/>
    <col width="20.26953125" customWidth="1" style="89" min="3" max="3"/>
    <col width="12.81640625" customWidth="1" style="90" min="4" max="4"/>
    <col width="8.6328125" customWidth="1" style="90" min="5" max="5"/>
    <col width="5.08984375" customWidth="1" style="90" min="6" max="6"/>
    <col width="5" customWidth="1" style="90" min="7" max="7"/>
    <col width="5.1796875" customWidth="1" style="90" min="8" max="8"/>
    <col width="5.08984375" customWidth="1" style="90" min="9" max="10"/>
    <col width="5.90625" customWidth="1" style="90" min="11" max="11"/>
    <col width="4.453125" customWidth="1" style="91" min="12" max="12"/>
    <col width="4.08984375" customWidth="1" style="92" min="13" max="13"/>
    <col width="7.1796875" customWidth="1" style="181" min="14" max="14"/>
    <col width="11.7265625" customWidth="1" style="182" min="15" max="15"/>
    <col width="12.6328125" customWidth="1" style="183" min="16" max="16"/>
    <col width="31.7265625" customWidth="1" style="184" min="17" max="17"/>
    <col width="12.26953125" customWidth="1" min="18" max="18"/>
    <col width="9.453125" customWidth="1" min="19" max="19"/>
    <col width="6.90625" bestFit="1" customWidth="1" min="20" max="20"/>
  </cols>
  <sheetData>
    <row r="1" ht="6.75" customHeight="1">
      <c r="A1" s="1" t="n"/>
      <c r="B1" s="130" t="n"/>
      <c r="C1" s="130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5" t="n"/>
      <c r="N1" s="185" t="n"/>
      <c r="O1" s="186" t="n"/>
      <c r="P1" s="187" t="n"/>
      <c r="Q1" s="188" t="n"/>
    </row>
    <row r="2" ht="15" customHeight="1">
      <c r="A2" s="1" t="n"/>
      <c r="B2" s="10" t="n"/>
      <c r="C2" s="10" t="n"/>
      <c r="D2" s="189" t="inlineStr">
        <is>
          <t>CÔNG TY CỔ PHẦN TẬP ĐOÀN QUỐC TẾ SLAND</t>
        </is>
      </c>
    </row>
    <row r="3" ht="15" customHeight="1">
      <c r="A3" s="1" t="n"/>
      <c r="B3" s="130" t="n"/>
      <c r="C3" s="130" t="n"/>
      <c r="D3" s="190" t="inlineStr">
        <is>
          <t>VPGD: SỐ 49, Ngõ 1295 Giải Phóng, Phường Hoàng Mai, TP Hà Nội</t>
        </is>
      </c>
    </row>
    <row r="4" ht="15" customHeight="1">
      <c r="A4" s="1" t="n"/>
      <c r="C4" s="130" t="n"/>
      <c r="D4" s="190" t="inlineStr">
        <is>
          <t>Nhà máy: Thôn Nhân Hiền- xã Thường Tín - TP Hà Nội</t>
        </is>
      </c>
    </row>
    <row r="5" ht="15" customHeight="1">
      <c r="A5" s="11" t="n"/>
      <c r="B5" s="12" t="n"/>
      <c r="C5" s="12" t="n"/>
      <c r="D5" s="191" t="inlineStr">
        <is>
          <t>Hotline: 082 5577 999</t>
        </is>
      </c>
      <c r="E5" s="192" t="n"/>
      <c r="F5" s="192" t="n"/>
      <c r="G5" s="192" t="n"/>
      <c r="H5" s="192" t="n"/>
      <c r="I5" s="192" t="n"/>
      <c r="J5" s="192" t="n"/>
      <c r="K5" s="192" t="n"/>
      <c r="L5" s="192" t="n"/>
      <c r="M5" s="192" t="n"/>
      <c r="N5" s="192" t="n"/>
      <c r="O5" s="192" t="n"/>
      <c r="P5" s="192" t="n"/>
      <c r="Q5" s="192" t="n"/>
    </row>
    <row r="6" ht="30" customFormat="1" customHeight="1" s="13">
      <c r="A6" s="133" t="inlineStr">
        <is>
          <t>LỆNH SẢN XUẤT 03 - NAM VIỆT ĐƠN SỐ 43</t>
        </is>
      </c>
    </row>
    <row r="7" ht="39" customFormat="1" customHeight="1" s="13">
      <c r="A7" s="193" t="inlineStr">
        <is>
          <t xml:space="preserve">Khách hàng : </t>
        </is>
      </c>
      <c r="B7" s="194" t="n"/>
      <c r="C7" s="194" t="n"/>
      <c r="D7" s="194" t="n"/>
      <c r="E7" s="194" t="n"/>
      <c r="F7" s="194" t="n"/>
      <c r="G7" s="194" t="n"/>
      <c r="H7" s="194" t="n"/>
      <c r="I7" s="194" t="n"/>
      <c r="J7" s="194" t="n"/>
      <c r="K7" s="194" t="n"/>
      <c r="L7" s="194" t="n"/>
      <c r="M7" s="195" t="n"/>
      <c r="N7" s="196" t="inlineStr">
        <is>
          <t>Seri number
 Số hiệu</t>
        </is>
      </c>
      <c r="O7" s="197" t="n"/>
      <c r="P7" s="198" t="n"/>
      <c r="Q7" s="17" t="n"/>
    </row>
    <row r="8" ht="18.75" customFormat="1" customHeight="1" s="13">
      <c r="A8" s="193" t="inlineStr">
        <is>
          <t>Địa chỉ :</t>
        </is>
      </c>
      <c r="B8" s="194" t="n"/>
      <c r="C8" s="194" t="n"/>
      <c r="D8" s="194" t="n"/>
      <c r="E8" s="194" t="n"/>
      <c r="F8" s="194" t="n"/>
      <c r="G8" s="194" t="n"/>
      <c r="H8" s="194" t="n"/>
      <c r="I8" s="194" t="n"/>
      <c r="J8" s="194" t="n"/>
      <c r="K8" s="194" t="n"/>
      <c r="L8" s="194" t="n"/>
      <c r="M8" s="195" t="n"/>
      <c r="N8" s="196" t="inlineStr">
        <is>
          <t>Sales executive
 PT Kinh doanh</t>
        </is>
      </c>
      <c r="O8" s="199" t="n"/>
      <c r="P8" s="199" t="n"/>
      <c r="Q8" s="200" t="inlineStr">
        <is>
          <t>Ms Nhài</t>
        </is>
      </c>
    </row>
    <row r="9" ht="18.75" customFormat="1" customHeight="1" s="13">
      <c r="A9" s="193" t="inlineStr">
        <is>
          <t>Người nhận :</t>
        </is>
      </c>
      <c r="B9" s="194" t="n"/>
      <c r="C9" s="194" t="n"/>
      <c r="D9" s="194" t="n"/>
      <c r="E9" s="194" t="n"/>
      <c r="F9" s="194" t="n"/>
      <c r="G9" s="194" t="n"/>
      <c r="H9" s="194" t="n"/>
      <c r="I9" s="194" t="n"/>
      <c r="J9" s="194" t="n"/>
      <c r="K9" s="194" t="n"/>
      <c r="L9" s="194" t="n"/>
      <c r="M9" s="195" t="n"/>
      <c r="N9" s="196" t="inlineStr">
        <is>
          <t>Mobile
 Điện thoại</t>
        </is>
      </c>
      <c r="O9" s="197" t="n"/>
      <c r="P9" s="198" t="n"/>
      <c r="Q9" s="20" t="inlineStr">
        <is>
          <t>0945588248</t>
        </is>
      </c>
    </row>
    <row r="10" ht="28.5" customFormat="1" customHeight="1" s="13">
      <c r="A10" s="134" t="inlineStr">
        <is>
          <t xml:space="preserve">Email: </t>
        </is>
      </c>
      <c r="B10" s="194" t="n"/>
      <c r="C10" s="135" t="n"/>
      <c r="D10" s="193" t="inlineStr">
        <is>
          <t>Số điện thoại :</t>
        </is>
      </c>
      <c r="E10" s="194" t="n"/>
      <c r="F10" s="194" t="n"/>
      <c r="G10" s="194" t="n"/>
      <c r="H10" s="194" t="n"/>
      <c r="I10" s="194" t="n"/>
      <c r="J10" s="194" t="n"/>
      <c r="K10" s="194" t="n"/>
      <c r="L10" s="194" t="n"/>
      <c r="M10" s="195" t="n"/>
      <c r="N10" s="201" t="inlineStr">
        <is>
          <t xml:space="preserve">
Dự án</t>
        </is>
      </c>
      <c r="O10" s="202" t="n"/>
      <c r="P10" s="194" t="n"/>
      <c r="Q10" s="195" t="n"/>
    </row>
    <row r="11" ht="12.75" customFormat="1" customHeight="1" s="13">
      <c r="A11" s="124" t="inlineStr">
        <is>
          <t xml:space="preserve">
STT</t>
        </is>
      </c>
      <c r="B11" s="124" t="inlineStr">
        <is>
          <t>Tên vật tư theo hồ sơ đệ trình/Nhà cung cấp</t>
        </is>
      </c>
      <c r="C11" s="124" t="inlineStr">
        <is>
          <t>Theo Nhà Sản Xuất</t>
        </is>
      </c>
      <c r="D11" s="146" t="inlineStr">
        <is>
          <t>Model</t>
        </is>
      </c>
      <c r="E11" s="146" t="inlineStr">
        <is>
          <t>Thương hiệu</t>
        </is>
      </c>
      <c r="F11" s="154" t="inlineStr">
        <is>
          <t>Kích thước (mm)</t>
        </is>
      </c>
      <c r="G11" s="194" t="n"/>
      <c r="H11" s="194" t="n"/>
      <c r="I11" s="195" t="n"/>
      <c r="J11" s="123" t="inlineStr">
        <is>
          <t>Modul</t>
        </is>
      </c>
      <c r="K11" s="123" t="inlineStr">
        <is>
          <t>L</t>
        </is>
      </c>
      <c r="L11" s="146" t="inlineStr">
        <is>
          <t>Độ dày
(m)</t>
        </is>
      </c>
      <c r="M11" s="203" t="inlineStr">
        <is>
          <t>Unit
Đơn vị</t>
        </is>
      </c>
      <c r="N11" s="204" t="inlineStr">
        <is>
          <t>Q'ty
Số lượng</t>
        </is>
      </c>
      <c r="O11" s="205" t="inlineStr">
        <is>
          <t>Price
Đơn giá</t>
        </is>
      </c>
      <c r="P11" s="205" t="inlineStr">
        <is>
          <t>Total price
Thành tiền</t>
        </is>
      </c>
      <c r="Q11" s="137" t="inlineStr">
        <is>
          <t>Remarks
Ghi chú</t>
        </is>
      </c>
    </row>
    <row r="12" ht="27" customFormat="1" customHeight="1" s="13">
      <c r="A12" s="206" t="n"/>
      <c r="B12" s="206" t="n"/>
      <c r="C12" s="206" t="n"/>
      <c r="D12" s="206" t="n"/>
      <c r="E12" s="206" t="n"/>
      <c r="F12" s="22" t="inlineStr">
        <is>
          <t>A1</t>
        </is>
      </c>
      <c r="G12" s="22" t="inlineStr">
        <is>
          <t>A2</t>
        </is>
      </c>
      <c r="H12" s="22" t="inlineStr">
        <is>
          <t>B1</t>
        </is>
      </c>
      <c r="I12" s="22" t="inlineStr">
        <is>
          <t>B2</t>
        </is>
      </c>
      <c r="J12" s="206" t="n"/>
      <c r="K12" s="206" t="n"/>
      <c r="L12" s="206" t="n"/>
      <c r="M12" s="206" t="n"/>
      <c r="N12" s="206" t="n"/>
      <c r="O12" s="206" t="n"/>
      <c r="P12" s="206" t="n"/>
      <c r="Q12" s="206" t="n"/>
    </row>
    <row r="13" ht="13.8" customFormat="1" customHeight="1" s="13">
      <c r="A13" s="206" t="n"/>
      <c r="B13" s="206" t="n"/>
      <c r="C13" s="206" t="n"/>
      <c r="D13" s="206" t="n"/>
      <c r="E13" s="206" t="n"/>
      <c r="F13" s="139" t="inlineStr">
        <is>
          <t>Face size</t>
        </is>
      </c>
      <c r="G13" s="207" t="n"/>
      <c r="H13" s="139" t="inlineStr">
        <is>
          <t>Neck size</t>
        </is>
      </c>
      <c r="I13" s="207" t="n"/>
      <c r="J13" s="208" t="n"/>
      <c r="K13" s="208" t="n"/>
      <c r="L13" s="206" t="n"/>
      <c r="M13" s="206" t="n"/>
      <c r="N13" s="206" t="n"/>
      <c r="O13" s="206" t="n"/>
      <c r="P13" s="206" t="n"/>
      <c r="Q13" s="206" t="n"/>
    </row>
    <row r="14" ht="13.8" customFormat="1" customHeight="1" s="13">
      <c r="A14" s="23" t="n"/>
      <c r="B14" s="23" t="n"/>
      <c r="C14" s="23" t="n"/>
      <c r="D14" s="24" t="n"/>
      <c r="E14" s="24" t="n"/>
      <c r="F14" s="25" t="n"/>
      <c r="G14" s="25" t="n"/>
      <c r="H14" s="25" t="n"/>
      <c r="I14" s="25" t="n"/>
      <c r="J14" s="23" t="n"/>
      <c r="K14" s="23" t="n"/>
      <c r="L14" s="24" t="n"/>
      <c r="M14" s="209" t="n"/>
      <c r="N14" s="210" t="n"/>
      <c r="O14" s="211" t="n"/>
      <c r="P14" s="211" t="n"/>
      <c r="Q14" s="29" t="n"/>
    </row>
    <row r="15" ht="39" customFormat="1" customHeight="1" s="34">
      <c r="A15" s="106" t="n"/>
      <c r="B15" s="212" t="inlineStr">
        <is>
          <t>VẬT TƯ THI CÔNG P1B: (số BNH-ĐXVT-P1B-29-M-Van ống hồi gió lạnh  L12 - P1B)</t>
        </is>
      </c>
      <c r="C15" s="213" t="n"/>
      <c r="D15" s="106" t="n"/>
      <c r="E15" s="106" t="n"/>
      <c r="F15" s="106" t="n"/>
      <c r="G15" s="106" t="n"/>
      <c r="H15" s="106" t="n"/>
      <c r="I15" s="106" t="n"/>
      <c r="J15" s="106" t="n"/>
      <c r="K15" s="106" t="n"/>
      <c r="L15" s="106" t="n"/>
      <c r="M15" s="106" t="n"/>
      <c r="N15" s="106" t="n"/>
      <c r="O15" s="214" t="n"/>
      <c r="P15" s="215" t="n"/>
      <c r="Q15" s="106" t="n"/>
      <c r="R15" s="33" t="n"/>
    </row>
    <row r="16" ht="66" customFormat="1" customHeight="1" s="34">
      <c r="A16" s="30" t="n"/>
      <c r="B16" s="115" t="inlineStr">
        <is>
          <t>Van FD 1000x1200xL200</t>
        </is>
      </c>
      <c r="C16" s="115" t="inlineStr">
        <is>
          <t>Van FD kích thước 1000x1200 L200</t>
        </is>
      </c>
      <c r="D16" s="116" t="inlineStr">
        <is>
          <t>SWIND-2.01- E-FD-EI120</t>
        </is>
      </c>
      <c r="E16" s="116" t="inlineStr">
        <is>
          <t>Swind</t>
        </is>
      </c>
      <c r="F16" s="116" t="n">
        <v>1000</v>
      </c>
      <c r="G16" s="116" t="n">
        <v>1200</v>
      </c>
      <c r="H16" s="116" t="n">
        <v>1000</v>
      </c>
      <c r="I16" s="116">
        <f>IF('00_TONG_HOP_BAO_GIA'!G2&gt;0, ('00_TONG_HOP_BAO_GIA'!K2 + '00_TONG_HOP_BAO_GIA'!M2) * (1 + '00_TONG_HOP_BAO_GIA'!P2) / '00_TONG_HOP_BAO_GIA'!G2, 0)</f>
        <v/>
      </c>
      <c r="J16" s="116">
        <f>IF('00_TONG_HOP_BAO_GIA'!G2&gt;0, '00_TONG_HOP_BAO_GIA'!L2 * (1 + '00_TONG_HOP_BAO_GIA'!P2) / '00_TONG_HOP_BAO_GIA'!G2, 0)</f>
        <v/>
      </c>
      <c r="K16" s="116">
        <f>'00_TONG_HOP_BAO_GIA'!Q2</f>
        <v/>
      </c>
      <c r="L16" s="117">
        <f>('00_TONG_HOP_BAO_GIA'!K2 + '00_TONG_HOP_BAO_GIA'!M2) * (1 + '00_TONG_HOP_BAO_GIA'!P2)</f>
        <v/>
      </c>
      <c r="M16" s="116">
        <f>'00_TONG_HOP_BAO_GIA'!L2 * (1 + '00_TONG_HOP_BAO_GIA'!P2)</f>
        <v/>
      </c>
      <c r="N16" s="116">
        <f>'00_TONG_HOP_BAO_GIA'!R2</f>
        <v/>
      </c>
      <c r="O16" s="216">
        <f>IF(K16=0, "CẢNH BÁO: Đơn giá = 0. Tra cứu lại Sheet 06!", '00_TONG_HOP_BAO_GIA'!S2)</f>
        <v/>
      </c>
      <c r="P16" s="216">
        <f>O16*N16</f>
        <v/>
      </c>
      <c r="Q16" s="116" t="inlineStr">
        <is>
          <t xml:space="preserve"> Van chặn lửa SWIND-E-FD - Tiêu chuẩn EI 120
  2 đầu bích TDC - gắn cầu chì 72- 74 độ C
 Sản xuất theo BCTN số: 4761/VLXD-TBMT , chia 2 modul khi san xuat</t>
        </is>
      </c>
      <c r="R16" s="109" t="inlineStr">
        <is>
          <t>check kỹ thuật van lắp đứng hay nằm</t>
        </is>
      </c>
    </row>
    <row r="17" ht="52.8" customFormat="1" customHeight="1" s="34">
      <c r="A17" s="30" t="n"/>
      <c r="B17" s="115" t="inlineStr">
        <is>
          <t>Van FD 1200x700xL200</t>
        </is>
      </c>
      <c r="C17" s="115" t="inlineStr">
        <is>
          <t>Van FD kích thước 1200x700 L200</t>
        </is>
      </c>
      <c r="D17" s="116" t="inlineStr">
        <is>
          <t>SWIND-2.01- E-FD-EI120</t>
        </is>
      </c>
      <c r="E17" s="116" t="inlineStr">
        <is>
          <t>Swind</t>
        </is>
      </c>
      <c r="F17" s="116" t="n">
        <v>1200</v>
      </c>
      <c r="G17" s="116" t="n">
        <v>700</v>
      </c>
      <c r="H17" s="116" t="n"/>
      <c r="I17" s="116">
        <f>IF('00_TONG_HOP_BAO_GIA'!G3&gt;0, ('00_TONG_HOP_BAO_GIA'!K3 + '00_TONG_HOP_BAO_GIA'!M3) * (1 + '00_TONG_HOP_BAO_GIA'!P3) / '00_TONG_HOP_BAO_GIA'!G3, 0)</f>
        <v/>
      </c>
      <c r="J17" s="116">
        <f>IF('00_TONG_HOP_BAO_GIA'!G3&gt;0, '00_TONG_HOP_BAO_GIA'!L3 * (1 + '00_TONG_HOP_BAO_GIA'!P3) / '00_TONG_HOP_BAO_GIA'!G3, 0)</f>
        <v/>
      </c>
      <c r="K17" s="116">
        <f>'00_TONG_HOP_BAO_GIA'!Q3</f>
        <v/>
      </c>
      <c r="L17" s="117">
        <f>('00_TONG_HOP_BAO_GIA'!K3 + '00_TONG_HOP_BAO_GIA'!M3) * (1 + '00_TONG_HOP_BAO_GIA'!P3)</f>
        <v/>
      </c>
      <c r="M17" s="116">
        <f>'00_TONG_HOP_BAO_GIA'!L3 * (1 + '00_TONG_HOP_BAO_GIA'!P3)</f>
        <v/>
      </c>
      <c r="N17" s="116">
        <f>'00_TONG_HOP_BAO_GIA'!R3</f>
        <v/>
      </c>
      <c r="O17" s="216">
        <f>IF(K17=0, "CẢNH BÁO: Đơn giá = 0. Tra cứu lại Sheet 06!", '00_TONG_HOP_BAO_GIA'!S3)</f>
        <v/>
      </c>
      <c r="P17" s="216">
        <f>O17*N17</f>
        <v/>
      </c>
      <c r="Q17" s="116" t="inlineStr">
        <is>
          <t xml:space="preserve"> Van chặn lửa SWIND-E-FD - Tiêu chuẩn EI 120
  2 đầu bích TDC - gắn cầu chì 72- 74 độ C
 Sản xuất theo BCTN số: 4761/VLXD-TBMT</t>
        </is>
      </c>
      <c r="R17" s="109" t="n"/>
    </row>
    <row r="18" ht="66" customFormat="1" customHeight="1" s="34">
      <c r="A18" s="30" t="n"/>
      <c r="B18" s="115" t="inlineStr">
        <is>
          <t>Van FD 1250x1000xL200</t>
        </is>
      </c>
      <c r="C18" s="115" t="inlineStr">
        <is>
          <t>Van FD kích thước 1250x1000 L200</t>
        </is>
      </c>
      <c r="D18" s="116" t="inlineStr">
        <is>
          <t>SWIND-2.01- E-FD-EI120</t>
        </is>
      </c>
      <c r="E18" s="116" t="inlineStr">
        <is>
          <t>Swind</t>
        </is>
      </c>
      <c r="F18" s="116" t="n">
        <v>1250</v>
      </c>
      <c r="G18" s="116" t="n">
        <v>1000</v>
      </c>
      <c r="H18" s="116" t="n">
        <v>1250</v>
      </c>
      <c r="I18" s="116">
        <f>IF('00_TONG_HOP_BAO_GIA'!G4&gt;0, ('00_TONG_HOP_BAO_GIA'!K4 + '00_TONG_HOP_BAO_GIA'!M4) * (1 + '00_TONG_HOP_BAO_GIA'!P4) / '00_TONG_HOP_BAO_GIA'!G4, 0)</f>
        <v/>
      </c>
      <c r="J18" s="116">
        <f>IF('00_TONG_HOP_BAO_GIA'!G4&gt;0, '00_TONG_HOP_BAO_GIA'!L4 * (1 + '00_TONG_HOP_BAO_GIA'!P4) / '00_TONG_HOP_BAO_GIA'!G4, 0)</f>
        <v/>
      </c>
      <c r="K18" s="116">
        <f>'00_TONG_HOP_BAO_GIA'!Q4</f>
        <v/>
      </c>
      <c r="L18" s="117">
        <f>('00_TONG_HOP_BAO_GIA'!K4 + '00_TONG_HOP_BAO_GIA'!M4) * (1 + '00_TONG_HOP_BAO_GIA'!P4)</f>
        <v/>
      </c>
      <c r="M18" s="116">
        <f>'00_TONG_HOP_BAO_GIA'!L4 * (1 + '00_TONG_HOP_BAO_GIA'!P4)</f>
        <v/>
      </c>
      <c r="N18" s="116">
        <f>'00_TONG_HOP_BAO_GIA'!R4</f>
        <v/>
      </c>
      <c r="O18" s="216">
        <f>IF(K18=0, "CẢNH BÁO: Đơn giá = 0. Tra cứu lại Sheet 06!", '00_TONG_HOP_BAO_GIA'!S4)</f>
        <v/>
      </c>
      <c r="P18" s="216">
        <f>O18*N18</f>
        <v/>
      </c>
      <c r="Q18" s="116" t="inlineStr">
        <is>
          <t xml:space="preserve"> Van chặn lửa SWIND-E-FD - Tiêu chuẩn EI 120
  2 đầu bích TDC - gắn cầu chì 72- 74 độ C
 Sản xuất theo BCTN số: 4761/VLXD-TBMT , chia 2 modul khi san xuat</t>
        </is>
      </c>
      <c r="R18" s="109" t="n"/>
    </row>
    <row r="19" ht="66" customFormat="1" customHeight="1" s="34">
      <c r="A19" s="30" t="n"/>
      <c r="B19" s="115" t="inlineStr">
        <is>
          <t>Van FD 1350x900xL200</t>
        </is>
      </c>
      <c r="C19" s="115" t="inlineStr">
        <is>
          <t>Van FD kích thước 1350x900 L200</t>
        </is>
      </c>
      <c r="D19" s="116" t="inlineStr">
        <is>
          <t>SWIND-2.01- E-FD-EI120</t>
        </is>
      </c>
      <c r="E19" s="116" t="inlineStr">
        <is>
          <t>Swind</t>
        </is>
      </c>
      <c r="F19" s="116" t="n">
        <v>1350</v>
      </c>
      <c r="G19" s="116" t="n">
        <v>900</v>
      </c>
      <c r="H19" s="116" t="n">
        <v>1350</v>
      </c>
      <c r="I19" s="116">
        <f>IF('00_TONG_HOP_BAO_GIA'!G5&gt;0, ('00_TONG_HOP_BAO_GIA'!K5 + '00_TONG_HOP_BAO_GIA'!M5) * (1 + '00_TONG_HOP_BAO_GIA'!P5) / '00_TONG_HOP_BAO_GIA'!G5, 0)</f>
        <v/>
      </c>
      <c r="J19" s="116">
        <f>IF('00_TONG_HOP_BAO_GIA'!G5&gt;0, '00_TONG_HOP_BAO_GIA'!L5 * (1 + '00_TONG_HOP_BAO_GIA'!P5) / '00_TONG_HOP_BAO_GIA'!G5, 0)</f>
        <v/>
      </c>
      <c r="K19" s="116">
        <f>'00_TONG_HOP_BAO_GIA'!Q5</f>
        <v/>
      </c>
      <c r="L19" s="117">
        <f>('00_TONG_HOP_BAO_GIA'!K5 + '00_TONG_HOP_BAO_GIA'!M5) * (1 + '00_TONG_HOP_BAO_GIA'!P5)</f>
        <v/>
      </c>
      <c r="M19" s="116">
        <f>'00_TONG_HOP_BAO_GIA'!L5 * (1 + '00_TONG_HOP_BAO_GIA'!P5)</f>
        <v/>
      </c>
      <c r="N19" s="116">
        <f>'00_TONG_HOP_BAO_GIA'!R5</f>
        <v/>
      </c>
      <c r="O19" s="216">
        <f>IF(K19=0, "CẢNH BÁO: Đơn giá = 0. Tra cứu lại Sheet 06!", '00_TONG_HOP_BAO_GIA'!S5)</f>
        <v/>
      </c>
      <c r="P19" s="216">
        <f>O19*N19</f>
        <v/>
      </c>
      <c r="Q19" s="116" t="inlineStr">
        <is>
          <t xml:space="preserve"> Van chặn lửa SWIND-E-FD - Tiêu chuẩn EI 120
  2 đầu bích TDC - gắn cầu chì 72- 74 độ C
 Sản xuất theo BCTN số: 4761/VLXD-TBMT , chia 2 modul khi san xuat</t>
        </is>
      </c>
      <c r="R19" s="33" t="n"/>
    </row>
    <row r="20" ht="66" customFormat="1" customHeight="1" s="34">
      <c r="A20" s="30" t="n"/>
      <c r="B20" s="115" t="inlineStr">
        <is>
          <t>Van FD 1350x900xL300</t>
        </is>
      </c>
      <c r="C20" s="115" t="inlineStr">
        <is>
          <t>Van FD kích thước 1350x900 L200</t>
        </is>
      </c>
      <c r="D20" s="116" t="inlineStr">
        <is>
          <t>SWIND-2.01- E-FD-EI120</t>
        </is>
      </c>
      <c r="E20" s="116" t="inlineStr">
        <is>
          <t>Swind</t>
        </is>
      </c>
      <c r="F20" s="116" t="n">
        <v>1350</v>
      </c>
      <c r="G20" s="116" t="n">
        <v>900</v>
      </c>
      <c r="H20" s="116" t="n">
        <v>1350</v>
      </c>
      <c r="I20" s="116">
        <f>IF('00_TONG_HOP_BAO_GIA'!G6&gt;0, ('00_TONG_HOP_BAO_GIA'!K6 + '00_TONG_HOP_BAO_GIA'!M6) * (1 + '00_TONG_HOP_BAO_GIA'!P6) / '00_TONG_HOP_BAO_GIA'!G6, 0)</f>
        <v/>
      </c>
      <c r="J20" s="116">
        <f>IF('00_TONG_HOP_BAO_GIA'!G6&gt;0, '00_TONG_HOP_BAO_GIA'!L6 * (1 + '00_TONG_HOP_BAO_GIA'!P6) / '00_TONG_HOP_BAO_GIA'!G6, 0)</f>
        <v/>
      </c>
      <c r="K20" s="116">
        <f>'00_TONG_HOP_BAO_GIA'!Q6</f>
        <v/>
      </c>
      <c r="L20" s="117">
        <f>('00_TONG_HOP_BAO_GIA'!K6 + '00_TONG_HOP_BAO_GIA'!M6) * (1 + '00_TONG_HOP_BAO_GIA'!P6)</f>
        <v/>
      </c>
      <c r="M20" s="116">
        <f>'00_TONG_HOP_BAO_GIA'!L6 * (1 + '00_TONG_HOP_BAO_GIA'!P6)</f>
        <v/>
      </c>
      <c r="N20" s="116">
        <f>'00_TONG_HOP_BAO_GIA'!R6</f>
        <v/>
      </c>
      <c r="O20" s="216">
        <f>IF(K20=0, "CẢNH BÁO: Đơn giá = 0. Tra cứu lại Sheet 06!", '00_TONG_HOP_BAO_GIA'!S6)</f>
        <v/>
      </c>
      <c r="P20" s="216">
        <f>O20*N20</f>
        <v/>
      </c>
      <c r="Q20" s="116" t="inlineStr">
        <is>
          <t xml:space="preserve"> Van chặn lửa SWIND-E-FD - Tiêu chuẩn EI 120
  2 đầu bích TDC - gắn cầu chì 72- 74 độ C
 Sản xuất theo BCTN số: 4761/VLXD-TBMT , chia 2 modul khi san xuat</t>
        </is>
      </c>
      <c r="R20" s="33" t="n"/>
    </row>
    <row r="21" ht="66" customFormat="1" customHeight="1" s="34">
      <c r="A21" s="30" t="n"/>
      <c r="B21" s="115" t="inlineStr">
        <is>
          <t>Van FD 1400x1100xL200</t>
        </is>
      </c>
      <c r="C21" s="115" t="inlineStr">
        <is>
          <t>Van FD kích thước 1400x1100 L200</t>
        </is>
      </c>
      <c r="D21" s="116" t="inlineStr">
        <is>
          <t>SWIND-2.01- E-FD-EI120</t>
        </is>
      </c>
      <c r="E21" s="116" t="inlineStr">
        <is>
          <t>Swind</t>
        </is>
      </c>
      <c r="F21" s="116" t="n">
        <v>1400</v>
      </c>
      <c r="G21" s="116" t="n">
        <v>1100</v>
      </c>
      <c r="H21" s="116" t="n">
        <v>1400</v>
      </c>
      <c r="I21" s="116">
        <f>IF('00_TONG_HOP_BAO_GIA'!G7&gt;0, ('00_TONG_HOP_BAO_GIA'!K7 + '00_TONG_HOP_BAO_GIA'!M7) * (1 + '00_TONG_HOP_BAO_GIA'!P7) / '00_TONG_HOP_BAO_GIA'!G7, 0)</f>
        <v/>
      </c>
      <c r="J21" s="116">
        <f>IF('00_TONG_HOP_BAO_GIA'!G7&gt;0, '00_TONG_HOP_BAO_GIA'!L7 * (1 + '00_TONG_HOP_BAO_GIA'!P7) / '00_TONG_HOP_BAO_GIA'!G7, 0)</f>
        <v/>
      </c>
      <c r="K21" s="116">
        <f>'00_TONG_HOP_BAO_GIA'!Q7</f>
        <v/>
      </c>
      <c r="L21" s="117">
        <f>('00_TONG_HOP_BAO_GIA'!K7 + '00_TONG_HOP_BAO_GIA'!M7) * (1 + '00_TONG_HOP_BAO_GIA'!P7)</f>
        <v/>
      </c>
      <c r="M21" s="116">
        <f>'00_TONG_HOP_BAO_GIA'!L7 * (1 + '00_TONG_HOP_BAO_GIA'!P7)</f>
        <v/>
      </c>
      <c r="N21" s="116">
        <f>'00_TONG_HOP_BAO_GIA'!R7</f>
        <v/>
      </c>
      <c r="O21" s="216">
        <f>IF(K21=0, "CẢNH BÁO: Đơn giá = 0. Tra cứu lại Sheet 06!", '00_TONG_HOP_BAO_GIA'!S7)</f>
        <v/>
      </c>
      <c r="P21" s="216">
        <f>O21*N21</f>
        <v/>
      </c>
      <c r="Q21" s="116" t="inlineStr">
        <is>
          <t xml:space="preserve"> Van chặn lửa SWIND-E-FD - Tiêu chuẩn EI 120
  2 đầu bích TDC - gắn cầu chì 72- 74 độ C
 Sản xuất theo BCTN số: 4761/VLXD-TBMT , chia 2 modul khi san xuat</t>
        </is>
      </c>
      <c r="R21" s="33" t="inlineStr">
        <is>
          <t xml:space="preserve">báo giá cũ chưa nhân modul </t>
        </is>
      </c>
    </row>
    <row r="22" ht="100.5" customFormat="1" customHeight="1" s="34">
      <c r="A22" s="113" t="n"/>
      <c r="B22" s="115" t="inlineStr">
        <is>
          <t>Van FD 1800x700xL200</t>
        </is>
      </c>
      <c r="C22" s="115" t="inlineStr">
        <is>
          <t>Van FD kích thước 1800x700 L200</t>
        </is>
      </c>
      <c r="D22" s="116" t="inlineStr">
        <is>
          <t>SWIND-2.01- E-FD-EI120</t>
        </is>
      </c>
      <c r="E22" s="116" t="inlineStr">
        <is>
          <t>Swind</t>
        </is>
      </c>
      <c r="F22" s="116" t="n">
        <v>1800</v>
      </c>
      <c r="G22" s="116" t="n">
        <v>700</v>
      </c>
      <c r="H22" s="116" t="n">
        <v>865</v>
      </c>
      <c r="I22" s="116">
        <f>IF('00_TONG_HOP_BAO_GIA'!G8&gt;0, ('00_TONG_HOP_BAO_GIA'!K8 + '00_TONG_HOP_BAO_GIA'!M8) * (1 + '00_TONG_HOP_BAO_GIA'!P8) / '00_TONG_HOP_BAO_GIA'!G8, 0)</f>
        <v/>
      </c>
      <c r="J22" s="116">
        <f>IF('00_TONG_HOP_BAO_GIA'!G8&gt;0, '00_TONG_HOP_BAO_GIA'!L8 * (1 + '00_TONG_HOP_BAO_GIA'!P8) / '00_TONG_HOP_BAO_GIA'!G8, 0)</f>
        <v/>
      </c>
      <c r="K22" s="116">
        <f>'00_TONG_HOP_BAO_GIA'!Q8</f>
        <v/>
      </c>
      <c r="L22" s="117">
        <f>('00_TONG_HOP_BAO_GIA'!K8 + '00_TONG_HOP_BAO_GIA'!M8) * (1 + '00_TONG_HOP_BAO_GIA'!P8)</f>
        <v/>
      </c>
      <c r="M22" s="116">
        <f>'00_TONG_HOP_BAO_GIA'!L8 * (1 + '00_TONG_HOP_BAO_GIA'!P8)</f>
        <v/>
      </c>
      <c r="N22" s="116">
        <f>'00_TONG_HOP_BAO_GIA'!R8</f>
        <v/>
      </c>
      <c r="O22" s="216">
        <f>IF(K22=0, "CẢNH BÁO: Đơn giá = 0. Tra cứu lại Sheet 06!", '00_TONG_HOP_BAO_GIA'!S8)</f>
        <v/>
      </c>
      <c r="P22" s="216">
        <f>O22*N22</f>
        <v/>
      </c>
      <c r="Q22" s="116" t="inlineStr">
        <is>
          <t xml:space="preserve"> Van chặn lửa SWIND-E-FD - Tiêu chuẩn EI 120
  2 đầu bích TDC - gắn cầu chì 72- 74 độ C
 Sản xuất theo BCTN số: 4761/VLXD-TBMT , chia 2 modul khi san xuat</t>
        </is>
      </c>
      <c r="R22" s="33" t="n"/>
    </row>
    <row r="23" ht="52.8" customFormat="1" customHeight="1" s="34">
      <c r="A23" s="30" t="n"/>
      <c r="B23" s="115" t="inlineStr">
        <is>
          <t>Van FD 500x400xL200</t>
        </is>
      </c>
      <c r="C23" s="115" t="inlineStr">
        <is>
          <t>Van FD kích thước 500x400 L200</t>
        </is>
      </c>
      <c r="D23" s="116" t="inlineStr">
        <is>
          <t>SWIND-2.01- E-FD-EI120</t>
        </is>
      </c>
      <c r="E23" s="116" t="inlineStr">
        <is>
          <t>Swind</t>
        </is>
      </c>
      <c r="F23" s="116" t="n">
        <v>500</v>
      </c>
      <c r="G23" s="116" t="n">
        <v>400</v>
      </c>
      <c r="H23" s="116" t="n"/>
      <c r="I23" s="116">
        <f>IF('00_TONG_HOP_BAO_GIA'!G9&gt;0, ('00_TONG_HOP_BAO_GIA'!K9 + '00_TONG_HOP_BAO_GIA'!M9) * (1 + '00_TONG_HOP_BAO_GIA'!P9) / '00_TONG_HOP_BAO_GIA'!G9, 0)</f>
        <v/>
      </c>
      <c r="J23" s="116">
        <f>IF('00_TONG_HOP_BAO_GIA'!G9&gt;0, '00_TONG_HOP_BAO_GIA'!L9 * (1 + '00_TONG_HOP_BAO_GIA'!P9) / '00_TONG_HOP_BAO_GIA'!G9, 0)</f>
        <v/>
      </c>
      <c r="K23" s="116">
        <f>'00_TONG_HOP_BAO_GIA'!Q9</f>
        <v/>
      </c>
      <c r="L23" s="116">
        <f>('00_TONG_HOP_BAO_GIA'!K9 + '00_TONG_HOP_BAO_GIA'!M9) * (1 + '00_TONG_HOP_BAO_GIA'!P9)</f>
        <v/>
      </c>
      <c r="M23" s="116">
        <f>'00_TONG_HOP_BAO_GIA'!L9 * (1 + '00_TONG_HOP_BAO_GIA'!P9)</f>
        <v/>
      </c>
      <c r="N23" s="116">
        <f>'00_TONG_HOP_BAO_GIA'!R9</f>
        <v/>
      </c>
      <c r="O23" s="216">
        <f>IF(K23=0, "CẢNH BÁO: Đơn giá = 0. Tra cứu lại Sheet 06!", '00_TONG_HOP_BAO_GIA'!S9)</f>
        <v/>
      </c>
      <c r="P23" s="216">
        <f>O23*N23</f>
        <v/>
      </c>
      <c r="Q23" s="116" t="inlineStr">
        <is>
          <t xml:space="preserve"> Van chặn lửa SWIND-E-FD - Tiêu chuẩn EI 120
  2 đầu bích TDC - gắn cầu chì 72- 74 độ C
 Sản xuất theo BCTN số: 4761/VLXD-TBMT</t>
        </is>
      </c>
      <c r="R23" s="33" t="n"/>
    </row>
    <row r="24" ht="52.8" customFormat="1" customHeight="1" s="34">
      <c r="A24" s="30" t="n"/>
      <c r="B24" s="115" t="inlineStr">
        <is>
          <t>Van FD 700x500xL200</t>
        </is>
      </c>
      <c r="C24" s="115" t="inlineStr">
        <is>
          <t>Van FD kích thước 700x500 L200</t>
        </is>
      </c>
      <c r="D24" s="116" t="inlineStr">
        <is>
          <t>SWIND-2.01- E-FD-EI120</t>
        </is>
      </c>
      <c r="E24" s="116" t="inlineStr">
        <is>
          <t>Swind</t>
        </is>
      </c>
      <c r="F24" s="116" t="n">
        <v>700</v>
      </c>
      <c r="G24" s="116" t="n">
        <v>500</v>
      </c>
      <c r="H24" s="116" t="n"/>
      <c r="I24" s="116">
        <f>IF('00_TONG_HOP_BAO_GIA'!G10&gt;0, ('00_TONG_HOP_BAO_GIA'!K10 + '00_TONG_HOP_BAO_GIA'!M10) * (1 + '00_TONG_HOP_BAO_GIA'!P10) / '00_TONG_HOP_BAO_GIA'!G10, 0)</f>
        <v/>
      </c>
      <c r="J24" s="116">
        <f>IF('00_TONG_HOP_BAO_GIA'!G10&gt;0, '00_TONG_HOP_BAO_GIA'!L10 * (1 + '00_TONG_HOP_BAO_GIA'!P10) / '00_TONG_HOP_BAO_GIA'!G10, 0)</f>
        <v/>
      </c>
      <c r="K24" s="116">
        <f>'00_TONG_HOP_BAO_GIA'!Q10</f>
        <v/>
      </c>
      <c r="L24" s="116">
        <f>('00_TONG_HOP_BAO_GIA'!K10 + '00_TONG_HOP_BAO_GIA'!M10) * (1 + '00_TONG_HOP_BAO_GIA'!P10)</f>
        <v/>
      </c>
      <c r="M24" s="116">
        <f>'00_TONG_HOP_BAO_GIA'!L10 * (1 + '00_TONG_HOP_BAO_GIA'!P10)</f>
        <v/>
      </c>
      <c r="N24" s="116">
        <f>'00_TONG_HOP_BAO_GIA'!R10</f>
        <v/>
      </c>
      <c r="O24" s="216">
        <f>IF(K24=0, "CẢNH BÁO: Đơn giá = 0. Tra cứu lại Sheet 06!", '00_TONG_HOP_BAO_GIA'!S10)</f>
        <v/>
      </c>
      <c r="P24" s="216">
        <f>O24*N24</f>
        <v/>
      </c>
      <c r="Q24" s="116" t="inlineStr">
        <is>
          <t xml:space="preserve"> Van chặn lửa SWIND-E-FD - Tiêu chuẩn EI 120
  2 đầu bích TDC - gắn cầu chì 72- 74 độ C
 Sản xuất theo BCTN số: 4761/VLXD-TBMT</t>
        </is>
      </c>
      <c r="R24" s="33" t="n"/>
    </row>
    <row r="25" ht="66" customFormat="1" customHeight="1" s="34">
      <c r="A25" s="99" t="n"/>
      <c r="B25" s="115" t="inlineStr">
        <is>
          <t>Van FD 800x1550xL200</t>
        </is>
      </c>
      <c r="C25" s="115" t="inlineStr">
        <is>
          <t>Van FD kích thước 800x1550 L200</t>
        </is>
      </c>
      <c r="D25" s="116" t="inlineStr">
        <is>
          <t>SWIND-2.01- E-FD-EI120</t>
        </is>
      </c>
      <c r="E25" s="116" t="inlineStr">
        <is>
          <t>Swind</t>
        </is>
      </c>
      <c r="F25" s="116" t="n">
        <v>800</v>
      </c>
      <c r="G25" s="116" t="n">
        <v>1550</v>
      </c>
      <c r="H25" s="116" t="n">
        <v>800</v>
      </c>
      <c r="I25" s="116">
        <f>IF('00_TONG_HOP_BAO_GIA'!G11&gt;0, ('00_TONG_HOP_BAO_GIA'!K11 + '00_TONG_HOP_BAO_GIA'!M11) * (1 + '00_TONG_HOP_BAO_GIA'!P11) / '00_TONG_HOP_BAO_GIA'!G11, 0)</f>
        <v/>
      </c>
      <c r="J25" s="116">
        <f>IF('00_TONG_HOP_BAO_GIA'!G11&gt;0, '00_TONG_HOP_BAO_GIA'!L11 * (1 + '00_TONG_HOP_BAO_GIA'!P11) / '00_TONG_HOP_BAO_GIA'!G11, 0)</f>
        <v/>
      </c>
      <c r="K25" s="116">
        <f>'00_TONG_HOP_BAO_GIA'!Q11</f>
        <v/>
      </c>
      <c r="L25" s="116">
        <f>('00_TONG_HOP_BAO_GIA'!K11 + '00_TONG_HOP_BAO_GIA'!M11) * (1 + '00_TONG_HOP_BAO_GIA'!P11)</f>
        <v/>
      </c>
      <c r="M25" s="116">
        <f>'00_TONG_HOP_BAO_GIA'!L11 * (1 + '00_TONG_HOP_BAO_GIA'!P11)</f>
        <v/>
      </c>
      <c r="N25" s="116">
        <f>'00_TONG_HOP_BAO_GIA'!R11</f>
        <v/>
      </c>
      <c r="O25" s="216">
        <f>IF(K25=0, "CẢNH BÁO: Đơn giá = 0. Tra cứu lại Sheet 06!", '00_TONG_HOP_BAO_GIA'!S11)</f>
        <v/>
      </c>
      <c r="P25" s="216">
        <f>O25*N25</f>
        <v/>
      </c>
      <c r="Q25" s="116" t="inlineStr">
        <is>
          <t xml:space="preserve"> Van chặn lửa SWIND-E-FD - Tiêu chuẩn EI 120
  2 đầu bích TDC - gắn cầu chì 72- 74 độ C
 Sản xuất theo BCTN số: 4761/VLXD-TBMT , chia 2 modul khi san xuat</t>
        </is>
      </c>
      <c r="R25" s="33" t="inlineStr">
        <is>
          <t>check kỹ thuật van lắp đứng hay nằm</t>
        </is>
      </c>
    </row>
    <row r="26" ht="64.95" customFormat="1" customHeight="1" s="34">
      <c r="A26" s="30" t="n"/>
      <c r="B26" s="217" t="inlineStr">
        <is>
          <t>VẬT TƯ THI CÔNG H1: (số BNH_DXVT_H1_29_M_Van MD, FD, VCD hệ HVAC trong phòng JS/DD, K1/DD, K1/AR, K1/K1 tầng 10-19 tòa H1)</t>
        </is>
      </c>
      <c r="C26" s="213" t="n"/>
      <c r="D26" s="101" t="n"/>
      <c r="E26" s="101" t="n"/>
      <c r="F26" s="101" t="n"/>
      <c r="G26" s="101" t="n"/>
      <c r="H26" s="101" t="n"/>
      <c r="I26" s="101" t="n"/>
      <c r="J26" s="101" t="n"/>
      <c r="K26" s="101" t="n"/>
      <c r="L26" s="101" t="n"/>
      <c r="M26" s="101" t="n"/>
      <c r="N26" s="101" t="n"/>
      <c r="O26" s="218" t="n"/>
      <c r="P26" s="219">
        <f>O26*N26</f>
        <v/>
      </c>
      <c r="Q26" s="101" t="n"/>
      <c r="R26" s="33" t="n"/>
    </row>
    <row r="27" ht="66" customFormat="1" customHeight="1" s="34">
      <c r="A27" s="30" t="inlineStr">
        <is>
          <t>H1</t>
        </is>
      </c>
      <c r="B27" s="104" t="inlineStr">
        <is>
          <t>Van chặn lửa MFD - EI45 - Kích thước: 150x100</t>
        </is>
      </c>
      <c r="C27" s="104" t="inlineStr">
        <is>
          <t>Van chặn lửa FD  - Kích thước tối thiểu 150x150, độ dày tôn 1.15mm</t>
        </is>
      </c>
      <c r="D27" s="105" t="inlineStr">
        <is>
          <t>SWIND-2.01- E-FD-EI120</t>
        </is>
      </c>
      <c r="E27" s="105" t="inlineStr">
        <is>
          <t>Swind</t>
        </is>
      </c>
      <c r="F27" s="105" t="n">
        <v>150</v>
      </c>
      <c r="G27" s="105" t="n">
        <v>100</v>
      </c>
      <c r="H27" s="105" t="n"/>
      <c r="I27" s="105">
        <f>IF('00_TONG_HOP_BAO_GIA'!G12&gt;0, ('00_TONG_HOP_BAO_GIA'!K12 + '00_TONG_HOP_BAO_GIA'!M12) * (1 + '00_TONG_HOP_BAO_GIA'!P12) / '00_TONG_HOP_BAO_GIA'!G12, 0)</f>
        <v/>
      </c>
      <c r="J27" s="105">
        <f>IF('00_TONG_HOP_BAO_GIA'!G12&gt;0, '00_TONG_HOP_BAO_GIA'!L12 * (1 + '00_TONG_HOP_BAO_GIA'!P12) / '00_TONG_HOP_BAO_GIA'!G12, 0)</f>
        <v/>
      </c>
      <c r="K27" s="105">
        <f>'00_TONG_HOP_BAO_GIA'!Q12</f>
        <v/>
      </c>
      <c r="L27" s="105">
        <f>('00_TONG_HOP_BAO_GIA'!K12 + '00_TONG_HOP_BAO_GIA'!M12) * (1 + '00_TONG_HOP_BAO_GIA'!P12)</f>
        <v/>
      </c>
      <c r="M27" s="105">
        <f>'00_TONG_HOP_BAO_GIA'!L12 * (1 + '00_TONG_HOP_BAO_GIA'!P12)</f>
        <v/>
      </c>
      <c r="N27" s="105">
        <f>'00_TONG_HOP_BAO_GIA'!R12</f>
        <v/>
      </c>
      <c r="O27" s="219">
        <f>IF(K27=0, "CẢNH BÁO: Đơn giá = 0. Tra cứu lại Sheet 06!", '00_TONG_HOP_BAO_GIA'!S12)</f>
        <v/>
      </c>
      <c r="P27" s="219">
        <f>O27*N27</f>
        <v/>
      </c>
      <c r="Q27" s="105" t="inlineStr">
        <is>
          <t xml:space="preserve"> Van chặn lửa SWIND-E-FD - Tiêu chuẩn EI 120
  2 đầu bích TDC - gắn cầu chì 72- 74 độ C
 Sản xuất theo BCTN số: 4761/VLXD-TBMT- kích thước tối thiểu van 150x150 làm thêm bích bù thu về 150x100</t>
        </is>
      </c>
      <c r="R27" s="33" t="n"/>
    </row>
    <row r="28" ht="39.6" customFormat="1" customHeight="1" s="34">
      <c r="A28" s="30" t="inlineStr">
        <is>
          <t>H1</t>
        </is>
      </c>
      <c r="B28" s="104" t="inlineStr">
        <is>
          <t>Van chặn lửa MFD - EI45 - Kích thước: 150x150</t>
        </is>
      </c>
      <c r="C28" s="104" t="inlineStr">
        <is>
          <t>Van chặn lửa FD  - Kích thước 150x150, độ dày tôn 1.15mm</t>
        </is>
      </c>
      <c r="D28" s="105" t="inlineStr">
        <is>
          <t>SWIND-2.01- E-FD-EI120</t>
        </is>
      </c>
      <c r="E28" s="105" t="inlineStr">
        <is>
          <t>Swind</t>
        </is>
      </c>
      <c r="F28" s="105" t="n">
        <v>150</v>
      </c>
      <c r="G28" s="105" t="n">
        <v>150</v>
      </c>
      <c r="H28" s="105" t="n"/>
      <c r="I28" s="105">
        <f>IF('00_TONG_HOP_BAO_GIA'!G13&gt;0, ('00_TONG_HOP_BAO_GIA'!K13 + '00_TONG_HOP_BAO_GIA'!M13) * (1 + '00_TONG_HOP_BAO_GIA'!P13) / '00_TONG_HOP_BAO_GIA'!G13, 0)</f>
        <v/>
      </c>
      <c r="J28" s="105">
        <f>IF('00_TONG_HOP_BAO_GIA'!G13&gt;0, '00_TONG_HOP_BAO_GIA'!L13 * (1 + '00_TONG_HOP_BAO_GIA'!P13) / '00_TONG_HOP_BAO_GIA'!G13, 0)</f>
        <v/>
      </c>
      <c r="K28" s="105">
        <f>'00_TONG_HOP_BAO_GIA'!Q13</f>
        <v/>
      </c>
      <c r="L28" s="105">
        <f>('00_TONG_HOP_BAO_GIA'!K13 + '00_TONG_HOP_BAO_GIA'!M13) * (1 + '00_TONG_HOP_BAO_GIA'!P13)</f>
        <v/>
      </c>
      <c r="M28" s="105">
        <f>'00_TONG_HOP_BAO_GIA'!L13 * (1 + '00_TONG_HOP_BAO_GIA'!P13)</f>
        <v/>
      </c>
      <c r="N28" s="105">
        <f>'00_TONG_HOP_BAO_GIA'!R13</f>
        <v/>
      </c>
      <c r="O28" s="219">
        <f>IF(K28=0, "CẢNH BÁO: Đơn giá = 0. Tra cứu lại Sheet 06!", '00_TONG_HOP_BAO_GIA'!S13)</f>
        <v/>
      </c>
      <c r="P28" s="219">
        <f>O28*N28</f>
        <v/>
      </c>
      <c r="Q28" s="105" t="inlineStr">
        <is>
          <t xml:space="preserve"> Van chặn lửa SWIND-E-FD - Tiêu chuẩn EI 120
  2 đầu bích TDC - gắn cầu chì 72- 74 độ C
 Sản xuất theo BCTN số: 4761/VLXD-TBMT</t>
        </is>
      </c>
      <c r="R28" s="33" t="n"/>
    </row>
    <row r="29" ht="39.6" customFormat="1" customHeight="1" s="34">
      <c r="A29" s="30" t="inlineStr">
        <is>
          <t>H1</t>
        </is>
      </c>
      <c r="B29" s="104" t="inlineStr">
        <is>
          <t>Van điều chỉnh lưu lượng VCD - Kích thước: 150x100</t>
        </is>
      </c>
      <c r="C29" s="104" t="inlineStr">
        <is>
          <t>Van điều chỉnh lưu lượng VCD - Kích thước 150x100, độ dày tôn 0.75mm</t>
        </is>
      </c>
      <c r="D29" s="105" t="inlineStr">
        <is>
          <t>VCD</t>
        </is>
      </c>
      <c r="E29" s="105" t="inlineStr">
        <is>
          <t>Swind</t>
        </is>
      </c>
      <c r="F29" s="105" t="n">
        <v>150</v>
      </c>
      <c r="G29" s="105" t="n">
        <v>100</v>
      </c>
      <c r="H29" s="105" t="n"/>
      <c r="I29" s="105">
        <f>IF('00_TONG_HOP_BAO_GIA'!G14&gt;0, ('00_TONG_HOP_BAO_GIA'!K14 + '00_TONG_HOP_BAO_GIA'!M14) * (1 + '00_TONG_HOP_BAO_GIA'!P14) / '00_TONG_HOP_BAO_GIA'!G14, 0)</f>
        <v/>
      </c>
      <c r="J29" s="105">
        <f>IF('00_TONG_HOP_BAO_GIA'!G14&gt;0, '00_TONG_HOP_BAO_GIA'!L14 * (1 + '00_TONG_HOP_BAO_GIA'!P14) / '00_TONG_HOP_BAO_GIA'!G14, 0)</f>
        <v/>
      </c>
      <c r="K29" s="105">
        <f>'00_TONG_HOP_BAO_GIA'!Q14</f>
        <v/>
      </c>
      <c r="L29" s="105">
        <f>('00_TONG_HOP_BAO_GIA'!K14 + '00_TONG_HOP_BAO_GIA'!M14) * (1 + '00_TONG_HOP_BAO_GIA'!P14)</f>
        <v/>
      </c>
      <c r="M29" s="105">
        <f>'00_TONG_HOP_BAO_GIA'!L14 * (1 + '00_TONG_HOP_BAO_GIA'!P14)</f>
        <v/>
      </c>
      <c r="N29" s="105">
        <f>'00_TONG_HOP_BAO_GIA'!R14</f>
        <v/>
      </c>
      <c r="O29" s="219">
        <f>IF(K29=0, "CẢNH BÁO: Đơn giá = 0. Tra cứu lại Sheet 06!", '00_TONG_HOP_BAO_GIA'!S14)</f>
        <v/>
      </c>
      <c r="P29" s="219">
        <f>O29*N29</f>
        <v/>
      </c>
      <c r="Q29" s="105" t="inlineStr">
        <is>
          <t>Van tay gat</t>
        </is>
      </c>
      <c r="R29" s="33" t="n"/>
    </row>
    <row r="30" ht="39.6" customFormat="1" customHeight="1" s="34">
      <c r="A30" s="30" t="inlineStr">
        <is>
          <t>H1</t>
        </is>
      </c>
      <c r="B30" s="104" t="inlineStr">
        <is>
          <t>Van điều chỉnh lưu lượng VCD - Kích thước: 150x150</t>
        </is>
      </c>
      <c r="C30" s="104" t="inlineStr">
        <is>
          <t>Van điều chỉnh lưu lượng VCD - Kích thước 150x150, độ dày tôn 0.75mm</t>
        </is>
      </c>
      <c r="D30" s="105" t="inlineStr">
        <is>
          <t>VCD</t>
        </is>
      </c>
      <c r="E30" s="105" t="inlineStr">
        <is>
          <t>Swind</t>
        </is>
      </c>
      <c r="F30" s="105" t="n">
        <v>150</v>
      </c>
      <c r="G30" s="105" t="n">
        <v>150</v>
      </c>
      <c r="H30" s="105" t="n"/>
      <c r="I30" s="105">
        <f>IF('00_TONG_HOP_BAO_GIA'!G15&gt;0, ('00_TONG_HOP_BAO_GIA'!K15 + '00_TONG_HOP_BAO_GIA'!M15) * (1 + '00_TONG_HOP_BAO_GIA'!P15) / '00_TONG_HOP_BAO_GIA'!G15, 0)</f>
        <v/>
      </c>
      <c r="J30" s="105">
        <f>IF('00_TONG_HOP_BAO_GIA'!G15&gt;0, '00_TONG_HOP_BAO_GIA'!L15 * (1 + '00_TONG_HOP_BAO_GIA'!P15) / '00_TONG_HOP_BAO_GIA'!G15, 0)</f>
        <v/>
      </c>
      <c r="K30" s="105">
        <f>'00_TONG_HOP_BAO_GIA'!Q15</f>
        <v/>
      </c>
      <c r="L30" s="105">
        <f>('00_TONG_HOP_BAO_GIA'!K15 + '00_TONG_HOP_BAO_GIA'!M15) * (1 + '00_TONG_HOP_BAO_GIA'!P15)</f>
        <v/>
      </c>
      <c r="M30" s="105">
        <f>'00_TONG_HOP_BAO_GIA'!L15 * (1 + '00_TONG_HOP_BAO_GIA'!P15)</f>
        <v/>
      </c>
      <c r="N30" s="105">
        <f>'00_TONG_HOP_BAO_GIA'!R15</f>
        <v/>
      </c>
      <c r="O30" s="219">
        <f>IF(K30=0, "CẢNH BÁO: Đơn giá = 0. Tra cứu lại Sheet 06!", '00_TONG_HOP_BAO_GIA'!S15)</f>
        <v/>
      </c>
      <c r="P30" s="219">
        <f>O30*N30</f>
        <v/>
      </c>
      <c r="Q30" s="105" t="inlineStr">
        <is>
          <t>Van tay gat</t>
        </is>
      </c>
      <c r="R30" s="33" t="n"/>
    </row>
    <row r="31" ht="39.6" customFormat="1" customHeight="1" s="34">
      <c r="A31" s="30" t="inlineStr">
        <is>
          <t>H1</t>
        </is>
      </c>
      <c r="B31" s="104" t="inlineStr">
        <is>
          <t>Van điều chỉnh lưu lượng VCD - Kích thước: 300x200</t>
        </is>
      </c>
      <c r="C31" s="104" t="inlineStr">
        <is>
          <t>Van điều chỉnh lưu lượng VCD - Kích thước 300x200, độ dày tôn 0.75mm</t>
        </is>
      </c>
      <c r="D31" s="105" t="inlineStr">
        <is>
          <t>VCD</t>
        </is>
      </c>
      <c r="E31" s="105" t="inlineStr">
        <is>
          <t>Swind</t>
        </is>
      </c>
      <c r="F31" s="105" t="n">
        <v>300</v>
      </c>
      <c r="G31" s="105" t="n">
        <v>200</v>
      </c>
      <c r="H31" s="105" t="n"/>
      <c r="I31" s="105">
        <f>IF('00_TONG_HOP_BAO_GIA'!G16&gt;0, ('00_TONG_HOP_BAO_GIA'!K16 + '00_TONG_HOP_BAO_GIA'!M16) * (1 + '00_TONG_HOP_BAO_GIA'!P16) / '00_TONG_HOP_BAO_GIA'!G16, 0)</f>
        <v/>
      </c>
      <c r="J31" s="105">
        <f>IF('00_TONG_HOP_BAO_GIA'!G16&gt;0, '00_TONG_HOP_BAO_GIA'!L16 * (1 + '00_TONG_HOP_BAO_GIA'!P16) / '00_TONG_HOP_BAO_GIA'!G16, 0)</f>
        <v/>
      </c>
      <c r="K31" s="105">
        <f>'00_TONG_HOP_BAO_GIA'!Q16</f>
        <v/>
      </c>
      <c r="L31" s="105">
        <f>('00_TONG_HOP_BAO_GIA'!K16 + '00_TONG_HOP_BAO_GIA'!M16) * (1 + '00_TONG_HOP_BAO_GIA'!P16)</f>
        <v/>
      </c>
      <c r="M31" s="105">
        <f>'00_TONG_HOP_BAO_GIA'!L16 * (1 + '00_TONG_HOP_BAO_GIA'!P16)</f>
        <v/>
      </c>
      <c r="N31" s="105">
        <f>'00_TONG_HOP_BAO_GIA'!R16</f>
        <v/>
      </c>
      <c r="O31" s="219">
        <f>IF(K31=0, "CẢNH BÁO: Đơn giá = 0. Tra cứu lại Sheet 06!", '00_TONG_HOP_BAO_GIA'!S16)</f>
        <v/>
      </c>
      <c r="P31" s="219">
        <f>O31*N31</f>
        <v/>
      </c>
      <c r="Q31" s="105" t="inlineStr">
        <is>
          <t>Van tay gat</t>
        </is>
      </c>
      <c r="R31" s="33" t="n"/>
    </row>
    <row r="32" ht="39.6" customFormat="1" customHeight="1" s="34">
      <c r="A32" s="30" t="inlineStr">
        <is>
          <t>H1</t>
        </is>
      </c>
      <c r="B32" s="104" t="inlineStr">
        <is>
          <t>Van điều gió MD - Kích thước: 150x100</t>
        </is>
      </c>
      <c r="C32" s="104" t="inlineStr">
        <is>
          <t>Van điều gió MD - Kích thước: 150x100, độ dày tôn 1.15 mm</t>
        </is>
      </c>
      <c r="D32" s="105" t="inlineStr">
        <is>
          <t>MD</t>
        </is>
      </c>
      <c r="E32" s="105" t="inlineStr">
        <is>
          <t>Swind</t>
        </is>
      </c>
      <c r="F32" s="105" t="n">
        <v>150</v>
      </c>
      <c r="G32" s="105" t="n">
        <v>100</v>
      </c>
      <c r="H32" s="105" t="n"/>
      <c r="I32" s="105">
        <f>IF('00_TONG_HOP_BAO_GIA'!G17&gt;0, ('00_TONG_HOP_BAO_GIA'!K17 + '00_TONG_HOP_BAO_GIA'!M17) * (1 + '00_TONG_HOP_BAO_GIA'!P17) / '00_TONG_HOP_BAO_GIA'!G17, 0)</f>
        <v/>
      </c>
      <c r="J32" s="105">
        <f>IF('00_TONG_HOP_BAO_GIA'!G17&gt;0, '00_TONG_HOP_BAO_GIA'!L17 * (1 + '00_TONG_HOP_BAO_GIA'!P17) / '00_TONG_HOP_BAO_GIA'!G17, 0)</f>
        <v/>
      </c>
      <c r="K32" s="105">
        <f>'00_TONG_HOP_BAO_GIA'!Q17</f>
        <v/>
      </c>
      <c r="L32" s="105">
        <f>('00_TONG_HOP_BAO_GIA'!K17 + '00_TONG_HOP_BAO_GIA'!M17) * (1 + '00_TONG_HOP_BAO_GIA'!P17)</f>
        <v/>
      </c>
      <c r="M32" s="105">
        <f>'00_TONG_HOP_BAO_GIA'!L17 * (1 + '00_TONG_HOP_BAO_GIA'!P17)</f>
        <v/>
      </c>
      <c r="N32" s="105">
        <f>'00_TONG_HOP_BAO_GIA'!R17</f>
        <v/>
      </c>
      <c r="O32" s="219">
        <f>IF(K32=0, "CẢNH BÁO: Đơn giá = 0. Tra cứu lại Sheet 06!", '00_TONG_HOP_BAO_GIA'!S17)</f>
        <v/>
      </c>
      <c r="P32" s="219">
        <f>O32*N32</f>
        <v/>
      </c>
      <c r="Q32" s="105" t="inlineStr">
        <is>
          <t>Van dùng động cơ ON/OFF 5N - 24V Belimo</t>
        </is>
      </c>
      <c r="R32" s="33" t="n"/>
    </row>
    <row r="33" ht="39.6" customFormat="1" customHeight="1" s="34">
      <c r="A33" s="30" t="inlineStr">
        <is>
          <t>H1</t>
        </is>
      </c>
      <c r="B33" s="104" t="inlineStr">
        <is>
          <t>Van điều gió MD - Kích thước: 150x150</t>
        </is>
      </c>
      <c r="C33" s="104" t="inlineStr">
        <is>
          <t>Van điều gió MD - Kích thước: 150x150, độ dày tôn 1.15 mm</t>
        </is>
      </c>
      <c r="D33" s="105" t="inlineStr">
        <is>
          <t>MD</t>
        </is>
      </c>
      <c r="E33" s="105" t="inlineStr">
        <is>
          <t>Swind</t>
        </is>
      </c>
      <c r="F33" s="105" t="n">
        <v>150</v>
      </c>
      <c r="G33" s="105" t="n">
        <v>150</v>
      </c>
      <c r="H33" s="105" t="n"/>
      <c r="I33" s="105">
        <f>IF('00_TONG_HOP_BAO_GIA'!G18&gt;0, ('00_TONG_HOP_BAO_GIA'!K18 + '00_TONG_HOP_BAO_GIA'!M18) * (1 + '00_TONG_HOP_BAO_GIA'!P18) / '00_TONG_HOP_BAO_GIA'!G18, 0)</f>
        <v/>
      </c>
      <c r="J33" s="105">
        <f>IF('00_TONG_HOP_BAO_GIA'!G18&gt;0, '00_TONG_HOP_BAO_GIA'!L18 * (1 + '00_TONG_HOP_BAO_GIA'!P18) / '00_TONG_HOP_BAO_GIA'!G18, 0)</f>
        <v/>
      </c>
      <c r="K33" s="105">
        <f>'00_TONG_HOP_BAO_GIA'!Q18</f>
        <v/>
      </c>
      <c r="L33" s="105">
        <f>('00_TONG_HOP_BAO_GIA'!K18 + '00_TONG_HOP_BAO_GIA'!M18) * (1 + '00_TONG_HOP_BAO_GIA'!P18)</f>
        <v/>
      </c>
      <c r="M33" s="105">
        <f>'00_TONG_HOP_BAO_GIA'!L18 * (1 + '00_TONG_HOP_BAO_GIA'!P18)</f>
        <v/>
      </c>
      <c r="N33" s="105">
        <f>'00_TONG_HOP_BAO_GIA'!R18</f>
        <v/>
      </c>
      <c r="O33" s="219">
        <f>IF(K33=0, "CẢNH BÁO: Đơn giá = 0. Tra cứu lại Sheet 06!", '00_TONG_HOP_BAO_GIA'!S18)</f>
        <v/>
      </c>
      <c r="P33" s="219">
        <f>O33*N33</f>
        <v/>
      </c>
      <c r="Q33" s="105" t="inlineStr">
        <is>
          <t>Van dùng động cơ ON/OFF 5N - 24V Belimo</t>
        </is>
      </c>
      <c r="R33" s="33" t="n"/>
    </row>
    <row r="34" ht="26.4" customFormat="1" customHeight="1" s="34">
      <c r="A34" s="30" t="n"/>
      <c r="B34" s="100" t="inlineStr">
        <is>
          <t>Hệ thống ống gió, hút mùi vệ sinh</t>
        </is>
      </c>
      <c r="C34" s="10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0" t="n"/>
      <c r="N34" s="30" t="n"/>
      <c r="O34" s="220" t="n"/>
      <c r="P34" s="219">
        <f>O34*N34</f>
        <v/>
      </c>
      <c r="Q34" s="30" t="n"/>
      <c r="R34" s="33" t="n"/>
    </row>
    <row r="35" ht="13.2" customFormat="1" customHeight="1" s="34">
      <c r="A35" s="30" t="n"/>
      <c r="B35" s="100" t="inlineStr">
        <is>
          <t>Van gió, miệng gió</t>
        </is>
      </c>
      <c r="C35" s="10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220" t="n"/>
      <c r="P35" s="219">
        <f>O35*N35</f>
        <v/>
      </c>
      <c r="Q35" s="30" t="n"/>
      <c r="R35" s="33" t="n"/>
    </row>
    <row r="36" ht="66" customFormat="1" customHeight="1" s="34">
      <c r="A36" s="30" t="inlineStr">
        <is>
          <t>H1</t>
        </is>
      </c>
      <c r="B36" s="31" t="inlineStr">
        <is>
          <t>Van chặn lửa MFD - EI45 - Kích thước: 150x100</t>
        </is>
      </c>
      <c r="C36" s="31" t="inlineStr">
        <is>
          <t>Van chặn lửa FD EI60 - Kích thước 150x100, độ dày tôn 1.15mm</t>
        </is>
      </c>
      <c r="D36" s="30" t="inlineStr">
        <is>
          <t>SWIND-2.01- E-FD-EI120</t>
        </is>
      </c>
      <c r="E36" s="30" t="inlineStr">
        <is>
          <t>Swind</t>
        </is>
      </c>
      <c r="F36" s="30" t="n">
        <v>150</v>
      </c>
      <c r="G36" s="30" t="n">
        <v>100</v>
      </c>
      <c r="H36" s="30" t="n"/>
      <c r="I36" s="30">
        <f>IF('00_TONG_HOP_BAO_GIA'!G19&gt;0, ('00_TONG_HOP_BAO_GIA'!K19 + '00_TONG_HOP_BAO_GIA'!M19) * (1 + '00_TONG_HOP_BAO_GIA'!P19) / '00_TONG_HOP_BAO_GIA'!G19, 0)</f>
        <v/>
      </c>
      <c r="J36" s="30">
        <f>IF('00_TONG_HOP_BAO_GIA'!G19&gt;0, '00_TONG_HOP_BAO_GIA'!L19 * (1 + '00_TONG_HOP_BAO_GIA'!P19) / '00_TONG_HOP_BAO_GIA'!G19, 0)</f>
        <v/>
      </c>
      <c r="K36" s="30">
        <f>'00_TONG_HOP_BAO_GIA'!Q19</f>
        <v/>
      </c>
      <c r="L36" s="30">
        <f>('00_TONG_HOP_BAO_GIA'!K19 + '00_TONG_HOP_BAO_GIA'!M19) * (1 + '00_TONG_HOP_BAO_GIA'!P19)</f>
        <v/>
      </c>
      <c r="M36" s="30">
        <f>'00_TONG_HOP_BAO_GIA'!L19 * (1 + '00_TONG_HOP_BAO_GIA'!P19)</f>
        <v/>
      </c>
      <c r="N36" s="30">
        <f>'00_TONG_HOP_BAO_GIA'!R19</f>
        <v/>
      </c>
      <c r="O36" s="220">
        <f>IF(K36=0, "CẢNH BÁO: Đơn giá = 0. Tra cứu lại Sheet 06!", '00_TONG_HOP_BAO_GIA'!S19)</f>
        <v/>
      </c>
      <c r="P36" s="219">
        <f>O36*N36</f>
        <v/>
      </c>
      <c r="Q36" s="30" t="inlineStr">
        <is>
          <t xml:space="preserve"> Van chặn lửa SWIND-E-FD - Tiêu chuẩn EI 120
  2 đầu bích TDC - gắn cầu chì 72- 74 độ C
 Sản xuất theo BCTN số: 4761/VLXD-TBMT- kích thước tối thiểu van 150x150 làm thêm bích bù thu về 150x100</t>
        </is>
      </c>
      <c r="R36" s="33" t="n"/>
    </row>
    <row r="37" ht="39.6" customFormat="1" customHeight="1" s="34">
      <c r="A37" s="30" t="inlineStr">
        <is>
          <t>H1</t>
        </is>
      </c>
      <c r="B37" s="31" t="inlineStr">
        <is>
          <t>Van chặn lửa MFD - EI45 - Kích thước: 150x150</t>
        </is>
      </c>
      <c r="C37" s="31" t="inlineStr">
        <is>
          <t>Van chặn lửa FD EI60 - Kích thước 150x150, độ dày tôn 1.15mm</t>
        </is>
      </c>
      <c r="D37" s="30" t="inlineStr">
        <is>
          <t>SWIND-2.01- E-FD-EI120</t>
        </is>
      </c>
      <c r="E37" s="30" t="inlineStr">
        <is>
          <t>Swind</t>
        </is>
      </c>
      <c r="F37" s="30" t="n">
        <v>150</v>
      </c>
      <c r="G37" s="30" t="n">
        <v>150</v>
      </c>
      <c r="H37" s="30" t="n"/>
      <c r="I37" s="30">
        <f>IF('00_TONG_HOP_BAO_GIA'!G20&gt;0, ('00_TONG_HOP_BAO_GIA'!K20 + '00_TONG_HOP_BAO_GIA'!M20) * (1 + '00_TONG_HOP_BAO_GIA'!P20) / '00_TONG_HOP_BAO_GIA'!G20, 0)</f>
        <v/>
      </c>
      <c r="J37" s="30">
        <f>IF('00_TONG_HOP_BAO_GIA'!G20&gt;0, '00_TONG_HOP_BAO_GIA'!L20 * (1 + '00_TONG_HOP_BAO_GIA'!P20) / '00_TONG_HOP_BAO_GIA'!G20, 0)</f>
        <v/>
      </c>
      <c r="K37" s="30">
        <f>'00_TONG_HOP_BAO_GIA'!Q20</f>
        <v/>
      </c>
      <c r="L37" s="30">
        <f>('00_TONG_HOP_BAO_GIA'!K20 + '00_TONG_HOP_BAO_GIA'!M20) * (1 + '00_TONG_HOP_BAO_GIA'!P20)</f>
        <v/>
      </c>
      <c r="M37" s="30">
        <f>'00_TONG_HOP_BAO_GIA'!L20 * (1 + '00_TONG_HOP_BAO_GIA'!P20)</f>
        <v/>
      </c>
      <c r="N37" s="30">
        <f>'00_TONG_HOP_BAO_GIA'!R20</f>
        <v/>
      </c>
      <c r="O37" s="220">
        <f>IF(K37=0, "CẢNH BÁO: Đơn giá = 0. Tra cứu lại Sheet 06!", '00_TONG_HOP_BAO_GIA'!S20)</f>
        <v/>
      </c>
      <c r="P37" s="219">
        <f>O37*N37</f>
        <v/>
      </c>
      <c r="Q37" s="30" t="inlineStr">
        <is>
          <t xml:space="preserve"> Van chặn lửa SWIND-E-FD - Tiêu chuẩn EI 120
  2 đầu bích TDC - gắn cầu chì 72- 74 độ C
 Sản xuất theo BCTN số: 4761/VLXD-TBMT</t>
        </is>
      </c>
      <c r="R37" s="33" t="n"/>
    </row>
    <row r="38" ht="39.6" customFormat="1" customHeight="1" s="34">
      <c r="A38" s="30" t="inlineStr">
        <is>
          <t>H1</t>
        </is>
      </c>
      <c r="B38" s="31" t="inlineStr">
        <is>
          <t>Van điều chỉnh lưu lượng VCD - Kích thước: 150x100</t>
        </is>
      </c>
      <c r="C38" s="31" t="inlineStr">
        <is>
          <t>Van điều chỉnh lưu lượng VCD - Kích thước: 150x100, độ dày tôn 0.75 mm</t>
        </is>
      </c>
      <c r="D38" s="30" t="inlineStr">
        <is>
          <t>VCD</t>
        </is>
      </c>
      <c r="E38" s="30" t="inlineStr">
        <is>
          <t>Swind</t>
        </is>
      </c>
      <c r="F38" s="30" t="n">
        <v>150</v>
      </c>
      <c r="G38" s="30" t="n">
        <v>100</v>
      </c>
      <c r="H38" s="30" t="n"/>
      <c r="I38" s="30">
        <f>IF('00_TONG_HOP_BAO_GIA'!G21&gt;0, ('00_TONG_HOP_BAO_GIA'!K21 + '00_TONG_HOP_BAO_GIA'!M21) * (1 + '00_TONG_HOP_BAO_GIA'!P21) / '00_TONG_HOP_BAO_GIA'!G21, 0)</f>
        <v/>
      </c>
      <c r="J38" s="30">
        <f>IF('00_TONG_HOP_BAO_GIA'!G21&gt;0, '00_TONG_HOP_BAO_GIA'!L21 * (1 + '00_TONG_HOP_BAO_GIA'!P21) / '00_TONG_HOP_BAO_GIA'!G21, 0)</f>
        <v/>
      </c>
      <c r="K38" s="30">
        <f>'00_TONG_HOP_BAO_GIA'!Q21</f>
        <v/>
      </c>
      <c r="L38" s="30">
        <f>('00_TONG_HOP_BAO_GIA'!K21 + '00_TONG_HOP_BAO_GIA'!M21) * (1 + '00_TONG_HOP_BAO_GIA'!P21)</f>
        <v/>
      </c>
      <c r="M38" s="30">
        <f>'00_TONG_HOP_BAO_GIA'!L21 * (1 + '00_TONG_HOP_BAO_GIA'!P21)</f>
        <v/>
      </c>
      <c r="N38" s="30">
        <f>'00_TONG_HOP_BAO_GIA'!R21</f>
        <v/>
      </c>
      <c r="O38" s="220">
        <f>IF(K38=0, "CẢNH BÁO: Đơn giá = 0. Tra cứu lại Sheet 06!", '00_TONG_HOP_BAO_GIA'!S21)</f>
        <v/>
      </c>
      <c r="P38" s="219">
        <f>O38*N38</f>
        <v/>
      </c>
      <c r="Q38" s="30" t="inlineStr">
        <is>
          <t>Van tay gat</t>
        </is>
      </c>
      <c r="R38" s="33" t="n"/>
    </row>
    <row r="39" ht="26.4" customFormat="1" customHeight="1" s="34">
      <c r="A39" s="30" t="inlineStr">
        <is>
          <t>H1</t>
        </is>
      </c>
      <c r="B39" s="31" t="inlineStr">
        <is>
          <t>Van điều chỉnh lưu lượng VCD - Kích thước: 150x150</t>
        </is>
      </c>
      <c r="C39" s="31" t="inlineStr">
        <is>
          <t>Van điều chỉnh lưu lượng VCD - Kích thước: 150x150</t>
        </is>
      </c>
      <c r="D39" s="30" t="inlineStr">
        <is>
          <t>VCD</t>
        </is>
      </c>
      <c r="E39" s="30" t="inlineStr">
        <is>
          <t>Swind</t>
        </is>
      </c>
      <c r="F39" s="30" t="n">
        <v>150</v>
      </c>
      <c r="G39" s="30" t="n">
        <v>150</v>
      </c>
      <c r="H39" s="30" t="n"/>
      <c r="I39" s="30">
        <f>IF('00_TONG_HOP_BAO_GIA'!G22&gt;0, ('00_TONG_HOP_BAO_GIA'!K22 + '00_TONG_HOP_BAO_GIA'!M22) * (1 + '00_TONG_HOP_BAO_GIA'!P22) / '00_TONG_HOP_BAO_GIA'!G22, 0)</f>
        <v/>
      </c>
      <c r="J39" s="30">
        <f>IF('00_TONG_HOP_BAO_GIA'!G22&gt;0, '00_TONG_HOP_BAO_GIA'!L22 * (1 + '00_TONG_HOP_BAO_GIA'!P22) / '00_TONG_HOP_BAO_GIA'!G22, 0)</f>
        <v/>
      </c>
      <c r="K39" s="30">
        <f>'00_TONG_HOP_BAO_GIA'!Q22</f>
        <v/>
      </c>
      <c r="L39" s="30">
        <f>('00_TONG_HOP_BAO_GIA'!K22 + '00_TONG_HOP_BAO_GIA'!M22) * (1 + '00_TONG_HOP_BAO_GIA'!P22)</f>
        <v/>
      </c>
      <c r="M39" s="30">
        <f>'00_TONG_HOP_BAO_GIA'!L22 * (1 + '00_TONG_HOP_BAO_GIA'!P22)</f>
        <v/>
      </c>
      <c r="N39" s="30">
        <f>'00_TONG_HOP_BAO_GIA'!R22</f>
        <v/>
      </c>
      <c r="O39" s="220">
        <f>IF(K39=0, "CẢNH BÁO: Đơn giá = 0. Tra cứu lại Sheet 06!", '00_TONG_HOP_BAO_GIA'!S22)</f>
        <v/>
      </c>
      <c r="P39" s="219">
        <f>O39*N39</f>
        <v/>
      </c>
      <c r="Q39" s="30" t="inlineStr">
        <is>
          <t>Van tay gat</t>
        </is>
      </c>
      <c r="R39" s="33" t="n"/>
    </row>
    <row r="40" ht="39.6" customFormat="1" customHeight="1" s="34">
      <c r="A40" s="30" t="inlineStr">
        <is>
          <t>H1</t>
        </is>
      </c>
      <c r="B40" s="31" t="inlineStr">
        <is>
          <t>Van điều gió MD - Kích thước: 150x100</t>
        </is>
      </c>
      <c r="C40" s="31" t="inlineStr">
        <is>
          <t>Van điều gió MD - Kích thước: 150x100, độ dày tôn 1.15 mm</t>
        </is>
      </c>
      <c r="D40" s="30" t="inlineStr">
        <is>
          <t>MD</t>
        </is>
      </c>
      <c r="E40" s="30" t="inlineStr">
        <is>
          <t>Swind</t>
        </is>
      </c>
      <c r="F40" s="30" t="n">
        <v>150</v>
      </c>
      <c r="G40" s="30" t="n">
        <v>100</v>
      </c>
      <c r="H40" s="30" t="n"/>
      <c r="I40" s="30">
        <f>IF('00_TONG_HOP_BAO_GIA'!G23&gt;0, ('00_TONG_HOP_BAO_GIA'!K23 + '00_TONG_HOP_BAO_GIA'!M23) * (1 + '00_TONG_HOP_BAO_GIA'!P23) / '00_TONG_HOP_BAO_GIA'!G23, 0)</f>
        <v/>
      </c>
      <c r="J40" s="30">
        <f>IF('00_TONG_HOP_BAO_GIA'!G23&gt;0, '00_TONG_HOP_BAO_GIA'!L23 * (1 + '00_TONG_HOP_BAO_GIA'!P23) / '00_TONG_HOP_BAO_GIA'!G23, 0)</f>
        <v/>
      </c>
      <c r="K40" s="30">
        <f>'00_TONG_HOP_BAO_GIA'!Q23</f>
        <v/>
      </c>
      <c r="L40" s="30">
        <f>('00_TONG_HOP_BAO_GIA'!K23 + '00_TONG_HOP_BAO_GIA'!M23) * (1 + '00_TONG_HOP_BAO_GIA'!P23)</f>
        <v/>
      </c>
      <c r="M40" s="30">
        <f>'00_TONG_HOP_BAO_GIA'!L23 * (1 + '00_TONG_HOP_BAO_GIA'!P23)</f>
        <v/>
      </c>
      <c r="N40" s="30">
        <f>'00_TONG_HOP_BAO_GIA'!R23</f>
        <v/>
      </c>
      <c r="O40" s="220">
        <f>IF(K40=0, "CẢNH BÁO: Đơn giá = 0. Tra cứu lại Sheet 06!", '00_TONG_HOP_BAO_GIA'!S23)</f>
        <v/>
      </c>
      <c r="P40" s="219">
        <f>O40*N40</f>
        <v/>
      </c>
      <c r="Q40" s="30" t="inlineStr">
        <is>
          <t>Van dùng động cơ ON/OFF 5N - 24V Belimo</t>
        </is>
      </c>
      <c r="R40" s="33" t="n"/>
    </row>
    <row r="41" ht="39.6" customFormat="1" customHeight="1" s="34">
      <c r="A41" s="30" t="inlineStr">
        <is>
          <t>H1</t>
        </is>
      </c>
      <c r="B41" s="31" t="inlineStr">
        <is>
          <t>Van điều gió MD - Kích thước: 150x150</t>
        </is>
      </c>
      <c r="C41" s="31" t="inlineStr">
        <is>
          <t>Van điều gió MD - Kích thước: 150x150, độ dày tôn 1.15 mm</t>
        </is>
      </c>
      <c r="D41" s="30" t="inlineStr">
        <is>
          <t>MD</t>
        </is>
      </c>
      <c r="E41" s="30" t="inlineStr">
        <is>
          <t>Swind</t>
        </is>
      </c>
      <c r="F41" s="30" t="n">
        <v>150</v>
      </c>
      <c r="G41" s="30" t="n">
        <v>150</v>
      </c>
      <c r="H41" s="30" t="n"/>
      <c r="I41" s="30" t="n"/>
      <c r="J41" s="30" t="n"/>
      <c r="K41" s="30" t="n">
        <v>200</v>
      </c>
      <c r="L41" s="30" t="n">
        <v>1.15</v>
      </c>
      <c r="M41" s="30" t="inlineStr">
        <is>
          <t>Cái</t>
        </is>
      </c>
      <c r="N41" s="30" t="n">
        <v>0</v>
      </c>
      <c r="O41" s="220" t="n"/>
      <c r="P41" s="219">
        <f>O41*N41</f>
        <v/>
      </c>
      <c r="Q41" s="30" t="inlineStr">
        <is>
          <t>Van dùng động cơ ON/OFF 5N - 24V Belimo</t>
        </is>
      </c>
      <c r="R41" s="33" t="n"/>
    </row>
    <row r="42" ht="13.2" customFormat="1" customHeight="1" s="34">
      <c r="A42" s="30" t="n"/>
      <c r="B42" s="31" t="inlineStr">
        <is>
          <t>Chi phí kiểm định</t>
        </is>
      </c>
      <c r="C42" s="31" t="n"/>
      <c r="D42" s="30" t="n"/>
      <c r="E42" s="30" t="n"/>
      <c r="F42" s="30" t="n"/>
      <c r="G42" s="30" t="n"/>
      <c r="H42" s="30" t="n"/>
      <c r="I42" s="30">
        <f>IF('00_TONG_HOP_BAO_GIA'!G24&gt;0, ('00_TONG_HOP_BAO_GIA'!K24 + '00_TONG_HOP_BAO_GIA'!M24) * (1 + '00_TONG_HOP_BAO_GIA'!P24) / '00_TONG_HOP_BAO_GIA'!G24, 0)</f>
        <v/>
      </c>
      <c r="J42" s="30">
        <f>IF('00_TONG_HOP_BAO_GIA'!G24&gt;0, '00_TONG_HOP_BAO_GIA'!L24 * (1 + '00_TONG_HOP_BAO_GIA'!P24) / '00_TONG_HOP_BAO_GIA'!G24, 0)</f>
        <v/>
      </c>
      <c r="K42" s="30">
        <f>'00_TONG_HOP_BAO_GIA'!Q24</f>
        <v/>
      </c>
      <c r="L42" s="30">
        <f>('00_TONG_HOP_BAO_GIA'!K24 + '00_TONG_HOP_BAO_GIA'!M24) * (1 + '00_TONG_HOP_BAO_GIA'!P24)</f>
        <v/>
      </c>
      <c r="M42" s="30">
        <f>'00_TONG_HOP_BAO_GIA'!L24 * (1 + '00_TONG_HOP_BAO_GIA'!P24)</f>
        <v/>
      </c>
      <c r="N42" s="30">
        <f>'00_TONG_HOP_BAO_GIA'!R24</f>
        <v/>
      </c>
      <c r="O42" s="220">
        <f>IF(K42=0, "CẢNH BÁO: Đơn giá = 0. Tra cứu lại Sheet 06!", '00_TONG_HOP_BAO_GIA'!S24)</f>
        <v/>
      </c>
      <c r="P42" s="219">
        <f>O42*N42</f>
        <v/>
      </c>
      <c r="Q42" s="30" t="inlineStr">
        <is>
          <t>đã bao gồm cấp 1 lần cuối dự án</t>
        </is>
      </c>
      <c r="R42" s="33" t="n"/>
    </row>
    <row r="43" ht="13.2" customFormat="1" customHeight="1" s="34">
      <c r="A43" s="30" t="n"/>
      <c r="B43" s="31" t="inlineStr">
        <is>
          <t>Vận chuyển</t>
        </is>
      </c>
      <c r="C43" s="31" t="n"/>
      <c r="D43" s="30" t="n"/>
      <c r="E43" s="30" t="n"/>
      <c r="F43" s="30" t="n"/>
      <c r="G43" s="30" t="n"/>
      <c r="H43" s="30" t="n"/>
      <c r="I43" s="30">
        <f>IF('00_TONG_HOP_BAO_GIA'!G25&gt;0, ('00_TONG_HOP_BAO_GIA'!K25 + '00_TONG_HOP_BAO_GIA'!M25) * (1 + '00_TONG_HOP_BAO_GIA'!P25) / '00_TONG_HOP_BAO_GIA'!G25, 0)</f>
        <v/>
      </c>
      <c r="J43" s="30">
        <f>IF('00_TONG_HOP_BAO_GIA'!G25&gt;0, '00_TONG_HOP_BAO_GIA'!L25 * (1 + '00_TONG_HOP_BAO_GIA'!P25) / '00_TONG_HOP_BAO_GIA'!G25, 0)</f>
        <v/>
      </c>
      <c r="K43" s="30">
        <f>'00_TONG_HOP_BAO_GIA'!Q25</f>
        <v/>
      </c>
      <c r="L43" s="30">
        <f>('00_TONG_HOP_BAO_GIA'!K25 + '00_TONG_HOP_BAO_GIA'!M25) * (1 + '00_TONG_HOP_BAO_GIA'!P25)</f>
        <v/>
      </c>
      <c r="M43" s="30">
        <f>'00_TONG_HOP_BAO_GIA'!L25 * (1 + '00_TONG_HOP_BAO_GIA'!P25)</f>
        <v/>
      </c>
      <c r="N43" s="30">
        <f>'00_TONG_HOP_BAO_GIA'!R25</f>
        <v/>
      </c>
      <c r="O43" s="220">
        <f>IF(K43=0, "CẢNH BÁO: Đơn giá = 0. Tra cứu lại Sheet 06!", '00_TONG_HOP_BAO_GIA'!S25)</f>
        <v/>
      </c>
      <c r="P43" s="219">
        <f>O43*N43</f>
        <v/>
      </c>
      <c r="Q43" s="30" t="n"/>
      <c r="R43" s="33" t="n"/>
    </row>
    <row r="44" ht="29.4" customFormat="1" customHeight="1" s="34">
      <c r="A44" s="30" t="n"/>
      <c r="B44" s="30" t="n"/>
      <c r="C44" s="30" t="n"/>
      <c r="D44" s="30" t="n"/>
      <c r="E44" s="30" t="n"/>
      <c r="F44" s="30" t="n"/>
      <c r="G44" s="30" t="n"/>
      <c r="H44" s="30" t="n"/>
      <c r="I44" s="30" t="n"/>
      <c r="J44" s="30" t="n"/>
      <c r="K44" s="30" t="n"/>
      <c r="L44" s="30" t="n"/>
      <c r="M44" s="30" t="n"/>
      <c r="N44" s="30" t="n"/>
      <c r="O44" s="220" t="n"/>
      <c r="P44" s="220" t="n"/>
      <c r="Q44" s="30" t="n"/>
    </row>
    <row r="45" ht="32.25" customFormat="1" customHeight="1" s="34">
      <c r="A45" s="221" t="inlineStr">
        <is>
          <t>Total/ Tổng Trước thuế</t>
        </is>
      </c>
      <c r="B45" s="222" t="n"/>
      <c r="C45" s="222" t="n"/>
      <c r="D45" s="222" t="n"/>
      <c r="E45" s="222" t="n"/>
      <c r="F45" s="222" t="n"/>
      <c r="G45" s="222" t="n"/>
      <c r="H45" s="222" t="n"/>
      <c r="I45" s="222" t="n"/>
      <c r="J45" s="222" t="n"/>
      <c r="K45" s="222" t="n"/>
      <c r="L45" s="222" t="n"/>
      <c r="M45" s="222" t="n"/>
      <c r="N45" s="222" t="n"/>
      <c r="O45" s="223" t="n"/>
      <c r="P45" s="224">
        <f>SUM(P15:P44)</f>
        <v/>
      </c>
      <c r="Q45" s="120" t="n"/>
      <c r="R45" s="119" t="n"/>
    </row>
    <row r="46" ht="32.25" customFormat="1" customHeight="1" s="34">
      <c r="A46" s="225" t="inlineStr">
        <is>
          <t>VAT 8%</t>
        </is>
      </c>
      <c r="B46" s="226" t="n"/>
      <c r="C46" s="226" t="n"/>
      <c r="D46" s="226" t="n"/>
      <c r="E46" s="226" t="n"/>
      <c r="F46" s="226" t="n"/>
      <c r="G46" s="226" t="n"/>
      <c r="H46" s="226" t="n"/>
      <c r="I46" s="226" t="n"/>
      <c r="J46" s="226" t="n"/>
      <c r="K46" s="226" t="n"/>
      <c r="L46" s="226" t="n"/>
      <c r="M46" s="226" t="n"/>
      <c r="N46" s="226" t="n"/>
      <c r="O46" s="213" t="n"/>
      <c r="P46" s="227">
        <f>P45*0.08</f>
        <v/>
      </c>
      <c r="Q46" s="37" t="n"/>
    </row>
    <row r="47" ht="32.25" customFormat="1" customHeight="1" s="34">
      <c r="A47" s="228" t="inlineStr">
        <is>
          <t>Total Amount (including VAT 8%)/ Tổng sau thuế</t>
        </is>
      </c>
      <c r="B47" s="229" t="n"/>
      <c r="C47" s="229" t="n"/>
      <c r="D47" s="229" t="n"/>
      <c r="E47" s="229" t="n"/>
      <c r="F47" s="229" t="n"/>
      <c r="G47" s="229" t="n"/>
      <c r="H47" s="229" t="n"/>
      <c r="I47" s="229" t="n"/>
      <c r="J47" s="229" t="n"/>
      <c r="K47" s="229" t="n"/>
      <c r="L47" s="229" t="n"/>
      <c r="M47" s="229" t="n"/>
      <c r="N47" s="229" t="n"/>
      <c r="O47" s="230" t="n"/>
      <c r="P47" s="231">
        <f>SUM(P45:P46)</f>
        <v/>
      </c>
      <c r="Q47" s="122" t="n"/>
      <c r="S47" s="121" t="n"/>
    </row>
    <row r="48" ht="15" customFormat="1" customHeight="1" s="47">
      <c r="A48" s="39" t="n"/>
      <c r="B48" s="40" t="n"/>
      <c r="C48" s="40" t="n"/>
      <c r="D48" s="41" t="n"/>
      <c r="E48" s="41" t="n"/>
      <c r="F48" s="41" t="n"/>
      <c r="G48" s="41" t="n"/>
      <c r="H48" s="41" t="n"/>
      <c r="I48" s="41" t="n"/>
      <c r="J48" s="41" t="n"/>
      <c r="K48" s="41" t="n"/>
      <c r="L48" s="42" t="n"/>
      <c r="M48" s="43" t="n"/>
      <c r="N48" s="232" t="n"/>
      <c r="O48" s="233" t="n"/>
      <c r="P48" s="233" t="n"/>
      <c r="Q48" s="234" t="n"/>
    </row>
    <row r="49" ht="15" customFormat="1" customHeight="1" s="47">
      <c r="A49" s="48" t="n"/>
      <c r="B49" s="49" t="inlineStr">
        <is>
          <t xml:space="preserve">- Ghi chú : </t>
        </is>
      </c>
      <c r="C49" s="49" t="n"/>
      <c r="D49" s="50" t="n"/>
      <c r="E49" s="50" t="n"/>
      <c r="F49" s="50" t="n"/>
      <c r="G49" s="51" t="n"/>
      <c r="H49" s="50" t="n"/>
      <c r="I49" s="48" t="n"/>
      <c r="J49" s="48" t="n"/>
      <c r="K49" s="48" t="n"/>
      <c r="L49" s="48" t="n"/>
      <c r="M49" s="48" t="n"/>
      <c r="N49" s="52" t="n"/>
      <c r="O49" s="52" t="n"/>
      <c r="P49" s="235" t="n"/>
      <c r="Q49" s="236" t="n"/>
      <c r="R49" s="52" t="n"/>
    </row>
    <row r="50" ht="15" customFormat="1" customHeight="1" s="47">
      <c r="A50" s="48" t="n"/>
      <c r="B50" s="55" t="inlineStr">
        <is>
          <t>* Thời hạn báo giá: Báo giá có giá trị trong vòng 15 ngày kể từ ngày báo.</t>
        </is>
      </c>
      <c r="C50" s="55" t="n"/>
      <c r="D50" s="56" t="n"/>
      <c r="E50" s="56" t="n"/>
      <c r="F50" s="56" t="n"/>
      <c r="G50" s="57" t="n"/>
      <c r="H50" s="57" t="n"/>
      <c r="I50" s="48" t="n"/>
      <c r="J50" s="48" t="n"/>
      <c r="K50" s="48" t="n"/>
      <c r="L50" s="48" t="n"/>
      <c r="M50" s="237" t="n"/>
      <c r="N50" s="59" t="n"/>
      <c r="O50" s="59" t="n"/>
      <c r="P50" s="235" t="n"/>
      <c r="Q50" s="238" t="n"/>
    </row>
    <row r="51" ht="15" customFormat="1" customHeight="1" s="47">
      <c r="A51" s="48" t="n"/>
      <c r="B51" s="55" t="inlineStr">
        <is>
          <t>* Thời gian giao hàng: theo thực tế từng đơn hàng</t>
        </is>
      </c>
      <c r="C51" s="55" t="n"/>
      <c r="D51" s="56" t="n"/>
      <c r="E51" s="56" t="n"/>
      <c r="F51" s="56" t="n"/>
      <c r="G51" s="57" t="n"/>
      <c r="H51" s="57" t="n"/>
      <c r="I51" s="48" t="n"/>
      <c r="J51" s="48" t="n"/>
      <c r="K51" s="48" t="n"/>
      <c r="L51" s="48" t="n"/>
      <c r="M51" s="237" t="n"/>
      <c r="N51" s="59" t="n"/>
      <c r="O51" s="59" t="n"/>
      <c r="P51" s="235" t="n"/>
      <c r="Q51" s="238" t="n"/>
    </row>
    <row r="52" ht="15" customFormat="1" customHeight="1" s="47">
      <c r="A52" s="48" t="n"/>
      <c r="B52" s="55" t="inlineStr">
        <is>
          <t xml:space="preserve"> - Van gió &amp; Phụ kiện : Tôn Hoa Sen Z08/Z18</t>
        </is>
      </c>
      <c r="C52" s="55" t="n"/>
      <c r="D52" s="56" t="n"/>
      <c r="E52" s="56" t="n"/>
      <c r="F52" s="56" t="n"/>
      <c r="G52" s="57" t="n"/>
      <c r="H52" s="57" t="n"/>
      <c r="I52" s="48" t="n"/>
      <c r="J52" s="48" t="n"/>
      <c r="K52" s="48" t="n"/>
      <c r="L52" s="48" t="n"/>
      <c r="M52" s="237" t="n"/>
      <c r="N52" s="59" t="n"/>
      <c r="O52" s="59" t="n"/>
      <c r="P52" s="235" t="n"/>
      <c r="Q52" s="238" t="n"/>
    </row>
    <row r="53" ht="15" customFormat="1" customHeight="1" s="47">
      <c r="A53" s="48" t="n"/>
      <c r="B53" s="55" t="inlineStr">
        <is>
          <t xml:space="preserve"> - Cửa gió và Phụ kiện : Nhôm A6063 T5 - Sơn Tĩnh điện mầu trắng .</t>
        </is>
      </c>
      <c r="C53" s="55" t="n"/>
      <c r="D53" s="56" t="n"/>
      <c r="E53" s="56" t="n"/>
      <c r="F53" s="56" t="n"/>
      <c r="G53" s="57" t="n"/>
      <c r="H53" s="57" t="n"/>
      <c r="I53" s="48" t="n"/>
      <c r="J53" s="48" t="n"/>
      <c r="K53" s="48" t="n"/>
      <c r="L53" s="48" t="n"/>
      <c r="M53" s="237" t="n"/>
      <c r="N53" s="59" t="n"/>
      <c r="O53" s="59" t="n"/>
      <c r="P53" s="235" t="n"/>
      <c r="Q53" s="238" t="n"/>
    </row>
    <row r="54" ht="15" customFormat="1" customHeight="1" s="47">
      <c r="A54" s="48" t="n"/>
      <c r="B54" s="60" t="inlineStr">
        <is>
          <t>ĐIỀU KHOẢN THANH TOÁN VÀ GIAO HÀNG</t>
        </is>
      </c>
      <c r="C54" s="60" t="n"/>
      <c r="D54" s="61" t="n"/>
      <c r="E54" s="61" t="n"/>
      <c r="F54" s="61" t="n"/>
      <c r="G54" s="62" t="n"/>
      <c r="H54" s="62" t="n"/>
      <c r="I54" s="48" t="n"/>
      <c r="J54" s="48" t="n"/>
      <c r="K54" s="48" t="n"/>
      <c r="L54" s="48" t="n"/>
      <c r="M54" s="237" t="n"/>
      <c r="N54" s="63" t="n"/>
      <c r="O54" s="64" t="n"/>
      <c r="P54" s="239" t="n"/>
      <c r="Q54" s="238" t="n"/>
    </row>
    <row r="55" ht="15" customFormat="1" customHeight="1" s="47">
      <c r="A55" s="48" t="n"/>
      <c r="B55" s="66" t="inlineStr">
        <is>
          <t xml:space="preserve">* Điều kiện thanh toán: Tạm ứng 15%, Thanh toán nagy khi hàng đến chân núi hoặc mở  bảo lãnh thanh toán </t>
        </is>
      </c>
      <c r="C55" s="66" t="n"/>
      <c r="D55" s="66" t="n"/>
      <c r="E55" s="66" t="n"/>
      <c r="F55" s="66" t="n"/>
      <c r="G55" s="66" t="n"/>
      <c r="H55" s="66" t="n"/>
      <c r="I55" s="48" t="n"/>
      <c r="J55" s="48" t="n"/>
      <c r="K55" s="48" t="n"/>
      <c r="L55" s="48" t="n"/>
      <c r="M55" s="237" t="n"/>
      <c r="N55" s="63" t="n"/>
      <c r="O55" s="64" t="n"/>
      <c r="P55" s="239" t="n"/>
      <c r="Q55" s="238" t="n"/>
    </row>
    <row r="56" ht="15" customFormat="1" customHeight="1" s="47">
      <c r="A56" s="48" t="n"/>
      <c r="B56" s="67" t="inlineStr">
        <is>
          <t>Xin vui lòng liên hệ với chúng tôi nếu quý khách có cần thêm các yêu cầu nào khác.</t>
        </is>
      </c>
      <c r="C56" s="67" t="n"/>
      <c r="D56" s="56" t="n"/>
      <c r="E56" s="56" t="n"/>
      <c r="F56" s="56" t="n"/>
      <c r="G56" s="62" t="n"/>
      <c r="H56" s="62" t="n"/>
      <c r="I56" s="48" t="n"/>
      <c r="J56" s="48" t="n"/>
      <c r="K56" s="48" t="n"/>
      <c r="L56" s="48" t="n"/>
      <c r="M56" s="237" t="n"/>
      <c r="N56" s="63" t="n"/>
      <c r="O56" s="64" t="n"/>
      <c r="P56" s="239" t="n"/>
      <c r="Q56" s="238" t="n"/>
    </row>
    <row r="57" ht="15" customFormat="1" customHeight="1" s="47">
      <c r="A57" s="48" t="n"/>
      <c r="B57" s="68" t="inlineStr">
        <is>
          <t xml:space="preserve"> Đơn vị thụ hưởng : </t>
        </is>
      </c>
      <c r="C57" s="68" t="n"/>
      <c r="D57" s="69" t="n"/>
      <c r="E57" s="69" t="n"/>
      <c r="F57" s="69" t="n"/>
      <c r="G57" s="70" t="n"/>
      <c r="H57" s="70" t="n"/>
      <c r="I57" s="48" t="n"/>
      <c r="J57" s="48" t="n"/>
      <c r="K57" s="48" t="n"/>
      <c r="L57" s="48" t="n"/>
      <c r="M57" s="237" t="n"/>
      <c r="N57" s="63" t="n"/>
      <c r="O57" s="64" t="n"/>
      <c r="P57" s="240" t="n"/>
      <c r="Q57" s="238" t="n"/>
    </row>
    <row r="58" ht="15" customFormat="1" customHeight="1" s="47">
      <c r="A58" s="48" t="n"/>
      <c r="B58" s="66" t="inlineStr">
        <is>
          <t>Công ty Cổ phần tập đoàn quốc tế Sland</t>
        </is>
      </c>
      <c r="C58" s="66" t="n"/>
      <c r="D58" s="66" t="n"/>
      <c r="E58" s="66" t="n"/>
      <c r="F58" s="66" t="n"/>
      <c r="G58" s="66" t="n"/>
      <c r="H58" s="66" t="n"/>
      <c r="I58" s="48" t="n"/>
      <c r="J58" s="48" t="n"/>
      <c r="K58" s="48" t="n"/>
      <c r="L58" s="48" t="n"/>
      <c r="M58" s="237" t="n"/>
      <c r="N58" s="63" t="n"/>
      <c r="O58" s="64" t="n"/>
      <c r="P58" s="240" t="n"/>
      <c r="Q58" s="238" t="n"/>
    </row>
    <row r="59" ht="15" customFormat="1" customHeight="1" s="47">
      <c r="A59" s="42" t="n"/>
      <c r="B59" s="66" t="inlineStr">
        <is>
          <t>Trụ sở: Thôn 1B, xã Nam Phù, TP Hà Nội</t>
        </is>
      </c>
      <c r="C59" s="66" t="n"/>
      <c r="D59" s="66" t="n"/>
      <c r="E59" s="66" t="n"/>
      <c r="F59" s="66" t="n"/>
      <c r="G59" s="66" t="n"/>
      <c r="H59" s="66" t="n"/>
      <c r="I59" s="48" t="n"/>
      <c r="J59" s="42" t="n"/>
      <c r="K59" s="42" t="n"/>
      <c r="L59" s="72" t="n"/>
      <c r="M59" s="159" t="n"/>
      <c r="Q59" s="238" t="n"/>
    </row>
    <row r="60" ht="15" customFormat="1" customHeight="1" s="47">
      <c r="A60" s="73" t="n"/>
      <c r="B60" s="74" t="inlineStr">
        <is>
          <t xml:space="preserve">- Số tài khoản : 1359 666 888 </t>
        </is>
      </c>
      <c r="C60" s="74" t="n"/>
      <c r="D60" s="66" t="n"/>
      <c r="E60" s="66" t="n"/>
      <c r="F60" s="66" t="n"/>
      <c r="G60" s="66" t="n"/>
      <c r="H60" s="66" t="n"/>
      <c r="I60" s="75" t="n"/>
      <c r="J60" s="73" t="n"/>
      <c r="K60" s="73" t="n"/>
      <c r="L60" s="73" t="n"/>
      <c r="M60" s="161" t="n"/>
      <c r="Q60" s="238" t="n"/>
    </row>
    <row r="61" ht="15" customFormat="1" customHeight="1" s="13">
      <c r="A61" s="76" t="n"/>
      <c r="B61" s="74" t="inlineStr">
        <is>
          <t>- Mở tại :  Ngân hàng TMCP Á Châu ( ACB ) chi nhánh Hà Nội</t>
        </is>
      </c>
      <c r="C61" s="74" t="n"/>
      <c r="D61" s="66" t="n"/>
      <c r="E61" s="66" t="n"/>
      <c r="F61" s="66" t="n"/>
      <c r="G61" s="66" t="n"/>
      <c r="H61" s="66" t="n"/>
      <c r="I61" s="75" t="n"/>
      <c r="J61" s="241" t="n"/>
      <c r="K61" s="241" t="n"/>
      <c r="L61" s="78" t="n"/>
      <c r="M61" s="242" t="n"/>
      <c r="Q61" s="243" t="n"/>
    </row>
    <row r="62" ht="15" customFormat="1" customHeight="1" s="47">
      <c r="A62" s="39" t="n"/>
      <c r="B62" s="80" t="n"/>
      <c r="C62" s="80" t="n"/>
      <c r="D62" s="69" t="n"/>
      <c r="E62" s="69" t="n"/>
      <c r="F62" s="69" t="n"/>
      <c r="G62" s="70" t="n"/>
      <c r="H62" s="70" t="n"/>
      <c r="I62" s="241" t="n"/>
      <c r="J62" s="41" t="n"/>
      <c r="K62" s="42" t="n"/>
      <c r="L62" s="43" t="n"/>
      <c r="M62" s="232" t="n"/>
      <c r="N62" s="81" t="n"/>
      <c r="O62" s="81" t="n"/>
      <c r="P62" s="244" t="n"/>
      <c r="Q62" s="238" t="n"/>
    </row>
    <row r="63" ht="15" customFormat="1" customHeight="1" s="47">
      <c r="A63" s="39" t="n"/>
      <c r="B63" s="40" t="n"/>
      <c r="C63" s="40" t="n"/>
      <c r="D63" s="41" t="n"/>
      <c r="E63" s="41" t="n"/>
      <c r="F63" s="41" t="n"/>
      <c r="G63" s="41" t="n"/>
      <c r="H63" s="41" t="n"/>
      <c r="I63" s="41" t="n"/>
      <c r="J63" s="41" t="n"/>
      <c r="K63" s="41" t="n"/>
      <c r="L63" s="42" t="n"/>
      <c r="M63" s="43" t="n"/>
      <c r="N63" s="232" t="n"/>
      <c r="O63" s="233" t="n"/>
      <c r="P63" s="233" t="n"/>
      <c r="Q63" s="234" t="n"/>
    </row>
    <row r="64" ht="15" customFormat="1" customHeight="1" s="47">
      <c r="A64" s="39" t="n"/>
      <c r="B64" s="40" t="n"/>
      <c r="C64" s="40" t="n"/>
      <c r="D64" s="41" t="n"/>
      <c r="E64" s="41" t="n"/>
      <c r="F64" s="41" t="n"/>
      <c r="G64" s="41" t="n"/>
      <c r="H64" s="41" t="n"/>
      <c r="I64" s="41" t="n"/>
      <c r="J64" s="41" t="n"/>
      <c r="K64" s="41" t="n"/>
      <c r="L64" s="42" t="n"/>
      <c r="M64" s="43" t="n"/>
      <c r="N64" s="232" t="n"/>
      <c r="O64" s="233" t="n"/>
      <c r="P64" s="233" t="n"/>
      <c r="Q64" s="234" t="n"/>
    </row>
    <row r="65" ht="15" customFormat="1" customHeight="1" s="47">
      <c r="A65" s="39" t="n"/>
      <c r="B65" s="40" t="n"/>
      <c r="C65" s="40" t="n"/>
      <c r="D65" s="41" t="n"/>
      <c r="E65" s="41" t="n"/>
      <c r="F65" s="41" t="n"/>
      <c r="G65" s="41" t="n"/>
      <c r="H65" s="41" t="n"/>
      <c r="I65" s="41" t="n"/>
      <c r="J65" s="41" t="n"/>
      <c r="K65" s="41" t="n"/>
      <c r="L65" s="42" t="n"/>
      <c r="M65" s="43" t="n"/>
      <c r="N65" s="232" t="n"/>
      <c r="O65" s="233" t="n"/>
      <c r="P65" s="233" t="n"/>
      <c r="Q65" s="234" t="n"/>
    </row>
    <row r="66" ht="15" customFormat="1" customHeight="1" s="47">
      <c r="A66" s="39" t="n"/>
      <c r="B66" s="40" t="n"/>
      <c r="C66" s="40" t="n"/>
      <c r="D66" s="41" t="n"/>
      <c r="E66" s="41" t="n"/>
      <c r="F66" s="41" t="n"/>
      <c r="G66" s="41" t="n"/>
      <c r="H66" s="41" t="n"/>
      <c r="I66" s="41" t="n"/>
      <c r="J66" s="41" t="n"/>
      <c r="K66" s="41" t="n"/>
      <c r="L66" s="42" t="n"/>
      <c r="M66" s="43" t="n"/>
      <c r="N66" s="232" t="n"/>
      <c r="O66" s="233" t="n"/>
      <c r="P66" s="233" t="n"/>
      <c r="Q66" s="234" t="n"/>
    </row>
    <row r="67" ht="15" customFormat="1" customHeight="1" s="47">
      <c r="A67" s="39" t="n"/>
      <c r="B67" s="40" t="n"/>
      <c r="C67" s="40" t="n"/>
      <c r="D67" s="41" t="n"/>
      <c r="E67" s="41" t="n"/>
      <c r="F67" s="41" t="n"/>
      <c r="G67" s="41" t="n"/>
      <c r="H67" s="41" t="n"/>
      <c r="I67" s="41" t="n"/>
      <c r="J67" s="41" t="n"/>
      <c r="K67" s="41" t="n"/>
      <c r="L67" s="42" t="n"/>
      <c r="M67" s="43" t="n"/>
      <c r="N67" s="232" t="n"/>
      <c r="O67" s="233" t="n"/>
      <c r="P67" s="233" t="n"/>
      <c r="Q67" s="234" t="n"/>
    </row>
    <row r="68" ht="15" customFormat="1" customHeight="1" s="47">
      <c r="A68" s="39" t="n"/>
      <c r="B68" s="40" t="n"/>
      <c r="C68" s="40" t="n"/>
      <c r="D68" s="41" t="n"/>
      <c r="E68" s="41" t="n"/>
      <c r="F68" s="41" t="n"/>
      <c r="G68" s="41" t="n"/>
      <c r="H68" s="41" t="n"/>
      <c r="I68" s="41" t="n"/>
      <c r="J68" s="41" t="n"/>
      <c r="K68" s="41" t="n"/>
      <c r="L68" s="42" t="n"/>
      <c r="M68" s="43" t="n"/>
      <c r="N68" s="232" t="n"/>
      <c r="O68" s="233" t="n"/>
      <c r="P68" s="233" t="n"/>
      <c r="Q68" s="234" t="n"/>
    </row>
    <row r="69" ht="15" customFormat="1" customHeight="1" s="47">
      <c r="A69" s="39" t="n"/>
      <c r="B69" s="40" t="n"/>
      <c r="C69" s="40" t="n"/>
      <c r="D69" s="41" t="n"/>
      <c r="E69" s="41" t="n"/>
      <c r="F69" s="41" t="n"/>
      <c r="G69" s="41" t="n"/>
      <c r="H69" s="41" t="n"/>
      <c r="I69" s="41" t="n"/>
      <c r="J69" s="41" t="n"/>
      <c r="K69" s="41" t="n"/>
      <c r="L69" s="42" t="n"/>
      <c r="M69" s="43" t="n"/>
      <c r="N69" s="232" t="n"/>
      <c r="O69" s="233" t="n"/>
      <c r="P69" s="233" t="n"/>
      <c r="Q69" s="234" t="n"/>
    </row>
    <row r="70" ht="15" customFormat="1" customHeight="1" s="47">
      <c r="A70" s="39" t="n"/>
      <c r="B70" s="40" t="n"/>
      <c r="C70" s="40" t="n"/>
      <c r="D70" s="41" t="n"/>
      <c r="E70" s="41" t="n"/>
      <c r="F70" s="41" t="n"/>
      <c r="G70" s="41" t="n"/>
      <c r="H70" s="41" t="n"/>
      <c r="I70" s="41" t="n"/>
      <c r="J70" s="41" t="n"/>
      <c r="K70" s="41" t="n"/>
      <c r="L70" s="42" t="n"/>
      <c r="M70" s="43" t="n"/>
      <c r="N70" s="232" t="n"/>
      <c r="O70" s="233" t="n"/>
      <c r="P70" s="233" t="n"/>
      <c r="Q70" s="234" t="n"/>
    </row>
    <row r="71" ht="13.2" customFormat="1" customHeight="1" s="47">
      <c r="A71" s="39" t="n"/>
      <c r="B71" s="40" t="n"/>
      <c r="C71" s="40" t="n"/>
      <c r="D71" s="41" t="n"/>
      <c r="E71" s="41" t="n"/>
      <c r="F71" s="41" t="n"/>
      <c r="G71" s="41" t="n"/>
      <c r="H71" s="41" t="n"/>
      <c r="I71" s="41" t="n"/>
      <c r="J71" s="41" t="n"/>
      <c r="K71" s="41" t="n"/>
      <c r="L71" s="42" t="n"/>
      <c r="M71" s="43" t="n"/>
      <c r="N71" s="232" t="n"/>
      <c r="O71" s="233" t="n"/>
      <c r="P71" s="233" t="n"/>
      <c r="Q71" s="234" t="n"/>
    </row>
    <row r="72" ht="13.2" customFormat="1" customHeight="1" s="47">
      <c r="A72" s="39" t="n"/>
      <c r="B72" s="40" t="n"/>
      <c r="C72" s="40" t="n"/>
      <c r="D72" s="41" t="n"/>
      <c r="E72" s="41" t="n"/>
      <c r="F72" s="41" t="n"/>
      <c r="G72" s="41" t="n"/>
      <c r="H72" s="41" t="n"/>
      <c r="I72" s="41" t="n"/>
      <c r="J72" s="41" t="n"/>
      <c r="K72" s="41" t="n"/>
      <c r="L72" s="42" t="n"/>
      <c r="M72" s="43" t="n"/>
      <c r="N72" s="232" t="n"/>
      <c r="O72" s="233" t="n"/>
      <c r="P72" s="233" t="n"/>
      <c r="Q72" s="234" t="n"/>
    </row>
    <row r="73" ht="13.2" customFormat="1" customHeight="1" s="47">
      <c r="B73" s="83" t="n"/>
      <c r="C73" s="83" t="n"/>
      <c r="D73" s="84" t="n"/>
      <c r="E73" s="84" t="n"/>
      <c r="F73" s="84" t="n"/>
      <c r="G73" s="84" t="n"/>
      <c r="H73" s="84" t="n"/>
      <c r="I73" s="84" t="n"/>
      <c r="J73" s="84" t="n"/>
      <c r="K73" s="84" t="n"/>
      <c r="L73" s="85" t="n"/>
      <c r="M73" s="86" t="n"/>
      <c r="N73" s="245" t="n"/>
      <c r="O73" s="238" t="n"/>
      <c r="P73" s="238" t="n"/>
      <c r="Q73" s="246" t="n"/>
    </row>
    <row r="74" ht="13.2" customFormat="1" customHeight="1" s="47">
      <c r="B74" s="83" t="n"/>
      <c r="C74" s="83" t="n"/>
      <c r="D74" s="84" t="n"/>
      <c r="E74" s="84" t="n"/>
      <c r="F74" s="84" t="n"/>
      <c r="G74" s="84" t="n"/>
      <c r="H74" s="84" t="n"/>
      <c r="I74" s="84" t="n"/>
      <c r="J74" s="84" t="n"/>
      <c r="K74" s="84" t="n"/>
      <c r="L74" s="85" t="n"/>
      <c r="M74" s="86" t="n"/>
      <c r="N74" s="245" t="n"/>
      <c r="O74" s="238" t="n"/>
      <c r="P74" s="238" t="n"/>
      <c r="Q74" s="246" t="n"/>
    </row>
    <row r="75" ht="13.2" customFormat="1" customHeight="1" s="47">
      <c r="B75" s="83" t="n"/>
      <c r="C75" s="83" t="n"/>
      <c r="D75" s="84" t="n"/>
      <c r="E75" s="84" t="n"/>
      <c r="F75" s="84" t="n"/>
      <c r="G75" s="84" t="n"/>
      <c r="H75" s="84" t="n"/>
      <c r="I75" s="84" t="n"/>
      <c r="J75" s="84" t="n"/>
      <c r="K75" s="84" t="n"/>
      <c r="L75" s="85" t="n"/>
      <c r="M75" s="86" t="n"/>
      <c r="N75" s="245" t="n"/>
      <c r="O75" s="238" t="n"/>
      <c r="P75" s="238" t="n"/>
      <c r="Q75" s="246" t="n"/>
    </row>
    <row r="76" ht="13.2" customFormat="1" customHeight="1" s="47">
      <c r="B76" s="83" t="n"/>
      <c r="C76" s="83" t="n"/>
      <c r="D76" s="84" t="n"/>
      <c r="E76" s="84" t="n"/>
      <c r="F76" s="84" t="n"/>
      <c r="G76" s="84" t="n"/>
      <c r="H76" s="84" t="n"/>
      <c r="I76" s="84" t="n"/>
      <c r="J76" s="84" t="n"/>
      <c r="K76" s="84" t="n"/>
      <c r="L76" s="85" t="n"/>
      <c r="M76" s="86" t="n"/>
      <c r="N76" s="245" t="n"/>
      <c r="O76" s="238" t="n"/>
      <c r="P76" s="238" t="n"/>
      <c r="Q76" s="246" t="n"/>
    </row>
    <row r="77" ht="13.2" customFormat="1" customHeight="1" s="47">
      <c r="B77" s="83" t="n"/>
      <c r="C77" s="83" t="n"/>
      <c r="D77" s="84" t="n"/>
      <c r="E77" s="84" t="n"/>
      <c r="F77" s="84" t="n"/>
      <c r="G77" s="84" t="n"/>
      <c r="H77" s="84" t="n"/>
      <c r="I77" s="84" t="n"/>
      <c r="J77" s="84" t="n"/>
      <c r="K77" s="84" t="n"/>
      <c r="L77" s="85" t="n"/>
      <c r="M77" s="86" t="n"/>
      <c r="N77" s="245" t="n"/>
      <c r="O77" s="238" t="n"/>
      <c r="P77" s="238" t="n"/>
      <c r="Q77" s="246" t="n"/>
    </row>
    <row r="78" ht="13.2" customFormat="1" customHeight="1" s="47">
      <c r="B78" s="83" t="n"/>
      <c r="C78" s="83" t="n"/>
      <c r="D78" s="84" t="n"/>
      <c r="E78" s="84" t="n"/>
      <c r="F78" s="84" t="n"/>
      <c r="G78" s="84" t="n"/>
      <c r="H78" s="84" t="n"/>
      <c r="I78" s="84" t="n"/>
      <c r="J78" s="84" t="n"/>
      <c r="K78" s="84" t="n"/>
      <c r="L78" s="85" t="n"/>
      <c r="M78" s="86" t="n"/>
      <c r="N78" s="245" t="n"/>
      <c r="O78" s="238" t="n"/>
      <c r="P78" s="238" t="n"/>
      <c r="Q78" s="246" t="n"/>
    </row>
    <row r="79" ht="13.2" customFormat="1" customHeight="1" s="47">
      <c r="B79" s="83" t="n"/>
      <c r="C79" s="83" t="n"/>
      <c r="D79" s="84" t="n"/>
      <c r="E79" s="84" t="n"/>
      <c r="F79" s="84" t="n"/>
      <c r="G79" s="84" t="n"/>
      <c r="H79" s="84" t="n"/>
      <c r="I79" s="84" t="n"/>
      <c r="J79" s="84" t="n"/>
      <c r="K79" s="84" t="n"/>
      <c r="L79" s="85" t="n"/>
      <c r="M79" s="86" t="n"/>
      <c r="N79" s="245" t="n"/>
      <c r="O79" s="238" t="n"/>
      <c r="P79" s="238" t="n"/>
      <c r="Q79" s="246" t="n"/>
    </row>
    <row r="80" ht="13.2" customFormat="1" customHeight="1" s="47">
      <c r="B80" s="83" t="n"/>
      <c r="C80" s="83" t="n"/>
      <c r="D80" s="84" t="n"/>
      <c r="E80" s="84" t="n"/>
      <c r="F80" s="84" t="n"/>
      <c r="G80" s="84" t="n"/>
      <c r="H80" s="84" t="n"/>
      <c r="I80" s="84" t="n"/>
      <c r="J80" s="84" t="n"/>
      <c r="K80" s="84" t="n"/>
      <c r="L80" s="85" t="n"/>
      <c r="M80" s="86" t="n"/>
      <c r="N80" s="245" t="n"/>
      <c r="O80" s="238" t="n"/>
      <c r="P80" s="238" t="n"/>
      <c r="Q80" s="246" t="n"/>
    </row>
    <row r="81" ht="13.2" customFormat="1" customHeight="1" s="47">
      <c r="B81" s="83" t="n"/>
      <c r="C81" s="83" t="n"/>
      <c r="D81" s="84" t="n"/>
      <c r="E81" s="84" t="n"/>
      <c r="F81" s="84" t="n"/>
      <c r="G81" s="84" t="n"/>
      <c r="H81" s="84" t="n"/>
      <c r="I81" s="84" t="n"/>
      <c r="J81" s="84" t="n"/>
      <c r="K81" s="84" t="n"/>
      <c r="L81" s="85" t="n"/>
      <c r="M81" s="86" t="n"/>
      <c r="N81" s="245" t="n"/>
      <c r="O81" s="238" t="n"/>
      <c r="P81" s="238" t="n"/>
      <c r="Q81" s="246" t="n"/>
    </row>
    <row r="82" ht="13.2" customFormat="1" customHeight="1" s="47">
      <c r="B82" s="83" t="n"/>
      <c r="C82" s="83" t="n"/>
      <c r="D82" s="84" t="n"/>
      <c r="E82" s="84" t="n"/>
      <c r="F82" s="84" t="n"/>
      <c r="G82" s="84" t="n"/>
      <c r="H82" s="84" t="n"/>
      <c r="I82" s="84" t="n"/>
      <c r="J82" s="84" t="n"/>
      <c r="K82" s="84" t="n"/>
      <c r="L82" s="85" t="n"/>
      <c r="M82" s="86" t="n"/>
      <c r="N82" s="245" t="n"/>
      <c r="O82" s="238" t="n"/>
      <c r="P82" s="238" t="n"/>
      <c r="Q82" s="246" t="n"/>
    </row>
    <row r="83" ht="13.2" customFormat="1" customHeight="1" s="47">
      <c r="B83" s="83" t="n"/>
      <c r="C83" s="83" t="n"/>
      <c r="D83" s="84" t="n"/>
      <c r="E83" s="84" t="n"/>
      <c r="F83" s="84" t="n"/>
      <c r="G83" s="84" t="n"/>
      <c r="H83" s="84" t="n"/>
      <c r="I83" s="84" t="n"/>
      <c r="J83" s="84" t="n"/>
      <c r="K83" s="84" t="n"/>
      <c r="L83" s="85" t="n"/>
      <c r="M83" s="86" t="n"/>
      <c r="N83" s="245" t="n"/>
      <c r="O83" s="238" t="n"/>
      <c r="P83" s="238" t="n"/>
      <c r="Q83" s="246" t="n"/>
    </row>
    <row r="84" ht="13.2" customFormat="1" customHeight="1" s="47">
      <c r="B84" s="83" t="n"/>
      <c r="C84" s="83" t="n"/>
      <c r="D84" s="84" t="n"/>
      <c r="E84" s="84" t="n"/>
      <c r="F84" s="84" t="n"/>
      <c r="G84" s="84" t="n"/>
      <c r="H84" s="84" t="n"/>
      <c r="I84" s="84" t="n"/>
      <c r="J84" s="84" t="n"/>
      <c r="K84" s="84" t="n"/>
      <c r="L84" s="85" t="n"/>
      <c r="M84" s="86" t="n"/>
      <c r="N84" s="245" t="n"/>
      <c r="O84" s="238" t="n"/>
      <c r="P84" s="238" t="n"/>
      <c r="Q84" s="246" t="n"/>
    </row>
    <row r="85" ht="13.2" customFormat="1" customHeight="1" s="47">
      <c r="B85" s="83" t="n"/>
      <c r="C85" s="83" t="n"/>
      <c r="D85" s="84" t="n"/>
      <c r="E85" s="84" t="n"/>
      <c r="F85" s="84" t="n"/>
      <c r="G85" s="84" t="n"/>
      <c r="H85" s="84" t="n"/>
      <c r="I85" s="84" t="n"/>
      <c r="J85" s="84" t="n"/>
      <c r="K85" s="84" t="n"/>
      <c r="L85" s="85" t="n"/>
      <c r="M85" s="86" t="n"/>
      <c r="N85" s="245" t="n"/>
      <c r="O85" s="238" t="n"/>
      <c r="P85" s="238" t="n"/>
      <c r="Q85" s="246" t="n"/>
    </row>
    <row r="86" ht="13.2" customFormat="1" customHeight="1" s="47">
      <c r="B86" s="83" t="n"/>
      <c r="C86" s="83" t="n"/>
      <c r="D86" s="84" t="n"/>
      <c r="E86" s="84" t="n"/>
      <c r="F86" s="84" t="n"/>
      <c r="G86" s="84" t="n"/>
      <c r="H86" s="84" t="n"/>
      <c r="I86" s="84" t="n"/>
      <c r="J86" s="84" t="n"/>
      <c r="K86" s="84" t="n"/>
      <c r="L86" s="85" t="n"/>
      <c r="M86" s="86" t="n"/>
      <c r="N86" s="245" t="n"/>
      <c r="O86" s="238" t="n"/>
      <c r="P86" s="238" t="n"/>
      <c r="Q86" s="246" t="n"/>
    </row>
    <row r="87" ht="13.2" customFormat="1" customHeight="1" s="47">
      <c r="B87" s="83" t="n"/>
      <c r="C87" s="83" t="n"/>
      <c r="D87" s="84" t="n"/>
      <c r="E87" s="84" t="n"/>
      <c r="F87" s="84" t="n"/>
      <c r="G87" s="84" t="n"/>
      <c r="H87" s="84" t="n"/>
      <c r="I87" s="84" t="n"/>
      <c r="J87" s="84" t="n"/>
      <c r="K87" s="84" t="n"/>
      <c r="L87" s="85" t="n"/>
      <c r="M87" s="86" t="n"/>
      <c r="N87" s="245" t="n"/>
      <c r="O87" s="238" t="n"/>
      <c r="P87" s="238" t="n"/>
      <c r="Q87" s="246" t="n"/>
    </row>
    <row r="88" ht="13.2" customFormat="1" customHeight="1" s="47">
      <c r="B88" s="83" t="n"/>
      <c r="C88" s="83" t="n"/>
      <c r="D88" s="84" t="n"/>
      <c r="E88" s="84" t="n"/>
      <c r="F88" s="84" t="n"/>
      <c r="G88" s="84" t="n"/>
      <c r="H88" s="84" t="n"/>
      <c r="I88" s="84" t="n"/>
      <c r="J88" s="84" t="n"/>
      <c r="K88" s="84" t="n"/>
      <c r="L88" s="85" t="n"/>
      <c r="M88" s="86" t="n"/>
      <c r="N88" s="245" t="n"/>
      <c r="O88" s="238" t="n"/>
      <c r="P88" s="238" t="n"/>
      <c r="Q88" s="246" t="n"/>
    </row>
    <row r="89" ht="13.2" customFormat="1" customHeight="1" s="47">
      <c r="B89" s="83" t="n"/>
      <c r="C89" s="83" t="n"/>
      <c r="D89" s="84" t="n"/>
      <c r="E89" s="84" t="n"/>
      <c r="F89" s="84" t="n"/>
      <c r="G89" s="84" t="n"/>
      <c r="H89" s="84" t="n"/>
      <c r="I89" s="84" t="n"/>
      <c r="J89" s="84" t="n"/>
      <c r="K89" s="84" t="n"/>
      <c r="L89" s="85" t="n"/>
      <c r="M89" s="86" t="n"/>
      <c r="N89" s="245" t="n"/>
      <c r="O89" s="238" t="n"/>
      <c r="P89" s="238" t="n"/>
      <c r="Q89" s="246" t="n"/>
    </row>
    <row r="90" ht="13.2" customFormat="1" customHeight="1" s="47">
      <c r="B90" s="83" t="n"/>
      <c r="C90" s="83" t="n"/>
      <c r="D90" s="84" t="n"/>
      <c r="E90" s="84" t="n"/>
      <c r="F90" s="84" t="n"/>
      <c r="G90" s="84" t="n"/>
      <c r="H90" s="84" t="n"/>
      <c r="I90" s="84" t="n"/>
      <c r="J90" s="84" t="n"/>
      <c r="K90" s="84" t="n"/>
      <c r="L90" s="85" t="n"/>
      <c r="M90" s="86" t="n"/>
      <c r="N90" s="245" t="n"/>
      <c r="O90" s="238" t="n"/>
      <c r="P90" s="238" t="n"/>
      <c r="Q90" s="246" t="n"/>
    </row>
    <row r="91" ht="13.2" customFormat="1" customHeight="1" s="47">
      <c r="B91" s="83" t="n"/>
      <c r="C91" s="83" t="n"/>
      <c r="D91" s="84" t="n"/>
      <c r="E91" s="84" t="n"/>
      <c r="F91" s="84" t="n"/>
      <c r="G91" s="84" t="n"/>
      <c r="H91" s="84" t="n"/>
      <c r="I91" s="84" t="n"/>
      <c r="J91" s="84" t="n"/>
      <c r="K91" s="84" t="n"/>
      <c r="L91" s="85" t="n"/>
      <c r="M91" s="86" t="n"/>
      <c r="N91" s="245" t="n"/>
      <c r="O91" s="238" t="n"/>
      <c r="P91" s="238" t="n"/>
      <c r="Q91" s="246" t="n"/>
    </row>
    <row r="92" ht="13.2" customFormat="1" customHeight="1" s="47">
      <c r="B92" s="83" t="n"/>
      <c r="C92" s="83" t="n"/>
      <c r="D92" s="84" t="n"/>
      <c r="E92" s="84" t="n"/>
      <c r="F92" s="84" t="n"/>
      <c r="G92" s="84" t="n"/>
      <c r="H92" s="84" t="n"/>
      <c r="I92" s="84" t="n"/>
      <c r="J92" s="84" t="n"/>
      <c r="K92" s="84" t="n"/>
      <c r="L92" s="85" t="n"/>
      <c r="M92" s="86" t="n"/>
      <c r="N92" s="245" t="n"/>
      <c r="O92" s="238" t="n"/>
      <c r="P92" s="238" t="n"/>
      <c r="Q92" s="246" t="n"/>
    </row>
    <row r="93" ht="13.2" customFormat="1" customHeight="1" s="47">
      <c r="B93" s="83" t="n"/>
      <c r="C93" s="83" t="n"/>
      <c r="D93" s="84" t="n"/>
      <c r="E93" s="84" t="n"/>
      <c r="F93" s="84" t="n"/>
      <c r="G93" s="84" t="n"/>
      <c r="H93" s="84" t="n"/>
      <c r="I93" s="84" t="n"/>
      <c r="J93" s="84" t="n"/>
      <c r="K93" s="84" t="n"/>
      <c r="L93" s="85" t="n"/>
      <c r="M93" s="86" t="n"/>
      <c r="N93" s="245" t="n"/>
      <c r="O93" s="238" t="n"/>
      <c r="P93" s="238" t="n"/>
      <c r="Q93" s="246" t="n"/>
    </row>
    <row r="94" ht="13.2" customFormat="1" customHeight="1" s="47">
      <c r="B94" s="83" t="n"/>
      <c r="C94" s="83" t="n"/>
      <c r="D94" s="84" t="n"/>
      <c r="E94" s="84" t="n"/>
      <c r="F94" s="84" t="n"/>
      <c r="G94" s="84" t="n"/>
      <c r="H94" s="84" t="n"/>
      <c r="I94" s="84" t="n"/>
      <c r="J94" s="84" t="n"/>
      <c r="K94" s="84" t="n"/>
      <c r="L94" s="85" t="n"/>
      <c r="M94" s="86" t="n"/>
      <c r="N94" s="245" t="n"/>
      <c r="O94" s="238" t="n"/>
      <c r="P94" s="238" t="n"/>
      <c r="Q94" s="246" t="n"/>
    </row>
    <row r="95" ht="13.2" customFormat="1" customHeight="1" s="47">
      <c r="B95" s="83" t="n"/>
      <c r="C95" s="83" t="n"/>
      <c r="D95" s="84" t="n"/>
      <c r="E95" s="84" t="n"/>
      <c r="F95" s="84" t="n"/>
      <c r="G95" s="84" t="n"/>
      <c r="H95" s="84" t="n"/>
      <c r="I95" s="84" t="n"/>
      <c r="J95" s="84" t="n"/>
      <c r="K95" s="84" t="n"/>
      <c r="L95" s="85" t="n"/>
      <c r="M95" s="86" t="n"/>
      <c r="N95" s="245" t="n"/>
      <c r="O95" s="238" t="n"/>
      <c r="P95" s="238" t="n"/>
      <c r="Q95" s="246" t="n"/>
    </row>
    <row r="96" ht="13.2" customFormat="1" customHeight="1" s="47">
      <c r="B96" s="83" t="n"/>
      <c r="C96" s="83" t="n"/>
      <c r="D96" s="84" t="n"/>
      <c r="E96" s="84" t="n"/>
      <c r="F96" s="84" t="n"/>
      <c r="G96" s="84" t="n"/>
      <c r="H96" s="84" t="n"/>
      <c r="I96" s="84" t="n"/>
      <c r="J96" s="84" t="n"/>
      <c r="K96" s="84" t="n"/>
      <c r="L96" s="85" t="n"/>
      <c r="M96" s="86" t="n"/>
      <c r="N96" s="245" t="n"/>
      <c r="O96" s="238" t="n"/>
      <c r="P96" s="238" t="n"/>
      <c r="Q96" s="246" t="n"/>
    </row>
    <row r="97" ht="13.2" customFormat="1" customHeight="1" s="47">
      <c r="B97" s="83" t="n"/>
      <c r="C97" s="83" t="n"/>
      <c r="D97" s="84" t="n"/>
      <c r="E97" s="84" t="n"/>
      <c r="F97" s="84" t="n"/>
      <c r="G97" s="84" t="n"/>
      <c r="H97" s="84" t="n"/>
      <c r="I97" s="84" t="n"/>
      <c r="J97" s="84" t="n"/>
      <c r="K97" s="84" t="n"/>
      <c r="L97" s="85" t="n"/>
      <c r="M97" s="86" t="n"/>
      <c r="N97" s="245" t="n"/>
      <c r="O97" s="238" t="n"/>
      <c r="P97" s="238" t="n"/>
      <c r="Q97" s="246" t="n"/>
    </row>
    <row r="98" ht="13.2" customFormat="1" customHeight="1" s="47">
      <c r="B98" s="83" t="n"/>
      <c r="C98" s="83" t="n"/>
      <c r="D98" s="84" t="n"/>
      <c r="E98" s="84" t="n"/>
      <c r="F98" s="84" t="n"/>
      <c r="G98" s="84" t="n"/>
      <c r="H98" s="84" t="n"/>
      <c r="I98" s="84" t="n"/>
      <c r="J98" s="84" t="n"/>
      <c r="K98" s="84" t="n"/>
      <c r="L98" s="85" t="n"/>
      <c r="M98" s="86" t="n"/>
      <c r="N98" s="245" t="n"/>
      <c r="O98" s="238" t="n"/>
      <c r="P98" s="238" t="n"/>
      <c r="Q98" s="246" t="n"/>
    </row>
    <row r="99" ht="13.2" customFormat="1" customHeight="1" s="47">
      <c r="B99" s="83" t="n"/>
      <c r="C99" s="83" t="n"/>
      <c r="D99" s="84" t="n"/>
      <c r="E99" s="84" t="n"/>
      <c r="F99" s="84" t="n"/>
      <c r="G99" s="84" t="n"/>
      <c r="H99" s="84" t="n"/>
      <c r="I99" s="84" t="n"/>
      <c r="J99" s="84" t="n"/>
      <c r="K99" s="84" t="n"/>
      <c r="L99" s="85" t="n"/>
      <c r="M99" s="86" t="n"/>
      <c r="N99" s="245" t="n"/>
      <c r="O99" s="238" t="n"/>
      <c r="P99" s="238" t="n"/>
      <c r="Q99" s="246" t="n"/>
    </row>
    <row r="100" ht="13.2" customFormat="1" customHeight="1" s="47">
      <c r="B100" s="83" t="n"/>
      <c r="C100" s="83" t="n"/>
      <c r="D100" s="84" t="n"/>
      <c r="E100" s="84" t="n"/>
      <c r="F100" s="84" t="n"/>
      <c r="G100" s="84" t="n"/>
      <c r="H100" s="84" t="n"/>
      <c r="I100" s="84" t="n"/>
      <c r="J100" s="84" t="n"/>
      <c r="K100" s="84" t="n"/>
      <c r="L100" s="85" t="n"/>
      <c r="M100" s="86" t="n"/>
      <c r="N100" s="245" t="n"/>
      <c r="O100" s="238" t="n"/>
      <c r="P100" s="238" t="n"/>
      <c r="Q100" s="246" t="n"/>
    </row>
    <row r="101" ht="13.2" customFormat="1" customHeight="1" s="47">
      <c r="B101" s="83" t="n"/>
      <c r="C101" s="83" t="n"/>
      <c r="D101" s="84" t="n"/>
      <c r="E101" s="84" t="n"/>
      <c r="F101" s="84" t="n"/>
      <c r="G101" s="84" t="n"/>
      <c r="H101" s="84" t="n"/>
      <c r="I101" s="84" t="n"/>
      <c r="J101" s="84" t="n"/>
      <c r="K101" s="84" t="n"/>
      <c r="L101" s="85" t="n"/>
      <c r="M101" s="86" t="n"/>
      <c r="N101" s="245" t="n"/>
      <c r="O101" s="238" t="n"/>
      <c r="P101" s="238" t="n"/>
      <c r="Q101" s="246" t="n"/>
    </row>
    <row r="102" ht="13.2" customFormat="1" customHeight="1" s="47">
      <c r="B102" s="83" t="n"/>
      <c r="C102" s="83" t="n"/>
      <c r="D102" s="84" t="n"/>
      <c r="E102" s="84" t="n"/>
      <c r="F102" s="84" t="n"/>
      <c r="G102" s="84" t="n"/>
      <c r="H102" s="84" t="n"/>
      <c r="I102" s="84" t="n"/>
      <c r="J102" s="84" t="n"/>
      <c r="K102" s="84" t="n"/>
      <c r="L102" s="85" t="n"/>
      <c r="M102" s="86" t="n"/>
      <c r="N102" s="245" t="n"/>
      <c r="O102" s="238" t="n"/>
      <c r="P102" s="238" t="n"/>
      <c r="Q102" s="246" t="n"/>
    </row>
    <row r="103" ht="13.2" customFormat="1" customHeight="1" s="47">
      <c r="B103" s="83" t="n"/>
      <c r="C103" s="83" t="n"/>
      <c r="D103" s="84" t="n"/>
      <c r="E103" s="84" t="n"/>
      <c r="F103" s="84" t="n"/>
      <c r="G103" s="84" t="n"/>
      <c r="H103" s="84" t="n"/>
      <c r="I103" s="84" t="n"/>
      <c r="J103" s="84" t="n"/>
      <c r="K103" s="84" t="n"/>
      <c r="L103" s="85" t="n"/>
      <c r="M103" s="86" t="n"/>
      <c r="N103" s="245" t="n"/>
      <c r="O103" s="238" t="n"/>
      <c r="P103" s="238" t="n"/>
      <c r="Q103" s="246" t="n"/>
    </row>
    <row r="104" ht="13.2" customFormat="1" customHeight="1" s="47">
      <c r="B104" s="83" t="n"/>
      <c r="C104" s="83" t="n"/>
      <c r="D104" s="84" t="n"/>
      <c r="E104" s="84" t="n"/>
      <c r="F104" s="84" t="n"/>
      <c r="G104" s="84" t="n"/>
      <c r="H104" s="84" t="n"/>
      <c r="I104" s="84" t="n"/>
      <c r="J104" s="84" t="n"/>
      <c r="K104" s="84" t="n"/>
      <c r="L104" s="85" t="n"/>
      <c r="M104" s="86" t="n"/>
      <c r="N104" s="245" t="n"/>
      <c r="O104" s="238" t="n"/>
      <c r="P104" s="238" t="n"/>
      <c r="Q104" s="246" t="n"/>
    </row>
    <row r="105" ht="13.2" customFormat="1" customHeight="1" s="47">
      <c r="B105" s="83" t="n"/>
      <c r="C105" s="83" t="n"/>
      <c r="D105" s="84" t="n"/>
      <c r="E105" s="84" t="n"/>
      <c r="F105" s="84" t="n"/>
      <c r="G105" s="84" t="n"/>
      <c r="H105" s="84" t="n"/>
      <c r="I105" s="84" t="n"/>
      <c r="J105" s="84" t="n"/>
      <c r="K105" s="84" t="n"/>
      <c r="L105" s="85" t="n"/>
      <c r="M105" s="86" t="n"/>
      <c r="N105" s="245" t="n"/>
      <c r="O105" s="238" t="n"/>
      <c r="P105" s="238" t="n"/>
      <c r="Q105" s="246" t="n"/>
    </row>
    <row r="106" ht="13.2" customFormat="1" customHeight="1" s="47">
      <c r="B106" s="83" t="n"/>
      <c r="C106" s="83" t="n"/>
      <c r="D106" s="84" t="n"/>
      <c r="E106" s="84" t="n"/>
      <c r="F106" s="84" t="n"/>
      <c r="G106" s="84" t="n"/>
      <c r="H106" s="84" t="n"/>
      <c r="I106" s="84" t="n"/>
      <c r="J106" s="84" t="n"/>
      <c r="K106" s="84" t="n"/>
      <c r="L106" s="85" t="n"/>
      <c r="M106" s="86" t="n"/>
      <c r="N106" s="245" t="n"/>
      <c r="O106" s="238" t="n"/>
      <c r="P106" s="238" t="n"/>
      <c r="Q106" s="246" t="n"/>
    </row>
    <row r="107" ht="13.2" customFormat="1" customHeight="1" s="47">
      <c r="B107" s="83" t="n"/>
      <c r="C107" s="83" t="n"/>
      <c r="D107" s="84" t="n"/>
      <c r="E107" s="84" t="n"/>
      <c r="F107" s="84" t="n"/>
      <c r="G107" s="84" t="n"/>
      <c r="H107" s="84" t="n"/>
      <c r="I107" s="84" t="n"/>
      <c r="J107" s="84" t="n"/>
      <c r="K107" s="84" t="n"/>
      <c r="L107" s="85" t="n"/>
      <c r="M107" s="86" t="n"/>
      <c r="N107" s="245" t="n"/>
      <c r="O107" s="238" t="n"/>
      <c r="P107" s="238" t="n"/>
      <c r="Q107" s="246" t="n"/>
    </row>
    <row r="108" ht="13.2" customFormat="1" customHeight="1" s="47">
      <c r="B108" s="83" t="n"/>
      <c r="C108" s="83" t="n"/>
      <c r="D108" s="84" t="n"/>
      <c r="E108" s="84" t="n"/>
      <c r="F108" s="84" t="n"/>
      <c r="G108" s="84" t="n"/>
      <c r="H108" s="84" t="n"/>
      <c r="I108" s="84" t="n"/>
      <c r="J108" s="84" t="n"/>
      <c r="K108" s="84" t="n"/>
      <c r="L108" s="85" t="n"/>
      <c r="M108" s="86" t="n"/>
      <c r="N108" s="245" t="n"/>
      <c r="O108" s="238" t="n"/>
      <c r="P108" s="238" t="n"/>
      <c r="Q108" s="246" t="n"/>
    </row>
    <row r="109" ht="13.2" customFormat="1" customHeight="1" s="47">
      <c r="B109" s="83" t="n"/>
      <c r="C109" s="83" t="n"/>
      <c r="D109" s="84" t="n"/>
      <c r="E109" s="84" t="n"/>
      <c r="F109" s="84" t="n"/>
      <c r="G109" s="84" t="n"/>
      <c r="H109" s="84" t="n"/>
      <c r="I109" s="84" t="n"/>
      <c r="J109" s="84" t="n"/>
      <c r="K109" s="84" t="n"/>
      <c r="L109" s="85" t="n"/>
      <c r="M109" s="86" t="n"/>
      <c r="N109" s="245" t="n"/>
      <c r="O109" s="238" t="n"/>
      <c r="P109" s="238" t="n"/>
      <c r="Q109" s="246" t="n"/>
    </row>
    <row r="110" ht="13.2" customFormat="1" customHeight="1" s="47">
      <c r="B110" s="83" t="n"/>
      <c r="C110" s="83" t="n"/>
      <c r="D110" s="84" t="n"/>
      <c r="E110" s="84" t="n"/>
      <c r="F110" s="84" t="n"/>
      <c r="G110" s="84" t="n"/>
      <c r="H110" s="84" t="n"/>
      <c r="I110" s="84" t="n"/>
      <c r="J110" s="84" t="n"/>
      <c r="K110" s="84" t="n"/>
      <c r="L110" s="85" t="n"/>
      <c r="M110" s="86" t="n"/>
      <c r="N110" s="245" t="n"/>
      <c r="O110" s="238" t="n"/>
      <c r="P110" s="238" t="n"/>
      <c r="Q110" s="246" t="n"/>
    </row>
    <row r="111" ht="13.2" customFormat="1" customHeight="1" s="47">
      <c r="B111" s="83" t="n"/>
      <c r="C111" s="83" t="n"/>
      <c r="D111" s="84" t="n"/>
      <c r="E111" s="84" t="n"/>
      <c r="F111" s="84" t="n"/>
      <c r="G111" s="84" t="n"/>
      <c r="H111" s="84" t="n"/>
      <c r="I111" s="84" t="n"/>
      <c r="J111" s="84" t="n"/>
      <c r="K111" s="84" t="n"/>
      <c r="L111" s="85" t="n"/>
      <c r="M111" s="86" t="n"/>
      <c r="N111" s="245" t="n"/>
      <c r="O111" s="238" t="n"/>
      <c r="P111" s="238" t="n"/>
      <c r="Q111" s="246" t="n"/>
    </row>
    <row r="112" ht="13.2" customFormat="1" customHeight="1" s="47">
      <c r="B112" s="83" t="n"/>
      <c r="C112" s="83" t="n"/>
      <c r="D112" s="84" t="n"/>
      <c r="E112" s="84" t="n"/>
      <c r="F112" s="84" t="n"/>
      <c r="G112" s="84" t="n"/>
      <c r="H112" s="84" t="n"/>
      <c r="I112" s="84" t="n"/>
      <c r="J112" s="84" t="n"/>
      <c r="K112" s="84" t="n"/>
      <c r="L112" s="85" t="n"/>
      <c r="M112" s="86" t="n"/>
      <c r="N112" s="245" t="n"/>
      <c r="O112" s="238" t="n"/>
      <c r="P112" s="238" t="n"/>
      <c r="Q112" s="246" t="n"/>
    </row>
    <row r="113" ht="13.2" customFormat="1" customHeight="1" s="47">
      <c r="B113" s="83" t="n"/>
      <c r="C113" s="83" t="n"/>
      <c r="D113" s="84" t="n"/>
      <c r="E113" s="84" t="n"/>
      <c r="F113" s="84" t="n"/>
      <c r="G113" s="84" t="n"/>
      <c r="H113" s="84" t="n"/>
      <c r="I113" s="84" t="n"/>
      <c r="J113" s="84" t="n"/>
      <c r="K113" s="84" t="n"/>
      <c r="L113" s="85" t="n"/>
      <c r="M113" s="86" t="n"/>
      <c r="N113" s="245" t="n"/>
      <c r="O113" s="238" t="n"/>
      <c r="P113" s="238" t="n"/>
      <c r="Q113" s="246" t="n"/>
    </row>
    <row r="114" ht="13.2" customFormat="1" customHeight="1" s="47">
      <c r="B114" s="83" t="n"/>
      <c r="C114" s="83" t="n"/>
      <c r="D114" s="84" t="n"/>
      <c r="E114" s="84" t="n"/>
      <c r="F114" s="84" t="n"/>
      <c r="G114" s="84" t="n"/>
      <c r="H114" s="84" t="n"/>
      <c r="I114" s="84" t="n"/>
      <c r="J114" s="84" t="n"/>
      <c r="K114" s="84" t="n"/>
      <c r="L114" s="85" t="n"/>
      <c r="M114" s="86" t="n"/>
      <c r="N114" s="245" t="n"/>
      <c r="O114" s="238" t="n"/>
      <c r="P114" s="238" t="n"/>
      <c r="Q114" s="246" t="n"/>
    </row>
    <row r="115" ht="13.2" customFormat="1" customHeight="1" s="47">
      <c r="B115" s="83" t="n"/>
      <c r="C115" s="83" t="n"/>
      <c r="D115" s="84" t="n"/>
      <c r="E115" s="84" t="n"/>
      <c r="F115" s="84" t="n"/>
      <c r="G115" s="84" t="n"/>
      <c r="H115" s="84" t="n"/>
      <c r="I115" s="84" t="n"/>
      <c r="J115" s="84" t="n"/>
      <c r="K115" s="84" t="n"/>
      <c r="L115" s="85" t="n"/>
      <c r="M115" s="86" t="n"/>
      <c r="N115" s="245" t="n"/>
      <c r="O115" s="238" t="n"/>
      <c r="P115" s="238" t="n"/>
      <c r="Q115" s="246" t="n"/>
    </row>
    <row r="116" ht="13.2" customFormat="1" customHeight="1" s="47">
      <c r="B116" s="83" t="n"/>
      <c r="C116" s="83" t="n"/>
      <c r="D116" s="84" t="n"/>
      <c r="E116" s="84" t="n"/>
      <c r="F116" s="84" t="n"/>
      <c r="G116" s="84" t="n"/>
      <c r="H116" s="84" t="n"/>
      <c r="I116" s="84" t="n"/>
      <c r="J116" s="84" t="n"/>
      <c r="K116" s="84" t="n"/>
      <c r="L116" s="85" t="n"/>
      <c r="M116" s="86" t="n"/>
      <c r="N116" s="245" t="n"/>
      <c r="O116" s="238" t="n"/>
      <c r="P116" s="238" t="n"/>
      <c r="Q116" s="246" t="n"/>
    </row>
    <row r="117" ht="13.2" customFormat="1" customHeight="1" s="47">
      <c r="B117" s="83" t="n"/>
      <c r="C117" s="83" t="n"/>
      <c r="D117" s="84" t="n"/>
      <c r="E117" s="84" t="n"/>
      <c r="F117" s="84" t="n"/>
      <c r="G117" s="84" t="n"/>
      <c r="H117" s="84" t="n"/>
      <c r="I117" s="84" t="n"/>
      <c r="J117" s="84" t="n"/>
      <c r="K117" s="84" t="n"/>
      <c r="L117" s="85" t="n"/>
      <c r="M117" s="86" t="n"/>
      <c r="N117" s="245" t="n"/>
      <c r="O117" s="238" t="n"/>
      <c r="P117" s="238" t="n"/>
      <c r="Q117" s="246" t="n"/>
    </row>
    <row r="118" ht="13.2" customFormat="1" customHeight="1" s="47">
      <c r="B118" s="83" t="n"/>
      <c r="C118" s="83" t="n"/>
      <c r="D118" s="84" t="n"/>
      <c r="E118" s="84" t="n"/>
      <c r="F118" s="84" t="n"/>
      <c r="G118" s="84" t="n"/>
      <c r="H118" s="84" t="n"/>
      <c r="I118" s="84" t="n"/>
      <c r="J118" s="84" t="n"/>
      <c r="K118" s="84" t="n"/>
      <c r="L118" s="85" t="n"/>
      <c r="M118" s="86" t="n"/>
      <c r="N118" s="245" t="n"/>
      <c r="O118" s="238" t="n"/>
      <c r="P118" s="238" t="n"/>
      <c r="Q118" s="246" t="n"/>
    </row>
    <row r="119" ht="13.2" customFormat="1" customHeight="1" s="47">
      <c r="B119" s="83" t="n"/>
      <c r="C119" s="83" t="n"/>
      <c r="D119" s="84" t="n"/>
      <c r="E119" s="84" t="n"/>
      <c r="F119" s="84" t="n"/>
      <c r="G119" s="84" t="n"/>
      <c r="H119" s="84" t="n"/>
      <c r="I119" s="84" t="n"/>
      <c r="J119" s="84" t="n"/>
      <c r="K119" s="84" t="n"/>
      <c r="L119" s="85" t="n"/>
      <c r="M119" s="86" t="n"/>
      <c r="N119" s="245" t="n"/>
      <c r="O119" s="238" t="n"/>
      <c r="P119" s="238" t="n"/>
      <c r="Q119" s="246" t="n"/>
    </row>
    <row r="120" ht="13.2" customFormat="1" customHeight="1" s="47">
      <c r="B120" s="83" t="n"/>
      <c r="C120" s="83" t="n"/>
      <c r="D120" s="84" t="n"/>
      <c r="E120" s="84" t="n"/>
      <c r="F120" s="84" t="n"/>
      <c r="G120" s="84" t="n"/>
      <c r="H120" s="84" t="n"/>
      <c r="I120" s="84" t="n"/>
      <c r="J120" s="84" t="n"/>
      <c r="K120" s="84" t="n"/>
      <c r="L120" s="85" t="n"/>
      <c r="M120" s="86" t="n"/>
      <c r="N120" s="245" t="n"/>
      <c r="O120" s="238" t="n"/>
      <c r="P120" s="238" t="n"/>
      <c r="Q120" s="246" t="n"/>
    </row>
    <row r="121" ht="13.2" customFormat="1" customHeight="1" s="47">
      <c r="B121" s="83" t="n"/>
      <c r="C121" s="83" t="n"/>
      <c r="D121" s="84" t="n"/>
      <c r="E121" s="84" t="n"/>
      <c r="F121" s="84" t="n"/>
      <c r="G121" s="84" t="n"/>
      <c r="H121" s="84" t="n"/>
      <c r="I121" s="84" t="n"/>
      <c r="J121" s="84" t="n"/>
      <c r="K121" s="84" t="n"/>
      <c r="L121" s="85" t="n"/>
      <c r="M121" s="86" t="n"/>
      <c r="N121" s="245" t="n"/>
      <c r="O121" s="238" t="n"/>
      <c r="P121" s="238" t="n"/>
      <c r="Q121" s="246" t="n"/>
    </row>
    <row r="122" ht="13.2" customFormat="1" customHeight="1" s="47">
      <c r="B122" s="83" t="n"/>
      <c r="C122" s="83" t="n"/>
      <c r="D122" s="84" t="n"/>
      <c r="E122" s="84" t="n"/>
      <c r="F122" s="84" t="n"/>
      <c r="G122" s="84" t="n"/>
      <c r="H122" s="84" t="n"/>
      <c r="I122" s="84" t="n"/>
      <c r="J122" s="84" t="n"/>
      <c r="K122" s="84" t="n"/>
      <c r="L122" s="85" t="n"/>
      <c r="M122" s="86" t="n"/>
      <c r="N122" s="245" t="n"/>
      <c r="O122" s="238" t="n"/>
      <c r="P122" s="238" t="n"/>
      <c r="Q122" s="246" t="n"/>
    </row>
    <row r="123" ht="13.2" customFormat="1" customHeight="1" s="47">
      <c r="B123" s="83" t="n"/>
      <c r="C123" s="83" t="n"/>
      <c r="D123" s="84" t="n"/>
      <c r="E123" s="84" t="n"/>
      <c r="F123" s="84" t="n"/>
      <c r="G123" s="84" t="n"/>
      <c r="H123" s="84" t="n"/>
      <c r="I123" s="84" t="n"/>
      <c r="J123" s="84" t="n"/>
      <c r="K123" s="84" t="n"/>
      <c r="L123" s="85" t="n"/>
      <c r="M123" s="86" t="n"/>
      <c r="N123" s="245" t="n"/>
      <c r="O123" s="238" t="n"/>
      <c r="P123" s="238" t="n"/>
      <c r="Q123" s="246" t="n"/>
    </row>
    <row r="124" ht="13.2" customFormat="1" customHeight="1" s="47">
      <c r="B124" s="83" t="n"/>
      <c r="C124" s="83" t="n"/>
      <c r="D124" s="84" t="n"/>
      <c r="E124" s="84" t="n"/>
      <c r="F124" s="84" t="n"/>
      <c r="G124" s="84" t="n"/>
      <c r="H124" s="84" t="n"/>
      <c r="I124" s="84" t="n"/>
      <c r="J124" s="84" t="n"/>
      <c r="K124" s="84" t="n"/>
      <c r="L124" s="85" t="n"/>
      <c r="M124" s="86" t="n"/>
      <c r="N124" s="245" t="n"/>
      <c r="O124" s="238" t="n"/>
      <c r="P124" s="238" t="n"/>
      <c r="Q124" s="246" t="n"/>
    </row>
    <row r="125" ht="13.2" customFormat="1" customHeight="1" s="47">
      <c r="B125" s="83" t="n"/>
      <c r="C125" s="83" t="n"/>
      <c r="D125" s="84" t="n"/>
      <c r="E125" s="84" t="n"/>
      <c r="F125" s="84" t="n"/>
      <c r="G125" s="84" t="n"/>
      <c r="H125" s="84" t="n"/>
      <c r="I125" s="84" t="n"/>
      <c r="J125" s="84" t="n"/>
      <c r="K125" s="84" t="n"/>
      <c r="L125" s="85" t="n"/>
      <c r="M125" s="86" t="n"/>
      <c r="N125" s="245" t="n"/>
      <c r="O125" s="238" t="n"/>
      <c r="P125" s="238" t="n"/>
      <c r="Q125" s="246" t="n"/>
    </row>
    <row r="126" ht="13.2" customFormat="1" customHeight="1" s="47">
      <c r="B126" s="83" t="n"/>
      <c r="C126" s="83" t="n"/>
      <c r="D126" s="84" t="n"/>
      <c r="E126" s="84" t="n"/>
      <c r="F126" s="84" t="n"/>
      <c r="G126" s="84" t="n"/>
      <c r="H126" s="84" t="n"/>
      <c r="I126" s="84" t="n"/>
      <c r="J126" s="84" t="n"/>
      <c r="K126" s="84" t="n"/>
      <c r="L126" s="85" t="n"/>
      <c r="M126" s="86" t="n"/>
      <c r="N126" s="245" t="n"/>
      <c r="O126" s="238" t="n"/>
      <c r="P126" s="238" t="n"/>
      <c r="Q126" s="246" t="n"/>
    </row>
    <row r="127" ht="13.2" customFormat="1" customHeight="1" s="47">
      <c r="B127" s="83" t="n"/>
      <c r="C127" s="83" t="n"/>
      <c r="D127" s="84" t="n"/>
      <c r="E127" s="84" t="n"/>
      <c r="F127" s="84" t="n"/>
      <c r="G127" s="84" t="n"/>
      <c r="H127" s="84" t="n"/>
      <c r="I127" s="84" t="n"/>
      <c r="J127" s="84" t="n"/>
      <c r="K127" s="84" t="n"/>
      <c r="L127" s="85" t="n"/>
      <c r="M127" s="86" t="n"/>
      <c r="N127" s="245" t="n"/>
      <c r="O127" s="238" t="n"/>
      <c r="P127" s="238" t="n"/>
      <c r="Q127" s="246" t="n"/>
    </row>
    <row r="128" ht="13.2" customFormat="1" customHeight="1" s="47">
      <c r="B128" s="83" t="n"/>
      <c r="C128" s="83" t="n"/>
      <c r="D128" s="84" t="n"/>
      <c r="E128" s="84" t="n"/>
      <c r="F128" s="84" t="n"/>
      <c r="G128" s="84" t="n"/>
      <c r="H128" s="84" t="n"/>
      <c r="I128" s="84" t="n"/>
      <c r="J128" s="84" t="n"/>
      <c r="K128" s="84" t="n"/>
      <c r="L128" s="85" t="n"/>
      <c r="M128" s="86" t="n"/>
      <c r="N128" s="245" t="n"/>
      <c r="O128" s="238" t="n"/>
      <c r="P128" s="238" t="n"/>
      <c r="Q128" s="246" t="n"/>
    </row>
    <row r="129" ht="13.2" customFormat="1" customHeight="1" s="47">
      <c r="B129" s="83" t="n"/>
      <c r="C129" s="83" t="n"/>
      <c r="D129" s="84" t="n"/>
      <c r="E129" s="84" t="n"/>
      <c r="F129" s="84" t="n"/>
      <c r="G129" s="84" t="n"/>
      <c r="H129" s="84" t="n"/>
      <c r="I129" s="84" t="n"/>
      <c r="J129" s="84" t="n"/>
      <c r="K129" s="84" t="n"/>
      <c r="L129" s="85" t="n"/>
      <c r="M129" s="86" t="n"/>
      <c r="N129" s="245" t="n"/>
      <c r="O129" s="238" t="n"/>
      <c r="P129" s="238" t="n"/>
      <c r="Q129" s="246" t="n"/>
    </row>
    <row r="130" ht="13.2" customFormat="1" customHeight="1" s="47">
      <c r="B130" s="83" t="n"/>
      <c r="C130" s="83" t="n"/>
      <c r="D130" s="84" t="n"/>
      <c r="E130" s="84" t="n"/>
      <c r="F130" s="84" t="n"/>
      <c r="G130" s="84" t="n"/>
      <c r="H130" s="84" t="n"/>
      <c r="I130" s="84" t="n"/>
      <c r="J130" s="84" t="n"/>
      <c r="K130" s="84" t="n"/>
      <c r="L130" s="85" t="n"/>
      <c r="M130" s="86" t="n"/>
      <c r="N130" s="245" t="n"/>
      <c r="O130" s="238" t="n"/>
      <c r="P130" s="238" t="n"/>
      <c r="Q130" s="246" t="n"/>
    </row>
    <row r="131" ht="13.2" customFormat="1" customHeight="1" s="47">
      <c r="B131" s="83" t="n"/>
      <c r="C131" s="83" t="n"/>
      <c r="D131" s="84" t="n"/>
      <c r="E131" s="84" t="n"/>
      <c r="F131" s="84" t="n"/>
      <c r="G131" s="84" t="n"/>
      <c r="H131" s="84" t="n"/>
      <c r="I131" s="84" t="n"/>
      <c r="J131" s="84" t="n"/>
      <c r="K131" s="84" t="n"/>
      <c r="L131" s="85" t="n"/>
      <c r="M131" s="86" t="n"/>
      <c r="N131" s="245" t="n"/>
      <c r="O131" s="238" t="n"/>
      <c r="P131" s="238" t="n"/>
      <c r="Q131" s="246" t="n"/>
    </row>
    <row r="132" ht="13.2" customFormat="1" customHeight="1" s="47">
      <c r="B132" s="83" t="n"/>
      <c r="C132" s="83" t="n"/>
      <c r="D132" s="84" t="n"/>
      <c r="E132" s="84" t="n"/>
      <c r="F132" s="84" t="n"/>
      <c r="G132" s="84" t="n"/>
      <c r="H132" s="84" t="n"/>
      <c r="I132" s="84" t="n"/>
      <c r="J132" s="84" t="n"/>
      <c r="K132" s="84" t="n"/>
      <c r="L132" s="85" t="n"/>
      <c r="M132" s="86" t="n"/>
      <c r="N132" s="245" t="n"/>
      <c r="O132" s="238" t="n"/>
      <c r="P132" s="238" t="n"/>
      <c r="Q132" s="246" t="n"/>
    </row>
    <row r="133" ht="13.2" customFormat="1" customHeight="1" s="47">
      <c r="B133" s="83" t="n"/>
      <c r="C133" s="83" t="n"/>
      <c r="D133" s="84" t="n"/>
      <c r="E133" s="84" t="n"/>
      <c r="F133" s="84" t="n"/>
      <c r="G133" s="84" t="n"/>
      <c r="H133" s="84" t="n"/>
      <c r="I133" s="84" t="n"/>
      <c r="J133" s="84" t="n"/>
      <c r="K133" s="84" t="n"/>
      <c r="L133" s="85" t="n"/>
      <c r="M133" s="86" t="n"/>
      <c r="N133" s="245" t="n"/>
      <c r="O133" s="238" t="n"/>
      <c r="P133" s="238" t="n"/>
      <c r="Q133" s="246" t="n"/>
    </row>
    <row r="134" ht="13.2" customFormat="1" customHeight="1" s="47">
      <c r="B134" s="83" t="n"/>
      <c r="C134" s="83" t="n"/>
      <c r="D134" s="84" t="n"/>
      <c r="E134" s="84" t="n"/>
      <c r="F134" s="84" t="n"/>
      <c r="G134" s="84" t="n"/>
      <c r="H134" s="84" t="n"/>
      <c r="I134" s="84" t="n"/>
      <c r="J134" s="84" t="n"/>
      <c r="K134" s="84" t="n"/>
      <c r="L134" s="85" t="n"/>
      <c r="M134" s="86" t="n"/>
      <c r="N134" s="245" t="n"/>
      <c r="O134" s="238" t="n"/>
      <c r="P134" s="238" t="n"/>
      <c r="Q134" s="246" t="n"/>
    </row>
    <row r="135" ht="13.2" customFormat="1" customHeight="1" s="47">
      <c r="B135" s="83" t="n"/>
      <c r="C135" s="83" t="n"/>
      <c r="D135" s="84" t="n"/>
      <c r="E135" s="84" t="n"/>
      <c r="F135" s="84" t="n"/>
      <c r="G135" s="84" t="n"/>
      <c r="H135" s="84" t="n"/>
      <c r="I135" s="84" t="n"/>
      <c r="J135" s="84" t="n"/>
      <c r="K135" s="84" t="n"/>
      <c r="L135" s="85" t="n"/>
      <c r="M135" s="86" t="n"/>
      <c r="N135" s="245" t="n"/>
      <c r="O135" s="238" t="n"/>
      <c r="P135" s="238" t="n"/>
      <c r="Q135" s="246" t="n"/>
    </row>
    <row r="136" ht="13.2" customFormat="1" customHeight="1" s="47">
      <c r="B136" s="83" t="n"/>
      <c r="C136" s="83" t="n"/>
      <c r="D136" s="84" t="n"/>
      <c r="E136" s="84" t="n"/>
      <c r="F136" s="84" t="n"/>
      <c r="G136" s="84" t="n"/>
      <c r="H136" s="84" t="n"/>
      <c r="I136" s="84" t="n"/>
      <c r="J136" s="84" t="n"/>
      <c r="K136" s="84" t="n"/>
      <c r="L136" s="85" t="n"/>
      <c r="M136" s="86" t="n"/>
      <c r="N136" s="245" t="n"/>
      <c r="O136" s="238" t="n"/>
      <c r="P136" s="238" t="n"/>
      <c r="Q136" s="246" t="n"/>
    </row>
    <row r="137" ht="13.2" customFormat="1" customHeight="1" s="47">
      <c r="B137" s="83" t="n"/>
      <c r="C137" s="83" t="n"/>
      <c r="D137" s="84" t="n"/>
      <c r="E137" s="84" t="n"/>
      <c r="F137" s="84" t="n"/>
      <c r="G137" s="84" t="n"/>
      <c r="H137" s="84" t="n"/>
      <c r="I137" s="84" t="n"/>
      <c r="J137" s="84" t="n"/>
      <c r="K137" s="84" t="n"/>
      <c r="L137" s="85" t="n"/>
      <c r="M137" s="86" t="n"/>
      <c r="N137" s="245" t="n"/>
      <c r="O137" s="238" t="n"/>
      <c r="P137" s="238" t="n"/>
      <c r="Q137" s="246" t="n"/>
    </row>
    <row r="138" ht="13.2" customFormat="1" customHeight="1" s="47">
      <c r="B138" s="83" t="n"/>
      <c r="C138" s="83" t="n"/>
      <c r="D138" s="84" t="n"/>
      <c r="E138" s="84" t="n"/>
      <c r="F138" s="84" t="n"/>
      <c r="G138" s="84" t="n"/>
      <c r="H138" s="84" t="n"/>
      <c r="I138" s="84" t="n"/>
      <c r="J138" s="84" t="n"/>
      <c r="K138" s="84" t="n"/>
      <c r="L138" s="85" t="n"/>
      <c r="M138" s="86" t="n"/>
      <c r="N138" s="245" t="n"/>
      <c r="O138" s="238" t="n"/>
      <c r="P138" s="238" t="n"/>
      <c r="Q138" s="246" t="n"/>
    </row>
    <row r="139" ht="13.2" customFormat="1" customHeight="1" s="47">
      <c r="B139" s="83" t="n"/>
      <c r="C139" s="83" t="n"/>
      <c r="D139" s="84" t="n"/>
      <c r="E139" s="84" t="n"/>
      <c r="F139" s="84" t="n"/>
      <c r="G139" s="84" t="n"/>
      <c r="H139" s="84" t="n"/>
      <c r="I139" s="84" t="n"/>
      <c r="J139" s="84" t="n"/>
      <c r="K139" s="84" t="n"/>
      <c r="L139" s="85" t="n"/>
      <c r="M139" s="86" t="n"/>
      <c r="N139" s="245" t="n"/>
      <c r="O139" s="238" t="n"/>
      <c r="P139" s="238" t="n"/>
      <c r="Q139" s="246" t="n"/>
    </row>
    <row r="140" ht="13.2" customFormat="1" customHeight="1" s="47">
      <c r="B140" s="83" t="n"/>
      <c r="C140" s="83" t="n"/>
      <c r="D140" s="84" t="n"/>
      <c r="E140" s="84" t="n"/>
      <c r="F140" s="84" t="n"/>
      <c r="G140" s="84" t="n"/>
      <c r="H140" s="84" t="n"/>
      <c r="I140" s="84" t="n"/>
      <c r="J140" s="84" t="n"/>
      <c r="K140" s="84" t="n"/>
      <c r="L140" s="85" t="n"/>
      <c r="M140" s="86" t="n"/>
      <c r="N140" s="245" t="n"/>
      <c r="O140" s="238" t="n"/>
      <c r="P140" s="238" t="n"/>
      <c r="Q140" s="246" t="n"/>
    </row>
    <row r="141" ht="13.2" customFormat="1" customHeight="1" s="47">
      <c r="B141" s="83" t="n"/>
      <c r="C141" s="83" t="n"/>
      <c r="D141" s="84" t="n"/>
      <c r="E141" s="84" t="n"/>
      <c r="F141" s="84" t="n"/>
      <c r="G141" s="84" t="n"/>
      <c r="H141" s="84" t="n"/>
      <c r="I141" s="84" t="n"/>
      <c r="J141" s="84" t="n"/>
      <c r="K141" s="84" t="n"/>
      <c r="L141" s="85" t="n"/>
      <c r="M141" s="86" t="n"/>
      <c r="N141" s="245" t="n"/>
      <c r="O141" s="238" t="n"/>
      <c r="P141" s="238" t="n"/>
      <c r="Q141" s="246" t="n"/>
    </row>
    <row r="142" ht="13.2" customFormat="1" customHeight="1" s="47">
      <c r="B142" s="83" t="n"/>
      <c r="C142" s="83" t="n"/>
      <c r="D142" s="84" t="n"/>
      <c r="E142" s="84" t="n"/>
      <c r="F142" s="84" t="n"/>
      <c r="G142" s="84" t="n"/>
      <c r="H142" s="84" t="n"/>
      <c r="I142" s="84" t="n"/>
      <c r="J142" s="84" t="n"/>
      <c r="K142" s="84" t="n"/>
      <c r="L142" s="85" t="n"/>
      <c r="M142" s="86" t="n"/>
      <c r="N142" s="245" t="n"/>
      <c r="O142" s="238" t="n"/>
      <c r="P142" s="238" t="n"/>
      <c r="Q142" s="246" t="n"/>
    </row>
    <row r="143" ht="13.2" customFormat="1" customHeight="1" s="47">
      <c r="B143" s="83" t="n"/>
      <c r="C143" s="83" t="n"/>
      <c r="D143" s="84" t="n"/>
      <c r="E143" s="84" t="n"/>
      <c r="F143" s="84" t="n"/>
      <c r="G143" s="84" t="n"/>
      <c r="H143" s="84" t="n"/>
      <c r="I143" s="84" t="n"/>
      <c r="J143" s="84" t="n"/>
      <c r="K143" s="84" t="n"/>
      <c r="L143" s="85" t="n"/>
      <c r="M143" s="86" t="n"/>
      <c r="N143" s="245" t="n"/>
      <c r="O143" s="238" t="n"/>
      <c r="P143" s="238" t="n"/>
      <c r="Q143" s="246" t="n"/>
    </row>
    <row r="144" ht="13.2" customFormat="1" customHeight="1" s="47">
      <c r="B144" s="83" t="n"/>
      <c r="C144" s="83" t="n"/>
      <c r="D144" s="84" t="n"/>
      <c r="E144" s="84" t="n"/>
      <c r="F144" s="84" t="n"/>
      <c r="G144" s="84" t="n"/>
      <c r="H144" s="84" t="n"/>
      <c r="I144" s="84" t="n"/>
      <c r="J144" s="84" t="n"/>
      <c r="K144" s="84" t="n"/>
      <c r="L144" s="85" t="n"/>
      <c r="M144" s="86" t="n"/>
      <c r="N144" s="245" t="n"/>
      <c r="O144" s="238" t="n"/>
      <c r="P144" s="238" t="n"/>
      <c r="Q144" s="246" t="n"/>
    </row>
    <row r="145" ht="13.2" customFormat="1" customHeight="1" s="47">
      <c r="B145" s="83" t="n"/>
      <c r="C145" s="83" t="n"/>
      <c r="D145" s="84" t="n"/>
      <c r="E145" s="84" t="n"/>
      <c r="F145" s="84" t="n"/>
      <c r="G145" s="84" t="n"/>
      <c r="H145" s="84" t="n"/>
      <c r="I145" s="84" t="n"/>
      <c r="J145" s="84" t="n"/>
      <c r="K145" s="84" t="n"/>
      <c r="L145" s="85" t="n"/>
      <c r="M145" s="86" t="n"/>
      <c r="N145" s="245" t="n"/>
      <c r="O145" s="238" t="n"/>
      <c r="P145" s="238" t="n"/>
      <c r="Q145" s="246" t="n"/>
    </row>
    <row r="146" ht="13.2" customFormat="1" customHeight="1" s="47">
      <c r="B146" s="83" t="n"/>
      <c r="C146" s="83" t="n"/>
      <c r="D146" s="84" t="n"/>
      <c r="E146" s="84" t="n"/>
      <c r="F146" s="84" t="n"/>
      <c r="G146" s="84" t="n"/>
      <c r="H146" s="84" t="n"/>
      <c r="I146" s="84" t="n"/>
      <c r="J146" s="84" t="n"/>
      <c r="K146" s="84" t="n"/>
      <c r="L146" s="85" t="n"/>
      <c r="M146" s="86" t="n"/>
      <c r="N146" s="245" t="n"/>
      <c r="O146" s="238" t="n"/>
      <c r="P146" s="238" t="n"/>
      <c r="Q146" s="246" t="n"/>
    </row>
    <row r="147" ht="13.2" customFormat="1" customHeight="1" s="47">
      <c r="B147" s="83" t="n"/>
      <c r="C147" s="83" t="n"/>
      <c r="D147" s="84" t="n"/>
      <c r="E147" s="84" t="n"/>
      <c r="F147" s="84" t="n"/>
      <c r="G147" s="84" t="n"/>
      <c r="H147" s="84" t="n"/>
      <c r="I147" s="84" t="n"/>
      <c r="J147" s="84" t="n"/>
      <c r="K147" s="84" t="n"/>
      <c r="L147" s="85" t="n"/>
      <c r="M147" s="86" t="n"/>
      <c r="N147" s="245" t="n"/>
      <c r="O147" s="238" t="n"/>
      <c r="P147" s="238" t="n"/>
      <c r="Q147" s="246" t="n"/>
    </row>
    <row r="148" ht="13.2" customFormat="1" customHeight="1" s="47">
      <c r="B148" s="83" t="n"/>
      <c r="C148" s="83" t="n"/>
      <c r="D148" s="84" t="n"/>
      <c r="E148" s="84" t="n"/>
      <c r="F148" s="84" t="n"/>
      <c r="G148" s="84" t="n"/>
      <c r="H148" s="84" t="n"/>
      <c r="I148" s="84" t="n"/>
      <c r="J148" s="84" t="n"/>
      <c r="K148" s="84" t="n"/>
      <c r="L148" s="85" t="n"/>
      <c r="M148" s="86" t="n"/>
      <c r="N148" s="245" t="n"/>
      <c r="O148" s="238" t="n"/>
      <c r="P148" s="238" t="n"/>
      <c r="Q148" s="246" t="n"/>
    </row>
    <row r="149" ht="13.2" customFormat="1" customHeight="1" s="47">
      <c r="B149" s="83" t="n"/>
      <c r="C149" s="83" t="n"/>
      <c r="D149" s="84" t="n"/>
      <c r="E149" s="84" t="n"/>
      <c r="F149" s="84" t="n"/>
      <c r="G149" s="84" t="n"/>
      <c r="H149" s="84" t="n"/>
      <c r="I149" s="84" t="n"/>
      <c r="J149" s="84" t="n"/>
      <c r="K149" s="84" t="n"/>
      <c r="L149" s="85" t="n"/>
      <c r="M149" s="86" t="n"/>
      <c r="N149" s="245" t="n"/>
      <c r="O149" s="238" t="n"/>
      <c r="P149" s="238" t="n"/>
      <c r="Q149" s="246" t="n"/>
    </row>
    <row r="150" ht="13.2" customFormat="1" customHeight="1" s="47">
      <c r="B150" s="83" t="n"/>
      <c r="C150" s="83" t="n"/>
      <c r="D150" s="84" t="n"/>
      <c r="E150" s="84" t="n"/>
      <c r="F150" s="84" t="n"/>
      <c r="G150" s="84" t="n"/>
      <c r="H150" s="84" t="n"/>
      <c r="I150" s="84" t="n"/>
      <c r="J150" s="84" t="n"/>
      <c r="K150" s="84" t="n"/>
      <c r="L150" s="85" t="n"/>
      <c r="M150" s="86" t="n"/>
      <c r="N150" s="245" t="n"/>
      <c r="O150" s="238" t="n"/>
      <c r="P150" s="238" t="n"/>
      <c r="Q150" s="246" t="n"/>
    </row>
    <row r="151" ht="13.2" customFormat="1" customHeight="1" s="47">
      <c r="B151" s="83" t="n"/>
      <c r="C151" s="83" t="n"/>
      <c r="D151" s="84" t="n"/>
      <c r="E151" s="84" t="n"/>
      <c r="F151" s="84" t="n"/>
      <c r="G151" s="84" t="n"/>
      <c r="H151" s="84" t="n"/>
      <c r="I151" s="84" t="n"/>
      <c r="J151" s="84" t="n"/>
      <c r="K151" s="84" t="n"/>
      <c r="L151" s="85" t="n"/>
      <c r="M151" s="86" t="n"/>
      <c r="N151" s="245" t="n"/>
      <c r="O151" s="238" t="n"/>
      <c r="P151" s="238" t="n"/>
      <c r="Q151" s="246" t="n"/>
    </row>
    <row r="152" ht="13.2" customFormat="1" customHeight="1" s="47">
      <c r="B152" s="83" t="n"/>
      <c r="C152" s="83" t="n"/>
      <c r="D152" s="84" t="n"/>
      <c r="E152" s="84" t="n"/>
      <c r="F152" s="84" t="n"/>
      <c r="G152" s="84" t="n"/>
      <c r="H152" s="84" t="n"/>
      <c r="I152" s="84" t="n"/>
      <c r="J152" s="84" t="n"/>
      <c r="K152" s="84" t="n"/>
      <c r="L152" s="85" t="n"/>
      <c r="M152" s="86" t="n"/>
      <c r="N152" s="245" t="n"/>
      <c r="O152" s="238" t="n"/>
      <c r="P152" s="238" t="n"/>
      <c r="Q152" s="246" t="n"/>
    </row>
    <row r="153" ht="13.2" customFormat="1" customHeight="1" s="47">
      <c r="B153" s="83" t="n"/>
      <c r="C153" s="83" t="n"/>
      <c r="D153" s="84" t="n"/>
      <c r="E153" s="84" t="n"/>
      <c r="F153" s="84" t="n"/>
      <c r="G153" s="84" t="n"/>
      <c r="H153" s="84" t="n"/>
      <c r="I153" s="84" t="n"/>
      <c r="J153" s="84" t="n"/>
      <c r="K153" s="84" t="n"/>
      <c r="L153" s="85" t="n"/>
      <c r="M153" s="86" t="n"/>
      <c r="N153" s="245" t="n"/>
      <c r="O153" s="238" t="n"/>
      <c r="P153" s="238" t="n"/>
      <c r="Q153" s="246" t="n"/>
    </row>
    <row r="154" ht="13.2" customFormat="1" customHeight="1" s="47">
      <c r="B154" s="83" t="n"/>
      <c r="C154" s="83" t="n"/>
      <c r="D154" s="84" t="n"/>
      <c r="E154" s="84" t="n"/>
      <c r="F154" s="84" t="n"/>
      <c r="G154" s="84" t="n"/>
      <c r="H154" s="84" t="n"/>
      <c r="I154" s="84" t="n"/>
      <c r="J154" s="84" t="n"/>
      <c r="K154" s="84" t="n"/>
      <c r="L154" s="85" t="n"/>
      <c r="M154" s="86" t="n"/>
      <c r="N154" s="245" t="n"/>
      <c r="O154" s="238" t="n"/>
      <c r="P154" s="238" t="n"/>
      <c r="Q154" s="246" t="n"/>
    </row>
    <row r="155" ht="13.2" customFormat="1" customHeight="1" s="47">
      <c r="B155" s="83" t="n"/>
      <c r="C155" s="83" t="n"/>
      <c r="D155" s="84" t="n"/>
      <c r="E155" s="84" t="n"/>
      <c r="F155" s="84" t="n"/>
      <c r="G155" s="84" t="n"/>
      <c r="H155" s="84" t="n"/>
      <c r="I155" s="84" t="n"/>
      <c r="J155" s="84" t="n"/>
      <c r="K155" s="84" t="n"/>
      <c r="L155" s="85" t="n"/>
      <c r="M155" s="86" t="n"/>
      <c r="N155" s="245" t="n"/>
      <c r="O155" s="238" t="n"/>
      <c r="P155" s="238" t="n"/>
      <c r="Q155" s="246" t="n"/>
    </row>
    <row r="156" ht="13.2" customFormat="1" customHeight="1" s="47">
      <c r="B156" s="83" t="n"/>
      <c r="C156" s="83" t="n"/>
      <c r="D156" s="84" t="n"/>
      <c r="E156" s="84" t="n"/>
      <c r="F156" s="84" t="n"/>
      <c r="G156" s="84" t="n"/>
      <c r="H156" s="84" t="n"/>
      <c r="I156" s="84" t="n"/>
      <c r="J156" s="84" t="n"/>
      <c r="K156" s="84" t="n"/>
      <c r="L156" s="85" t="n"/>
      <c r="M156" s="86" t="n"/>
      <c r="N156" s="245" t="n"/>
      <c r="O156" s="238" t="n"/>
      <c r="P156" s="238" t="n"/>
      <c r="Q156" s="246" t="n"/>
    </row>
    <row r="157" ht="13.2" customFormat="1" customHeight="1" s="47">
      <c r="B157" s="83" t="n"/>
      <c r="C157" s="83" t="n"/>
      <c r="D157" s="84" t="n"/>
      <c r="E157" s="84" t="n"/>
      <c r="F157" s="84" t="n"/>
      <c r="G157" s="84" t="n"/>
      <c r="H157" s="84" t="n"/>
      <c r="I157" s="84" t="n"/>
      <c r="J157" s="84" t="n"/>
      <c r="K157" s="84" t="n"/>
      <c r="L157" s="85" t="n"/>
      <c r="M157" s="86" t="n"/>
      <c r="N157" s="245" t="n"/>
      <c r="O157" s="238" t="n"/>
      <c r="P157" s="238" t="n"/>
      <c r="Q157" s="246" t="n"/>
    </row>
    <row r="158" ht="13.2" customFormat="1" customHeight="1" s="47">
      <c r="B158" s="83" t="n"/>
      <c r="C158" s="83" t="n"/>
      <c r="D158" s="84" t="n"/>
      <c r="E158" s="84" t="n"/>
      <c r="F158" s="84" t="n"/>
      <c r="G158" s="84" t="n"/>
      <c r="H158" s="84" t="n"/>
      <c r="I158" s="84" t="n"/>
      <c r="J158" s="84" t="n"/>
      <c r="K158" s="84" t="n"/>
      <c r="L158" s="85" t="n"/>
      <c r="M158" s="86" t="n"/>
      <c r="N158" s="245" t="n"/>
      <c r="O158" s="238" t="n"/>
      <c r="P158" s="238" t="n"/>
      <c r="Q158" s="246" t="n"/>
    </row>
    <row r="159" ht="13.2" customFormat="1" customHeight="1" s="47">
      <c r="B159" s="83" t="n"/>
      <c r="C159" s="83" t="n"/>
      <c r="D159" s="84" t="n"/>
      <c r="E159" s="84" t="n"/>
      <c r="F159" s="84" t="n"/>
      <c r="G159" s="84" t="n"/>
      <c r="H159" s="84" t="n"/>
      <c r="I159" s="84" t="n"/>
      <c r="J159" s="84" t="n"/>
      <c r="K159" s="84" t="n"/>
      <c r="L159" s="85" t="n"/>
      <c r="M159" s="86" t="n"/>
      <c r="N159" s="245" t="n"/>
      <c r="O159" s="238" t="n"/>
      <c r="P159" s="238" t="n"/>
      <c r="Q159" s="246" t="n"/>
    </row>
    <row r="160" ht="13.2" customFormat="1" customHeight="1" s="47">
      <c r="B160" s="83" t="n"/>
      <c r="C160" s="83" t="n"/>
      <c r="D160" s="84" t="n"/>
      <c r="E160" s="84" t="n"/>
      <c r="F160" s="84" t="n"/>
      <c r="G160" s="84" t="n"/>
      <c r="H160" s="84" t="n"/>
      <c r="I160" s="84" t="n"/>
      <c r="J160" s="84" t="n"/>
      <c r="K160" s="84" t="n"/>
      <c r="L160" s="85" t="n"/>
      <c r="M160" s="86" t="n"/>
      <c r="N160" s="245" t="n"/>
      <c r="O160" s="238" t="n"/>
      <c r="P160" s="238" t="n"/>
      <c r="Q160" s="246" t="n"/>
    </row>
    <row r="161" ht="13.2" customFormat="1" customHeight="1" s="47">
      <c r="B161" s="83" t="n"/>
      <c r="C161" s="83" t="n"/>
      <c r="D161" s="84" t="n"/>
      <c r="E161" s="84" t="n"/>
      <c r="F161" s="84" t="n"/>
      <c r="G161" s="84" t="n"/>
      <c r="H161" s="84" t="n"/>
      <c r="I161" s="84" t="n"/>
      <c r="J161" s="84" t="n"/>
      <c r="K161" s="84" t="n"/>
      <c r="L161" s="85" t="n"/>
      <c r="M161" s="86" t="n"/>
      <c r="N161" s="245" t="n"/>
      <c r="O161" s="238" t="n"/>
      <c r="P161" s="238" t="n"/>
      <c r="Q161" s="246" t="n"/>
    </row>
    <row r="162" ht="13.2" customFormat="1" customHeight="1" s="47">
      <c r="B162" s="83" t="n"/>
      <c r="C162" s="83" t="n"/>
      <c r="D162" s="84" t="n"/>
      <c r="E162" s="84" t="n"/>
      <c r="F162" s="84" t="n"/>
      <c r="G162" s="84" t="n"/>
      <c r="H162" s="84" t="n"/>
      <c r="I162" s="84" t="n"/>
      <c r="J162" s="84" t="n"/>
      <c r="K162" s="84" t="n"/>
      <c r="L162" s="85" t="n"/>
      <c r="M162" s="86" t="n"/>
      <c r="N162" s="245" t="n"/>
      <c r="O162" s="238" t="n"/>
      <c r="P162" s="238" t="n"/>
      <c r="Q162" s="246" t="n"/>
    </row>
    <row r="163" ht="13.2" customFormat="1" customHeight="1" s="47">
      <c r="B163" s="83" t="n"/>
      <c r="C163" s="83" t="n"/>
      <c r="D163" s="84" t="n"/>
      <c r="E163" s="84" t="n"/>
      <c r="F163" s="84" t="n"/>
      <c r="G163" s="84" t="n"/>
      <c r="H163" s="84" t="n"/>
      <c r="I163" s="84" t="n"/>
      <c r="J163" s="84" t="n"/>
      <c r="K163" s="84" t="n"/>
      <c r="L163" s="85" t="n"/>
      <c r="M163" s="86" t="n"/>
      <c r="N163" s="245" t="n"/>
      <c r="O163" s="238" t="n"/>
      <c r="P163" s="238" t="n"/>
      <c r="Q163" s="246" t="n"/>
    </row>
    <row r="164" ht="13.2" customFormat="1" customHeight="1" s="47">
      <c r="B164" s="83" t="n"/>
      <c r="C164" s="83" t="n"/>
      <c r="D164" s="84" t="n"/>
      <c r="E164" s="84" t="n"/>
      <c r="F164" s="84" t="n"/>
      <c r="G164" s="84" t="n"/>
      <c r="H164" s="84" t="n"/>
      <c r="I164" s="84" t="n"/>
      <c r="J164" s="84" t="n"/>
      <c r="K164" s="84" t="n"/>
      <c r="L164" s="85" t="n"/>
      <c r="M164" s="86" t="n"/>
      <c r="N164" s="245" t="n"/>
      <c r="O164" s="238" t="n"/>
      <c r="P164" s="238" t="n"/>
      <c r="Q164" s="246" t="n"/>
    </row>
    <row r="165" ht="13.2" customFormat="1" customHeight="1" s="47">
      <c r="B165" s="83" t="n"/>
      <c r="C165" s="83" t="n"/>
      <c r="D165" s="84" t="n"/>
      <c r="E165" s="84" t="n"/>
      <c r="F165" s="84" t="n"/>
      <c r="G165" s="84" t="n"/>
      <c r="H165" s="84" t="n"/>
      <c r="I165" s="84" t="n"/>
      <c r="J165" s="84" t="n"/>
      <c r="K165" s="84" t="n"/>
      <c r="L165" s="85" t="n"/>
      <c r="M165" s="86" t="n"/>
      <c r="N165" s="245" t="n"/>
      <c r="O165" s="238" t="n"/>
      <c r="P165" s="238" t="n"/>
      <c r="Q165" s="246" t="n"/>
    </row>
    <row r="166" ht="13.2" customFormat="1" customHeight="1" s="47">
      <c r="B166" s="83" t="n"/>
      <c r="C166" s="83" t="n"/>
      <c r="D166" s="84" t="n"/>
      <c r="E166" s="84" t="n"/>
      <c r="F166" s="84" t="n"/>
      <c r="G166" s="84" t="n"/>
      <c r="H166" s="84" t="n"/>
      <c r="I166" s="84" t="n"/>
      <c r="J166" s="84" t="n"/>
      <c r="K166" s="84" t="n"/>
      <c r="L166" s="85" t="n"/>
      <c r="M166" s="86" t="n"/>
      <c r="N166" s="245" t="n"/>
      <c r="O166" s="238" t="n"/>
      <c r="P166" s="238" t="n"/>
      <c r="Q166" s="246" t="n"/>
    </row>
    <row r="167" ht="13.2" customFormat="1" customHeight="1" s="47">
      <c r="B167" s="83" t="n"/>
      <c r="C167" s="83" t="n"/>
      <c r="D167" s="84" t="n"/>
      <c r="E167" s="84" t="n"/>
      <c r="F167" s="84" t="n"/>
      <c r="G167" s="84" t="n"/>
      <c r="H167" s="84" t="n"/>
      <c r="I167" s="84" t="n"/>
      <c r="J167" s="84" t="n"/>
      <c r="K167" s="84" t="n"/>
      <c r="L167" s="85" t="n"/>
      <c r="M167" s="86" t="n"/>
      <c r="N167" s="245" t="n"/>
      <c r="O167" s="238" t="n"/>
      <c r="P167" s="238" t="n"/>
      <c r="Q167" s="246" t="n"/>
    </row>
    <row r="168" ht="13.2" customFormat="1" customHeight="1" s="47">
      <c r="B168" s="83" t="n"/>
      <c r="C168" s="83" t="n"/>
      <c r="D168" s="84" t="n"/>
      <c r="E168" s="84" t="n"/>
      <c r="F168" s="84" t="n"/>
      <c r="G168" s="84" t="n"/>
      <c r="H168" s="84" t="n"/>
      <c r="I168" s="84" t="n"/>
      <c r="J168" s="84" t="n"/>
      <c r="K168" s="84" t="n"/>
      <c r="L168" s="85" t="n"/>
      <c r="M168" s="86" t="n"/>
      <c r="N168" s="245" t="n"/>
      <c r="O168" s="238" t="n"/>
      <c r="P168" s="238" t="n"/>
      <c r="Q168" s="246" t="n"/>
    </row>
    <row r="169" ht="13.2" customFormat="1" customHeight="1" s="47">
      <c r="B169" s="83" t="n"/>
      <c r="C169" s="83" t="n"/>
      <c r="D169" s="84" t="n"/>
      <c r="E169" s="84" t="n"/>
      <c r="F169" s="84" t="n"/>
      <c r="G169" s="84" t="n"/>
      <c r="H169" s="84" t="n"/>
      <c r="I169" s="84" t="n"/>
      <c r="J169" s="84" t="n"/>
      <c r="K169" s="84" t="n"/>
      <c r="L169" s="85" t="n"/>
      <c r="M169" s="86" t="n"/>
      <c r="N169" s="245" t="n"/>
      <c r="O169" s="238" t="n"/>
      <c r="P169" s="238" t="n"/>
      <c r="Q169" s="246" t="n"/>
    </row>
    <row r="170" ht="13.2" customFormat="1" customHeight="1" s="47">
      <c r="B170" s="83" t="n"/>
      <c r="C170" s="83" t="n"/>
      <c r="D170" s="84" t="n"/>
      <c r="E170" s="84" t="n"/>
      <c r="F170" s="84" t="n"/>
      <c r="G170" s="84" t="n"/>
      <c r="H170" s="84" t="n"/>
      <c r="I170" s="84" t="n"/>
      <c r="J170" s="84" t="n"/>
      <c r="K170" s="84" t="n"/>
      <c r="L170" s="85" t="n"/>
      <c r="M170" s="86" t="n"/>
      <c r="N170" s="245" t="n"/>
      <c r="O170" s="238" t="n"/>
      <c r="P170" s="238" t="n"/>
      <c r="Q170" s="246" t="n"/>
    </row>
    <row r="171" ht="13.2" customFormat="1" customHeight="1" s="47">
      <c r="B171" s="83" t="n"/>
      <c r="C171" s="83" t="n"/>
      <c r="D171" s="84" t="n"/>
      <c r="E171" s="84" t="n"/>
      <c r="F171" s="84" t="n"/>
      <c r="G171" s="84" t="n"/>
      <c r="H171" s="84" t="n"/>
      <c r="I171" s="84" t="n"/>
      <c r="J171" s="84" t="n"/>
      <c r="K171" s="84" t="n"/>
      <c r="L171" s="85" t="n"/>
      <c r="M171" s="86" t="n"/>
      <c r="N171" s="245" t="n"/>
      <c r="O171" s="238" t="n"/>
      <c r="P171" s="238" t="n"/>
      <c r="Q171" s="246" t="n"/>
    </row>
    <row r="172" ht="13.2" customFormat="1" customHeight="1" s="47">
      <c r="B172" s="83" t="n"/>
      <c r="C172" s="83" t="n"/>
      <c r="D172" s="84" t="n"/>
      <c r="E172" s="84" t="n"/>
      <c r="F172" s="84" t="n"/>
      <c r="G172" s="84" t="n"/>
      <c r="H172" s="84" t="n"/>
      <c r="I172" s="84" t="n"/>
      <c r="J172" s="84" t="n"/>
      <c r="K172" s="84" t="n"/>
      <c r="L172" s="85" t="n"/>
      <c r="M172" s="86" t="n"/>
      <c r="N172" s="245" t="n"/>
      <c r="O172" s="238" t="n"/>
      <c r="P172" s="238" t="n"/>
      <c r="Q172" s="246" t="n"/>
    </row>
    <row r="173" ht="13.2" customFormat="1" customHeight="1" s="47">
      <c r="B173" s="83" t="n"/>
      <c r="C173" s="83" t="n"/>
      <c r="D173" s="84" t="n"/>
      <c r="E173" s="84" t="n"/>
      <c r="F173" s="84" t="n"/>
      <c r="G173" s="84" t="n"/>
      <c r="H173" s="84" t="n"/>
      <c r="I173" s="84" t="n"/>
      <c r="J173" s="84" t="n"/>
      <c r="K173" s="84" t="n"/>
      <c r="L173" s="85" t="n"/>
      <c r="M173" s="86" t="n"/>
      <c r="N173" s="245" t="n"/>
      <c r="O173" s="238" t="n"/>
      <c r="P173" s="238" t="n"/>
      <c r="Q173" s="246" t="n"/>
    </row>
    <row r="174" ht="13.2" customFormat="1" customHeight="1" s="47">
      <c r="B174" s="83" t="n"/>
      <c r="C174" s="83" t="n"/>
      <c r="D174" s="84" t="n"/>
      <c r="E174" s="84" t="n"/>
      <c r="F174" s="84" t="n"/>
      <c r="G174" s="84" t="n"/>
      <c r="H174" s="84" t="n"/>
      <c r="I174" s="84" t="n"/>
      <c r="J174" s="84" t="n"/>
      <c r="K174" s="84" t="n"/>
      <c r="L174" s="85" t="n"/>
      <c r="M174" s="86" t="n"/>
      <c r="N174" s="245" t="n"/>
      <c r="O174" s="238" t="n"/>
      <c r="P174" s="238" t="n"/>
      <c r="Q174" s="246" t="n"/>
    </row>
    <row r="175" ht="13.2" customFormat="1" customHeight="1" s="47">
      <c r="B175" s="83" t="n"/>
      <c r="C175" s="83" t="n"/>
      <c r="D175" s="84" t="n"/>
      <c r="E175" s="84" t="n"/>
      <c r="F175" s="84" t="n"/>
      <c r="G175" s="84" t="n"/>
      <c r="H175" s="84" t="n"/>
      <c r="I175" s="84" t="n"/>
      <c r="J175" s="84" t="n"/>
      <c r="K175" s="84" t="n"/>
      <c r="L175" s="85" t="n"/>
      <c r="M175" s="86" t="n"/>
      <c r="N175" s="245" t="n"/>
      <c r="O175" s="238" t="n"/>
      <c r="P175" s="238" t="n"/>
      <c r="Q175" s="246" t="n"/>
    </row>
    <row r="176" ht="13.2" customFormat="1" customHeight="1" s="47">
      <c r="B176" s="83" t="n"/>
      <c r="C176" s="83" t="n"/>
      <c r="D176" s="84" t="n"/>
      <c r="E176" s="84" t="n"/>
      <c r="F176" s="84" t="n"/>
      <c r="G176" s="84" t="n"/>
      <c r="H176" s="84" t="n"/>
      <c r="I176" s="84" t="n"/>
      <c r="J176" s="84" t="n"/>
      <c r="K176" s="84" t="n"/>
      <c r="L176" s="85" t="n"/>
      <c r="M176" s="86" t="n"/>
      <c r="N176" s="245" t="n"/>
      <c r="O176" s="238" t="n"/>
      <c r="P176" s="238" t="n"/>
      <c r="Q176" s="246" t="n"/>
    </row>
    <row r="177" ht="13.2" customFormat="1" customHeight="1" s="47">
      <c r="B177" s="83" t="n"/>
      <c r="C177" s="83" t="n"/>
      <c r="D177" s="84" t="n"/>
      <c r="E177" s="84" t="n"/>
      <c r="F177" s="84" t="n"/>
      <c r="G177" s="84" t="n"/>
      <c r="H177" s="84" t="n"/>
      <c r="I177" s="84" t="n"/>
      <c r="J177" s="84" t="n"/>
      <c r="K177" s="84" t="n"/>
      <c r="L177" s="85" t="n"/>
      <c r="M177" s="86" t="n"/>
      <c r="N177" s="245" t="n"/>
      <c r="O177" s="238" t="n"/>
      <c r="P177" s="238" t="n"/>
      <c r="Q177" s="246" t="n"/>
    </row>
    <row r="178" ht="13.2" customFormat="1" customHeight="1" s="47">
      <c r="B178" s="83" t="n"/>
      <c r="C178" s="83" t="n"/>
      <c r="D178" s="84" t="n"/>
      <c r="E178" s="84" t="n"/>
      <c r="F178" s="84" t="n"/>
      <c r="G178" s="84" t="n"/>
      <c r="H178" s="84" t="n"/>
      <c r="I178" s="84" t="n"/>
      <c r="J178" s="84" t="n"/>
      <c r="K178" s="84" t="n"/>
      <c r="L178" s="85" t="n"/>
      <c r="M178" s="86" t="n"/>
      <c r="N178" s="245" t="n"/>
      <c r="O178" s="238" t="n"/>
      <c r="P178" s="238" t="n"/>
      <c r="Q178" s="246" t="n"/>
    </row>
    <row r="179" ht="13.2" customFormat="1" customHeight="1" s="47">
      <c r="B179" s="83" t="n"/>
      <c r="C179" s="83" t="n"/>
      <c r="D179" s="84" t="n"/>
      <c r="E179" s="84" t="n"/>
      <c r="F179" s="84" t="n"/>
      <c r="G179" s="84" t="n"/>
      <c r="H179" s="84" t="n"/>
      <c r="I179" s="84" t="n"/>
      <c r="J179" s="84" t="n"/>
      <c r="K179" s="84" t="n"/>
      <c r="L179" s="85" t="n"/>
      <c r="M179" s="86" t="n"/>
      <c r="N179" s="245" t="n"/>
      <c r="O179" s="238" t="n"/>
      <c r="P179" s="238" t="n"/>
      <c r="Q179" s="246" t="n"/>
    </row>
    <row r="180" ht="13.2" customFormat="1" customHeight="1" s="47">
      <c r="B180" s="83" t="n"/>
      <c r="C180" s="83" t="n"/>
      <c r="D180" s="84" t="n"/>
      <c r="E180" s="84" t="n"/>
      <c r="F180" s="84" t="n"/>
      <c r="G180" s="84" t="n"/>
      <c r="H180" s="84" t="n"/>
      <c r="I180" s="84" t="n"/>
      <c r="J180" s="84" t="n"/>
      <c r="K180" s="84" t="n"/>
      <c r="L180" s="85" t="n"/>
      <c r="M180" s="86" t="n"/>
      <c r="N180" s="245" t="n"/>
      <c r="O180" s="238" t="n"/>
      <c r="P180" s="238" t="n"/>
      <c r="Q180" s="246" t="n"/>
    </row>
    <row r="181" ht="13.2" customFormat="1" customHeight="1" s="47">
      <c r="B181" s="83" t="n"/>
      <c r="C181" s="83" t="n"/>
      <c r="D181" s="84" t="n"/>
      <c r="E181" s="84" t="n"/>
      <c r="F181" s="84" t="n"/>
      <c r="G181" s="84" t="n"/>
      <c r="H181" s="84" t="n"/>
      <c r="I181" s="84" t="n"/>
      <c r="J181" s="84" t="n"/>
      <c r="K181" s="84" t="n"/>
      <c r="L181" s="85" t="n"/>
      <c r="M181" s="86" t="n"/>
      <c r="N181" s="245" t="n"/>
      <c r="O181" s="238" t="n"/>
      <c r="P181" s="238" t="n"/>
      <c r="Q181" s="246" t="n"/>
    </row>
    <row r="182" ht="13.2" customFormat="1" customHeight="1" s="47">
      <c r="B182" s="83" t="n"/>
      <c r="C182" s="83" t="n"/>
      <c r="D182" s="84" t="n"/>
      <c r="E182" s="84" t="n"/>
      <c r="F182" s="84" t="n"/>
      <c r="G182" s="84" t="n"/>
      <c r="H182" s="84" t="n"/>
      <c r="I182" s="84" t="n"/>
      <c r="J182" s="84" t="n"/>
      <c r="K182" s="84" t="n"/>
      <c r="L182" s="85" t="n"/>
      <c r="M182" s="86" t="n"/>
      <c r="N182" s="245" t="n"/>
      <c r="O182" s="238" t="n"/>
      <c r="P182" s="238" t="n"/>
      <c r="Q182" s="246" t="n"/>
    </row>
    <row r="183" ht="13.2" customFormat="1" customHeight="1" s="47">
      <c r="B183" s="83" t="n"/>
      <c r="C183" s="83" t="n"/>
      <c r="D183" s="84" t="n"/>
      <c r="E183" s="84" t="n"/>
      <c r="F183" s="84" t="n"/>
      <c r="G183" s="84" t="n"/>
      <c r="H183" s="84" t="n"/>
      <c r="I183" s="84" t="n"/>
      <c r="J183" s="84" t="n"/>
      <c r="K183" s="84" t="n"/>
      <c r="L183" s="85" t="n"/>
      <c r="M183" s="86" t="n"/>
      <c r="N183" s="245" t="n"/>
      <c r="O183" s="238" t="n"/>
      <c r="P183" s="238" t="n"/>
      <c r="Q183" s="246" t="n"/>
    </row>
    <row r="184" ht="13.2" customFormat="1" customHeight="1" s="47">
      <c r="B184" s="83" t="n"/>
      <c r="C184" s="83" t="n"/>
      <c r="D184" s="84" t="n"/>
      <c r="E184" s="84" t="n"/>
      <c r="F184" s="84" t="n"/>
      <c r="G184" s="84" t="n"/>
      <c r="H184" s="84" t="n"/>
      <c r="I184" s="84" t="n"/>
      <c r="J184" s="84" t="n"/>
      <c r="K184" s="84" t="n"/>
      <c r="L184" s="85" t="n"/>
      <c r="M184" s="86" t="n"/>
      <c r="N184" s="245" t="n"/>
      <c r="O184" s="238" t="n"/>
      <c r="P184" s="238" t="n"/>
      <c r="Q184" s="246" t="n"/>
    </row>
    <row r="185" ht="13.2" customFormat="1" customHeight="1" s="47">
      <c r="B185" s="83" t="n"/>
      <c r="C185" s="83" t="n"/>
      <c r="D185" s="84" t="n"/>
      <c r="E185" s="84" t="n"/>
      <c r="F185" s="84" t="n"/>
      <c r="G185" s="84" t="n"/>
      <c r="H185" s="84" t="n"/>
      <c r="I185" s="84" t="n"/>
      <c r="J185" s="84" t="n"/>
      <c r="K185" s="84" t="n"/>
      <c r="L185" s="85" t="n"/>
      <c r="M185" s="86" t="n"/>
      <c r="N185" s="245" t="n"/>
      <c r="O185" s="238" t="n"/>
      <c r="P185" s="238" t="n"/>
      <c r="Q185" s="246" t="n"/>
    </row>
    <row r="186" ht="13.2" customFormat="1" customHeight="1" s="47">
      <c r="B186" s="83" t="n"/>
      <c r="C186" s="83" t="n"/>
      <c r="D186" s="84" t="n"/>
      <c r="E186" s="84" t="n"/>
      <c r="F186" s="84" t="n"/>
      <c r="G186" s="84" t="n"/>
      <c r="H186" s="84" t="n"/>
      <c r="I186" s="84" t="n"/>
      <c r="J186" s="84" t="n"/>
      <c r="K186" s="84" t="n"/>
      <c r="L186" s="85" t="n"/>
      <c r="M186" s="86" t="n"/>
      <c r="N186" s="245" t="n"/>
      <c r="O186" s="238" t="n"/>
      <c r="P186" s="238" t="n"/>
      <c r="Q186" s="246" t="n"/>
    </row>
    <row r="187" ht="13.2" customFormat="1" customHeight="1" s="47">
      <c r="B187" s="83" t="n"/>
      <c r="C187" s="83" t="n"/>
      <c r="D187" s="84" t="n"/>
      <c r="E187" s="84" t="n"/>
      <c r="F187" s="84" t="n"/>
      <c r="G187" s="84" t="n"/>
      <c r="H187" s="84" t="n"/>
      <c r="I187" s="84" t="n"/>
      <c r="J187" s="84" t="n"/>
      <c r="K187" s="84" t="n"/>
      <c r="L187" s="85" t="n"/>
      <c r="M187" s="86" t="n"/>
      <c r="N187" s="245" t="n"/>
      <c r="O187" s="238" t="n"/>
      <c r="P187" s="238" t="n"/>
      <c r="Q187" s="246" t="n"/>
    </row>
    <row r="188" ht="13.2" customFormat="1" customHeight="1" s="47">
      <c r="B188" s="83" t="n"/>
      <c r="C188" s="83" t="n"/>
      <c r="D188" s="84" t="n"/>
      <c r="E188" s="84" t="n"/>
      <c r="F188" s="84" t="n"/>
      <c r="G188" s="84" t="n"/>
      <c r="H188" s="84" t="n"/>
      <c r="I188" s="84" t="n"/>
      <c r="J188" s="84" t="n"/>
      <c r="K188" s="84" t="n"/>
      <c r="L188" s="85" t="n"/>
      <c r="M188" s="86" t="n"/>
      <c r="N188" s="245" t="n"/>
      <c r="O188" s="238" t="n"/>
      <c r="P188" s="238" t="n"/>
      <c r="Q188" s="246" t="n"/>
    </row>
    <row r="189" ht="13.2" customFormat="1" customHeight="1" s="47">
      <c r="B189" s="83" t="n"/>
      <c r="C189" s="83" t="n"/>
      <c r="D189" s="84" t="n"/>
      <c r="E189" s="84" t="n"/>
      <c r="F189" s="84" t="n"/>
      <c r="G189" s="84" t="n"/>
      <c r="H189" s="84" t="n"/>
      <c r="I189" s="84" t="n"/>
      <c r="J189" s="84" t="n"/>
      <c r="K189" s="84" t="n"/>
      <c r="L189" s="85" t="n"/>
      <c r="M189" s="86" t="n"/>
      <c r="N189" s="245" t="n"/>
      <c r="O189" s="238" t="n"/>
      <c r="P189" s="238" t="n"/>
      <c r="Q189" s="246" t="n"/>
    </row>
    <row r="190" ht="13.2" customFormat="1" customHeight="1" s="47">
      <c r="B190" s="83" t="n"/>
      <c r="C190" s="83" t="n"/>
      <c r="D190" s="84" t="n"/>
      <c r="E190" s="84" t="n"/>
      <c r="F190" s="84" t="n"/>
      <c r="G190" s="84" t="n"/>
      <c r="H190" s="84" t="n"/>
      <c r="I190" s="84" t="n"/>
      <c r="J190" s="84" t="n"/>
      <c r="K190" s="84" t="n"/>
      <c r="L190" s="85" t="n"/>
      <c r="M190" s="86" t="n"/>
      <c r="N190" s="245" t="n"/>
      <c r="O190" s="238" t="n"/>
      <c r="P190" s="238" t="n"/>
      <c r="Q190" s="246" t="n"/>
    </row>
    <row r="191" ht="13.2" customFormat="1" customHeight="1" s="47">
      <c r="B191" s="83" t="n"/>
      <c r="C191" s="83" t="n"/>
      <c r="D191" s="84" t="n"/>
      <c r="E191" s="84" t="n"/>
      <c r="F191" s="84" t="n"/>
      <c r="G191" s="84" t="n"/>
      <c r="H191" s="84" t="n"/>
      <c r="I191" s="84" t="n"/>
      <c r="J191" s="84" t="n"/>
      <c r="K191" s="84" t="n"/>
      <c r="L191" s="85" t="n"/>
      <c r="M191" s="86" t="n"/>
      <c r="N191" s="245" t="n"/>
      <c r="O191" s="238" t="n"/>
      <c r="P191" s="238" t="n"/>
      <c r="Q191" s="246" t="n"/>
    </row>
    <row r="192" ht="13.2" customFormat="1" customHeight="1" s="47">
      <c r="B192" s="83" t="n"/>
      <c r="C192" s="83" t="n"/>
      <c r="D192" s="84" t="n"/>
      <c r="E192" s="84" t="n"/>
      <c r="F192" s="84" t="n"/>
      <c r="G192" s="84" t="n"/>
      <c r="H192" s="84" t="n"/>
      <c r="I192" s="84" t="n"/>
      <c r="J192" s="84" t="n"/>
      <c r="K192" s="84" t="n"/>
      <c r="L192" s="85" t="n"/>
      <c r="M192" s="86" t="n"/>
      <c r="N192" s="245" t="n"/>
      <c r="O192" s="238" t="n"/>
      <c r="P192" s="238" t="n"/>
      <c r="Q192" s="246" t="n"/>
    </row>
    <row r="193" ht="13.2" customFormat="1" customHeight="1" s="47">
      <c r="B193" s="83" t="n"/>
      <c r="C193" s="83" t="n"/>
      <c r="D193" s="84" t="n"/>
      <c r="E193" s="84" t="n"/>
      <c r="F193" s="84" t="n"/>
      <c r="G193" s="84" t="n"/>
      <c r="H193" s="84" t="n"/>
      <c r="I193" s="84" t="n"/>
      <c r="J193" s="84" t="n"/>
      <c r="K193" s="84" t="n"/>
      <c r="L193" s="85" t="n"/>
      <c r="M193" s="86" t="n"/>
      <c r="N193" s="245" t="n"/>
      <c r="O193" s="238" t="n"/>
      <c r="P193" s="238" t="n"/>
      <c r="Q193" s="246" t="n"/>
    </row>
    <row r="194" ht="13.2" customFormat="1" customHeight="1" s="47">
      <c r="B194" s="83" t="n"/>
      <c r="C194" s="83" t="n"/>
      <c r="D194" s="84" t="n"/>
      <c r="E194" s="84" t="n"/>
      <c r="F194" s="84" t="n"/>
      <c r="G194" s="84" t="n"/>
      <c r="H194" s="84" t="n"/>
      <c r="I194" s="84" t="n"/>
      <c r="J194" s="84" t="n"/>
      <c r="K194" s="84" t="n"/>
      <c r="L194" s="85" t="n"/>
      <c r="M194" s="86" t="n"/>
      <c r="N194" s="245" t="n"/>
      <c r="O194" s="238" t="n"/>
      <c r="P194" s="238" t="n"/>
      <c r="Q194" s="246" t="n"/>
    </row>
    <row r="195" ht="13.2" customFormat="1" customHeight="1" s="47">
      <c r="B195" s="83" t="n"/>
      <c r="C195" s="83" t="n"/>
      <c r="D195" s="84" t="n"/>
      <c r="E195" s="84" t="n"/>
      <c r="F195" s="84" t="n"/>
      <c r="G195" s="84" t="n"/>
      <c r="H195" s="84" t="n"/>
      <c r="I195" s="84" t="n"/>
      <c r="J195" s="84" t="n"/>
      <c r="K195" s="84" t="n"/>
      <c r="L195" s="85" t="n"/>
      <c r="M195" s="86" t="n"/>
      <c r="N195" s="245" t="n"/>
      <c r="O195" s="238" t="n"/>
      <c r="P195" s="238" t="n"/>
      <c r="Q195" s="246" t="n"/>
    </row>
    <row r="196" ht="13.2" customFormat="1" customHeight="1" s="47">
      <c r="B196" s="83" t="n"/>
      <c r="C196" s="83" t="n"/>
      <c r="D196" s="84" t="n"/>
      <c r="E196" s="84" t="n"/>
      <c r="F196" s="84" t="n"/>
      <c r="G196" s="84" t="n"/>
      <c r="H196" s="84" t="n"/>
      <c r="I196" s="84" t="n"/>
      <c r="J196" s="84" t="n"/>
      <c r="K196" s="84" t="n"/>
      <c r="L196" s="85" t="n"/>
      <c r="M196" s="86" t="n"/>
      <c r="N196" s="245" t="n"/>
      <c r="O196" s="238" t="n"/>
      <c r="P196" s="238" t="n"/>
      <c r="Q196" s="246" t="n"/>
    </row>
    <row r="197" ht="13.2" customFormat="1" customHeight="1" s="47">
      <c r="B197" s="83" t="n"/>
      <c r="C197" s="83" t="n"/>
      <c r="D197" s="84" t="n"/>
      <c r="E197" s="84" t="n"/>
      <c r="F197" s="84" t="n"/>
      <c r="G197" s="84" t="n"/>
      <c r="H197" s="84" t="n"/>
      <c r="I197" s="84" t="n"/>
      <c r="J197" s="84" t="n"/>
      <c r="K197" s="84" t="n"/>
      <c r="L197" s="85" t="n"/>
      <c r="M197" s="86" t="n"/>
      <c r="N197" s="245" t="n"/>
      <c r="O197" s="238" t="n"/>
      <c r="P197" s="238" t="n"/>
      <c r="Q197" s="246" t="n"/>
    </row>
    <row r="198" ht="13.2" customFormat="1" customHeight="1" s="47">
      <c r="B198" s="83" t="n"/>
      <c r="C198" s="83" t="n"/>
      <c r="D198" s="84" t="n"/>
      <c r="E198" s="84" t="n"/>
      <c r="F198" s="84" t="n"/>
      <c r="G198" s="84" t="n"/>
      <c r="H198" s="84" t="n"/>
      <c r="I198" s="84" t="n"/>
      <c r="J198" s="84" t="n"/>
      <c r="K198" s="84" t="n"/>
      <c r="L198" s="85" t="n"/>
      <c r="M198" s="86" t="n"/>
      <c r="N198" s="245" t="n"/>
      <c r="O198" s="238" t="n"/>
      <c r="P198" s="238" t="n"/>
      <c r="Q198" s="246" t="n"/>
    </row>
    <row r="199" ht="13.2" customFormat="1" customHeight="1" s="47">
      <c r="B199" s="83" t="n"/>
      <c r="C199" s="83" t="n"/>
      <c r="D199" s="84" t="n"/>
      <c r="E199" s="84" t="n"/>
      <c r="F199" s="84" t="n"/>
      <c r="G199" s="84" t="n"/>
      <c r="H199" s="84" t="n"/>
      <c r="I199" s="84" t="n"/>
      <c r="J199" s="84" t="n"/>
      <c r="K199" s="84" t="n"/>
      <c r="L199" s="85" t="n"/>
      <c r="M199" s="86" t="n"/>
      <c r="N199" s="245" t="n"/>
      <c r="O199" s="238" t="n"/>
      <c r="P199" s="238" t="n"/>
      <c r="Q199" s="246" t="n"/>
    </row>
    <row r="200" ht="13.2" customFormat="1" customHeight="1" s="47">
      <c r="B200" s="83" t="n"/>
      <c r="C200" s="83" t="n"/>
      <c r="D200" s="84" t="n"/>
      <c r="E200" s="84" t="n"/>
      <c r="F200" s="84" t="n"/>
      <c r="G200" s="84" t="n"/>
      <c r="H200" s="84" t="n"/>
      <c r="I200" s="84" t="n"/>
      <c r="J200" s="84" t="n"/>
      <c r="K200" s="84" t="n"/>
      <c r="L200" s="85" t="n"/>
      <c r="M200" s="86" t="n"/>
      <c r="N200" s="245" t="n"/>
      <c r="O200" s="238" t="n"/>
      <c r="P200" s="238" t="n"/>
      <c r="Q200" s="246" t="n"/>
    </row>
    <row r="201" ht="13.2" customFormat="1" customHeight="1" s="47">
      <c r="B201" s="83" t="n"/>
      <c r="C201" s="83" t="n"/>
      <c r="D201" s="84" t="n"/>
      <c r="E201" s="84" t="n"/>
      <c r="F201" s="84" t="n"/>
      <c r="G201" s="84" t="n"/>
      <c r="H201" s="84" t="n"/>
      <c r="I201" s="84" t="n"/>
      <c r="J201" s="84" t="n"/>
      <c r="K201" s="84" t="n"/>
      <c r="L201" s="85" t="n"/>
      <c r="M201" s="86" t="n"/>
      <c r="N201" s="245" t="n"/>
      <c r="O201" s="238" t="n"/>
      <c r="P201" s="238" t="n"/>
      <c r="Q201" s="246" t="n"/>
    </row>
    <row r="202" ht="13.2" customFormat="1" customHeight="1" s="47">
      <c r="B202" s="83" t="n"/>
      <c r="C202" s="83" t="n"/>
      <c r="D202" s="84" t="n"/>
      <c r="E202" s="84" t="n"/>
      <c r="F202" s="84" t="n"/>
      <c r="G202" s="84" t="n"/>
      <c r="H202" s="84" t="n"/>
      <c r="I202" s="84" t="n"/>
      <c r="J202" s="84" t="n"/>
      <c r="K202" s="84" t="n"/>
      <c r="L202" s="85" t="n"/>
      <c r="M202" s="86" t="n"/>
      <c r="N202" s="245" t="n"/>
      <c r="O202" s="238" t="n"/>
      <c r="P202" s="238" t="n"/>
      <c r="Q202" s="246" t="n"/>
    </row>
    <row r="203" ht="13.2" customFormat="1" customHeight="1" s="47">
      <c r="B203" s="83" t="n"/>
      <c r="C203" s="83" t="n"/>
      <c r="D203" s="84" t="n"/>
      <c r="E203" s="84" t="n"/>
      <c r="F203" s="84" t="n"/>
      <c r="G203" s="84" t="n"/>
      <c r="H203" s="84" t="n"/>
      <c r="I203" s="84" t="n"/>
      <c r="J203" s="84" t="n"/>
      <c r="K203" s="84" t="n"/>
      <c r="L203" s="85" t="n"/>
      <c r="M203" s="86" t="n"/>
      <c r="N203" s="245" t="n"/>
      <c r="O203" s="238" t="n"/>
      <c r="P203" s="238" t="n"/>
      <c r="Q203" s="246" t="n"/>
    </row>
    <row r="204" ht="13.2" customFormat="1" customHeight="1" s="47">
      <c r="B204" s="83" t="n"/>
      <c r="C204" s="83" t="n"/>
      <c r="D204" s="84" t="n"/>
      <c r="E204" s="84" t="n"/>
      <c r="F204" s="84" t="n"/>
      <c r="G204" s="84" t="n"/>
      <c r="H204" s="84" t="n"/>
      <c r="I204" s="84" t="n"/>
      <c r="J204" s="84" t="n"/>
      <c r="K204" s="84" t="n"/>
      <c r="L204" s="85" t="n"/>
      <c r="M204" s="86" t="n"/>
      <c r="N204" s="245" t="n"/>
      <c r="O204" s="238" t="n"/>
      <c r="P204" s="238" t="n"/>
      <c r="Q204" s="246" t="n"/>
    </row>
    <row r="205" ht="13.2" customFormat="1" customHeight="1" s="47">
      <c r="B205" s="83" t="n"/>
      <c r="C205" s="83" t="n"/>
      <c r="D205" s="84" t="n"/>
      <c r="E205" s="84" t="n"/>
      <c r="F205" s="84" t="n"/>
      <c r="G205" s="84" t="n"/>
      <c r="H205" s="84" t="n"/>
      <c r="I205" s="84" t="n"/>
      <c r="J205" s="84" t="n"/>
      <c r="K205" s="84" t="n"/>
      <c r="L205" s="85" t="n"/>
      <c r="M205" s="86" t="n"/>
      <c r="N205" s="245" t="n"/>
      <c r="O205" s="238" t="n"/>
      <c r="P205" s="238" t="n"/>
      <c r="Q205" s="246" t="n"/>
    </row>
    <row r="206" ht="13.2" customFormat="1" customHeight="1" s="47">
      <c r="B206" s="83" t="n"/>
      <c r="C206" s="83" t="n"/>
      <c r="D206" s="84" t="n"/>
      <c r="E206" s="84" t="n"/>
      <c r="F206" s="84" t="n"/>
      <c r="G206" s="84" t="n"/>
      <c r="H206" s="84" t="n"/>
      <c r="I206" s="84" t="n"/>
      <c r="J206" s="84" t="n"/>
      <c r="K206" s="84" t="n"/>
      <c r="L206" s="85" t="n"/>
      <c r="M206" s="86" t="n"/>
      <c r="N206" s="245" t="n"/>
      <c r="O206" s="238" t="n"/>
      <c r="P206" s="238" t="n"/>
      <c r="Q206" s="246" t="n"/>
    </row>
    <row r="207" ht="13.2" customFormat="1" customHeight="1" s="47">
      <c r="B207" s="83" t="n"/>
      <c r="C207" s="83" t="n"/>
      <c r="D207" s="84" t="n"/>
      <c r="E207" s="84" t="n"/>
      <c r="F207" s="84" t="n"/>
      <c r="G207" s="84" t="n"/>
      <c r="H207" s="84" t="n"/>
      <c r="I207" s="84" t="n"/>
      <c r="J207" s="84" t="n"/>
      <c r="K207" s="84" t="n"/>
      <c r="L207" s="85" t="n"/>
      <c r="M207" s="86" t="n"/>
      <c r="N207" s="245" t="n"/>
      <c r="O207" s="238" t="n"/>
      <c r="P207" s="238" t="n"/>
      <c r="Q207" s="246" t="n"/>
    </row>
    <row r="208" ht="13.2" customFormat="1" customHeight="1" s="47">
      <c r="B208" s="83" t="n"/>
      <c r="C208" s="83" t="n"/>
      <c r="D208" s="84" t="n"/>
      <c r="E208" s="84" t="n"/>
      <c r="F208" s="84" t="n"/>
      <c r="G208" s="84" t="n"/>
      <c r="H208" s="84" t="n"/>
      <c r="I208" s="84" t="n"/>
      <c r="J208" s="84" t="n"/>
      <c r="K208" s="84" t="n"/>
      <c r="L208" s="85" t="n"/>
      <c r="M208" s="86" t="n"/>
      <c r="N208" s="245" t="n"/>
      <c r="O208" s="238" t="n"/>
      <c r="P208" s="238" t="n"/>
      <c r="Q208" s="246" t="n"/>
    </row>
    <row r="209" ht="13.2" customFormat="1" customHeight="1" s="47">
      <c r="B209" s="83" t="n"/>
      <c r="C209" s="83" t="n"/>
      <c r="D209" s="84" t="n"/>
      <c r="E209" s="84" t="n"/>
      <c r="F209" s="84" t="n"/>
      <c r="G209" s="84" t="n"/>
      <c r="H209" s="84" t="n"/>
      <c r="I209" s="84" t="n"/>
      <c r="J209" s="84" t="n"/>
      <c r="K209" s="84" t="n"/>
      <c r="L209" s="85" t="n"/>
      <c r="M209" s="86" t="n"/>
      <c r="N209" s="245" t="n"/>
      <c r="O209" s="238" t="n"/>
      <c r="P209" s="238" t="n"/>
      <c r="Q209" s="246" t="n"/>
    </row>
    <row r="210" ht="13.2" customFormat="1" customHeight="1" s="47">
      <c r="B210" s="83" t="n"/>
      <c r="C210" s="83" t="n"/>
      <c r="D210" s="84" t="n"/>
      <c r="E210" s="84" t="n"/>
      <c r="F210" s="84" t="n"/>
      <c r="G210" s="84" t="n"/>
      <c r="H210" s="84" t="n"/>
      <c r="I210" s="84" t="n"/>
      <c r="J210" s="84" t="n"/>
      <c r="K210" s="84" t="n"/>
      <c r="L210" s="85" t="n"/>
      <c r="M210" s="86" t="n"/>
      <c r="N210" s="245" t="n"/>
      <c r="O210" s="238" t="n"/>
      <c r="P210" s="238" t="n"/>
      <c r="Q210" s="246" t="n"/>
    </row>
    <row r="211" ht="13.2" customFormat="1" customHeight="1" s="47">
      <c r="B211" s="83" t="n"/>
      <c r="C211" s="83" t="n"/>
      <c r="D211" s="84" t="n"/>
      <c r="E211" s="84" t="n"/>
      <c r="F211" s="84" t="n"/>
      <c r="G211" s="84" t="n"/>
      <c r="H211" s="84" t="n"/>
      <c r="I211" s="84" t="n"/>
      <c r="J211" s="84" t="n"/>
      <c r="K211" s="84" t="n"/>
      <c r="L211" s="85" t="n"/>
      <c r="M211" s="86" t="n"/>
      <c r="N211" s="245" t="n"/>
      <c r="O211" s="238" t="n"/>
      <c r="P211" s="238" t="n"/>
      <c r="Q211" s="246" t="n"/>
    </row>
    <row r="212" ht="13.2" customFormat="1" customHeight="1" s="47">
      <c r="B212" s="83" t="n"/>
      <c r="C212" s="83" t="n"/>
      <c r="D212" s="84" t="n"/>
      <c r="E212" s="84" t="n"/>
      <c r="F212" s="84" t="n"/>
      <c r="G212" s="84" t="n"/>
      <c r="H212" s="84" t="n"/>
      <c r="I212" s="84" t="n"/>
      <c r="J212" s="84" t="n"/>
      <c r="K212" s="84" t="n"/>
      <c r="L212" s="85" t="n"/>
      <c r="M212" s="86" t="n"/>
      <c r="N212" s="245" t="n"/>
      <c r="O212" s="238" t="n"/>
      <c r="P212" s="238" t="n"/>
      <c r="Q212" s="246" t="n"/>
    </row>
    <row r="213" ht="13.2" customFormat="1" customHeight="1" s="47">
      <c r="B213" s="83" t="n"/>
      <c r="C213" s="83" t="n"/>
      <c r="D213" s="84" t="n"/>
      <c r="E213" s="84" t="n"/>
      <c r="F213" s="84" t="n"/>
      <c r="G213" s="84" t="n"/>
      <c r="H213" s="84" t="n"/>
      <c r="I213" s="84" t="n"/>
      <c r="J213" s="84" t="n"/>
      <c r="K213" s="84" t="n"/>
      <c r="L213" s="85" t="n"/>
      <c r="M213" s="86" t="n"/>
      <c r="N213" s="245" t="n"/>
      <c r="O213" s="238" t="n"/>
      <c r="P213" s="238" t="n"/>
      <c r="Q213" s="246" t="n"/>
    </row>
    <row r="214" ht="13.2" customFormat="1" customHeight="1" s="47">
      <c r="B214" s="83" t="n"/>
      <c r="C214" s="83" t="n"/>
      <c r="D214" s="84" t="n"/>
      <c r="E214" s="84" t="n"/>
      <c r="F214" s="84" t="n"/>
      <c r="G214" s="84" t="n"/>
      <c r="H214" s="84" t="n"/>
      <c r="I214" s="84" t="n"/>
      <c r="J214" s="84" t="n"/>
      <c r="K214" s="84" t="n"/>
      <c r="L214" s="85" t="n"/>
      <c r="M214" s="86" t="n"/>
      <c r="N214" s="245" t="n"/>
      <c r="O214" s="238" t="n"/>
      <c r="P214" s="238" t="n"/>
      <c r="Q214" s="246" t="n"/>
    </row>
    <row r="215" ht="13.2" customFormat="1" customHeight="1" s="47">
      <c r="B215" s="83" t="n"/>
      <c r="C215" s="83" t="n"/>
      <c r="D215" s="84" t="n"/>
      <c r="E215" s="84" t="n"/>
      <c r="F215" s="84" t="n"/>
      <c r="G215" s="84" t="n"/>
      <c r="H215" s="84" t="n"/>
      <c r="I215" s="84" t="n"/>
      <c r="J215" s="84" t="n"/>
      <c r="K215" s="84" t="n"/>
      <c r="L215" s="85" t="n"/>
      <c r="M215" s="86" t="n"/>
      <c r="N215" s="245" t="n"/>
      <c r="O215" s="238" t="n"/>
      <c r="P215" s="238" t="n"/>
      <c r="Q215" s="246" t="n"/>
    </row>
    <row r="216" ht="13.2" customFormat="1" customHeight="1" s="47">
      <c r="B216" s="83" t="n"/>
      <c r="C216" s="83" t="n"/>
      <c r="D216" s="84" t="n"/>
      <c r="E216" s="84" t="n"/>
      <c r="F216" s="84" t="n"/>
      <c r="G216" s="84" t="n"/>
      <c r="H216" s="84" t="n"/>
      <c r="I216" s="84" t="n"/>
      <c r="J216" s="84" t="n"/>
      <c r="K216" s="84" t="n"/>
      <c r="L216" s="85" t="n"/>
      <c r="M216" s="86" t="n"/>
      <c r="N216" s="245" t="n"/>
      <c r="O216" s="238" t="n"/>
      <c r="P216" s="238" t="n"/>
      <c r="Q216" s="246" t="n"/>
    </row>
    <row r="217" ht="13.2" customFormat="1" customHeight="1" s="47">
      <c r="B217" s="83" t="n"/>
      <c r="C217" s="83" t="n"/>
      <c r="D217" s="84" t="n"/>
      <c r="E217" s="84" t="n"/>
      <c r="F217" s="84" t="n"/>
      <c r="G217" s="84" t="n"/>
      <c r="H217" s="84" t="n"/>
      <c r="I217" s="84" t="n"/>
      <c r="J217" s="84" t="n"/>
      <c r="K217" s="84" t="n"/>
      <c r="L217" s="85" t="n"/>
      <c r="M217" s="86" t="n"/>
      <c r="N217" s="245" t="n"/>
      <c r="O217" s="238" t="n"/>
      <c r="P217" s="238" t="n"/>
      <c r="Q217" s="246" t="n"/>
    </row>
    <row r="218" ht="13.2" customFormat="1" customHeight="1" s="47">
      <c r="B218" s="83" t="n"/>
      <c r="C218" s="83" t="n"/>
      <c r="D218" s="84" t="n"/>
      <c r="E218" s="84" t="n"/>
      <c r="F218" s="84" t="n"/>
      <c r="G218" s="84" t="n"/>
      <c r="H218" s="84" t="n"/>
      <c r="I218" s="84" t="n"/>
      <c r="J218" s="84" t="n"/>
      <c r="K218" s="84" t="n"/>
      <c r="L218" s="85" t="n"/>
      <c r="M218" s="86" t="n"/>
      <c r="N218" s="245" t="n"/>
      <c r="O218" s="238" t="n"/>
      <c r="P218" s="238" t="n"/>
      <c r="Q218" s="246" t="n"/>
    </row>
    <row r="219" ht="13.2" customFormat="1" customHeight="1" s="47">
      <c r="B219" s="83" t="n"/>
      <c r="C219" s="83" t="n"/>
      <c r="D219" s="84" t="n"/>
      <c r="E219" s="84" t="n"/>
      <c r="F219" s="84" t="n"/>
      <c r="G219" s="84" t="n"/>
      <c r="H219" s="84" t="n"/>
      <c r="I219" s="84" t="n"/>
      <c r="J219" s="84" t="n"/>
      <c r="K219" s="84" t="n"/>
      <c r="L219" s="85" t="n"/>
      <c r="M219" s="86" t="n"/>
      <c r="N219" s="245" t="n"/>
      <c r="O219" s="238" t="n"/>
      <c r="P219" s="238" t="n"/>
      <c r="Q219" s="246" t="n"/>
    </row>
    <row r="220" ht="13.2" customFormat="1" customHeight="1" s="47">
      <c r="B220" s="83" t="n"/>
      <c r="C220" s="83" t="n"/>
      <c r="D220" s="84" t="n"/>
      <c r="E220" s="84" t="n"/>
      <c r="F220" s="84" t="n"/>
      <c r="G220" s="84" t="n"/>
      <c r="H220" s="84" t="n"/>
      <c r="I220" s="84" t="n"/>
      <c r="J220" s="84" t="n"/>
      <c r="K220" s="84" t="n"/>
      <c r="L220" s="85" t="n"/>
      <c r="M220" s="86" t="n"/>
      <c r="N220" s="245" t="n"/>
      <c r="O220" s="238" t="n"/>
      <c r="P220" s="238" t="n"/>
      <c r="Q220" s="246" t="n"/>
    </row>
    <row r="221" ht="13.2" customFormat="1" customHeight="1" s="47">
      <c r="B221" s="83" t="n"/>
      <c r="C221" s="83" t="n"/>
      <c r="D221" s="84" t="n"/>
      <c r="E221" s="84" t="n"/>
      <c r="F221" s="84" t="n"/>
      <c r="G221" s="84" t="n"/>
      <c r="H221" s="84" t="n"/>
      <c r="I221" s="84" t="n"/>
      <c r="J221" s="84" t="n"/>
      <c r="K221" s="84" t="n"/>
      <c r="L221" s="85" t="n"/>
      <c r="M221" s="86" t="n"/>
      <c r="N221" s="245" t="n"/>
      <c r="O221" s="238" t="n"/>
      <c r="P221" s="238" t="n"/>
      <c r="Q221" s="246" t="n"/>
    </row>
    <row r="222" ht="13.2" customFormat="1" customHeight="1" s="47">
      <c r="B222" s="83" t="n"/>
      <c r="C222" s="83" t="n"/>
      <c r="D222" s="84" t="n"/>
      <c r="E222" s="84" t="n"/>
      <c r="F222" s="84" t="n"/>
      <c r="G222" s="84" t="n"/>
      <c r="H222" s="84" t="n"/>
      <c r="I222" s="84" t="n"/>
      <c r="J222" s="84" t="n"/>
      <c r="K222" s="84" t="n"/>
      <c r="L222" s="85" t="n"/>
      <c r="M222" s="86" t="n"/>
      <c r="N222" s="245" t="n"/>
      <c r="O222" s="238" t="n"/>
      <c r="P222" s="238" t="n"/>
      <c r="Q222" s="246" t="n"/>
    </row>
    <row r="223" ht="13.2" customFormat="1" customHeight="1" s="47">
      <c r="B223" s="83" t="n"/>
      <c r="C223" s="83" t="n"/>
      <c r="D223" s="84" t="n"/>
      <c r="E223" s="84" t="n"/>
      <c r="F223" s="84" t="n"/>
      <c r="G223" s="84" t="n"/>
      <c r="H223" s="84" t="n"/>
      <c r="I223" s="84" t="n"/>
      <c r="J223" s="84" t="n"/>
      <c r="K223" s="84" t="n"/>
      <c r="L223" s="85" t="n"/>
      <c r="M223" s="86" t="n"/>
      <c r="N223" s="245" t="n"/>
      <c r="O223" s="238" t="n"/>
      <c r="P223" s="238" t="n"/>
      <c r="Q223" s="246" t="n"/>
    </row>
    <row r="224" ht="13.2" customFormat="1" customHeight="1" s="47">
      <c r="B224" s="83" t="n"/>
      <c r="C224" s="83" t="n"/>
      <c r="D224" s="84" t="n"/>
      <c r="E224" s="84" t="n"/>
      <c r="F224" s="84" t="n"/>
      <c r="G224" s="84" t="n"/>
      <c r="H224" s="84" t="n"/>
      <c r="I224" s="84" t="n"/>
      <c r="J224" s="84" t="n"/>
      <c r="K224" s="84" t="n"/>
      <c r="L224" s="85" t="n"/>
      <c r="M224" s="86" t="n"/>
      <c r="N224" s="245" t="n"/>
      <c r="O224" s="238" t="n"/>
      <c r="P224" s="238" t="n"/>
      <c r="Q224" s="246" t="n"/>
    </row>
    <row r="225" ht="13.2" customFormat="1" customHeight="1" s="47">
      <c r="B225" s="83" t="n"/>
      <c r="C225" s="83" t="n"/>
      <c r="D225" s="84" t="n"/>
      <c r="E225" s="84" t="n"/>
      <c r="F225" s="84" t="n"/>
      <c r="G225" s="84" t="n"/>
      <c r="H225" s="84" t="n"/>
      <c r="I225" s="84" t="n"/>
      <c r="J225" s="84" t="n"/>
      <c r="K225" s="84" t="n"/>
      <c r="L225" s="85" t="n"/>
      <c r="M225" s="86" t="n"/>
      <c r="N225" s="245" t="n"/>
      <c r="O225" s="238" t="n"/>
      <c r="P225" s="238" t="n"/>
      <c r="Q225" s="246" t="n"/>
    </row>
    <row r="226" ht="13.2" customFormat="1" customHeight="1" s="47">
      <c r="B226" s="83" t="n"/>
      <c r="C226" s="83" t="n"/>
      <c r="D226" s="84" t="n"/>
      <c r="E226" s="84" t="n"/>
      <c r="F226" s="84" t="n"/>
      <c r="G226" s="84" t="n"/>
      <c r="H226" s="84" t="n"/>
      <c r="I226" s="84" t="n"/>
      <c r="J226" s="84" t="n"/>
      <c r="K226" s="84" t="n"/>
      <c r="L226" s="85" t="n"/>
      <c r="M226" s="86" t="n"/>
      <c r="N226" s="245" t="n"/>
      <c r="O226" s="238" t="n"/>
      <c r="P226" s="238" t="n"/>
      <c r="Q226" s="246" t="n"/>
    </row>
    <row r="227" ht="13.2" customFormat="1" customHeight="1" s="47">
      <c r="B227" s="83" t="n"/>
      <c r="C227" s="83" t="n"/>
      <c r="D227" s="84" t="n"/>
      <c r="E227" s="84" t="n"/>
      <c r="F227" s="84" t="n"/>
      <c r="G227" s="84" t="n"/>
      <c r="H227" s="84" t="n"/>
      <c r="I227" s="84" t="n"/>
      <c r="J227" s="84" t="n"/>
      <c r="K227" s="84" t="n"/>
      <c r="L227" s="85" t="n"/>
      <c r="M227" s="86" t="n"/>
      <c r="N227" s="245" t="n"/>
      <c r="O227" s="238" t="n"/>
      <c r="P227" s="238" t="n"/>
      <c r="Q227" s="246" t="n"/>
    </row>
    <row r="228" ht="13.2" customFormat="1" customHeight="1" s="47">
      <c r="B228" s="83" t="n"/>
      <c r="C228" s="83" t="n"/>
      <c r="D228" s="84" t="n"/>
      <c r="E228" s="84" t="n"/>
      <c r="F228" s="84" t="n"/>
      <c r="G228" s="84" t="n"/>
      <c r="H228" s="84" t="n"/>
      <c r="I228" s="84" t="n"/>
      <c r="J228" s="84" t="n"/>
      <c r="K228" s="84" t="n"/>
      <c r="L228" s="85" t="n"/>
      <c r="M228" s="86" t="n"/>
      <c r="N228" s="245" t="n"/>
      <c r="O228" s="238" t="n"/>
      <c r="P228" s="238" t="n"/>
      <c r="Q228" s="246" t="n"/>
    </row>
    <row r="229" ht="13.2" customFormat="1" customHeight="1" s="47">
      <c r="B229" s="83" t="n"/>
      <c r="C229" s="83" t="n"/>
      <c r="D229" s="84" t="n"/>
      <c r="E229" s="84" t="n"/>
      <c r="F229" s="84" t="n"/>
      <c r="G229" s="84" t="n"/>
      <c r="H229" s="84" t="n"/>
      <c r="I229" s="84" t="n"/>
      <c r="J229" s="84" t="n"/>
      <c r="K229" s="84" t="n"/>
      <c r="L229" s="85" t="n"/>
      <c r="M229" s="86" t="n"/>
      <c r="N229" s="245" t="n"/>
      <c r="O229" s="238" t="n"/>
      <c r="P229" s="238" t="n"/>
      <c r="Q229" s="246" t="n"/>
    </row>
    <row r="230" ht="13.2" customFormat="1" customHeight="1" s="47">
      <c r="B230" s="83" t="n"/>
      <c r="C230" s="83" t="n"/>
      <c r="D230" s="84" t="n"/>
      <c r="E230" s="84" t="n"/>
      <c r="F230" s="84" t="n"/>
      <c r="G230" s="84" t="n"/>
      <c r="H230" s="84" t="n"/>
      <c r="I230" s="84" t="n"/>
      <c r="J230" s="84" t="n"/>
      <c r="K230" s="84" t="n"/>
      <c r="L230" s="85" t="n"/>
      <c r="M230" s="86" t="n"/>
      <c r="N230" s="245" t="n"/>
      <c r="O230" s="238" t="n"/>
      <c r="P230" s="238" t="n"/>
      <c r="Q230" s="246" t="n"/>
    </row>
    <row r="231" ht="13.2" customFormat="1" customHeight="1" s="47">
      <c r="B231" s="83" t="n"/>
      <c r="C231" s="83" t="n"/>
      <c r="D231" s="84" t="n"/>
      <c r="E231" s="84" t="n"/>
      <c r="F231" s="84" t="n"/>
      <c r="G231" s="84" t="n"/>
      <c r="H231" s="84" t="n"/>
      <c r="I231" s="84" t="n"/>
      <c r="J231" s="84" t="n"/>
      <c r="K231" s="84" t="n"/>
      <c r="L231" s="85" t="n"/>
      <c r="M231" s="86" t="n"/>
      <c r="N231" s="245" t="n"/>
      <c r="O231" s="238" t="n"/>
      <c r="P231" s="238" t="n"/>
      <c r="Q231" s="246" t="n"/>
    </row>
    <row r="232" ht="13.2" customFormat="1" customHeight="1" s="47">
      <c r="B232" s="83" t="n"/>
      <c r="C232" s="83" t="n"/>
      <c r="D232" s="84" t="n"/>
      <c r="E232" s="84" t="n"/>
      <c r="F232" s="84" t="n"/>
      <c r="G232" s="84" t="n"/>
      <c r="H232" s="84" t="n"/>
      <c r="I232" s="84" t="n"/>
      <c r="J232" s="84" t="n"/>
      <c r="K232" s="84" t="n"/>
      <c r="L232" s="85" t="n"/>
      <c r="M232" s="86" t="n"/>
      <c r="N232" s="245" t="n"/>
      <c r="O232" s="238" t="n"/>
      <c r="P232" s="238" t="n"/>
      <c r="Q232" s="246" t="n"/>
    </row>
    <row r="233" ht="13.2" customFormat="1" customHeight="1" s="47">
      <c r="B233" s="83" t="n"/>
      <c r="C233" s="83" t="n"/>
      <c r="D233" s="84" t="n"/>
      <c r="E233" s="84" t="n"/>
      <c r="F233" s="84" t="n"/>
      <c r="G233" s="84" t="n"/>
      <c r="H233" s="84" t="n"/>
      <c r="I233" s="84" t="n"/>
      <c r="J233" s="84" t="n"/>
      <c r="K233" s="84" t="n"/>
      <c r="L233" s="85" t="n"/>
      <c r="M233" s="86" t="n"/>
      <c r="N233" s="245" t="n"/>
      <c r="O233" s="238" t="n"/>
      <c r="P233" s="238" t="n"/>
      <c r="Q233" s="246" t="n"/>
    </row>
    <row r="234" ht="13.2" customFormat="1" customHeight="1" s="47">
      <c r="B234" s="83" t="n"/>
      <c r="C234" s="83" t="n"/>
      <c r="D234" s="84" t="n"/>
      <c r="E234" s="84" t="n"/>
      <c r="F234" s="84" t="n"/>
      <c r="G234" s="84" t="n"/>
      <c r="H234" s="84" t="n"/>
      <c r="I234" s="84" t="n"/>
      <c r="J234" s="84" t="n"/>
      <c r="K234" s="84" t="n"/>
      <c r="L234" s="85" t="n"/>
      <c r="M234" s="86" t="n"/>
      <c r="N234" s="245" t="n"/>
      <c r="O234" s="238" t="n"/>
      <c r="P234" s="238" t="n"/>
      <c r="Q234" s="246" t="n"/>
    </row>
    <row r="235" ht="13.2" customFormat="1" customHeight="1" s="47">
      <c r="B235" s="83" t="n"/>
      <c r="C235" s="83" t="n"/>
      <c r="D235" s="84" t="n"/>
      <c r="E235" s="84" t="n"/>
      <c r="F235" s="84" t="n"/>
      <c r="G235" s="84" t="n"/>
      <c r="H235" s="84" t="n"/>
      <c r="I235" s="84" t="n"/>
      <c r="J235" s="84" t="n"/>
      <c r="K235" s="84" t="n"/>
      <c r="L235" s="85" t="n"/>
      <c r="M235" s="86" t="n"/>
      <c r="N235" s="245" t="n"/>
      <c r="O235" s="238" t="n"/>
      <c r="P235" s="238" t="n"/>
      <c r="Q235" s="246" t="n"/>
    </row>
    <row r="236" ht="13.2" customFormat="1" customHeight="1" s="47">
      <c r="B236" s="83" t="n"/>
      <c r="C236" s="83" t="n"/>
      <c r="D236" s="84" t="n"/>
      <c r="E236" s="84" t="n"/>
      <c r="F236" s="84" t="n"/>
      <c r="G236" s="84" t="n"/>
      <c r="H236" s="84" t="n"/>
      <c r="I236" s="84" t="n"/>
      <c r="J236" s="84" t="n"/>
      <c r="K236" s="84" t="n"/>
      <c r="L236" s="85" t="n"/>
      <c r="M236" s="86" t="n"/>
      <c r="N236" s="245" t="n"/>
      <c r="O236" s="238" t="n"/>
      <c r="P236" s="238" t="n"/>
      <c r="Q236" s="246" t="n"/>
    </row>
    <row r="237" ht="13.2" customFormat="1" customHeight="1" s="47">
      <c r="B237" s="83" t="n"/>
      <c r="C237" s="83" t="n"/>
      <c r="D237" s="84" t="n"/>
      <c r="E237" s="84" t="n"/>
      <c r="F237" s="84" t="n"/>
      <c r="G237" s="84" t="n"/>
      <c r="H237" s="84" t="n"/>
      <c r="I237" s="84" t="n"/>
      <c r="J237" s="84" t="n"/>
      <c r="K237" s="84" t="n"/>
      <c r="L237" s="85" t="n"/>
      <c r="M237" s="86" t="n"/>
      <c r="N237" s="245" t="n"/>
      <c r="O237" s="238" t="n"/>
      <c r="P237" s="238" t="n"/>
      <c r="Q237" s="246" t="n"/>
    </row>
    <row r="238" ht="13.2" customFormat="1" customHeight="1" s="47">
      <c r="B238" s="83" t="n"/>
      <c r="C238" s="83" t="n"/>
      <c r="D238" s="84" t="n"/>
      <c r="E238" s="84" t="n"/>
      <c r="F238" s="84" t="n"/>
      <c r="G238" s="84" t="n"/>
      <c r="H238" s="84" t="n"/>
      <c r="I238" s="84" t="n"/>
      <c r="J238" s="84" t="n"/>
      <c r="K238" s="84" t="n"/>
      <c r="L238" s="85" t="n"/>
      <c r="M238" s="86" t="n"/>
      <c r="N238" s="245" t="n"/>
      <c r="O238" s="238" t="n"/>
      <c r="P238" s="238" t="n"/>
      <c r="Q238" s="246" t="n"/>
    </row>
    <row r="239" ht="13.2" customFormat="1" customHeight="1" s="47">
      <c r="B239" s="83" t="n"/>
      <c r="C239" s="83" t="n"/>
      <c r="D239" s="84" t="n"/>
      <c r="E239" s="84" t="n"/>
      <c r="F239" s="84" t="n"/>
      <c r="G239" s="84" t="n"/>
      <c r="H239" s="84" t="n"/>
      <c r="I239" s="84" t="n"/>
      <c r="J239" s="84" t="n"/>
      <c r="K239" s="84" t="n"/>
      <c r="L239" s="85" t="n"/>
      <c r="M239" s="86" t="n"/>
      <c r="N239" s="245" t="n"/>
      <c r="O239" s="238" t="n"/>
      <c r="P239" s="238" t="n"/>
      <c r="Q239" s="246" t="n"/>
    </row>
    <row r="240" ht="13.2" customFormat="1" customHeight="1" s="47">
      <c r="B240" s="83" t="n"/>
      <c r="C240" s="83" t="n"/>
      <c r="D240" s="84" t="n"/>
      <c r="E240" s="84" t="n"/>
      <c r="F240" s="84" t="n"/>
      <c r="G240" s="84" t="n"/>
      <c r="H240" s="84" t="n"/>
      <c r="I240" s="84" t="n"/>
      <c r="J240" s="84" t="n"/>
      <c r="K240" s="84" t="n"/>
      <c r="L240" s="85" t="n"/>
      <c r="M240" s="86" t="n"/>
      <c r="N240" s="245" t="n"/>
      <c r="O240" s="238" t="n"/>
      <c r="P240" s="238" t="n"/>
      <c r="Q240" s="246" t="n"/>
    </row>
    <row r="241" ht="13.2" customFormat="1" customHeight="1" s="47">
      <c r="B241" s="83" t="n"/>
      <c r="C241" s="83" t="n"/>
      <c r="D241" s="84" t="n"/>
      <c r="E241" s="84" t="n"/>
      <c r="F241" s="84" t="n"/>
      <c r="G241" s="84" t="n"/>
      <c r="H241" s="84" t="n"/>
      <c r="I241" s="84" t="n"/>
      <c r="J241" s="84" t="n"/>
      <c r="K241" s="84" t="n"/>
      <c r="L241" s="85" t="n"/>
      <c r="M241" s="86" t="n"/>
      <c r="N241" s="245" t="n"/>
      <c r="O241" s="238" t="n"/>
      <c r="P241" s="238" t="n"/>
      <c r="Q241" s="246" t="n"/>
    </row>
    <row r="242" ht="13.2" customFormat="1" customHeight="1" s="47">
      <c r="B242" s="83" t="n"/>
      <c r="C242" s="83" t="n"/>
      <c r="D242" s="84" t="n"/>
      <c r="E242" s="84" t="n"/>
      <c r="F242" s="84" t="n"/>
      <c r="G242" s="84" t="n"/>
      <c r="H242" s="84" t="n"/>
      <c r="I242" s="84" t="n"/>
      <c r="J242" s="84" t="n"/>
      <c r="K242" s="84" t="n"/>
      <c r="L242" s="85" t="n"/>
      <c r="M242" s="86" t="n"/>
      <c r="N242" s="245" t="n"/>
      <c r="O242" s="238" t="n"/>
      <c r="P242" s="238" t="n"/>
      <c r="Q242" s="246" t="n"/>
    </row>
    <row r="243" ht="13.2" customFormat="1" customHeight="1" s="47">
      <c r="B243" s="83" t="n"/>
      <c r="C243" s="83" t="n"/>
      <c r="D243" s="84" t="n"/>
      <c r="E243" s="84" t="n"/>
      <c r="F243" s="84" t="n"/>
      <c r="G243" s="84" t="n"/>
      <c r="H243" s="84" t="n"/>
      <c r="I243" s="84" t="n"/>
      <c r="J243" s="84" t="n"/>
      <c r="K243" s="84" t="n"/>
      <c r="L243" s="85" t="n"/>
      <c r="M243" s="86" t="n"/>
      <c r="N243" s="245" t="n"/>
      <c r="O243" s="238" t="n"/>
      <c r="P243" s="238" t="n"/>
      <c r="Q243" s="246" t="n"/>
    </row>
    <row r="244" ht="13.2" customFormat="1" customHeight="1" s="47">
      <c r="B244" s="83" t="n"/>
      <c r="C244" s="83" t="n"/>
      <c r="D244" s="84" t="n"/>
      <c r="E244" s="84" t="n"/>
      <c r="F244" s="84" t="n"/>
      <c r="G244" s="84" t="n"/>
      <c r="H244" s="84" t="n"/>
      <c r="I244" s="84" t="n"/>
      <c r="J244" s="84" t="n"/>
      <c r="K244" s="84" t="n"/>
      <c r="L244" s="85" t="n"/>
      <c r="M244" s="86" t="n"/>
      <c r="N244" s="245" t="n"/>
      <c r="O244" s="238" t="n"/>
      <c r="P244" s="238" t="n"/>
      <c r="Q244" s="246" t="n"/>
    </row>
    <row r="245" ht="13.2" customFormat="1" customHeight="1" s="47">
      <c r="B245" s="83" t="n"/>
      <c r="C245" s="83" t="n"/>
      <c r="D245" s="84" t="n"/>
      <c r="E245" s="84" t="n"/>
      <c r="F245" s="84" t="n"/>
      <c r="G245" s="84" t="n"/>
      <c r="H245" s="84" t="n"/>
      <c r="I245" s="84" t="n"/>
      <c r="J245" s="84" t="n"/>
      <c r="K245" s="84" t="n"/>
      <c r="L245" s="85" t="n"/>
      <c r="M245" s="86" t="n"/>
      <c r="N245" s="245" t="n"/>
      <c r="O245" s="238" t="n"/>
      <c r="P245" s="238" t="n"/>
      <c r="Q245" s="246" t="n"/>
    </row>
    <row r="246" ht="13.2" customFormat="1" customHeight="1" s="47">
      <c r="B246" s="83" t="n"/>
      <c r="C246" s="83" t="n"/>
      <c r="D246" s="84" t="n"/>
      <c r="E246" s="84" t="n"/>
      <c r="F246" s="84" t="n"/>
      <c r="G246" s="84" t="n"/>
      <c r="H246" s="84" t="n"/>
      <c r="I246" s="84" t="n"/>
      <c r="J246" s="84" t="n"/>
      <c r="K246" s="84" t="n"/>
      <c r="L246" s="85" t="n"/>
      <c r="M246" s="86" t="n"/>
      <c r="N246" s="245" t="n"/>
      <c r="O246" s="238" t="n"/>
      <c r="P246" s="238" t="n"/>
      <c r="Q246" s="246" t="n"/>
    </row>
    <row r="247" ht="13.2" customFormat="1" customHeight="1" s="47">
      <c r="B247" s="83" t="n"/>
      <c r="C247" s="83" t="n"/>
      <c r="D247" s="84" t="n"/>
      <c r="E247" s="84" t="n"/>
      <c r="F247" s="84" t="n"/>
      <c r="G247" s="84" t="n"/>
      <c r="H247" s="84" t="n"/>
      <c r="I247" s="84" t="n"/>
      <c r="J247" s="84" t="n"/>
      <c r="K247" s="84" t="n"/>
      <c r="L247" s="85" t="n"/>
      <c r="M247" s="86" t="n"/>
      <c r="N247" s="245" t="n"/>
      <c r="O247" s="238" t="n"/>
      <c r="P247" s="238" t="n"/>
      <c r="Q247" s="246" t="n"/>
    </row>
    <row r="248" ht="13.2" customFormat="1" customHeight="1" s="47">
      <c r="B248" s="83" t="n"/>
      <c r="C248" s="83" t="n"/>
      <c r="D248" s="84" t="n"/>
      <c r="E248" s="84" t="n"/>
      <c r="F248" s="84" t="n"/>
      <c r="G248" s="84" t="n"/>
      <c r="H248" s="84" t="n"/>
      <c r="I248" s="84" t="n"/>
      <c r="J248" s="84" t="n"/>
      <c r="K248" s="84" t="n"/>
      <c r="L248" s="85" t="n"/>
      <c r="M248" s="86" t="n"/>
      <c r="N248" s="245" t="n"/>
      <c r="O248" s="238" t="n"/>
      <c r="P248" s="238" t="n"/>
      <c r="Q248" s="246" t="n"/>
    </row>
    <row r="249" ht="13.2" customFormat="1" customHeight="1" s="47">
      <c r="B249" s="83" t="n"/>
      <c r="C249" s="83" t="n"/>
      <c r="D249" s="84" t="n"/>
      <c r="E249" s="84" t="n"/>
      <c r="F249" s="84" t="n"/>
      <c r="G249" s="84" t="n"/>
      <c r="H249" s="84" t="n"/>
      <c r="I249" s="84" t="n"/>
      <c r="J249" s="84" t="n"/>
      <c r="K249" s="84" t="n"/>
      <c r="L249" s="85" t="n"/>
      <c r="M249" s="86" t="n"/>
      <c r="N249" s="245" t="n"/>
      <c r="O249" s="238" t="n"/>
      <c r="P249" s="238" t="n"/>
      <c r="Q249" s="246" t="n"/>
    </row>
    <row r="250" ht="13.2" customFormat="1" customHeight="1" s="47">
      <c r="B250" s="83" t="n"/>
      <c r="C250" s="83" t="n"/>
      <c r="D250" s="84" t="n"/>
      <c r="E250" s="84" t="n"/>
      <c r="F250" s="84" t="n"/>
      <c r="G250" s="84" t="n"/>
      <c r="H250" s="84" t="n"/>
      <c r="I250" s="84" t="n"/>
      <c r="J250" s="84" t="n"/>
      <c r="K250" s="84" t="n"/>
      <c r="L250" s="85" t="n"/>
      <c r="M250" s="86" t="n"/>
      <c r="N250" s="245" t="n"/>
      <c r="O250" s="238" t="n"/>
      <c r="P250" s="238" t="n"/>
      <c r="Q250" s="246" t="n"/>
    </row>
    <row r="251" ht="13.2" customFormat="1" customHeight="1" s="47">
      <c r="B251" s="83" t="n"/>
      <c r="C251" s="83" t="n"/>
      <c r="D251" s="84" t="n"/>
      <c r="E251" s="84" t="n"/>
      <c r="F251" s="84" t="n"/>
      <c r="G251" s="84" t="n"/>
      <c r="H251" s="84" t="n"/>
      <c r="I251" s="84" t="n"/>
      <c r="J251" s="84" t="n"/>
      <c r="K251" s="84" t="n"/>
      <c r="L251" s="85" t="n"/>
      <c r="M251" s="86" t="n"/>
      <c r="N251" s="245" t="n"/>
      <c r="O251" s="238" t="n"/>
      <c r="P251" s="238" t="n"/>
      <c r="Q251" s="246" t="n"/>
    </row>
    <row r="252" ht="13.2" customFormat="1" customHeight="1" s="47">
      <c r="B252" s="83" t="n"/>
      <c r="C252" s="83" t="n"/>
      <c r="D252" s="84" t="n"/>
      <c r="E252" s="84" t="n"/>
      <c r="F252" s="84" t="n"/>
      <c r="G252" s="84" t="n"/>
      <c r="H252" s="84" t="n"/>
      <c r="I252" s="84" t="n"/>
      <c r="J252" s="84" t="n"/>
      <c r="K252" s="84" t="n"/>
      <c r="L252" s="85" t="n"/>
      <c r="M252" s="86" t="n"/>
      <c r="N252" s="245" t="n"/>
      <c r="O252" s="238" t="n"/>
      <c r="P252" s="238" t="n"/>
      <c r="Q252" s="246" t="n"/>
    </row>
    <row r="253" ht="13.2" customFormat="1" customHeight="1" s="47">
      <c r="B253" s="83" t="n"/>
      <c r="C253" s="83" t="n"/>
      <c r="D253" s="84" t="n"/>
      <c r="E253" s="84" t="n"/>
      <c r="F253" s="84" t="n"/>
      <c r="G253" s="84" t="n"/>
      <c r="H253" s="84" t="n"/>
      <c r="I253" s="84" t="n"/>
      <c r="J253" s="84" t="n"/>
      <c r="K253" s="84" t="n"/>
      <c r="L253" s="85" t="n"/>
      <c r="M253" s="86" t="n"/>
      <c r="N253" s="245" t="n"/>
      <c r="O253" s="238" t="n"/>
      <c r="P253" s="238" t="n"/>
      <c r="Q253" s="246" t="n"/>
    </row>
    <row r="254" ht="13.2" customFormat="1" customHeight="1" s="47">
      <c r="B254" s="83" t="n"/>
      <c r="C254" s="83" t="n"/>
      <c r="D254" s="84" t="n"/>
      <c r="E254" s="84" t="n"/>
      <c r="F254" s="84" t="n"/>
      <c r="G254" s="84" t="n"/>
      <c r="H254" s="84" t="n"/>
      <c r="I254" s="84" t="n"/>
      <c r="J254" s="84" t="n"/>
      <c r="K254" s="84" t="n"/>
      <c r="L254" s="85" t="n"/>
      <c r="M254" s="86" t="n"/>
      <c r="N254" s="245" t="n"/>
      <c r="O254" s="238" t="n"/>
      <c r="P254" s="238" t="n"/>
      <c r="Q254" s="246" t="n"/>
    </row>
    <row r="255" ht="13.2" customFormat="1" customHeight="1" s="47">
      <c r="B255" s="83" t="n"/>
      <c r="C255" s="83" t="n"/>
      <c r="D255" s="84" t="n"/>
      <c r="E255" s="84" t="n"/>
      <c r="F255" s="84" t="n"/>
      <c r="G255" s="84" t="n"/>
      <c r="H255" s="84" t="n"/>
      <c r="I255" s="84" t="n"/>
      <c r="J255" s="84" t="n"/>
      <c r="K255" s="84" t="n"/>
      <c r="L255" s="85" t="n"/>
      <c r="M255" s="86" t="n"/>
      <c r="N255" s="245" t="n"/>
      <c r="O255" s="238" t="n"/>
      <c r="P255" s="238" t="n"/>
      <c r="Q255" s="246" t="n"/>
    </row>
    <row r="256" ht="13.2" customFormat="1" customHeight="1" s="47">
      <c r="B256" s="83" t="n"/>
      <c r="C256" s="83" t="n"/>
      <c r="D256" s="84" t="n"/>
      <c r="E256" s="84" t="n"/>
      <c r="F256" s="84" t="n"/>
      <c r="G256" s="84" t="n"/>
      <c r="H256" s="84" t="n"/>
      <c r="I256" s="84" t="n"/>
      <c r="J256" s="84" t="n"/>
      <c r="K256" s="84" t="n"/>
      <c r="L256" s="85" t="n"/>
      <c r="M256" s="86" t="n"/>
      <c r="N256" s="245" t="n"/>
      <c r="O256" s="238" t="n"/>
      <c r="P256" s="238" t="n"/>
      <c r="Q256" s="246" t="n"/>
    </row>
    <row r="257" ht="13.2" customFormat="1" customHeight="1" s="47">
      <c r="B257" s="83" t="n"/>
      <c r="C257" s="83" t="n"/>
      <c r="D257" s="84" t="n"/>
      <c r="E257" s="84" t="n"/>
      <c r="F257" s="84" t="n"/>
      <c r="G257" s="84" t="n"/>
      <c r="H257" s="84" t="n"/>
      <c r="I257" s="84" t="n"/>
      <c r="J257" s="84" t="n"/>
      <c r="K257" s="84" t="n"/>
      <c r="L257" s="85" t="n"/>
      <c r="M257" s="86" t="n"/>
      <c r="N257" s="245" t="n"/>
      <c r="O257" s="238" t="n"/>
      <c r="P257" s="238" t="n"/>
      <c r="Q257" s="246" t="n"/>
    </row>
    <row r="258" ht="13.2" customFormat="1" customHeight="1" s="47">
      <c r="B258" s="83" t="n"/>
      <c r="C258" s="83" t="n"/>
      <c r="D258" s="84" t="n"/>
      <c r="E258" s="84" t="n"/>
      <c r="F258" s="84" t="n"/>
      <c r="G258" s="84" t="n"/>
      <c r="H258" s="84" t="n"/>
      <c r="I258" s="84" t="n"/>
      <c r="J258" s="84" t="n"/>
      <c r="K258" s="84" t="n"/>
      <c r="L258" s="85" t="n"/>
      <c r="M258" s="86" t="n"/>
      <c r="N258" s="245" t="n"/>
      <c r="O258" s="238" t="n"/>
      <c r="P258" s="238" t="n"/>
      <c r="Q258" s="246" t="n"/>
    </row>
    <row r="259" ht="13.2" customFormat="1" customHeight="1" s="47">
      <c r="B259" s="83" t="n"/>
      <c r="C259" s="83" t="n"/>
      <c r="D259" s="84" t="n"/>
      <c r="E259" s="84" t="n"/>
      <c r="F259" s="84" t="n"/>
      <c r="G259" s="84" t="n"/>
      <c r="H259" s="84" t="n"/>
      <c r="I259" s="84" t="n"/>
      <c r="J259" s="84" t="n"/>
      <c r="K259" s="84" t="n"/>
      <c r="L259" s="85" t="n"/>
      <c r="M259" s="86" t="n"/>
      <c r="N259" s="245" t="n"/>
      <c r="O259" s="238" t="n"/>
      <c r="P259" s="238" t="n"/>
      <c r="Q259" s="246" t="n"/>
    </row>
    <row r="260" ht="13.2" customFormat="1" customHeight="1" s="47">
      <c r="B260" s="83" t="n"/>
      <c r="C260" s="83" t="n"/>
      <c r="D260" s="84" t="n"/>
      <c r="E260" s="84" t="n"/>
      <c r="F260" s="84" t="n"/>
      <c r="G260" s="84" t="n"/>
      <c r="H260" s="84" t="n"/>
      <c r="I260" s="84" t="n"/>
      <c r="J260" s="84" t="n"/>
      <c r="K260" s="84" t="n"/>
      <c r="L260" s="85" t="n"/>
      <c r="M260" s="86" t="n"/>
      <c r="N260" s="245" t="n"/>
      <c r="O260" s="238" t="n"/>
      <c r="P260" s="238" t="n"/>
      <c r="Q260" s="246" t="n"/>
    </row>
    <row r="261" ht="13.2" customFormat="1" customHeight="1" s="47">
      <c r="B261" s="83" t="n"/>
      <c r="C261" s="83" t="n"/>
      <c r="D261" s="84" t="n"/>
      <c r="E261" s="84" t="n"/>
      <c r="F261" s="84" t="n"/>
      <c r="G261" s="84" t="n"/>
      <c r="H261" s="84" t="n"/>
      <c r="I261" s="84" t="n"/>
      <c r="J261" s="84" t="n"/>
      <c r="K261" s="84" t="n"/>
      <c r="L261" s="85" t="n"/>
      <c r="M261" s="86" t="n"/>
      <c r="N261" s="245" t="n"/>
      <c r="O261" s="238" t="n"/>
      <c r="P261" s="238" t="n"/>
      <c r="Q261" s="246" t="n"/>
    </row>
    <row r="262" ht="13.2" customFormat="1" customHeight="1" s="47">
      <c r="B262" s="83" t="n"/>
      <c r="C262" s="83" t="n"/>
      <c r="D262" s="84" t="n"/>
      <c r="E262" s="84" t="n"/>
      <c r="F262" s="84" t="n"/>
      <c r="G262" s="84" t="n"/>
      <c r="H262" s="84" t="n"/>
      <c r="I262" s="84" t="n"/>
      <c r="J262" s="84" t="n"/>
      <c r="K262" s="84" t="n"/>
      <c r="L262" s="85" t="n"/>
      <c r="M262" s="86" t="n"/>
      <c r="N262" s="245" t="n"/>
      <c r="O262" s="238" t="n"/>
      <c r="P262" s="238" t="n"/>
      <c r="Q262" s="246" t="n"/>
    </row>
    <row r="263" ht="13.2" customFormat="1" customHeight="1" s="47">
      <c r="B263" s="83" t="n"/>
      <c r="C263" s="83" t="n"/>
      <c r="D263" s="84" t="n"/>
      <c r="E263" s="84" t="n"/>
      <c r="F263" s="84" t="n"/>
      <c r="G263" s="84" t="n"/>
      <c r="H263" s="84" t="n"/>
      <c r="I263" s="84" t="n"/>
      <c r="J263" s="84" t="n"/>
      <c r="K263" s="84" t="n"/>
      <c r="L263" s="85" t="n"/>
      <c r="M263" s="86" t="n"/>
      <c r="N263" s="245" t="n"/>
      <c r="O263" s="238" t="n"/>
      <c r="P263" s="238" t="n"/>
      <c r="Q263" s="246" t="n"/>
    </row>
    <row r="264" ht="13.2" customFormat="1" customHeight="1" s="47">
      <c r="B264" s="83" t="n"/>
      <c r="C264" s="83" t="n"/>
      <c r="D264" s="84" t="n"/>
      <c r="E264" s="84" t="n"/>
      <c r="F264" s="84" t="n"/>
      <c r="G264" s="84" t="n"/>
      <c r="H264" s="84" t="n"/>
      <c r="I264" s="84" t="n"/>
      <c r="J264" s="84" t="n"/>
      <c r="K264" s="84" t="n"/>
      <c r="L264" s="85" t="n"/>
      <c r="M264" s="86" t="n"/>
      <c r="N264" s="245" t="n"/>
      <c r="O264" s="238" t="n"/>
      <c r="P264" s="238" t="n"/>
      <c r="Q264" s="246" t="n"/>
    </row>
    <row r="265" ht="13.2" customFormat="1" customHeight="1" s="47">
      <c r="B265" s="83" t="n"/>
      <c r="C265" s="83" t="n"/>
      <c r="D265" s="84" t="n"/>
      <c r="E265" s="84" t="n"/>
      <c r="F265" s="84" t="n"/>
      <c r="G265" s="84" t="n"/>
      <c r="H265" s="84" t="n"/>
      <c r="I265" s="84" t="n"/>
      <c r="J265" s="84" t="n"/>
      <c r="K265" s="84" t="n"/>
      <c r="L265" s="85" t="n"/>
      <c r="M265" s="86" t="n"/>
      <c r="N265" s="245" t="n"/>
      <c r="O265" s="238" t="n"/>
      <c r="P265" s="238" t="n"/>
      <c r="Q265" s="246" t="n"/>
    </row>
    <row r="266" ht="13.2" customFormat="1" customHeight="1" s="47">
      <c r="B266" s="83" t="n"/>
      <c r="C266" s="83" t="n"/>
      <c r="D266" s="84" t="n"/>
      <c r="E266" s="84" t="n"/>
      <c r="F266" s="84" t="n"/>
      <c r="G266" s="84" t="n"/>
      <c r="H266" s="84" t="n"/>
      <c r="I266" s="84" t="n"/>
      <c r="J266" s="84" t="n"/>
      <c r="K266" s="84" t="n"/>
      <c r="L266" s="85" t="n"/>
      <c r="M266" s="86" t="n"/>
      <c r="N266" s="245" t="n"/>
      <c r="O266" s="238" t="n"/>
      <c r="P266" s="238" t="n"/>
      <c r="Q266" s="246" t="n"/>
    </row>
    <row r="267" ht="13.2" customFormat="1" customHeight="1" s="47">
      <c r="B267" s="83" t="n"/>
      <c r="C267" s="83" t="n"/>
      <c r="D267" s="84" t="n"/>
      <c r="E267" s="84" t="n"/>
      <c r="F267" s="84" t="n"/>
      <c r="G267" s="84" t="n"/>
      <c r="H267" s="84" t="n"/>
      <c r="I267" s="84" t="n"/>
      <c r="J267" s="84" t="n"/>
      <c r="K267" s="84" t="n"/>
      <c r="L267" s="85" t="n"/>
      <c r="M267" s="86" t="n"/>
      <c r="N267" s="245" t="n"/>
      <c r="O267" s="238" t="n"/>
      <c r="P267" s="238" t="n"/>
      <c r="Q267" s="246" t="n"/>
    </row>
    <row r="268" ht="13.2" customFormat="1" customHeight="1" s="47">
      <c r="B268" s="83" t="n"/>
      <c r="C268" s="83" t="n"/>
      <c r="D268" s="84" t="n"/>
      <c r="E268" s="84" t="n"/>
      <c r="F268" s="84" t="n"/>
      <c r="G268" s="84" t="n"/>
      <c r="H268" s="84" t="n"/>
      <c r="I268" s="84" t="n"/>
      <c r="J268" s="84" t="n"/>
      <c r="K268" s="84" t="n"/>
      <c r="L268" s="85" t="n"/>
      <c r="M268" s="86" t="n"/>
      <c r="N268" s="245" t="n"/>
      <c r="O268" s="238" t="n"/>
      <c r="P268" s="238" t="n"/>
      <c r="Q268" s="246" t="n"/>
    </row>
    <row r="269" ht="13.2" customFormat="1" customHeight="1" s="47">
      <c r="B269" s="83" t="n"/>
      <c r="C269" s="83" t="n"/>
      <c r="D269" s="84" t="n"/>
      <c r="E269" s="84" t="n"/>
      <c r="F269" s="84" t="n"/>
      <c r="G269" s="84" t="n"/>
      <c r="H269" s="84" t="n"/>
      <c r="I269" s="84" t="n"/>
      <c r="J269" s="84" t="n"/>
      <c r="K269" s="84" t="n"/>
      <c r="L269" s="85" t="n"/>
      <c r="M269" s="86" t="n"/>
      <c r="N269" s="245" t="n"/>
      <c r="O269" s="238" t="n"/>
      <c r="P269" s="238" t="n"/>
      <c r="Q269" s="246" t="n"/>
    </row>
    <row r="270" ht="13.2" customFormat="1" customHeight="1" s="47">
      <c r="B270" s="83" t="n"/>
      <c r="C270" s="83" t="n"/>
      <c r="D270" s="84" t="n"/>
      <c r="E270" s="84" t="n"/>
      <c r="F270" s="84" t="n"/>
      <c r="G270" s="84" t="n"/>
      <c r="H270" s="84" t="n"/>
      <c r="I270" s="84" t="n"/>
      <c r="J270" s="84" t="n"/>
      <c r="K270" s="84" t="n"/>
      <c r="L270" s="85" t="n"/>
      <c r="M270" s="86" t="n"/>
      <c r="N270" s="245" t="n"/>
      <c r="O270" s="238" t="n"/>
      <c r="P270" s="238" t="n"/>
      <c r="Q270" s="246" t="n"/>
    </row>
    <row r="271" ht="13.2" customFormat="1" customHeight="1" s="47">
      <c r="B271" s="83" t="n"/>
      <c r="C271" s="83" t="n"/>
      <c r="D271" s="84" t="n"/>
      <c r="E271" s="84" t="n"/>
      <c r="F271" s="84" t="n"/>
      <c r="G271" s="84" t="n"/>
      <c r="H271" s="84" t="n"/>
      <c r="I271" s="84" t="n"/>
      <c r="J271" s="84" t="n"/>
      <c r="K271" s="84" t="n"/>
      <c r="L271" s="85" t="n"/>
      <c r="M271" s="86" t="n"/>
      <c r="N271" s="245" t="n"/>
      <c r="O271" s="238" t="n"/>
      <c r="P271" s="238" t="n"/>
      <c r="Q271" s="246" t="n"/>
    </row>
    <row r="272" ht="13.2" customFormat="1" customHeight="1" s="47">
      <c r="B272" s="83" t="n"/>
      <c r="C272" s="83" t="n"/>
      <c r="D272" s="84" t="n"/>
      <c r="E272" s="84" t="n"/>
      <c r="F272" s="84" t="n"/>
      <c r="G272" s="84" t="n"/>
      <c r="H272" s="84" t="n"/>
      <c r="I272" s="84" t="n"/>
      <c r="J272" s="84" t="n"/>
      <c r="K272" s="84" t="n"/>
      <c r="L272" s="85" t="n"/>
      <c r="M272" s="86" t="n"/>
      <c r="N272" s="245" t="n"/>
      <c r="O272" s="238" t="n"/>
      <c r="P272" s="238" t="n"/>
      <c r="Q272" s="246" t="n"/>
    </row>
    <row r="273" ht="13.2" customFormat="1" customHeight="1" s="47">
      <c r="B273" s="83" t="n"/>
      <c r="C273" s="83" t="n"/>
      <c r="D273" s="84" t="n"/>
      <c r="E273" s="84" t="n"/>
      <c r="F273" s="84" t="n"/>
      <c r="G273" s="84" t="n"/>
      <c r="H273" s="84" t="n"/>
      <c r="I273" s="84" t="n"/>
      <c r="J273" s="84" t="n"/>
      <c r="K273" s="84" t="n"/>
      <c r="L273" s="85" t="n"/>
      <c r="M273" s="86" t="n"/>
      <c r="N273" s="245" t="n"/>
      <c r="O273" s="238" t="n"/>
      <c r="P273" s="238" t="n"/>
      <c r="Q273" s="246" t="n"/>
    </row>
    <row r="274" ht="13.2" customFormat="1" customHeight="1" s="47">
      <c r="B274" s="83" t="n"/>
      <c r="C274" s="83" t="n"/>
      <c r="D274" s="84" t="n"/>
      <c r="E274" s="84" t="n"/>
      <c r="F274" s="84" t="n"/>
      <c r="G274" s="84" t="n"/>
      <c r="H274" s="84" t="n"/>
      <c r="I274" s="84" t="n"/>
      <c r="J274" s="84" t="n"/>
      <c r="K274" s="84" t="n"/>
      <c r="L274" s="85" t="n"/>
      <c r="M274" s="86" t="n"/>
      <c r="N274" s="245" t="n"/>
      <c r="O274" s="238" t="n"/>
      <c r="P274" s="238" t="n"/>
      <c r="Q274" s="246" t="n"/>
    </row>
    <row r="275" ht="13.2" customFormat="1" customHeight="1" s="47">
      <c r="B275" s="83" t="n"/>
      <c r="C275" s="83" t="n"/>
      <c r="D275" s="84" t="n"/>
      <c r="E275" s="84" t="n"/>
      <c r="F275" s="84" t="n"/>
      <c r="G275" s="84" t="n"/>
      <c r="H275" s="84" t="n"/>
      <c r="I275" s="84" t="n"/>
      <c r="J275" s="84" t="n"/>
      <c r="K275" s="84" t="n"/>
      <c r="L275" s="85" t="n"/>
      <c r="M275" s="86" t="n"/>
      <c r="N275" s="245" t="n"/>
      <c r="O275" s="238" t="n"/>
      <c r="P275" s="238" t="n"/>
      <c r="Q275" s="246" t="n"/>
    </row>
    <row r="276" ht="13.2" customFormat="1" customHeight="1" s="47">
      <c r="B276" s="83" t="n"/>
      <c r="C276" s="83" t="n"/>
      <c r="D276" s="84" t="n"/>
      <c r="E276" s="84" t="n"/>
      <c r="F276" s="84" t="n"/>
      <c r="G276" s="84" t="n"/>
      <c r="H276" s="84" t="n"/>
      <c r="I276" s="84" t="n"/>
      <c r="J276" s="84" t="n"/>
      <c r="K276" s="84" t="n"/>
      <c r="L276" s="85" t="n"/>
      <c r="M276" s="86" t="n"/>
      <c r="N276" s="245" t="n"/>
      <c r="O276" s="238" t="n"/>
      <c r="P276" s="238" t="n"/>
      <c r="Q276" s="246" t="n"/>
    </row>
    <row r="277" ht="13.2" customFormat="1" customHeight="1" s="47">
      <c r="B277" s="83" t="n"/>
      <c r="C277" s="83" t="n"/>
      <c r="D277" s="84" t="n"/>
      <c r="E277" s="84" t="n"/>
      <c r="F277" s="84" t="n"/>
      <c r="G277" s="84" t="n"/>
      <c r="H277" s="84" t="n"/>
      <c r="I277" s="84" t="n"/>
      <c r="J277" s="84" t="n"/>
      <c r="K277" s="84" t="n"/>
      <c r="L277" s="85" t="n"/>
      <c r="M277" s="86" t="n"/>
      <c r="N277" s="245" t="n"/>
      <c r="O277" s="238" t="n"/>
      <c r="P277" s="238" t="n"/>
      <c r="Q277" s="246" t="n"/>
    </row>
    <row r="278" ht="13.2" customFormat="1" customHeight="1" s="47">
      <c r="B278" s="83" t="n"/>
      <c r="C278" s="83" t="n"/>
      <c r="D278" s="84" t="n"/>
      <c r="E278" s="84" t="n"/>
      <c r="F278" s="84" t="n"/>
      <c r="G278" s="84" t="n"/>
      <c r="H278" s="84" t="n"/>
      <c r="I278" s="84" t="n"/>
      <c r="J278" s="84" t="n"/>
      <c r="K278" s="84" t="n"/>
      <c r="L278" s="85" t="n"/>
      <c r="M278" s="86" t="n"/>
      <c r="N278" s="245" t="n"/>
      <c r="O278" s="238" t="n"/>
      <c r="P278" s="238" t="n"/>
      <c r="Q278" s="246" t="n"/>
    </row>
    <row r="279" ht="13.2" customFormat="1" customHeight="1" s="47">
      <c r="B279" s="83" t="n"/>
      <c r="C279" s="83" t="n"/>
      <c r="D279" s="84" t="n"/>
      <c r="E279" s="84" t="n"/>
      <c r="F279" s="84" t="n"/>
      <c r="G279" s="84" t="n"/>
      <c r="H279" s="84" t="n"/>
      <c r="I279" s="84" t="n"/>
      <c r="J279" s="84" t="n"/>
      <c r="K279" s="84" t="n"/>
      <c r="L279" s="85" t="n"/>
      <c r="M279" s="86" t="n"/>
      <c r="N279" s="245" t="n"/>
      <c r="O279" s="238" t="n"/>
      <c r="P279" s="238" t="n"/>
      <c r="Q279" s="246" t="n"/>
    </row>
    <row r="280" ht="13.2" customFormat="1" customHeight="1" s="47">
      <c r="B280" s="83" t="n"/>
      <c r="C280" s="83" t="n"/>
      <c r="D280" s="84" t="n"/>
      <c r="E280" s="84" t="n"/>
      <c r="F280" s="84" t="n"/>
      <c r="G280" s="84" t="n"/>
      <c r="H280" s="84" t="n"/>
      <c r="I280" s="84" t="n"/>
      <c r="J280" s="84" t="n"/>
      <c r="K280" s="84" t="n"/>
      <c r="L280" s="85" t="n"/>
      <c r="M280" s="86" t="n"/>
      <c r="N280" s="245" t="n"/>
      <c r="O280" s="238" t="n"/>
      <c r="P280" s="238" t="n"/>
      <c r="Q280" s="246" t="n"/>
    </row>
    <row r="281" ht="13.2" customFormat="1" customHeight="1" s="47">
      <c r="B281" s="83" t="n"/>
      <c r="C281" s="83" t="n"/>
      <c r="D281" s="84" t="n"/>
      <c r="E281" s="84" t="n"/>
      <c r="F281" s="84" t="n"/>
      <c r="G281" s="84" t="n"/>
      <c r="H281" s="84" t="n"/>
      <c r="I281" s="84" t="n"/>
      <c r="J281" s="84" t="n"/>
      <c r="K281" s="84" t="n"/>
      <c r="L281" s="85" t="n"/>
      <c r="M281" s="86" t="n"/>
      <c r="N281" s="245" t="n"/>
      <c r="O281" s="238" t="n"/>
      <c r="P281" s="238" t="n"/>
      <c r="Q281" s="246" t="n"/>
    </row>
    <row r="282" ht="13.2" customFormat="1" customHeight="1" s="47">
      <c r="B282" s="83" t="n"/>
      <c r="C282" s="83" t="n"/>
      <c r="D282" s="84" t="n"/>
      <c r="E282" s="84" t="n"/>
      <c r="F282" s="84" t="n"/>
      <c r="G282" s="84" t="n"/>
      <c r="H282" s="84" t="n"/>
      <c r="I282" s="84" t="n"/>
      <c r="J282" s="84" t="n"/>
      <c r="K282" s="84" t="n"/>
      <c r="L282" s="85" t="n"/>
      <c r="M282" s="86" t="n"/>
      <c r="N282" s="245" t="n"/>
      <c r="O282" s="238" t="n"/>
      <c r="P282" s="238" t="n"/>
      <c r="Q282" s="246" t="n"/>
    </row>
    <row r="283" ht="13.2" customFormat="1" customHeight="1" s="47">
      <c r="B283" s="83" t="n"/>
      <c r="C283" s="83" t="n"/>
      <c r="D283" s="84" t="n"/>
      <c r="E283" s="84" t="n"/>
      <c r="F283" s="84" t="n"/>
      <c r="G283" s="84" t="n"/>
      <c r="H283" s="84" t="n"/>
      <c r="I283" s="84" t="n"/>
      <c r="J283" s="84" t="n"/>
      <c r="K283" s="84" t="n"/>
      <c r="L283" s="85" t="n"/>
      <c r="M283" s="86" t="n"/>
      <c r="N283" s="245" t="n"/>
      <c r="O283" s="238" t="n"/>
      <c r="P283" s="238" t="n"/>
      <c r="Q283" s="246" t="n"/>
    </row>
    <row r="284" ht="13.2" customFormat="1" customHeight="1" s="47">
      <c r="B284" s="83" t="n"/>
      <c r="C284" s="83" t="n"/>
      <c r="D284" s="84" t="n"/>
      <c r="E284" s="84" t="n"/>
      <c r="F284" s="84" t="n"/>
      <c r="G284" s="84" t="n"/>
      <c r="H284" s="84" t="n"/>
      <c r="I284" s="84" t="n"/>
      <c r="J284" s="84" t="n"/>
      <c r="K284" s="84" t="n"/>
      <c r="L284" s="85" t="n"/>
      <c r="M284" s="86" t="n"/>
      <c r="N284" s="245" t="n"/>
      <c r="O284" s="238" t="n"/>
      <c r="P284" s="238" t="n"/>
      <c r="Q284" s="246" t="n"/>
    </row>
    <row r="285" ht="13.2" customFormat="1" customHeight="1" s="47">
      <c r="B285" s="83" t="n"/>
      <c r="C285" s="83" t="n"/>
      <c r="D285" s="84" t="n"/>
      <c r="E285" s="84" t="n"/>
      <c r="F285" s="84" t="n"/>
      <c r="G285" s="84" t="n"/>
      <c r="H285" s="84" t="n"/>
      <c r="I285" s="84" t="n"/>
      <c r="J285" s="84" t="n"/>
      <c r="K285" s="84" t="n"/>
      <c r="L285" s="85" t="n"/>
      <c r="M285" s="86" t="n"/>
      <c r="N285" s="245" t="n"/>
      <c r="O285" s="238" t="n"/>
      <c r="P285" s="238" t="n"/>
      <c r="Q285" s="246" t="n"/>
    </row>
    <row r="286" ht="13.2" customFormat="1" customHeight="1" s="47">
      <c r="B286" s="83" t="n"/>
      <c r="C286" s="83" t="n"/>
      <c r="D286" s="84" t="n"/>
      <c r="E286" s="84" t="n"/>
      <c r="F286" s="84" t="n"/>
      <c r="G286" s="84" t="n"/>
      <c r="H286" s="84" t="n"/>
      <c r="I286" s="84" t="n"/>
      <c r="J286" s="84" t="n"/>
      <c r="K286" s="84" t="n"/>
      <c r="L286" s="85" t="n"/>
      <c r="M286" s="86" t="n"/>
      <c r="N286" s="245" t="n"/>
      <c r="O286" s="238" t="n"/>
      <c r="P286" s="238" t="n"/>
      <c r="Q286" s="246" t="n"/>
    </row>
    <row r="287" ht="13.2" customFormat="1" customHeight="1" s="47">
      <c r="B287" s="83" t="n"/>
      <c r="C287" s="83" t="n"/>
      <c r="D287" s="84" t="n"/>
      <c r="E287" s="84" t="n"/>
      <c r="F287" s="84" t="n"/>
      <c r="G287" s="84" t="n"/>
      <c r="H287" s="84" t="n"/>
      <c r="I287" s="84" t="n"/>
      <c r="J287" s="84" t="n"/>
      <c r="K287" s="84" t="n"/>
      <c r="L287" s="85" t="n"/>
      <c r="M287" s="86" t="n"/>
      <c r="N287" s="245" t="n"/>
      <c r="O287" s="238" t="n"/>
      <c r="P287" s="238" t="n"/>
      <c r="Q287" s="246" t="n"/>
    </row>
    <row r="288" ht="13.2" customFormat="1" customHeight="1" s="47">
      <c r="B288" s="83" t="n"/>
      <c r="C288" s="83" t="n"/>
      <c r="D288" s="84" t="n"/>
      <c r="E288" s="84" t="n"/>
      <c r="F288" s="84" t="n"/>
      <c r="G288" s="84" t="n"/>
      <c r="H288" s="84" t="n"/>
      <c r="I288" s="84" t="n"/>
      <c r="J288" s="84" t="n"/>
      <c r="K288" s="84" t="n"/>
      <c r="L288" s="85" t="n"/>
      <c r="M288" s="86" t="n"/>
      <c r="N288" s="245" t="n"/>
      <c r="O288" s="238" t="n"/>
      <c r="P288" s="238" t="n"/>
      <c r="Q288" s="246" t="n"/>
    </row>
    <row r="289" ht="13.2" customFormat="1" customHeight="1" s="47">
      <c r="B289" s="83" t="n"/>
      <c r="C289" s="83" t="n"/>
      <c r="D289" s="84" t="n"/>
      <c r="E289" s="84" t="n"/>
      <c r="F289" s="84" t="n"/>
      <c r="G289" s="84" t="n"/>
      <c r="H289" s="84" t="n"/>
      <c r="I289" s="84" t="n"/>
      <c r="J289" s="84" t="n"/>
      <c r="K289" s="84" t="n"/>
      <c r="L289" s="85" t="n"/>
      <c r="M289" s="86" t="n"/>
      <c r="N289" s="245" t="n"/>
      <c r="O289" s="238" t="n"/>
      <c r="P289" s="238" t="n"/>
      <c r="Q289" s="246" t="n"/>
    </row>
    <row r="290" ht="13.2" customFormat="1" customHeight="1" s="47">
      <c r="B290" s="83" t="n"/>
      <c r="C290" s="83" t="n"/>
      <c r="D290" s="84" t="n"/>
      <c r="E290" s="84" t="n"/>
      <c r="F290" s="84" t="n"/>
      <c r="G290" s="84" t="n"/>
      <c r="H290" s="84" t="n"/>
      <c r="I290" s="84" t="n"/>
      <c r="J290" s="84" t="n"/>
      <c r="K290" s="84" t="n"/>
      <c r="L290" s="85" t="n"/>
      <c r="M290" s="86" t="n"/>
      <c r="N290" s="245" t="n"/>
      <c r="O290" s="238" t="n"/>
      <c r="P290" s="238" t="n"/>
      <c r="Q290" s="246" t="n"/>
    </row>
    <row r="291" ht="13.2" customFormat="1" customHeight="1" s="47">
      <c r="B291" s="83" t="n"/>
      <c r="C291" s="83" t="n"/>
      <c r="D291" s="84" t="n"/>
      <c r="E291" s="84" t="n"/>
      <c r="F291" s="84" t="n"/>
      <c r="G291" s="84" t="n"/>
      <c r="H291" s="84" t="n"/>
      <c r="I291" s="84" t="n"/>
      <c r="J291" s="84" t="n"/>
      <c r="K291" s="84" t="n"/>
      <c r="L291" s="85" t="n"/>
      <c r="M291" s="86" t="n"/>
      <c r="N291" s="245" t="n"/>
      <c r="O291" s="238" t="n"/>
      <c r="P291" s="238" t="n"/>
      <c r="Q291" s="246" t="n"/>
    </row>
    <row r="292" ht="13.2" customFormat="1" customHeight="1" s="47">
      <c r="B292" s="83" t="n"/>
      <c r="C292" s="83" t="n"/>
      <c r="D292" s="84" t="n"/>
      <c r="E292" s="84" t="n"/>
      <c r="F292" s="84" t="n"/>
      <c r="G292" s="84" t="n"/>
      <c r="H292" s="84" t="n"/>
      <c r="I292" s="84" t="n"/>
      <c r="J292" s="84" t="n"/>
      <c r="K292" s="84" t="n"/>
      <c r="L292" s="85" t="n"/>
      <c r="M292" s="86" t="n"/>
      <c r="N292" s="245" t="n"/>
      <c r="O292" s="238" t="n"/>
      <c r="P292" s="238" t="n"/>
      <c r="Q292" s="246" t="n"/>
    </row>
    <row r="293" ht="13.2" customFormat="1" customHeight="1" s="47">
      <c r="B293" s="83" t="n"/>
      <c r="C293" s="83" t="n"/>
      <c r="D293" s="84" t="n"/>
      <c r="E293" s="84" t="n"/>
      <c r="F293" s="84" t="n"/>
      <c r="G293" s="84" t="n"/>
      <c r="H293" s="84" t="n"/>
      <c r="I293" s="84" t="n"/>
      <c r="J293" s="84" t="n"/>
      <c r="K293" s="84" t="n"/>
      <c r="L293" s="85" t="n"/>
      <c r="M293" s="86" t="n"/>
      <c r="N293" s="245" t="n"/>
      <c r="O293" s="238" t="n"/>
      <c r="P293" s="238" t="n"/>
      <c r="Q293" s="246" t="n"/>
    </row>
    <row r="294" ht="13.2" customFormat="1" customHeight="1" s="47">
      <c r="B294" s="83" t="n"/>
      <c r="C294" s="83" t="n"/>
      <c r="D294" s="84" t="n"/>
      <c r="E294" s="84" t="n"/>
      <c r="F294" s="84" t="n"/>
      <c r="G294" s="84" t="n"/>
      <c r="H294" s="84" t="n"/>
      <c r="I294" s="84" t="n"/>
      <c r="J294" s="84" t="n"/>
      <c r="K294" s="84" t="n"/>
      <c r="L294" s="85" t="n"/>
      <c r="M294" s="86" t="n"/>
      <c r="N294" s="245" t="n"/>
      <c r="O294" s="238" t="n"/>
      <c r="P294" s="238" t="n"/>
      <c r="Q294" s="246" t="n"/>
    </row>
    <row r="295" ht="13.2" customFormat="1" customHeight="1" s="47">
      <c r="B295" s="83" t="n"/>
      <c r="C295" s="83" t="n"/>
      <c r="D295" s="84" t="n"/>
      <c r="E295" s="84" t="n"/>
      <c r="F295" s="84" t="n"/>
      <c r="G295" s="84" t="n"/>
      <c r="H295" s="84" t="n"/>
      <c r="I295" s="84" t="n"/>
      <c r="J295" s="84" t="n"/>
      <c r="K295" s="84" t="n"/>
      <c r="L295" s="85" t="n"/>
      <c r="M295" s="86" t="n"/>
      <c r="N295" s="245" t="n"/>
      <c r="O295" s="238" t="n"/>
      <c r="P295" s="238" t="n"/>
      <c r="Q295" s="246" t="n"/>
    </row>
    <row r="296" ht="13.2" customFormat="1" customHeight="1" s="47">
      <c r="B296" s="83" t="n"/>
      <c r="C296" s="83" t="n"/>
      <c r="D296" s="84" t="n"/>
      <c r="E296" s="84" t="n"/>
      <c r="F296" s="84" t="n"/>
      <c r="G296" s="84" t="n"/>
      <c r="H296" s="84" t="n"/>
      <c r="I296" s="84" t="n"/>
      <c r="J296" s="84" t="n"/>
      <c r="K296" s="84" t="n"/>
      <c r="L296" s="85" t="n"/>
      <c r="M296" s="86" t="n"/>
      <c r="N296" s="245" t="n"/>
      <c r="O296" s="238" t="n"/>
      <c r="P296" s="238" t="n"/>
      <c r="Q296" s="246" t="n"/>
    </row>
    <row r="297" ht="13.2" customFormat="1" customHeight="1" s="47">
      <c r="B297" s="83" t="n"/>
      <c r="C297" s="83" t="n"/>
      <c r="D297" s="84" t="n"/>
      <c r="E297" s="84" t="n"/>
      <c r="F297" s="84" t="n"/>
      <c r="G297" s="84" t="n"/>
      <c r="H297" s="84" t="n"/>
      <c r="I297" s="84" t="n"/>
      <c r="J297" s="84" t="n"/>
      <c r="K297" s="84" t="n"/>
      <c r="L297" s="85" t="n"/>
      <c r="M297" s="86" t="n"/>
      <c r="N297" s="245" t="n"/>
      <c r="O297" s="238" t="n"/>
      <c r="P297" s="238" t="n"/>
      <c r="Q297" s="246" t="n"/>
    </row>
    <row r="298" ht="13.2" customFormat="1" customHeight="1" s="47">
      <c r="B298" s="83" t="n"/>
      <c r="C298" s="83" t="n"/>
      <c r="D298" s="84" t="n"/>
      <c r="E298" s="84" t="n"/>
      <c r="F298" s="84" t="n"/>
      <c r="G298" s="84" t="n"/>
      <c r="H298" s="84" t="n"/>
      <c r="I298" s="84" t="n"/>
      <c r="J298" s="84" t="n"/>
      <c r="K298" s="84" t="n"/>
      <c r="L298" s="85" t="n"/>
      <c r="M298" s="86" t="n"/>
      <c r="N298" s="245" t="n"/>
      <c r="O298" s="238" t="n"/>
      <c r="P298" s="238" t="n"/>
      <c r="Q298" s="246" t="n"/>
    </row>
    <row r="299" ht="13.2" customFormat="1" customHeight="1" s="47">
      <c r="B299" s="83" t="n"/>
      <c r="C299" s="83" t="n"/>
      <c r="D299" s="84" t="n"/>
      <c r="E299" s="84" t="n"/>
      <c r="F299" s="84" t="n"/>
      <c r="G299" s="84" t="n"/>
      <c r="H299" s="84" t="n"/>
      <c r="I299" s="84" t="n"/>
      <c r="J299" s="84" t="n"/>
      <c r="K299" s="84" t="n"/>
      <c r="L299" s="85" t="n"/>
      <c r="M299" s="86" t="n"/>
      <c r="N299" s="245" t="n"/>
      <c r="O299" s="238" t="n"/>
      <c r="P299" s="238" t="n"/>
      <c r="Q299" s="246" t="n"/>
    </row>
    <row r="300" ht="13.2" customFormat="1" customHeight="1" s="47">
      <c r="B300" s="83" t="n"/>
      <c r="C300" s="83" t="n"/>
      <c r="D300" s="84" t="n"/>
      <c r="E300" s="84" t="n"/>
      <c r="F300" s="84" t="n"/>
      <c r="G300" s="84" t="n"/>
      <c r="H300" s="84" t="n"/>
      <c r="I300" s="84" t="n"/>
      <c r="J300" s="84" t="n"/>
      <c r="K300" s="84" t="n"/>
      <c r="L300" s="85" t="n"/>
      <c r="M300" s="86" t="n"/>
      <c r="N300" s="245" t="n"/>
      <c r="O300" s="238" t="n"/>
      <c r="P300" s="238" t="n"/>
      <c r="Q300" s="246" t="n"/>
    </row>
    <row r="301" ht="13.2" customFormat="1" customHeight="1" s="47">
      <c r="B301" s="83" t="n"/>
      <c r="C301" s="83" t="n"/>
      <c r="D301" s="84" t="n"/>
      <c r="E301" s="84" t="n"/>
      <c r="F301" s="84" t="n"/>
      <c r="G301" s="84" t="n"/>
      <c r="H301" s="84" t="n"/>
      <c r="I301" s="84" t="n"/>
      <c r="J301" s="84" t="n"/>
      <c r="K301" s="84" t="n"/>
      <c r="L301" s="85" t="n"/>
      <c r="M301" s="86" t="n"/>
      <c r="N301" s="245" t="n"/>
      <c r="O301" s="238" t="n"/>
      <c r="P301" s="238" t="n"/>
      <c r="Q301" s="246" t="n"/>
    </row>
    <row r="302" ht="13.2" customFormat="1" customHeight="1" s="47">
      <c r="B302" s="83" t="n"/>
      <c r="C302" s="83" t="n"/>
      <c r="D302" s="84" t="n"/>
      <c r="E302" s="84" t="n"/>
      <c r="F302" s="84" t="n"/>
      <c r="G302" s="84" t="n"/>
      <c r="H302" s="84" t="n"/>
      <c r="I302" s="84" t="n"/>
      <c r="J302" s="84" t="n"/>
      <c r="K302" s="84" t="n"/>
      <c r="L302" s="85" t="n"/>
      <c r="M302" s="86" t="n"/>
      <c r="N302" s="245" t="n"/>
      <c r="O302" s="238" t="n"/>
      <c r="P302" s="238" t="n"/>
      <c r="Q302" s="246" t="n"/>
    </row>
    <row r="303" ht="13.2" customFormat="1" customHeight="1" s="47">
      <c r="B303" s="83" t="n"/>
      <c r="C303" s="83" t="n"/>
      <c r="D303" s="84" t="n"/>
      <c r="E303" s="84" t="n"/>
      <c r="F303" s="84" t="n"/>
      <c r="G303" s="84" t="n"/>
      <c r="H303" s="84" t="n"/>
      <c r="I303" s="84" t="n"/>
      <c r="J303" s="84" t="n"/>
      <c r="K303" s="84" t="n"/>
      <c r="L303" s="85" t="n"/>
      <c r="M303" s="86" t="n"/>
      <c r="N303" s="245" t="n"/>
      <c r="O303" s="238" t="n"/>
      <c r="P303" s="238" t="n"/>
      <c r="Q303" s="246" t="n"/>
    </row>
    <row r="304" ht="13.2" customFormat="1" customHeight="1" s="47">
      <c r="B304" s="83" t="n"/>
      <c r="C304" s="83" t="n"/>
      <c r="D304" s="84" t="n"/>
      <c r="E304" s="84" t="n"/>
      <c r="F304" s="84" t="n"/>
      <c r="G304" s="84" t="n"/>
      <c r="H304" s="84" t="n"/>
      <c r="I304" s="84" t="n"/>
      <c r="J304" s="84" t="n"/>
      <c r="K304" s="84" t="n"/>
      <c r="L304" s="85" t="n"/>
      <c r="M304" s="86" t="n"/>
      <c r="N304" s="245" t="n"/>
      <c r="O304" s="238" t="n"/>
      <c r="P304" s="238" t="n"/>
      <c r="Q304" s="246" t="n"/>
    </row>
    <row r="305" ht="13.2" customFormat="1" customHeight="1" s="47">
      <c r="B305" s="83" t="n"/>
      <c r="C305" s="83" t="n"/>
      <c r="D305" s="84" t="n"/>
      <c r="E305" s="84" t="n"/>
      <c r="F305" s="84" t="n"/>
      <c r="G305" s="84" t="n"/>
      <c r="H305" s="84" t="n"/>
      <c r="I305" s="84" t="n"/>
      <c r="J305" s="84" t="n"/>
      <c r="K305" s="84" t="n"/>
      <c r="L305" s="85" t="n"/>
      <c r="M305" s="86" t="n"/>
      <c r="N305" s="245" t="n"/>
      <c r="O305" s="238" t="n"/>
      <c r="P305" s="238" t="n"/>
      <c r="Q305" s="246" t="n"/>
    </row>
    <row r="306" ht="13.2" customFormat="1" customHeight="1" s="47">
      <c r="B306" s="83" t="n"/>
      <c r="C306" s="83" t="n"/>
      <c r="D306" s="84" t="n"/>
      <c r="E306" s="84" t="n"/>
      <c r="F306" s="84" t="n"/>
      <c r="G306" s="84" t="n"/>
      <c r="H306" s="84" t="n"/>
      <c r="I306" s="84" t="n"/>
      <c r="J306" s="84" t="n"/>
      <c r="K306" s="84" t="n"/>
      <c r="L306" s="85" t="n"/>
      <c r="M306" s="86" t="n"/>
      <c r="N306" s="245" t="n"/>
      <c r="O306" s="238" t="n"/>
      <c r="P306" s="238" t="n"/>
      <c r="Q306" s="246" t="n"/>
    </row>
    <row r="307" ht="13.2" customFormat="1" customHeight="1" s="47">
      <c r="B307" s="83" t="n"/>
      <c r="C307" s="83" t="n"/>
      <c r="D307" s="84" t="n"/>
      <c r="E307" s="84" t="n"/>
      <c r="F307" s="84" t="n"/>
      <c r="G307" s="84" t="n"/>
      <c r="H307" s="84" t="n"/>
      <c r="I307" s="84" t="n"/>
      <c r="J307" s="84" t="n"/>
      <c r="K307" s="84" t="n"/>
      <c r="L307" s="85" t="n"/>
      <c r="M307" s="86" t="n"/>
      <c r="N307" s="245" t="n"/>
      <c r="O307" s="238" t="n"/>
      <c r="P307" s="238" t="n"/>
      <c r="Q307" s="246" t="n"/>
    </row>
    <row r="308" ht="13.2" customFormat="1" customHeight="1" s="47">
      <c r="B308" s="83" t="n"/>
      <c r="C308" s="83" t="n"/>
      <c r="D308" s="84" t="n"/>
      <c r="E308" s="84" t="n"/>
      <c r="F308" s="84" t="n"/>
      <c r="G308" s="84" t="n"/>
      <c r="H308" s="84" t="n"/>
      <c r="I308" s="84" t="n"/>
      <c r="J308" s="84" t="n"/>
      <c r="K308" s="84" t="n"/>
      <c r="L308" s="85" t="n"/>
      <c r="M308" s="86" t="n"/>
      <c r="N308" s="245" t="n"/>
      <c r="O308" s="238" t="n"/>
      <c r="P308" s="238" t="n"/>
      <c r="Q308" s="246" t="n"/>
    </row>
    <row r="309" ht="13.2" customFormat="1" customHeight="1" s="47">
      <c r="B309" s="83" t="n"/>
      <c r="C309" s="83" t="n"/>
      <c r="D309" s="84" t="n"/>
      <c r="E309" s="84" t="n"/>
      <c r="F309" s="84" t="n"/>
      <c r="G309" s="84" t="n"/>
      <c r="H309" s="84" t="n"/>
      <c r="I309" s="84" t="n"/>
      <c r="J309" s="84" t="n"/>
      <c r="K309" s="84" t="n"/>
      <c r="L309" s="85" t="n"/>
      <c r="M309" s="86" t="n"/>
      <c r="N309" s="245" t="n"/>
      <c r="O309" s="238" t="n"/>
      <c r="P309" s="238" t="n"/>
      <c r="Q309" s="246" t="n"/>
    </row>
    <row r="310" ht="13.2" customFormat="1" customHeight="1" s="47">
      <c r="B310" s="83" t="n"/>
      <c r="C310" s="83" t="n"/>
      <c r="D310" s="84" t="n"/>
      <c r="E310" s="84" t="n"/>
      <c r="F310" s="84" t="n"/>
      <c r="G310" s="84" t="n"/>
      <c r="H310" s="84" t="n"/>
      <c r="I310" s="84" t="n"/>
      <c r="J310" s="84" t="n"/>
      <c r="K310" s="84" t="n"/>
      <c r="L310" s="85" t="n"/>
      <c r="M310" s="86" t="n"/>
      <c r="N310" s="245" t="n"/>
      <c r="O310" s="238" t="n"/>
      <c r="P310" s="238" t="n"/>
      <c r="Q310" s="246" t="n"/>
    </row>
    <row r="311" ht="13.2" customFormat="1" customHeight="1" s="47">
      <c r="B311" s="83" t="n"/>
      <c r="C311" s="83" t="n"/>
      <c r="D311" s="84" t="n"/>
      <c r="E311" s="84" t="n"/>
      <c r="F311" s="84" t="n"/>
      <c r="G311" s="84" t="n"/>
      <c r="H311" s="84" t="n"/>
      <c r="I311" s="84" t="n"/>
      <c r="J311" s="84" t="n"/>
      <c r="K311" s="84" t="n"/>
      <c r="L311" s="85" t="n"/>
      <c r="M311" s="86" t="n"/>
      <c r="N311" s="245" t="n"/>
      <c r="O311" s="238" t="n"/>
      <c r="P311" s="238" t="n"/>
      <c r="Q311" s="246" t="n"/>
    </row>
    <row r="312" ht="13.2" customFormat="1" customHeight="1" s="47">
      <c r="B312" s="83" t="n"/>
      <c r="C312" s="83" t="n"/>
      <c r="D312" s="84" t="n"/>
      <c r="E312" s="84" t="n"/>
      <c r="F312" s="84" t="n"/>
      <c r="G312" s="84" t="n"/>
      <c r="H312" s="84" t="n"/>
      <c r="I312" s="84" t="n"/>
      <c r="J312" s="84" t="n"/>
      <c r="K312" s="84" t="n"/>
      <c r="L312" s="85" t="n"/>
      <c r="M312" s="86" t="n"/>
      <c r="N312" s="245" t="n"/>
      <c r="O312" s="238" t="n"/>
      <c r="P312" s="238" t="n"/>
      <c r="Q312" s="246" t="n"/>
    </row>
    <row r="313" ht="13.2" customFormat="1" customHeight="1" s="47">
      <c r="B313" s="83" t="n"/>
      <c r="C313" s="83" t="n"/>
      <c r="D313" s="84" t="n"/>
      <c r="E313" s="84" t="n"/>
      <c r="F313" s="84" t="n"/>
      <c r="G313" s="84" t="n"/>
      <c r="H313" s="84" t="n"/>
      <c r="I313" s="84" t="n"/>
      <c r="J313" s="84" t="n"/>
      <c r="K313" s="84" t="n"/>
      <c r="L313" s="85" t="n"/>
      <c r="M313" s="86" t="n"/>
      <c r="N313" s="245" t="n"/>
      <c r="O313" s="238" t="n"/>
      <c r="P313" s="238" t="n"/>
      <c r="Q313" s="246" t="n"/>
    </row>
    <row r="314" ht="13.2" customFormat="1" customHeight="1" s="47">
      <c r="B314" s="83" t="n"/>
      <c r="C314" s="83" t="n"/>
      <c r="D314" s="84" t="n"/>
      <c r="E314" s="84" t="n"/>
      <c r="F314" s="84" t="n"/>
      <c r="G314" s="84" t="n"/>
      <c r="H314" s="84" t="n"/>
      <c r="I314" s="84" t="n"/>
      <c r="J314" s="84" t="n"/>
      <c r="K314" s="84" t="n"/>
      <c r="L314" s="85" t="n"/>
      <c r="M314" s="86" t="n"/>
      <c r="N314" s="245" t="n"/>
      <c r="O314" s="238" t="n"/>
      <c r="P314" s="238" t="n"/>
      <c r="Q314" s="246" t="n"/>
    </row>
    <row r="315" ht="13.2" customFormat="1" customHeight="1" s="47">
      <c r="B315" s="83" t="n"/>
      <c r="C315" s="83" t="n"/>
      <c r="D315" s="84" t="n"/>
      <c r="E315" s="84" t="n"/>
      <c r="F315" s="84" t="n"/>
      <c r="G315" s="84" t="n"/>
      <c r="H315" s="84" t="n"/>
      <c r="I315" s="84" t="n"/>
      <c r="J315" s="84" t="n"/>
      <c r="K315" s="84" t="n"/>
      <c r="L315" s="85" t="n"/>
      <c r="M315" s="86" t="n"/>
      <c r="N315" s="245" t="n"/>
      <c r="O315" s="238" t="n"/>
      <c r="P315" s="238" t="n"/>
      <c r="Q315" s="246" t="n"/>
    </row>
    <row r="316" ht="13.2" customFormat="1" customHeight="1" s="47">
      <c r="B316" s="83" t="n"/>
      <c r="C316" s="83" t="n"/>
      <c r="D316" s="84" t="n"/>
      <c r="E316" s="84" t="n"/>
      <c r="F316" s="84" t="n"/>
      <c r="G316" s="84" t="n"/>
      <c r="H316" s="84" t="n"/>
      <c r="I316" s="84" t="n"/>
      <c r="J316" s="84" t="n"/>
      <c r="K316" s="84" t="n"/>
      <c r="L316" s="85" t="n"/>
      <c r="M316" s="86" t="n"/>
      <c r="N316" s="245" t="n"/>
      <c r="O316" s="238" t="n"/>
      <c r="P316" s="238" t="n"/>
      <c r="Q316" s="246" t="n"/>
    </row>
    <row r="317" ht="13.2" customFormat="1" customHeight="1" s="47">
      <c r="B317" s="83" t="n"/>
      <c r="C317" s="83" t="n"/>
      <c r="D317" s="84" t="n"/>
      <c r="E317" s="84" t="n"/>
      <c r="F317" s="84" t="n"/>
      <c r="G317" s="84" t="n"/>
      <c r="H317" s="84" t="n"/>
      <c r="I317" s="84" t="n"/>
      <c r="J317" s="84" t="n"/>
      <c r="K317" s="84" t="n"/>
      <c r="L317" s="85" t="n"/>
      <c r="M317" s="86" t="n"/>
      <c r="N317" s="245" t="n"/>
      <c r="O317" s="238" t="n"/>
      <c r="P317" s="238" t="n"/>
      <c r="Q317" s="246" t="n"/>
    </row>
    <row r="318" ht="13.2" customFormat="1" customHeight="1" s="47">
      <c r="B318" s="83" t="n"/>
      <c r="C318" s="83" t="n"/>
      <c r="D318" s="84" t="n"/>
      <c r="E318" s="84" t="n"/>
      <c r="F318" s="84" t="n"/>
      <c r="G318" s="84" t="n"/>
      <c r="H318" s="84" t="n"/>
      <c r="I318" s="84" t="n"/>
      <c r="J318" s="84" t="n"/>
      <c r="K318" s="84" t="n"/>
      <c r="L318" s="85" t="n"/>
      <c r="M318" s="86" t="n"/>
      <c r="N318" s="245" t="n"/>
      <c r="O318" s="238" t="n"/>
      <c r="P318" s="238" t="n"/>
      <c r="Q318" s="246" t="n"/>
    </row>
    <row r="319" ht="13.2" customFormat="1" customHeight="1" s="47">
      <c r="B319" s="83" t="n"/>
      <c r="C319" s="83" t="n"/>
      <c r="D319" s="84" t="n"/>
      <c r="E319" s="84" t="n"/>
      <c r="F319" s="84" t="n"/>
      <c r="G319" s="84" t="n"/>
      <c r="H319" s="84" t="n"/>
      <c r="I319" s="84" t="n"/>
      <c r="J319" s="84" t="n"/>
      <c r="K319" s="84" t="n"/>
      <c r="L319" s="85" t="n"/>
      <c r="M319" s="86" t="n"/>
      <c r="N319" s="245" t="n"/>
      <c r="O319" s="238" t="n"/>
      <c r="P319" s="238" t="n"/>
      <c r="Q319" s="246" t="n"/>
    </row>
    <row r="320" ht="13.2" customFormat="1" customHeight="1" s="47">
      <c r="B320" s="83" t="n"/>
      <c r="C320" s="83" t="n"/>
      <c r="D320" s="84" t="n"/>
      <c r="E320" s="84" t="n"/>
      <c r="F320" s="84" t="n"/>
      <c r="G320" s="84" t="n"/>
      <c r="H320" s="84" t="n"/>
      <c r="I320" s="84" t="n"/>
      <c r="J320" s="84" t="n"/>
      <c r="K320" s="84" t="n"/>
      <c r="L320" s="85" t="n"/>
      <c r="M320" s="86" t="n"/>
      <c r="N320" s="245" t="n"/>
      <c r="O320" s="238" t="n"/>
      <c r="P320" s="238" t="n"/>
      <c r="Q320" s="246" t="n"/>
    </row>
    <row r="321" ht="13.2" customFormat="1" customHeight="1" s="47">
      <c r="B321" s="83" t="n"/>
      <c r="C321" s="83" t="n"/>
      <c r="D321" s="84" t="n"/>
      <c r="E321" s="84" t="n"/>
      <c r="F321" s="84" t="n"/>
      <c r="G321" s="84" t="n"/>
      <c r="H321" s="84" t="n"/>
      <c r="I321" s="84" t="n"/>
      <c r="J321" s="84" t="n"/>
      <c r="K321" s="84" t="n"/>
      <c r="L321" s="85" t="n"/>
      <c r="M321" s="86" t="n"/>
      <c r="N321" s="245" t="n"/>
      <c r="O321" s="238" t="n"/>
      <c r="P321" s="238" t="n"/>
      <c r="Q321" s="246" t="n"/>
    </row>
    <row r="322" ht="13.2" customFormat="1" customHeight="1" s="47">
      <c r="B322" s="83" t="n"/>
      <c r="C322" s="83" t="n"/>
      <c r="D322" s="84" t="n"/>
      <c r="E322" s="84" t="n"/>
      <c r="F322" s="84" t="n"/>
      <c r="G322" s="84" t="n"/>
      <c r="H322" s="84" t="n"/>
      <c r="I322" s="84" t="n"/>
      <c r="J322" s="84" t="n"/>
      <c r="K322" s="84" t="n"/>
      <c r="L322" s="85" t="n"/>
      <c r="M322" s="86" t="n"/>
      <c r="N322" s="245" t="n"/>
      <c r="O322" s="238" t="n"/>
      <c r="P322" s="238" t="n"/>
      <c r="Q322" s="246" t="n"/>
    </row>
    <row r="323" ht="13.2" customFormat="1" customHeight="1" s="47">
      <c r="B323" s="83" t="n"/>
      <c r="C323" s="83" t="n"/>
      <c r="D323" s="84" t="n"/>
      <c r="E323" s="84" t="n"/>
      <c r="F323" s="84" t="n"/>
      <c r="G323" s="84" t="n"/>
      <c r="H323" s="84" t="n"/>
      <c r="I323" s="84" t="n"/>
      <c r="J323" s="84" t="n"/>
      <c r="K323" s="84" t="n"/>
      <c r="L323" s="85" t="n"/>
      <c r="M323" s="86" t="n"/>
      <c r="N323" s="245" t="n"/>
      <c r="O323" s="238" t="n"/>
      <c r="P323" s="238" t="n"/>
      <c r="Q323" s="246" t="n"/>
    </row>
    <row r="324" ht="13.2" customFormat="1" customHeight="1" s="47">
      <c r="B324" s="83" t="n"/>
      <c r="C324" s="83" t="n"/>
      <c r="D324" s="84" t="n"/>
      <c r="E324" s="84" t="n"/>
      <c r="F324" s="84" t="n"/>
      <c r="G324" s="84" t="n"/>
      <c r="H324" s="84" t="n"/>
      <c r="I324" s="84" t="n"/>
      <c r="J324" s="84" t="n"/>
      <c r="K324" s="84" t="n"/>
      <c r="L324" s="85" t="n"/>
      <c r="M324" s="86" t="n"/>
      <c r="N324" s="245" t="n"/>
      <c r="O324" s="238" t="n"/>
      <c r="P324" s="238" t="n"/>
      <c r="Q324" s="246" t="n"/>
    </row>
    <row r="325" ht="13.2" customFormat="1" customHeight="1" s="47">
      <c r="B325" s="83" t="n"/>
      <c r="C325" s="83" t="n"/>
      <c r="D325" s="84" t="n"/>
      <c r="E325" s="84" t="n"/>
      <c r="F325" s="84" t="n"/>
      <c r="G325" s="84" t="n"/>
      <c r="H325" s="84" t="n"/>
      <c r="I325" s="84" t="n"/>
      <c r="J325" s="84" t="n"/>
      <c r="K325" s="84" t="n"/>
      <c r="L325" s="85" t="n"/>
      <c r="M325" s="86" t="n"/>
      <c r="N325" s="245" t="n"/>
      <c r="O325" s="238" t="n"/>
      <c r="P325" s="238" t="n"/>
      <c r="Q325" s="246" t="n"/>
    </row>
    <row r="326" ht="13.2" customFormat="1" customHeight="1" s="47">
      <c r="B326" s="83" t="n"/>
      <c r="C326" s="83" t="n"/>
      <c r="D326" s="84" t="n"/>
      <c r="E326" s="84" t="n"/>
      <c r="F326" s="84" t="n"/>
      <c r="G326" s="84" t="n"/>
      <c r="H326" s="84" t="n"/>
      <c r="I326" s="84" t="n"/>
      <c r="J326" s="84" t="n"/>
      <c r="K326" s="84" t="n"/>
      <c r="L326" s="85" t="n"/>
      <c r="M326" s="86" t="n"/>
      <c r="N326" s="245" t="n"/>
      <c r="O326" s="238" t="n"/>
      <c r="P326" s="238" t="n"/>
      <c r="Q326" s="246" t="n"/>
    </row>
    <row r="327" ht="13.2" customFormat="1" customHeight="1" s="47">
      <c r="B327" s="83" t="n"/>
      <c r="C327" s="83" t="n"/>
      <c r="D327" s="84" t="n"/>
      <c r="E327" s="84" t="n"/>
      <c r="F327" s="84" t="n"/>
      <c r="G327" s="84" t="n"/>
      <c r="H327" s="84" t="n"/>
      <c r="I327" s="84" t="n"/>
      <c r="J327" s="84" t="n"/>
      <c r="K327" s="84" t="n"/>
      <c r="L327" s="85" t="n"/>
      <c r="M327" s="86" t="n"/>
      <c r="N327" s="245" t="n"/>
      <c r="O327" s="238" t="n"/>
      <c r="P327" s="238" t="n"/>
      <c r="Q327" s="246" t="n"/>
    </row>
    <row r="328" ht="13.2" customFormat="1" customHeight="1" s="47">
      <c r="B328" s="83" t="n"/>
      <c r="C328" s="83" t="n"/>
      <c r="D328" s="84" t="n"/>
      <c r="E328" s="84" t="n"/>
      <c r="F328" s="84" t="n"/>
      <c r="G328" s="84" t="n"/>
      <c r="H328" s="84" t="n"/>
      <c r="I328" s="84" t="n"/>
      <c r="J328" s="84" t="n"/>
      <c r="K328" s="84" t="n"/>
      <c r="L328" s="85" t="n"/>
      <c r="M328" s="86" t="n"/>
      <c r="N328" s="245" t="n"/>
      <c r="O328" s="238" t="n"/>
      <c r="P328" s="238" t="n"/>
      <c r="Q328" s="246" t="n"/>
    </row>
    <row r="329" ht="13.2" customFormat="1" customHeight="1" s="47">
      <c r="B329" s="83" t="n"/>
      <c r="C329" s="83" t="n"/>
      <c r="D329" s="84" t="n"/>
      <c r="E329" s="84" t="n"/>
      <c r="F329" s="84" t="n"/>
      <c r="G329" s="84" t="n"/>
      <c r="H329" s="84" t="n"/>
      <c r="I329" s="84" t="n"/>
      <c r="J329" s="84" t="n"/>
      <c r="K329" s="84" t="n"/>
      <c r="L329" s="85" t="n"/>
      <c r="M329" s="86" t="n"/>
      <c r="N329" s="245" t="n"/>
      <c r="O329" s="238" t="n"/>
      <c r="P329" s="238" t="n"/>
      <c r="Q329" s="246" t="n"/>
    </row>
    <row r="330" ht="13.2" customFormat="1" customHeight="1" s="47">
      <c r="B330" s="83" t="n"/>
      <c r="C330" s="83" t="n"/>
      <c r="D330" s="84" t="n"/>
      <c r="E330" s="84" t="n"/>
      <c r="F330" s="84" t="n"/>
      <c r="G330" s="84" t="n"/>
      <c r="H330" s="84" t="n"/>
      <c r="I330" s="84" t="n"/>
      <c r="J330" s="84" t="n"/>
      <c r="K330" s="84" t="n"/>
      <c r="L330" s="85" t="n"/>
      <c r="M330" s="86" t="n"/>
      <c r="N330" s="245" t="n"/>
      <c r="O330" s="238" t="n"/>
      <c r="P330" s="238" t="n"/>
      <c r="Q330" s="246" t="n"/>
    </row>
    <row r="331" ht="13.2" customFormat="1" customHeight="1" s="47">
      <c r="B331" s="83" t="n"/>
      <c r="C331" s="83" t="n"/>
      <c r="D331" s="84" t="n"/>
      <c r="E331" s="84" t="n"/>
      <c r="F331" s="84" t="n"/>
      <c r="G331" s="84" t="n"/>
      <c r="H331" s="84" t="n"/>
      <c r="I331" s="84" t="n"/>
      <c r="J331" s="84" t="n"/>
      <c r="K331" s="84" t="n"/>
      <c r="L331" s="85" t="n"/>
      <c r="M331" s="86" t="n"/>
      <c r="N331" s="245" t="n"/>
      <c r="O331" s="238" t="n"/>
      <c r="P331" s="238" t="n"/>
      <c r="Q331" s="246" t="n"/>
    </row>
    <row r="332" ht="13.2" customFormat="1" customHeight="1" s="47">
      <c r="B332" s="83" t="n"/>
      <c r="C332" s="83" t="n"/>
      <c r="D332" s="84" t="n"/>
      <c r="E332" s="84" t="n"/>
      <c r="F332" s="84" t="n"/>
      <c r="G332" s="84" t="n"/>
      <c r="H332" s="84" t="n"/>
      <c r="I332" s="84" t="n"/>
      <c r="J332" s="84" t="n"/>
      <c r="K332" s="84" t="n"/>
      <c r="L332" s="85" t="n"/>
      <c r="M332" s="86" t="n"/>
      <c r="N332" s="245" t="n"/>
      <c r="O332" s="238" t="n"/>
      <c r="P332" s="238" t="n"/>
      <c r="Q332" s="246" t="n"/>
    </row>
    <row r="333" ht="13.2" customFormat="1" customHeight="1" s="47">
      <c r="B333" s="83" t="n"/>
      <c r="C333" s="83" t="n"/>
      <c r="D333" s="84" t="n"/>
      <c r="E333" s="84" t="n"/>
      <c r="F333" s="84" t="n"/>
      <c r="G333" s="84" t="n"/>
      <c r="H333" s="84" t="n"/>
      <c r="I333" s="84" t="n"/>
      <c r="J333" s="84" t="n"/>
      <c r="K333" s="84" t="n"/>
      <c r="L333" s="85" t="n"/>
      <c r="M333" s="86" t="n"/>
      <c r="N333" s="245" t="n"/>
      <c r="O333" s="238" t="n"/>
      <c r="P333" s="238" t="n"/>
      <c r="Q333" s="246" t="n"/>
    </row>
    <row r="334" ht="13.2" customFormat="1" customHeight="1" s="47">
      <c r="B334" s="83" t="n"/>
      <c r="C334" s="83" t="n"/>
      <c r="D334" s="84" t="n"/>
      <c r="E334" s="84" t="n"/>
      <c r="F334" s="84" t="n"/>
      <c r="G334" s="84" t="n"/>
      <c r="H334" s="84" t="n"/>
      <c r="I334" s="84" t="n"/>
      <c r="J334" s="84" t="n"/>
      <c r="K334" s="84" t="n"/>
      <c r="L334" s="85" t="n"/>
      <c r="M334" s="86" t="n"/>
      <c r="N334" s="245" t="n"/>
      <c r="O334" s="238" t="n"/>
      <c r="P334" s="238" t="n"/>
      <c r="Q334" s="246" t="n"/>
    </row>
    <row r="335" ht="13.2" customFormat="1" customHeight="1" s="47">
      <c r="B335" s="83" t="n"/>
      <c r="C335" s="83" t="n"/>
      <c r="D335" s="84" t="n"/>
      <c r="E335" s="84" t="n"/>
      <c r="F335" s="84" t="n"/>
      <c r="G335" s="84" t="n"/>
      <c r="H335" s="84" t="n"/>
      <c r="I335" s="84" t="n"/>
      <c r="J335" s="84" t="n"/>
      <c r="K335" s="84" t="n"/>
      <c r="L335" s="85" t="n"/>
      <c r="M335" s="86" t="n"/>
      <c r="N335" s="245" t="n"/>
      <c r="O335" s="238" t="n"/>
      <c r="P335" s="238" t="n"/>
      <c r="Q335" s="246" t="n"/>
    </row>
    <row r="336" ht="13.2" customFormat="1" customHeight="1" s="47">
      <c r="B336" s="83" t="n"/>
      <c r="C336" s="83" t="n"/>
      <c r="D336" s="84" t="n"/>
      <c r="E336" s="84" t="n"/>
      <c r="F336" s="84" t="n"/>
      <c r="G336" s="84" t="n"/>
      <c r="H336" s="84" t="n"/>
      <c r="I336" s="84" t="n"/>
      <c r="J336" s="84" t="n"/>
      <c r="K336" s="84" t="n"/>
      <c r="L336" s="85" t="n"/>
      <c r="M336" s="86" t="n"/>
      <c r="N336" s="245" t="n"/>
      <c r="O336" s="238" t="n"/>
      <c r="P336" s="238" t="n"/>
      <c r="Q336" s="246" t="n"/>
    </row>
    <row r="337" ht="13.2" customFormat="1" customHeight="1" s="47">
      <c r="B337" s="83" t="n"/>
      <c r="C337" s="83" t="n"/>
      <c r="D337" s="84" t="n"/>
      <c r="E337" s="84" t="n"/>
      <c r="F337" s="84" t="n"/>
      <c r="G337" s="84" t="n"/>
      <c r="H337" s="84" t="n"/>
      <c r="I337" s="84" t="n"/>
      <c r="J337" s="84" t="n"/>
      <c r="K337" s="84" t="n"/>
      <c r="L337" s="85" t="n"/>
      <c r="M337" s="86" t="n"/>
      <c r="N337" s="245" t="n"/>
      <c r="O337" s="238" t="n"/>
      <c r="P337" s="238" t="n"/>
      <c r="Q337" s="246" t="n"/>
    </row>
    <row r="338" ht="13.2" customFormat="1" customHeight="1" s="47">
      <c r="B338" s="83" t="n"/>
      <c r="C338" s="83" t="n"/>
      <c r="D338" s="84" t="n"/>
      <c r="E338" s="84" t="n"/>
      <c r="F338" s="84" t="n"/>
      <c r="G338" s="84" t="n"/>
      <c r="H338" s="84" t="n"/>
      <c r="I338" s="84" t="n"/>
      <c r="J338" s="84" t="n"/>
      <c r="K338" s="84" t="n"/>
      <c r="L338" s="85" t="n"/>
      <c r="M338" s="86" t="n"/>
      <c r="N338" s="245" t="n"/>
      <c r="O338" s="238" t="n"/>
      <c r="P338" s="238" t="n"/>
      <c r="Q338" s="246" t="n"/>
    </row>
    <row r="339" ht="13.2" customFormat="1" customHeight="1" s="47">
      <c r="B339" s="83" t="n"/>
      <c r="C339" s="83" t="n"/>
      <c r="D339" s="84" t="n"/>
      <c r="E339" s="84" t="n"/>
      <c r="F339" s="84" t="n"/>
      <c r="G339" s="84" t="n"/>
      <c r="H339" s="84" t="n"/>
      <c r="I339" s="84" t="n"/>
      <c r="J339" s="84" t="n"/>
      <c r="K339" s="84" t="n"/>
      <c r="L339" s="85" t="n"/>
      <c r="M339" s="86" t="n"/>
      <c r="N339" s="245" t="n"/>
      <c r="O339" s="238" t="n"/>
      <c r="P339" s="238" t="n"/>
      <c r="Q339" s="246" t="n"/>
    </row>
    <row r="340" ht="13.2" customFormat="1" customHeight="1" s="47">
      <c r="B340" s="83" t="n"/>
      <c r="C340" s="83" t="n"/>
      <c r="D340" s="84" t="n"/>
      <c r="E340" s="84" t="n"/>
      <c r="F340" s="84" t="n"/>
      <c r="G340" s="84" t="n"/>
      <c r="H340" s="84" t="n"/>
      <c r="I340" s="84" t="n"/>
      <c r="J340" s="84" t="n"/>
      <c r="K340" s="84" t="n"/>
      <c r="L340" s="85" t="n"/>
      <c r="M340" s="86" t="n"/>
      <c r="N340" s="245" t="n"/>
      <c r="O340" s="238" t="n"/>
      <c r="P340" s="238" t="n"/>
      <c r="Q340" s="246" t="n"/>
    </row>
    <row r="341" ht="13.2" customFormat="1" customHeight="1" s="47">
      <c r="B341" s="83" t="n"/>
      <c r="C341" s="83" t="n"/>
      <c r="D341" s="84" t="n"/>
      <c r="E341" s="84" t="n"/>
      <c r="F341" s="84" t="n"/>
      <c r="G341" s="84" t="n"/>
      <c r="H341" s="84" t="n"/>
      <c r="I341" s="84" t="n"/>
      <c r="J341" s="84" t="n"/>
      <c r="K341" s="84" t="n"/>
      <c r="L341" s="85" t="n"/>
      <c r="M341" s="86" t="n"/>
      <c r="N341" s="245" t="n"/>
      <c r="O341" s="238" t="n"/>
      <c r="P341" s="238" t="n"/>
      <c r="Q341" s="246" t="n"/>
    </row>
    <row r="342" ht="13.2" customFormat="1" customHeight="1" s="47">
      <c r="B342" s="83" t="n"/>
      <c r="C342" s="83" t="n"/>
      <c r="D342" s="84" t="n"/>
      <c r="E342" s="84" t="n"/>
      <c r="F342" s="84" t="n"/>
      <c r="G342" s="84" t="n"/>
      <c r="H342" s="84" t="n"/>
      <c r="I342" s="84" t="n"/>
      <c r="J342" s="84" t="n"/>
      <c r="K342" s="84" t="n"/>
      <c r="L342" s="85" t="n"/>
      <c r="M342" s="86" t="n"/>
      <c r="N342" s="245" t="n"/>
      <c r="O342" s="238" t="n"/>
      <c r="P342" s="238" t="n"/>
      <c r="Q342" s="246" t="n"/>
    </row>
    <row r="343" ht="13.2" customFormat="1" customHeight="1" s="47">
      <c r="B343" s="83" t="n"/>
      <c r="C343" s="83" t="n"/>
      <c r="D343" s="84" t="n"/>
      <c r="E343" s="84" t="n"/>
      <c r="F343" s="84" t="n"/>
      <c r="G343" s="84" t="n"/>
      <c r="H343" s="84" t="n"/>
      <c r="I343" s="84" t="n"/>
      <c r="J343" s="84" t="n"/>
      <c r="K343" s="84" t="n"/>
      <c r="L343" s="85" t="n"/>
      <c r="M343" s="86" t="n"/>
      <c r="N343" s="245" t="n"/>
      <c r="O343" s="238" t="n"/>
      <c r="P343" s="238" t="n"/>
      <c r="Q343" s="246" t="n"/>
    </row>
    <row r="344" ht="13.2" customFormat="1" customHeight="1" s="47">
      <c r="B344" s="83" t="n"/>
      <c r="C344" s="83" t="n"/>
      <c r="D344" s="84" t="n"/>
      <c r="E344" s="84" t="n"/>
      <c r="F344" s="84" t="n"/>
      <c r="G344" s="84" t="n"/>
      <c r="H344" s="84" t="n"/>
      <c r="I344" s="84" t="n"/>
      <c r="J344" s="84" t="n"/>
      <c r="K344" s="84" t="n"/>
      <c r="L344" s="85" t="n"/>
      <c r="M344" s="86" t="n"/>
      <c r="N344" s="245" t="n"/>
      <c r="O344" s="238" t="n"/>
      <c r="P344" s="238" t="n"/>
      <c r="Q344" s="246" t="n"/>
    </row>
    <row r="345" ht="13.2" customFormat="1" customHeight="1" s="47">
      <c r="B345" s="83" t="n"/>
      <c r="C345" s="83" t="n"/>
      <c r="D345" s="84" t="n"/>
      <c r="E345" s="84" t="n"/>
      <c r="F345" s="84" t="n"/>
      <c r="G345" s="84" t="n"/>
      <c r="H345" s="84" t="n"/>
      <c r="I345" s="84" t="n"/>
      <c r="J345" s="84" t="n"/>
      <c r="K345" s="84" t="n"/>
      <c r="L345" s="85" t="n"/>
      <c r="M345" s="86" t="n"/>
      <c r="N345" s="245" t="n"/>
      <c r="O345" s="238" t="n"/>
      <c r="P345" s="238" t="n"/>
      <c r="Q345" s="246" t="n"/>
    </row>
    <row r="346" ht="13.2" customFormat="1" customHeight="1" s="47">
      <c r="B346" s="83" t="n"/>
      <c r="C346" s="83" t="n"/>
      <c r="D346" s="84" t="n"/>
      <c r="E346" s="84" t="n"/>
      <c r="F346" s="84" t="n"/>
      <c r="G346" s="84" t="n"/>
      <c r="H346" s="84" t="n"/>
      <c r="I346" s="84" t="n"/>
      <c r="J346" s="84" t="n"/>
      <c r="K346" s="84" t="n"/>
      <c r="L346" s="85" t="n"/>
      <c r="M346" s="86" t="n"/>
      <c r="N346" s="245" t="n"/>
      <c r="O346" s="238" t="n"/>
      <c r="P346" s="238" t="n"/>
      <c r="Q346" s="246" t="n"/>
    </row>
    <row r="347" ht="13.2" customFormat="1" customHeight="1" s="47">
      <c r="B347" s="83" t="n"/>
      <c r="C347" s="83" t="n"/>
      <c r="D347" s="84" t="n"/>
      <c r="E347" s="84" t="n"/>
      <c r="F347" s="84" t="n"/>
      <c r="G347" s="84" t="n"/>
      <c r="H347" s="84" t="n"/>
      <c r="I347" s="84" t="n"/>
      <c r="J347" s="84" t="n"/>
      <c r="K347" s="84" t="n"/>
      <c r="L347" s="85" t="n"/>
      <c r="M347" s="86" t="n"/>
      <c r="N347" s="245" t="n"/>
      <c r="O347" s="238" t="n"/>
      <c r="P347" s="238" t="n"/>
      <c r="Q347" s="246" t="n"/>
    </row>
    <row r="348" ht="13.2" customFormat="1" customHeight="1" s="47">
      <c r="B348" s="83" t="n"/>
      <c r="C348" s="83" t="n"/>
      <c r="D348" s="84" t="n"/>
      <c r="E348" s="84" t="n"/>
      <c r="F348" s="84" t="n"/>
      <c r="G348" s="84" t="n"/>
      <c r="H348" s="84" t="n"/>
      <c r="I348" s="84" t="n"/>
      <c r="J348" s="84" t="n"/>
      <c r="K348" s="84" t="n"/>
      <c r="L348" s="85" t="n"/>
      <c r="M348" s="86" t="n"/>
      <c r="N348" s="245" t="n"/>
      <c r="O348" s="238" t="n"/>
      <c r="P348" s="238" t="n"/>
      <c r="Q348" s="246" t="n"/>
    </row>
    <row r="349" ht="13.2" customFormat="1" customHeight="1" s="47">
      <c r="B349" s="83" t="n"/>
      <c r="C349" s="83" t="n"/>
      <c r="D349" s="84" t="n"/>
      <c r="E349" s="84" t="n"/>
      <c r="F349" s="84" t="n"/>
      <c r="G349" s="84" t="n"/>
      <c r="H349" s="84" t="n"/>
      <c r="I349" s="84" t="n"/>
      <c r="J349" s="84" t="n"/>
      <c r="K349" s="84" t="n"/>
      <c r="L349" s="85" t="n"/>
      <c r="M349" s="86" t="n"/>
      <c r="N349" s="245" t="n"/>
      <c r="O349" s="238" t="n"/>
      <c r="P349" s="238" t="n"/>
      <c r="Q349" s="246" t="n"/>
    </row>
    <row r="350" ht="13.2" customFormat="1" customHeight="1" s="47">
      <c r="B350" s="83" t="n"/>
      <c r="C350" s="83" t="n"/>
      <c r="D350" s="84" t="n"/>
      <c r="E350" s="84" t="n"/>
      <c r="F350" s="84" t="n"/>
      <c r="G350" s="84" t="n"/>
      <c r="H350" s="84" t="n"/>
      <c r="I350" s="84" t="n"/>
      <c r="J350" s="84" t="n"/>
      <c r="K350" s="84" t="n"/>
      <c r="L350" s="85" t="n"/>
      <c r="M350" s="86" t="n"/>
      <c r="N350" s="245" t="n"/>
      <c r="O350" s="238" t="n"/>
      <c r="P350" s="238" t="n"/>
      <c r="Q350" s="246" t="n"/>
    </row>
    <row r="351" ht="13.2" customFormat="1" customHeight="1" s="47">
      <c r="B351" s="83" t="n"/>
      <c r="C351" s="83" t="n"/>
      <c r="D351" s="84" t="n"/>
      <c r="E351" s="84" t="n"/>
      <c r="F351" s="84" t="n"/>
      <c r="G351" s="84" t="n"/>
      <c r="H351" s="84" t="n"/>
      <c r="I351" s="84" t="n"/>
      <c r="J351" s="84" t="n"/>
      <c r="K351" s="84" t="n"/>
      <c r="L351" s="85" t="n"/>
      <c r="M351" s="86" t="n"/>
      <c r="N351" s="245" t="n"/>
      <c r="O351" s="238" t="n"/>
      <c r="P351" s="238" t="n"/>
      <c r="Q351" s="246" t="n"/>
    </row>
    <row r="352" ht="13.2" customFormat="1" customHeight="1" s="47">
      <c r="B352" s="83" t="n"/>
      <c r="C352" s="83" t="n"/>
      <c r="D352" s="84" t="n"/>
      <c r="E352" s="84" t="n"/>
      <c r="F352" s="84" t="n"/>
      <c r="G352" s="84" t="n"/>
      <c r="H352" s="84" t="n"/>
      <c r="I352" s="84" t="n"/>
      <c r="J352" s="84" t="n"/>
      <c r="K352" s="84" t="n"/>
      <c r="L352" s="85" t="n"/>
      <c r="M352" s="86" t="n"/>
      <c r="N352" s="245" t="n"/>
      <c r="O352" s="238" t="n"/>
      <c r="P352" s="238" t="n"/>
      <c r="Q352" s="246" t="n"/>
    </row>
    <row r="353" ht="13.2" customFormat="1" customHeight="1" s="47">
      <c r="B353" s="83" t="n"/>
      <c r="C353" s="83" t="n"/>
      <c r="D353" s="84" t="n"/>
      <c r="E353" s="84" t="n"/>
      <c r="F353" s="84" t="n"/>
      <c r="G353" s="84" t="n"/>
      <c r="H353" s="84" t="n"/>
      <c r="I353" s="84" t="n"/>
      <c r="J353" s="84" t="n"/>
      <c r="K353" s="84" t="n"/>
      <c r="L353" s="85" t="n"/>
      <c r="M353" s="86" t="n"/>
      <c r="N353" s="245" t="n"/>
      <c r="O353" s="238" t="n"/>
      <c r="P353" s="238" t="n"/>
      <c r="Q353" s="246" t="n"/>
    </row>
    <row r="354" ht="13.2" customFormat="1" customHeight="1" s="47">
      <c r="B354" s="83" t="n"/>
      <c r="C354" s="83" t="n"/>
      <c r="D354" s="84" t="n"/>
      <c r="E354" s="84" t="n"/>
      <c r="F354" s="84" t="n"/>
      <c r="G354" s="84" t="n"/>
      <c r="H354" s="84" t="n"/>
      <c r="I354" s="84" t="n"/>
      <c r="J354" s="84" t="n"/>
      <c r="K354" s="84" t="n"/>
      <c r="L354" s="85" t="n"/>
      <c r="M354" s="86" t="n"/>
      <c r="N354" s="245" t="n"/>
      <c r="O354" s="238" t="n"/>
      <c r="P354" s="238" t="n"/>
      <c r="Q354" s="246" t="n"/>
    </row>
    <row r="355" ht="13.2" customFormat="1" customHeight="1" s="47">
      <c r="B355" s="83" t="n"/>
      <c r="C355" s="83" t="n"/>
      <c r="D355" s="84" t="n"/>
      <c r="E355" s="84" t="n"/>
      <c r="F355" s="84" t="n"/>
      <c r="G355" s="84" t="n"/>
      <c r="H355" s="84" t="n"/>
      <c r="I355" s="84" t="n"/>
      <c r="J355" s="84" t="n"/>
      <c r="K355" s="84" t="n"/>
      <c r="L355" s="85" t="n"/>
      <c r="M355" s="86" t="n"/>
      <c r="N355" s="245" t="n"/>
      <c r="O355" s="238" t="n"/>
      <c r="P355" s="238" t="n"/>
      <c r="Q355" s="246" t="n"/>
    </row>
    <row r="356" ht="13.2" customFormat="1" customHeight="1" s="47">
      <c r="B356" s="83" t="n"/>
      <c r="C356" s="83" t="n"/>
      <c r="D356" s="84" t="n"/>
      <c r="E356" s="84" t="n"/>
      <c r="F356" s="84" t="n"/>
      <c r="G356" s="84" t="n"/>
      <c r="H356" s="84" t="n"/>
      <c r="I356" s="84" t="n"/>
      <c r="J356" s="84" t="n"/>
      <c r="K356" s="84" t="n"/>
      <c r="L356" s="85" t="n"/>
      <c r="M356" s="86" t="n"/>
      <c r="N356" s="245" t="n"/>
      <c r="O356" s="238" t="n"/>
      <c r="P356" s="238" t="n"/>
      <c r="Q356" s="246" t="n"/>
    </row>
    <row r="357" ht="13.2" customFormat="1" customHeight="1" s="47">
      <c r="B357" s="83" t="n"/>
      <c r="C357" s="83" t="n"/>
      <c r="D357" s="84" t="n"/>
      <c r="E357" s="84" t="n"/>
      <c r="F357" s="84" t="n"/>
      <c r="G357" s="84" t="n"/>
      <c r="H357" s="84" t="n"/>
      <c r="I357" s="84" t="n"/>
      <c r="J357" s="84" t="n"/>
      <c r="K357" s="84" t="n"/>
      <c r="L357" s="85" t="n"/>
      <c r="M357" s="86" t="n"/>
      <c r="N357" s="245" t="n"/>
      <c r="O357" s="238" t="n"/>
      <c r="P357" s="238" t="n"/>
      <c r="Q357" s="246" t="n"/>
    </row>
    <row r="358" ht="13.2" customFormat="1" customHeight="1" s="47">
      <c r="B358" s="83" t="n"/>
      <c r="C358" s="83" t="n"/>
      <c r="D358" s="84" t="n"/>
      <c r="E358" s="84" t="n"/>
      <c r="F358" s="84" t="n"/>
      <c r="G358" s="84" t="n"/>
      <c r="H358" s="84" t="n"/>
      <c r="I358" s="84" t="n"/>
      <c r="J358" s="84" t="n"/>
      <c r="K358" s="84" t="n"/>
      <c r="L358" s="85" t="n"/>
      <c r="M358" s="86" t="n"/>
      <c r="N358" s="245" t="n"/>
      <c r="O358" s="238" t="n"/>
      <c r="P358" s="238" t="n"/>
      <c r="Q358" s="246" t="n"/>
    </row>
    <row r="359" ht="13.2" customFormat="1" customHeight="1" s="47">
      <c r="B359" s="83" t="n"/>
      <c r="C359" s="83" t="n"/>
      <c r="D359" s="84" t="n"/>
      <c r="E359" s="84" t="n"/>
      <c r="F359" s="84" t="n"/>
      <c r="G359" s="84" t="n"/>
      <c r="H359" s="84" t="n"/>
      <c r="I359" s="84" t="n"/>
      <c r="J359" s="84" t="n"/>
      <c r="K359" s="84" t="n"/>
      <c r="L359" s="85" t="n"/>
      <c r="M359" s="86" t="n"/>
      <c r="N359" s="245" t="n"/>
      <c r="O359" s="238" t="n"/>
      <c r="P359" s="238" t="n"/>
      <c r="Q359" s="246" t="n"/>
    </row>
    <row r="360" ht="13.2" customFormat="1" customHeight="1" s="47">
      <c r="B360" s="83" t="n"/>
      <c r="C360" s="83" t="n"/>
      <c r="D360" s="84" t="n"/>
      <c r="E360" s="84" t="n"/>
      <c r="F360" s="84" t="n"/>
      <c r="G360" s="84" t="n"/>
      <c r="H360" s="84" t="n"/>
      <c r="I360" s="84" t="n"/>
      <c r="J360" s="84" t="n"/>
      <c r="K360" s="84" t="n"/>
      <c r="L360" s="85" t="n"/>
      <c r="M360" s="86" t="n"/>
      <c r="N360" s="245" t="n"/>
      <c r="O360" s="238" t="n"/>
      <c r="P360" s="238" t="n"/>
      <c r="Q360" s="246" t="n"/>
    </row>
    <row r="361" ht="13.2" customFormat="1" customHeight="1" s="47">
      <c r="B361" s="83" t="n"/>
      <c r="C361" s="83" t="n"/>
      <c r="D361" s="84" t="n"/>
      <c r="E361" s="84" t="n"/>
      <c r="F361" s="84" t="n"/>
      <c r="G361" s="84" t="n"/>
      <c r="H361" s="84" t="n"/>
      <c r="I361" s="84" t="n"/>
      <c r="J361" s="84" t="n"/>
      <c r="K361" s="84" t="n"/>
      <c r="L361" s="85" t="n"/>
      <c r="M361" s="86" t="n"/>
      <c r="N361" s="245" t="n"/>
      <c r="O361" s="238" t="n"/>
      <c r="P361" s="238" t="n"/>
      <c r="Q361" s="246" t="n"/>
    </row>
    <row r="362" ht="13.2" customFormat="1" customHeight="1" s="47">
      <c r="B362" s="83" t="n"/>
      <c r="C362" s="83" t="n"/>
      <c r="D362" s="84" t="n"/>
      <c r="E362" s="84" t="n"/>
      <c r="F362" s="84" t="n"/>
      <c r="G362" s="84" t="n"/>
      <c r="H362" s="84" t="n"/>
      <c r="I362" s="84" t="n"/>
      <c r="J362" s="84" t="n"/>
      <c r="K362" s="84" t="n"/>
      <c r="L362" s="85" t="n"/>
      <c r="M362" s="86" t="n"/>
      <c r="N362" s="245" t="n"/>
      <c r="O362" s="238" t="n"/>
      <c r="P362" s="238" t="n"/>
      <c r="Q362" s="246" t="n"/>
    </row>
    <row r="363" ht="13.2" customFormat="1" customHeight="1" s="47">
      <c r="B363" s="83" t="n"/>
      <c r="C363" s="83" t="n"/>
      <c r="D363" s="84" t="n"/>
      <c r="E363" s="84" t="n"/>
      <c r="F363" s="84" t="n"/>
      <c r="G363" s="84" t="n"/>
      <c r="H363" s="84" t="n"/>
      <c r="I363" s="84" t="n"/>
      <c r="J363" s="84" t="n"/>
      <c r="K363" s="84" t="n"/>
      <c r="L363" s="85" t="n"/>
      <c r="M363" s="86" t="n"/>
      <c r="N363" s="245" t="n"/>
      <c r="O363" s="238" t="n"/>
      <c r="P363" s="238" t="n"/>
      <c r="Q363" s="246" t="n"/>
    </row>
    <row r="364" ht="13.2" customFormat="1" customHeight="1" s="47">
      <c r="B364" s="83" t="n"/>
      <c r="C364" s="83" t="n"/>
      <c r="D364" s="84" t="n"/>
      <c r="E364" s="84" t="n"/>
      <c r="F364" s="84" t="n"/>
      <c r="G364" s="84" t="n"/>
      <c r="H364" s="84" t="n"/>
      <c r="I364" s="84" t="n"/>
      <c r="J364" s="84" t="n"/>
      <c r="K364" s="84" t="n"/>
      <c r="L364" s="85" t="n"/>
      <c r="M364" s="86" t="n"/>
      <c r="N364" s="245" t="n"/>
      <c r="O364" s="238" t="n"/>
      <c r="P364" s="238" t="n"/>
      <c r="Q364" s="246" t="n"/>
    </row>
    <row r="365" ht="13.2" customFormat="1" customHeight="1" s="47">
      <c r="B365" s="83" t="n"/>
      <c r="C365" s="83" t="n"/>
      <c r="D365" s="84" t="n"/>
      <c r="E365" s="84" t="n"/>
      <c r="F365" s="84" t="n"/>
      <c r="G365" s="84" t="n"/>
      <c r="H365" s="84" t="n"/>
      <c r="I365" s="84" t="n"/>
      <c r="J365" s="84" t="n"/>
      <c r="K365" s="84" t="n"/>
      <c r="L365" s="85" t="n"/>
      <c r="M365" s="86" t="n"/>
      <c r="N365" s="245" t="n"/>
      <c r="O365" s="238" t="n"/>
      <c r="P365" s="238" t="n"/>
      <c r="Q365" s="246" t="n"/>
    </row>
    <row r="366" ht="13.2" customFormat="1" customHeight="1" s="47">
      <c r="B366" s="83" t="n"/>
      <c r="C366" s="83" t="n"/>
      <c r="D366" s="84" t="n"/>
      <c r="E366" s="84" t="n"/>
      <c r="F366" s="84" t="n"/>
      <c r="G366" s="84" t="n"/>
      <c r="H366" s="84" t="n"/>
      <c r="I366" s="84" t="n"/>
      <c r="J366" s="84" t="n"/>
      <c r="K366" s="84" t="n"/>
      <c r="L366" s="85" t="n"/>
      <c r="M366" s="86" t="n"/>
      <c r="N366" s="245" t="n"/>
      <c r="O366" s="238" t="n"/>
      <c r="P366" s="238" t="n"/>
      <c r="Q366" s="246" t="n"/>
    </row>
    <row r="367" ht="13.2" customFormat="1" customHeight="1" s="47">
      <c r="B367" s="83" t="n"/>
      <c r="C367" s="83" t="n"/>
      <c r="D367" s="84" t="n"/>
      <c r="E367" s="84" t="n"/>
      <c r="F367" s="84" t="n"/>
      <c r="G367" s="84" t="n"/>
      <c r="H367" s="84" t="n"/>
      <c r="I367" s="84" t="n"/>
      <c r="J367" s="84" t="n"/>
      <c r="K367" s="84" t="n"/>
      <c r="L367" s="85" t="n"/>
      <c r="M367" s="86" t="n"/>
      <c r="N367" s="245" t="n"/>
      <c r="O367" s="238" t="n"/>
      <c r="P367" s="238" t="n"/>
      <c r="Q367" s="246" t="n"/>
    </row>
    <row r="368" ht="13.2" customFormat="1" customHeight="1" s="47">
      <c r="B368" s="83" t="n"/>
      <c r="C368" s="83" t="n"/>
      <c r="D368" s="84" t="n"/>
      <c r="E368" s="84" t="n"/>
      <c r="F368" s="84" t="n"/>
      <c r="G368" s="84" t="n"/>
      <c r="H368" s="84" t="n"/>
      <c r="I368" s="84" t="n"/>
      <c r="J368" s="84" t="n"/>
      <c r="K368" s="84" t="n"/>
      <c r="L368" s="85" t="n"/>
      <c r="M368" s="86" t="n"/>
      <c r="N368" s="245" t="n"/>
      <c r="O368" s="238" t="n"/>
      <c r="P368" s="238" t="n"/>
      <c r="Q368" s="246" t="n"/>
    </row>
    <row r="369" ht="13.2" customFormat="1" customHeight="1" s="47">
      <c r="B369" s="83" t="n"/>
      <c r="C369" s="83" t="n"/>
      <c r="D369" s="84" t="n"/>
      <c r="E369" s="84" t="n"/>
      <c r="F369" s="84" t="n"/>
      <c r="G369" s="84" t="n"/>
      <c r="H369" s="84" t="n"/>
      <c r="I369" s="84" t="n"/>
      <c r="J369" s="84" t="n"/>
      <c r="K369" s="84" t="n"/>
      <c r="L369" s="85" t="n"/>
      <c r="M369" s="86" t="n"/>
      <c r="N369" s="245" t="n"/>
      <c r="O369" s="238" t="n"/>
      <c r="P369" s="238" t="n"/>
      <c r="Q369" s="246" t="n"/>
    </row>
    <row r="370" ht="13.2" customFormat="1" customHeight="1" s="47">
      <c r="B370" s="83" t="n"/>
      <c r="C370" s="83" t="n"/>
      <c r="D370" s="84" t="n"/>
      <c r="E370" s="84" t="n"/>
      <c r="F370" s="84" t="n"/>
      <c r="G370" s="84" t="n"/>
      <c r="H370" s="84" t="n"/>
      <c r="I370" s="84" t="n"/>
      <c r="J370" s="84" t="n"/>
      <c r="K370" s="84" t="n"/>
      <c r="L370" s="85" t="n"/>
      <c r="M370" s="86" t="n"/>
      <c r="N370" s="245" t="n"/>
      <c r="O370" s="238" t="n"/>
      <c r="P370" s="238" t="n"/>
      <c r="Q370" s="246" t="n"/>
    </row>
    <row r="371" ht="13.2" customFormat="1" customHeight="1" s="47">
      <c r="B371" s="83" t="n"/>
      <c r="C371" s="83" t="n"/>
      <c r="D371" s="84" t="n"/>
      <c r="E371" s="84" t="n"/>
      <c r="F371" s="84" t="n"/>
      <c r="G371" s="84" t="n"/>
      <c r="H371" s="84" t="n"/>
      <c r="I371" s="84" t="n"/>
      <c r="J371" s="84" t="n"/>
      <c r="K371" s="84" t="n"/>
      <c r="L371" s="85" t="n"/>
      <c r="M371" s="86" t="n"/>
      <c r="N371" s="245" t="n"/>
      <c r="O371" s="238" t="n"/>
      <c r="P371" s="238" t="n"/>
      <c r="Q371" s="246" t="n"/>
    </row>
    <row r="372" ht="13.2" customFormat="1" customHeight="1" s="47">
      <c r="B372" s="83" t="n"/>
      <c r="C372" s="83" t="n"/>
      <c r="D372" s="84" t="n"/>
      <c r="E372" s="84" t="n"/>
      <c r="F372" s="84" t="n"/>
      <c r="G372" s="84" t="n"/>
      <c r="H372" s="84" t="n"/>
      <c r="I372" s="84" t="n"/>
      <c r="J372" s="84" t="n"/>
      <c r="K372" s="84" t="n"/>
      <c r="L372" s="85" t="n"/>
      <c r="M372" s="86" t="n"/>
      <c r="N372" s="245" t="n"/>
      <c r="O372" s="238" t="n"/>
      <c r="P372" s="238" t="n"/>
      <c r="Q372" s="246" t="n"/>
    </row>
    <row r="373" ht="13.2" customFormat="1" customHeight="1" s="47">
      <c r="B373" s="83" t="n"/>
      <c r="C373" s="83" t="n"/>
      <c r="D373" s="84" t="n"/>
      <c r="E373" s="84" t="n"/>
      <c r="F373" s="84" t="n"/>
      <c r="G373" s="84" t="n"/>
      <c r="H373" s="84" t="n"/>
      <c r="I373" s="84" t="n"/>
      <c r="J373" s="84" t="n"/>
      <c r="K373" s="84" t="n"/>
      <c r="L373" s="85" t="n"/>
      <c r="M373" s="86" t="n"/>
      <c r="N373" s="245" t="n"/>
      <c r="O373" s="238" t="n"/>
      <c r="P373" s="238" t="n"/>
      <c r="Q373" s="246" t="n"/>
    </row>
    <row r="374" ht="13.2" customFormat="1" customHeight="1" s="47">
      <c r="B374" s="83" t="n"/>
      <c r="C374" s="83" t="n"/>
      <c r="D374" s="84" t="n"/>
      <c r="E374" s="84" t="n"/>
      <c r="F374" s="84" t="n"/>
      <c r="G374" s="84" t="n"/>
      <c r="H374" s="84" t="n"/>
      <c r="I374" s="84" t="n"/>
      <c r="J374" s="84" t="n"/>
      <c r="K374" s="84" t="n"/>
      <c r="L374" s="85" t="n"/>
      <c r="M374" s="86" t="n"/>
      <c r="N374" s="245" t="n"/>
      <c r="O374" s="238" t="n"/>
      <c r="P374" s="238" t="n"/>
      <c r="Q374" s="246" t="n"/>
    </row>
    <row r="375" ht="13.2" customFormat="1" customHeight="1" s="47">
      <c r="B375" s="83" t="n"/>
      <c r="C375" s="83" t="n"/>
      <c r="D375" s="84" t="n"/>
      <c r="E375" s="84" t="n"/>
      <c r="F375" s="84" t="n"/>
      <c r="G375" s="84" t="n"/>
      <c r="H375" s="84" t="n"/>
      <c r="I375" s="84" t="n"/>
      <c r="J375" s="84" t="n"/>
      <c r="K375" s="84" t="n"/>
      <c r="L375" s="85" t="n"/>
      <c r="M375" s="86" t="n"/>
      <c r="N375" s="245" t="n"/>
      <c r="O375" s="238" t="n"/>
      <c r="P375" s="238" t="n"/>
      <c r="Q375" s="246" t="n"/>
    </row>
    <row r="376" ht="13.2" customFormat="1" customHeight="1" s="47">
      <c r="B376" s="83" t="n"/>
      <c r="C376" s="83" t="n"/>
      <c r="D376" s="84" t="n"/>
      <c r="E376" s="84" t="n"/>
      <c r="F376" s="84" t="n"/>
      <c r="G376" s="84" t="n"/>
      <c r="H376" s="84" t="n"/>
      <c r="I376" s="84" t="n"/>
      <c r="J376" s="84" t="n"/>
      <c r="K376" s="84" t="n"/>
      <c r="L376" s="85" t="n"/>
      <c r="M376" s="86" t="n"/>
      <c r="N376" s="245" t="n"/>
      <c r="O376" s="238" t="n"/>
      <c r="P376" s="238" t="n"/>
      <c r="Q376" s="246" t="n"/>
    </row>
    <row r="377" ht="13.2" customFormat="1" customHeight="1" s="47">
      <c r="B377" s="83" t="n"/>
      <c r="C377" s="83" t="n"/>
      <c r="D377" s="84" t="n"/>
      <c r="E377" s="84" t="n"/>
      <c r="F377" s="84" t="n"/>
      <c r="G377" s="84" t="n"/>
      <c r="H377" s="84" t="n"/>
      <c r="I377" s="84" t="n"/>
      <c r="J377" s="84" t="n"/>
      <c r="K377" s="84" t="n"/>
      <c r="L377" s="85" t="n"/>
      <c r="M377" s="86" t="n"/>
      <c r="N377" s="245" t="n"/>
      <c r="O377" s="238" t="n"/>
      <c r="P377" s="238" t="n"/>
      <c r="Q377" s="246" t="n"/>
    </row>
    <row r="378" ht="13.2" customFormat="1" customHeight="1" s="47">
      <c r="B378" s="83" t="n"/>
      <c r="C378" s="83" t="n"/>
      <c r="D378" s="84" t="n"/>
      <c r="E378" s="84" t="n"/>
      <c r="F378" s="84" t="n"/>
      <c r="G378" s="84" t="n"/>
      <c r="H378" s="84" t="n"/>
      <c r="I378" s="84" t="n"/>
      <c r="J378" s="84" t="n"/>
      <c r="K378" s="84" t="n"/>
      <c r="L378" s="85" t="n"/>
      <c r="M378" s="86" t="n"/>
      <c r="N378" s="245" t="n"/>
      <c r="O378" s="238" t="n"/>
      <c r="P378" s="238" t="n"/>
      <c r="Q378" s="246" t="n"/>
    </row>
    <row r="379" ht="13.2" customFormat="1" customHeight="1" s="47">
      <c r="B379" s="83" t="n"/>
      <c r="C379" s="83" t="n"/>
      <c r="D379" s="84" t="n"/>
      <c r="E379" s="84" t="n"/>
      <c r="F379" s="84" t="n"/>
      <c r="G379" s="84" t="n"/>
      <c r="H379" s="84" t="n"/>
      <c r="I379" s="84" t="n"/>
      <c r="J379" s="84" t="n"/>
      <c r="K379" s="84" t="n"/>
      <c r="L379" s="85" t="n"/>
      <c r="M379" s="86" t="n"/>
      <c r="N379" s="245" t="n"/>
      <c r="O379" s="238" t="n"/>
      <c r="P379" s="238" t="n"/>
      <c r="Q379" s="246" t="n"/>
    </row>
    <row r="380" ht="13.2" customFormat="1" customHeight="1" s="47">
      <c r="B380" s="83" t="n"/>
      <c r="C380" s="83" t="n"/>
      <c r="D380" s="84" t="n"/>
      <c r="E380" s="84" t="n"/>
      <c r="F380" s="84" t="n"/>
      <c r="G380" s="84" t="n"/>
      <c r="H380" s="84" t="n"/>
      <c r="I380" s="84" t="n"/>
      <c r="J380" s="84" t="n"/>
      <c r="K380" s="84" t="n"/>
      <c r="L380" s="85" t="n"/>
      <c r="M380" s="86" t="n"/>
      <c r="N380" s="245" t="n"/>
      <c r="O380" s="238" t="n"/>
      <c r="P380" s="238" t="n"/>
      <c r="Q380" s="246" t="n"/>
    </row>
    <row r="381" ht="13.2" customFormat="1" customHeight="1" s="47">
      <c r="B381" s="83" t="n"/>
      <c r="C381" s="83" t="n"/>
      <c r="D381" s="84" t="n"/>
      <c r="E381" s="84" t="n"/>
      <c r="F381" s="84" t="n"/>
      <c r="G381" s="84" t="n"/>
      <c r="H381" s="84" t="n"/>
      <c r="I381" s="84" t="n"/>
      <c r="J381" s="84" t="n"/>
      <c r="K381" s="84" t="n"/>
      <c r="L381" s="85" t="n"/>
      <c r="M381" s="86" t="n"/>
      <c r="N381" s="245" t="n"/>
      <c r="O381" s="238" t="n"/>
      <c r="P381" s="238" t="n"/>
      <c r="Q381" s="246" t="n"/>
    </row>
    <row r="382" ht="13.2" customFormat="1" customHeight="1" s="47">
      <c r="B382" s="83" t="n"/>
      <c r="C382" s="83" t="n"/>
      <c r="D382" s="84" t="n"/>
      <c r="E382" s="84" t="n"/>
      <c r="F382" s="84" t="n"/>
      <c r="G382" s="84" t="n"/>
      <c r="H382" s="84" t="n"/>
      <c r="I382" s="84" t="n"/>
      <c r="J382" s="84" t="n"/>
      <c r="K382" s="84" t="n"/>
      <c r="L382" s="85" t="n"/>
      <c r="M382" s="86" t="n"/>
      <c r="N382" s="245" t="n"/>
      <c r="O382" s="238" t="n"/>
      <c r="P382" s="238" t="n"/>
      <c r="Q382" s="246" t="n"/>
    </row>
    <row r="383" ht="13.2" customFormat="1" customHeight="1" s="47">
      <c r="B383" s="83" t="n"/>
      <c r="C383" s="83" t="n"/>
      <c r="D383" s="84" t="n"/>
      <c r="E383" s="84" t="n"/>
      <c r="F383" s="84" t="n"/>
      <c r="G383" s="84" t="n"/>
      <c r="H383" s="84" t="n"/>
      <c r="I383" s="84" t="n"/>
      <c r="J383" s="84" t="n"/>
      <c r="K383" s="84" t="n"/>
      <c r="L383" s="85" t="n"/>
      <c r="M383" s="86" t="n"/>
      <c r="N383" s="245" t="n"/>
      <c r="O383" s="238" t="n"/>
      <c r="P383" s="238" t="n"/>
      <c r="Q383" s="246" t="n"/>
    </row>
    <row r="384" ht="13.2" customFormat="1" customHeight="1" s="47">
      <c r="B384" s="83" t="n"/>
      <c r="C384" s="83" t="n"/>
      <c r="D384" s="84" t="n"/>
      <c r="E384" s="84" t="n"/>
      <c r="F384" s="84" t="n"/>
      <c r="G384" s="84" t="n"/>
      <c r="H384" s="84" t="n"/>
      <c r="I384" s="84" t="n"/>
      <c r="J384" s="84" t="n"/>
      <c r="K384" s="84" t="n"/>
      <c r="L384" s="85" t="n"/>
      <c r="M384" s="86" t="n"/>
      <c r="N384" s="245" t="n"/>
      <c r="O384" s="238" t="n"/>
      <c r="P384" s="238" t="n"/>
      <c r="Q384" s="246" t="n"/>
    </row>
    <row r="385" ht="13.2" customFormat="1" customHeight="1" s="47">
      <c r="B385" s="83" t="n"/>
      <c r="C385" s="83" t="n"/>
      <c r="D385" s="84" t="n"/>
      <c r="E385" s="84" t="n"/>
      <c r="F385" s="84" t="n"/>
      <c r="G385" s="84" t="n"/>
      <c r="H385" s="84" t="n"/>
      <c r="I385" s="84" t="n"/>
      <c r="J385" s="84" t="n"/>
      <c r="K385" s="84" t="n"/>
      <c r="L385" s="85" t="n"/>
      <c r="M385" s="86" t="n"/>
      <c r="N385" s="245" t="n"/>
      <c r="O385" s="238" t="n"/>
      <c r="P385" s="238" t="n"/>
      <c r="Q385" s="246" t="n"/>
    </row>
    <row r="386" ht="13.2" customFormat="1" customHeight="1" s="47">
      <c r="B386" s="83" t="n"/>
      <c r="C386" s="83" t="n"/>
      <c r="D386" s="84" t="n"/>
      <c r="E386" s="84" t="n"/>
      <c r="F386" s="84" t="n"/>
      <c r="G386" s="84" t="n"/>
      <c r="H386" s="84" t="n"/>
      <c r="I386" s="84" t="n"/>
      <c r="J386" s="84" t="n"/>
      <c r="K386" s="84" t="n"/>
      <c r="L386" s="85" t="n"/>
      <c r="M386" s="86" t="n"/>
      <c r="N386" s="245" t="n"/>
      <c r="O386" s="238" t="n"/>
      <c r="P386" s="238" t="n"/>
      <c r="Q386" s="246" t="n"/>
    </row>
    <row r="387" ht="13.2" customFormat="1" customHeight="1" s="47">
      <c r="B387" s="83" t="n"/>
      <c r="C387" s="83" t="n"/>
      <c r="D387" s="84" t="n"/>
      <c r="E387" s="84" t="n"/>
      <c r="F387" s="84" t="n"/>
      <c r="G387" s="84" t="n"/>
      <c r="H387" s="84" t="n"/>
      <c r="I387" s="84" t="n"/>
      <c r="J387" s="84" t="n"/>
      <c r="K387" s="84" t="n"/>
      <c r="L387" s="85" t="n"/>
      <c r="M387" s="86" t="n"/>
      <c r="N387" s="245" t="n"/>
      <c r="O387" s="238" t="n"/>
      <c r="P387" s="238" t="n"/>
      <c r="Q387" s="246" t="n"/>
    </row>
    <row r="388" ht="13.2" customFormat="1" customHeight="1" s="47">
      <c r="B388" s="83" t="n"/>
      <c r="C388" s="83" t="n"/>
      <c r="D388" s="84" t="n"/>
      <c r="E388" s="84" t="n"/>
      <c r="F388" s="84" t="n"/>
      <c r="G388" s="84" t="n"/>
      <c r="H388" s="84" t="n"/>
      <c r="I388" s="84" t="n"/>
      <c r="J388" s="84" t="n"/>
      <c r="K388" s="84" t="n"/>
      <c r="L388" s="85" t="n"/>
      <c r="M388" s="86" t="n"/>
      <c r="N388" s="245" t="n"/>
      <c r="O388" s="238" t="n"/>
      <c r="P388" s="238" t="n"/>
      <c r="Q388" s="246" t="n"/>
    </row>
    <row r="389" ht="13.2" customFormat="1" customHeight="1" s="47">
      <c r="B389" s="83" t="n"/>
      <c r="C389" s="83" t="n"/>
      <c r="D389" s="84" t="n"/>
      <c r="E389" s="84" t="n"/>
      <c r="F389" s="84" t="n"/>
      <c r="G389" s="84" t="n"/>
      <c r="H389" s="84" t="n"/>
      <c r="I389" s="84" t="n"/>
      <c r="J389" s="84" t="n"/>
      <c r="K389" s="84" t="n"/>
      <c r="L389" s="85" t="n"/>
      <c r="M389" s="86" t="n"/>
      <c r="N389" s="245" t="n"/>
      <c r="O389" s="238" t="n"/>
      <c r="P389" s="238" t="n"/>
      <c r="Q389" s="246" t="n"/>
    </row>
    <row r="390" ht="13.2" customFormat="1" customHeight="1" s="47">
      <c r="B390" s="83" t="n"/>
      <c r="C390" s="83" t="n"/>
      <c r="D390" s="84" t="n"/>
      <c r="E390" s="84" t="n"/>
      <c r="F390" s="84" t="n"/>
      <c r="G390" s="84" t="n"/>
      <c r="H390" s="84" t="n"/>
      <c r="I390" s="84" t="n"/>
      <c r="J390" s="84" t="n"/>
      <c r="K390" s="84" t="n"/>
      <c r="L390" s="85" t="n"/>
      <c r="M390" s="86" t="n"/>
      <c r="N390" s="245" t="n"/>
      <c r="O390" s="238" t="n"/>
      <c r="P390" s="238" t="n"/>
      <c r="Q390" s="246" t="n"/>
    </row>
    <row r="391" ht="13.2" customFormat="1" customHeight="1" s="47">
      <c r="B391" s="83" t="n"/>
      <c r="C391" s="83" t="n"/>
      <c r="D391" s="84" t="n"/>
      <c r="E391" s="84" t="n"/>
      <c r="F391" s="84" t="n"/>
      <c r="G391" s="84" t="n"/>
      <c r="H391" s="84" t="n"/>
      <c r="I391" s="84" t="n"/>
      <c r="J391" s="84" t="n"/>
      <c r="K391" s="84" t="n"/>
      <c r="L391" s="85" t="n"/>
      <c r="M391" s="86" t="n"/>
      <c r="N391" s="245" t="n"/>
      <c r="O391" s="238" t="n"/>
      <c r="P391" s="238" t="n"/>
      <c r="Q391" s="246" t="n"/>
    </row>
    <row r="392" ht="13.2" customFormat="1" customHeight="1" s="47">
      <c r="B392" s="83" t="n"/>
      <c r="C392" s="83" t="n"/>
      <c r="D392" s="84" t="n"/>
      <c r="E392" s="84" t="n"/>
      <c r="F392" s="84" t="n"/>
      <c r="G392" s="84" t="n"/>
      <c r="H392" s="84" t="n"/>
      <c r="I392" s="84" t="n"/>
      <c r="J392" s="84" t="n"/>
      <c r="K392" s="84" t="n"/>
      <c r="L392" s="85" t="n"/>
      <c r="M392" s="86" t="n"/>
      <c r="N392" s="245" t="n"/>
      <c r="O392" s="238" t="n"/>
      <c r="P392" s="238" t="n"/>
      <c r="Q392" s="246" t="n"/>
    </row>
    <row r="393" ht="13.2" customFormat="1" customHeight="1" s="47">
      <c r="B393" s="83" t="n"/>
      <c r="C393" s="83" t="n"/>
      <c r="D393" s="84" t="n"/>
      <c r="E393" s="84" t="n"/>
      <c r="F393" s="84" t="n"/>
      <c r="G393" s="84" t="n"/>
      <c r="H393" s="84" t="n"/>
      <c r="I393" s="84" t="n"/>
      <c r="J393" s="84" t="n"/>
      <c r="K393" s="84" t="n"/>
      <c r="L393" s="85" t="n"/>
      <c r="M393" s="86" t="n"/>
      <c r="N393" s="245" t="n"/>
      <c r="O393" s="238" t="n"/>
      <c r="P393" s="238" t="n"/>
      <c r="Q393" s="246" t="n"/>
    </row>
    <row r="394" ht="13.2" customFormat="1" customHeight="1" s="47">
      <c r="B394" s="83" t="n"/>
      <c r="C394" s="83" t="n"/>
      <c r="D394" s="84" t="n"/>
      <c r="E394" s="84" t="n"/>
      <c r="F394" s="84" t="n"/>
      <c r="G394" s="84" t="n"/>
      <c r="H394" s="84" t="n"/>
      <c r="I394" s="84" t="n"/>
      <c r="J394" s="84" t="n"/>
      <c r="K394" s="84" t="n"/>
      <c r="L394" s="85" t="n"/>
      <c r="M394" s="86" t="n"/>
      <c r="N394" s="245" t="n"/>
      <c r="O394" s="238" t="n"/>
      <c r="P394" s="238" t="n"/>
      <c r="Q394" s="246" t="n"/>
    </row>
    <row r="395" ht="13.2" customFormat="1" customHeight="1" s="47">
      <c r="B395" s="83" t="n"/>
      <c r="C395" s="83" t="n"/>
      <c r="D395" s="84" t="n"/>
      <c r="E395" s="84" t="n"/>
      <c r="F395" s="84" t="n"/>
      <c r="G395" s="84" t="n"/>
      <c r="H395" s="84" t="n"/>
      <c r="I395" s="84" t="n"/>
      <c r="J395" s="84" t="n"/>
      <c r="K395" s="84" t="n"/>
      <c r="L395" s="85" t="n"/>
      <c r="M395" s="86" t="n"/>
      <c r="N395" s="245" t="n"/>
      <c r="O395" s="238" t="n"/>
      <c r="P395" s="238" t="n"/>
      <c r="Q395" s="246" t="n"/>
    </row>
    <row r="396" ht="13.2" customFormat="1" customHeight="1" s="47">
      <c r="B396" s="83" t="n"/>
      <c r="C396" s="83" t="n"/>
      <c r="D396" s="84" t="n"/>
      <c r="E396" s="84" t="n"/>
      <c r="F396" s="84" t="n"/>
      <c r="G396" s="84" t="n"/>
      <c r="H396" s="84" t="n"/>
      <c r="I396" s="84" t="n"/>
      <c r="J396" s="84" t="n"/>
      <c r="K396" s="84" t="n"/>
      <c r="L396" s="85" t="n"/>
      <c r="M396" s="86" t="n"/>
      <c r="N396" s="245" t="n"/>
      <c r="O396" s="238" t="n"/>
      <c r="P396" s="238" t="n"/>
      <c r="Q396" s="246" t="n"/>
    </row>
    <row r="397" ht="13.2" customFormat="1" customHeight="1" s="47">
      <c r="B397" s="83" t="n"/>
      <c r="C397" s="83" t="n"/>
      <c r="D397" s="84" t="n"/>
      <c r="E397" s="84" t="n"/>
      <c r="F397" s="84" t="n"/>
      <c r="G397" s="84" t="n"/>
      <c r="H397" s="84" t="n"/>
      <c r="I397" s="84" t="n"/>
      <c r="J397" s="84" t="n"/>
      <c r="K397" s="84" t="n"/>
      <c r="L397" s="85" t="n"/>
      <c r="M397" s="86" t="n"/>
      <c r="N397" s="245" t="n"/>
      <c r="O397" s="238" t="n"/>
      <c r="P397" s="238" t="n"/>
      <c r="Q397" s="246" t="n"/>
    </row>
    <row r="398" ht="13.2" customFormat="1" customHeight="1" s="47">
      <c r="B398" s="83" t="n"/>
      <c r="C398" s="83" t="n"/>
      <c r="D398" s="84" t="n"/>
      <c r="E398" s="84" t="n"/>
      <c r="F398" s="84" t="n"/>
      <c r="G398" s="84" t="n"/>
      <c r="H398" s="84" t="n"/>
      <c r="I398" s="84" t="n"/>
      <c r="J398" s="84" t="n"/>
      <c r="K398" s="84" t="n"/>
      <c r="L398" s="85" t="n"/>
      <c r="M398" s="86" t="n"/>
      <c r="N398" s="245" t="n"/>
      <c r="O398" s="238" t="n"/>
      <c r="P398" s="238" t="n"/>
      <c r="Q398" s="246" t="n"/>
    </row>
    <row r="399" ht="13.2" customFormat="1" customHeight="1" s="47">
      <c r="B399" s="83" t="n"/>
      <c r="C399" s="83" t="n"/>
      <c r="D399" s="84" t="n"/>
      <c r="E399" s="84" t="n"/>
      <c r="F399" s="84" t="n"/>
      <c r="G399" s="84" t="n"/>
      <c r="H399" s="84" t="n"/>
      <c r="I399" s="84" t="n"/>
      <c r="J399" s="84" t="n"/>
      <c r="K399" s="84" t="n"/>
      <c r="L399" s="85" t="n"/>
      <c r="M399" s="86" t="n"/>
      <c r="N399" s="245" t="n"/>
      <c r="O399" s="238" t="n"/>
      <c r="P399" s="238" t="n"/>
      <c r="Q399" s="246" t="n"/>
    </row>
    <row r="400" ht="13.2" customFormat="1" customHeight="1" s="47">
      <c r="B400" s="83" t="n"/>
      <c r="C400" s="83" t="n"/>
      <c r="D400" s="84" t="n"/>
      <c r="E400" s="84" t="n"/>
      <c r="F400" s="84" t="n"/>
      <c r="G400" s="84" t="n"/>
      <c r="H400" s="84" t="n"/>
      <c r="I400" s="84" t="n"/>
      <c r="J400" s="84" t="n"/>
      <c r="K400" s="84" t="n"/>
      <c r="L400" s="85" t="n"/>
      <c r="M400" s="86" t="n"/>
      <c r="N400" s="245" t="n"/>
      <c r="O400" s="238" t="n"/>
      <c r="P400" s="238" t="n"/>
      <c r="Q400" s="246" t="n"/>
    </row>
    <row r="401" ht="13.2" customFormat="1" customHeight="1" s="47">
      <c r="B401" s="83" t="n"/>
      <c r="C401" s="83" t="n"/>
      <c r="D401" s="84" t="n"/>
      <c r="E401" s="84" t="n"/>
      <c r="F401" s="84" t="n"/>
      <c r="G401" s="84" t="n"/>
      <c r="H401" s="84" t="n"/>
      <c r="I401" s="84" t="n"/>
      <c r="J401" s="84" t="n"/>
      <c r="K401" s="84" t="n"/>
      <c r="L401" s="85" t="n"/>
      <c r="M401" s="86" t="n"/>
      <c r="N401" s="245" t="n"/>
      <c r="O401" s="238" t="n"/>
      <c r="P401" s="238" t="n"/>
      <c r="Q401" s="246" t="n"/>
    </row>
    <row r="402" ht="13.2" customFormat="1" customHeight="1" s="47">
      <c r="B402" s="83" t="n"/>
      <c r="C402" s="83" t="n"/>
      <c r="D402" s="84" t="n"/>
      <c r="E402" s="84" t="n"/>
      <c r="F402" s="84" t="n"/>
      <c r="G402" s="84" t="n"/>
      <c r="H402" s="84" t="n"/>
      <c r="I402" s="84" t="n"/>
      <c r="J402" s="84" t="n"/>
      <c r="K402" s="84" t="n"/>
      <c r="L402" s="85" t="n"/>
      <c r="M402" s="86" t="n"/>
      <c r="N402" s="245" t="n"/>
      <c r="O402" s="238" t="n"/>
      <c r="P402" s="238" t="n"/>
      <c r="Q402" s="246" t="n"/>
    </row>
    <row r="403" ht="13.2" customFormat="1" customHeight="1" s="47">
      <c r="B403" s="83" t="n"/>
      <c r="C403" s="83" t="n"/>
      <c r="D403" s="84" t="n"/>
      <c r="E403" s="84" t="n"/>
      <c r="F403" s="84" t="n"/>
      <c r="G403" s="84" t="n"/>
      <c r="H403" s="84" t="n"/>
      <c r="I403" s="84" t="n"/>
      <c r="J403" s="84" t="n"/>
      <c r="K403" s="84" t="n"/>
      <c r="L403" s="85" t="n"/>
      <c r="M403" s="86" t="n"/>
      <c r="N403" s="245" t="n"/>
      <c r="O403" s="238" t="n"/>
      <c r="P403" s="238" t="n"/>
      <c r="Q403" s="246" t="n"/>
    </row>
    <row r="404" ht="13.2" customFormat="1" customHeight="1" s="47">
      <c r="B404" s="83" t="n"/>
      <c r="C404" s="83" t="n"/>
      <c r="D404" s="84" t="n"/>
      <c r="E404" s="84" t="n"/>
      <c r="F404" s="84" t="n"/>
      <c r="G404" s="84" t="n"/>
      <c r="H404" s="84" t="n"/>
      <c r="I404" s="84" t="n"/>
      <c r="J404" s="84" t="n"/>
      <c r="K404" s="84" t="n"/>
      <c r="L404" s="85" t="n"/>
      <c r="M404" s="86" t="n"/>
      <c r="N404" s="245" t="n"/>
      <c r="O404" s="238" t="n"/>
      <c r="P404" s="238" t="n"/>
      <c r="Q404" s="246" t="n"/>
    </row>
    <row r="405" ht="13.2" customFormat="1" customHeight="1" s="47">
      <c r="B405" s="83" t="n"/>
      <c r="C405" s="83" t="n"/>
      <c r="D405" s="84" t="n"/>
      <c r="E405" s="84" t="n"/>
      <c r="F405" s="84" t="n"/>
      <c r="G405" s="84" t="n"/>
      <c r="H405" s="84" t="n"/>
      <c r="I405" s="84" t="n"/>
      <c r="J405" s="84" t="n"/>
      <c r="K405" s="84" t="n"/>
      <c r="L405" s="85" t="n"/>
      <c r="M405" s="86" t="n"/>
      <c r="N405" s="245" t="n"/>
      <c r="O405" s="238" t="n"/>
      <c r="P405" s="238" t="n"/>
      <c r="Q405" s="246" t="n"/>
    </row>
    <row r="406" ht="13.2" customFormat="1" customHeight="1" s="47">
      <c r="B406" s="83" t="n"/>
      <c r="C406" s="83" t="n"/>
      <c r="D406" s="84" t="n"/>
      <c r="E406" s="84" t="n"/>
      <c r="F406" s="84" t="n"/>
      <c r="G406" s="84" t="n"/>
      <c r="H406" s="84" t="n"/>
      <c r="I406" s="84" t="n"/>
      <c r="J406" s="84" t="n"/>
      <c r="K406" s="84" t="n"/>
      <c r="L406" s="85" t="n"/>
      <c r="M406" s="86" t="n"/>
      <c r="N406" s="245" t="n"/>
      <c r="O406" s="238" t="n"/>
      <c r="P406" s="238" t="n"/>
      <c r="Q406" s="246" t="n"/>
    </row>
    <row r="407" ht="13.2" customFormat="1" customHeight="1" s="47">
      <c r="B407" s="83" t="n"/>
      <c r="C407" s="83" t="n"/>
      <c r="D407" s="84" t="n"/>
      <c r="E407" s="84" t="n"/>
      <c r="F407" s="84" t="n"/>
      <c r="G407" s="84" t="n"/>
      <c r="H407" s="84" t="n"/>
      <c r="I407" s="84" t="n"/>
      <c r="J407" s="84" t="n"/>
      <c r="K407" s="84" t="n"/>
      <c r="L407" s="85" t="n"/>
      <c r="M407" s="86" t="n"/>
      <c r="N407" s="245" t="n"/>
      <c r="O407" s="238" t="n"/>
      <c r="P407" s="238" t="n"/>
      <c r="Q407" s="246" t="n"/>
    </row>
    <row r="408" ht="13.2" customFormat="1" customHeight="1" s="47">
      <c r="B408" s="83" t="n"/>
      <c r="C408" s="83" t="n"/>
      <c r="D408" s="84" t="n"/>
      <c r="E408" s="84" t="n"/>
      <c r="F408" s="84" t="n"/>
      <c r="G408" s="84" t="n"/>
      <c r="H408" s="84" t="n"/>
      <c r="I408" s="84" t="n"/>
      <c r="J408" s="84" t="n"/>
      <c r="K408" s="84" t="n"/>
      <c r="L408" s="85" t="n"/>
      <c r="M408" s="86" t="n"/>
      <c r="N408" s="245" t="n"/>
      <c r="O408" s="238" t="n"/>
      <c r="P408" s="238" t="n"/>
      <c r="Q408" s="246" t="n"/>
    </row>
    <row r="409" ht="13.2" customFormat="1" customHeight="1" s="47">
      <c r="B409" s="83" t="n"/>
      <c r="C409" s="83" t="n"/>
      <c r="D409" s="84" t="n"/>
      <c r="E409" s="84" t="n"/>
      <c r="F409" s="84" t="n"/>
      <c r="G409" s="84" t="n"/>
      <c r="H409" s="84" t="n"/>
      <c r="I409" s="84" t="n"/>
      <c r="J409" s="84" t="n"/>
      <c r="K409" s="84" t="n"/>
      <c r="L409" s="85" t="n"/>
      <c r="M409" s="86" t="n"/>
      <c r="N409" s="245" t="n"/>
      <c r="O409" s="238" t="n"/>
      <c r="P409" s="238" t="n"/>
      <c r="Q409" s="246" t="n"/>
    </row>
    <row r="410" ht="13.2" customFormat="1" customHeight="1" s="47">
      <c r="B410" s="83" t="n"/>
      <c r="C410" s="83" t="n"/>
      <c r="D410" s="84" t="n"/>
      <c r="E410" s="84" t="n"/>
      <c r="F410" s="84" t="n"/>
      <c r="G410" s="84" t="n"/>
      <c r="H410" s="84" t="n"/>
      <c r="I410" s="84" t="n"/>
      <c r="J410" s="84" t="n"/>
      <c r="K410" s="84" t="n"/>
      <c r="L410" s="85" t="n"/>
      <c r="M410" s="86" t="n"/>
      <c r="N410" s="245" t="n"/>
      <c r="O410" s="238" t="n"/>
      <c r="P410" s="238" t="n"/>
      <c r="Q410" s="246" t="n"/>
    </row>
    <row r="411" ht="13.2" customFormat="1" customHeight="1" s="47">
      <c r="B411" s="83" t="n"/>
      <c r="C411" s="83" t="n"/>
      <c r="D411" s="84" t="n"/>
      <c r="E411" s="84" t="n"/>
      <c r="F411" s="84" t="n"/>
      <c r="G411" s="84" t="n"/>
      <c r="H411" s="84" t="n"/>
      <c r="I411" s="84" t="n"/>
      <c r="J411" s="84" t="n"/>
      <c r="K411" s="84" t="n"/>
      <c r="L411" s="85" t="n"/>
      <c r="M411" s="86" t="n"/>
      <c r="N411" s="245" t="n"/>
      <c r="O411" s="238" t="n"/>
      <c r="P411" s="238" t="n"/>
      <c r="Q411" s="246" t="n"/>
    </row>
    <row r="412" ht="13.2" customFormat="1" customHeight="1" s="47">
      <c r="B412" s="83" t="n"/>
      <c r="C412" s="83" t="n"/>
      <c r="D412" s="84" t="n"/>
      <c r="E412" s="84" t="n"/>
      <c r="F412" s="84" t="n"/>
      <c r="G412" s="84" t="n"/>
      <c r="H412" s="84" t="n"/>
      <c r="I412" s="84" t="n"/>
      <c r="J412" s="84" t="n"/>
      <c r="K412" s="84" t="n"/>
      <c r="L412" s="85" t="n"/>
      <c r="M412" s="86" t="n"/>
      <c r="N412" s="245" t="n"/>
      <c r="O412" s="238" t="n"/>
      <c r="P412" s="238" t="n"/>
      <c r="Q412" s="246" t="n"/>
    </row>
    <row r="413" ht="13.2" customFormat="1" customHeight="1" s="47">
      <c r="B413" s="83" t="n"/>
      <c r="C413" s="83" t="n"/>
      <c r="D413" s="84" t="n"/>
      <c r="E413" s="84" t="n"/>
      <c r="F413" s="84" t="n"/>
      <c r="G413" s="84" t="n"/>
      <c r="H413" s="84" t="n"/>
      <c r="I413" s="84" t="n"/>
      <c r="J413" s="84" t="n"/>
      <c r="K413" s="84" t="n"/>
      <c r="L413" s="85" t="n"/>
      <c r="M413" s="86" t="n"/>
      <c r="N413" s="245" t="n"/>
      <c r="O413" s="238" t="n"/>
      <c r="P413" s="238" t="n"/>
      <c r="Q413" s="246" t="n"/>
    </row>
    <row r="414" ht="13.2" customFormat="1" customHeight="1" s="47">
      <c r="B414" s="83" t="n"/>
      <c r="C414" s="83" t="n"/>
      <c r="D414" s="84" t="n"/>
      <c r="E414" s="84" t="n"/>
      <c r="F414" s="84" t="n"/>
      <c r="G414" s="84" t="n"/>
      <c r="H414" s="84" t="n"/>
      <c r="I414" s="84" t="n"/>
      <c r="J414" s="84" t="n"/>
      <c r="K414" s="84" t="n"/>
      <c r="L414" s="85" t="n"/>
      <c r="M414" s="86" t="n"/>
      <c r="N414" s="245" t="n"/>
      <c r="O414" s="238" t="n"/>
      <c r="P414" s="238" t="n"/>
      <c r="Q414" s="246" t="n"/>
    </row>
    <row r="415" ht="13.2" customFormat="1" customHeight="1" s="47">
      <c r="B415" s="83" t="n"/>
      <c r="C415" s="83" t="n"/>
      <c r="D415" s="84" t="n"/>
      <c r="E415" s="84" t="n"/>
      <c r="F415" s="84" t="n"/>
      <c r="G415" s="84" t="n"/>
      <c r="H415" s="84" t="n"/>
      <c r="I415" s="84" t="n"/>
      <c r="J415" s="84" t="n"/>
      <c r="K415" s="84" t="n"/>
      <c r="L415" s="85" t="n"/>
      <c r="M415" s="86" t="n"/>
      <c r="N415" s="245" t="n"/>
      <c r="O415" s="238" t="n"/>
      <c r="P415" s="238" t="n"/>
      <c r="Q415" s="246" t="n"/>
    </row>
    <row r="416" ht="13.2" customFormat="1" customHeight="1" s="47">
      <c r="B416" s="83" t="n"/>
      <c r="C416" s="83" t="n"/>
      <c r="D416" s="84" t="n"/>
      <c r="E416" s="84" t="n"/>
      <c r="F416" s="84" t="n"/>
      <c r="G416" s="84" t="n"/>
      <c r="H416" s="84" t="n"/>
      <c r="I416" s="84" t="n"/>
      <c r="J416" s="84" t="n"/>
      <c r="K416" s="84" t="n"/>
      <c r="L416" s="85" t="n"/>
      <c r="M416" s="86" t="n"/>
      <c r="N416" s="245" t="n"/>
      <c r="O416" s="238" t="n"/>
      <c r="P416" s="238" t="n"/>
      <c r="Q416" s="246" t="n"/>
    </row>
    <row r="417" ht="13.2" customFormat="1" customHeight="1" s="47">
      <c r="B417" s="83" t="n"/>
      <c r="C417" s="83" t="n"/>
      <c r="D417" s="84" t="n"/>
      <c r="E417" s="84" t="n"/>
      <c r="F417" s="84" t="n"/>
      <c r="G417" s="84" t="n"/>
      <c r="H417" s="84" t="n"/>
      <c r="I417" s="84" t="n"/>
      <c r="J417" s="84" t="n"/>
      <c r="K417" s="84" t="n"/>
      <c r="L417" s="85" t="n"/>
      <c r="M417" s="86" t="n"/>
      <c r="N417" s="245" t="n"/>
      <c r="O417" s="238" t="n"/>
      <c r="P417" s="238" t="n"/>
      <c r="Q417" s="246" t="n"/>
    </row>
    <row r="418" ht="13.2" customFormat="1" customHeight="1" s="47">
      <c r="B418" s="83" t="n"/>
      <c r="C418" s="83" t="n"/>
      <c r="D418" s="84" t="n"/>
      <c r="E418" s="84" t="n"/>
      <c r="F418" s="84" t="n"/>
      <c r="G418" s="84" t="n"/>
      <c r="H418" s="84" t="n"/>
      <c r="I418" s="84" t="n"/>
      <c r="J418" s="84" t="n"/>
      <c r="K418" s="84" t="n"/>
      <c r="L418" s="85" t="n"/>
      <c r="M418" s="86" t="n"/>
      <c r="N418" s="245" t="n"/>
      <c r="O418" s="238" t="n"/>
      <c r="P418" s="238" t="n"/>
      <c r="Q418" s="246" t="n"/>
    </row>
    <row r="419" ht="13.2" customFormat="1" customHeight="1" s="47">
      <c r="B419" s="83" t="n"/>
      <c r="C419" s="83" t="n"/>
      <c r="D419" s="84" t="n"/>
      <c r="E419" s="84" t="n"/>
      <c r="F419" s="84" t="n"/>
      <c r="G419" s="84" t="n"/>
      <c r="H419" s="84" t="n"/>
      <c r="I419" s="84" t="n"/>
      <c r="J419" s="84" t="n"/>
      <c r="K419" s="84" t="n"/>
      <c r="L419" s="85" t="n"/>
      <c r="M419" s="86" t="n"/>
      <c r="N419" s="245" t="n"/>
      <c r="O419" s="238" t="n"/>
      <c r="P419" s="238" t="n"/>
      <c r="Q419" s="246" t="n"/>
    </row>
    <row r="420" ht="13.2" customFormat="1" customHeight="1" s="47">
      <c r="B420" s="83" t="n"/>
      <c r="C420" s="83" t="n"/>
      <c r="D420" s="84" t="n"/>
      <c r="E420" s="84" t="n"/>
      <c r="F420" s="84" t="n"/>
      <c r="G420" s="84" t="n"/>
      <c r="H420" s="84" t="n"/>
      <c r="I420" s="84" t="n"/>
      <c r="J420" s="84" t="n"/>
      <c r="K420" s="84" t="n"/>
      <c r="L420" s="85" t="n"/>
      <c r="M420" s="86" t="n"/>
      <c r="N420" s="245" t="n"/>
      <c r="O420" s="238" t="n"/>
      <c r="P420" s="238" t="n"/>
      <c r="Q420" s="246" t="n"/>
    </row>
    <row r="421" ht="13.2" customFormat="1" customHeight="1" s="47">
      <c r="B421" s="83" t="n"/>
      <c r="C421" s="83" t="n"/>
      <c r="D421" s="84" t="n"/>
      <c r="E421" s="84" t="n"/>
      <c r="F421" s="84" t="n"/>
      <c r="G421" s="84" t="n"/>
      <c r="H421" s="84" t="n"/>
      <c r="I421" s="84" t="n"/>
      <c r="J421" s="84" t="n"/>
      <c r="K421" s="84" t="n"/>
      <c r="L421" s="85" t="n"/>
      <c r="M421" s="86" t="n"/>
      <c r="N421" s="245" t="n"/>
      <c r="O421" s="238" t="n"/>
      <c r="P421" s="238" t="n"/>
      <c r="Q421" s="246" t="n"/>
    </row>
    <row r="422" ht="13.2" customFormat="1" customHeight="1" s="47">
      <c r="B422" s="83" t="n"/>
      <c r="C422" s="83" t="n"/>
      <c r="D422" s="84" t="n"/>
      <c r="E422" s="84" t="n"/>
      <c r="F422" s="84" t="n"/>
      <c r="G422" s="84" t="n"/>
      <c r="H422" s="84" t="n"/>
      <c r="I422" s="84" t="n"/>
      <c r="J422" s="84" t="n"/>
      <c r="K422" s="84" t="n"/>
      <c r="L422" s="85" t="n"/>
      <c r="M422" s="86" t="n"/>
      <c r="N422" s="245" t="n"/>
      <c r="O422" s="238" t="n"/>
      <c r="P422" s="238" t="n"/>
      <c r="Q422" s="246" t="n"/>
    </row>
    <row r="423" ht="13.2" customFormat="1" customHeight="1" s="47">
      <c r="B423" s="83" t="n"/>
      <c r="C423" s="83" t="n"/>
      <c r="D423" s="84" t="n"/>
      <c r="E423" s="84" t="n"/>
      <c r="F423" s="84" t="n"/>
      <c r="G423" s="84" t="n"/>
      <c r="H423" s="84" t="n"/>
      <c r="I423" s="84" t="n"/>
      <c r="J423" s="84" t="n"/>
      <c r="K423" s="84" t="n"/>
      <c r="L423" s="85" t="n"/>
      <c r="M423" s="86" t="n"/>
      <c r="N423" s="245" t="n"/>
      <c r="O423" s="238" t="n"/>
      <c r="P423" s="238" t="n"/>
      <c r="Q423" s="246" t="n"/>
    </row>
    <row r="424" ht="13.2" customFormat="1" customHeight="1" s="47">
      <c r="B424" s="83" t="n"/>
      <c r="C424" s="83" t="n"/>
      <c r="D424" s="84" t="n"/>
      <c r="E424" s="84" t="n"/>
      <c r="F424" s="84" t="n"/>
      <c r="G424" s="84" t="n"/>
      <c r="H424" s="84" t="n"/>
      <c r="I424" s="84" t="n"/>
      <c r="J424" s="84" t="n"/>
      <c r="K424" s="84" t="n"/>
      <c r="L424" s="85" t="n"/>
      <c r="M424" s="86" t="n"/>
      <c r="N424" s="245" t="n"/>
      <c r="O424" s="238" t="n"/>
      <c r="P424" s="238" t="n"/>
      <c r="Q424" s="246" t="n"/>
    </row>
    <row r="425" ht="13.2" customFormat="1" customHeight="1" s="47">
      <c r="B425" s="83" t="n"/>
      <c r="C425" s="83" t="n"/>
      <c r="D425" s="84" t="n"/>
      <c r="E425" s="84" t="n"/>
      <c r="F425" s="84" t="n"/>
      <c r="G425" s="84" t="n"/>
      <c r="H425" s="84" t="n"/>
      <c r="I425" s="84" t="n"/>
      <c r="J425" s="84" t="n"/>
      <c r="K425" s="84" t="n"/>
      <c r="L425" s="85" t="n"/>
      <c r="M425" s="86" t="n"/>
      <c r="N425" s="245" t="n"/>
      <c r="O425" s="238" t="n"/>
      <c r="P425" s="238" t="n"/>
      <c r="Q425" s="246" t="n"/>
    </row>
    <row r="426" ht="13.2" customFormat="1" customHeight="1" s="47">
      <c r="B426" s="83" t="n"/>
      <c r="C426" s="83" t="n"/>
      <c r="D426" s="84" t="n"/>
      <c r="E426" s="84" t="n"/>
      <c r="F426" s="84" t="n"/>
      <c r="G426" s="84" t="n"/>
      <c r="H426" s="84" t="n"/>
      <c r="I426" s="84" t="n"/>
      <c r="J426" s="84" t="n"/>
      <c r="K426" s="84" t="n"/>
      <c r="L426" s="85" t="n"/>
      <c r="M426" s="86" t="n"/>
      <c r="N426" s="245" t="n"/>
      <c r="O426" s="238" t="n"/>
      <c r="P426" s="238" t="n"/>
      <c r="Q426" s="246" t="n"/>
    </row>
    <row r="427" ht="13.2" customFormat="1" customHeight="1" s="47">
      <c r="B427" s="83" t="n"/>
      <c r="C427" s="83" t="n"/>
      <c r="D427" s="84" t="n"/>
      <c r="E427" s="84" t="n"/>
      <c r="F427" s="84" t="n"/>
      <c r="G427" s="84" t="n"/>
      <c r="H427" s="84" t="n"/>
      <c r="I427" s="84" t="n"/>
      <c r="J427" s="84" t="n"/>
      <c r="K427" s="84" t="n"/>
      <c r="L427" s="85" t="n"/>
      <c r="M427" s="86" t="n"/>
      <c r="N427" s="245" t="n"/>
      <c r="O427" s="238" t="n"/>
      <c r="P427" s="238" t="n"/>
      <c r="Q427" s="246" t="n"/>
    </row>
    <row r="428" ht="13.2" customFormat="1" customHeight="1" s="47">
      <c r="B428" s="83" t="n"/>
      <c r="C428" s="83" t="n"/>
      <c r="D428" s="84" t="n"/>
      <c r="E428" s="84" t="n"/>
      <c r="F428" s="84" t="n"/>
      <c r="G428" s="84" t="n"/>
      <c r="H428" s="84" t="n"/>
      <c r="I428" s="84" t="n"/>
      <c r="J428" s="84" t="n"/>
      <c r="K428" s="84" t="n"/>
      <c r="L428" s="85" t="n"/>
      <c r="M428" s="86" t="n"/>
      <c r="N428" s="245" t="n"/>
      <c r="O428" s="238" t="n"/>
      <c r="P428" s="238" t="n"/>
      <c r="Q428" s="246" t="n"/>
    </row>
    <row r="429" ht="13.2" customFormat="1" customHeight="1" s="47">
      <c r="B429" s="83" t="n"/>
      <c r="C429" s="83" t="n"/>
      <c r="D429" s="84" t="n"/>
      <c r="E429" s="84" t="n"/>
      <c r="F429" s="84" t="n"/>
      <c r="G429" s="84" t="n"/>
      <c r="H429" s="84" t="n"/>
      <c r="I429" s="84" t="n"/>
      <c r="J429" s="84" t="n"/>
      <c r="K429" s="84" t="n"/>
      <c r="L429" s="85" t="n"/>
      <c r="M429" s="86" t="n"/>
      <c r="N429" s="245" t="n"/>
      <c r="O429" s="238" t="n"/>
      <c r="P429" s="238" t="n"/>
      <c r="Q429" s="246" t="n"/>
    </row>
    <row r="430" ht="13.2" customFormat="1" customHeight="1" s="47">
      <c r="B430" s="83" t="n"/>
      <c r="C430" s="83" t="n"/>
      <c r="D430" s="84" t="n"/>
      <c r="E430" s="84" t="n"/>
      <c r="F430" s="84" t="n"/>
      <c r="G430" s="84" t="n"/>
      <c r="H430" s="84" t="n"/>
      <c r="I430" s="84" t="n"/>
      <c r="J430" s="84" t="n"/>
      <c r="K430" s="84" t="n"/>
      <c r="L430" s="85" t="n"/>
      <c r="M430" s="86" t="n"/>
      <c r="N430" s="245" t="n"/>
      <c r="O430" s="238" t="n"/>
      <c r="P430" s="238" t="n"/>
      <c r="Q430" s="246" t="n"/>
    </row>
    <row r="431" ht="13.2" customFormat="1" customHeight="1" s="47">
      <c r="B431" s="83" t="n"/>
      <c r="C431" s="83" t="n"/>
      <c r="D431" s="84" t="n"/>
      <c r="E431" s="84" t="n"/>
      <c r="F431" s="84" t="n"/>
      <c r="G431" s="84" t="n"/>
      <c r="H431" s="84" t="n"/>
      <c r="I431" s="84" t="n"/>
      <c r="J431" s="84" t="n"/>
      <c r="K431" s="84" t="n"/>
      <c r="L431" s="85" t="n"/>
      <c r="M431" s="86" t="n"/>
      <c r="N431" s="245" t="n"/>
      <c r="O431" s="238" t="n"/>
      <c r="P431" s="238" t="n"/>
      <c r="Q431" s="246" t="n"/>
    </row>
    <row r="432" ht="13.2" customFormat="1" customHeight="1" s="47">
      <c r="B432" s="83" t="n"/>
      <c r="C432" s="83" t="n"/>
      <c r="D432" s="84" t="n"/>
      <c r="E432" s="84" t="n"/>
      <c r="F432" s="84" t="n"/>
      <c r="G432" s="84" t="n"/>
      <c r="H432" s="84" t="n"/>
      <c r="I432" s="84" t="n"/>
      <c r="J432" s="84" t="n"/>
      <c r="K432" s="84" t="n"/>
      <c r="L432" s="85" t="n"/>
      <c r="M432" s="86" t="n"/>
      <c r="N432" s="245" t="n"/>
      <c r="O432" s="238" t="n"/>
      <c r="P432" s="238" t="n"/>
      <c r="Q432" s="246" t="n"/>
    </row>
    <row r="433" ht="13.2" customFormat="1" customHeight="1" s="47">
      <c r="B433" s="83" t="n"/>
      <c r="C433" s="83" t="n"/>
      <c r="D433" s="84" t="n"/>
      <c r="E433" s="84" t="n"/>
      <c r="F433" s="84" t="n"/>
      <c r="G433" s="84" t="n"/>
      <c r="H433" s="84" t="n"/>
      <c r="I433" s="84" t="n"/>
      <c r="J433" s="84" t="n"/>
      <c r="K433" s="84" t="n"/>
      <c r="L433" s="85" t="n"/>
      <c r="M433" s="86" t="n"/>
      <c r="N433" s="245" t="n"/>
      <c r="O433" s="238" t="n"/>
      <c r="P433" s="238" t="n"/>
      <c r="Q433" s="246" t="n"/>
    </row>
    <row r="434" ht="13.2" customFormat="1" customHeight="1" s="47">
      <c r="B434" s="83" t="n"/>
      <c r="C434" s="83" t="n"/>
      <c r="D434" s="84" t="n"/>
      <c r="E434" s="84" t="n"/>
      <c r="F434" s="84" t="n"/>
      <c r="G434" s="84" t="n"/>
      <c r="H434" s="84" t="n"/>
      <c r="I434" s="84" t="n"/>
      <c r="J434" s="84" t="n"/>
      <c r="K434" s="84" t="n"/>
      <c r="L434" s="85" t="n"/>
      <c r="M434" s="86" t="n"/>
      <c r="N434" s="245" t="n"/>
      <c r="O434" s="238" t="n"/>
      <c r="P434" s="238" t="n"/>
      <c r="Q434" s="246" t="n"/>
    </row>
    <row r="435" ht="13.2" customFormat="1" customHeight="1" s="47">
      <c r="B435" s="83" t="n"/>
      <c r="C435" s="83" t="n"/>
      <c r="D435" s="84" t="n"/>
      <c r="E435" s="84" t="n"/>
      <c r="F435" s="84" t="n"/>
      <c r="G435" s="84" t="n"/>
      <c r="H435" s="84" t="n"/>
      <c r="I435" s="84" t="n"/>
      <c r="J435" s="84" t="n"/>
      <c r="K435" s="84" t="n"/>
      <c r="L435" s="85" t="n"/>
      <c r="M435" s="86" t="n"/>
      <c r="N435" s="245" t="n"/>
      <c r="O435" s="238" t="n"/>
      <c r="P435" s="238" t="n"/>
      <c r="Q435" s="246" t="n"/>
    </row>
    <row r="436" ht="13.2" customFormat="1" customHeight="1" s="47">
      <c r="B436" s="83" t="n"/>
      <c r="C436" s="83" t="n"/>
      <c r="D436" s="84" t="n"/>
      <c r="E436" s="84" t="n"/>
      <c r="F436" s="84" t="n"/>
      <c r="G436" s="84" t="n"/>
      <c r="H436" s="84" t="n"/>
      <c r="I436" s="84" t="n"/>
      <c r="J436" s="84" t="n"/>
      <c r="K436" s="84" t="n"/>
      <c r="L436" s="85" t="n"/>
      <c r="M436" s="86" t="n"/>
      <c r="N436" s="245" t="n"/>
      <c r="O436" s="238" t="n"/>
      <c r="P436" s="238" t="n"/>
      <c r="Q436" s="246" t="n"/>
    </row>
    <row r="437" ht="13.2" customFormat="1" customHeight="1" s="47">
      <c r="B437" s="83" t="n"/>
      <c r="C437" s="83" t="n"/>
      <c r="D437" s="84" t="n"/>
      <c r="E437" s="84" t="n"/>
      <c r="F437" s="84" t="n"/>
      <c r="G437" s="84" t="n"/>
      <c r="H437" s="84" t="n"/>
      <c r="I437" s="84" t="n"/>
      <c r="J437" s="84" t="n"/>
      <c r="K437" s="84" t="n"/>
      <c r="L437" s="85" t="n"/>
      <c r="M437" s="86" t="n"/>
      <c r="N437" s="245" t="n"/>
      <c r="O437" s="238" t="n"/>
      <c r="P437" s="238" t="n"/>
      <c r="Q437" s="246" t="n"/>
    </row>
    <row r="438" ht="13.2" customFormat="1" customHeight="1" s="47">
      <c r="B438" s="83" t="n"/>
      <c r="C438" s="83" t="n"/>
      <c r="D438" s="84" t="n"/>
      <c r="E438" s="84" t="n"/>
      <c r="F438" s="84" t="n"/>
      <c r="G438" s="84" t="n"/>
      <c r="H438" s="84" t="n"/>
      <c r="I438" s="84" t="n"/>
      <c r="J438" s="84" t="n"/>
      <c r="K438" s="84" t="n"/>
      <c r="L438" s="85" t="n"/>
      <c r="M438" s="86" t="n"/>
      <c r="N438" s="245" t="n"/>
      <c r="O438" s="238" t="n"/>
      <c r="P438" s="238" t="n"/>
      <c r="Q438" s="246" t="n"/>
    </row>
    <row r="439" ht="13.2" customFormat="1" customHeight="1" s="47">
      <c r="B439" s="83" t="n"/>
      <c r="C439" s="83" t="n"/>
      <c r="D439" s="84" t="n"/>
      <c r="E439" s="84" t="n"/>
      <c r="F439" s="84" t="n"/>
      <c r="G439" s="84" t="n"/>
      <c r="H439" s="84" t="n"/>
      <c r="I439" s="84" t="n"/>
      <c r="J439" s="84" t="n"/>
      <c r="K439" s="84" t="n"/>
      <c r="L439" s="85" t="n"/>
      <c r="M439" s="86" t="n"/>
      <c r="N439" s="245" t="n"/>
      <c r="O439" s="238" t="n"/>
      <c r="P439" s="238" t="n"/>
      <c r="Q439" s="246" t="n"/>
    </row>
    <row r="440" ht="13.2" customFormat="1" customHeight="1" s="47">
      <c r="B440" s="83" t="n"/>
      <c r="C440" s="83" t="n"/>
      <c r="D440" s="84" t="n"/>
      <c r="E440" s="84" t="n"/>
      <c r="F440" s="84" t="n"/>
      <c r="G440" s="84" t="n"/>
      <c r="H440" s="84" t="n"/>
      <c r="I440" s="84" t="n"/>
      <c r="J440" s="84" t="n"/>
      <c r="K440" s="84" t="n"/>
      <c r="L440" s="85" t="n"/>
      <c r="M440" s="86" t="n"/>
      <c r="N440" s="245" t="n"/>
      <c r="O440" s="238" t="n"/>
      <c r="P440" s="238" t="n"/>
      <c r="Q440" s="246" t="n"/>
    </row>
    <row r="441" ht="13.2" customFormat="1" customHeight="1" s="47">
      <c r="B441" s="83" t="n"/>
      <c r="C441" s="83" t="n"/>
      <c r="D441" s="84" t="n"/>
      <c r="E441" s="84" t="n"/>
      <c r="F441" s="84" t="n"/>
      <c r="G441" s="84" t="n"/>
      <c r="H441" s="84" t="n"/>
      <c r="I441" s="84" t="n"/>
      <c r="J441" s="84" t="n"/>
      <c r="K441" s="84" t="n"/>
      <c r="L441" s="85" t="n"/>
      <c r="M441" s="86" t="n"/>
      <c r="N441" s="245" t="n"/>
      <c r="O441" s="238" t="n"/>
      <c r="P441" s="238" t="n"/>
      <c r="Q441" s="246" t="n"/>
    </row>
    <row r="442" ht="13.2" customFormat="1" customHeight="1" s="47">
      <c r="B442" s="83" t="n"/>
      <c r="C442" s="83" t="n"/>
      <c r="D442" s="84" t="n"/>
      <c r="E442" s="84" t="n"/>
      <c r="F442" s="84" t="n"/>
      <c r="G442" s="84" t="n"/>
      <c r="H442" s="84" t="n"/>
      <c r="I442" s="84" t="n"/>
      <c r="J442" s="84" t="n"/>
      <c r="K442" s="84" t="n"/>
      <c r="L442" s="85" t="n"/>
      <c r="M442" s="86" t="n"/>
      <c r="N442" s="245" t="n"/>
      <c r="O442" s="238" t="n"/>
      <c r="P442" s="238" t="n"/>
      <c r="Q442" s="246" t="n"/>
    </row>
    <row r="443" ht="13.2" customFormat="1" customHeight="1" s="47">
      <c r="B443" s="83" t="n"/>
      <c r="C443" s="83" t="n"/>
      <c r="D443" s="84" t="n"/>
      <c r="E443" s="84" t="n"/>
      <c r="F443" s="84" t="n"/>
      <c r="G443" s="84" t="n"/>
      <c r="H443" s="84" t="n"/>
      <c r="I443" s="84" t="n"/>
      <c r="J443" s="84" t="n"/>
      <c r="K443" s="84" t="n"/>
      <c r="L443" s="85" t="n"/>
      <c r="M443" s="86" t="n"/>
      <c r="N443" s="245" t="n"/>
      <c r="O443" s="238" t="n"/>
      <c r="P443" s="238" t="n"/>
      <c r="Q443" s="246" t="n"/>
    </row>
    <row r="444" ht="13.2" customFormat="1" customHeight="1" s="47">
      <c r="B444" s="83" t="n"/>
      <c r="C444" s="83" t="n"/>
      <c r="D444" s="84" t="n"/>
      <c r="E444" s="84" t="n"/>
      <c r="F444" s="84" t="n"/>
      <c r="G444" s="84" t="n"/>
      <c r="H444" s="84" t="n"/>
      <c r="I444" s="84" t="n"/>
      <c r="J444" s="84" t="n"/>
      <c r="K444" s="84" t="n"/>
      <c r="L444" s="85" t="n"/>
      <c r="M444" s="86" t="n"/>
      <c r="N444" s="245" t="n"/>
      <c r="O444" s="238" t="n"/>
      <c r="P444" s="238" t="n"/>
      <c r="Q444" s="246" t="n"/>
    </row>
    <row r="445" ht="13.2" customFormat="1" customHeight="1" s="47">
      <c r="B445" s="83" t="n"/>
      <c r="C445" s="83" t="n"/>
      <c r="D445" s="84" t="n"/>
      <c r="E445" s="84" t="n"/>
      <c r="F445" s="84" t="n"/>
      <c r="G445" s="84" t="n"/>
      <c r="H445" s="84" t="n"/>
      <c r="I445" s="84" t="n"/>
      <c r="J445" s="84" t="n"/>
      <c r="K445" s="84" t="n"/>
      <c r="L445" s="85" t="n"/>
      <c r="M445" s="86" t="n"/>
      <c r="N445" s="245" t="n"/>
      <c r="O445" s="238" t="n"/>
      <c r="P445" s="238" t="n"/>
      <c r="Q445" s="246" t="n"/>
    </row>
    <row r="446" ht="13.2" customFormat="1" customHeight="1" s="47">
      <c r="B446" s="83" t="n"/>
      <c r="C446" s="83" t="n"/>
      <c r="D446" s="84" t="n"/>
      <c r="E446" s="84" t="n"/>
      <c r="F446" s="84" t="n"/>
      <c r="G446" s="84" t="n"/>
      <c r="H446" s="84" t="n"/>
      <c r="I446" s="84" t="n"/>
      <c r="J446" s="84" t="n"/>
      <c r="K446" s="84" t="n"/>
      <c r="L446" s="85" t="n"/>
      <c r="M446" s="86" t="n"/>
      <c r="N446" s="245" t="n"/>
      <c r="O446" s="238" t="n"/>
      <c r="P446" s="238" t="n"/>
      <c r="Q446" s="246" t="n"/>
    </row>
    <row r="447" ht="13.2" customFormat="1" customHeight="1" s="47">
      <c r="B447" s="83" t="n"/>
      <c r="C447" s="83" t="n"/>
      <c r="D447" s="84" t="n"/>
      <c r="E447" s="84" t="n"/>
      <c r="F447" s="84" t="n"/>
      <c r="G447" s="84" t="n"/>
      <c r="H447" s="84" t="n"/>
      <c r="I447" s="84" t="n"/>
      <c r="J447" s="84" t="n"/>
      <c r="K447" s="84" t="n"/>
      <c r="L447" s="85" t="n"/>
      <c r="M447" s="86" t="n"/>
      <c r="N447" s="245" t="n"/>
      <c r="O447" s="238" t="n"/>
      <c r="P447" s="238" t="n"/>
      <c r="Q447" s="246" t="n"/>
    </row>
    <row r="448" ht="13.2" customFormat="1" customHeight="1" s="47">
      <c r="B448" s="83" t="n"/>
      <c r="C448" s="83" t="n"/>
      <c r="D448" s="84" t="n"/>
      <c r="E448" s="84" t="n"/>
      <c r="F448" s="84" t="n"/>
      <c r="G448" s="84" t="n"/>
      <c r="H448" s="84" t="n"/>
      <c r="I448" s="84" t="n"/>
      <c r="J448" s="84" t="n"/>
      <c r="K448" s="84" t="n"/>
      <c r="L448" s="85" t="n"/>
      <c r="M448" s="86" t="n"/>
      <c r="N448" s="245" t="n"/>
      <c r="O448" s="238" t="n"/>
      <c r="P448" s="238" t="n"/>
      <c r="Q448" s="246" t="n"/>
    </row>
    <row r="449" ht="13.2" customFormat="1" customHeight="1" s="47">
      <c r="B449" s="83" t="n"/>
      <c r="C449" s="83" t="n"/>
      <c r="D449" s="84" t="n"/>
      <c r="E449" s="84" t="n"/>
      <c r="F449" s="84" t="n"/>
      <c r="G449" s="84" t="n"/>
      <c r="H449" s="84" t="n"/>
      <c r="I449" s="84" t="n"/>
      <c r="J449" s="84" t="n"/>
      <c r="K449" s="84" t="n"/>
      <c r="L449" s="85" t="n"/>
      <c r="M449" s="86" t="n"/>
      <c r="N449" s="245" t="n"/>
      <c r="O449" s="238" t="n"/>
      <c r="P449" s="238" t="n"/>
      <c r="Q449" s="246" t="n"/>
    </row>
    <row r="450" ht="13.2" customFormat="1" customHeight="1" s="47">
      <c r="B450" s="83" t="n"/>
      <c r="C450" s="83" t="n"/>
      <c r="D450" s="84" t="n"/>
      <c r="E450" s="84" t="n"/>
      <c r="F450" s="84" t="n"/>
      <c r="G450" s="84" t="n"/>
      <c r="H450" s="84" t="n"/>
      <c r="I450" s="84" t="n"/>
      <c r="J450" s="84" t="n"/>
      <c r="K450" s="84" t="n"/>
      <c r="L450" s="85" t="n"/>
      <c r="M450" s="86" t="n"/>
      <c r="N450" s="245" t="n"/>
      <c r="O450" s="238" t="n"/>
      <c r="P450" s="238" t="n"/>
      <c r="Q450" s="246" t="n"/>
    </row>
    <row r="451" ht="13.2" customFormat="1" customHeight="1" s="47">
      <c r="B451" s="83" t="n"/>
      <c r="C451" s="83" t="n"/>
      <c r="D451" s="84" t="n"/>
      <c r="E451" s="84" t="n"/>
      <c r="F451" s="84" t="n"/>
      <c r="G451" s="84" t="n"/>
      <c r="H451" s="84" t="n"/>
      <c r="I451" s="84" t="n"/>
      <c r="J451" s="84" t="n"/>
      <c r="K451" s="84" t="n"/>
      <c r="L451" s="85" t="n"/>
      <c r="M451" s="86" t="n"/>
      <c r="N451" s="245" t="n"/>
      <c r="O451" s="238" t="n"/>
      <c r="P451" s="238" t="n"/>
      <c r="Q451" s="246" t="n"/>
    </row>
    <row r="452" ht="13.2" customFormat="1" customHeight="1" s="47">
      <c r="B452" s="83" t="n"/>
      <c r="C452" s="83" t="n"/>
      <c r="D452" s="84" t="n"/>
      <c r="E452" s="84" t="n"/>
      <c r="F452" s="84" t="n"/>
      <c r="G452" s="84" t="n"/>
      <c r="H452" s="84" t="n"/>
      <c r="I452" s="84" t="n"/>
      <c r="J452" s="84" t="n"/>
      <c r="K452" s="84" t="n"/>
      <c r="L452" s="85" t="n"/>
      <c r="M452" s="86" t="n"/>
      <c r="N452" s="245" t="n"/>
      <c r="O452" s="238" t="n"/>
      <c r="P452" s="238" t="n"/>
      <c r="Q452" s="246" t="n"/>
    </row>
    <row r="453" ht="13.2" customFormat="1" customHeight="1" s="47">
      <c r="B453" s="83" t="n"/>
      <c r="C453" s="83" t="n"/>
      <c r="D453" s="84" t="n"/>
      <c r="E453" s="84" t="n"/>
      <c r="F453" s="84" t="n"/>
      <c r="G453" s="84" t="n"/>
      <c r="H453" s="84" t="n"/>
      <c r="I453" s="84" t="n"/>
      <c r="J453" s="84" t="n"/>
      <c r="K453" s="84" t="n"/>
      <c r="L453" s="85" t="n"/>
      <c r="M453" s="86" t="n"/>
      <c r="N453" s="245" t="n"/>
      <c r="O453" s="238" t="n"/>
      <c r="P453" s="238" t="n"/>
      <c r="Q453" s="246" t="n"/>
    </row>
    <row r="454" ht="13.2" customFormat="1" customHeight="1" s="47">
      <c r="B454" s="83" t="n"/>
      <c r="C454" s="83" t="n"/>
      <c r="D454" s="84" t="n"/>
      <c r="E454" s="84" t="n"/>
      <c r="F454" s="84" t="n"/>
      <c r="G454" s="84" t="n"/>
      <c r="H454" s="84" t="n"/>
      <c r="I454" s="84" t="n"/>
      <c r="J454" s="84" t="n"/>
      <c r="K454" s="84" t="n"/>
      <c r="L454" s="85" t="n"/>
      <c r="M454" s="86" t="n"/>
      <c r="N454" s="245" t="n"/>
      <c r="O454" s="238" t="n"/>
      <c r="P454" s="238" t="n"/>
      <c r="Q454" s="246" t="n"/>
    </row>
    <row r="455" ht="13.2" customFormat="1" customHeight="1" s="47">
      <c r="B455" s="83" t="n"/>
      <c r="C455" s="83" t="n"/>
      <c r="D455" s="84" t="n"/>
      <c r="E455" s="84" t="n"/>
      <c r="F455" s="84" t="n"/>
      <c r="G455" s="84" t="n"/>
      <c r="H455" s="84" t="n"/>
      <c r="I455" s="84" t="n"/>
      <c r="J455" s="84" t="n"/>
      <c r="K455" s="84" t="n"/>
      <c r="L455" s="85" t="n"/>
      <c r="M455" s="86" t="n"/>
      <c r="N455" s="245" t="n"/>
      <c r="O455" s="238" t="n"/>
      <c r="P455" s="238" t="n"/>
      <c r="Q455" s="246" t="n"/>
    </row>
    <row r="456" ht="13.2" customFormat="1" customHeight="1" s="47">
      <c r="B456" s="83" t="n"/>
      <c r="C456" s="83" t="n"/>
      <c r="D456" s="84" t="n"/>
      <c r="E456" s="84" t="n"/>
      <c r="F456" s="84" t="n"/>
      <c r="G456" s="84" t="n"/>
      <c r="H456" s="84" t="n"/>
      <c r="I456" s="84" t="n"/>
      <c r="J456" s="84" t="n"/>
      <c r="K456" s="84" t="n"/>
      <c r="L456" s="85" t="n"/>
      <c r="M456" s="86" t="n"/>
      <c r="N456" s="245" t="n"/>
      <c r="O456" s="238" t="n"/>
      <c r="P456" s="238" t="n"/>
      <c r="Q456" s="246" t="n"/>
    </row>
    <row r="457" ht="13.2" customFormat="1" customHeight="1" s="47">
      <c r="B457" s="83" t="n"/>
      <c r="C457" s="83" t="n"/>
      <c r="D457" s="84" t="n"/>
      <c r="E457" s="84" t="n"/>
      <c r="F457" s="84" t="n"/>
      <c r="G457" s="84" t="n"/>
      <c r="H457" s="84" t="n"/>
      <c r="I457" s="84" t="n"/>
      <c r="J457" s="84" t="n"/>
      <c r="K457" s="84" t="n"/>
      <c r="L457" s="85" t="n"/>
      <c r="M457" s="86" t="n"/>
      <c r="N457" s="245" t="n"/>
      <c r="O457" s="238" t="n"/>
      <c r="P457" s="238" t="n"/>
      <c r="Q457" s="246" t="n"/>
    </row>
    <row r="458" ht="13.2" customFormat="1" customHeight="1" s="47">
      <c r="B458" s="83" t="n"/>
      <c r="C458" s="83" t="n"/>
      <c r="D458" s="84" t="n"/>
      <c r="E458" s="84" t="n"/>
      <c r="F458" s="84" t="n"/>
      <c r="G458" s="84" t="n"/>
      <c r="H458" s="84" t="n"/>
      <c r="I458" s="84" t="n"/>
      <c r="J458" s="84" t="n"/>
      <c r="K458" s="84" t="n"/>
      <c r="L458" s="85" t="n"/>
      <c r="M458" s="86" t="n"/>
      <c r="N458" s="245" t="n"/>
      <c r="O458" s="238" t="n"/>
      <c r="P458" s="238" t="n"/>
      <c r="Q458" s="246" t="n"/>
    </row>
    <row r="459" ht="13.2" customFormat="1" customHeight="1" s="47">
      <c r="B459" s="83" t="n"/>
      <c r="C459" s="83" t="n"/>
      <c r="D459" s="84" t="n"/>
      <c r="E459" s="84" t="n"/>
      <c r="F459" s="84" t="n"/>
      <c r="G459" s="84" t="n"/>
      <c r="H459" s="84" t="n"/>
      <c r="I459" s="84" t="n"/>
      <c r="J459" s="84" t="n"/>
      <c r="K459" s="84" t="n"/>
      <c r="L459" s="85" t="n"/>
      <c r="M459" s="86" t="n"/>
      <c r="N459" s="245" t="n"/>
      <c r="O459" s="238" t="n"/>
      <c r="P459" s="238" t="n"/>
      <c r="Q459" s="246" t="n"/>
    </row>
    <row r="460" ht="13.2" customFormat="1" customHeight="1" s="47">
      <c r="B460" s="83" t="n"/>
      <c r="C460" s="83" t="n"/>
      <c r="D460" s="84" t="n"/>
      <c r="E460" s="84" t="n"/>
      <c r="F460" s="84" t="n"/>
      <c r="G460" s="84" t="n"/>
      <c r="H460" s="84" t="n"/>
      <c r="I460" s="84" t="n"/>
      <c r="J460" s="84" t="n"/>
      <c r="K460" s="84" t="n"/>
      <c r="L460" s="85" t="n"/>
      <c r="M460" s="86" t="n"/>
      <c r="N460" s="245" t="n"/>
      <c r="O460" s="238" t="n"/>
      <c r="P460" s="238" t="n"/>
      <c r="Q460" s="246" t="n"/>
    </row>
    <row r="461" ht="13.2" customFormat="1" customHeight="1" s="47">
      <c r="B461" s="83" t="n"/>
      <c r="C461" s="83" t="n"/>
      <c r="D461" s="84" t="n"/>
      <c r="E461" s="84" t="n"/>
      <c r="F461" s="84" t="n"/>
      <c r="G461" s="84" t="n"/>
      <c r="H461" s="84" t="n"/>
      <c r="I461" s="84" t="n"/>
      <c r="J461" s="84" t="n"/>
      <c r="K461" s="84" t="n"/>
      <c r="L461" s="85" t="n"/>
      <c r="M461" s="86" t="n"/>
      <c r="N461" s="245" t="n"/>
      <c r="O461" s="238" t="n"/>
      <c r="P461" s="238" t="n"/>
      <c r="Q461" s="246" t="n"/>
    </row>
    <row r="462" ht="13.2" customFormat="1" customHeight="1" s="47">
      <c r="B462" s="83" t="n"/>
      <c r="C462" s="83" t="n"/>
      <c r="D462" s="84" t="n"/>
      <c r="E462" s="84" t="n"/>
      <c r="F462" s="84" t="n"/>
      <c r="G462" s="84" t="n"/>
      <c r="H462" s="84" t="n"/>
      <c r="I462" s="84" t="n"/>
      <c r="J462" s="84" t="n"/>
      <c r="K462" s="84" t="n"/>
      <c r="L462" s="85" t="n"/>
      <c r="M462" s="86" t="n"/>
      <c r="N462" s="245" t="n"/>
      <c r="O462" s="238" t="n"/>
      <c r="P462" s="238" t="n"/>
      <c r="Q462" s="246" t="n"/>
    </row>
    <row r="463" ht="13.2" customFormat="1" customHeight="1" s="47">
      <c r="B463" s="83" t="n"/>
      <c r="C463" s="83" t="n"/>
      <c r="D463" s="84" t="n"/>
      <c r="E463" s="84" t="n"/>
      <c r="F463" s="84" t="n"/>
      <c r="G463" s="84" t="n"/>
      <c r="H463" s="84" t="n"/>
      <c r="I463" s="84" t="n"/>
      <c r="J463" s="84" t="n"/>
      <c r="K463" s="84" t="n"/>
      <c r="L463" s="85" t="n"/>
      <c r="M463" s="86" t="n"/>
      <c r="N463" s="245" t="n"/>
      <c r="O463" s="238" t="n"/>
      <c r="P463" s="238" t="n"/>
      <c r="Q463" s="246" t="n"/>
    </row>
    <row r="464" ht="13.2" customFormat="1" customHeight="1" s="47">
      <c r="B464" s="83" t="n"/>
      <c r="C464" s="83" t="n"/>
      <c r="D464" s="84" t="n"/>
      <c r="E464" s="84" t="n"/>
      <c r="F464" s="84" t="n"/>
      <c r="G464" s="84" t="n"/>
      <c r="H464" s="84" t="n"/>
      <c r="I464" s="84" t="n"/>
      <c r="J464" s="84" t="n"/>
      <c r="K464" s="84" t="n"/>
      <c r="L464" s="85" t="n"/>
      <c r="M464" s="86" t="n"/>
      <c r="N464" s="245" t="n"/>
      <c r="O464" s="238" t="n"/>
      <c r="P464" s="238" t="n"/>
      <c r="Q464" s="246" t="n"/>
    </row>
    <row r="465" ht="13.2" customFormat="1" customHeight="1" s="47">
      <c r="B465" s="83" t="n"/>
      <c r="C465" s="83" t="n"/>
      <c r="D465" s="84" t="n"/>
      <c r="E465" s="84" t="n"/>
      <c r="F465" s="84" t="n"/>
      <c r="G465" s="84" t="n"/>
      <c r="H465" s="84" t="n"/>
      <c r="I465" s="84" t="n"/>
      <c r="J465" s="84" t="n"/>
      <c r="K465" s="84" t="n"/>
      <c r="L465" s="85" t="n"/>
      <c r="M465" s="86" t="n"/>
      <c r="N465" s="245" t="n"/>
      <c r="O465" s="238" t="n"/>
      <c r="P465" s="238" t="n"/>
      <c r="Q465" s="246" t="n"/>
    </row>
    <row r="466" ht="13.2" customFormat="1" customHeight="1" s="47">
      <c r="B466" s="83" t="n"/>
      <c r="C466" s="83" t="n"/>
      <c r="D466" s="84" t="n"/>
      <c r="E466" s="84" t="n"/>
      <c r="F466" s="84" t="n"/>
      <c r="G466" s="84" t="n"/>
      <c r="H466" s="84" t="n"/>
      <c r="I466" s="84" t="n"/>
      <c r="J466" s="84" t="n"/>
      <c r="K466" s="84" t="n"/>
      <c r="L466" s="85" t="n"/>
      <c r="M466" s="86" t="n"/>
      <c r="N466" s="245" t="n"/>
      <c r="O466" s="238" t="n"/>
      <c r="P466" s="238" t="n"/>
      <c r="Q466" s="246" t="n"/>
    </row>
    <row r="467" ht="13.2" customFormat="1" customHeight="1" s="47">
      <c r="B467" s="83" t="n"/>
      <c r="C467" s="83" t="n"/>
      <c r="D467" s="84" t="n"/>
      <c r="E467" s="84" t="n"/>
      <c r="F467" s="84" t="n"/>
      <c r="G467" s="84" t="n"/>
      <c r="H467" s="84" t="n"/>
      <c r="I467" s="84" t="n"/>
      <c r="J467" s="84" t="n"/>
      <c r="K467" s="84" t="n"/>
      <c r="L467" s="85" t="n"/>
      <c r="M467" s="86" t="n"/>
      <c r="N467" s="245" t="n"/>
      <c r="O467" s="238" t="n"/>
      <c r="P467" s="238" t="n"/>
      <c r="Q467" s="246" t="n"/>
    </row>
    <row r="468" ht="13.2" customFormat="1" customHeight="1" s="47">
      <c r="B468" s="83" t="n"/>
      <c r="C468" s="83" t="n"/>
      <c r="D468" s="84" t="n"/>
      <c r="E468" s="84" t="n"/>
      <c r="F468" s="84" t="n"/>
      <c r="G468" s="84" t="n"/>
      <c r="H468" s="84" t="n"/>
      <c r="I468" s="84" t="n"/>
      <c r="J468" s="84" t="n"/>
      <c r="K468" s="84" t="n"/>
      <c r="L468" s="85" t="n"/>
      <c r="M468" s="86" t="n"/>
      <c r="N468" s="245" t="n"/>
      <c r="O468" s="238" t="n"/>
      <c r="P468" s="238" t="n"/>
      <c r="Q468" s="246" t="n"/>
    </row>
    <row r="469" ht="13.2" customFormat="1" customHeight="1" s="47">
      <c r="B469" s="83" t="n"/>
      <c r="C469" s="83" t="n"/>
      <c r="D469" s="84" t="n"/>
      <c r="E469" s="84" t="n"/>
      <c r="F469" s="84" t="n"/>
      <c r="G469" s="84" t="n"/>
      <c r="H469" s="84" t="n"/>
      <c r="I469" s="84" t="n"/>
      <c r="J469" s="84" t="n"/>
      <c r="K469" s="84" t="n"/>
      <c r="L469" s="85" t="n"/>
      <c r="M469" s="86" t="n"/>
      <c r="N469" s="245" t="n"/>
      <c r="O469" s="238" t="n"/>
      <c r="P469" s="238" t="n"/>
      <c r="Q469" s="246" t="n"/>
    </row>
    <row r="470" ht="13.2" customFormat="1" customHeight="1" s="47">
      <c r="B470" s="83" t="n"/>
      <c r="C470" s="83" t="n"/>
      <c r="D470" s="84" t="n"/>
      <c r="E470" s="84" t="n"/>
      <c r="F470" s="84" t="n"/>
      <c r="G470" s="84" t="n"/>
      <c r="H470" s="84" t="n"/>
      <c r="I470" s="84" t="n"/>
      <c r="J470" s="84" t="n"/>
      <c r="K470" s="84" t="n"/>
      <c r="L470" s="85" t="n"/>
      <c r="M470" s="86" t="n"/>
      <c r="N470" s="245" t="n"/>
      <c r="O470" s="238" t="n"/>
      <c r="P470" s="238" t="n"/>
      <c r="Q470" s="246" t="n"/>
    </row>
    <row r="471" ht="13.2" customFormat="1" customHeight="1" s="47">
      <c r="B471" s="83" t="n"/>
      <c r="C471" s="83" t="n"/>
      <c r="D471" s="84" t="n"/>
      <c r="E471" s="84" t="n"/>
      <c r="F471" s="84" t="n"/>
      <c r="G471" s="84" t="n"/>
      <c r="H471" s="84" t="n"/>
      <c r="I471" s="84" t="n"/>
      <c r="J471" s="84" t="n"/>
      <c r="K471" s="84" t="n"/>
      <c r="L471" s="85" t="n"/>
      <c r="M471" s="86" t="n"/>
      <c r="N471" s="245" t="n"/>
      <c r="O471" s="238" t="n"/>
      <c r="P471" s="238" t="n"/>
      <c r="Q471" s="246" t="n"/>
    </row>
    <row r="472" ht="13.2" customFormat="1" customHeight="1" s="47">
      <c r="B472" s="83" t="n"/>
      <c r="C472" s="83" t="n"/>
      <c r="D472" s="84" t="n"/>
      <c r="E472" s="84" t="n"/>
      <c r="F472" s="84" t="n"/>
      <c r="G472" s="84" t="n"/>
      <c r="H472" s="84" t="n"/>
      <c r="I472" s="84" t="n"/>
      <c r="J472" s="84" t="n"/>
      <c r="K472" s="84" t="n"/>
      <c r="L472" s="85" t="n"/>
      <c r="M472" s="86" t="n"/>
      <c r="N472" s="245" t="n"/>
      <c r="O472" s="238" t="n"/>
      <c r="P472" s="238" t="n"/>
      <c r="Q472" s="246" t="n"/>
    </row>
    <row r="473" ht="13.2" customFormat="1" customHeight="1" s="47">
      <c r="B473" s="83" t="n"/>
      <c r="C473" s="83" t="n"/>
      <c r="D473" s="84" t="n"/>
      <c r="E473" s="84" t="n"/>
      <c r="F473" s="84" t="n"/>
      <c r="G473" s="84" t="n"/>
      <c r="H473" s="84" t="n"/>
      <c r="I473" s="84" t="n"/>
      <c r="J473" s="84" t="n"/>
      <c r="K473" s="84" t="n"/>
      <c r="L473" s="85" t="n"/>
      <c r="M473" s="86" t="n"/>
      <c r="N473" s="245" t="n"/>
      <c r="O473" s="238" t="n"/>
      <c r="P473" s="238" t="n"/>
      <c r="Q473" s="246" t="n"/>
    </row>
    <row r="474" ht="13.2" customFormat="1" customHeight="1" s="47">
      <c r="B474" s="83" t="n"/>
      <c r="C474" s="83" t="n"/>
      <c r="D474" s="84" t="n"/>
      <c r="E474" s="84" t="n"/>
      <c r="F474" s="84" t="n"/>
      <c r="G474" s="84" t="n"/>
      <c r="H474" s="84" t="n"/>
      <c r="I474" s="84" t="n"/>
      <c r="J474" s="84" t="n"/>
      <c r="K474" s="84" t="n"/>
      <c r="L474" s="85" t="n"/>
      <c r="M474" s="86" t="n"/>
      <c r="N474" s="245" t="n"/>
      <c r="O474" s="238" t="n"/>
      <c r="P474" s="238" t="n"/>
      <c r="Q474" s="246" t="n"/>
    </row>
    <row r="475" ht="13.2" customFormat="1" customHeight="1" s="47">
      <c r="B475" s="83" t="n"/>
      <c r="C475" s="83" t="n"/>
      <c r="D475" s="84" t="n"/>
      <c r="E475" s="84" t="n"/>
      <c r="F475" s="84" t="n"/>
      <c r="G475" s="84" t="n"/>
      <c r="H475" s="84" t="n"/>
      <c r="I475" s="84" t="n"/>
      <c r="J475" s="84" t="n"/>
      <c r="K475" s="84" t="n"/>
      <c r="L475" s="85" t="n"/>
      <c r="M475" s="86" t="n"/>
      <c r="N475" s="245" t="n"/>
      <c r="O475" s="238" t="n"/>
      <c r="P475" s="238" t="n"/>
      <c r="Q475" s="246" t="n"/>
    </row>
    <row r="476" ht="13.2" customFormat="1" customHeight="1" s="47">
      <c r="B476" s="83" t="n"/>
      <c r="C476" s="83" t="n"/>
      <c r="D476" s="84" t="n"/>
      <c r="E476" s="84" t="n"/>
      <c r="F476" s="84" t="n"/>
      <c r="G476" s="84" t="n"/>
      <c r="H476" s="84" t="n"/>
      <c r="I476" s="84" t="n"/>
      <c r="J476" s="84" t="n"/>
      <c r="K476" s="84" t="n"/>
      <c r="L476" s="85" t="n"/>
      <c r="M476" s="86" t="n"/>
      <c r="N476" s="245" t="n"/>
      <c r="O476" s="238" t="n"/>
      <c r="P476" s="238" t="n"/>
      <c r="Q476" s="246" t="n"/>
    </row>
    <row r="477" ht="13.2" customFormat="1" customHeight="1" s="47">
      <c r="B477" s="83" t="n"/>
      <c r="C477" s="83" t="n"/>
      <c r="D477" s="84" t="n"/>
      <c r="E477" s="84" t="n"/>
      <c r="F477" s="84" t="n"/>
      <c r="G477" s="84" t="n"/>
      <c r="H477" s="84" t="n"/>
      <c r="I477" s="84" t="n"/>
      <c r="J477" s="84" t="n"/>
      <c r="K477" s="84" t="n"/>
      <c r="L477" s="85" t="n"/>
      <c r="M477" s="86" t="n"/>
      <c r="N477" s="245" t="n"/>
      <c r="O477" s="238" t="n"/>
      <c r="P477" s="238" t="n"/>
      <c r="Q477" s="246" t="n"/>
    </row>
    <row r="478" ht="13.2" customFormat="1" customHeight="1" s="47">
      <c r="B478" s="83" t="n"/>
      <c r="C478" s="83" t="n"/>
      <c r="D478" s="84" t="n"/>
      <c r="E478" s="84" t="n"/>
      <c r="F478" s="84" t="n"/>
      <c r="G478" s="84" t="n"/>
      <c r="H478" s="84" t="n"/>
      <c r="I478" s="84" t="n"/>
      <c r="J478" s="84" t="n"/>
      <c r="K478" s="84" t="n"/>
      <c r="L478" s="85" t="n"/>
      <c r="M478" s="86" t="n"/>
      <c r="N478" s="245" t="n"/>
      <c r="O478" s="238" t="n"/>
      <c r="P478" s="238" t="n"/>
      <c r="Q478" s="246" t="n"/>
    </row>
    <row r="479" ht="13.2" customFormat="1" customHeight="1" s="47">
      <c r="B479" s="83" t="n"/>
      <c r="C479" s="83" t="n"/>
      <c r="D479" s="84" t="n"/>
      <c r="E479" s="84" t="n"/>
      <c r="F479" s="84" t="n"/>
      <c r="G479" s="84" t="n"/>
      <c r="H479" s="84" t="n"/>
      <c r="I479" s="84" t="n"/>
      <c r="J479" s="84" t="n"/>
      <c r="K479" s="84" t="n"/>
      <c r="L479" s="85" t="n"/>
      <c r="M479" s="86" t="n"/>
      <c r="N479" s="245" t="n"/>
      <c r="O479" s="238" t="n"/>
      <c r="P479" s="238" t="n"/>
      <c r="Q479" s="246" t="n"/>
    </row>
    <row r="480" ht="13.2" customFormat="1" customHeight="1" s="47">
      <c r="B480" s="83" t="n"/>
      <c r="C480" s="83" t="n"/>
      <c r="D480" s="84" t="n"/>
      <c r="E480" s="84" t="n"/>
      <c r="F480" s="84" t="n"/>
      <c r="G480" s="84" t="n"/>
      <c r="H480" s="84" t="n"/>
      <c r="I480" s="84" t="n"/>
      <c r="J480" s="84" t="n"/>
      <c r="K480" s="84" t="n"/>
      <c r="L480" s="85" t="n"/>
      <c r="M480" s="86" t="n"/>
      <c r="N480" s="245" t="n"/>
      <c r="O480" s="238" t="n"/>
      <c r="P480" s="238" t="n"/>
      <c r="Q480" s="246" t="n"/>
    </row>
    <row r="481" ht="13.2" customFormat="1" customHeight="1" s="47">
      <c r="B481" s="83" t="n"/>
      <c r="C481" s="83" t="n"/>
      <c r="D481" s="84" t="n"/>
      <c r="E481" s="84" t="n"/>
      <c r="F481" s="84" t="n"/>
      <c r="G481" s="84" t="n"/>
      <c r="H481" s="84" t="n"/>
      <c r="I481" s="84" t="n"/>
      <c r="J481" s="84" t="n"/>
      <c r="K481" s="84" t="n"/>
      <c r="L481" s="85" t="n"/>
      <c r="M481" s="86" t="n"/>
      <c r="N481" s="245" t="n"/>
      <c r="O481" s="238" t="n"/>
      <c r="P481" s="238" t="n"/>
      <c r="Q481" s="246" t="n"/>
    </row>
    <row r="482" ht="13.2" customFormat="1" customHeight="1" s="47">
      <c r="B482" s="83" t="n"/>
      <c r="C482" s="83" t="n"/>
      <c r="D482" s="84" t="n"/>
      <c r="E482" s="84" t="n"/>
      <c r="F482" s="84" t="n"/>
      <c r="G482" s="84" t="n"/>
      <c r="H482" s="84" t="n"/>
      <c r="I482" s="84" t="n"/>
      <c r="J482" s="84" t="n"/>
      <c r="K482" s="84" t="n"/>
      <c r="L482" s="85" t="n"/>
      <c r="M482" s="86" t="n"/>
      <c r="N482" s="245" t="n"/>
      <c r="O482" s="238" t="n"/>
      <c r="P482" s="238" t="n"/>
      <c r="Q482" s="246" t="n"/>
    </row>
    <row r="483" ht="13.2" customFormat="1" customHeight="1" s="47">
      <c r="B483" s="83" t="n"/>
      <c r="C483" s="83" t="n"/>
      <c r="D483" s="84" t="n"/>
      <c r="E483" s="84" t="n"/>
      <c r="F483" s="84" t="n"/>
      <c r="G483" s="84" t="n"/>
      <c r="H483" s="84" t="n"/>
      <c r="I483" s="84" t="n"/>
      <c r="J483" s="84" t="n"/>
      <c r="K483" s="84" t="n"/>
      <c r="L483" s="85" t="n"/>
      <c r="M483" s="86" t="n"/>
      <c r="N483" s="245" t="n"/>
      <c r="O483" s="238" t="n"/>
      <c r="P483" s="238" t="n"/>
      <c r="Q483" s="246" t="n"/>
    </row>
    <row r="484" ht="13.2" customFormat="1" customHeight="1" s="47">
      <c r="B484" s="83" t="n"/>
      <c r="C484" s="83" t="n"/>
      <c r="D484" s="84" t="n"/>
      <c r="E484" s="84" t="n"/>
      <c r="F484" s="84" t="n"/>
      <c r="G484" s="84" t="n"/>
      <c r="H484" s="84" t="n"/>
      <c r="I484" s="84" t="n"/>
      <c r="J484" s="84" t="n"/>
      <c r="K484" s="84" t="n"/>
      <c r="L484" s="85" t="n"/>
      <c r="M484" s="86" t="n"/>
      <c r="N484" s="245" t="n"/>
      <c r="O484" s="238" t="n"/>
      <c r="P484" s="238" t="n"/>
      <c r="Q484" s="246" t="n"/>
    </row>
    <row r="485" ht="13.2" customFormat="1" customHeight="1" s="47">
      <c r="B485" s="83" t="n"/>
      <c r="C485" s="83" t="n"/>
      <c r="D485" s="84" t="n"/>
      <c r="E485" s="84" t="n"/>
      <c r="F485" s="84" t="n"/>
      <c r="G485" s="84" t="n"/>
      <c r="H485" s="84" t="n"/>
      <c r="I485" s="84" t="n"/>
      <c r="J485" s="84" t="n"/>
      <c r="K485" s="84" t="n"/>
      <c r="L485" s="85" t="n"/>
      <c r="M485" s="86" t="n"/>
      <c r="N485" s="245" t="n"/>
      <c r="O485" s="238" t="n"/>
      <c r="P485" s="238" t="n"/>
      <c r="Q485" s="246" t="n"/>
    </row>
    <row r="486" ht="13.2" customFormat="1" customHeight="1" s="47">
      <c r="B486" s="83" t="n"/>
      <c r="C486" s="83" t="n"/>
      <c r="D486" s="84" t="n"/>
      <c r="E486" s="84" t="n"/>
      <c r="F486" s="84" t="n"/>
      <c r="G486" s="84" t="n"/>
      <c r="H486" s="84" t="n"/>
      <c r="I486" s="84" t="n"/>
      <c r="J486" s="84" t="n"/>
      <c r="K486" s="84" t="n"/>
      <c r="L486" s="85" t="n"/>
      <c r="M486" s="86" t="n"/>
      <c r="N486" s="245" t="n"/>
      <c r="O486" s="238" t="n"/>
      <c r="P486" s="238" t="n"/>
      <c r="Q486" s="246" t="n"/>
    </row>
    <row r="487" ht="13.2" customFormat="1" customHeight="1" s="47">
      <c r="B487" s="83" t="n"/>
      <c r="C487" s="83" t="n"/>
      <c r="D487" s="84" t="n"/>
      <c r="E487" s="84" t="n"/>
      <c r="F487" s="84" t="n"/>
      <c r="G487" s="84" t="n"/>
      <c r="H487" s="84" t="n"/>
      <c r="I487" s="84" t="n"/>
      <c r="J487" s="84" t="n"/>
      <c r="K487" s="84" t="n"/>
      <c r="L487" s="85" t="n"/>
      <c r="M487" s="86" t="n"/>
      <c r="N487" s="245" t="n"/>
      <c r="O487" s="238" t="n"/>
      <c r="P487" s="238" t="n"/>
      <c r="Q487" s="246" t="n"/>
    </row>
    <row r="488" ht="13.2" customFormat="1" customHeight="1" s="47">
      <c r="B488" s="83" t="n"/>
      <c r="C488" s="83" t="n"/>
      <c r="D488" s="84" t="n"/>
      <c r="E488" s="84" t="n"/>
      <c r="F488" s="84" t="n"/>
      <c r="G488" s="84" t="n"/>
      <c r="H488" s="84" t="n"/>
      <c r="I488" s="84" t="n"/>
      <c r="J488" s="84" t="n"/>
      <c r="K488" s="84" t="n"/>
      <c r="L488" s="85" t="n"/>
      <c r="M488" s="86" t="n"/>
      <c r="N488" s="245" t="n"/>
      <c r="O488" s="238" t="n"/>
      <c r="P488" s="238" t="n"/>
      <c r="Q488" s="246" t="n"/>
    </row>
    <row r="489" ht="13.2" customFormat="1" customHeight="1" s="47">
      <c r="B489" s="83" t="n"/>
      <c r="C489" s="83" t="n"/>
      <c r="D489" s="84" t="n"/>
      <c r="E489" s="84" t="n"/>
      <c r="F489" s="84" t="n"/>
      <c r="G489" s="84" t="n"/>
      <c r="H489" s="84" t="n"/>
      <c r="I489" s="84" t="n"/>
      <c r="J489" s="84" t="n"/>
      <c r="K489" s="84" t="n"/>
      <c r="L489" s="85" t="n"/>
      <c r="M489" s="86" t="n"/>
      <c r="N489" s="245" t="n"/>
      <c r="O489" s="238" t="n"/>
      <c r="P489" s="238" t="n"/>
      <c r="Q489" s="246" t="n"/>
    </row>
    <row r="490" ht="13.2" customFormat="1" customHeight="1" s="47">
      <c r="B490" s="83" t="n"/>
      <c r="C490" s="83" t="n"/>
      <c r="D490" s="84" t="n"/>
      <c r="E490" s="84" t="n"/>
      <c r="F490" s="84" t="n"/>
      <c r="G490" s="84" t="n"/>
      <c r="H490" s="84" t="n"/>
      <c r="I490" s="84" t="n"/>
      <c r="J490" s="84" t="n"/>
      <c r="K490" s="84" t="n"/>
      <c r="L490" s="85" t="n"/>
      <c r="M490" s="86" t="n"/>
      <c r="N490" s="245" t="n"/>
      <c r="O490" s="238" t="n"/>
      <c r="P490" s="238" t="n"/>
      <c r="Q490" s="246" t="n"/>
    </row>
    <row r="491" ht="13.2" customFormat="1" customHeight="1" s="47">
      <c r="B491" s="83" t="n"/>
      <c r="C491" s="83" t="n"/>
      <c r="D491" s="84" t="n"/>
      <c r="E491" s="84" t="n"/>
      <c r="F491" s="84" t="n"/>
      <c r="G491" s="84" t="n"/>
      <c r="H491" s="84" t="n"/>
      <c r="I491" s="84" t="n"/>
      <c r="J491" s="84" t="n"/>
      <c r="K491" s="84" t="n"/>
      <c r="L491" s="85" t="n"/>
      <c r="M491" s="86" t="n"/>
      <c r="N491" s="245" t="n"/>
      <c r="O491" s="238" t="n"/>
      <c r="P491" s="238" t="n"/>
      <c r="Q491" s="246" t="n"/>
    </row>
    <row r="492" ht="13.2" customFormat="1" customHeight="1" s="47">
      <c r="B492" s="83" t="n"/>
      <c r="C492" s="83" t="n"/>
      <c r="D492" s="84" t="n"/>
      <c r="E492" s="84" t="n"/>
      <c r="F492" s="84" t="n"/>
      <c r="G492" s="84" t="n"/>
      <c r="H492" s="84" t="n"/>
      <c r="I492" s="84" t="n"/>
      <c r="J492" s="84" t="n"/>
      <c r="K492" s="84" t="n"/>
      <c r="L492" s="85" t="n"/>
      <c r="M492" s="86" t="n"/>
      <c r="N492" s="245" t="n"/>
      <c r="O492" s="238" t="n"/>
      <c r="P492" s="238" t="n"/>
      <c r="Q492" s="246" t="n"/>
    </row>
    <row r="493" ht="13.2" customFormat="1" customHeight="1" s="47">
      <c r="B493" s="83" t="n"/>
      <c r="C493" s="83" t="n"/>
      <c r="D493" s="84" t="n"/>
      <c r="E493" s="84" t="n"/>
      <c r="F493" s="84" t="n"/>
      <c r="G493" s="84" t="n"/>
      <c r="H493" s="84" t="n"/>
      <c r="I493" s="84" t="n"/>
      <c r="J493" s="84" t="n"/>
      <c r="K493" s="84" t="n"/>
      <c r="L493" s="85" t="n"/>
      <c r="M493" s="86" t="n"/>
      <c r="N493" s="245" t="n"/>
      <c r="O493" s="238" t="n"/>
      <c r="P493" s="238" t="n"/>
      <c r="Q493" s="246" t="n"/>
    </row>
    <row r="494" ht="13.2" customFormat="1" customHeight="1" s="47">
      <c r="B494" s="83" t="n"/>
      <c r="C494" s="83" t="n"/>
      <c r="D494" s="84" t="n"/>
      <c r="E494" s="84" t="n"/>
      <c r="F494" s="84" t="n"/>
      <c r="G494" s="84" t="n"/>
      <c r="H494" s="84" t="n"/>
      <c r="I494" s="84" t="n"/>
      <c r="J494" s="84" t="n"/>
      <c r="K494" s="84" t="n"/>
      <c r="L494" s="85" t="n"/>
      <c r="M494" s="86" t="n"/>
      <c r="N494" s="245" t="n"/>
      <c r="O494" s="238" t="n"/>
      <c r="P494" s="238" t="n"/>
      <c r="Q494" s="246" t="n"/>
    </row>
    <row r="495" ht="13.2" customFormat="1" customHeight="1" s="47">
      <c r="B495" s="83" t="n"/>
      <c r="C495" s="83" t="n"/>
      <c r="D495" s="84" t="n"/>
      <c r="E495" s="84" t="n"/>
      <c r="F495" s="84" t="n"/>
      <c r="G495" s="84" t="n"/>
      <c r="H495" s="84" t="n"/>
      <c r="I495" s="84" t="n"/>
      <c r="J495" s="84" t="n"/>
      <c r="K495" s="84" t="n"/>
      <c r="L495" s="85" t="n"/>
      <c r="M495" s="86" t="n"/>
      <c r="N495" s="245" t="n"/>
      <c r="O495" s="238" t="n"/>
      <c r="P495" s="238" t="n"/>
      <c r="Q495" s="246" t="n"/>
    </row>
    <row r="496" ht="13.2" customFormat="1" customHeight="1" s="47">
      <c r="B496" s="83" t="n"/>
      <c r="C496" s="83" t="n"/>
      <c r="D496" s="84" t="n"/>
      <c r="E496" s="84" t="n"/>
      <c r="F496" s="84" t="n"/>
      <c r="G496" s="84" t="n"/>
      <c r="H496" s="84" t="n"/>
      <c r="I496" s="84" t="n"/>
      <c r="J496" s="84" t="n"/>
      <c r="K496" s="84" t="n"/>
      <c r="L496" s="85" t="n"/>
      <c r="M496" s="86" t="n"/>
      <c r="N496" s="245" t="n"/>
      <c r="O496" s="238" t="n"/>
      <c r="P496" s="238" t="n"/>
      <c r="Q496" s="246" t="n"/>
    </row>
    <row r="497" ht="13.2" customFormat="1" customHeight="1" s="47">
      <c r="B497" s="83" t="n"/>
      <c r="C497" s="83" t="n"/>
      <c r="D497" s="84" t="n"/>
      <c r="E497" s="84" t="n"/>
      <c r="F497" s="84" t="n"/>
      <c r="G497" s="84" t="n"/>
      <c r="H497" s="84" t="n"/>
      <c r="I497" s="84" t="n"/>
      <c r="J497" s="84" t="n"/>
      <c r="K497" s="84" t="n"/>
      <c r="L497" s="85" t="n"/>
      <c r="M497" s="86" t="n"/>
      <c r="N497" s="245" t="n"/>
      <c r="O497" s="238" t="n"/>
      <c r="P497" s="238" t="n"/>
      <c r="Q497" s="246" t="n"/>
    </row>
    <row r="498" ht="13.2" customFormat="1" customHeight="1" s="47">
      <c r="B498" s="83" t="n"/>
      <c r="C498" s="83" t="n"/>
      <c r="D498" s="84" t="n"/>
      <c r="E498" s="84" t="n"/>
      <c r="F498" s="84" t="n"/>
      <c r="G498" s="84" t="n"/>
      <c r="H498" s="84" t="n"/>
      <c r="I498" s="84" t="n"/>
      <c r="J498" s="84" t="n"/>
      <c r="K498" s="84" t="n"/>
      <c r="L498" s="85" t="n"/>
      <c r="M498" s="86" t="n"/>
      <c r="N498" s="245" t="n"/>
      <c r="O498" s="238" t="n"/>
      <c r="P498" s="238" t="n"/>
      <c r="Q498" s="246" t="n"/>
    </row>
    <row r="499" ht="13.2" customFormat="1" customHeight="1" s="47">
      <c r="B499" s="83" t="n"/>
      <c r="C499" s="83" t="n"/>
      <c r="D499" s="84" t="n"/>
      <c r="E499" s="84" t="n"/>
      <c r="F499" s="84" t="n"/>
      <c r="G499" s="84" t="n"/>
      <c r="H499" s="84" t="n"/>
      <c r="I499" s="84" t="n"/>
      <c r="J499" s="84" t="n"/>
      <c r="K499" s="84" t="n"/>
      <c r="L499" s="85" t="n"/>
      <c r="M499" s="86" t="n"/>
      <c r="N499" s="245" t="n"/>
      <c r="O499" s="238" t="n"/>
      <c r="P499" s="238" t="n"/>
      <c r="Q499" s="246" t="n"/>
    </row>
    <row r="500" ht="13.2" customFormat="1" customHeight="1" s="47">
      <c r="B500" s="83" t="n"/>
      <c r="C500" s="83" t="n"/>
      <c r="D500" s="84" t="n"/>
      <c r="E500" s="84" t="n"/>
      <c r="F500" s="84" t="n"/>
      <c r="G500" s="84" t="n"/>
      <c r="H500" s="84" t="n"/>
      <c r="I500" s="84" t="n"/>
      <c r="J500" s="84" t="n"/>
      <c r="K500" s="84" t="n"/>
      <c r="L500" s="85" t="n"/>
      <c r="M500" s="86" t="n"/>
      <c r="N500" s="245" t="n"/>
      <c r="O500" s="238" t="n"/>
      <c r="P500" s="238" t="n"/>
      <c r="Q500" s="246" t="n"/>
    </row>
    <row r="501" ht="13.2" customFormat="1" customHeight="1" s="47">
      <c r="B501" s="83" t="n"/>
      <c r="C501" s="83" t="n"/>
      <c r="D501" s="84" t="n"/>
      <c r="E501" s="84" t="n"/>
      <c r="F501" s="84" t="n"/>
      <c r="G501" s="84" t="n"/>
      <c r="H501" s="84" t="n"/>
      <c r="I501" s="84" t="n"/>
      <c r="J501" s="84" t="n"/>
      <c r="K501" s="84" t="n"/>
      <c r="L501" s="85" t="n"/>
      <c r="M501" s="86" t="n"/>
      <c r="N501" s="245" t="n"/>
      <c r="O501" s="238" t="n"/>
      <c r="P501" s="238" t="n"/>
      <c r="Q501" s="246" t="n"/>
    </row>
    <row r="502" ht="13.2" customFormat="1" customHeight="1" s="47">
      <c r="B502" s="83" t="n"/>
      <c r="C502" s="83" t="n"/>
      <c r="D502" s="84" t="n"/>
      <c r="E502" s="84" t="n"/>
      <c r="F502" s="84" t="n"/>
      <c r="G502" s="84" t="n"/>
      <c r="H502" s="84" t="n"/>
      <c r="I502" s="84" t="n"/>
      <c r="J502" s="84" t="n"/>
      <c r="K502" s="84" t="n"/>
      <c r="L502" s="85" t="n"/>
      <c r="M502" s="86" t="n"/>
      <c r="N502" s="245" t="n"/>
      <c r="O502" s="238" t="n"/>
      <c r="P502" s="238" t="n"/>
      <c r="Q502" s="246" t="n"/>
    </row>
    <row r="503" ht="13.2" customFormat="1" customHeight="1" s="47">
      <c r="B503" s="83" t="n"/>
      <c r="C503" s="83" t="n"/>
      <c r="D503" s="84" t="n"/>
      <c r="E503" s="84" t="n"/>
      <c r="F503" s="84" t="n"/>
      <c r="G503" s="84" t="n"/>
      <c r="H503" s="84" t="n"/>
      <c r="I503" s="84" t="n"/>
      <c r="J503" s="84" t="n"/>
      <c r="K503" s="84" t="n"/>
      <c r="L503" s="85" t="n"/>
      <c r="M503" s="86" t="n"/>
      <c r="N503" s="245" t="n"/>
      <c r="O503" s="238" t="n"/>
      <c r="P503" s="238" t="n"/>
      <c r="Q503" s="246" t="n"/>
    </row>
    <row r="504" ht="13.2" customFormat="1" customHeight="1" s="47">
      <c r="B504" s="83" t="n"/>
      <c r="C504" s="83" t="n"/>
      <c r="D504" s="84" t="n"/>
      <c r="E504" s="84" t="n"/>
      <c r="F504" s="84" t="n"/>
      <c r="G504" s="84" t="n"/>
      <c r="H504" s="84" t="n"/>
      <c r="I504" s="84" t="n"/>
      <c r="J504" s="84" t="n"/>
      <c r="K504" s="84" t="n"/>
      <c r="L504" s="85" t="n"/>
      <c r="M504" s="86" t="n"/>
      <c r="N504" s="245" t="n"/>
      <c r="O504" s="238" t="n"/>
      <c r="P504" s="238" t="n"/>
      <c r="Q504" s="246" t="n"/>
    </row>
    <row r="505" ht="13.2" customFormat="1" customHeight="1" s="47">
      <c r="B505" s="83" t="n"/>
      <c r="C505" s="83" t="n"/>
      <c r="D505" s="84" t="n"/>
      <c r="E505" s="84" t="n"/>
      <c r="F505" s="84" t="n"/>
      <c r="G505" s="84" t="n"/>
      <c r="H505" s="84" t="n"/>
      <c r="I505" s="84" t="n"/>
      <c r="J505" s="84" t="n"/>
      <c r="K505" s="84" t="n"/>
      <c r="L505" s="85" t="n"/>
      <c r="M505" s="86" t="n"/>
      <c r="N505" s="245" t="n"/>
      <c r="O505" s="238" t="n"/>
      <c r="P505" s="238" t="n"/>
      <c r="Q505" s="246" t="n"/>
    </row>
    <row r="506" ht="13.2" customFormat="1" customHeight="1" s="47">
      <c r="B506" s="83" t="n"/>
      <c r="C506" s="83" t="n"/>
      <c r="D506" s="84" t="n"/>
      <c r="E506" s="84" t="n"/>
      <c r="F506" s="84" t="n"/>
      <c r="G506" s="84" t="n"/>
      <c r="H506" s="84" t="n"/>
      <c r="I506" s="84" t="n"/>
      <c r="J506" s="84" t="n"/>
      <c r="K506" s="84" t="n"/>
      <c r="L506" s="85" t="n"/>
      <c r="M506" s="86" t="n"/>
      <c r="N506" s="245" t="n"/>
      <c r="O506" s="238" t="n"/>
      <c r="P506" s="238" t="n"/>
      <c r="Q506" s="246" t="n"/>
    </row>
    <row r="507" ht="13.2" customFormat="1" customHeight="1" s="47">
      <c r="B507" s="83" t="n"/>
      <c r="C507" s="83" t="n"/>
      <c r="D507" s="84" t="n"/>
      <c r="E507" s="84" t="n"/>
      <c r="F507" s="84" t="n"/>
      <c r="G507" s="84" t="n"/>
      <c r="H507" s="84" t="n"/>
      <c r="I507" s="84" t="n"/>
      <c r="J507" s="84" t="n"/>
      <c r="K507" s="84" t="n"/>
      <c r="L507" s="85" t="n"/>
      <c r="M507" s="86" t="n"/>
      <c r="N507" s="245" t="n"/>
      <c r="O507" s="238" t="n"/>
      <c r="P507" s="238" t="n"/>
      <c r="Q507" s="246" t="n"/>
    </row>
    <row r="508" ht="13.2" customFormat="1" customHeight="1" s="47">
      <c r="B508" s="83" t="n"/>
      <c r="C508" s="83" t="n"/>
      <c r="D508" s="84" t="n"/>
      <c r="E508" s="84" t="n"/>
      <c r="F508" s="84" t="n"/>
      <c r="G508" s="84" t="n"/>
      <c r="H508" s="84" t="n"/>
      <c r="I508" s="84" t="n"/>
      <c r="J508" s="84" t="n"/>
      <c r="K508" s="84" t="n"/>
      <c r="L508" s="85" t="n"/>
      <c r="M508" s="86" t="n"/>
      <c r="N508" s="245" t="n"/>
      <c r="O508" s="238" t="n"/>
      <c r="P508" s="238" t="n"/>
      <c r="Q508" s="246" t="n"/>
    </row>
    <row r="509" ht="13.2" customFormat="1" customHeight="1" s="47">
      <c r="B509" s="83" t="n"/>
      <c r="C509" s="83" t="n"/>
      <c r="D509" s="84" t="n"/>
      <c r="E509" s="84" t="n"/>
      <c r="F509" s="84" t="n"/>
      <c r="G509" s="84" t="n"/>
      <c r="H509" s="84" t="n"/>
      <c r="I509" s="84" t="n"/>
      <c r="J509" s="84" t="n"/>
      <c r="K509" s="84" t="n"/>
      <c r="L509" s="85" t="n"/>
      <c r="M509" s="86" t="n"/>
      <c r="N509" s="245" t="n"/>
      <c r="O509" s="238" t="n"/>
      <c r="P509" s="238" t="n"/>
      <c r="Q509" s="246" t="n"/>
    </row>
    <row r="510" ht="13.2" customFormat="1" customHeight="1" s="47">
      <c r="B510" s="83" t="n"/>
      <c r="C510" s="83" t="n"/>
      <c r="D510" s="84" t="n"/>
      <c r="E510" s="84" t="n"/>
      <c r="F510" s="84" t="n"/>
      <c r="G510" s="84" t="n"/>
      <c r="H510" s="84" t="n"/>
      <c r="I510" s="84" t="n"/>
      <c r="J510" s="84" t="n"/>
      <c r="K510" s="84" t="n"/>
      <c r="L510" s="85" t="n"/>
      <c r="M510" s="86" t="n"/>
      <c r="N510" s="245" t="n"/>
      <c r="O510" s="238" t="n"/>
      <c r="P510" s="238" t="n"/>
      <c r="Q510" s="246" t="n"/>
    </row>
    <row r="511" ht="13.2" customFormat="1" customHeight="1" s="47">
      <c r="B511" s="83" t="n"/>
      <c r="C511" s="83" t="n"/>
      <c r="D511" s="84" t="n"/>
      <c r="E511" s="84" t="n"/>
      <c r="F511" s="84" t="n"/>
      <c r="G511" s="84" t="n"/>
      <c r="H511" s="84" t="n"/>
      <c r="I511" s="84" t="n"/>
      <c r="J511" s="84" t="n"/>
      <c r="K511" s="84" t="n"/>
      <c r="L511" s="85" t="n"/>
      <c r="M511" s="86" t="n"/>
      <c r="N511" s="245" t="n"/>
      <c r="O511" s="238" t="n"/>
      <c r="P511" s="238" t="n"/>
      <c r="Q511" s="246" t="n"/>
    </row>
    <row r="512" ht="13.2" customFormat="1" customHeight="1" s="47">
      <c r="B512" s="83" t="n"/>
      <c r="C512" s="83" t="n"/>
      <c r="D512" s="84" t="n"/>
      <c r="E512" s="84" t="n"/>
      <c r="F512" s="84" t="n"/>
      <c r="G512" s="84" t="n"/>
      <c r="H512" s="84" t="n"/>
      <c r="I512" s="84" t="n"/>
      <c r="J512" s="84" t="n"/>
      <c r="K512" s="84" t="n"/>
      <c r="L512" s="85" t="n"/>
      <c r="M512" s="86" t="n"/>
      <c r="N512" s="245" t="n"/>
      <c r="O512" s="238" t="n"/>
      <c r="P512" s="238" t="n"/>
      <c r="Q512" s="246" t="n"/>
    </row>
    <row r="513" ht="13.2" customFormat="1" customHeight="1" s="47">
      <c r="B513" s="83" t="n"/>
      <c r="C513" s="83" t="n"/>
      <c r="D513" s="84" t="n"/>
      <c r="E513" s="84" t="n"/>
      <c r="F513" s="84" t="n"/>
      <c r="G513" s="84" t="n"/>
      <c r="H513" s="84" t="n"/>
      <c r="I513" s="84" t="n"/>
      <c r="J513" s="84" t="n"/>
      <c r="K513" s="84" t="n"/>
      <c r="L513" s="85" t="n"/>
      <c r="M513" s="86" t="n"/>
      <c r="N513" s="245" t="n"/>
      <c r="O513" s="238" t="n"/>
      <c r="P513" s="238" t="n"/>
      <c r="Q513" s="246" t="n"/>
    </row>
    <row r="514" ht="13.2" customFormat="1" customHeight="1" s="47">
      <c r="B514" s="83" t="n"/>
      <c r="C514" s="83" t="n"/>
      <c r="D514" s="84" t="n"/>
      <c r="E514" s="84" t="n"/>
      <c r="F514" s="84" t="n"/>
      <c r="G514" s="84" t="n"/>
      <c r="H514" s="84" t="n"/>
      <c r="I514" s="84" t="n"/>
      <c r="J514" s="84" t="n"/>
      <c r="K514" s="84" t="n"/>
      <c r="L514" s="85" t="n"/>
      <c r="M514" s="86" t="n"/>
      <c r="N514" s="245" t="n"/>
      <c r="O514" s="238" t="n"/>
      <c r="P514" s="238" t="n"/>
      <c r="Q514" s="246" t="n"/>
    </row>
    <row r="515" ht="13.2" customFormat="1" customHeight="1" s="47">
      <c r="B515" s="83" t="n"/>
      <c r="C515" s="83" t="n"/>
      <c r="D515" s="84" t="n"/>
      <c r="E515" s="84" t="n"/>
      <c r="F515" s="84" t="n"/>
      <c r="G515" s="84" t="n"/>
      <c r="H515" s="84" t="n"/>
      <c r="I515" s="84" t="n"/>
      <c r="J515" s="84" t="n"/>
      <c r="K515" s="84" t="n"/>
      <c r="L515" s="85" t="n"/>
      <c r="M515" s="86" t="n"/>
      <c r="N515" s="245" t="n"/>
      <c r="O515" s="238" t="n"/>
      <c r="P515" s="238" t="n"/>
      <c r="Q515" s="246" t="n"/>
    </row>
    <row r="516" ht="13.2" customFormat="1" customHeight="1" s="47">
      <c r="B516" s="83" t="n"/>
      <c r="C516" s="83" t="n"/>
      <c r="D516" s="84" t="n"/>
      <c r="E516" s="84" t="n"/>
      <c r="F516" s="84" t="n"/>
      <c r="G516" s="84" t="n"/>
      <c r="H516" s="84" t="n"/>
      <c r="I516" s="84" t="n"/>
      <c r="J516" s="84" t="n"/>
      <c r="K516" s="84" t="n"/>
      <c r="L516" s="85" t="n"/>
      <c r="M516" s="86" t="n"/>
      <c r="N516" s="245" t="n"/>
      <c r="O516" s="238" t="n"/>
      <c r="P516" s="238" t="n"/>
      <c r="Q516" s="246" t="n"/>
    </row>
    <row r="517" ht="13.2" customFormat="1" customHeight="1" s="47">
      <c r="B517" s="83" t="n"/>
      <c r="C517" s="83" t="n"/>
      <c r="D517" s="84" t="n"/>
      <c r="E517" s="84" t="n"/>
      <c r="F517" s="84" t="n"/>
      <c r="G517" s="84" t="n"/>
      <c r="H517" s="84" t="n"/>
      <c r="I517" s="84" t="n"/>
      <c r="J517" s="84" t="n"/>
      <c r="K517" s="84" t="n"/>
      <c r="L517" s="85" t="n"/>
      <c r="M517" s="86" t="n"/>
      <c r="N517" s="245" t="n"/>
      <c r="O517" s="238" t="n"/>
      <c r="P517" s="238" t="n"/>
      <c r="Q517" s="246" t="n"/>
    </row>
    <row r="518" ht="13.2" customFormat="1" customHeight="1" s="47">
      <c r="B518" s="83" t="n"/>
      <c r="C518" s="83" t="n"/>
      <c r="D518" s="84" t="n"/>
      <c r="E518" s="84" t="n"/>
      <c r="F518" s="84" t="n"/>
      <c r="G518" s="84" t="n"/>
      <c r="H518" s="84" t="n"/>
      <c r="I518" s="84" t="n"/>
      <c r="J518" s="84" t="n"/>
      <c r="K518" s="84" t="n"/>
      <c r="L518" s="85" t="n"/>
      <c r="M518" s="86" t="n"/>
      <c r="N518" s="245" t="n"/>
      <c r="O518" s="238" t="n"/>
      <c r="P518" s="238" t="n"/>
      <c r="Q518" s="246" t="n"/>
    </row>
    <row r="519" ht="13.2" customFormat="1" customHeight="1" s="47">
      <c r="B519" s="83" t="n"/>
      <c r="C519" s="83" t="n"/>
      <c r="D519" s="84" t="n"/>
      <c r="E519" s="84" t="n"/>
      <c r="F519" s="84" t="n"/>
      <c r="G519" s="84" t="n"/>
      <c r="H519" s="84" t="n"/>
      <c r="I519" s="84" t="n"/>
      <c r="J519" s="84" t="n"/>
      <c r="K519" s="84" t="n"/>
      <c r="L519" s="85" t="n"/>
      <c r="M519" s="86" t="n"/>
      <c r="N519" s="245" t="n"/>
      <c r="O519" s="238" t="n"/>
      <c r="P519" s="238" t="n"/>
      <c r="Q519" s="246" t="n"/>
    </row>
    <row r="520" ht="13.2" customFormat="1" customHeight="1" s="47">
      <c r="B520" s="83" t="n"/>
      <c r="C520" s="83" t="n"/>
      <c r="D520" s="84" t="n"/>
      <c r="E520" s="84" t="n"/>
      <c r="F520" s="84" t="n"/>
      <c r="G520" s="84" t="n"/>
      <c r="H520" s="84" t="n"/>
      <c r="I520" s="84" t="n"/>
      <c r="J520" s="84" t="n"/>
      <c r="K520" s="84" t="n"/>
      <c r="L520" s="85" t="n"/>
      <c r="M520" s="86" t="n"/>
      <c r="N520" s="245" t="n"/>
      <c r="O520" s="238" t="n"/>
      <c r="P520" s="238" t="n"/>
      <c r="Q520" s="246" t="n"/>
    </row>
    <row r="521" ht="13.2" customFormat="1" customHeight="1" s="47">
      <c r="B521" s="83" t="n"/>
      <c r="C521" s="83" t="n"/>
      <c r="D521" s="84" t="n"/>
      <c r="E521" s="84" t="n"/>
      <c r="F521" s="84" t="n"/>
      <c r="G521" s="84" t="n"/>
      <c r="H521" s="84" t="n"/>
      <c r="I521" s="84" t="n"/>
      <c r="J521" s="84" t="n"/>
      <c r="K521" s="84" t="n"/>
      <c r="L521" s="85" t="n"/>
      <c r="M521" s="86" t="n"/>
      <c r="N521" s="245" t="n"/>
      <c r="O521" s="238" t="n"/>
      <c r="P521" s="238" t="n"/>
      <c r="Q521" s="246" t="n"/>
    </row>
    <row r="522" ht="13.2" customFormat="1" customHeight="1" s="47">
      <c r="B522" s="83" t="n"/>
      <c r="C522" s="83" t="n"/>
      <c r="D522" s="84" t="n"/>
      <c r="E522" s="84" t="n"/>
      <c r="F522" s="84" t="n"/>
      <c r="G522" s="84" t="n"/>
      <c r="H522" s="84" t="n"/>
      <c r="I522" s="84" t="n"/>
      <c r="J522" s="84" t="n"/>
      <c r="K522" s="84" t="n"/>
      <c r="L522" s="85" t="n"/>
      <c r="M522" s="86" t="n"/>
      <c r="N522" s="245" t="n"/>
      <c r="O522" s="238" t="n"/>
      <c r="P522" s="238" t="n"/>
      <c r="Q522" s="246" t="n"/>
    </row>
    <row r="523" ht="13.2" customFormat="1" customHeight="1" s="47">
      <c r="B523" s="83" t="n"/>
      <c r="C523" s="83" t="n"/>
      <c r="D523" s="84" t="n"/>
      <c r="E523" s="84" t="n"/>
      <c r="F523" s="84" t="n"/>
      <c r="G523" s="84" t="n"/>
      <c r="H523" s="84" t="n"/>
      <c r="I523" s="84" t="n"/>
      <c r="J523" s="84" t="n"/>
      <c r="K523" s="84" t="n"/>
      <c r="L523" s="85" t="n"/>
      <c r="M523" s="86" t="n"/>
      <c r="N523" s="245" t="n"/>
      <c r="O523" s="238" t="n"/>
      <c r="P523" s="238" t="n"/>
      <c r="Q523" s="246" t="n"/>
    </row>
    <row r="524" ht="13.2" customFormat="1" customHeight="1" s="47">
      <c r="B524" s="83" t="n"/>
      <c r="C524" s="83" t="n"/>
      <c r="D524" s="84" t="n"/>
      <c r="E524" s="84" t="n"/>
      <c r="F524" s="84" t="n"/>
      <c r="G524" s="84" t="n"/>
      <c r="H524" s="84" t="n"/>
      <c r="I524" s="84" t="n"/>
      <c r="J524" s="84" t="n"/>
      <c r="K524" s="84" t="n"/>
      <c r="L524" s="85" t="n"/>
      <c r="M524" s="86" t="n"/>
      <c r="N524" s="245" t="n"/>
      <c r="O524" s="238" t="n"/>
      <c r="P524" s="238" t="n"/>
      <c r="Q524" s="246" t="n"/>
    </row>
    <row r="525" ht="13.2" customFormat="1" customHeight="1" s="47">
      <c r="B525" s="83" t="n"/>
      <c r="C525" s="83" t="n"/>
      <c r="D525" s="84" t="n"/>
      <c r="E525" s="84" t="n"/>
      <c r="F525" s="84" t="n"/>
      <c r="G525" s="84" t="n"/>
      <c r="H525" s="84" t="n"/>
      <c r="I525" s="84" t="n"/>
      <c r="J525" s="84" t="n"/>
      <c r="K525" s="84" t="n"/>
      <c r="L525" s="85" t="n"/>
      <c r="M525" s="86" t="n"/>
      <c r="N525" s="245" t="n"/>
      <c r="O525" s="238" t="n"/>
      <c r="P525" s="238" t="n"/>
      <c r="Q525" s="246" t="n"/>
    </row>
    <row r="526" ht="13.2" customFormat="1" customHeight="1" s="47">
      <c r="B526" s="83" t="n"/>
      <c r="C526" s="83" t="n"/>
      <c r="D526" s="84" t="n"/>
      <c r="E526" s="84" t="n"/>
      <c r="F526" s="84" t="n"/>
      <c r="G526" s="84" t="n"/>
      <c r="H526" s="84" t="n"/>
      <c r="I526" s="84" t="n"/>
      <c r="J526" s="84" t="n"/>
      <c r="K526" s="84" t="n"/>
      <c r="L526" s="85" t="n"/>
      <c r="M526" s="86" t="n"/>
      <c r="N526" s="245" t="n"/>
      <c r="O526" s="238" t="n"/>
      <c r="P526" s="238" t="n"/>
      <c r="Q526" s="246" t="n"/>
    </row>
    <row r="527" ht="13.2" customFormat="1" customHeight="1" s="47">
      <c r="B527" s="83" t="n"/>
      <c r="C527" s="83" t="n"/>
      <c r="D527" s="84" t="n"/>
      <c r="E527" s="84" t="n"/>
      <c r="F527" s="84" t="n"/>
      <c r="G527" s="84" t="n"/>
      <c r="H527" s="84" t="n"/>
      <c r="I527" s="84" t="n"/>
      <c r="J527" s="84" t="n"/>
      <c r="K527" s="84" t="n"/>
      <c r="L527" s="85" t="n"/>
      <c r="M527" s="86" t="n"/>
      <c r="N527" s="245" t="n"/>
      <c r="O527" s="238" t="n"/>
      <c r="P527" s="238" t="n"/>
      <c r="Q527" s="246" t="n"/>
    </row>
    <row r="528" ht="13.2" customFormat="1" customHeight="1" s="47">
      <c r="B528" s="83" t="n"/>
      <c r="C528" s="83" t="n"/>
      <c r="D528" s="84" t="n"/>
      <c r="E528" s="84" t="n"/>
      <c r="F528" s="84" t="n"/>
      <c r="G528" s="84" t="n"/>
      <c r="H528" s="84" t="n"/>
      <c r="I528" s="84" t="n"/>
      <c r="J528" s="84" t="n"/>
      <c r="K528" s="84" t="n"/>
      <c r="L528" s="85" t="n"/>
      <c r="M528" s="86" t="n"/>
      <c r="N528" s="245" t="n"/>
      <c r="O528" s="238" t="n"/>
      <c r="P528" s="238" t="n"/>
      <c r="Q528" s="246" t="n"/>
    </row>
    <row r="529" ht="13.2" customFormat="1" customHeight="1" s="47">
      <c r="B529" s="83" t="n"/>
      <c r="C529" s="83" t="n"/>
      <c r="D529" s="84" t="n"/>
      <c r="E529" s="84" t="n"/>
      <c r="F529" s="84" t="n"/>
      <c r="G529" s="84" t="n"/>
      <c r="H529" s="84" t="n"/>
      <c r="I529" s="84" t="n"/>
      <c r="J529" s="84" t="n"/>
      <c r="K529" s="84" t="n"/>
      <c r="L529" s="85" t="n"/>
      <c r="M529" s="86" t="n"/>
      <c r="N529" s="245" t="n"/>
      <c r="O529" s="238" t="n"/>
      <c r="P529" s="238" t="n"/>
      <c r="Q529" s="246" t="n"/>
    </row>
    <row r="530" ht="13.2" customFormat="1" customHeight="1" s="47">
      <c r="B530" s="83" t="n"/>
      <c r="C530" s="83" t="n"/>
      <c r="D530" s="84" t="n"/>
      <c r="E530" s="84" t="n"/>
      <c r="F530" s="84" t="n"/>
      <c r="G530" s="84" t="n"/>
      <c r="H530" s="84" t="n"/>
      <c r="I530" s="84" t="n"/>
      <c r="J530" s="84" t="n"/>
      <c r="K530" s="84" t="n"/>
      <c r="L530" s="85" t="n"/>
      <c r="M530" s="86" t="n"/>
      <c r="N530" s="245" t="n"/>
      <c r="O530" s="238" t="n"/>
      <c r="P530" s="238" t="n"/>
      <c r="Q530" s="246" t="n"/>
    </row>
    <row r="531" ht="13.2" customFormat="1" customHeight="1" s="47">
      <c r="B531" s="83" t="n"/>
      <c r="C531" s="83" t="n"/>
      <c r="D531" s="84" t="n"/>
      <c r="E531" s="84" t="n"/>
      <c r="F531" s="84" t="n"/>
      <c r="G531" s="84" t="n"/>
      <c r="H531" s="84" t="n"/>
      <c r="I531" s="84" t="n"/>
      <c r="J531" s="84" t="n"/>
      <c r="K531" s="84" t="n"/>
      <c r="L531" s="85" t="n"/>
      <c r="M531" s="86" t="n"/>
      <c r="N531" s="245" t="n"/>
      <c r="O531" s="238" t="n"/>
      <c r="P531" s="238" t="n"/>
      <c r="Q531" s="246" t="n"/>
    </row>
    <row r="532" ht="13.2" customFormat="1" customHeight="1" s="47">
      <c r="B532" s="83" t="n"/>
      <c r="C532" s="83" t="n"/>
      <c r="D532" s="84" t="n"/>
      <c r="E532" s="84" t="n"/>
      <c r="F532" s="84" t="n"/>
      <c r="G532" s="84" t="n"/>
      <c r="H532" s="84" t="n"/>
      <c r="I532" s="84" t="n"/>
      <c r="J532" s="84" t="n"/>
      <c r="K532" s="84" t="n"/>
      <c r="L532" s="85" t="n"/>
      <c r="M532" s="86" t="n"/>
      <c r="N532" s="245" t="n"/>
      <c r="O532" s="238" t="n"/>
      <c r="P532" s="238" t="n"/>
      <c r="Q532" s="246" t="n"/>
    </row>
    <row r="533" ht="13.2" customFormat="1" customHeight="1" s="47">
      <c r="B533" s="83" t="n"/>
      <c r="C533" s="83" t="n"/>
      <c r="D533" s="84" t="n"/>
      <c r="E533" s="84" t="n"/>
      <c r="F533" s="84" t="n"/>
      <c r="G533" s="84" t="n"/>
      <c r="H533" s="84" t="n"/>
      <c r="I533" s="84" t="n"/>
      <c r="J533" s="84" t="n"/>
      <c r="K533" s="84" t="n"/>
      <c r="L533" s="85" t="n"/>
      <c r="M533" s="86" t="n"/>
      <c r="N533" s="245" t="n"/>
      <c r="O533" s="238" t="n"/>
      <c r="P533" s="238" t="n"/>
      <c r="Q533" s="246" t="n"/>
    </row>
    <row r="534" ht="13.2" customFormat="1" customHeight="1" s="47">
      <c r="B534" s="83" t="n"/>
      <c r="C534" s="83" t="n"/>
      <c r="D534" s="84" t="n"/>
      <c r="E534" s="84" t="n"/>
      <c r="F534" s="84" t="n"/>
      <c r="G534" s="84" t="n"/>
      <c r="H534" s="84" t="n"/>
      <c r="I534" s="84" t="n"/>
      <c r="J534" s="84" t="n"/>
      <c r="K534" s="84" t="n"/>
      <c r="L534" s="85" t="n"/>
      <c r="M534" s="86" t="n"/>
      <c r="N534" s="245" t="n"/>
      <c r="O534" s="238" t="n"/>
      <c r="P534" s="238" t="n"/>
      <c r="Q534" s="246" t="n"/>
    </row>
    <row r="535" ht="13.2" customFormat="1" customHeight="1" s="47">
      <c r="B535" s="83" t="n"/>
      <c r="C535" s="83" t="n"/>
      <c r="D535" s="84" t="n"/>
      <c r="E535" s="84" t="n"/>
      <c r="F535" s="84" t="n"/>
      <c r="G535" s="84" t="n"/>
      <c r="H535" s="84" t="n"/>
      <c r="I535" s="84" t="n"/>
      <c r="J535" s="84" t="n"/>
      <c r="K535" s="84" t="n"/>
      <c r="L535" s="85" t="n"/>
      <c r="M535" s="86" t="n"/>
      <c r="N535" s="245" t="n"/>
      <c r="O535" s="238" t="n"/>
      <c r="P535" s="238" t="n"/>
      <c r="Q535" s="246" t="n"/>
    </row>
    <row r="536" ht="13.2" customFormat="1" customHeight="1" s="47">
      <c r="B536" s="83" t="n"/>
      <c r="C536" s="83" t="n"/>
      <c r="D536" s="84" t="n"/>
      <c r="E536" s="84" t="n"/>
      <c r="F536" s="84" t="n"/>
      <c r="G536" s="84" t="n"/>
      <c r="H536" s="84" t="n"/>
      <c r="I536" s="84" t="n"/>
      <c r="J536" s="84" t="n"/>
      <c r="K536" s="84" t="n"/>
      <c r="L536" s="85" t="n"/>
      <c r="M536" s="86" t="n"/>
      <c r="N536" s="245" t="n"/>
      <c r="O536" s="238" t="n"/>
      <c r="P536" s="238" t="n"/>
      <c r="Q536" s="246" t="n"/>
    </row>
    <row r="537" ht="13.2" customFormat="1" customHeight="1" s="47">
      <c r="B537" s="83" t="n"/>
      <c r="C537" s="83" t="n"/>
      <c r="D537" s="84" t="n"/>
      <c r="E537" s="84" t="n"/>
      <c r="F537" s="84" t="n"/>
      <c r="G537" s="84" t="n"/>
      <c r="H537" s="84" t="n"/>
      <c r="I537" s="84" t="n"/>
      <c r="J537" s="84" t="n"/>
      <c r="K537" s="84" t="n"/>
      <c r="L537" s="85" t="n"/>
      <c r="M537" s="86" t="n"/>
      <c r="N537" s="245" t="n"/>
      <c r="O537" s="238" t="n"/>
      <c r="P537" s="238" t="n"/>
      <c r="Q537" s="246" t="n"/>
    </row>
    <row r="538" ht="13.2" customFormat="1" customHeight="1" s="47">
      <c r="B538" s="83" t="n"/>
      <c r="C538" s="83" t="n"/>
      <c r="D538" s="84" t="n"/>
      <c r="E538" s="84" t="n"/>
      <c r="F538" s="84" t="n"/>
      <c r="G538" s="84" t="n"/>
      <c r="H538" s="84" t="n"/>
      <c r="I538" s="84" t="n"/>
      <c r="J538" s="84" t="n"/>
      <c r="K538" s="84" t="n"/>
      <c r="L538" s="85" t="n"/>
      <c r="M538" s="86" t="n"/>
      <c r="N538" s="245" t="n"/>
      <c r="O538" s="238" t="n"/>
      <c r="P538" s="238" t="n"/>
      <c r="Q538" s="246" t="n"/>
    </row>
    <row r="539" ht="13.2" customFormat="1" customHeight="1" s="47">
      <c r="B539" s="83" t="n"/>
      <c r="C539" s="83" t="n"/>
      <c r="D539" s="84" t="n"/>
      <c r="E539" s="84" t="n"/>
      <c r="F539" s="84" t="n"/>
      <c r="G539" s="84" t="n"/>
      <c r="H539" s="84" t="n"/>
      <c r="I539" s="84" t="n"/>
      <c r="J539" s="84" t="n"/>
      <c r="K539" s="84" t="n"/>
      <c r="L539" s="85" t="n"/>
      <c r="M539" s="86" t="n"/>
      <c r="N539" s="245" t="n"/>
      <c r="O539" s="238" t="n"/>
      <c r="P539" s="238" t="n"/>
      <c r="Q539" s="246" t="n"/>
    </row>
    <row r="540" ht="13.2" customFormat="1" customHeight="1" s="47">
      <c r="B540" s="83" t="n"/>
      <c r="C540" s="83" t="n"/>
      <c r="D540" s="84" t="n"/>
      <c r="E540" s="84" t="n"/>
      <c r="F540" s="84" t="n"/>
      <c r="G540" s="84" t="n"/>
      <c r="H540" s="84" t="n"/>
      <c r="I540" s="84" t="n"/>
      <c r="J540" s="84" t="n"/>
      <c r="K540" s="84" t="n"/>
      <c r="L540" s="85" t="n"/>
      <c r="M540" s="86" t="n"/>
      <c r="N540" s="245" t="n"/>
      <c r="O540" s="238" t="n"/>
      <c r="P540" s="238" t="n"/>
      <c r="Q540" s="246" t="n"/>
    </row>
    <row r="541" ht="13.2" customFormat="1" customHeight="1" s="47">
      <c r="B541" s="83" t="n"/>
      <c r="C541" s="83" t="n"/>
      <c r="D541" s="84" t="n"/>
      <c r="E541" s="84" t="n"/>
      <c r="F541" s="84" t="n"/>
      <c r="G541" s="84" t="n"/>
      <c r="H541" s="84" t="n"/>
      <c r="I541" s="84" t="n"/>
      <c r="J541" s="84" t="n"/>
      <c r="K541" s="84" t="n"/>
      <c r="L541" s="85" t="n"/>
      <c r="M541" s="86" t="n"/>
      <c r="N541" s="245" t="n"/>
      <c r="O541" s="238" t="n"/>
      <c r="P541" s="238" t="n"/>
      <c r="Q541" s="246" t="n"/>
    </row>
    <row r="542" ht="13.2" customFormat="1" customHeight="1" s="47">
      <c r="B542" s="83" t="n"/>
      <c r="C542" s="83" t="n"/>
      <c r="D542" s="84" t="n"/>
      <c r="E542" s="84" t="n"/>
      <c r="F542" s="84" t="n"/>
      <c r="G542" s="84" t="n"/>
      <c r="H542" s="84" t="n"/>
      <c r="I542" s="84" t="n"/>
      <c r="J542" s="84" t="n"/>
      <c r="K542" s="84" t="n"/>
      <c r="L542" s="85" t="n"/>
      <c r="M542" s="86" t="n"/>
      <c r="N542" s="245" t="n"/>
      <c r="O542" s="238" t="n"/>
      <c r="P542" s="238" t="n"/>
      <c r="Q542" s="246" t="n"/>
    </row>
    <row r="543" ht="13.2" customFormat="1" customHeight="1" s="47">
      <c r="B543" s="83" t="n"/>
      <c r="C543" s="83" t="n"/>
      <c r="D543" s="84" t="n"/>
      <c r="E543" s="84" t="n"/>
      <c r="F543" s="84" t="n"/>
      <c r="G543" s="84" t="n"/>
      <c r="H543" s="84" t="n"/>
      <c r="I543" s="84" t="n"/>
      <c r="J543" s="84" t="n"/>
      <c r="K543" s="84" t="n"/>
      <c r="L543" s="85" t="n"/>
      <c r="M543" s="86" t="n"/>
      <c r="N543" s="245" t="n"/>
      <c r="O543" s="238" t="n"/>
      <c r="P543" s="238" t="n"/>
      <c r="Q543" s="246" t="n"/>
    </row>
    <row r="544" ht="13.2" customFormat="1" customHeight="1" s="47">
      <c r="B544" s="83" t="n"/>
      <c r="C544" s="83" t="n"/>
      <c r="D544" s="84" t="n"/>
      <c r="E544" s="84" t="n"/>
      <c r="F544" s="84" t="n"/>
      <c r="G544" s="84" t="n"/>
      <c r="H544" s="84" t="n"/>
      <c r="I544" s="84" t="n"/>
      <c r="J544" s="84" t="n"/>
      <c r="K544" s="84" t="n"/>
      <c r="L544" s="85" t="n"/>
      <c r="M544" s="86" t="n"/>
      <c r="N544" s="245" t="n"/>
      <c r="O544" s="238" t="n"/>
      <c r="P544" s="238" t="n"/>
      <c r="Q544" s="246" t="n"/>
    </row>
    <row r="545" ht="13.2" customFormat="1" customHeight="1" s="47">
      <c r="B545" s="83" t="n"/>
      <c r="C545" s="83" t="n"/>
      <c r="D545" s="84" t="n"/>
      <c r="E545" s="84" t="n"/>
      <c r="F545" s="84" t="n"/>
      <c r="G545" s="84" t="n"/>
      <c r="H545" s="84" t="n"/>
      <c r="I545" s="84" t="n"/>
      <c r="J545" s="84" t="n"/>
      <c r="K545" s="84" t="n"/>
      <c r="L545" s="85" t="n"/>
      <c r="M545" s="86" t="n"/>
      <c r="N545" s="245" t="n"/>
      <c r="O545" s="238" t="n"/>
      <c r="P545" s="238" t="n"/>
      <c r="Q545" s="246" t="n"/>
    </row>
    <row r="546" ht="13.2" customFormat="1" customHeight="1" s="47">
      <c r="B546" s="83" t="n"/>
      <c r="C546" s="83" t="n"/>
      <c r="D546" s="84" t="n"/>
      <c r="E546" s="84" t="n"/>
      <c r="F546" s="84" t="n"/>
      <c r="G546" s="84" t="n"/>
      <c r="H546" s="84" t="n"/>
      <c r="I546" s="84" t="n"/>
      <c r="J546" s="84" t="n"/>
      <c r="K546" s="84" t="n"/>
      <c r="L546" s="85" t="n"/>
      <c r="M546" s="86" t="n"/>
      <c r="N546" s="245" t="n"/>
      <c r="O546" s="238" t="n"/>
      <c r="P546" s="238" t="n"/>
      <c r="Q546" s="246" t="n"/>
    </row>
    <row r="547" ht="13.2" customFormat="1" customHeight="1" s="47">
      <c r="B547" s="83" t="n"/>
      <c r="C547" s="83" t="n"/>
      <c r="D547" s="84" t="n"/>
      <c r="E547" s="84" t="n"/>
      <c r="F547" s="84" t="n"/>
      <c r="G547" s="84" t="n"/>
      <c r="H547" s="84" t="n"/>
      <c r="I547" s="84" t="n"/>
      <c r="J547" s="84" t="n"/>
      <c r="K547" s="84" t="n"/>
      <c r="L547" s="85" t="n"/>
      <c r="M547" s="86" t="n"/>
      <c r="N547" s="245" t="n"/>
      <c r="O547" s="238" t="n"/>
      <c r="P547" s="238" t="n"/>
      <c r="Q547" s="246" t="n"/>
    </row>
    <row r="548" ht="13.2" customFormat="1" customHeight="1" s="47">
      <c r="B548" s="83" t="n"/>
      <c r="C548" s="83" t="n"/>
      <c r="D548" s="84" t="n"/>
      <c r="E548" s="84" t="n"/>
      <c r="F548" s="84" t="n"/>
      <c r="G548" s="84" t="n"/>
      <c r="H548" s="84" t="n"/>
      <c r="I548" s="84" t="n"/>
      <c r="J548" s="84" t="n"/>
      <c r="K548" s="84" t="n"/>
      <c r="L548" s="85" t="n"/>
      <c r="M548" s="86" t="n"/>
      <c r="N548" s="245" t="n"/>
      <c r="O548" s="238" t="n"/>
      <c r="P548" s="238" t="n"/>
      <c r="Q548" s="246" t="n"/>
    </row>
    <row r="549" ht="13.2" customFormat="1" customHeight="1" s="47">
      <c r="B549" s="83" t="n"/>
      <c r="C549" s="83" t="n"/>
      <c r="D549" s="84" t="n"/>
      <c r="E549" s="84" t="n"/>
      <c r="F549" s="84" t="n"/>
      <c r="G549" s="84" t="n"/>
      <c r="H549" s="84" t="n"/>
      <c r="I549" s="84" t="n"/>
      <c r="J549" s="84" t="n"/>
      <c r="K549" s="84" t="n"/>
      <c r="L549" s="85" t="n"/>
      <c r="M549" s="86" t="n"/>
      <c r="N549" s="245" t="n"/>
      <c r="O549" s="238" t="n"/>
      <c r="P549" s="238" t="n"/>
      <c r="Q549" s="246" t="n"/>
    </row>
    <row r="550" ht="13.2" customFormat="1" customHeight="1" s="47">
      <c r="B550" s="83" t="n"/>
      <c r="C550" s="83" t="n"/>
      <c r="D550" s="84" t="n"/>
      <c r="E550" s="84" t="n"/>
      <c r="F550" s="84" t="n"/>
      <c r="G550" s="84" t="n"/>
      <c r="H550" s="84" t="n"/>
      <c r="I550" s="84" t="n"/>
      <c r="J550" s="84" t="n"/>
      <c r="K550" s="84" t="n"/>
      <c r="L550" s="85" t="n"/>
      <c r="M550" s="86" t="n"/>
      <c r="N550" s="245" t="n"/>
      <c r="O550" s="238" t="n"/>
      <c r="P550" s="238" t="n"/>
      <c r="Q550" s="246" t="n"/>
    </row>
    <row r="551" ht="13.2" customFormat="1" customHeight="1" s="47">
      <c r="B551" s="83" t="n"/>
      <c r="C551" s="83" t="n"/>
      <c r="D551" s="84" t="n"/>
      <c r="E551" s="84" t="n"/>
      <c r="F551" s="84" t="n"/>
      <c r="G551" s="84" t="n"/>
      <c r="H551" s="84" t="n"/>
      <c r="I551" s="84" t="n"/>
      <c r="J551" s="84" t="n"/>
      <c r="K551" s="84" t="n"/>
      <c r="L551" s="85" t="n"/>
      <c r="M551" s="86" t="n"/>
      <c r="N551" s="245" t="n"/>
      <c r="O551" s="238" t="n"/>
      <c r="P551" s="238" t="n"/>
      <c r="Q551" s="246" t="n"/>
    </row>
    <row r="552" ht="13.2" customFormat="1" customHeight="1" s="47">
      <c r="B552" s="83" t="n"/>
      <c r="C552" s="83" t="n"/>
      <c r="D552" s="84" t="n"/>
      <c r="E552" s="84" t="n"/>
      <c r="F552" s="84" t="n"/>
      <c r="G552" s="84" t="n"/>
      <c r="H552" s="84" t="n"/>
      <c r="I552" s="84" t="n"/>
      <c r="J552" s="84" t="n"/>
      <c r="K552" s="84" t="n"/>
      <c r="L552" s="85" t="n"/>
      <c r="M552" s="86" t="n"/>
      <c r="N552" s="245" t="n"/>
      <c r="O552" s="238" t="n"/>
      <c r="P552" s="238" t="n"/>
      <c r="Q552" s="246" t="n"/>
    </row>
    <row r="553" ht="13.2" customFormat="1" customHeight="1" s="47">
      <c r="B553" s="83" t="n"/>
      <c r="C553" s="83" t="n"/>
      <c r="D553" s="84" t="n"/>
      <c r="E553" s="84" t="n"/>
      <c r="F553" s="84" t="n"/>
      <c r="G553" s="84" t="n"/>
      <c r="H553" s="84" t="n"/>
      <c r="I553" s="84" t="n"/>
      <c r="J553" s="84" t="n"/>
      <c r="K553" s="84" t="n"/>
      <c r="L553" s="85" t="n"/>
      <c r="M553" s="86" t="n"/>
      <c r="N553" s="245" t="n"/>
      <c r="O553" s="238" t="n"/>
      <c r="P553" s="238" t="n"/>
      <c r="Q553" s="246" t="n"/>
    </row>
    <row r="554" ht="13.2" customFormat="1" customHeight="1" s="47">
      <c r="B554" s="83" t="n"/>
      <c r="C554" s="83" t="n"/>
      <c r="D554" s="84" t="n"/>
      <c r="E554" s="84" t="n"/>
      <c r="F554" s="84" t="n"/>
      <c r="G554" s="84" t="n"/>
      <c r="H554" s="84" t="n"/>
      <c r="I554" s="84" t="n"/>
      <c r="J554" s="84" t="n"/>
      <c r="K554" s="84" t="n"/>
      <c r="L554" s="85" t="n"/>
      <c r="M554" s="86" t="n"/>
      <c r="N554" s="245" t="n"/>
      <c r="O554" s="238" t="n"/>
      <c r="P554" s="238" t="n"/>
      <c r="Q554" s="246" t="n"/>
    </row>
    <row r="555" ht="13.2" customFormat="1" customHeight="1" s="47">
      <c r="B555" s="83" t="n"/>
      <c r="C555" s="83" t="n"/>
      <c r="D555" s="84" t="n"/>
      <c r="E555" s="84" t="n"/>
      <c r="F555" s="84" t="n"/>
      <c r="G555" s="84" t="n"/>
      <c r="H555" s="84" t="n"/>
      <c r="I555" s="84" t="n"/>
      <c r="J555" s="84" t="n"/>
      <c r="K555" s="84" t="n"/>
      <c r="L555" s="85" t="n"/>
      <c r="M555" s="86" t="n"/>
      <c r="N555" s="245" t="n"/>
      <c r="O555" s="238" t="n"/>
      <c r="P555" s="238" t="n"/>
      <c r="Q555" s="246" t="n"/>
    </row>
    <row r="556" ht="13.2" customFormat="1" customHeight="1" s="47">
      <c r="B556" s="83" t="n"/>
      <c r="C556" s="83" t="n"/>
      <c r="D556" s="84" t="n"/>
      <c r="E556" s="84" t="n"/>
      <c r="F556" s="84" t="n"/>
      <c r="G556" s="84" t="n"/>
      <c r="H556" s="84" t="n"/>
      <c r="I556" s="84" t="n"/>
      <c r="J556" s="84" t="n"/>
      <c r="K556" s="84" t="n"/>
      <c r="L556" s="85" t="n"/>
      <c r="M556" s="86" t="n"/>
      <c r="N556" s="245" t="n"/>
      <c r="O556" s="238" t="n"/>
      <c r="P556" s="238" t="n"/>
      <c r="Q556" s="246" t="n"/>
    </row>
    <row r="557" ht="13.2" customFormat="1" customHeight="1" s="47">
      <c r="B557" s="83" t="n"/>
      <c r="C557" s="83" t="n"/>
      <c r="D557" s="84" t="n"/>
      <c r="E557" s="84" t="n"/>
      <c r="F557" s="84" t="n"/>
      <c r="G557" s="84" t="n"/>
      <c r="H557" s="84" t="n"/>
      <c r="I557" s="84" t="n"/>
      <c r="J557" s="84" t="n"/>
      <c r="K557" s="84" t="n"/>
      <c r="L557" s="85" t="n"/>
      <c r="M557" s="86" t="n"/>
      <c r="N557" s="245" t="n"/>
      <c r="O557" s="238" t="n"/>
      <c r="P557" s="238" t="n"/>
      <c r="Q557" s="246" t="n"/>
    </row>
    <row r="558" ht="13.2" customFormat="1" customHeight="1" s="47">
      <c r="B558" s="83" t="n"/>
      <c r="C558" s="83" t="n"/>
      <c r="D558" s="84" t="n"/>
      <c r="E558" s="84" t="n"/>
      <c r="F558" s="84" t="n"/>
      <c r="G558" s="84" t="n"/>
      <c r="H558" s="84" t="n"/>
      <c r="I558" s="84" t="n"/>
      <c r="J558" s="84" t="n"/>
      <c r="K558" s="84" t="n"/>
      <c r="L558" s="85" t="n"/>
      <c r="M558" s="86" t="n"/>
      <c r="N558" s="245" t="n"/>
      <c r="O558" s="238" t="n"/>
      <c r="P558" s="238" t="n"/>
      <c r="Q558" s="246" t="n"/>
    </row>
    <row r="559" ht="13.2" customFormat="1" customHeight="1" s="47">
      <c r="B559" s="83" t="n"/>
      <c r="C559" s="83" t="n"/>
      <c r="D559" s="84" t="n"/>
      <c r="E559" s="84" t="n"/>
      <c r="F559" s="84" t="n"/>
      <c r="G559" s="84" t="n"/>
      <c r="H559" s="84" t="n"/>
      <c r="I559" s="84" t="n"/>
      <c r="J559" s="84" t="n"/>
      <c r="K559" s="84" t="n"/>
      <c r="L559" s="85" t="n"/>
      <c r="M559" s="86" t="n"/>
      <c r="N559" s="245" t="n"/>
      <c r="O559" s="238" t="n"/>
      <c r="P559" s="238" t="n"/>
      <c r="Q559" s="246" t="n"/>
    </row>
    <row r="560" ht="13.2" customFormat="1" customHeight="1" s="47">
      <c r="B560" s="83" t="n"/>
      <c r="C560" s="83" t="n"/>
      <c r="D560" s="84" t="n"/>
      <c r="E560" s="84" t="n"/>
      <c r="F560" s="84" t="n"/>
      <c r="G560" s="84" t="n"/>
      <c r="H560" s="84" t="n"/>
      <c r="I560" s="84" t="n"/>
      <c r="J560" s="84" t="n"/>
      <c r="K560" s="84" t="n"/>
      <c r="L560" s="85" t="n"/>
      <c r="M560" s="86" t="n"/>
      <c r="N560" s="245" t="n"/>
      <c r="O560" s="238" t="n"/>
      <c r="P560" s="238" t="n"/>
      <c r="Q560" s="246" t="n"/>
    </row>
    <row r="561" ht="13.2" customFormat="1" customHeight="1" s="47">
      <c r="B561" s="83" t="n"/>
      <c r="C561" s="83" t="n"/>
      <c r="D561" s="84" t="n"/>
      <c r="E561" s="84" t="n"/>
      <c r="F561" s="84" t="n"/>
      <c r="G561" s="84" t="n"/>
      <c r="H561" s="84" t="n"/>
      <c r="I561" s="84" t="n"/>
      <c r="J561" s="84" t="n"/>
      <c r="K561" s="84" t="n"/>
      <c r="L561" s="85" t="n"/>
      <c r="M561" s="86" t="n"/>
      <c r="N561" s="245" t="n"/>
      <c r="O561" s="238" t="n"/>
      <c r="P561" s="238" t="n"/>
      <c r="Q561" s="246" t="n"/>
    </row>
    <row r="562" ht="13.2" customFormat="1" customHeight="1" s="47">
      <c r="B562" s="83" t="n"/>
      <c r="C562" s="83" t="n"/>
      <c r="D562" s="84" t="n"/>
      <c r="E562" s="84" t="n"/>
      <c r="F562" s="84" t="n"/>
      <c r="G562" s="84" t="n"/>
      <c r="H562" s="84" t="n"/>
      <c r="I562" s="84" t="n"/>
      <c r="J562" s="84" t="n"/>
      <c r="K562" s="84" t="n"/>
      <c r="L562" s="85" t="n"/>
      <c r="M562" s="86" t="n"/>
      <c r="N562" s="245" t="n"/>
      <c r="O562" s="238" t="n"/>
      <c r="P562" s="238" t="n"/>
      <c r="Q562" s="246" t="n"/>
    </row>
    <row r="563" ht="13.2" customFormat="1" customHeight="1" s="47">
      <c r="B563" s="83" t="n"/>
      <c r="C563" s="83" t="n"/>
      <c r="D563" s="84" t="n"/>
      <c r="E563" s="84" t="n"/>
      <c r="F563" s="84" t="n"/>
      <c r="G563" s="84" t="n"/>
      <c r="H563" s="84" t="n"/>
      <c r="I563" s="84" t="n"/>
      <c r="J563" s="84" t="n"/>
      <c r="K563" s="84" t="n"/>
      <c r="L563" s="85" t="n"/>
      <c r="M563" s="86" t="n"/>
      <c r="N563" s="245" t="n"/>
      <c r="O563" s="238" t="n"/>
      <c r="P563" s="238" t="n"/>
      <c r="Q563" s="246" t="n"/>
    </row>
    <row r="564" ht="13.2" customFormat="1" customHeight="1" s="47">
      <c r="B564" s="83" t="n"/>
      <c r="C564" s="83" t="n"/>
      <c r="D564" s="84" t="n"/>
      <c r="E564" s="84" t="n"/>
      <c r="F564" s="84" t="n"/>
      <c r="G564" s="84" t="n"/>
      <c r="H564" s="84" t="n"/>
      <c r="I564" s="84" t="n"/>
      <c r="J564" s="84" t="n"/>
      <c r="K564" s="84" t="n"/>
      <c r="L564" s="85" t="n"/>
      <c r="M564" s="86" t="n"/>
      <c r="N564" s="245" t="n"/>
      <c r="O564" s="238" t="n"/>
      <c r="P564" s="238" t="n"/>
      <c r="Q564" s="246" t="n"/>
    </row>
    <row r="565" ht="13.2" customFormat="1" customHeight="1" s="47">
      <c r="B565" s="83" t="n"/>
      <c r="C565" s="83" t="n"/>
      <c r="D565" s="84" t="n"/>
      <c r="E565" s="84" t="n"/>
      <c r="F565" s="84" t="n"/>
      <c r="G565" s="84" t="n"/>
      <c r="H565" s="84" t="n"/>
      <c r="I565" s="84" t="n"/>
      <c r="J565" s="84" t="n"/>
      <c r="K565" s="84" t="n"/>
      <c r="L565" s="85" t="n"/>
      <c r="M565" s="86" t="n"/>
      <c r="N565" s="245" t="n"/>
      <c r="O565" s="238" t="n"/>
      <c r="P565" s="238" t="n"/>
      <c r="Q565" s="246" t="n"/>
    </row>
    <row r="566" ht="13.2" customFormat="1" customHeight="1" s="47">
      <c r="B566" s="83" t="n"/>
      <c r="C566" s="83" t="n"/>
      <c r="D566" s="84" t="n"/>
      <c r="E566" s="84" t="n"/>
      <c r="F566" s="84" t="n"/>
      <c r="G566" s="84" t="n"/>
      <c r="H566" s="84" t="n"/>
      <c r="I566" s="84" t="n"/>
      <c r="J566" s="84" t="n"/>
      <c r="K566" s="84" t="n"/>
      <c r="L566" s="85" t="n"/>
      <c r="M566" s="86" t="n"/>
      <c r="N566" s="245" t="n"/>
      <c r="O566" s="238" t="n"/>
      <c r="P566" s="238" t="n"/>
      <c r="Q566" s="246" t="n"/>
    </row>
    <row r="567" ht="13.2" customFormat="1" customHeight="1" s="47">
      <c r="B567" s="83" t="n"/>
      <c r="C567" s="83" t="n"/>
      <c r="D567" s="84" t="n"/>
      <c r="E567" s="84" t="n"/>
      <c r="F567" s="84" t="n"/>
      <c r="G567" s="84" t="n"/>
      <c r="H567" s="84" t="n"/>
      <c r="I567" s="84" t="n"/>
      <c r="J567" s="84" t="n"/>
      <c r="K567" s="84" t="n"/>
      <c r="L567" s="85" t="n"/>
      <c r="M567" s="86" t="n"/>
      <c r="N567" s="245" t="n"/>
      <c r="O567" s="238" t="n"/>
      <c r="P567" s="238" t="n"/>
      <c r="Q567" s="246" t="n"/>
    </row>
    <row r="568" ht="13.2" customFormat="1" customHeight="1" s="47">
      <c r="B568" s="83" t="n"/>
      <c r="C568" s="83" t="n"/>
      <c r="D568" s="84" t="n"/>
      <c r="E568" s="84" t="n"/>
      <c r="F568" s="84" t="n"/>
      <c r="G568" s="84" t="n"/>
      <c r="H568" s="84" t="n"/>
      <c r="I568" s="84" t="n"/>
      <c r="J568" s="84" t="n"/>
      <c r="K568" s="84" t="n"/>
      <c r="L568" s="85" t="n"/>
      <c r="M568" s="86" t="n"/>
      <c r="N568" s="245" t="n"/>
      <c r="O568" s="238" t="n"/>
      <c r="P568" s="238" t="n"/>
      <c r="Q568" s="246" t="n"/>
    </row>
    <row r="569" ht="13.2" customFormat="1" customHeight="1" s="47">
      <c r="B569" s="83" t="n"/>
      <c r="C569" s="83" t="n"/>
      <c r="D569" s="84" t="n"/>
      <c r="E569" s="84" t="n"/>
      <c r="F569" s="84" t="n"/>
      <c r="G569" s="84" t="n"/>
      <c r="H569" s="84" t="n"/>
      <c r="I569" s="84" t="n"/>
      <c r="J569" s="84" t="n"/>
      <c r="K569" s="84" t="n"/>
      <c r="L569" s="85" t="n"/>
      <c r="M569" s="86" t="n"/>
      <c r="N569" s="245" t="n"/>
      <c r="O569" s="238" t="n"/>
      <c r="P569" s="238" t="n"/>
      <c r="Q569" s="246" t="n"/>
    </row>
    <row r="570" ht="13.2" customFormat="1" customHeight="1" s="47">
      <c r="B570" s="83" t="n"/>
      <c r="C570" s="83" t="n"/>
      <c r="D570" s="84" t="n"/>
      <c r="E570" s="84" t="n"/>
      <c r="F570" s="84" t="n"/>
      <c r="G570" s="84" t="n"/>
      <c r="H570" s="84" t="n"/>
      <c r="I570" s="84" t="n"/>
      <c r="J570" s="84" t="n"/>
      <c r="K570" s="84" t="n"/>
      <c r="L570" s="85" t="n"/>
      <c r="M570" s="86" t="n"/>
      <c r="N570" s="245" t="n"/>
      <c r="O570" s="238" t="n"/>
      <c r="P570" s="238" t="n"/>
      <c r="Q570" s="246" t="n"/>
    </row>
    <row r="571" ht="13.2" customFormat="1" customHeight="1" s="47">
      <c r="B571" s="83" t="n"/>
      <c r="C571" s="83" t="n"/>
      <c r="D571" s="84" t="n"/>
      <c r="E571" s="84" t="n"/>
      <c r="F571" s="84" t="n"/>
      <c r="G571" s="84" t="n"/>
      <c r="H571" s="84" t="n"/>
      <c r="I571" s="84" t="n"/>
      <c r="J571" s="84" t="n"/>
      <c r="K571" s="84" t="n"/>
      <c r="L571" s="85" t="n"/>
      <c r="M571" s="86" t="n"/>
      <c r="N571" s="245" t="n"/>
      <c r="O571" s="238" t="n"/>
      <c r="P571" s="238" t="n"/>
      <c r="Q571" s="246" t="n"/>
    </row>
    <row r="572" ht="13.2" customFormat="1" customHeight="1" s="47">
      <c r="B572" s="83" t="n"/>
      <c r="C572" s="83" t="n"/>
      <c r="D572" s="84" t="n"/>
      <c r="E572" s="84" t="n"/>
      <c r="F572" s="84" t="n"/>
      <c r="G572" s="84" t="n"/>
      <c r="H572" s="84" t="n"/>
      <c r="I572" s="84" t="n"/>
      <c r="J572" s="84" t="n"/>
      <c r="K572" s="84" t="n"/>
      <c r="L572" s="85" t="n"/>
      <c r="M572" s="86" t="n"/>
      <c r="N572" s="245" t="n"/>
      <c r="O572" s="238" t="n"/>
      <c r="P572" s="238" t="n"/>
      <c r="Q572" s="246" t="n"/>
    </row>
    <row r="573" ht="13.2" customFormat="1" customHeight="1" s="47">
      <c r="B573" s="83" t="n"/>
      <c r="C573" s="83" t="n"/>
      <c r="D573" s="84" t="n"/>
      <c r="E573" s="84" t="n"/>
      <c r="F573" s="84" t="n"/>
      <c r="G573" s="84" t="n"/>
      <c r="H573" s="84" t="n"/>
      <c r="I573" s="84" t="n"/>
      <c r="J573" s="84" t="n"/>
      <c r="K573" s="84" t="n"/>
      <c r="L573" s="85" t="n"/>
      <c r="M573" s="86" t="n"/>
      <c r="N573" s="245" t="n"/>
      <c r="O573" s="238" t="n"/>
      <c r="P573" s="238" t="n"/>
      <c r="Q573" s="246" t="n"/>
    </row>
    <row r="574" ht="13.2" customFormat="1" customHeight="1" s="47">
      <c r="B574" s="83" t="n"/>
      <c r="C574" s="83" t="n"/>
      <c r="D574" s="84" t="n"/>
      <c r="E574" s="84" t="n"/>
      <c r="F574" s="84" t="n"/>
      <c r="G574" s="84" t="n"/>
      <c r="H574" s="84" t="n"/>
      <c r="I574" s="84" t="n"/>
      <c r="J574" s="84" t="n"/>
      <c r="K574" s="84" t="n"/>
      <c r="L574" s="85" t="n"/>
      <c r="M574" s="86" t="n"/>
      <c r="N574" s="245" t="n"/>
      <c r="O574" s="238" t="n"/>
      <c r="P574" s="238" t="n"/>
      <c r="Q574" s="246" t="n"/>
    </row>
    <row r="575" ht="13.2" customFormat="1" customHeight="1" s="47">
      <c r="B575" s="83" t="n"/>
      <c r="C575" s="83" t="n"/>
      <c r="D575" s="84" t="n"/>
      <c r="E575" s="84" t="n"/>
      <c r="F575" s="84" t="n"/>
      <c r="G575" s="84" t="n"/>
      <c r="H575" s="84" t="n"/>
      <c r="I575" s="84" t="n"/>
      <c r="J575" s="84" t="n"/>
      <c r="K575" s="84" t="n"/>
      <c r="L575" s="85" t="n"/>
      <c r="M575" s="86" t="n"/>
      <c r="N575" s="245" t="n"/>
      <c r="O575" s="238" t="n"/>
      <c r="P575" s="238" t="n"/>
      <c r="Q575" s="246" t="n"/>
    </row>
    <row r="576" ht="13.2" customFormat="1" customHeight="1" s="47">
      <c r="B576" s="83" t="n"/>
      <c r="C576" s="83" t="n"/>
      <c r="D576" s="84" t="n"/>
      <c r="E576" s="84" t="n"/>
      <c r="F576" s="84" t="n"/>
      <c r="G576" s="84" t="n"/>
      <c r="H576" s="84" t="n"/>
      <c r="I576" s="84" t="n"/>
      <c r="J576" s="84" t="n"/>
      <c r="K576" s="84" t="n"/>
      <c r="L576" s="85" t="n"/>
      <c r="M576" s="86" t="n"/>
      <c r="N576" s="245" t="n"/>
      <c r="O576" s="238" t="n"/>
      <c r="P576" s="238" t="n"/>
      <c r="Q576" s="246" t="n"/>
    </row>
    <row r="577" ht="13.2" customFormat="1" customHeight="1" s="47">
      <c r="B577" s="83" t="n"/>
      <c r="C577" s="83" t="n"/>
      <c r="D577" s="84" t="n"/>
      <c r="E577" s="84" t="n"/>
      <c r="F577" s="84" t="n"/>
      <c r="G577" s="84" t="n"/>
      <c r="H577" s="84" t="n"/>
      <c r="I577" s="84" t="n"/>
      <c r="J577" s="84" t="n"/>
      <c r="K577" s="84" t="n"/>
      <c r="L577" s="85" t="n"/>
      <c r="M577" s="86" t="n"/>
      <c r="N577" s="245" t="n"/>
      <c r="O577" s="238" t="n"/>
      <c r="P577" s="238" t="n"/>
      <c r="Q577" s="246" t="n"/>
    </row>
    <row r="578" ht="13.2" customFormat="1" customHeight="1" s="47">
      <c r="B578" s="83" t="n"/>
      <c r="C578" s="83" t="n"/>
      <c r="D578" s="84" t="n"/>
      <c r="E578" s="84" t="n"/>
      <c r="F578" s="84" t="n"/>
      <c r="G578" s="84" t="n"/>
      <c r="H578" s="84" t="n"/>
      <c r="I578" s="84" t="n"/>
      <c r="J578" s="84" t="n"/>
      <c r="K578" s="84" t="n"/>
      <c r="L578" s="85" t="n"/>
      <c r="M578" s="86" t="n"/>
      <c r="N578" s="245" t="n"/>
      <c r="O578" s="238" t="n"/>
      <c r="P578" s="238" t="n"/>
      <c r="Q578" s="246" t="n"/>
    </row>
    <row r="579" ht="13.2" customFormat="1" customHeight="1" s="47">
      <c r="B579" s="83" t="n"/>
      <c r="C579" s="83" t="n"/>
      <c r="D579" s="84" t="n"/>
      <c r="E579" s="84" t="n"/>
      <c r="F579" s="84" t="n"/>
      <c r="G579" s="84" t="n"/>
      <c r="H579" s="84" t="n"/>
      <c r="I579" s="84" t="n"/>
      <c r="J579" s="84" t="n"/>
      <c r="K579" s="84" t="n"/>
      <c r="L579" s="85" t="n"/>
      <c r="M579" s="86" t="n"/>
      <c r="N579" s="245" t="n"/>
      <c r="O579" s="238" t="n"/>
      <c r="P579" s="238" t="n"/>
      <c r="Q579" s="246" t="n"/>
    </row>
    <row r="580" ht="13.2" customFormat="1" customHeight="1" s="47">
      <c r="B580" s="83" t="n"/>
      <c r="C580" s="83" t="n"/>
      <c r="D580" s="84" t="n"/>
      <c r="E580" s="84" t="n"/>
      <c r="F580" s="84" t="n"/>
      <c r="G580" s="84" t="n"/>
      <c r="H580" s="84" t="n"/>
      <c r="I580" s="84" t="n"/>
      <c r="J580" s="84" t="n"/>
      <c r="K580" s="84" t="n"/>
      <c r="L580" s="85" t="n"/>
      <c r="M580" s="86" t="n"/>
      <c r="N580" s="245" t="n"/>
      <c r="O580" s="238" t="n"/>
      <c r="P580" s="238" t="n"/>
      <c r="Q580" s="246" t="n"/>
    </row>
    <row r="581" ht="13.2" customFormat="1" customHeight="1" s="47">
      <c r="B581" s="83" t="n"/>
      <c r="C581" s="83" t="n"/>
      <c r="D581" s="84" t="n"/>
      <c r="E581" s="84" t="n"/>
      <c r="F581" s="84" t="n"/>
      <c r="G581" s="84" t="n"/>
      <c r="H581" s="84" t="n"/>
      <c r="I581" s="84" t="n"/>
      <c r="J581" s="84" t="n"/>
      <c r="K581" s="84" t="n"/>
      <c r="L581" s="85" t="n"/>
      <c r="M581" s="86" t="n"/>
      <c r="N581" s="245" t="n"/>
      <c r="O581" s="238" t="n"/>
      <c r="P581" s="238" t="n"/>
      <c r="Q581" s="246" t="n"/>
    </row>
    <row r="582" ht="13.2" customFormat="1" customHeight="1" s="47">
      <c r="B582" s="83" t="n"/>
      <c r="C582" s="83" t="n"/>
      <c r="D582" s="84" t="n"/>
      <c r="E582" s="84" t="n"/>
      <c r="F582" s="84" t="n"/>
      <c r="G582" s="84" t="n"/>
      <c r="H582" s="84" t="n"/>
      <c r="I582" s="84" t="n"/>
      <c r="J582" s="84" t="n"/>
      <c r="K582" s="84" t="n"/>
      <c r="L582" s="85" t="n"/>
      <c r="M582" s="86" t="n"/>
      <c r="N582" s="245" t="n"/>
      <c r="O582" s="238" t="n"/>
      <c r="P582" s="238" t="n"/>
      <c r="Q582" s="246" t="n"/>
    </row>
    <row r="583" ht="13.2" customFormat="1" customHeight="1" s="47">
      <c r="B583" s="83" t="n"/>
      <c r="C583" s="83" t="n"/>
      <c r="D583" s="84" t="n"/>
      <c r="E583" s="84" t="n"/>
      <c r="F583" s="84" t="n"/>
      <c r="G583" s="84" t="n"/>
      <c r="H583" s="84" t="n"/>
      <c r="I583" s="84" t="n"/>
      <c r="J583" s="84" t="n"/>
      <c r="K583" s="84" t="n"/>
      <c r="L583" s="85" t="n"/>
      <c r="M583" s="86" t="n"/>
      <c r="N583" s="245" t="n"/>
      <c r="O583" s="238" t="n"/>
      <c r="P583" s="238" t="n"/>
      <c r="Q583" s="246" t="n"/>
    </row>
    <row r="584" ht="13.2" customFormat="1" customHeight="1" s="47">
      <c r="B584" s="83" t="n"/>
      <c r="C584" s="83" t="n"/>
      <c r="D584" s="84" t="n"/>
      <c r="E584" s="84" t="n"/>
      <c r="F584" s="84" t="n"/>
      <c r="G584" s="84" t="n"/>
      <c r="H584" s="84" t="n"/>
      <c r="I584" s="84" t="n"/>
      <c r="J584" s="84" t="n"/>
      <c r="K584" s="84" t="n"/>
      <c r="L584" s="85" t="n"/>
      <c r="M584" s="86" t="n"/>
      <c r="N584" s="245" t="n"/>
      <c r="O584" s="238" t="n"/>
      <c r="P584" s="238" t="n"/>
      <c r="Q584" s="246" t="n"/>
    </row>
    <row r="585" ht="13.2" customFormat="1" customHeight="1" s="47">
      <c r="B585" s="83" t="n"/>
      <c r="C585" s="83" t="n"/>
      <c r="D585" s="84" t="n"/>
      <c r="E585" s="84" t="n"/>
      <c r="F585" s="84" t="n"/>
      <c r="G585" s="84" t="n"/>
      <c r="H585" s="84" t="n"/>
      <c r="I585" s="84" t="n"/>
      <c r="J585" s="84" t="n"/>
      <c r="K585" s="84" t="n"/>
      <c r="L585" s="85" t="n"/>
      <c r="M585" s="86" t="n"/>
      <c r="N585" s="245" t="n"/>
      <c r="O585" s="238" t="n"/>
      <c r="P585" s="238" t="n"/>
      <c r="Q585" s="246" t="n"/>
    </row>
    <row r="586" ht="13.2" customFormat="1" customHeight="1" s="47">
      <c r="B586" s="83" t="n"/>
      <c r="C586" s="83" t="n"/>
      <c r="D586" s="84" t="n"/>
      <c r="E586" s="84" t="n"/>
      <c r="F586" s="84" t="n"/>
      <c r="G586" s="84" t="n"/>
      <c r="H586" s="84" t="n"/>
      <c r="I586" s="84" t="n"/>
      <c r="J586" s="84" t="n"/>
      <c r="K586" s="84" t="n"/>
      <c r="L586" s="85" t="n"/>
      <c r="M586" s="86" t="n"/>
      <c r="N586" s="245" t="n"/>
      <c r="O586" s="238" t="n"/>
      <c r="P586" s="238" t="n"/>
      <c r="Q586" s="246" t="n"/>
    </row>
    <row r="587" ht="13.2" customFormat="1" customHeight="1" s="47">
      <c r="B587" s="83" t="n"/>
      <c r="C587" s="83" t="n"/>
      <c r="D587" s="84" t="n"/>
      <c r="E587" s="84" t="n"/>
      <c r="F587" s="84" t="n"/>
      <c r="G587" s="84" t="n"/>
      <c r="H587" s="84" t="n"/>
      <c r="I587" s="84" t="n"/>
      <c r="J587" s="84" t="n"/>
      <c r="K587" s="84" t="n"/>
      <c r="L587" s="85" t="n"/>
      <c r="M587" s="86" t="n"/>
      <c r="N587" s="245" t="n"/>
      <c r="O587" s="238" t="n"/>
      <c r="P587" s="238" t="n"/>
      <c r="Q587" s="246" t="n"/>
    </row>
    <row r="588" ht="13.2" customFormat="1" customHeight="1" s="47">
      <c r="B588" s="83" t="n"/>
      <c r="C588" s="83" t="n"/>
      <c r="D588" s="84" t="n"/>
      <c r="E588" s="84" t="n"/>
      <c r="F588" s="84" t="n"/>
      <c r="G588" s="84" t="n"/>
      <c r="H588" s="84" t="n"/>
      <c r="I588" s="84" t="n"/>
      <c r="J588" s="84" t="n"/>
      <c r="K588" s="84" t="n"/>
      <c r="L588" s="85" t="n"/>
      <c r="M588" s="86" t="n"/>
      <c r="N588" s="245" t="n"/>
      <c r="O588" s="238" t="n"/>
      <c r="P588" s="238" t="n"/>
      <c r="Q588" s="246" t="n"/>
    </row>
    <row r="589" ht="13.2" customFormat="1" customHeight="1" s="47">
      <c r="B589" s="83" t="n"/>
      <c r="C589" s="83" t="n"/>
      <c r="D589" s="84" t="n"/>
      <c r="E589" s="84" t="n"/>
      <c r="F589" s="84" t="n"/>
      <c r="G589" s="84" t="n"/>
      <c r="H589" s="84" t="n"/>
      <c r="I589" s="84" t="n"/>
      <c r="J589" s="84" t="n"/>
      <c r="K589" s="84" t="n"/>
      <c r="L589" s="85" t="n"/>
      <c r="M589" s="86" t="n"/>
      <c r="N589" s="245" t="n"/>
      <c r="O589" s="238" t="n"/>
      <c r="P589" s="238" t="n"/>
      <c r="Q589" s="246" t="n"/>
    </row>
    <row r="590" ht="13.2" customFormat="1" customHeight="1" s="47">
      <c r="B590" s="83" t="n"/>
      <c r="C590" s="83" t="n"/>
      <c r="D590" s="84" t="n"/>
      <c r="E590" s="84" t="n"/>
      <c r="F590" s="84" t="n"/>
      <c r="G590" s="84" t="n"/>
      <c r="H590" s="84" t="n"/>
      <c r="I590" s="84" t="n"/>
      <c r="J590" s="84" t="n"/>
      <c r="K590" s="84" t="n"/>
      <c r="L590" s="85" t="n"/>
      <c r="M590" s="86" t="n"/>
      <c r="N590" s="245" t="n"/>
      <c r="O590" s="238" t="n"/>
      <c r="P590" s="238" t="n"/>
      <c r="Q590" s="246" t="n"/>
    </row>
    <row r="591" ht="13.2" customFormat="1" customHeight="1" s="47">
      <c r="B591" s="83" t="n"/>
      <c r="C591" s="83" t="n"/>
      <c r="D591" s="84" t="n"/>
      <c r="E591" s="84" t="n"/>
      <c r="F591" s="84" t="n"/>
      <c r="G591" s="84" t="n"/>
      <c r="H591" s="84" t="n"/>
      <c r="I591" s="84" t="n"/>
      <c r="J591" s="84" t="n"/>
      <c r="K591" s="84" t="n"/>
      <c r="L591" s="85" t="n"/>
      <c r="M591" s="86" t="n"/>
      <c r="N591" s="245" t="n"/>
      <c r="O591" s="238" t="n"/>
      <c r="P591" s="238" t="n"/>
      <c r="Q591" s="246" t="n"/>
    </row>
    <row r="592" ht="13.2" customFormat="1" customHeight="1" s="47">
      <c r="B592" s="83" t="n"/>
      <c r="C592" s="83" t="n"/>
      <c r="D592" s="84" t="n"/>
      <c r="E592" s="84" t="n"/>
      <c r="F592" s="84" t="n"/>
      <c r="G592" s="84" t="n"/>
      <c r="H592" s="84" t="n"/>
      <c r="I592" s="84" t="n"/>
      <c r="J592" s="84" t="n"/>
      <c r="K592" s="84" t="n"/>
      <c r="L592" s="85" t="n"/>
      <c r="M592" s="86" t="n"/>
      <c r="N592" s="245" t="n"/>
      <c r="O592" s="238" t="n"/>
      <c r="P592" s="238" t="n"/>
      <c r="Q592" s="246" t="n"/>
    </row>
    <row r="593" ht="13.2" customFormat="1" customHeight="1" s="47">
      <c r="B593" s="83" t="n"/>
      <c r="C593" s="83" t="n"/>
      <c r="D593" s="84" t="n"/>
      <c r="E593" s="84" t="n"/>
      <c r="F593" s="84" t="n"/>
      <c r="G593" s="84" t="n"/>
      <c r="H593" s="84" t="n"/>
      <c r="I593" s="84" t="n"/>
      <c r="J593" s="84" t="n"/>
      <c r="K593" s="84" t="n"/>
      <c r="L593" s="85" t="n"/>
      <c r="M593" s="86" t="n"/>
      <c r="N593" s="245" t="n"/>
      <c r="O593" s="238" t="n"/>
      <c r="P593" s="238" t="n"/>
      <c r="Q593" s="246" t="n"/>
    </row>
    <row r="594" ht="13.2" customFormat="1" customHeight="1" s="47">
      <c r="B594" s="83" t="n"/>
      <c r="C594" s="83" t="n"/>
      <c r="D594" s="84" t="n"/>
      <c r="E594" s="84" t="n"/>
      <c r="F594" s="84" t="n"/>
      <c r="G594" s="84" t="n"/>
      <c r="H594" s="84" t="n"/>
      <c r="I594" s="84" t="n"/>
      <c r="J594" s="84" t="n"/>
      <c r="K594" s="84" t="n"/>
      <c r="L594" s="85" t="n"/>
      <c r="M594" s="86" t="n"/>
      <c r="N594" s="245" t="n"/>
      <c r="O594" s="238" t="n"/>
      <c r="P594" s="238" t="n"/>
      <c r="Q594" s="246" t="n"/>
    </row>
    <row r="595" ht="13.2" customFormat="1" customHeight="1" s="47">
      <c r="B595" s="83" t="n"/>
      <c r="C595" s="83" t="n"/>
      <c r="D595" s="84" t="n"/>
      <c r="E595" s="84" t="n"/>
      <c r="F595" s="84" t="n"/>
      <c r="G595" s="84" t="n"/>
      <c r="H595" s="84" t="n"/>
      <c r="I595" s="84" t="n"/>
      <c r="J595" s="84" t="n"/>
      <c r="K595" s="84" t="n"/>
      <c r="L595" s="85" t="n"/>
      <c r="M595" s="86" t="n"/>
      <c r="N595" s="245" t="n"/>
      <c r="O595" s="238" t="n"/>
      <c r="P595" s="238" t="n"/>
      <c r="Q595" s="246" t="n"/>
    </row>
    <row r="596" ht="13.2" customFormat="1" customHeight="1" s="47">
      <c r="B596" s="83" t="n"/>
      <c r="C596" s="83" t="n"/>
      <c r="D596" s="84" t="n"/>
      <c r="E596" s="84" t="n"/>
      <c r="F596" s="84" t="n"/>
      <c r="G596" s="84" t="n"/>
      <c r="H596" s="84" t="n"/>
      <c r="I596" s="84" t="n"/>
      <c r="J596" s="84" t="n"/>
      <c r="K596" s="84" t="n"/>
      <c r="L596" s="85" t="n"/>
      <c r="M596" s="86" t="n"/>
      <c r="N596" s="245" t="n"/>
      <c r="O596" s="238" t="n"/>
      <c r="P596" s="238" t="n"/>
      <c r="Q596" s="246" t="n"/>
    </row>
    <row r="597" ht="13.2" customFormat="1" customHeight="1" s="47">
      <c r="B597" s="83" t="n"/>
      <c r="C597" s="83" t="n"/>
      <c r="D597" s="84" t="n"/>
      <c r="E597" s="84" t="n"/>
      <c r="F597" s="84" t="n"/>
      <c r="G597" s="84" t="n"/>
      <c r="H597" s="84" t="n"/>
      <c r="I597" s="84" t="n"/>
      <c r="J597" s="84" t="n"/>
      <c r="K597" s="84" t="n"/>
      <c r="L597" s="85" t="n"/>
      <c r="M597" s="86" t="n"/>
      <c r="N597" s="245" t="n"/>
      <c r="O597" s="238" t="n"/>
      <c r="P597" s="238" t="n"/>
      <c r="Q597" s="246" t="n"/>
    </row>
    <row r="598" ht="13.2" customFormat="1" customHeight="1" s="47">
      <c r="B598" s="83" t="n"/>
      <c r="C598" s="83" t="n"/>
      <c r="D598" s="84" t="n"/>
      <c r="E598" s="84" t="n"/>
      <c r="F598" s="84" t="n"/>
      <c r="G598" s="84" t="n"/>
      <c r="H598" s="84" t="n"/>
      <c r="I598" s="84" t="n"/>
      <c r="J598" s="84" t="n"/>
      <c r="K598" s="84" t="n"/>
      <c r="L598" s="85" t="n"/>
      <c r="M598" s="86" t="n"/>
      <c r="N598" s="245" t="n"/>
      <c r="O598" s="238" t="n"/>
      <c r="P598" s="238" t="n"/>
      <c r="Q598" s="246" t="n"/>
    </row>
    <row r="599" ht="13.2" customFormat="1" customHeight="1" s="47">
      <c r="B599" s="83" t="n"/>
      <c r="C599" s="83" t="n"/>
      <c r="D599" s="84" t="n"/>
      <c r="E599" s="84" t="n"/>
      <c r="F599" s="84" t="n"/>
      <c r="G599" s="84" t="n"/>
      <c r="H599" s="84" t="n"/>
      <c r="I599" s="84" t="n"/>
      <c r="J599" s="84" t="n"/>
      <c r="K599" s="84" t="n"/>
      <c r="L599" s="85" t="n"/>
      <c r="M599" s="86" t="n"/>
      <c r="N599" s="245" t="n"/>
      <c r="O599" s="238" t="n"/>
      <c r="P599" s="238" t="n"/>
      <c r="Q599" s="246" t="n"/>
    </row>
    <row r="600" ht="13.2" customFormat="1" customHeight="1" s="47">
      <c r="B600" s="83" t="n"/>
      <c r="C600" s="83" t="n"/>
      <c r="D600" s="84" t="n"/>
      <c r="E600" s="84" t="n"/>
      <c r="F600" s="84" t="n"/>
      <c r="G600" s="84" t="n"/>
      <c r="H600" s="84" t="n"/>
      <c r="I600" s="84" t="n"/>
      <c r="J600" s="84" t="n"/>
      <c r="K600" s="84" t="n"/>
      <c r="L600" s="85" t="n"/>
      <c r="M600" s="86" t="n"/>
      <c r="N600" s="245" t="n"/>
      <c r="O600" s="238" t="n"/>
      <c r="P600" s="238" t="n"/>
      <c r="Q600" s="246" t="n"/>
    </row>
    <row r="601" ht="13.2" customFormat="1" customHeight="1" s="47">
      <c r="B601" s="83" t="n"/>
      <c r="C601" s="83" t="n"/>
      <c r="D601" s="84" t="n"/>
      <c r="E601" s="84" t="n"/>
      <c r="F601" s="84" t="n"/>
      <c r="G601" s="84" t="n"/>
      <c r="H601" s="84" t="n"/>
      <c r="I601" s="84" t="n"/>
      <c r="J601" s="84" t="n"/>
      <c r="K601" s="84" t="n"/>
      <c r="L601" s="85" t="n"/>
      <c r="M601" s="86" t="n"/>
      <c r="N601" s="245" t="n"/>
      <c r="O601" s="238" t="n"/>
      <c r="P601" s="238" t="n"/>
      <c r="Q601" s="246" t="n"/>
    </row>
    <row r="602" ht="13.2" customFormat="1" customHeight="1" s="47">
      <c r="B602" s="83" t="n"/>
      <c r="C602" s="83" t="n"/>
      <c r="D602" s="84" t="n"/>
      <c r="E602" s="84" t="n"/>
      <c r="F602" s="84" t="n"/>
      <c r="G602" s="84" t="n"/>
      <c r="H602" s="84" t="n"/>
      <c r="I602" s="84" t="n"/>
      <c r="J602" s="84" t="n"/>
      <c r="K602" s="84" t="n"/>
      <c r="L602" s="85" t="n"/>
      <c r="M602" s="86" t="n"/>
      <c r="N602" s="245" t="n"/>
      <c r="O602" s="238" t="n"/>
      <c r="P602" s="238" t="n"/>
      <c r="Q602" s="246" t="n"/>
    </row>
    <row r="603" ht="13.2" customFormat="1" customHeight="1" s="47">
      <c r="B603" s="83" t="n"/>
      <c r="C603" s="83" t="n"/>
      <c r="D603" s="84" t="n"/>
      <c r="E603" s="84" t="n"/>
      <c r="F603" s="84" t="n"/>
      <c r="G603" s="84" t="n"/>
      <c r="H603" s="84" t="n"/>
      <c r="I603" s="84" t="n"/>
      <c r="J603" s="84" t="n"/>
      <c r="K603" s="84" t="n"/>
      <c r="L603" s="85" t="n"/>
      <c r="M603" s="86" t="n"/>
      <c r="N603" s="245" t="n"/>
      <c r="O603" s="238" t="n"/>
      <c r="P603" s="238" t="n"/>
      <c r="Q603" s="246" t="n"/>
    </row>
    <row r="604" ht="13.2" customFormat="1" customHeight="1" s="47">
      <c r="B604" s="83" t="n"/>
      <c r="C604" s="83" t="n"/>
      <c r="D604" s="84" t="n"/>
      <c r="E604" s="84" t="n"/>
      <c r="F604" s="84" t="n"/>
      <c r="G604" s="84" t="n"/>
      <c r="H604" s="84" t="n"/>
      <c r="I604" s="84" t="n"/>
      <c r="J604" s="84" t="n"/>
      <c r="K604" s="84" t="n"/>
      <c r="L604" s="85" t="n"/>
      <c r="M604" s="86" t="n"/>
      <c r="N604" s="245" t="n"/>
      <c r="O604" s="238" t="n"/>
      <c r="P604" s="238" t="n"/>
      <c r="Q604" s="246" t="n"/>
    </row>
    <row r="605" ht="13.2" customFormat="1" customHeight="1" s="47">
      <c r="B605" s="83" t="n"/>
      <c r="C605" s="83" t="n"/>
      <c r="D605" s="84" t="n"/>
      <c r="E605" s="84" t="n"/>
      <c r="F605" s="84" t="n"/>
      <c r="G605" s="84" t="n"/>
      <c r="H605" s="84" t="n"/>
      <c r="I605" s="84" t="n"/>
      <c r="J605" s="84" t="n"/>
      <c r="K605" s="84" t="n"/>
      <c r="L605" s="85" t="n"/>
      <c r="M605" s="86" t="n"/>
      <c r="N605" s="245" t="n"/>
      <c r="O605" s="238" t="n"/>
      <c r="P605" s="238" t="n"/>
      <c r="Q605" s="246" t="n"/>
    </row>
    <row r="606" ht="13.2" customFormat="1" customHeight="1" s="47">
      <c r="B606" s="83" t="n"/>
      <c r="C606" s="83" t="n"/>
      <c r="D606" s="84" t="n"/>
      <c r="E606" s="84" t="n"/>
      <c r="F606" s="84" t="n"/>
      <c r="G606" s="84" t="n"/>
      <c r="H606" s="84" t="n"/>
      <c r="I606" s="84" t="n"/>
      <c r="J606" s="84" t="n"/>
      <c r="K606" s="84" t="n"/>
      <c r="L606" s="85" t="n"/>
      <c r="M606" s="86" t="n"/>
      <c r="N606" s="245" t="n"/>
      <c r="O606" s="238" t="n"/>
      <c r="P606" s="238" t="n"/>
      <c r="Q606" s="246" t="n"/>
    </row>
    <row r="607" ht="13.2" customFormat="1" customHeight="1" s="47">
      <c r="B607" s="83" t="n"/>
      <c r="C607" s="83" t="n"/>
      <c r="D607" s="84" t="n"/>
      <c r="E607" s="84" t="n"/>
      <c r="F607" s="84" t="n"/>
      <c r="G607" s="84" t="n"/>
      <c r="H607" s="84" t="n"/>
      <c r="I607" s="84" t="n"/>
      <c r="J607" s="84" t="n"/>
      <c r="K607" s="84" t="n"/>
      <c r="L607" s="85" t="n"/>
      <c r="M607" s="86" t="n"/>
      <c r="N607" s="245" t="n"/>
      <c r="O607" s="238" t="n"/>
      <c r="P607" s="238" t="n"/>
      <c r="Q607" s="246" t="n"/>
    </row>
    <row r="608" ht="13.2" customFormat="1" customHeight="1" s="47">
      <c r="B608" s="83" t="n"/>
      <c r="C608" s="83" t="n"/>
      <c r="D608" s="84" t="n"/>
      <c r="E608" s="84" t="n"/>
      <c r="F608" s="84" t="n"/>
      <c r="G608" s="84" t="n"/>
      <c r="H608" s="84" t="n"/>
      <c r="I608" s="84" t="n"/>
      <c r="J608" s="84" t="n"/>
      <c r="K608" s="84" t="n"/>
      <c r="L608" s="85" t="n"/>
      <c r="M608" s="86" t="n"/>
      <c r="N608" s="245" t="n"/>
      <c r="O608" s="238" t="n"/>
      <c r="P608" s="238" t="n"/>
      <c r="Q608" s="246" t="n"/>
    </row>
    <row r="609" ht="13.2" customFormat="1" customHeight="1" s="47">
      <c r="B609" s="83" t="n"/>
      <c r="C609" s="83" t="n"/>
      <c r="D609" s="84" t="n"/>
      <c r="E609" s="84" t="n"/>
      <c r="F609" s="84" t="n"/>
      <c r="G609" s="84" t="n"/>
      <c r="H609" s="84" t="n"/>
      <c r="I609" s="84" t="n"/>
      <c r="J609" s="84" t="n"/>
      <c r="K609" s="84" t="n"/>
      <c r="L609" s="85" t="n"/>
      <c r="M609" s="86" t="n"/>
      <c r="N609" s="245" t="n"/>
      <c r="O609" s="238" t="n"/>
      <c r="P609" s="238" t="n"/>
      <c r="Q609" s="246" t="n"/>
    </row>
    <row r="610" ht="13.2" customFormat="1" customHeight="1" s="47">
      <c r="B610" s="83" t="n"/>
      <c r="C610" s="83" t="n"/>
      <c r="D610" s="84" t="n"/>
      <c r="E610" s="84" t="n"/>
      <c r="F610" s="84" t="n"/>
      <c r="G610" s="84" t="n"/>
      <c r="H610" s="84" t="n"/>
      <c r="I610" s="84" t="n"/>
      <c r="J610" s="84" t="n"/>
      <c r="K610" s="84" t="n"/>
      <c r="L610" s="85" t="n"/>
      <c r="M610" s="86" t="n"/>
      <c r="N610" s="245" t="n"/>
      <c r="O610" s="238" t="n"/>
      <c r="P610" s="238" t="n"/>
      <c r="Q610" s="246" t="n"/>
    </row>
    <row r="611" ht="13.2" customFormat="1" customHeight="1" s="47">
      <c r="B611" s="83" t="n"/>
      <c r="C611" s="83" t="n"/>
      <c r="D611" s="84" t="n"/>
      <c r="E611" s="84" t="n"/>
      <c r="F611" s="84" t="n"/>
      <c r="G611" s="84" t="n"/>
      <c r="H611" s="84" t="n"/>
      <c r="I611" s="84" t="n"/>
      <c r="J611" s="84" t="n"/>
      <c r="K611" s="84" t="n"/>
      <c r="L611" s="85" t="n"/>
      <c r="M611" s="86" t="n"/>
      <c r="N611" s="245" t="n"/>
      <c r="O611" s="238" t="n"/>
      <c r="P611" s="238" t="n"/>
      <c r="Q611" s="246" t="n"/>
    </row>
    <row r="612" ht="13.2" customFormat="1" customHeight="1" s="47">
      <c r="B612" s="83" t="n"/>
      <c r="C612" s="83" t="n"/>
      <c r="D612" s="84" t="n"/>
      <c r="E612" s="84" t="n"/>
      <c r="F612" s="84" t="n"/>
      <c r="G612" s="84" t="n"/>
      <c r="H612" s="84" t="n"/>
      <c r="I612" s="84" t="n"/>
      <c r="J612" s="84" t="n"/>
      <c r="K612" s="84" t="n"/>
      <c r="L612" s="85" t="n"/>
      <c r="M612" s="86" t="n"/>
      <c r="N612" s="245" t="n"/>
      <c r="O612" s="238" t="n"/>
      <c r="P612" s="238" t="n"/>
      <c r="Q612" s="246" t="n"/>
    </row>
    <row r="613" ht="13.2" customFormat="1" customHeight="1" s="47">
      <c r="B613" s="83" t="n"/>
      <c r="C613" s="83" t="n"/>
      <c r="D613" s="84" t="n"/>
      <c r="E613" s="84" t="n"/>
      <c r="F613" s="84" t="n"/>
      <c r="G613" s="84" t="n"/>
      <c r="H613" s="84" t="n"/>
      <c r="I613" s="84" t="n"/>
      <c r="J613" s="84" t="n"/>
      <c r="K613" s="84" t="n"/>
      <c r="L613" s="85" t="n"/>
      <c r="M613" s="86" t="n"/>
      <c r="N613" s="245" t="n"/>
      <c r="O613" s="238" t="n"/>
      <c r="P613" s="238" t="n"/>
      <c r="Q613" s="246" t="n"/>
    </row>
    <row r="614" ht="13.2" customFormat="1" customHeight="1" s="47">
      <c r="B614" s="83" t="n"/>
      <c r="C614" s="83" t="n"/>
      <c r="D614" s="84" t="n"/>
      <c r="E614" s="84" t="n"/>
      <c r="F614" s="84" t="n"/>
      <c r="G614" s="84" t="n"/>
      <c r="H614" s="84" t="n"/>
      <c r="I614" s="84" t="n"/>
      <c r="J614" s="84" t="n"/>
      <c r="K614" s="84" t="n"/>
      <c r="L614" s="85" t="n"/>
      <c r="M614" s="86" t="n"/>
      <c r="N614" s="245" t="n"/>
      <c r="O614" s="238" t="n"/>
      <c r="P614" s="238" t="n"/>
      <c r="Q614" s="246" t="n"/>
    </row>
    <row r="615" ht="13.2" customFormat="1" customHeight="1" s="47">
      <c r="B615" s="83" t="n"/>
      <c r="C615" s="83" t="n"/>
      <c r="D615" s="84" t="n"/>
      <c r="E615" s="84" t="n"/>
      <c r="F615" s="84" t="n"/>
      <c r="G615" s="84" t="n"/>
      <c r="H615" s="84" t="n"/>
      <c r="I615" s="84" t="n"/>
      <c r="J615" s="84" t="n"/>
      <c r="K615" s="84" t="n"/>
      <c r="L615" s="85" t="n"/>
      <c r="M615" s="86" t="n"/>
      <c r="N615" s="245" t="n"/>
      <c r="O615" s="238" t="n"/>
      <c r="P615" s="238" t="n"/>
      <c r="Q615" s="246" t="n"/>
    </row>
    <row r="616" ht="13.2" customFormat="1" customHeight="1" s="47">
      <c r="B616" s="83" t="n"/>
      <c r="C616" s="83" t="n"/>
      <c r="D616" s="84" t="n"/>
      <c r="E616" s="84" t="n"/>
      <c r="F616" s="84" t="n"/>
      <c r="G616" s="84" t="n"/>
      <c r="H616" s="84" t="n"/>
      <c r="I616" s="84" t="n"/>
      <c r="J616" s="84" t="n"/>
      <c r="K616" s="84" t="n"/>
      <c r="L616" s="85" t="n"/>
      <c r="M616" s="86" t="n"/>
      <c r="N616" s="245" t="n"/>
      <c r="O616" s="238" t="n"/>
      <c r="P616" s="238" t="n"/>
      <c r="Q616" s="246" t="n"/>
    </row>
    <row r="617" ht="13.2" customFormat="1" customHeight="1" s="47">
      <c r="B617" s="83" t="n"/>
      <c r="C617" s="83" t="n"/>
      <c r="D617" s="84" t="n"/>
      <c r="E617" s="84" t="n"/>
      <c r="F617" s="84" t="n"/>
      <c r="G617" s="84" t="n"/>
      <c r="H617" s="84" t="n"/>
      <c r="I617" s="84" t="n"/>
      <c r="J617" s="84" t="n"/>
      <c r="K617" s="84" t="n"/>
      <c r="L617" s="85" t="n"/>
      <c r="M617" s="86" t="n"/>
      <c r="N617" s="245" t="n"/>
      <c r="O617" s="238" t="n"/>
      <c r="P617" s="238" t="n"/>
      <c r="Q617" s="246" t="n"/>
    </row>
    <row r="618" ht="13.2" customFormat="1" customHeight="1" s="47">
      <c r="B618" s="83" t="n"/>
      <c r="C618" s="83" t="n"/>
      <c r="D618" s="84" t="n"/>
      <c r="E618" s="84" t="n"/>
      <c r="F618" s="84" t="n"/>
      <c r="G618" s="84" t="n"/>
      <c r="H618" s="84" t="n"/>
      <c r="I618" s="84" t="n"/>
      <c r="J618" s="84" t="n"/>
      <c r="K618" s="84" t="n"/>
      <c r="L618" s="85" t="n"/>
      <c r="M618" s="86" t="n"/>
      <c r="N618" s="245" t="n"/>
      <c r="O618" s="238" t="n"/>
      <c r="P618" s="238" t="n"/>
      <c r="Q618" s="246" t="n"/>
    </row>
    <row r="619" ht="13.2" customFormat="1" customHeight="1" s="47">
      <c r="B619" s="83" t="n"/>
      <c r="C619" s="83" t="n"/>
      <c r="D619" s="84" t="n"/>
      <c r="E619" s="84" t="n"/>
      <c r="F619" s="84" t="n"/>
      <c r="G619" s="84" t="n"/>
      <c r="H619" s="84" t="n"/>
      <c r="I619" s="84" t="n"/>
      <c r="J619" s="84" t="n"/>
      <c r="K619" s="84" t="n"/>
      <c r="L619" s="85" t="n"/>
      <c r="M619" s="86" t="n"/>
      <c r="N619" s="245" t="n"/>
      <c r="O619" s="238" t="n"/>
      <c r="P619" s="238" t="n"/>
      <c r="Q619" s="246" t="n"/>
    </row>
    <row r="620" ht="13.2" customFormat="1" customHeight="1" s="47">
      <c r="B620" s="83" t="n"/>
      <c r="C620" s="83" t="n"/>
      <c r="D620" s="84" t="n"/>
      <c r="E620" s="84" t="n"/>
      <c r="F620" s="84" t="n"/>
      <c r="G620" s="84" t="n"/>
      <c r="H620" s="84" t="n"/>
      <c r="I620" s="84" t="n"/>
      <c r="J620" s="84" t="n"/>
      <c r="K620" s="84" t="n"/>
      <c r="L620" s="85" t="n"/>
      <c r="M620" s="86" t="n"/>
      <c r="N620" s="245" t="n"/>
      <c r="O620" s="238" t="n"/>
      <c r="P620" s="238" t="n"/>
      <c r="Q620" s="246" t="n"/>
    </row>
    <row r="621" ht="13.2" customFormat="1" customHeight="1" s="47">
      <c r="B621" s="83" t="n"/>
      <c r="C621" s="83" t="n"/>
      <c r="D621" s="84" t="n"/>
      <c r="E621" s="84" t="n"/>
      <c r="F621" s="84" t="n"/>
      <c r="G621" s="84" t="n"/>
      <c r="H621" s="84" t="n"/>
      <c r="I621" s="84" t="n"/>
      <c r="J621" s="84" t="n"/>
      <c r="K621" s="84" t="n"/>
      <c r="L621" s="85" t="n"/>
      <c r="M621" s="86" t="n"/>
      <c r="N621" s="245" t="n"/>
      <c r="O621" s="238" t="n"/>
      <c r="P621" s="238" t="n"/>
      <c r="Q621" s="246" t="n"/>
    </row>
    <row r="622" ht="13.2" customFormat="1" customHeight="1" s="47">
      <c r="B622" s="83" t="n"/>
      <c r="C622" s="83" t="n"/>
      <c r="D622" s="84" t="n"/>
      <c r="E622" s="84" t="n"/>
      <c r="F622" s="84" t="n"/>
      <c r="G622" s="84" t="n"/>
      <c r="H622" s="84" t="n"/>
      <c r="I622" s="84" t="n"/>
      <c r="J622" s="84" t="n"/>
      <c r="K622" s="84" t="n"/>
      <c r="L622" s="85" t="n"/>
      <c r="M622" s="86" t="n"/>
      <c r="N622" s="245" t="n"/>
      <c r="O622" s="238" t="n"/>
      <c r="P622" s="238" t="n"/>
      <c r="Q622" s="246" t="n"/>
    </row>
    <row r="623" ht="13.2" customFormat="1" customHeight="1" s="47">
      <c r="B623" s="83" t="n"/>
      <c r="C623" s="83" t="n"/>
      <c r="D623" s="84" t="n"/>
      <c r="E623" s="84" t="n"/>
      <c r="F623" s="84" t="n"/>
      <c r="G623" s="84" t="n"/>
      <c r="H623" s="84" t="n"/>
      <c r="I623" s="84" t="n"/>
      <c r="J623" s="84" t="n"/>
      <c r="K623" s="84" t="n"/>
      <c r="L623" s="85" t="n"/>
      <c r="M623" s="86" t="n"/>
      <c r="N623" s="245" t="n"/>
      <c r="O623" s="238" t="n"/>
      <c r="P623" s="238" t="n"/>
      <c r="Q623" s="246" t="n"/>
    </row>
    <row r="624" ht="13.2" customFormat="1" customHeight="1" s="47">
      <c r="B624" s="83" t="n"/>
      <c r="C624" s="83" t="n"/>
      <c r="D624" s="84" t="n"/>
      <c r="E624" s="84" t="n"/>
      <c r="F624" s="84" t="n"/>
      <c r="G624" s="84" t="n"/>
      <c r="H624" s="84" t="n"/>
      <c r="I624" s="84" t="n"/>
      <c r="J624" s="84" t="n"/>
      <c r="K624" s="84" t="n"/>
      <c r="L624" s="85" t="n"/>
      <c r="M624" s="86" t="n"/>
      <c r="N624" s="245" t="n"/>
      <c r="O624" s="238" t="n"/>
      <c r="P624" s="238" t="n"/>
      <c r="Q624" s="246" t="n"/>
    </row>
    <row r="625" ht="13.2" customFormat="1" customHeight="1" s="47">
      <c r="B625" s="83" t="n"/>
      <c r="C625" s="83" t="n"/>
      <c r="D625" s="84" t="n"/>
      <c r="E625" s="84" t="n"/>
      <c r="F625" s="84" t="n"/>
      <c r="G625" s="84" t="n"/>
      <c r="H625" s="84" t="n"/>
      <c r="I625" s="84" t="n"/>
      <c r="J625" s="84" t="n"/>
      <c r="K625" s="84" t="n"/>
      <c r="L625" s="85" t="n"/>
      <c r="M625" s="86" t="n"/>
      <c r="N625" s="245" t="n"/>
      <c r="O625" s="238" t="n"/>
      <c r="P625" s="238" t="n"/>
      <c r="Q625" s="246" t="n"/>
    </row>
    <row r="626" ht="13.2" customFormat="1" customHeight="1" s="47">
      <c r="B626" s="83" t="n"/>
      <c r="C626" s="83" t="n"/>
      <c r="D626" s="84" t="n"/>
      <c r="E626" s="84" t="n"/>
      <c r="F626" s="84" t="n"/>
      <c r="G626" s="84" t="n"/>
      <c r="H626" s="84" t="n"/>
      <c r="I626" s="84" t="n"/>
      <c r="J626" s="84" t="n"/>
      <c r="K626" s="84" t="n"/>
      <c r="L626" s="85" t="n"/>
      <c r="M626" s="86" t="n"/>
      <c r="N626" s="245" t="n"/>
      <c r="O626" s="238" t="n"/>
      <c r="P626" s="238" t="n"/>
      <c r="Q626" s="246" t="n"/>
    </row>
    <row r="627" ht="13.2" customFormat="1" customHeight="1" s="47">
      <c r="B627" s="83" t="n"/>
      <c r="C627" s="83" t="n"/>
      <c r="D627" s="84" t="n"/>
      <c r="E627" s="84" t="n"/>
      <c r="F627" s="84" t="n"/>
      <c r="G627" s="84" t="n"/>
      <c r="H627" s="84" t="n"/>
      <c r="I627" s="84" t="n"/>
      <c r="J627" s="84" t="n"/>
      <c r="K627" s="84" t="n"/>
      <c r="L627" s="85" t="n"/>
      <c r="M627" s="86" t="n"/>
      <c r="N627" s="245" t="n"/>
      <c r="O627" s="238" t="n"/>
      <c r="P627" s="238" t="n"/>
      <c r="Q627" s="246" t="n"/>
    </row>
    <row r="628" ht="13.2" customFormat="1" customHeight="1" s="47">
      <c r="B628" s="83" t="n"/>
      <c r="C628" s="83" t="n"/>
      <c r="D628" s="84" t="n"/>
      <c r="E628" s="84" t="n"/>
      <c r="F628" s="84" t="n"/>
      <c r="G628" s="84" t="n"/>
      <c r="H628" s="84" t="n"/>
      <c r="I628" s="84" t="n"/>
      <c r="J628" s="84" t="n"/>
      <c r="K628" s="84" t="n"/>
      <c r="L628" s="85" t="n"/>
      <c r="M628" s="86" t="n"/>
      <c r="N628" s="245" t="n"/>
      <c r="O628" s="238" t="n"/>
      <c r="P628" s="238" t="n"/>
      <c r="Q628" s="246" t="n"/>
    </row>
    <row r="629" ht="13.2" customFormat="1" customHeight="1" s="47">
      <c r="B629" s="83" t="n"/>
      <c r="C629" s="83" t="n"/>
      <c r="D629" s="84" t="n"/>
      <c r="E629" s="84" t="n"/>
      <c r="F629" s="84" t="n"/>
      <c r="G629" s="84" t="n"/>
      <c r="H629" s="84" t="n"/>
      <c r="I629" s="84" t="n"/>
      <c r="J629" s="84" t="n"/>
      <c r="K629" s="84" t="n"/>
      <c r="L629" s="85" t="n"/>
      <c r="M629" s="86" t="n"/>
      <c r="N629" s="245" t="n"/>
      <c r="O629" s="238" t="n"/>
      <c r="P629" s="238" t="n"/>
      <c r="Q629" s="246" t="n"/>
    </row>
    <row r="630" ht="13.2" customFormat="1" customHeight="1" s="47">
      <c r="B630" s="83" t="n"/>
      <c r="C630" s="83" t="n"/>
      <c r="D630" s="84" t="n"/>
      <c r="E630" s="84" t="n"/>
      <c r="F630" s="84" t="n"/>
      <c r="G630" s="84" t="n"/>
      <c r="H630" s="84" t="n"/>
      <c r="I630" s="84" t="n"/>
      <c r="J630" s="84" t="n"/>
      <c r="K630" s="84" t="n"/>
      <c r="L630" s="85" t="n"/>
      <c r="M630" s="86" t="n"/>
      <c r="N630" s="245" t="n"/>
      <c r="O630" s="238" t="n"/>
      <c r="P630" s="238" t="n"/>
      <c r="Q630" s="246" t="n"/>
    </row>
    <row r="631" ht="13.2" customFormat="1" customHeight="1" s="47">
      <c r="B631" s="83" t="n"/>
      <c r="C631" s="83" t="n"/>
      <c r="D631" s="84" t="n"/>
      <c r="E631" s="84" t="n"/>
      <c r="F631" s="84" t="n"/>
      <c r="G631" s="84" t="n"/>
      <c r="H631" s="84" t="n"/>
      <c r="I631" s="84" t="n"/>
      <c r="J631" s="84" t="n"/>
      <c r="K631" s="84" t="n"/>
      <c r="L631" s="85" t="n"/>
      <c r="M631" s="86" t="n"/>
      <c r="N631" s="245" t="n"/>
      <c r="O631" s="238" t="n"/>
      <c r="P631" s="238" t="n"/>
      <c r="Q631" s="246" t="n"/>
    </row>
    <row r="632" ht="13.2" customFormat="1" customHeight="1" s="47">
      <c r="B632" s="83" t="n"/>
      <c r="C632" s="83" t="n"/>
      <c r="D632" s="84" t="n"/>
      <c r="E632" s="84" t="n"/>
      <c r="F632" s="84" t="n"/>
      <c r="G632" s="84" t="n"/>
      <c r="H632" s="84" t="n"/>
      <c r="I632" s="84" t="n"/>
      <c r="J632" s="84" t="n"/>
      <c r="K632" s="84" t="n"/>
      <c r="L632" s="85" t="n"/>
      <c r="M632" s="86" t="n"/>
      <c r="N632" s="245" t="n"/>
      <c r="O632" s="238" t="n"/>
      <c r="P632" s="238" t="n"/>
      <c r="Q632" s="246" t="n"/>
    </row>
    <row r="633" ht="13.2" customFormat="1" customHeight="1" s="47">
      <c r="B633" s="83" t="n"/>
      <c r="C633" s="83" t="n"/>
      <c r="D633" s="84" t="n"/>
      <c r="E633" s="84" t="n"/>
      <c r="F633" s="84" t="n"/>
      <c r="G633" s="84" t="n"/>
      <c r="H633" s="84" t="n"/>
      <c r="I633" s="84" t="n"/>
      <c r="J633" s="84" t="n"/>
      <c r="K633" s="84" t="n"/>
      <c r="L633" s="85" t="n"/>
      <c r="M633" s="86" t="n"/>
      <c r="N633" s="245" t="n"/>
      <c r="O633" s="238" t="n"/>
      <c r="P633" s="238" t="n"/>
      <c r="Q633" s="246" t="n"/>
    </row>
    <row r="634" ht="13.2" customFormat="1" customHeight="1" s="47">
      <c r="B634" s="83" t="n"/>
      <c r="C634" s="83" t="n"/>
      <c r="D634" s="84" t="n"/>
      <c r="E634" s="84" t="n"/>
      <c r="F634" s="84" t="n"/>
      <c r="G634" s="84" t="n"/>
      <c r="H634" s="84" t="n"/>
      <c r="I634" s="84" t="n"/>
      <c r="J634" s="84" t="n"/>
      <c r="K634" s="84" t="n"/>
      <c r="L634" s="85" t="n"/>
      <c r="M634" s="86" t="n"/>
      <c r="N634" s="245" t="n"/>
      <c r="O634" s="238" t="n"/>
      <c r="P634" s="238" t="n"/>
      <c r="Q634" s="246" t="n"/>
    </row>
    <row r="635" ht="13.2" customFormat="1" customHeight="1" s="47">
      <c r="B635" s="83" t="n"/>
      <c r="C635" s="83" t="n"/>
      <c r="D635" s="84" t="n"/>
      <c r="E635" s="84" t="n"/>
      <c r="F635" s="84" t="n"/>
      <c r="G635" s="84" t="n"/>
      <c r="H635" s="84" t="n"/>
      <c r="I635" s="84" t="n"/>
      <c r="J635" s="84" t="n"/>
      <c r="K635" s="84" t="n"/>
      <c r="L635" s="85" t="n"/>
      <c r="M635" s="86" t="n"/>
      <c r="N635" s="245" t="n"/>
      <c r="O635" s="238" t="n"/>
      <c r="P635" s="238" t="n"/>
      <c r="Q635" s="246" t="n"/>
    </row>
    <row r="636" ht="13.2" customFormat="1" customHeight="1" s="47">
      <c r="B636" s="83" t="n"/>
      <c r="C636" s="83" t="n"/>
      <c r="D636" s="84" t="n"/>
      <c r="E636" s="84" t="n"/>
      <c r="F636" s="84" t="n"/>
      <c r="G636" s="84" t="n"/>
      <c r="H636" s="84" t="n"/>
      <c r="I636" s="84" t="n"/>
      <c r="J636" s="84" t="n"/>
      <c r="K636" s="84" t="n"/>
      <c r="L636" s="85" t="n"/>
      <c r="M636" s="86" t="n"/>
      <c r="N636" s="245" t="n"/>
      <c r="O636" s="238" t="n"/>
      <c r="P636" s="238" t="n"/>
      <c r="Q636" s="246" t="n"/>
    </row>
    <row r="637" ht="13.2" customFormat="1" customHeight="1" s="47">
      <c r="B637" s="83" t="n"/>
      <c r="C637" s="83" t="n"/>
      <c r="D637" s="84" t="n"/>
      <c r="E637" s="84" t="n"/>
      <c r="F637" s="84" t="n"/>
      <c r="G637" s="84" t="n"/>
      <c r="H637" s="84" t="n"/>
      <c r="I637" s="84" t="n"/>
      <c r="J637" s="84" t="n"/>
      <c r="K637" s="84" t="n"/>
      <c r="L637" s="85" t="n"/>
      <c r="M637" s="86" t="n"/>
      <c r="N637" s="245" t="n"/>
      <c r="O637" s="238" t="n"/>
      <c r="P637" s="238" t="n"/>
      <c r="Q637" s="246" t="n"/>
    </row>
    <row r="638" ht="13.2" customFormat="1" customHeight="1" s="47">
      <c r="B638" s="83" t="n"/>
      <c r="C638" s="83" t="n"/>
      <c r="D638" s="84" t="n"/>
      <c r="E638" s="84" t="n"/>
      <c r="F638" s="84" t="n"/>
      <c r="G638" s="84" t="n"/>
      <c r="H638" s="84" t="n"/>
      <c r="I638" s="84" t="n"/>
      <c r="J638" s="84" t="n"/>
      <c r="K638" s="84" t="n"/>
      <c r="L638" s="85" t="n"/>
      <c r="M638" s="86" t="n"/>
      <c r="N638" s="245" t="n"/>
      <c r="O638" s="238" t="n"/>
      <c r="P638" s="238" t="n"/>
      <c r="Q638" s="246" t="n"/>
    </row>
    <row r="639" ht="13.2" customFormat="1" customHeight="1" s="47">
      <c r="B639" s="83" t="n"/>
      <c r="C639" s="83" t="n"/>
      <c r="D639" s="84" t="n"/>
      <c r="E639" s="84" t="n"/>
      <c r="F639" s="84" t="n"/>
      <c r="G639" s="84" t="n"/>
      <c r="H639" s="84" t="n"/>
      <c r="I639" s="84" t="n"/>
      <c r="J639" s="84" t="n"/>
      <c r="K639" s="84" t="n"/>
      <c r="L639" s="85" t="n"/>
      <c r="M639" s="86" t="n"/>
      <c r="N639" s="245" t="n"/>
      <c r="O639" s="238" t="n"/>
      <c r="P639" s="238" t="n"/>
      <c r="Q639" s="246" t="n"/>
    </row>
    <row r="640" ht="13.2" customFormat="1" customHeight="1" s="47">
      <c r="B640" s="83" t="n"/>
      <c r="C640" s="83" t="n"/>
      <c r="D640" s="84" t="n"/>
      <c r="E640" s="84" t="n"/>
      <c r="F640" s="84" t="n"/>
      <c r="G640" s="84" t="n"/>
      <c r="H640" s="84" t="n"/>
      <c r="I640" s="84" t="n"/>
      <c r="J640" s="84" t="n"/>
      <c r="K640" s="84" t="n"/>
      <c r="L640" s="85" t="n"/>
      <c r="M640" s="86" t="n"/>
      <c r="N640" s="245" t="n"/>
      <c r="O640" s="238" t="n"/>
      <c r="P640" s="238" t="n"/>
      <c r="Q640" s="246" t="n"/>
    </row>
    <row r="641" ht="13.2" customFormat="1" customHeight="1" s="47">
      <c r="B641" s="83" t="n"/>
      <c r="C641" s="83" t="n"/>
      <c r="D641" s="84" t="n"/>
      <c r="E641" s="84" t="n"/>
      <c r="F641" s="84" t="n"/>
      <c r="G641" s="84" t="n"/>
      <c r="H641" s="84" t="n"/>
      <c r="I641" s="84" t="n"/>
      <c r="J641" s="84" t="n"/>
      <c r="K641" s="84" t="n"/>
      <c r="L641" s="85" t="n"/>
      <c r="M641" s="86" t="n"/>
      <c r="N641" s="245" t="n"/>
      <c r="O641" s="238" t="n"/>
      <c r="P641" s="238" t="n"/>
      <c r="Q641" s="246" t="n"/>
    </row>
    <row r="642" ht="13.2" customFormat="1" customHeight="1" s="47">
      <c r="B642" s="83" t="n"/>
      <c r="C642" s="83" t="n"/>
      <c r="D642" s="84" t="n"/>
      <c r="E642" s="84" t="n"/>
      <c r="F642" s="84" t="n"/>
      <c r="G642" s="84" t="n"/>
      <c r="H642" s="84" t="n"/>
      <c r="I642" s="84" t="n"/>
      <c r="J642" s="84" t="n"/>
      <c r="K642" s="84" t="n"/>
      <c r="L642" s="85" t="n"/>
      <c r="M642" s="86" t="n"/>
      <c r="N642" s="245" t="n"/>
      <c r="O642" s="238" t="n"/>
      <c r="P642" s="238" t="n"/>
      <c r="Q642" s="246" t="n"/>
    </row>
    <row r="643" ht="13.2" customFormat="1" customHeight="1" s="47">
      <c r="B643" s="83" t="n"/>
      <c r="C643" s="83" t="n"/>
      <c r="D643" s="84" t="n"/>
      <c r="E643" s="84" t="n"/>
      <c r="F643" s="84" t="n"/>
      <c r="G643" s="84" t="n"/>
      <c r="H643" s="84" t="n"/>
      <c r="I643" s="84" t="n"/>
      <c r="J643" s="84" t="n"/>
      <c r="K643" s="84" t="n"/>
      <c r="L643" s="85" t="n"/>
      <c r="M643" s="86" t="n"/>
      <c r="N643" s="245" t="n"/>
      <c r="O643" s="238" t="n"/>
      <c r="P643" s="238" t="n"/>
      <c r="Q643" s="246" t="n"/>
    </row>
    <row r="644" ht="13.2" customFormat="1" customHeight="1" s="47">
      <c r="B644" s="83" t="n"/>
      <c r="C644" s="83" t="n"/>
      <c r="D644" s="84" t="n"/>
      <c r="E644" s="84" t="n"/>
      <c r="F644" s="84" t="n"/>
      <c r="G644" s="84" t="n"/>
      <c r="H644" s="84" t="n"/>
      <c r="I644" s="84" t="n"/>
      <c r="J644" s="84" t="n"/>
      <c r="K644" s="84" t="n"/>
      <c r="L644" s="85" t="n"/>
      <c r="M644" s="86" t="n"/>
      <c r="N644" s="245" t="n"/>
      <c r="O644" s="238" t="n"/>
      <c r="P644" s="238" t="n"/>
      <c r="Q644" s="246" t="n"/>
    </row>
    <row r="645" ht="13.2" customFormat="1" customHeight="1" s="47">
      <c r="B645" s="83" t="n"/>
      <c r="C645" s="83" t="n"/>
      <c r="D645" s="84" t="n"/>
      <c r="E645" s="84" t="n"/>
      <c r="F645" s="84" t="n"/>
      <c r="G645" s="84" t="n"/>
      <c r="H645" s="84" t="n"/>
      <c r="I645" s="84" t="n"/>
      <c r="J645" s="84" t="n"/>
      <c r="K645" s="84" t="n"/>
      <c r="L645" s="85" t="n"/>
      <c r="M645" s="86" t="n"/>
      <c r="N645" s="245" t="n"/>
      <c r="O645" s="238" t="n"/>
      <c r="P645" s="238" t="n"/>
      <c r="Q645" s="246" t="n"/>
    </row>
    <row r="646" ht="13.2" customFormat="1" customHeight="1" s="47">
      <c r="B646" s="83" t="n"/>
      <c r="C646" s="83" t="n"/>
      <c r="D646" s="84" t="n"/>
      <c r="E646" s="84" t="n"/>
      <c r="F646" s="84" t="n"/>
      <c r="G646" s="84" t="n"/>
      <c r="H646" s="84" t="n"/>
      <c r="I646" s="84" t="n"/>
      <c r="J646" s="84" t="n"/>
      <c r="K646" s="84" t="n"/>
      <c r="L646" s="85" t="n"/>
      <c r="M646" s="86" t="n"/>
      <c r="N646" s="245" t="n"/>
      <c r="O646" s="238" t="n"/>
      <c r="P646" s="238" t="n"/>
      <c r="Q646" s="246" t="n"/>
    </row>
    <row r="647" ht="13.2" customFormat="1" customHeight="1" s="47">
      <c r="B647" s="83" t="n"/>
      <c r="C647" s="83" t="n"/>
      <c r="D647" s="84" t="n"/>
      <c r="E647" s="84" t="n"/>
      <c r="F647" s="84" t="n"/>
      <c r="G647" s="84" t="n"/>
      <c r="H647" s="84" t="n"/>
      <c r="I647" s="84" t="n"/>
      <c r="J647" s="84" t="n"/>
      <c r="K647" s="84" t="n"/>
      <c r="L647" s="85" t="n"/>
      <c r="M647" s="86" t="n"/>
      <c r="N647" s="245" t="n"/>
      <c r="O647" s="238" t="n"/>
      <c r="P647" s="238" t="n"/>
      <c r="Q647" s="246" t="n"/>
    </row>
    <row r="648" ht="13.2" customFormat="1" customHeight="1" s="47">
      <c r="B648" s="83" t="n"/>
      <c r="C648" s="83" t="n"/>
      <c r="D648" s="84" t="n"/>
      <c r="E648" s="84" t="n"/>
      <c r="F648" s="84" t="n"/>
      <c r="G648" s="84" t="n"/>
      <c r="H648" s="84" t="n"/>
      <c r="I648" s="84" t="n"/>
      <c r="J648" s="84" t="n"/>
      <c r="K648" s="84" t="n"/>
      <c r="L648" s="85" t="n"/>
      <c r="M648" s="86" t="n"/>
      <c r="N648" s="245" t="n"/>
      <c r="O648" s="238" t="n"/>
      <c r="P648" s="238" t="n"/>
      <c r="Q648" s="246" t="n"/>
    </row>
    <row r="649" ht="13.2" customFormat="1" customHeight="1" s="47">
      <c r="B649" s="83" t="n"/>
      <c r="C649" s="83" t="n"/>
      <c r="D649" s="84" t="n"/>
      <c r="E649" s="84" t="n"/>
      <c r="F649" s="84" t="n"/>
      <c r="G649" s="84" t="n"/>
      <c r="H649" s="84" t="n"/>
      <c r="I649" s="84" t="n"/>
      <c r="J649" s="84" t="n"/>
      <c r="K649" s="84" t="n"/>
      <c r="L649" s="85" t="n"/>
      <c r="M649" s="86" t="n"/>
      <c r="N649" s="245" t="n"/>
      <c r="O649" s="238" t="n"/>
      <c r="P649" s="238" t="n"/>
      <c r="Q649" s="246" t="n"/>
    </row>
    <row r="650" ht="13.2" customFormat="1" customHeight="1" s="47">
      <c r="B650" s="83" t="n"/>
      <c r="C650" s="83" t="n"/>
      <c r="D650" s="84" t="n"/>
      <c r="E650" s="84" t="n"/>
      <c r="F650" s="84" t="n"/>
      <c r="G650" s="84" t="n"/>
      <c r="H650" s="84" t="n"/>
      <c r="I650" s="84" t="n"/>
      <c r="J650" s="84" t="n"/>
      <c r="K650" s="84" t="n"/>
      <c r="L650" s="85" t="n"/>
      <c r="M650" s="86" t="n"/>
      <c r="N650" s="245" t="n"/>
      <c r="O650" s="238" t="n"/>
      <c r="P650" s="238" t="n"/>
      <c r="Q650" s="246" t="n"/>
    </row>
    <row r="651" ht="13.2" customFormat="1" customHeight="1" s="47">
      <c r="B651" s="83" t="n"/>
      <c r="C651" s="83" t="n"/>
      <c r="D651" s="84" t="n"/>
      <c r="E651" s="84" t="n"/>
      <c r="F651" s="84" t="n"/>
      <c r="G651" s="84" t="n"/>
      <c r="H651" s="84" t="n"/>
      <c r="I651" s="84" t="n"/>
      <c r="J651" s="84" t="n"/>
      <c r="K651" s="84" t="n"/>
      <c r="L651" s="85" t="n"/>
      <c r="M651" s="86" t="n"/>
      <c r="N651" s="245" t="n"/>
      <c r="O651" s="238" t="n"/>
      <c r="P651" s="238" t="n"/>
      <c r="Q651" s="246" t="n"/>
    </row>
    <row r="652" ht="13.2" customFormat="1" customHeight="1" s="47">
      <c r="B652" s="83" t="n"/>
      <c r="C652" s="83" t="n"/>
      <c r="D652" s="84" t="n"/>
      <c r="E652" s="84" t="n"/>
      <c r="F652" s="84" t="n"/>
      <c r="G652" s="84" t="n"/>
      <c r="H652" s="84" t="n"/>
      <c r="I652" s="84" t="n"/>
      <c r="J652" s="84" t="n"/>
      <c r="K652" s="84" t="n"/>
      <c r="L652" s="85" t="n"/>
      <c r="M652" s="86" t="n"/>
      <c r="N652" s="245" t="n"/>
      <c r="O652" s="238" t="n"/>
      <c r="P652" s="238" t="n"/>
      <c r="Q652" s="246" t="n"/>
    </row>
    <row r="653" ht="13.2" customFormat="1" customHeight="1" s="47">
      <c r="B653" s="83" t="n"/>
      <c r="C653" s="83" t="n"/>
      <c r="D653" s="84" t="n"/>
      <c r="E653" s="84" t="n"/>
      <c r="F653" s="84" t="n"/>
      <c r="G653" s="84" t="n"/>
      <c r="H653" s="84" t="n"/>
      <c r="I653" s="84" t="n"/>
      <c r="J653" s="84" t="n"/>
      <c r="K653" s="84" t="n"/>
      <c r="L653" s="85" t="n"/>
      <c r="M653" s="86" t="n"/>
      <c r="N653" s="245" t="n"/>
      <c r="O653" s="238" t="n"/>
      <c r="P653" s="238" t="n"/>
      <c r="Q653" s="246" t="n"/>
    </row>
    <row r="654" ht="13.2" customFormat="1" customHeight="1" s="47">
      <c r="B654" s="83" t="n"/>
      <c r="C654" s="83" t="n"/>
      <c r="D654" s="84" t="n"/>
      <c r="E654" s="84" t="n"/>
      <c r="F654" s="84" t="n"/>
      <c r="G654" s="84" t="n"/>
      <c r="H654" s="84" t="n"/>
      <c r="I654" s="84" t="n"/>
      <c r="J654" s="84" t="n"/>
      <c r="K654" s="84" t="n"/>
      <c r="L654" s="85" t="n"/>
      <c r="M654" s="86" t="n"/>
      <c r="N654" s="245" t="n"/>
      <c r="O654" s="238" t="n"/>
      <c r="P654" s="238" t="n"/>
      <c r="Q654" s="246" t="n"/>
    </row>
    <row r="655" ht="13.2" customFormat="1" customHeight="1" s="47">
      <c r="B655" s="83" t="n"/>
      <c r="C655" s="83" t="n"/>
      <c r="D655" s="84" t="n"/>
      <c r="E655" s="84" t="n"/>
      <c r="F655" s="84" t="n"/>
      <c r="G655" s="84" t="n"/>
      <c r="H655" s="84" t="n"/>
      <c r="I655" s="84" t="n"/>
      <c r="J655" s="84" t="n"/>
      <c r="K655" s="84" t="n"/>
      <c r="L655" s="85" t="n"/>
      <c r="M655" s="86" t="n"/>
      <c r="N655" s="245" t="n"/>
      <c r="O655" s="238" t="n"/>
      <c r="P655" s="238" t="n"/>
      <c r="Q655" s="246" t="n"/>
    </row>
    <row r="656" ht="13.2" customFormat="1" customHeight="1" s="47">
      <c r="B656" s="83" t="n"/>
      <c r="C656" s="83" t="n"/>
      <c r="D656" s="84" t="n"/>
      <c r="E656" s="84" t="n"/>
      <c r="F656" s="84" t="n"/>
      <c r="G656" s="84" t="n"/>
      <c r="H656" s="84" t="n"/>
      <c r="I656" s="84" t="n"/>
      <c r="J656" s="84" t="n"/>
      <c r="K656" s="84" t="n"/>
      <c r="L656" s="85" t="n"/>
      <c r="M656" s="86" t="n"/>
      <c r="N656" s="245" t="n"/>
      <c r="O656" s="238" t="n"/>
      <c r="P656" s="238" t="n"/>
      <c r="Q656" s="246" t="n"/>
    </row>
    <row r="657" ht="13.2" customFormat="1" customHeight="1" s="47">
      <c r="B657" s="83" t="n"/>
      <c r="C657" s="83" t="n"/>
      <c r="D657" s="84" t="n"/>
      <c r="E657" s="84" t="n"/>
      <c r="F657" s="84" t="n"/>
      <c r="G657" s="84" t="n"/>
      <c r="H657" s="84" t="n"/>
      <c r="I657" s="84" t="n"/>
      <c r="J657" s="84" t="n"/>
      <c r="K657" s="84" t="n"/>
      <c r="L657" s="85" t="n"/>
      <c r="M657" s="86" t="n"/>
      <c r="N657" s="245" t="n"/>
      <c r="O657" s="238" t="n"/>
      <c r="P657" s="238" t="n"/>
      <c r="Q657" s="246" t="n"/>
    </row>
    <row r="658" ht="13.2" customFormat="1" customHeight="1" s="47">
      <c r="B658" s="83" t="n"/>
      <c r="C658" s="83" t="n"/>
      <c r="D658" s="84" t="n"/>
      <c r="E658" s="84" t="n"/>
      <c r="F658" s="84" t="n"/>
      <c r="G658" s="84" t="n"/>
      <c r="H658" s="84" t="n"/>
      <c r="I658" s="84" t="n"/>
      <c r="J658" s="84" t="n"/>
      <c r="K658" s="84" t="n"/>
      <c r="L658" s="85" t="n"/>
      <c r="M658" s="86" t="n"/>
      <c r="N658" s="245" t="n"/>
      <c r="O658" s="238" t="n"/>
      <c r="P658" s="238" t="n"/>
      <c r="Q658" s="246" t="n"/>
    </row>
    <row r="659" ht="13.2" customFormat="1" customHeight="1" s="47">
      <c r="B659" s="83" t="n"/>
      <c r="C659" s="83" t="n"/>
      <c r="D659" s="84" t="n"/>
      <c r="E659" s="84" t="n"/>
      <c r="F659" s="84" t="n"/>
      <c r="G659" s="84" t="n"/>
      <c r="H659" s="84" t="n"/>
      <c r="I659" s="84" t="n"/>
      <c r="J659" s="84" t="n"/>
      <c r="K659" s="84" t="n"/>
      <c r="L659" s="85" t="n"/>
      <c r="M659" s="86" t="n"/>
      <c r="N659" s="245" t="n"/>
      <c r="O659" s="238" t="n"/>
      <c r="P659" s="238" t="n"/>
      <c r="Q659" s="246" t="n"/>
    </row>
    <row r="660" ht="13.2" customFormat="1" customHeight="1" s="47">
      <c r="B660" s="83" t="n"/>
      <c r="C660" s="83" t="n"/>
      <c r="D660" s="84" t="n"/>
      <c r="E660" s="84" t="n"/>
      <c r="F660" s="84" t="n"/>
      <c r="G660" s="84" t="n"/>
      <c r="H660" s="84" t="n"/>
      <c r="I660" s="84" t="n"/>
      <c r="J660" s="84" t="n"/>
      <c r="K660" s="84" t="n"/>
      <c r="L660" s="85" t="n"/>
      <c r="M660" s="86" t="n"/>
      <c r="N660" s="245" t="n"/>
      <c r="O660" s="238" t="n"/>
      <c r="P660" s="238" t="n"/>
      <c r="Q660" s="246" t="n"/>
    </row>
    <row r="661" ht="13.2" customFormat="1" customHeight="1" s="47">
      <c r="B661" s="83" t="n"/>
      <c r="C661" s="83" t="n"/>
      <c r="D661" s="84" t="n"/>
      <c r="E661" s="84" t="n"/>
      <c r="F661" s="84" t="n"/>
      <c r="G661" s="84" t="n"/>
      <c r="H661" s="84" t="n"/>
      <c r="I661" s="84" t="n"/>
      <c r="J661" s="84" t="n"/>
      <c r="K661" s="84" t="n"/>
      <c r="L661" s="85" t="n"/>
      <c r="M661" s="86" t="n"/>
      <c r="N661" s="245" t="n"/>
      <c r="O661" s="238" t="n"/>
      <c r="P661" s="238" t="n"/>
      <c r="Q661" s="246" t="n"/>
    </row>
    <row r="662" ht="13.2" customFormat="1" customHeight="1" s="47">
      <c r="B662" s="83" t="n"/>
      <c r="C662" s="83" t="n"/>
      <c r="D662" s="84" t="n"/>
      <c r="E662" s="84" t="n"/>
      <c r="F662" s="84" t="n"/>
      <c r="G662" s="84" t="n"/>
      <c r="H662" s="84" t="n"/>
      <c r="I662" s="84" t="n"/>
      <c r="J662" s="84" t="n"/>
      <c r="K662" s="84" t="n"/>
      <c r="L662" s="85" t="n"/>
      <c r="M662" s="86" t="n"/>
      <c r="N662" s="245" t="n"/>
      <c r="O662" s="238" t="n"/>
      <c r="P662" s="238" t="n"/>
      <c r="Q662" s="246" t="n"/>
    </row>
    <row r="663" ht="13.2" customFormat="1" customHeight="1" s="47">
      <c r="B663" s="83" t="n"/>
      <c r="C663" s="83" t="n"/>
      <c r="D663" s="84" t="n"/>
      <c r="E663" s="84" t="n"/>
      <c r="F663" s="84" t="n"/>
      <c r="G663" s="84" t="n"/>
      <c r="H663" s="84" t="n"/>
      <c r="I663" s="84" t="n"/>
      <c r="J663" s="84" t="n"/>
      <c r="K663" s="84" t="n"/>
      <c r="L663" s="85" t="n"/>
      <c r="M663" s="86" t="n"/>
      <c r="N663" s="245" t="n"/>
      <c r="O663" s="238" t="n"/>
      <c r="P663" s="238" t="n"/>
      <c r="Q663" s="246" t="n"/>
    </row>
    <row r="664" ht="13.2" customFormat="1" customHeight="1" s="47">
      <c r="B664" s="83" t="n"/>
      <c r="C664" s="83" t="n"/>
      <c r="D664" s="84" t="n"/>
      <c r="E664" s="84" t="n"/>
      <c r="F664" s="84" t="n"/>
      <c r="G664" s="84" t="n"/>
      <c r="H664" s="84" t="n"/>
      <c r="I664" s="84" t="n"/>
      <c r="J664" s="84" t="n"/>
      <c r="K664" s="84" t="n"/>
      <c r="L664" s="85" t="n"/>
      <c r="M664" s="86" t="n"/>
      <c r="N664" s="245" t="n"/>
      <c r="O664" s="238" t="n"/>
      <c r="P664" s="238" t="n"/>
      <c r="Q664" s="246" t="n"/>
    </row>
    <row r="665" ht="13.2" customFormat="1" customHeight="1" s="47">
      <c r="B665" s="83" t="n"/>
      <c r="C665" s="83" t="n"/>
      <c r="D665" s="84" t="n"/>
      <c r="E665" s="84" t="n"/>
      <c r="F665" s="84" t="n"/>
      <c r="G665" s="84" t="n"/>
      <c r="H665" s="84" t="n"/>
      <c r="I665" s="84" t="n"/>
      <c r="J665" s="84" t="n"/>
      <c r="K665" s="84" t="n"/>
      <c r="L665" s="85" t="n"/>
      <c r="M665" s="86" t="n"/>
      <c r="N665" s="245" t="n"/>
      <c r="O665" s="238" t="n"/>
      <c r="P665" s="238" t="n"/>
      <c r="Q665" s="246" t="n"/>
    </row>
    <row r="666" ht="13.2" customFormat="1" customHeight="1" s="47">
      <c r="B666" s="83" t="n"/>
      <c r="C666" s="83" t="n"/>
      <c r="D666" s="84" t="n"/>
      <c r="E666" s="84" t="n"/>
      <c r="F666" s="84" t="n"/>
      <c r="G666" s="84" t="n"/>
      <c r="H666" s="84" t="n"/>
      <c r="I666" s="84" t="n"/>
      <c r="J666" s="84" t="n"/>
      <c r="K666" s="84" t="n"/>
      <c r="L666" s="85" t="n"/>
      <c r="M666" s="86" t="n"/>
      <c r="N666" s="245" t="n"/>
      <c r="O666" s="238" t="n"/>
      <c r="P666" s="238" t="n"/>
      <c r="Q666" s="246" t="n"/>
    </row>
    <row r="667" ht="13.2" customFormat="1" customHeight="1" s="47">
      <c r="B667" s="83" t="n"/>
      <c r="C667" s="83" t="n"/>
      <c r="D667" s="84" t="n"/>
      <c r="E667" s="84" t="n"/>
      <c r="F667" s="84" t="n"/>
      <c r="G667" s="84" t="n"/>
      <c r="H667" s="84" t="n"/>
      <c r="I667" s="84" t="n"/>
      <c r="J667" s="84" t="n"/>
      <c r="K667" s="84" t="n"/>
      <c r="L667" s="85" t="n"/>
      <c r="M667" s="86" t="n"/>
      <c r="N667" s="245" t="n"/>
      <c r="O667" s="238" t="n"/>
      <c r="P667" s="238" t="n"/>
      <c r="Q667" s="246" t="n"/>
    </row>
    <row r="668" ht="13.2" customFormat="1" customHeight="1" s="47">
      <c r="B668" s="83" t="n"/>
      <c r="C668" s="83" t="n"/>
      <c r="D668" s="84" t="n"/>
      <c r="E668" s="84" t="n"/>
      <c r="F668" s="84" t="n"/>
      <c r="G668" s="84" t="n"/>
      <c r="H668" s="84" t="n"/>
      <c r="I668" s="84" t="n"/>
      <c r="J668" s="84" t="n"/>
      <c r="K668" s="84" t="n"/>
      <c r="L668" s="85" t="n"/>
      <c r="M668" s="86" t="n"/>
      <c r="N668" s="245" t="n"/>
      <c r="O668" s="238" t="n"/>
      <c r="P668" s="238" t="n"/>
      <c r="Q668" s="246" t="n"/>
    </row>
    <row r="669" ht="13.2" customFormat="1" customHeight="1" s="47">
      <c r="B669" s="83" t="n"/>
      <c r="C669" s="83" t="n"/>
      <c r="D669" s="84" t="n"/>
      <c r="E669" s="84" t="n"/>
      <c r="F669" s="84" t="n"/>
      <c r="G669" s="84" t="n"/>
      <c r="H669" s="84" t="n"/>
      <c r="I669" s="84" t="n"/>
      <c r="J669" s="84" t="n"/>
      <c r="K669" s="84" t="n"/>
      <c r="L669" s="85" t="n"/>
      <c r="M669" s="86" t="n"/>
      <c r="N669" s="245" t="n"/>
      <c r="O669" s="238" t="n"/>
      <c r="P669" s="238" t="n"/>
      <c r="Q669" s="246" t="n"/>
    </row>
    <row r="670" ht="13.2" customFormat="1" customHeight="1" s="47">
      <c r="B670" s="83" t="n"/>
      <c r="C670" s="83" t="n"/>
      <c r="D670" s="84" t="n"/>
      <c r="E670" s="84" t="n"/>
      <c r="F670" s="84" t="n"/>
      <c r="G670" s="84" t="n"/>
      <c r="H670" s="84" t="n"/>
      <c r="I670" s="84" t="n"/>
      <c r="J670" s="84" t="n"/>
      <c r="K670" s="84" t="n"/>
      <c r="L670" s="85" t="n"/>
      <c r="M670" s="86" t="n"/>
      <c r="N670" s="245" t="n"/>
      <c r="O670" s="238" t="n"/>
      <c r="P670" s="238" t="n"/>
      <c r="Q670" s="246" t="n"/>
    </row>
    <row r="671" ht="13.2" customFormat="1" customHeight="1" s="47">
      <c r="B671" s="83" t="n"/>
      <c r="C671" s="83" t="n"/>
      <c r="D671" s="84" t="n"/>
      <c r="E671" s="84" t="n"/>
      <c r="F671" s="84" t="n"/>
      <c r="G671" s="84" t="n"/>
      <c r="H671" s="84" t="n"/>
      <c r="I671" s="84" t="n"/>
      <c r="J671" s="84" t="n"/>
      <c r="K671" s="84" t="n"/>
      <c r="L671" s="85" t="n"/>
      <c r="M671" s="86" t="n"/>
      <c r="N671" s="245" t="n"/>
      <c r="O671" s="238" t="n"/>
      <c r="P671" s="238" t="n"/>
      <c r="Q671" s="246" t="n"/>
    </row>
    <row r="672" ht="13.2" customFormat="1" customHeight="1" s="47">
      <c r="B672" s="83" t="n"/>
      <c r="C672" s="83" t="n"/>
      <c r="D672" s="84" t="n"/>
      <c r="E672" s="84" t="n"/>
      <c r="F672" s="84" t="n"/>
      <c r="G672" s="84" t="n"/>
      <c r="H672" s="84" t="n"/>
      <c r="I672" s="84" t="n"/>
      <c r="J672" s="84" t="n"/>
      <c r="K672" s="84" t="n"/>
      <c r="L672" s="85" t="n"/>
      <c r="M672" s="86" t="n"/>
      <c r="N672" s="245" t="n"/>
      <c r="O672" s="238" t="n"/>
      <c r="P672" s="238" t="n"/>
      <c r="Q672" s="246" t="n"/>
    </row>
    <row r="673" ht="13.2" customFormat="1" customHeight="1" s="47">
      <c r="B673" s="83" t="n"/>
      <c r="C673" s="83" t="n"/>
      <c r="D673" s="84" t="n"/>
      <c r="E673" s="84" t="n"/>
      <c r="F673" s="84" t="n"/>
      <c r="G673" s="84" t="n"/>
      <c r="H673" s="84" t="n"/>
      <c r="I673" s="84" t="n"/>
      <c r="J673" s="84" t="n"/>
      <c r="K673" s="84" t="n"/>
      <c r="L673" s="85" t="n"/>
      <c r="M673" s="86" t="n"/>
      <c r="N673" s="245" t="n"/>
      <c r="O673" s="238" t="n"/>
      <c r="P673" s="238" t="n"/>
      <c r="Q673" s="246" t="n"/>
    </row>
    <row r="674" ht="13.2" customFormat="1" customHeight="1" s="47">
      <c r="B674" s="83" t="n"/>
      <c r="C674" s="83" t="n"/>
      <c r="D674" s="84" t="n"/>
      <c r="E674" s="84" t="n"/>
      <c r="F674" s="84" t="n"/>
      <c r="G674" s="84" t="n"/>
      <c r="H674" s="84" t="n"/>
      <c r="I674" s="84" t="n"/>
      <c r="J674" s="84" t="n"/>
      <c r="K674" s="84" t="n"/>
      <c r="L674" s="85" t="n"/>
      <c r="M674" s="86" t="n"/>
      <c r="N674" s="245" t="n"/>
      <c r="O674" s="238" t="n"/>
      <c r="P674" s="238" t="n"/>
      <c r="Q674" s="246" t="n"/>
    </row>
    <row r="675" ht="13.2" customFormat="1" customHeight="1" s="47">
      <c r="B675" s="83" t="n"/>
      <c r="C675" s="83" t="n"/>
      <c r="D675" s="84" t="n"/>
      <c r="E675" s="84" t="n"/>
      <c r="F675" s="84" t="n"/>
      <c r="G675" s="84" t="n"/>
      <c r="H675" s="84" t="n"/>
      <c r="I675" s="84" t="n"/>
      <c r="J675" s="84" t="n"/>
      <c r="K675" s="84" t="n"/>
      <c r="L675" s="85" t="n"/>
      <c r="M675" s="86" t="n"/>
      <c r="N675" s="245" t="n"/>
      <c r="O675" s="238" t="n"/>
      <c r="P675" s="238" t="n"/>
      <c r="Q675" s="246" t="n"/>
    </row>
    <row r="676" ht="13.2" customFormat="1" customHeight="1" s="47">
      <c r="B676" s="83" t="n"/>
      <c r="C676" s="83" t="n"/>
      <c r="D676" s="84" t="n"/>
      <c r="E676" s="84" t="n"/>
      <c r="F676" s="84" t="n"/>
      <c r="G676" s="84" t="n"/>
      <c r="H676" s="84" t="n"/>
      <c r="I676" s="84" t="n"/>
      <c r="J676" s="84" t="n"/>
      <c r="K676" s="84" t="n"/>
      <c r="L676" s="85" t="n"/>
      <c r="M676" s="86" t="n"/>
      <c r="N676" s="245" t="n"/>
      <c r="O676" s="238" t="n"/>
      <c r="P676" s="238" t="n"/>
      <c r="Q676" s="246" t="n"/>
    </row>
    <row r="677" ht="13.2" customFormat="1" customHeight="1" s="47">
      <c r="B677" s="83" t="n"/>
      <c r="C677" s="83" t="n"/>
      <c r="D677" s="84" t="n"/>
      <c r="E677" s="84" t="n"/>
      <c r="F677" s="84" t="n"/>
      <c r="G677" s="84" t="n"/>
      <c r="H677" s="84" t="n"/>
      <c r="I677" s="84" t="n"/>
      <c r="J677" s="84" t="n"/>
      <c r="K677" s="84" t="n"/>
      <c r="L677" s="85" t="n"/>
      <c r="M677" s="86" t="n"/>
      <c r="N677" s="245" t="n"/>
      <c r="O677" s="238" t="n"/>
      <c r="P677" s="238" t="n"/>
      <c r="Q677" s="246" t="n"/>
    </row>
    <row r="678" ht="13.2" customFormat="1" customHeight="1" s="47">
      <c r="B678" s="83" t="n"/>
      <c r="C678" s="83" t="n"/>
      <c r="D678" s="84" t="n"/>
      <c r="E678" s="84" t="n"/>
      <c r="F678" s="84" t="n"/>
      <c r="G678" s="84" t="n"/>
      <c r="H678" s="84" t="n"/>
      <c r="I678" s="84" t="n"/>
      <c r="J678" s="84" t="n"/>
      <c r="K678" s="84" t="n"/>
      <c r="L678" s="85" t="n"/>
      <c r="M678" s="86" t="n"/>
      <c r="N678" s="245" t="n"/>
      <c r="O678" s="238" t="n"/>
      <c r="P678" s="238" t="n"/>
      <c r="Q678" s="246" t="n"/>
    </row>
    <row r="679" ht="13.2" customFormat="1" customHeight="1" s="47">
      <c r="B679" s="83" t="n"/>
      <c r="C679" s="83" t="n"/>
      <c r="D679" s="84" t="n"/>
      <c r="E679" s="84" t="n"/>
      <c r="F679" s="84" t="n"/>
      <c r="G679" s="84" t="n"/>
      <c r="H679" s="84" t="n"/>
      <c r="I679" s="84" t="n"/>
      <c r="J679" s="84" t="n"/>
      <c r="K679" s="84" t="n"/>
      <c r="L679" s="85" t="n"/>
      <c r="M679" s="86" t="n"/>
      <c r="N679" s="245" t="n"/>
      <c r="O679" s="238" t="n"/>
      <c r="P679" s="238" t="n"/>
      <c r="Q679" s="246" t="n"/>
    </row>
    <row r="680" ht="13.2" customFormat="1" customHeight="1" s="47">
      <c r="B680" s="83" t="n"/>
      <c r="C680" s="83" t="n"/>
      <c r="D680" s="84" t="n"/>
      <c r="E680" s="84" t="n"/>
      <c r="F680" s="84" t="n"/>
      <c r="G680" s="84" t="n"/>
      <c r="H680" s="84" t="n"/>
      <c r="I680" s="84" t="n"/>
      <c r="J680" s="84" t="n"/>
      <c r="K680" s="84" t="n"/>
      <c r="L680" s="85" t="n"/>
      <c r="M680" s="86" t="n"/>
      <c r="N680" s="245" t="n"/>
      <c r="O680" s="238" t="n"/>
      <c r="P680" s="238" t="n"/>
      <c r="Q680" s="246" t="n"/>
    </row>
    <row r="681" ht="13.2" customFormat="1" customHeight="1" s="47">
      <c r="B681" s="83" t="n"/>
      <c r="C681" s="83" t="n"/>
      <c r="D681" s="84" t="n"/>
      <c r="E681" s="84" t="n"/>
      <c r="F681" s="84" t="n"/>
      <c r="G681" s="84" t="n"/>
      <c r="H681" s="84" t="n"/>
      <c r="I681" s="84" t="n"/>
      <c r="J681" s="84" t="n"/>
      <c r="K681" s="84" t="n"/>
      <c r="L681" s="85" t="n"/>
      <c r="M681" s="86" t="n"/>
      <c r="N681" s="245" t="n"/>
      <c r="O681" s="238" t="n"/>
      <c r="P681" s="238" t="n"/>
      <c r="Q681" s="246" t="n"/>
    </row>
    <row r="682" ht="13.2" customFormat="1" customHeight="1" s="47">
      <c r="B682" s="83" t="n"/>
      <c r="C682" s="83" t="n"/>
      <c r="D682" s="84" t="n"/>
      <c r="E682" s="84" t="n"/>
      <c r="F682" s="84" t="n"/>
      <c r="G682" s="84" t="n"/>
      <c r="H682" s="84" t="n"/>
      <c r="I682" s="84" t="n"/>
      <c r="J682" s="84" t="n"/>
      <c r="K682" s="84" t="n"/>
      <c r="L682" s="85" t="n"/>
      <c r="M682" s="86" t="n"/>
      <c r="N682" s="245" t="n"/>
      <c r="O682" s="238" t="n"/>
      <c r="P682" s="238" t="n"/>
      <c r="Q682" s="246" t="n"/>
    </row>
    <row r="683" ht="13.2" customFormat="1" customHeight="1" s="47">
      <c r="B683" s="83" t="n"/>
      <c r="C683" s="83" t="n"/>
      <c r="D683" s="84" t="n"/>
      <c r="E683" s="84" t="n"/>
      <c r="F683" s="84" t="n"/>
      <c r="G683" s="84" t="n"/>
      <c r="H683" s="84" t="n"/>
      <c r="I683" s="84" t="n"/>
      <c r="J683" s="84" t="n"/>
      <c r="K683" s="84" t="n"/>
      <c r="L683" s="85" t="n"/>
      <c r="M683" s="86" t="n"/>
      <c r="N683" s="245" t="n"/>
      <c r="O683" s="238" t="n"/>
      <c r="P683" s="238" t="n"/>
      <c r="Q683" s="246" t="n"/>
    </row>
    <row r="684" ht="13.2" customFormat="1" customHeight="1" s="47">
      <c r="B684" s="83" t="n"/>
      <c r="C684" s="83" t="n"/>
      <c r="D684" s="84" t="n"/>
      <c r="E684" s="84" t="n"/>
      <c r="F684" s="84" t="n"/>
      <c r="G684" s="84" t="n"/>
      <c r="H684" s="84" t="n"/>
      <c r="I684" s="84" t="n"/>
      <c r="J684" s="84" t="n"/>
      <c r="K684" s="84" t="n"/>
      <c r="L684" s="85" t="n"/>
      <c r="M684" s="86" t="n"/>
      <c r="N684" s="245" t="n"/>
      <c r="O684" s="238" t="n"/>
      <c r="P684" s="238" t="n"/>
      <c r="Q684" s="246" t="n"/>
    </row>
    <row r="685" ht="13.2" customFormat="1" customHeight="1" s="47">
      <c r="B685" s="83" t="n"/>
      <c r="C685" s="83" t="n"/>
      <c r="D685" s="84" t="n"/>
      <c r="E685" s="84" t="n"/>
      <c r="F685" s="84" t="n"/>
      <c r="G685" s="84" t="n"/>
      <c r="H685" s="84" t="n"/>
      <c r="I685" s="84" t="n"/>
      <c r="J685" s="84" t="n"/>
      <c r="K685" s="84" t="n"/>
      <c r="L685" s="85" t="n"/>
      <c r="M685" s="86" t="n"/>
      <c r="N685" s="245" t="n"/>
      <c r="O685" s="238" t="n"/>
      <c r="P685" s="238" t="n"/>
      <c r="Q685" s="246" t="n"/>
    </row>
    <row r="686" ht="13.2" customFormat="1" customHeight="1" s="47">
      <c r="B686" s="83" t="n"/>
      <c r="C686" s="83" t="n"/>
      <c r="D686" s="84" t="n"/>
      <c r="E686" s="84" t="n"/>
      <c r="F686" s="84" t="n"/>
      <c r="G686" s="84" t="n"/>
      <c r="H686" s="84" t="n"/>
      <c r="I686" s="84" t="n"/>
      <c r="J686" s="84" t="n"/>
      <c r="K686" s="84" t="n"/>
      <c r="L686" s="85" t="n"/>
      <c r="M686" s="86" t="n"/>
      <c r="N686" s="245" t="n"/>
      <c r="O686" s="238" t="n"/>
      <c r="P686" s="238" t="n"/>
      <c r="Q686" s="246" t="n"/>
    </row>
    <row r="687" ht="13.2" customFormat="1" customHeight="1" s="47">
      <c r="B687" s="83" t="n"/>
      <c r="C687" s="83" t="n"/>
      <c r="D687" s="84" t="n"/>
      <c r="E687" s="84" t="n"/>
      <c r="F687" s="84" t="n"/>
      <c r="G687" s="84" t="n"/>
      <c r="H687" s="84" t="n"/>
      <c r="I687" s="84" t="n"/>
      <c r="J687" s="84" t="n"/>
      <c r="K687" s="84" t="n"/>
      <c r="L687" s="85" t="n"/>
      <c r="M687" s="86" t="n"/>
      <c r="N687" s="245" t="n"/>
      <c r="O687" s="238" t="n"/>
      <c r="P687" s="238" t="n"/>
      <c r="Q687" s="246" t="n"/>
    </row>
    <row r="688" ht="13.2" customFormat="1" customHeight="1" s="47">
      <c r="B688" s="83" t="n"/>
      <c r="C688" s="83" t="n"/>
      <c r="D688" s="84" t="n"/>
      <c r="E688" s="84" t="n"/>
      <c r="F688" s="84" t="n"/>
      <c r="G688" s="84" t="n"/>
      <c r="H688" s="84" t="n"/>
      <c r="I688" s="84" t="n"/>
      <c r="J688" s="84" t="n"/>
      <c r="K688" s="84" t="n"/>
      <c r="L688" s="85" t="n"/>
      <c r="M688" s="86" t="n"/>
      <c r="N688" s="245" t="n"/>
      <c r="O688" s="238" t="n"/>
      <c r="P688" s="238" t="n"/>
      <c r="Q688" s="246" t="n"/>
    </row>
    <row r="689" ht="13.2" customFormat="1" customHeight="1" s="47">
      <c r="B689" s="83" t="n"/>
      <c r="C689" s="83" t="n"/>
      <c r="D689" s="84" t="n"/>
      <c r="E689" s="84" t="n"/>
      <c r="F689" s="84" t="n"/>
      <c r="G689" s="84" t="n"/>
      <c r="H689" s="84" t="n"/>
      <c r="I689" s="84" t="n"/>
      <c r="J689" s="84" t="n"/>
      <c r="K689" s="84" t="n"/>
      <c r="L689" s="85" t="n"/>
      <c r="M689" s="86" t="n"/>
      <c r="N689" s="245" t="n"/>
      <c r="O689" s="238" t="n"/>
      <c r="P689" s="238" t="n"/>
      <c r="Q689" s="246" t="n"/>
    </row>
    <row r="690" ht="13.2" customFormat="1" customHeight="1" s="47">
      <c r="B690" s="83" t="n"/>
      <c r="C690" s="83" t="n"/>
      <c r="D690" s="84" t="n"/>
      <c r="E690" s="84" t="n"/>
      <c r="F690" s="84" t="n"/>
      <c r="G690" s="84" t="n"/>
      <c r="H690" s="84" t="n"/>
      <c r="I690" s="84" t="n"/>
      <c r="J690" s="84" t="n"/>
      <c r="K690" s="84" t="n"/>
      <c r="L690" s="85" t="n"/>
      <c r="M690" s="86" t="n"/>
      <c r="N690" s="245" t="n"/>
      <c r="O690" s="238" t="n"/>
      <c r="P690" s="238" t="n"/>
      <c r="Q690" s="246" t="n"/>
    </row>
    <row r="691" ht="13.2" customFormat="1" customHeight="1" s="47">
      <c r="B691" s="83" t="n"/>
      <c r="C691" s="83" t="n"/>
      <c r="D691" s="84" t="n"/>
      <c r="E691" s="84" t="n"/>
      <c r="F691" s="84" t="n"/>
      <c r="G691" s="84" t="n"/>
      <c r="H691" s="84" t="n"/>
      <c r="I691" s="84" t="n"/>
      <c r="J691" s="84" t="n"/>
      <c r="K691" s="84" t="n"/>
      <c r="L691" s="85" t="n"/>
      <c r="M691" s="86" t="n"/>
      <c r="N691" s="245" t="n"/>
      <c r="O691" s="238" t="n"/>
      <c r="P691" s="238" t="n"/>
      <c r="Q691" s="246" t="n"/>
    </row>
    <row r="692" ht="13.2" customFormat="1" customHeight="1" s="47">
      <c r="B692" s="83" t="n"/>
      <c r="C692" s="83" t="n"/>
      <c r="D692" s="84" t="n"/>
      <c r="E692" s="84" t="n"/>
      <c r="F692" s="84" t="n"/>
      <c r="G692" s="84" t="n"/>
      <c r="H692" s="84" t="n"/>
      <c r="I692" s="84" t="n"/>
      <c r="J692" s="84" t="n"/>
      <c r="K692" s="84" t="n"/>
      <c r="L692" s="85" t="n"/>
      <c r="M692" s="86" t="n"/>
      <c r="N692" s="245" t="n"/>
      <c r="O692" s="238" t="n"/>
      <c r="P692" s="238" t="n"/>
      <c r="Q692" s="246" t="n"/>
    </row>
    <row r="693" ht="13.2" customFormat="1" customHeight="1" s="47">
      <c r="B693" s="83" t="n"/>
      <c r="C693" s="83" t="n"/>
      <c r="D693" s="84" t="n"/>
      <c r="E693" s="84" t="n"/>
      <c r="F693" s="84" t="n"/>
      <c r="G693" s="84" t="n"/>
      <c r="H693" s="84" t="n"/>
      <c r="I693" s="84" t="n"/>
      <c r="J693" s="84" t="n"/>
      <c r="K693" s="84" t="n"/>
      <c r="L693" s="85" t="n"/>
      <c r="M693" s="86" t="n"/>
      <c r="N693" s="245" t="n"/>
      <c r="O693" s="238" t="n"/>
      <c r="P693" s="238" t="n"/>
      <c r="Q693" s="246" t="n"/>
    </row>
    <row r="694" ht="13.2" customFormat="1" customHeight="1" s="47">
      <c r="B694" s="83" t="n"/>
      <c r="C694" s="83" t="n"/>
      <c r="D694" s="84" t="n"/>
      <c r="E694" s="84" t="n"/>
      <c r="F694" s="84" t="n"/>
      <c r="G694" s="84" t="n"/>
      <c r="H694" s="84" t="n"/>
      <c r="I694" s="84" t="n"/>
      <c r="J694" s="84" t="n"/>
      <c r="K694" s="84" t="n"/>
      <c r="L694" s="85" t="n"/>
      <c r="M694" s="86" t="n"/>
      <c r="N694" s="245" t="n"/>
      <c r="O694" s="238" t="n"/>
      <c r="P694" s="238" t="n"/>
      <c r="Q694" s="246" t="n"/>
    </row>
    <row r="695" ht="13.2" customFormat="1" customHeight="1" s="47">
      <c r="B695" s="83" t="n"/>
      <c r="C695" s="83" t="n"/>
      <c r="D695" s="84" t="n"/>
      <c r="E695" s="84" t="n"/>
      <c r="F695" s="84" t="n"/>
      <c r="G695" s="84" t="n"/>
      <c r="H695" s="84" t="n"/>
      <c r="I695" s="84" t="n"/>
      <c r="J695" s="84" t="n"/>
      <c r="K695" s="84" t="n"/>
      <c r="L695" s="85" t="n"/>
      <c r="M695" s="86" t="n"/>
      <c r="N695" s="245" t="n"/>
      <c r="O695" s="238" t="n"/>
      <c r="P695" s="238" t="n"/>
      <c r="Q695" s="246" t="n"/>
    </row>
    <row r="696" ht="13.2" customFormat="1" customHeight="1" s="47">
      <c r="B696" s="83" t="n"/>
      <c r="C696" s="83" t="n"/>
      <c r="D696" s="84" t="n"/>
      <c r="E696" s="84" t="n"/>
      <c r="F696" s="84" t="n"/>
      <c r="G696" s="84" t="n"/>
      <c r="H696" s="84" t="n"/>
      <c r="I696" s="84" t="n"/>
      <c r="J696" s="84" t="n"/>
      <c r="K696" s="84" t="n"/>
      <c r="L696" s="85" t="n"/>
      <c r="M696" s="86" t="n"/>
      <c r="N696" s="245" t="n"/>
      <c r="O696" s="238" t="n"/>
      <c r="P696" s="238" t="n"/>
      <c r="Q696" s="246" t="n"/>
    </row>
    <row r="697" ht="13.2" customFormat="1" customHeight="1" s="47">
      <c r="B697" s="83" t="n"/>
      <c r="C697" s="83" t="n"/>
      <c r="D697" s="84" t="n"/>
      <c r="E697" s="84" t="n"/>
      <c r="F697" s="84" t="n"/>
      <c r="G697" s="84" t="n"/>
      <c r="H697" s="84" t="n"/>
      <c r="I697" s="84" t="n"/>
      <c r="J697" s="84" t="n"/>
      <c r="K697" s="84" t="n"/>
      <c r="L697" s="85" t="n"/>
      <c r="M697" s="86" t="n"/>
      <c r="N697" s="245" t="n"/>
      <c r="O697" s="238" t="n"/>
      <c r="P697" s="238" t="n"/>
      <c r="Q697" s="246" t="n"/>
    </row>
    <row r="698" ht="13.2" customFormat="1" customHeight="1" s="47">
      <c r="B698" s="83" t="n"/>
      <c r="C698" s="83" t="n"/>
      <c r="D698" s="84" t="n"/>
      <c r="E698" s="84" t="n"/>
      <c r="F698" s="84" t="n"/>
      <c r="G698" s="84" t="n"/>
      <c r="H698" s="84" t="n"/>
      <c r="I698" s="84" t="n"/>
      <c r="J698" s="84" t="n"/>
      <c r="K698" s="84" t="n"/>
      <c r="L698" s="85" t="n"/>
      <c r="M698" s="86" t="n"/>
      <c r="N698" s="245" t="n"/>
      <c r="O698" s="238" t="n"/>
      <c r="P698" s="238" t="n"/>
      <c r="Q698" s="246" t="n"/>
    </row>
    <row r="699" ht="13.2" customFormat="1" customHeight="1" s="47">
      <c r="B699" s="83" t="n"/>
      <c r="C699" s="83" t="n"/>
      <c r="D699" s="84" t="n"/>
      <c r="E699" s="84" t="n"/>
      <c r="F699" s="84" t="n"/>
      <c r="G699" s="84" t="n"/>
      <c r="H699" s="84" t="n"/>
      <c r="I699" s="84" t="n"/>
      <c r="J699" s="84" t="n"/>
      <c r="K699" s="84" t="n"/>
      <c r="L699" s="85" t="n"/>
      <c r="M699" s="86" t="n"/>
      <c r="N699" s="245" t="n"/>
      <c r="O699" s="238" t="n"/>
      <c r="P699" s="238" t="n"/>
      <c r="Q699" s="246" t="n"/>
    </row>
    <row r="700" ht="13.2" customFormat="1" customHeight="1" s="47">
      <c r="B700" s="83" t="n"/>
      <c r="C700" s="83" t="n"/>
      <c r="D700" s="84" t="n"/>
      <c r="E700" s="84" t="n"/>
      <c r="F700" s="84" t="n"/>
      <c r="G700" s="84" t="n"/>
      <c r="H700" s="84" t="n"/>
      <c r="I700" s="84" t="n"/>
      <c r="J700" s="84" t="n"/>
      <c r="K700" s="84" t="n"/>
      <c r="L700" s="85" t="n"/>
      <c r="M700" s="86" t="n"/>
      <c r="N700" s="245" t="n"/>
      <c r="O700" s="238" t="n"/>
      <c r="P700" s="238" t="n"/>
      <c r="Q700" s="246" t="n"/>
    </row>
    <row r="701" ht="13.2" customFormat="1" customHeight="1" s="47">
      <c r="B701" s="83" t="n"/>
      <c r="C701" s="83" t="n"/>
      <c r="D701" s="84" t="n"/>
      <c r="E701" s="84" t="n"/>
      <c r="F701" s="84" t="n"/>
      <c r="G701" s="84" t="n"/>
      <c r="H701" s="84" t="n"/>
      <c r="I701" s="84" t="n"/>
      <c r="J701" s="84" t="n"/>
      <c r="K701" s="84" t="n"/>
      <c r="L701" s="85" t="n"/>
      <c r="M701" s="86" t="n"/>
      <c r="N701" s="245" t="n"/>
      <c r="O701" s="238" t="n"/>
      <c r="P701" s="238" t="n"/>
      <c r="Q701" s="246" t="n"/>
    </row>
    <row r="702" ht="13.2" customFormat="1" customHeight="1" s="47">
      <c r="B702" s="83" t="n"/>
      <c r="C702" s="83" t="n"/>
      <c r="D702" s="84" t="n"/>
      <c r="E702" s="84" t="n"/>
      <c r="F702" s="84" t="n"/>
      <c r="G702" s="84" t="n"/>
      <c r="H702" s="84" t="n"/>
      <c r="I702" s="84" t="n"/>
      <c r="J702" s="84" t="n"/>
      <c r="K702" s="84" t="n"/>
      <c r="L702" s="85" t="n"/>
      <c r="M702" s="86" t="n"/>
      <c r="N702" s="245" t="n"/>
      <c r="O702" s="238" t="n"/>
      <c r="P702" s="238" t="n"/>
      <c r="Q702" s="246" t="n"/>
    </row>
    <row r="703" ht="13.2" customFormat="1" customHeight="1" s="47">
      <c r="B703" s="83" t="n"/>
      <c r="C703" s="83" t="n"/>
      <c r="D703" s="84" t="n"/>
      <c r="E703" s="84" t="n"/>
      <c r="F703" s="84" t="n"/>
      <c r="G703" s="84" t="n"/>
      <c r="H703" s="84" t="n"/>
      <c r="I703" s="84" t="n"/>
      <c r="J703" s="84" t="n"/>
      <c r="K703" s="84" t="n"/>
      <c r="L703" s="85" t="n"/>
      <c r="M703" s="86" t="n"/>
      <c r="N703" s="245" t="n"/>
      <c r="O703" s="238" t="n"/>
      <c r="P703" s="238" t="n"/>
      <c r="Q703" s="246" t="n"/>
    </row>
    <row r="704" ht="13.2" customFormat="1" customHeight="1" s="47">
      <c r="B704" s="83" t="n"/>
      <c r="C704" s="83" t="n"/>
      <c r="D704" s="84" t="n"/>
      <c r="E704" s="84" t="n"/>
      <c r="F704" s="84" t="n"/>
      <c r="G704" s="84" t="n"/>
      <c r="H704" s="84" t="n"/>
      <c r="I704" s="84" t="n"/>
      <c r="J704" s="84" t="n"/>
      <c r="K704" s="84" t="n"/>
      <c r="L704" s="85" t="n"/>
      <c r="M704" s="86" t="n"/>
      <c r="N704" s="245" t="n"/>
      <c r="O704" s="238" t="n"/>
      <c r="P704" s="238" t="n"/>
      <c r="Q704" s="246" t="n"/>
    </row>
    <row r="705" ht="13.2" customFormat="1" customHeight="1" s="47">
      <c r="B705" s="83" t="n"/>
      <c r="C705" s="83" t="n"/>
      <c r="D705" s="84" t="n"/>
      <c r="E705" s="84" t="n"/>
      <c r="F705" s="84" t="n"/>
      <c r="G705" s="84" t="n"/>
      <c r="H705" s="84" t="n"/>
      <c r="I705" s="84" t="n"/>
      <c r="J705" s="84" t="n"/>
      <c r="K705" s="84" t="n"/>
      <c r="L705" s="85" t="n"/>
      <c r="M705" s="86" t="n"/>
      <c r="N705" s="245" t="n"/>
      <c r="O705" s="238" t="n"/>
      <c r="P705" s="238" t="n"/>
      <c r="Q705" s="246" t="n"/>
    </row>
    <row r="706" ht="13.2" customFormat="1" customHeight="1" s="47">
      <c r="B706" s="83" t="n"/>
      <c r="C706" s="83" t="n"/>
      <c r="D706" s="84" t="n"/>
      <c r="E706" s="84" t="n"/>
      <c r="F706" s="84" t="n"/>
      <c r="G706" s="84" t="n"/>
      <c r="H706" s="84" t="n"/>
      <c r="I706" s="84" t="n"/>
      <c r="J706" s="84" t="n"/>
      <c r="K706" s="84" t="n"/>
      <c r="L706" s="85" t="n"/>
      <c r="M706" s="86" t="n"/>
      <c r="N706" s="245" t="n"/>
      <c r="O706" s="238" t="n"/>
      <c r="P706" s="238" t="n"/>
      <c r="Q706" s="246" t="n"/>
    </row>
    <row r="707" ht="13.2" customFormat="1" customHeight="1" s="47">
      <c r="B707" s="83" t="n"/>
      <c r="C707" s="83" t="n"/>
      <c r="D707" s="84" t="n"/>
      <c r="E707" s="84" t="n"/>
      <c r="F707" s="84" t="n"/>
      <c r="G707" s="84" t="n"/>
      <c r="H707" s="84" t="n"/>
      <c r="I707" s="84" t="n"/>
      <c r="J707" s="84" t="n"/>
      <c r="K707" s="84" t="n"/>
      <c r="L707" s="85" t="n"/>
      <c r="M707" s="86" t="n"/>
      <c r="N707" s="245" t="n"/>
      <c r="O707" s="238" t="n"/>
      <c r="P707" s="238" t="n"/>
      <c r="Q707" s="246" t="n"/>
    </row>
    <row r="708" ht="13.2" customFormat="1" customHeight="1" s="47">
      <c r="B708" s="83" t="n"/>
      <c r="C708" s="83" t="n"/>
      <c r="D708" s="84" t="n"/>
      <c r="E708" s="84" t="n"/>
      <c r="F708" s="84" t="n"/>
      <c r="G708" s="84" t="n"/>
      <c r="H708" s="84" t="n"/>
      <c r="I708" s="84" t="n"/>
      <c r="J708" s="84" t="n"/>
      <c r="K708" s="84" t="n"/>
      <c r="L708" s="85" t="n"/>
      <c r="M708" s="86" t="n"/>
      <c r="N708" s="245" t="n"/>
      <c r="O708" s="238" t="n"/>
      <c r="P708" s="238" t="n"/>
      <c r="Q708" s="246" t="n"/>
    </row>
    <row r="709" ht="13.2" customFormat="1" customHeight="1" s="47">
      <c r="B709" s="83" t="n"/>
      <c r="C709" s="83" t="n"/>
      <c r="D709" s="84" t="n"/>
      <c r="E709" s="84" t="n"/>
      <c r="F709" s="84" t="n"/>
      <c r="G709" s="84" t="n"/>
      <c r="H709" s="84" t="n"/>
      <c r="I709" s="84" t="n"/>
      <c r="J709" s="84" t="n"/>
      <c r="K709" s="84" t="n"/>
      <c r="L709" s="85" t="n"/>
      <c r="M709" s="86" t="n"/>
      <c r="N709" s="245" t="n"/>
      <c r="O709" s="238" t="n"/>
      <c r="P709" s="238" t="n"/>
      <c r="Q709" s="246" t="n"/>
    </row>
    <row r="710" ht="13.2" customFormat="1" customHeight="1" s="47">
      <c r="B710" s="83" t="n"/>
      <c r="C710" s="83" t="n"/>
      <c r="D710" s="84" t="n"/>
      <c r="E710" s="84" t="n"/>
      <c r="F710" s="84" t="n"/>
      <c r="G710" s="84" t="n"/>
      <c r="H710" s="84" t="n"/>
      <c r="I710" s="84" t="n"/>
      <c r="J710" s="84" t="n"/>
      <c r="K710" s="84" t="n"/>
      <c r="L710" s="85" t="n"/>
      <c r="M710" s="86" t="n"/>
      <c r="N710" s="245" t="n"/>
      <c r="O710" s="238" t="n"/>
      <c r="P710" s="238" t="n"/>
      <c r="Q710" s="246" t="n"/>
    </row>
    <row r="711" ht="13.2" customFormat="1" customHeight="1" s="47">
      <c r="B711" s="83" t="n"/>
      <c r="C711" s="83" t="n"/>
      <c r="D711" s="84" t="n"/>
      <c r="E711" s="84" t="n"/>
      <c r="F711" s="84" t="n"/>
      <c r="G711" s="84" t="n"/>
      <c r="H711" s="84" t="n"/>
      <c r="I711" s="84" t="n"/>
      <c r="J711" s="84" t="n"/>
      <c r="K711" s="84" t="n"/>
      <c r="L711" s="85" t="n"/>
      <c r="M711" s="86" t="n"/>
      <c r="N711" s="245" t="n"/>
      <c r="O711" s="238" t="n"/>
      <c r="P711" s="238" t="n"/>
      <c r="Q711" s="246" t="n"/>
    </row>
    <row r="712" ht="13.2" customFormat="1" customHeight="1" s="47">
      <c r="B712" s="83" t="n"/>
      <c r="C712" s="83" t="n"/>
      <c r="D712" s="84" t="n"/>
      <c r="E712" s="84" t="n"/>
      <c r="F712" s="84" t="n"/>
      <c r="G712" s="84" t="n"/>
      <c r="H712" s="84" t="n"/>
      <c r="I712" s="84" t="n"/>
      <c r="J712" s="84" t="n"/>
      <c r="K712" s="84" t="n"/>
      <c r="L712" s="85" t="n"/>
      <c r="M712" s="86" t="n"/>
      <c r="N712" s="245" t="n"/>
      <c r="O712" s="238" t="n"/>
      <c r="P712" s="238" t="n"/>
      <c r="Q712" s="246" t="n"/>
    </row>
    <row r="713" ht="13.2" customFormat="1" customHeight="1" s="47">
      <c r="B713" s="83" t="n"/>
      <c r="C713" s="83" t="n"/>
      <c r="D713" s="84" t="n"/>
      <c r="E713" s="84" t="n"/>
      <c r="F713" s="84" t="n"/>
      <c r="G713" s="84" t="n"/>
      <c r="H713" s="84" t="n"/>
      <c r="I713" s="84" t="n"/>
      <c r="J713" s="84" t="n"/>
      <c r="K713" s="84" t="n"/>
      <c r="L713" s="85" t="n"/>
      <c r="M713" s="86" t="n"/>
      <c r="N713" s="245" t="n"/>
      <c r="O713" s="238" t="n"/>
      <c r="P713" s="238" t="n"/>
      <c r="Q713" s="246" t="n"/>
    </row>
    <row r="714" ht="13.2" customFormat="1" customHeight="1" s="47">
      <c r="B714" s="83" t="n"/>
      <c r="C714" s="83" t="n"/>
      <c r="D714" s="84" t="n"/>
      <c r="E714" s="84" t="n"/>
      <c r="F714" s="84" t="n"/>
      <c r="G714" s="84" t="n"/>
      <c r="H714" s="84" t="n"/>
      <c r="I714" s="84" t="n"/>
      <c r="J714" s="84" t="n"/>
      <c r="K714" s="84" t="n"/>
      <c r="L714" s="85" t="n"/>
      <c r="M714" s="86" t="n"/>
      <c r="N714" s="245" t="n"/>
      <c r="O714" s="238" t="n"/>
      <c r="P714" s="238" t="n"/>
      <c r="Q714" s="246" t="n"/>
    </row>
    <row r="715" ht="13.2" customFormat="1" customHeight="1" s="47">
      <c r="B715" s="83" t="n"/>
      <c r="C715" s="83" t="n"/>
      <c r="D715" s="84" t="n"/>
      <c r="E715" s="84" t="n"/>
      <c r="F715" s="84" t="n"/>
      <c r="G715" s="84" t="n"/>
      <c r="H715" s="84" t="n"/>
      <c r="I715" s="84" t="n"/>
      <c r="J715" s="84" t="n"/>
      <c r="K715" s="84" t="n"/>
      <c r="L715" s="85" t="n"/>
      <c r="M715" s="86" t="n"/>
      <c r="N715" s="245" t="n"/>
      <c r="O715" s="238" t="n"/>
      <c r="P715" s="238" t="n"/>
      <c r="Q715" s="246" t="n"/>
    </row>
    <row r="716" ht="13.2" customFormat="1" customHeight="1" s="47">
      <c r="B716" s="83" t="n"/>
      <c r="C716" s="83" t="n"/>
      <c r="D716" s="84" t="n"/>
      <c r="E716" s="84" t="n"/>
      <c r="F716" s="84" t="n"/>
      <c r="G716" s="84" t="n"/>
      <c r="H716" s="84" t="n"/>
      <c r="I716" s="84" t="n"/>
      <c r="J716" s="84" t="n"/>
      <c r="K716" s="84" t="n"/>
      <c r="L716" s="85" t="n"/>
      <c r="M716" s="86" t="n"/>
      <c r="N716" s="245" t="n"/>
      <c r="O716" s="238" t="n"/>
      <c r="P716" s="238" t="n"/>
      <c r="Q716" s="246" t="n"/>
    </row>
    <row r="717" ht="13.2" customFormat="1" customHeight="1" s="47">
      <c r="B717" s="83" t="n"/>
      <c r="C717" s="83" t="n"/>
      <c r="D717" s="84" t="n"/>
      <c r="E717" s="84" t="n"/>
      <c r="F717" s="84" t="n"/>
      <c r="G717" s="84" t="n"/>
      <c r="H717" s="84" t="n"/>
      <c r="I717" s="84" t="n"/>
      <c r="J717" s="84" t="n"/>
      <c r="K717" s="84" t="n"/>
      <c r="L717" s="85" t="n"/>
      <c r="M717" s="86" t="n"/>
      <c r="N717" s="245" t="n"/>
      <c r="O717" s="238" t="n"/>
      <c r="P717" s="238" t="n"/>
      <c r="Q717" s="246" t="n"/>
    </row>
    <row r="718" ht="13.2" customFormat="1" customHeight="1" s="47">
      <c r="B718" s="83" t="n"/>
      <c r="C718" s="83" t="n"/>
      <c r="D718" s="84" t="n"/>
      <c r="E718" s="84" t="n"/>
      <c r="F718" s="84" t="n"/>
      <c r="G718" s="84" t="n"/>
      <c r="H718" s="84" t="n"/>
      <c r="I718" s="84" t="n"/>
      <c r="J718" s="84" t="n"/>
      <c r="K718" s="84" t="n"/>
      <c r="L718" s="85" t="n"/>
      <c r="M718" s="86" t="n"/>
      <c r="N718" s="245" t="n"/>
      <c r="O718" s="238" t="n"/>
      <c r="P718" s="238" t="n"/>
      <c r="Q718" s="246" t="n"/>
    </row>
    <row r="719" ht="13.2" customFormat="1" customHeight="1" s="47">
      <c r="B719" s="83" t="n"/>
      <c r="C719" s="83" t="n"/>
      <c r="D719" s="84" t="n"/>
      <c r="E719" s="84" t="n"/>
      <c r="F719" s="84" t="n"/>
      <c r="G719" s="84" t="n"/>
      <c r="H719" s="84" t="n"/>
      <c r="I719" s="84" t="n"/>
      <c r="J719" s="84" t="n"/>
      <c r="K719" s="84" t="n"/>
      <c r="L719" s="85" t="n"/>
      <c r="M719" s="86" t="n"/>
      <c r="N719" s="245" t="n"/>
      <c r="O719" s="238" t="n"/>
      <c r="P719" s="238" t="n"/>
      <c r="Q719" s="246" t="n"/>
    </row>
    <row r="720" ht="13.2" customFormat="1" customHeight="1" s="47">
      <c r="B720" s="83" t="n"/>
      <c r="C720" s="83" t="n"/>
      <c r="D720" s="84" t="n"/>
      <c r="E720" s="84" t="n"/>
      <c r="F720" s="84" t="n"/>
      <c r="G720" s="84" t="n"/>
      <c r="H720" s="84" t="n"/>
      <c r="I720" s="84" t="n"/>
      <c r="J720" s="84" t="n"/>
      <c r="K720" s="84" t="n"/>
      <c r="L720" s="85" t="n"/>
      <c r="M720" s="86" t="n"/>
      <c r="N720" s="245" t="n"/>
      <c r="O720" s="238" t="n"/>
      <c r="P720" s="238" t="n"/>
      <c r="Q720" s="246" t="n"/>
    </row>
    <row r="721" ht="13.2" customFormat="1" customHeight="1" s="47">
      <c r="B721" s="83" t="n"/>
      <c r="C721" s="83" t="n"/>
      <c r="D721" s="84" t="n"/>
      <c r="E721" s="84" t="n"/>
      <c r="F721" s="84" t="n"/>
      <c r="G721" s="84" t="n"/>
      <c r="H721" s="84" t="n"/>
      <c r="I721" s="84" t="n"/>
      <c r="J721" s="84" t="n"/>
      <c r="K721" s="84" t="n"/>
      <c r="L721" s="85" t="n"/>
      <c r="M721" s="86" t="n"/>
      <c r="N721" s="245" t="n"/>
      <c r="O721" s="238" t="n"/>
      <c r="P721" s="238" t="n"/>
      <c r="Q721" s="246" t="n"/>
    </row>
    <row r="722" ht="13.2" customFormat="1" customHeight="1" s="47">
      <c r="B722" s="83" t="n"/>
      <c r="C722" s="83" t="n"/>
      <c r="D722" s="84" t="n"/>
      <c r="E722" s="84" t="n"/>
      <c r="F722" s="84" t="n"/>
      <c r="G722" s="84" t="n"/>
      <c r="H722" s="84" t="n"/>
      <c r="I722" s="84" t="n"/>
      <c r="J722" s="84" t="n"/>
      <c r="K722" s="84" t="n"/>
      <c r="L722" s="85" t="n"/>
      <c r="M722" s="86" t="n"/>
      <c r="N722" s="245" t="n"/>
      <c r="O722" s="238" t="n"/>
      <c r="P722" s="238" t="n"/>
      <c r="Q722" s="246" t="n"/>
    </row>
    <row r="723" ht="13.2" customFormat="1" customHeight="1" s="47">
      <c r="B723" s="83" t="n"/>
      <c r="C723" s="83" t="n"/>
      <c r="D723" s="84" t="n"/>
      <c r="E723" s="84" t="n"/>
      <c r="F723" s="84" t="n"/>
      <c r="G723" s="84" t="n"/>
      <c r="H723" s="84" t="n"/>
      <c r="I723" s="84" t="n"/>
      <c r="J723" s="84" t="n"/>
      <c r="K723" s="84" t="n"/>
      <c r="L723" s="85" t="n"/>
      <c r="M723" s="86" t="n"/>
      <c r="N723" s="245" t="n"/>
      <c r="O723" s="238" t="n"/>
      <c r="P723" s="238" t="n"/>
      <c r="Q723" s="246" t="n"/>
    </row>
    <row r="724" ht="13.2" customFormat="1" customHeight="1" s="47">
      <c r="B724" s="83" t="n"/>
      <c r="C724" s="83" t="n"/>
      <c r="D724" s="84" t="n"/>
      <c r="E724" s="84" t="n"/>
      <c r="F724" s="84" t="n"/>
      <c r="G724" s="84" t="n"/>
      <c r="H724" s="84" t="n"/>
      <c r="I724" s="84" t="n"/>
      <c r="J724" s="84" t="n"/>
      <c r="K724" s="84" t="n"/>
      <c r="L724" s="85" t="n"/>
      <c r="M724" s="86" t="n"/>
      <c r="N724" s="245" t="n"/>
      <c r="O724" s="238" t="n"/>
      <c r="P724" s="238" t="n"/>
      <c r="Q724" s="246" t="n"/>
    </row>
    <row r="725" ht="13.2" customFormat="1" customHeight="1" s="47">
      <c r="B725" s="83" t="n"/>
      <c r="C725" s="83" t="n"/>
      <c r="D725" s="84" t="n"/>
      <c r="E725" s="84" t="n"/>
      <c r="F725" s="84" t="n"/>
      <c r="G725" s="84" t="n"/>
      <c r="H725" s="84" t="n"/>
      <c r="I725" s="84" t="n"/>
      <c r="J725" s="84" t="n"/>
      <c r="K725" s="84" t="n"/>
      <c r="L725" s="85" t="n"/>
      <c r="M725" s="86" t="n"/>
      <c r="N725" s="245" t="n"/>
      <c r="O725" s="238" t="n"/>
      <c r="P725" s="238" t="n"/>
      <c r="Q725" s="246" t="n"/>
    </row>
    <row r="726" ht="13.2" customFormat="1" customHeight="1" s="47">
      <c r="B726" s="83" t="n"/>
      <c r="C726" s="83" t="n"/>
      <c r="D726" s="84" t="n"/>
      <c r="E726" s="84" t="n"/>
      <c r="F726" s="84" t="n"/>
      <c r="G726" s="84" t="n"/>
      <c r="H726" s="84" t="n"/>
      <c r="I726" s="84" t="n"/>
      <c r="J726" s="84" t="n"/>
      <c r="K726" s="84" t="n"/>
      <c r="L726" s="85" t="n"/>
      <c r="M726" s="86" t="n"/>
      <c r="N726" s="245" t="n"/>
      <c r="O726" s="238" t="n"/>
      <c r="P726" s="238" t="n"/>
      <c r="Q726" s="246" t="n"/>
    </row>
    <row r="727" ht="13.2" customFormat="1" customHeight="1" s="47">
      <c r="B727" s="83" t="n"/>
      <c r="C727" s="83" t="n"/>
      <c r="D727" s="84" t="n"/>
      <c r="E727" s="84" t="n"/>
      <c r="F727" s="84" t="n"/>
      <c r="G727" s="84" t="n"/>
      <c r="H727" s="84" t="n"/>
      <c r="I727" s="84" t="n"/>
      <c r="J727" s="84" t="n"/>
      <c r="K727" s="84" t="n"/>
      <c r="L727" s="85" t="n"/>
      <c r="M727" s="86" t="n"/>
      <c r="N727" s="245" t="n"/>
      <c r="O727" s="238" t="n"/>
      <c r="P727" s="238" t="n"/>
      <c r="Q727" s="246" t="n"/>
    </row>
    <row r="728" ht="13.2" customFormat="1" customHeight="1" s="47">
      <c r="B728" s="83" t="n"/>
      <c r="C728" s="83" t="n"/>
      <c r="D728" s="84" t="n"/>
      <c r="E728" s="84" t="n"/>
      <c r="F728" s="84" t="n"/>
      <c r="G728" s="84" t="n"/>
      <c r="H728" s="84" t="n"/>
      <c r="I728" s="84" t="n"/>
      <c r="J728" s="84" t="n"/>
      <c r="K728" s="84" t="n"/>
      <c r="L728" s="85" t="n"/>
      <c r="M728" s="86" t="n"/>
      <c r="N728" s="245" t="n"/>
      <c r="O728" s="238" t="n"/>
      <c r="P728" s="238" t="n"/>
      <c r="Q728" s="246" t="n"/>
    </row>
    <row r="729" ht="13.2" customFormat="1" customHeight="1" s="47">
      <c r="B729" s="83" t="n"/>
      <c r="C729" s="83" t="n"/>
      <c r="D729" s="84" t="n"/>
      <c r="E729" s="84" t="n"/>
      <c r="F729" s="84" t="n"/>
      <c r="G729" s="84" t="n"/>
      <c r="H729" s="84" t="n"/>
      <c r="I729" s="84" t="n"/>
      <c r="J729" s="84" t="n"/>
      <c r="K729" s="84" t="n"/>
      <c r="L729" s="85" t="n"/>
      <c r="M729" s="86" t="n"/>
      <c r="N729" s="245" t="n"/>
      <c r="O729" s="238" t="n"/>
      <c r="P729" s="238" t="n"/>
      <c r="Q729" s="246" t="n"/>
    </row>
    <row r="730" ht="13.2" customFormat="1" customHeight="1" s="47">
      <c r="B730" s="83" t="n"/>
      <c r="C730" s="83" t="n"/>
      <c r="D730" s="84" t="n"/>
      <c r="E730" s="84" t="n"/>
      <c r="F730" s="84" t="n"/>
      <c r="G730" s="84" t="n"/>
      <c r="H730" s="84" t="n"/>
      <c r="I730" s="84" t="n"/>
      <c r="J730" s="84" t="n"/>
      <c r="K730" s="84" t="n"/>
      <c r="L730" s="85" t="n"/>
      <c r="M730" s="86" t="n"/>
      <c r="N730" s="245" t="n"/>
      <c r="O730" s="238" t="n"/>
      <c r="P730" s="238" t="n"/>
      <c r="Q730" s="246" t="n"/>
    </row>
    <row r="731" ht="13.2" customFormat="1" customHeight="1" s="47">
      <c r="B731" s="83" t="n"/>
      <c r="C731" s="83" t="n"/>
      <c r="D731" s="84" t="n"/>
      <c r="E731" s="84" t="n"/>
      <c r="F731" s="84" t="n"/>
      <c r="G731" s="84" t="n"/>
      <c r="H731" s="84" t="n"/>
      <c r="I731" s="84" t="n"/>
      <c r="J731" s="84" t="n"/>
      <c r="K731" s="84" t="n"/>
      <c r="L731" s="85" t="n"/>
      <c r="M731" s="86" t="n"/>
      <c r="N731" s="245" t="n"/>
      <c r="O731" s="238" t="n"/>
      <c r="P731" s="238" t="n"/>
      <c r="Q731" s="246" t="n"/>
    </row>
    <row r="732" ht="13.2" customFormat="1" customHeight="1" s="47">
      <c r="B732" s="83" t="n"/>
      <c r="C732" s="83" t="n"/>
      <c r="D732" s="84" t="n"/>
      <c r="E732" s="84" t="n"/>
      <c r="F732" s="84" t="n"/>
      <c r="G732" s="84" t="n"/>
      <c r="H732" s="84" t="n"/>
      <c r="I732" s="84" t="n"/>
      <c r="J732" s="84" t="n"/>
      <c r="K732" s="84" t="n"/>
      <c r="L732" s="85" t="n"/>
      <c r="M732" s="86" t="n"/>
      <c r="N732" s="245" t="n"/>
      <c r="O732" s="238" t="n"/>
      <c r="P732" s="238" t="n"/>
      <c r="Q732" s="246" t="n"/>
    </row>
    <row r="733" ht="13.2" customFormat="1" customHeight="1" s="47">
      <c r="B733" s="83" t="n"/>
      <c r="C733" s="83" t="n"/>
      <c r="D733" s="84" t="n"/>
      <c r="E733" s="84" t="n"/>
      <c r="F733" s="84" t="n"/>
      <c r="G733" s="84" t="n"/>
      <c r="H733" s="84" t="n"/>
      <c r="I733" s="84" t="n"/>
      <c r="J733" s="84" t="n"/>
      <c r="K733" s="84" t="n"/>
      <c r="L733" s="85" t="n"/>
      <c r="M733" s="86" t="n"/>
      <c r="N733" s="245" t="n"/>
      <c r="O733" s="238" t="n"/>
      <c r="P733" s="238" t="n"/>
      <c r="Q733" s="246" t="n"/>
    </row>
    <row r="734" ht="13.2" customFormat="1" customHeight="1" s="47">
      <c r="B734" s="83" t="n"/>
      <c r="C734" s="83" t="n"/>
      <c r="D734" s="84" t="n"/>
      <c r="E734" s="84" t="n"/>
      <c r="F734" s="84" t="n"/>
      <c r="G734" s="84" t="n"/>
      <c r="H734" s="84" t="n"/>
      <c r="I734" s="84" t="n"/>
      <c r="J734" s="84" t="n"/>
      <c r="K734" s="84" t="n"/>
      <c r="L734" s="85" t="n"/>
      <c r="M734" s="86" t="n"/>
      <c r="N734" s="245" t="n"/>
      <c r="O734" s="238" t="n"/>
      <c r="P734" s="238" t="n"/>
      <c r="Q734" s="246" t="n"/>
    </row>
    <row r="735" ht="13.2" customFormat="1" customHeight="1" s="47">
      <c r="B735" s="83" t="n"/>
      <c r="C735" s="83" t="n"/>
      <c r="D735" s="84" t="n"/>
      <c r="E735" s="84" t="n"/>
      <c r="F735" s="84" t="n"/>
      <c r="G735" s="84" t="n"/>
      <c r="H735" s="84" t="n"/>
      <c r="I735" s="84" t="n"/>
      <c r="J735" s="84" t="n"/>
      <c r="K735" s="84" t="n"/>
      <c r="L735" s="85" t="n"/>
      <c r="M735" s="86" t="n"/>
      <c r="N735" s="245" t="n"/>
      <c r="O735" s="238" t="n"/>
      <c r="P735" s="238" t="n"/>
      <c r="Q735" s="246" t="n"/>
    </row>
    <row r="736" ht="13.2" customFormat="1" customHeight="1" s="47">
      <c r="B736" s="83" t="n"/>
      <c r="C736" s="83" t="n"/>
      <c r="D736" s="84" t="n"/>
      <c r="E736" s="84" t="n"/>
      <c r="F736" s="84" t="n"/>
      <c r="G736" s="84" t="n"/>
      <c r="H736" s="84" t="n"/>
      <c r="I736" s="84" t="n"/>
      <c r="J736" s="84" t="n"/>
      <c r="K736" s="84" t="n"/>
      <c r="L736" s="85" t="n"/>
      <c r="M736" s="86" t="n"/>
      <c r="N736" s="245" t="n"/>
      <c r="O736" s="238" t="n"/>
      <c r="P736" s="238" t="n"/>
      <c r="Q736" s="246" t="n"/>
    </row>
    <row r="737" ht="13.2" customFormat="1" customHeight="1" s="47">
      <c r="B737" s="83" t="n"/>
      <c r="C737" s="83" t="n"/>
      <c r="D737" s="84" t="n"/>
      <c r="E737" s="84" t="n"/>
      <c r="F737" s="84" t="n"/>
      <c r="G737" s="84" t="n"/>
      <c r="H737" s="84" t="n"/>
      <c r="I737" s="84" t="n"/>
      <c r="J737" s="84" t="n"/>
      <c r="K737" s="84" t="n"/>
      <c r="L737" s="85" t="n"/>
      <c r="M737" s="86" t="n"/>
      <c r="N737" s="245" t="n"/>
      <c r="O737" s="238" t="n"/>
      <c r="P737" s="238" t="n"/>
      <c r="Q737" s="246" t="n"/>
    </row>
    <row r="738" ht="13.2" customFormat="1" customHeight="1" s="47">
      <c r="B738" s="83" t="n"/>
      <c r="C738" s="83" t="n"/>
      <c r="D738" s="84" t="n"/>
      <c r="E738" s="84" t="n"/>
      <c r="F738" s="84" t="n"/>
      <c r="G738" s="84" t="n"/>
      <c r="H738" s="84" t="n"/>
      <c r="I738" s="84" t="n"/>
      <c r="J738" s="84" t="n"/>
      <c r="K738" s="84" t="n"/>
      <c r="L738" s="85" t="n"/>
      <c r="M738" s="86" t="n"/>
      <c r="N738" s="245" t="n"/>
      <c r="O738" s="238" t="n"/>
      <c r="P738" s="238" t="n"/>
      <c r="Q738" s="246" t="n"/>
    </row>
    <row r="739" ht="13.2" customFormat="1" customHeight="1" s="47">
      <c r="B739" s="83" t="n"/>
      <c r="C739" s="83" t="n"/>
      <c r="D739" s="84" t="n"/>
      <c r="E739" s="84" t="n"/>
      <c r="F739" s="84" t="n"/>
      <c r="G739" s="84" t="n"/>
      <c r="H739" s="84" t="n"/>
      <c r="I739" s="84" t="n"/>
      <c r="J739" s="84" t="n"/>
      <c r="K739" s="84" t="n"/>
      <c r="L739" s="85" t="n"/>
      <c r="M739" s="86" t="n"/>
      <c r="N739" s="245" t="n"/>
      <c r="O739" s="238" t="n"/>
      <c r="P739" s="238" t="n"/>
      <c r="Q739" s="246" t="n"/>
    </row>
    <row r="740" ht="13.2" customFormat="1" customHeight="1" s="47">
      <c r="B740" s="83" t="n"/>
      <c r="C740" s="83" t="n"/>
      <c r="D740" s="84" t="n"/>
      <c r="E740" s="84" t="n"/>
      <c r="F740" s="84" t="n"/>
      <c r="G740" s="84" t="n"/>
      <c r="H740" s="84" t="n"/>
      <c r="I740" s="84" t="n"/>
      <c r="J740" s="84" t="n"/>
      <c r="K740" s="84" t="n"/>
      <c r="L740" s="85" t="n"/>
      <c r="M740" s="86" t="n"/>
      <c r="N740" s="245" t="n"/>
      <c r="O740" s="238" t="n"/>
      <c r="P740" s="238" t="n"/>
      <c r="Q740" s="246" t="n"/>
    </row>
    <row r="741" ht="13.2" customFormat="1" customHeight="1" s="47">
      <c r="B741" s="83" t="n"/>
      <c r="C741" s="83" t="n"/>
      <c r="D741" s="84" t="n"/>
      <c r="E741" s="84" t="n"/>
      <c r="F741" s="84" t="n"/>
      <c r="G741" s="84" t="n"/>
      <c r="H741" s="84" t="n"/>
      <c r="I741" s="84" t="n"/>
      <c r="J741" s="84" t="n"/>
      <c r="K741" s="84" t="n"/>
      <c r="L741" s="85" t="n"/>
      <c r="M741" s="86" t="n"/>
      <c r="N741" s="245" t="n"/>
      <c r="O741" s="238" t="n"/>
      <c r="P741" s="238" t="n"/>
      <c r="Q741" s="246" t="n"/>
    </row>
    <row r="742" ht="13.2" customFormat="1" customHeight="1" s="47">
      <c r="B742" s="83" t="n"/>
      <c r="C742" s="83" t="n"/>
      <c r="D742" s="84" t="n"/>
      <c r="E742" s="84" t="n"/>
      <c r="F742" s="84" t="n"/>
      <c r="G742" s="84" t="n"/>
      <c r="H742" s="84" t="n"/>
      <c r="I742" s="84" t="n"/>
      <c r="J742" s="84" t="n"/>
      <c r="K742" s="84" t="n"/>
      <c r="L742" s="85" t="n"/>
      <c r="M742" s="86" t="n"/>
      <c r="N742" s="245" t="n"/>
      <c r="O742" s="238" t="n"/>
      <c r="P742" s="238" t="n"/>
      <c r="Q742" s="246" t="n"/>
    </row>
    <row r="743" ht="13.2" customFormat="1" customHeight="1" s="47">
      <c r="B743" s="83" t="n"/>
      <c r="C743" s="83" t="n"/>
      <c r="D743" s="84" t="n"/>
      <c r="E743" s="84" t="n"/>
      <c r="F743" s="84" t="n"/>
      <c r="G743" s="84" t="n"/>
      <c r="H743" s="84" t="n"/>
      <c r="I743" s="84" t="n"/>
      <c r="J743" s="84" t="n"/>
      <c r="K743" s="84" t="n"/>
      <c r="L743" s="85" t="n"/>
      <c r="M743" s="86" t="n"/>
      <c r="N743" s="245" t="n"/>
      <c r="O743" s="238" t="n"/>
      <c r="P743" s="238" t="n"/>
      <c r="Q743" s="246" t="n"/>
    </row>
    <row r="744" ht="13.2" customFormat="1" customHeight="1" s="47">
      <c r="B744" s="83" t="n"/>
      <c r="C744" s="83" t="n"/>
      <c r="D744" s="84" t="n"/>
      <c r="E744" s="84" t="n"/>
      <c r="F744" s="84" t="n"/>
      <c r="G744" s="84" t="n"/>
      <c r="H744" s="84" t="n"/>
      <c r="I744" s="84" t="n"/>
      <c r="J744" s="84" t="n"/>
      <c r="K744" s="84" t="n"/>
      <c r="L744" s="85" t="n"/>
      <c r="M744" s="86" t="n"/>
      <c r="N744" s="245" t="n"/>
      <c r="O744" s="238" t="n"/>
      <c r="P744" s="238" t="n"/>
      <c r="Q744" s="246" t="n"/>
    </row>
    <row r="745" ht="13.2" customFormat="1" customHeight="1" s="47">
      <c r="B745" s="83" t="n"/>
      <c r="C745" s="83" t="n"/>
      <c r="D745" s="84" t="n"/>
      <c r="E745" s="84" t="n"/>
      <c r="F745" s="84" t="n"/>
      <c r="G745" s="84" t="n"/>
      <c r="H745" s="84" t="n"/>
      <c r="I745" s="84" t="n"/>
      <c r="J745" s="84" t="n"/>
      <c r="K745" s="84" t="n"/>
      <c r="L745" s="85" t="n"/>
      <c r="M745" s="86" t="n"/>
      <c r="N745" s="245" t="n"/>
      <c r="O745" s="238" t="n"/>
      <c r="P745" s="238" t="n"/>
      <c r="Q745" s="246" t="n"/>
    </row>
    <row r="746" ht="13.2" customFormat="1" customHeight="1" s="47">
      <c r="B746" s="83" t="n"/>
      <c r="C746" s="83" t="n"/>
      <c r="D746" s="84" t="n"/>
      <c r="E746" s="84" t="n"/>
      <c r="F746" s="84" t="n"/>
      <c r="G746" s="84" t="n"/>
      <c r="H746" s="84" t="n"/>
      <c r="I746" s="84" t="n"/>
      <c r="J746" s="84" t="n"/>
      <c r="K746" s="84" t="n"/>
      <c r="L746" s="85" t="n"/>
      <c r="M746" s="86" t="n"/>
      <c r="N746" s="245" t="n"/>
      <c r="O746" s="238" t="n"/>
      <c r="P746" s="238" t="n"/>
      <c r="Q746" s="246" t="n"/>
    </row>
    <row r="747" ht="13.2" customFormat="1" customHeight="1" s="47">
      <c r="B747" s="83" t="n"/>
      <c r="C747" s="83" t="n"/>
      <c r="D747" s="84" t="n"/>
      <c r="E747" s="84" t="n"/>
      <c r="F747" s="84" t="n"/>
      <c r="G747" s="84" t="n"/>
      <c r="H747" s="84" t="n"/>
      <c r="I747" s="84" t="n"/>
      <c r="J747" s="84" t="n"/>
      <c r="K747" s="84" t="n"/>
      <c r="L747" s="85" t="n"/>
      <c r="M747" s="86" t="n"/>
      <c r="N747" s="245" t="n"/>
      <c r="O747" s="238" t="n"/>
      <c r="P747" s="238" t="n"/>
      <c r="Q747" s="246" t="n"/>
    </row>
    <row r="748" ht="13.2" customFormat="1" customHeight="1" s="47">
      <c r="B748" s="83" t="n"/>
      <c r="C748" s="83" t="n"/>
      <c r="D748" s="84" t="n"/>
      <c r="E748" s="84" t="n"/>
      <c r="F748" s="84" t="n"/>
      <c r="G748" s="84" t="n"/>
      <c r="H748" s="84" t="n"/>
      <c r="I748" s="84" t="n"/>
      <c r="J748" s="84" t="n"/>
      <c r="K748" s="84" t="n"/>
      <c r="L748" s="85" t="n"/>
      <c r="M748" s="86" t="n"/>
      <c r="N748" s="245" t="n"/>
      <c r="O748" s="238" t="n"/>
      <c r="P748" s="238" t="n"/>
      <c r="Q748" s="246" t="n"/>
    </row>
    <row r="749" ht="13.2" customFormat="1" customHeight="1" s="47">
      <c r="B749" s="83" t="n"/>
      <c r="C749" s="83" t="n"/>
      <c r="D749" s="84" t="n"/>
      <c r="E749" s="84" t="n"/>
      <c r="F749" s="84" t="n"/>
      <c r="G749" s="84" t="n"/>
      <c r="H749" s="84" t="n"/>
      <c r="I749" s="84" t="n"/>
      <c r="J749" s="84" t="n"/>
      <c r="K749" s="84" t="n"/>
      <c r="L749" s="85" t="n"/>
      <c r="M749" s="86" t="n"/>
      <c r="N749" s="245" t="n"/>
      <c r="O749" s="238" t="n"/>
      <c r="P749" s="238" t="n"/>
      <c r="Q749" s="246" t="n"/>
    </row>
    <row r="750" ht="13.2" customFormat="1" customHeight="1" s="47">
      <c r="B750" s="83" t="n"/>
      <c r="C750" s="83" t="n"/>
      <c r="D750" s="84" t="n"/>
      <c r="E750" s="84" t="n"/>
      <c r="F750" s="84" t="n"/>
      <c r="G750" s="84" t="n"/>
      <c r="H750" s="84" t="n"/>
      <c r="I750" s="84" t="n"/>
      <c r="J750" s="84" t="n"/>
      <c r="K750" s="84" t="n"/>
      <c r="L750" s="85" t="n"/>
      <c r="M750" s="86" t="n"/>
      <c r="N750" s="245" t="n"/>
      <c r="O750" s="238" t="n"/>
      <c r="P750" s="238" t="n"/>
      <c r="Q750" s="246" t="n"/>
    </row>
    <row r="751" ht="13.2" customFormat="1" customHeight="1" s="47">
      <c r="B751" s="83" t="n"/>
      <c r="C751" s="83" t="n"/>
      <c r="D751" s="84" t="n"/>
      <c r="E751" s="84" t="n"/>
      <c r="F751" s="84" t="n"/>
      <c r="G751" s="84" t="n"/>
      <c r="H751" s="84" t="n"/>
      <c r="I751" s="84" t="n"/>
      <c r="J751" s="84" t="n"/>
      <c r="K751" s="84" t="n"/>
      <c r="L751" s="85" t="n"/>
      <c r="M751" s="86" t="n"/>
      <c r="N751" s="245" t="n"/>
      <c r="O751" s="238" t="n"/>
      <c r="P751" s="238" t="n"/>
      <c r="Q751" s="246" t="n"/>
    </row>
    <row r="752" ht="13.2" customFormat="1" customHeight="1" s="47">
      <c r="B752" s="83" t="n"/>
      <c r="C752" s="83" t="n"/>
      <c r="D752" s="84" t="n"/>
      <c r="E752" s="84" t="n"/>
      <c r="F752" s="84" t="n"/>
      <c r="G752" s="84" t="n"/>
      <c r="H752" s="84" t="n"/>
      <c r="I752" s="84" t="n"/>
      <c r="J752" s="84" t="n"/>
      <c r="K752" s="84" t="n"/>
      <c r="L752" s="85" t="n"/>
      <c r="M752" s="86" t="n"/>
      <c r="N752" s="245" t="n"/>
      <c r="O752" s="238" t="n"/>
      <c r="P752" s="238" t="n"/>
      <c r="Q752" s="246" t="n"/>
    </row>
    <row r="753" ht="13.2" customFormat="1" customHeight="1" s="47">
      <c r="B753" s="83" t="n"/>
      <c r="C753" s="83" t="n"/>
      <c r="D753" s="84" t="n"/>
      <c r="E753" s="84" t="n"/>
      <c r="F753" s="84" t="n"/>
      <c r="G753" s="84" t="n"/>
      <c r="H753" s="84" t="n"/>
      <c r="I753" s="84" t="n"/>
      <c r="J753" s="84" t="n"/>
      <c r="K753" s="84" t="n"/>
      <c r="L753" s="85" t="n"/>
      <c r="M753" s="86" t="n"/>
      <c r="N753" s="245" t="n"/>
      <c r="O753" s="238" t="n"/>
      <c r="P753" s="238" t="n"/>
      <c r="Q753" s="246" t="n"/>
    </row>
    <row r="754" ht="13.2" customFormat="1" customHeight="1" s="47">
      <c r="B754" s="83" t="n"/>
      <c r="C754" s="83" t="n"/>
      <c r="D754" s="84" t="n"/>
      <c r="E754" s="84" t="n"/>
      <c r="F754" s="84" t="n"/>
      <c r="G754" s="84" t="n"/>
      <c r="H754" s="84" t="n"/>
      <c r="I754" s="84" t="n"/>
      <c r="J754" s="84" t="n"/>
      <c r="K754" s="84" t="n"/>
      <c r="L754" s="85" t="n"/>
      <c r="M754" s="86" t="n"/>
      <c r="N754" s="245" t="n"/>
      <c r="O754" s="238" t="n"/>
      <c r="P754" s="238" t="n"/>
      <c r="Q754" s="246" t="n"/>
    </row>
    <row r="755" ht="13.2" customFormat="1" customHeight="1" s="47">
      <c r="B755" s="83" t="n"/>
      <c r="C755" s="83" t="n"/>
      <c r="D755" s="84" t="n"/>
      <c r="E755" s="84" t="n"/>
      <c r="F755" s="84" t="n"/>
      <c r="G755" s="84" t="n"/>
      <c r="H755" s="84" t="n"/>
      <c r="I755" s="84" t="n"/>
      <c r="J755" s="84" t="n"/>
      <c r="K755" s="84" t="n"/>
      <c r="L755" s="85" t="n"/>
      <c r="M755" s="86" t="n"/>
      <c r="N755" s="245" t="n"/>
      <c r="O755" s="238" t="n"/>
      <c r="P755" s="238" t="n"/>
      <c r="Q755" s="246" t="n"/>
    </row>
    <row r="756" ht="13.2" customFormat="1" customHeight="1" s="47">
      <c r="B756" s="83" t="n"/>
      <c r="C756" s="83" t="n"/>
      <c r="D756" s="84" t="n"/>
      <c r="E756" s="84" t="n"/>
      <c r="F756" s="84" t="n"/>
      <c r="G756" s="84" t="n"/>
      <c r="H756" s="84" t="n"/>
      <c r="I756" s="84" t="n"/>
      <c r="J756" s="84" t="n"/>
      <c r="K756" s="84" t="n"/>
      <c r="L756" s="85" t="n"/>
      <c r="M756" s="86" t="n"/>
      <c r="N756" s="245" t="n"/>
      <c r="O756" s="238" t="n"/>
      <c r="P756" s="238" t="n"/>
      <c r="Q756" s="246" t="n"/>
    </row>
    <row r="757" ht="13.2" customFormat="1" customHeight="1" s="47">
      <c r="B757" s="83" t="n"/>
      <c r="C757" s="83" t="n"/>
      <c r="D757" s="84" t="n"/>
      <c r="E757" s="84" t="n"/>
      <c r="F757" s="84" t="n"/>
      <c r="G757" s="84" t="n"/>
      <c r="H757" s="84" t="n"/>
      <c r="I757" s="84" t="n"/>
      <c r="J757" s="84" t="n"/>
      <c r="K757" s="84" t="n"/>
      <c r="L757" s="85" t="n"/>
      <c r="M757" s="86" t="n"/>
      <c r="N757" s="245" t="n"/>
      <c r="O757" s="238" t="n"/>
      <c r="P757" s="238" t="n"/>
      <c r="Q757" s="246" t="n"/>
    </row>
    <row r="758" ht="13.2" customFormat="1" customHeight="1" s="47">
      <c r="B758" s="83" t="n"/>
      <c r="C758" s="83" t="n"/>
      <c r="D758" s="84" t="n"/>
      <c r="E758" s="84" t="n"/>
      <c r="F758" s="84" t="n"/>
      <c r="G758" s="84" t="n"/>
      <c r="H758" s="84" t="n"/>
      <c r="I758" s="84" t="n"/>
      <c r="J758" s="84" t="n"/>
      <c r="K758" s="84" t="n"/>
      <c r="L758" s="85" t="n"/>
      <c r="M758" s="86" t="n"/>
      <c r="N758" s="245" t="n"/>
      <c r="O758" s="238" t="n"/>
      <c r="P758" s="238" t="n"/>
      <c r="Q758" s="246" t="n"/>
    </row>
    <row r="759" ht="13.2" customFormat="1" customHeight="1" s="47">
      <c r="B759" s="83" t="n"/>
      <c r="C759" s="83" t="n"/>
      <c r="D759" s="84" t="n"/>
      <c r="E759" s="84" t="n"/>
      <c r="F759" s="84" t="n"/>
      <c r="G759" s="84" t="n"/>
      <c r="H759" s="84" t="n"/>
      <c r="I759" s="84" t="n"/>
      <c r="J759" s="84" t="n"/>
      <c r="K759" s="84" t="n"/>
      <c r="L759" s="85" t="n"/>
      <c r="M759" s="86" t="n"/>
      <c r="N759" s="245" t="n"/>
      <c r="O759" s="238" t="n"/>
      <c r="P759" s="238" t="n"/>
      <c r="Q759" s="246" t="n"/>
    </row>
    <row r="760" ht="13.2" customFormat="1" customHeight="1" s="47">
      <c r="B760" s="83" t="n"/>
      <c r="C760" s="83" t="n"/>
      <c r="D760" s="84" t="n"/>
      <c r="E760" s="84" t="n"/>
      <c r="F760" s="84" t="n"/>
      <c r="G760" s="84" t="n"/>
      <c r="H760" s="84" t="n"/>
      <c r="I760" s="84" t="n"/>
      <c r="J760" s="84" t="n"/>
      <c r="K760" s="84" t="n"/>
      <c r="L760" s="85" t="n"/>
      <c r="M760" s="86" t="n"/>
      <c r="N760" s="245" t="n"/>
      <c r="O760" s="238" t="n"/>
      <c r="P760" s="238" t="n"/>
      <c r="Q760" s="246" t="n"/>
    </row>
    <row r="761" ht="13.2" customFormat="1" customHeight="1" s="47">
      <c r="B761" s="83" t="n"/>
      <c r="C761" s="83" t="n"/>
      <c r="D761" s="84" t="n"/>
      <c r="E761" s="84" t="n"/>
      <c r="F761" s="84" t="n"/>
      <c r="G761" s="84" t="n"/>
      <c r="H761" s="84" t="n"/>
      <c r="I761" s="84" t="n"/>
      <c r="J761" s="84" t="n"/>
      <c r="K761" s="84" t="n"/>
      <c r="L761" s="85" t="n"/>
      <c r="M761" s="86" t="n"/>
      <c r="N761" s="245" t="n"/>
      <c r="O761" s="238" t="n"/>
      <c r="P761" s="238" t="n"/>
      <c r="Q761" s="246" t="n"/>
    </row>
    <row r="762" ht="13.2" customFormat="1" customHeight="1" s="47">
      <c r="B762" s="83" t="n"/>
      <c r="C762" s="83" t="n"/>
      <c r="D762" s="84" t="n"/>
      <c r="E762" s="84" t="n"/>
      <c r="F762" s="84" t="n"/>
      <c r="G762" s="84" t="n"/>
      <c r="H762" s="84" t="n"/>
      <c r="I762" s="84" t="n"/>
      <c r="J762" s="84" t="n"/>
      <c r="K762" s="84" t="n"/>
      <c r="L762" s="85" t="n"/>
      <c r="M762" s="86" t="n"/>
      <c r="N762" s="245" t="n"/>
      <c r="O762" s="238" t="n"/>
      <c r="P762" s="238" t="n"/>
      <c r="Q762" s="246" t="n"/>
    </row>
    <row r="763" ht="13.2" customFormat="1" customHeight="1" s="47">
      <c r="B763" s="83" t="n"/>
      <c r="C763" s="83" t="n"/>
      <c r="D763" s="84" t="n"/>
      <c r="E763" s="84" t="n"/>
      <c r="F763" s="84" t="n"/>
      <c r="G763" s="84" t="n"/>
      <c r="H763" s="84" t="n"/>
      <c r="I763" s="84" t="n"/>
      <c r="J763" s="84" t="n"/>
      <c r="K763" s="84" t="n"/>
      <c r="L763" s="85" t="n"/>
      <c r="M763" s="86" t="n"/>
      <c r="N763" s="245" t="n"/>
      <c r="O763" s="238" t="n"/>
      <c r="P763" s="238" t="n"/>
      <c r="Q763" s="246" t="n"/>
    </row>
    <row r="764" ht="13.2" customFormat="1" customHeight="1" s="47">
      <c r="B764" s="83" t="n"/>
      <c r="C764" s="83" t="n"/>
      <c r="D764" s="84" t="n"/>
      <c r="E764" s="84" t="n"/>
      <c r="F764" s="84" t="n"/>
      <c r="G764" s="84" t="n"/>
      <c r="H764" s="84" t="n"/>
      <c r="I764" s="84" t="n"/>
      <c r="J764" s="84" t="n"/>
      <c r="K764" s="84" t="n"/>
      <c r="L764" s="85" t="n"/>
      <c r="M764" s="86" t="n"/>
      <c r="N764" s="245" t="n"/>
      <c r="O764" s="238" t="n"/>
      <c r="P764" s="238" t="n"/>
      <c r="Q764" s="246" t="n"/>
    </row>
    <row r="765" ht="13.2" customFormat="1" customHeight="1" s="47">
      <c r="B765" s="83" t="n"/>
      <c r="C765" s="83" t="n"/>
      <c r="D765" s="84" t="n"/>
      <c r="E765" s="84" t="n"/>
      <c r="F765" s="84" t="n"/>
      <c r="G765" s="84" t="n"/>
      <c r="H765" s="84" t="n"/>
      <c r="I765" s="84" t="n"/>
      <c r="J765" s="84" t="n"/>
      <c r="K765" s="84" t="n"/>
      <c r="L765" s="85" t="n"/>
      <c r="M765" s="86" t="n"/>
      <c r="N765" s="245" t="n"/>
      <c r="O765" s="238" t="n"/>
      <c r="P765" s="238" t="n"/>
      <c r="Q765" s="246" t="n"/>
    </row>
    <row r="766" ht="13.2" customFormat="1" customHeight="1" s="47">
      <c r="B766" s="83" t="n"/>
      <c r="C766" s="83" t="n"/>
      <c r="D766" s="84" t="n"/>
      <c r="E766" s="84" t="n"/>
      <c r="F766" s="84" t="n"/>
      <c r="G766" s="84" t="n"/>
      <c r="H766" s="84" t="n"/>
      <c r="I766" s="84" t="n"/>
      <c r="J766" s="84" t="n"/>
      <c r="K766" s="84" t="n"/>
      <c r="L766" s="85" t="n"/>
      <c r="M766" s="86" t="n"/>
      <c r="N766" s="245" t="n"/>
      <c r="O766" s="238" t="n"/>
      <c r="P766" s="238" t="n"/>
      <c r="Q766" s="246" t="n"/>
    </row>
    <row r="767" ht="13.2" customFormat="1" customHeight="1" s="47">
      <c r="B767" s="83" t="n"/>
      <c r="C767" s="83" t="n"/>
      <c r="D767" s="84" t="n"/>
      <c r="E767" s="84" t="n"/>
      <c r="F767" s="84" t="n"/>
      <c r="G767" s="84" t="n"/>
      <c r="H767" s="84" t="n"/>
      <c r="I767" s="84" t="n"/>
      <c r="J767" s="84" t="n"/>
      <c r="K767" s="84" t="n"/>
      <c r="L767" s="85" t="n"/>
      <c r="M767" s="86" t="n"/>
      <c r="N767" s="245" t="n"/>
      <c r="O767" s="238" t="n"/>
      <c r="P767" s="238" t="n"/>
      <c r="Q767" s="246" t="n"/>
    </row>
    <row r="768" ht="13.2" customFormat="1" customHeight="1" s="47">
      <c r="B768" s="83" t="n"/>
      <c r="C768" s="83" t="n"/>
      <c r="D768" s="84" t="n"/>
      <c r="E768" s="84" t="n"/>
      <c r="F768" s="84" t="n"/>
      <c r="G768" s="84" t="n"/>
      <c r="H768" s="84" t="n"/>
      <c r="I768" s="84" t="n"/>
      <c r="J768" s="84" t="n"/>
      <c r="K768" s="84" t="n"/>
      <c r="L768" s="85" t="n"/>
      <c r="M768" s="86" t="n"/>
      <c r="N768" s="245" t="n"/>
      <c r="O768" s="238" t="n"/>
      <c r="P768" s="238" t="n"/>
      <c r="Q768" s="246" t="n"/>
    </row>
    <row r="769" ht="13.2" customFormat="1" customHeight="1" s="47">
      <c r="B769" s="83" t="n"/>
      <c r="C769" s="83" t="n"/>
      <c r="D769" s="84" t="n"/>
      <c r="E769" s="84" t="n"/>
      <c r="F769" s="84" t="n"/>
      <c r="G769" s="84" t="n"/>
      <c r="H769" s="84" t="n"/>
      <c r="I769" s="84" t="n"/>
      <c r="J769" s="84" t="n"/>
      <c r="K769" s="84" t="n"/>
      <c r="L769" s="85" t="n"/>
      <c r="M769" s="86" t="n"/>
      <c r="N769" s="245" t="n"/>
      <c r="O769" s="238" t="n"/>
      <c r="P769" s="238" t="n"/>
      <c r="Q769" s="246" t="n"/>
    </row>
    <row r="770" ht="13.2" customFormat="1" customHeight="1" s="47">
      <c r="B770" s="83" t="n"/>
      <c r="C770" s="83" t="n"/>
      <c r="D770" s="84" t="n"/>
      <c r="E770" s="84" t="n"/>
      <c r="F770" s="84" t="n"/>
      <c r="G770" s="84" t="n"/>
      <c r="H770" s="84" t="n"/>
      <c r="I770" s="84" t="n"/>
      <c r="J770" s="84" t="n"/>
      <c r="K770" s="84" t="n"/>
      <c r="L770" s="85" t="n"/>
      <c r="M770" s="86" t="n"/>
      <c r="N770" s="245" t="n"/>
      <c r="O770" s="238" t="n"/>
      <c r="P770" s="238" t="n"/>
      <c r="Q770" s="246" t="n"/>
    </row>
    <row r="771" ht="13.2" customFormat="1" customHeight="1" s="47">
      <c r="B771" s="83" t="n"/>
      <c r="C771" s="83" t="n"/>
      <c r="D771" s="84" t="n"/>
      <c r="E771" s="84" t="n"/>
      <c r="F771" s="84" t="n"/>
      <c r="G771" s="84" t="n"/>
      <c r="H771" s="84" t="n"/>
      <c r="I771" s="84" t="n"/>
      <c r="J771" s="84" t="n"/>
      <c r="K771" s="84" t="n"/>
      <c r="L771" s="85" t="n"/>
      <c r="M771" s="86" t="n"/>
      <c r="N771" s="245" t="n"/>
      <c r="O771" s="238" t="n"/>
      <c r="P771" s="238" t="n"/>
      <c r="Q771" s="246" t="n"/>
    </row>
    <row r="772" ht="13.2" customFormat="1" customHeight="1" s="47">
      <c r="B772" s="83" t="n"/>
      <c r="C772" s="83" t="n"/>
      <c r="D772" s="84" t="n"/>
      <c r="E772" s="84" t="n"/>
      <c r="F772" s="84" t="n"/>
      <c r="G772" s="84" t="n"/>
      <c r="H772" s="84" t="n"/>
      <c r="I772" s="84" t="n"/>
      <c r="J772" s="84" t="n"/>
      <c r="K772" s="84" t="n"/>
      <c r="L772" s="85" t="n"/>
      <c r="M772" s="86" t="n"/>
      <c r="N772" s="245" t="n"/>
      <c r="O772" s="238" t="n"/>
      <c r="P772" s="238" t="n"/>
      <c r="Q772" s="246" t="n"/>
    </row>
    <row r="773" ht="13.2" customFormat="1" customHeight="1" s="47">
      <c r="B773" s="83" t="n"/>
      <c r="C773" s="83" t="n"/>
      <c r="D773" s="84" t="n"/>
      <c r="E773" s="84" t="n"/>
      <c r="F773" s="84" t="n"/>
      <c r="G773" s="84" t="n"/>
      <c r="H773" s="84" t="n"/>
      <c r="I773" s="84" t="n"/>
      <c r="J773" s="84" t="n"/>
      <c r="K773" s="84" t="n"/>
      <c r="L773" s="85" t="n"/>
      <c r="M773" s="86" t="n"/>
      <c r="N773" s="245" t="n"/>
      <c r="O773" s="238" t="n"/>
      <c r="P773" s="238" t="n"/>
      <c r="Q773" s="246" t="n"/>
    </row>
    <row r="774" ht="13.2" customFormat="1" customHeight="1" s="47">
      <c r="B774" s="83" t="n"/>
      <c r="C774" s="83" t="n"/>
      <c r="D774" s="84" t="n"/>
      <c r="E774" s="84" t="n"/>
      <c r="F774" s="84" t="n"/>
      <c r="G774" s="84" t="n"/>
      <c r="H774" s="84" t="n"/>
      <c r="I774" s="84" t="n"/>
      <c r="J774" s="84" t="n"/>
      <c r="K774" s="84" t="n"/>
      <c r="L774" s="85" t="n"/>
      <c r="M774" s="86" t="n"/>
      <c r="N774" s="245" t="n"/>
      <c r="O774" s="238" t="n"/>
      <c r="P774" s="238" t="n"/>
      <c r="Q774" s="246" t="n"/>
    </row>
    <row r="775" ht="13.2" customFormat="1" customHeight="1" s="47">
      <c r="B775" s="83" t="n"/>
      <c r="C775" s="83" t="n"/>
      <c r="D775" s="84" t="n"/>
      <c r="E775" s="84" t="n"/>
      <c r="F775" s="84" t="n"/>
      <c r="G775" s="84" t="n"/>
      <c r="H775" s="84" t="n"/>
      <c r="I775" s="84" t="n"/>
      <c r="J775" s="84" t="n"/>
      <c r="K775" s="84" t="n"/>
      <c r="L775" s="85" t="n"/>
      <c r="M775" s="86" t="n"/>
      <c r="N775" s="245" t="n"/>
      <c r="O775" s="238" t="n"/>
      <c r="P775" s="238" t="n"/>
      <c r="Q775" s="246" t="n"/>
    </row>
    <row r="776" ht="13.2" customFormat="1" customHeight="1" s="47">
      <c r="B776" s="83" t="n"/>
      <c r="C776" s="83" t="n"/>
      <c r="D776" s="84" t="n"/>
      <c r="E776" s="84" t="n"/>
      <c r="F776" s="84" t="n"/>
      <c r="G776" s="84" t="n"/>
      <c r="H776" s="84" t="n"/>
      <c r="I776" s="84" t="n"/>
      <c r="J776" s="84" t="n"/>
      <c r="K776" s="84" t="n"/>
      <c r="L776" s="85" t="n"/>
      <c r="M776" s="86" t="n"/>
      <c r="N776" s="245" t="n"/>
      <c r="O776" s="238" t="n"/>
      <c r="P776" s="238" t="n"/>
      <c r="Q776" s="246" t="n"/>
    </row>
    <row r="777" ht="13.2" customFormat="1" customHeight="1" s="47">
      <c r="B777" s="83" t="n"/>
      <c r="C777" s="83" t="n"/>
      <c r="D777" s="84" t="n"/>
      <c r="E777" s="84" t="n"/>
      <c r="F777" s="84" t="n"/>
      <c r="G777" s="84" t="n"/>
      <c r="H777" s="84" t="n"/>
      <c r="I777" s="84" t="n"/>
      <c r="J777" s="84" t="n"/>
      <c r="K777" s="84" t="n"/>
      <c r="L777" s="85" t="n"/>
      <c r="M777" s="86" t="n"/>
      <c r="N777" s="245" t="n"/>
      <c r="O777" s="238" t="n"/>
      <c r="P777" s="238" t="n"/>
      <c r="Q777" s="246" t="n"/>
    </row>
    <row r="778" ht="13.2" customFormat="1" customHeight="1" s="47">
      <c r="B778" s="83" t="n"/>
      <c r="C778" s="83" t="n"/>
      <c r="D778" s="84" t="n"/>
      <c r="E778" s="84" t="n"/>
      <c r="F778" s="84" t="n"/>
      <c r="G778" s="84" t="n"/>
      <c r="H778" s="84" t="n"/>
      <c r="I778" s="84" t="n"/>
      <c r="J778" s="84" t="n"/>
      <c r="K778" s="84" t="n"/>
      <c r="L778" s="85" t="n"/>
      <c r="M778" s="86" t="n"/>
      <c r="N778" s="245" t="n"/>
      <c r="O778" s="238" t="n"/>
      <c r="P778" s="238" t="n"/>
      <c r="Q778" s="246" t="n"/>
    </row>
    <row r="779" ht="13.2" customFormat="1" customHeight="1" s="47">
      <c r="B779" s="83" t="n"/>
      <c r="C779" s="83" t="n"/>
      <c r="D779" s="84" t="n"/>
      <c r="E779" s="84" t="n"/>
      <c r="F779" s="84" t="n"/>
      <c r="G779" s="84" t="n"/>
      <c r="H779" s="84" t="n"/>
      <c r="I779" s="84" t="n"/>
      <c r="J779" s="84" t="n"/>
      <c r="K779" s="84" t="n"/>
      <c r="L779" s="85" t="n"/>
      <c r="M779" s="86" t="n"/>
      <c r="N779" s="245" t="n"/>
      <c r="O779" s="238" t="n"/>
      <c r="P779" s="238" t="n"/>
      <c r="Q779" s="246" t="n"/>
    </row>
    <row r="780" ht="13.2" customFormat="1" customHeight="1" s="47">
      <c r="B780" s="83" t="n"/>
      <c r="C780" s="83" t="n"/>
      <c r="D780" s="84" t="n"/>
      <c r="E780" s="84" t="n"/>
      <c r="F780" s="84" t="n"/>
      <c r="G780" s="84" t="n"/>
      <c r="H780" s="84" t="n"/>
      <c r="I780" s="84" t="n"/>
      <c r="J780" s="84" t="n"/>
      <c r="K780" s="84" t="n"/>
      <c r="L780" s="85" t="n"/>
      <c r="M780" s="86" t="n"/>
      <c r="N780" s="245" t="n"/>
      <c r="O780" s="238" t="n"/>
      <c r="P780" s="238" t="n"/>
      <c r="Q780" s="246" t="n"/>
    </row>
    <row r="781" ht="13.2" customFormat="1" customHeight="1" s="47">
      <c r="B781" s="83" t="n"/>
      <c r="C781" s="83" t="n"/>
      <c r="D781" s="84" t="n"/>
      <c r="E781" s="84" t="n"/>
      <c r="F781" s="84" t="n"/>
      <c r="G781" s="84" t="n"/>
      <c r="H781" s="84" t="n"/>
      <c r="I781" s="84" t="n"/>
      <c r="J781" s="84" t="n"/>
      <c r="K781" s="84" t="n"/>
      <c r="L781" s="85" t="n"/>
      <c r="M781" s="86" t="n"/>
      <c r="N781" s="245" t="n"/>
      <c r="O781" s="238" t="n"/>
      <c r="P781" s="238" t="n"/>
      <c r="Q781" s="246" t="n"/>
    </row>
    <row r="782" ht="13.2" customFormat="1" customHeight="1" s="47">
      <c r="B782" s="83" t="n"/>
      <c r="C782" s="83" t="n"/>
      <c r="D782" s="84" t="n"/>
      <c r="E782" s="84" t="n"/>
      <c r="F782" s="84" t="n"/>
      <c r="G782" s="84" t="n"/>
      <c r="H782" s="84" t="n"/>
      <c r="I782" s="84" t="n"/>
      <c r="J782" s="84" t="n"/>
      <c r="K782" s="84" t="n"/>
      <c r="L782" s="85" t="n"/>
      <c r="M782" s="86" t="n"/>
      <c r="N782" s="245" t="n"/>
      <c r="O782" s="238" t="n"/>
      <c r="P782" s="238" t="n"/>
      <c r="Q782" s="246" t="n"/>
    </row>
    <row r="783" ht="13.2" customFormat="1" customHeight="1" s="47">
      <c r="B783" s="83" t="n"/>
      <c r="C783" s="83" t="n"/>
      <c r="D783" s="84" t="n"/>
      <c r="E783" s="84" t="n"/>
      <c r="F783" s="84" t="n"/>
      <c r="G783" s="84" t="n"/>
      <c r="H783" s="84" t="n"/>
      <c r="I783" s="84" t="n"/>
      <c r="J783" s="84" t="n"/>
      <c r="K783" s="84" t="n"/>
      <c r="L783" s="85" t="n"/>
      <c r="M783" s="86" t="n"/>
      <c r="N783" s="245" t="n"/>
      <c r="O783" s="238" t="n"/>
      <c r="P783" s="238" t="n"/>
      <c r="Q783" s="246" t="n"/>
    </row>
    <row r="784" ht="13.2" customFormat="1" customHeight="1" s="47">
      <c r="B784" s="83" t="n"/>
      <c r="C784" s="83" t="n"/>
      <c r="D784" s="84" t="n"/>
      <c r="E784" s="84" t="n"/>
      <c r="F784" s="84" t="n"/>
      <c r="G784" s="84" t="n"/>
      <c r="H784" s="84" t="n"/>
      <c r="I784" s="84" t="n"/>
      <c r="J784" s="84" t="n"/>
      <c r="K784" s="84" t="n"/>
      <c r="L784" s="85" t="n"/>
      <c r="M784" s="86" t="n"/>
      <c r="N784" s="245" t="n"/>
      <c r="O784" s="238" t="n"/>
      <c r="P784" s="238" t="n"/>
      <c r="Q784" s="246" t="n"/>
    </row>
    <row r="785" ht="13.2" customFormat="1" customHeight="1" s="47">
      <c r="B785" s="83" t="n"/>
      <c r="C785" s="83" t="n"/>
      <c r="D785" s="84" t="n"/>
      <c r="E785" s="84" t="n"/>
      <c r="F785" s="84" t="n"/>
      <c r="G785" s="84" t="n"/>
      <c r="H785" s="84" t="n"/>
      <c r="I785" s="84" t="n"/>
      <c r="J785" s="84" t="n"/>
      <c r="K785" s="84" t="n"/>
      <c r="L785" s="85" t="n"/>
      <c r="M785" s="86" t="n"/>
      <c r="N785" s="245" t="n"/>
      <c r="O785" s="238" t="n"/>
      <c r="P785" s="238" t="n"/>
      <c r="Q785" s="246" t="n"/>
    </row>
    <row r="786" ht="13.2" customFormat="1" customHeight="1" s="47">
      <c r="B786" s="83" t="n"/>
      <c r="C786" s="83" t="n"/>
      <c r="D786" s="84" t="n"/>
      <c r="E786" s="84" t="n"/>
      <c r="F786" s="84" t="n"/>
      <c r="G786" s="84" t="n"/>
      <c r="H786" s="84" t="n"/>
      <c r="I786" s="84" t="n"/>
      <c r="J786" s="84" t="n"/>
      <c r="K786" s="84" t="n"/>
      <c r="L786" s="85" t="n"/>
      <c r="M786" s="86" t="n"/>
      <c r="N786" s="245" t="n"/>
      <c r="O786" s="238" t="n"/>
      <c r="P786" s="238" t="n"/>
      <c r="Q786" s="246" t="n"/>
    </row>
    <row r="787" ht="13.2" customFormat="1" customHeight="1" s="47">
      <c r="B787" s="83" t="n"/>
      <c r="C787" s="83" t="n"/>
      <c r="D787" s="84" t="n"/>
      <c r="E787" s="84" t="n"/>
      <c r="F787" s="84" t="n"/>
      <c r="G787" s="84" t="n"/>
      <c r="H787" s="84" t="n"/>
      <c r="I787" s="84" t="n"/>
      <c r="J787" s="84" t="n"/>
      <c r="K787" s="84" t="n"/>
      <c r="L787" s="85" t="n"/>
      <c r="M787" s="86" t="n"/>
      <c r="N787" s="245" t="n"/>
      <c r="O787" s="238" t="n"/>
      <c r="P787" s="238" t="n"/>
      <c r="Q787" s="246" t="n"/>
    </row>
    <row r="788" ht="13.2" customFormat="1" customHeight="1" s="47">
      <c r="B788" s="83" t="n"/>
      <c r="C788" s="83" t="n"/>
      <c r="D788" s="84" t="n"/>
      <c r="E788" s="84" t="n"/>
      <c r="F788" s="84" t="n"/>
      <c r="G788" s="84" t="n"/>
      <c r="H788" s="84" t="n"/>
      <c r="I788" s="84" t="n"/>
      <c r="J788" s="84" t="n"/>
      <c r="K788" s="84" t="n"/>
      <c r="L788" s="85" t="n"/>
      <c r="M788" s="86" t="n"/>
      <c r="N788" s="245" t="n"/>
      <c r="O788" s="238" t="n"/>
      <c r="P788" s="238" t="n"/>
      <c r="Q788" s="246" t="n"/>
    </row>
    <row r="789" ht="13.2" customFormat="1" customHeight="1" s="47">
      <c r="B789" s="83" t="n"/>
      <c r="C789" s="83" t="n"/>
      <c r="D789" s="84" t="n"/>
      <c r="E789" s="84" t="n"/>
      <c r="F789" s="84" t="n"/>
      <c r="G789" s="84" t="n"/>
      <c r="H789" s="84" t="n"/>
      <c r="I789" s="84" t="n"/>
      <c r="J789" s="84" t="n"/>
      <c r="K789" s="84" t="n"/>
      <c r="L789" s="85" t="n"/>
      <c r="M789" s="86" t="n"/>
      <c r="N789" s="245" t="n"/>
      <c r="O789" s="238" t="n"/>
      <c r="P789" s="238" t="n"/>
      <c r="Q789" s="246" t="n"/>
    </row>
    <row r="790" ht="13.2" customFormat="1" customHeight="1" s="47">
      <c r="B790" s="83" t="n"/>
      <c r="C790" s="83" t="n"/>
      <c r="D790" s="84" t="n"/>
      <c r="E790" s="84" t="n"/>
      <c r="F790" s="84" t="n"/>
      <c r="G790" s="84" t="n"/>
      <c r="H790" s="84" t="n"/>
      <c r="I790" s="84" t="n"/>
      <c r="J790" s="84" t="n"/>
      <c r="K790" s="84" t="n"/>
      <c r="L790" s="85" t="n"/>
      <c r="M790" s="86" t="n"/>
      <c r="N790" s="245" t="n"/>
      <c r="O790" s="238" t="n"/>
      <c r="P790" s="238" t="n"/>
      <c r="Q790" s="246" t="n"/>
    </row>
    <row r="791" ht="13.2" customFormat="1" customHeight="1" s="47">
      <c r="B791" s="83" t="n"/>
      <c r="C791" s="83" t="n"/>
      <c r="D791" s="84" t="n"/>
      <c r="E791" s="84" t="n"/>
      <c r="F791" s="84" t="n"/>
      <c r="G791" s="84" t="n"/>
      <c r="H791" s="84" t="n"/>
      <c r="I791" s="84" t="n"/>
      <c r="J791" s="84" t="n"/>
      <c r="K791" s="84" t="n"/>
      <c r="L791" s="85" t="n"/>
      <c r="M791" s="86" t="n"/>
      <c r="N791" s="245" t="n"/>
      <c r="O791" s="238" t="n"/>
      <c r="P791" s="238" t="n"/>
      <c r="Q791" s="246" t="n"/>
    </row>
    <row r="792" ht="13.2" customFormat="1" customHeight="1" s="47">
      <c r="B792" s="83" t="n"/>
      <c r="C792" s="83" t="n"/>
      <c r="D792" s="84" t="n"/>
      <c r="E792" s="84" t="n"/>
      <c r="F792" s="84" t="n"/>
      <c r="G792" s="84" t="n"/>
      <c r="H792" s="84" t="n"/>
      <c r="I792" s="84" t="n"/>
      <c r="J792" s="84" t="n"/>
      <c r="K792" s="84" t="n"/>
      <c r="L792" s="85" t="n"/>
      <c r="M792" s="86" t="n"/>
      <c r="N792" s="245" t="n"/>
      <c r="O792" s="238" t="n"/>
      <c r="P792" s="238" t="n"/>
      <c r="Q792" s="246" t="n"/>
    </row>
    <row r="793" ht="13.2" customFormat="1" customHeight="1" s="47">
      <c r="B793" s="83" t="n"/>
      <c r="C793" s="83" t="n"/>
      <c r="D793" s="84" t="n"/>
      <c r="E793" s="84" t="n"/>
      <c r="F793" s="84" t="n"/>
      <c r="G793" s="84" t="n"/>
      <c r="H793" s="84" t="n"/>
      <c r="I793" s="84" t="n"/>
      <c r="J793" s="84" t="n"/>
      <c r="K793" s="84" t="n"/>
      <c r="L793" s="85" t="n"/>
      <c r="M793" s="86" t="n"/>
      <c r="N793" s="245" t="n"/>
      <c r="O793" s="238" t="n"/>
      <c r="P793" s="238" t="n"/>
      <c r="Q793" s="246" t="n"/>
    </row>
    <row r="794" ht="13.2" customFormat="1" customHeight="1" s="47">
      <c r="B794" s="83" t="n"/>
      <c r="C794" s="83" t="n"/>
      <c r="D794" s="84" t="n"/>
      <c r="E794" s="84" t="n"/>
      <c r="F794" s="84" t="n"/>
      <c r="G794" s="84" t="n"/>
      <c r="H794" s="84" t="n"/>
      <c r="I794" s="84" t="n"/>
      <c r="J794" s="84" t="n"/>
      <c r="K794" s="84" t="n"/>
      <c r="L794" s="85" t="n"/>
      <c r="M794" s="86" t="n"/>
      <c r="N794" s="245" t="n"/>
      <c r="O794" s="238" t="n"/>
      <c r="P794" s="238" t="n"/>
      <c r="Q794" s="246" t="n"/>
    </row>
    <row r="795" ht="13.2" customFormat="1" customHeight="1" s="47">
      <c r="B795" s="83" t="n"/>
      <c r="C795" s="83" t="n"/>
      <c r="D795" s="84" t="n"/>
      <c r="E795" s="84" t="n"/>
      <c r="F795" s="84" t="n"/>
      <c r="G795" s="84" t="n"/>
      <c r="H795" s="84" t="n"/>
      <c r="I795" s="84" t="n"/>
      <c r="J795" s="84" t="n"/>
      <c r="K795" s="84" t="n"/>
      <c r="L795" s="85" t="n"/>
      <c r="M795" s="86" t="n"/>
      <c r="N795" s="245" t="n"/>
      <c r="O795" s="238" t="n"/>
      <c r="P795" s="238" t="n"/>
      <c r="Q795" s="246" t="n"/>
    </row>
    <row r="796" ht="13.2" customFormat="1" customHeight="1" s="47">
      <c r="B796" s="83" t="n"/>
      <c r="C796" s="83" t="n"/>
      <c r="D796" s="84" t="n"/>
      <c r="E796" s="84" t="n"/>
      <c r="F796" s="84" t="n"/>
      <c r="G796" s="84" t="n"/>
      <c r="H796" s="84" t="n"/>
      <c r="I796" s="84" t="n"/>
      <c r="J796" s="84" t="n"/>
      <c r="K796" s="84" t="n"/>
      <c r="L796" s="85" t="n"/>
      <c r="M796" s="86" t="n"/>
      <c r="N796" s="245" t="n"/>
      <c r="O796" s="238" t="n"/>
      <c r="P796" s="238" t="n"/>
      <c r="Q796" s="246" t="n"/>
    </row>
    <row r="797" ht="13.2" customFormat="1" customHeight="1" s="47">
      <c r="B797" s="83" t="n"/>
      <c r="C797" s="83" t="n"/>
      <c r="D797" s="84" t="n"/>
      <c r="E797" s="84" t="n"/>
      <c r="F797" s="84" t="n"/>
      <c r="G797" s="84" t="n"/>
      <c r="H797" s="84" t="n"/>
      <c r="I797" s="84" t="n"/>
      <c r="J797" s="84" t="n"/>
      <c r="K797" s="84" t="n"/>
      <c r="L797" s="85" t="n"/>
      <c r="M797" s="86" t="n"/>
      <c r="N797" s="245" t="n"/>
      <c r="O797" s="238" t="n"/>
      <c r="P797" s="238" t="n"/>
      <c r="Q797" s="246" t="n"/>
    </row>
    <row r="798" ht="13.2" customFormat="1" customHeight="1" s="47">
      <c r="B798" s="83" t="n"/>
      <c r="C798" s="83" t="n"/>
      <c r="D798" s="84" t="n"/>
      <c r="E798" s="84" t="n"/>
      <c r="F798" s="84" t="n"/>
      <c r="G798" s="84" t="n"/>
      <c r="H798" s="84" t="n"/>
      <c r="I798" s="84" t="n"/>
      <c r="J798" s="84" t="n"/>
      <c r="K798" s="84" t="n"/>
      <c r="L798" s="85" t="n"/>
      <c r="M798" s="86" t="n"/>
      <c r="N798" s="245" t="n"/>
      <c r="O798" s="238" t="n"/>
      <c r="P798" s="238" t="n"/>
      <c r="Q798" s="246" t="n"/>
    </row>
    <row r="799" ht="13.2" customFormat="1" customHeight="1" s="47">
      <c r="B799" s="83" t="n"/>
      <c r="C799" s="83" t="n"/>
      <c r="D799" s="84" t="n"/>
      <c r="E799" s="84" t="n"/>
      <c r="F799" s="84" t="n"/>
      <c r="G799" s="84" t="n"/>
      <c r="H799" s="84" t="n"/>
      <c r="I799" s="84" t="n"/>
      <c r="J799" s="84" t="n"/>
      <c r="K799" s="84" t="n"/>
      <c r="L799" s="85" t="n"/>
      <c r="M799" s="86" t="n"/>
      <c r="N799" s="245" t="n"/>
      <c r="O799" s="238" t="n"/>
      <c r="P799" s="238" t="n"/>
      <c r="Q799" s="246" t="n"/>
    </row>
    <row r="800" ht="13.2" customFormat="1" customHeight="1" s="47">
      <c r="B800" s="83" t="n"/>
      <c r="C800" s="83" t="n"/>
      <c r="D800" s="84" t="n"/>
      <c r="E800" s="84" t="n"/>
      <c r="F800" s="84" t="n"/>
      <c r="G800" s="84" t="n"/>
      <c r="H800" s="84" t="n"/>
      <c r="I800" s="84" t="n"/>
      <c r="J800" s="84" t="n"/>
      <c r="K800" s="84" t="n"/>
      <c r="L800" s="85" t="n"/>
      <c r="M800" s="86" t="n"/>
      <c r="N800" s="245" t="n"/>
      <c r="O800" s="238" t="n"/>
      <c r="P800" s="238" t="n"/>
      <c r="Q800" s="246" t="n"/>
    </row>
    <row r="801" ht="13.2" customFormat="1" customHeight="1" s="47">
      <c r="B801" s="83" t="n"/>
      <c r="C801" s="83" t="n"/>
      <c r="D801" s="84" t="n"/>
      <c r="E801" s="84" t="n"/>
      <c r="F801" s="84" t="n"/>
      <c r="G801" s="84" t="n"/>
      <c r="H801" s="84" t="n"/>
      <c r="I801" s="84" t="n"/>
      <c r="J801" s="84" t="n"/>
      <c r="K801" s="84" t="n"/>
      <c r="L801" s="85" t="n"/>
      <c r="M801" s="86" t="n"/>
      <c r="N801" s="245" t="n"/>
      <c r="O801" s="238" t="n"/>
      <c r="P801" s="238" t="n"/>
      <c r="Q801" s="246" t="n"/>
    </row>
    <row r="802" ht="13.2" customFormat="1" customHeight="1" s="47">
      <c r="B802" s="83" t="n"/>
      <c r="C802" s="83" t="n"/>
      <c r="D802" s="84" t="n"/>
      <c r="E802" s="84" t="n"/>
      <c r="F802" s="84" t="n"/>
      <c r="G802" s="84" t="n"/>
      <c r="H802" s="84" t="n"/>
      <c r="I802" s="84" t="n"/>
      <c r="J802" s="84" t="n"/>
      <c r="K802" s="84" t="n"/>
      <c r="L802" s="85" t="n"/>
      <c r="M802" s="86" t="n"/>
      <c r="N802" s="245" t="n"/>
      <c r="O802" s="238" t="n"/>
      <c r="P802" s="238" t="n"/>
      <c r="Q802" s="246" t="n"/>
    </row>
    <row r="803" ht="13.2" customFormat="1" customHeight="1" s="47">
      <c r="B803" s="83" t="n"/>
      <c r="C803" s="83" t="n"/>
      <c r="D803" s="84" t="n"/>
      <c r="E803" s="84" t="n"/>
      <c r="F803" s="84" t="n"/>
      <c r="G803" s="84" t="n"/>
      <c r="H803" s="84" t="n"/>
      <c r="I803" s="84" t="n"/>
      <c r="J803" s="84" t="n"/>
      <c r="K803" s="84" t="n"/>
      <c r="L803" s="85" t="n"/>
      <c r="M803" s="86" t="n"/>
      <c r="N803" s="245" t="n"/>
      <c r="O803" s="238" t="n"/>
      <c r="P803" s="238" t="n"/>
      <c r="Q803" s="246" t="n"/>
    </row>
    <row r="804" ht="13.2" customFormat="1" customHeight="1" s="47">
      <c r="B804" s="83" t="n"/>
      <c r="C804" s="83" t="n"/>
      <c r="D804" s="84" t="n"/>
      <c r="E804" s="84" t="n"/>
      <c r="F804" s="84" t="n"/>
      <c r="G804" s="84" t="n"/>
      <c r="H804" s="84" t="n"/>
      <c r="I804" s="84" t="n"/>
      <c r="J804" s="84" t="n"/>
      <c r="K804" s="84" t="n"/>
      <c r="L804" s="85" t="n"/>
      <c r="M804" s="86" t="n"/>
      <c r="N804" s="245" t="n"/>
      <c r="O804" s="238" t="n"/>
      <c r="P804" s="238" t="n"/>
      <c r="Q804" s="246" t="n"/>
    </row>
    <row r="805" ht="13.2" customFormat="1" customHeight="1" s="47">
      <c r="B805" s="83" t="n"/>
      <c r="C805" s="83" t="n"/>
      <c r="D805" s="84" t="n"/>
      <c r="E805" s="84" t="n"/>
      <c r="F805" s="84" t="n"/>
      <c r="G805" s="84" t="n"/>
      <c r="H805" s="84" t="n"/>
      <c r="I805" s="84" t="n"/>
      <c r="J805" s="84" t="n"/>
      <c r="K805" s="84" t="n"/>
      <c r="L805" s="85" t="n"/>
      <c r="M805" s="86" t="n"/>
      <c r="N805" s="245" t="n"/>
      <c r="O805" s="238" t="n"/>
      <c r="P805" s="238" t="n"/>
      <c r="Q805" s="246" t="n"/>
    </row>
    <row r="806" ht="13.2" customFormat="1" customHeight="1" s="47">
      <c r="B806" s="83" t="n"/>
      <c r="C806" s="83" t="n"/>
      <c r="D806" s="84" t="n"/>
      <c r="E806" s="84" t="n"/>
      <c r="F806" s="84" t="n"/>
      <c r="G806" s="84" t="n"/>
      <c r="H806" s="84" t="n"/>
      <c r="I806" s="84" t="n"/>
      <c r="J806" s="84" t="n"/>
      <c r="K806" s="84" t="n"/>
      <c r="L806" s="85" t="n"/>
      <c r="M806" s="86" t="n"/>
      <c r="N806" s="245" t="n"/>
      <c r="O806" s="238" t="n"/>
      <c r="P806" s="238" t="n"/>
      <c r="Q806" s="246" t="n"/>
    </row>
    <row r="807" ht="13.2" customFormat="1" customHeight="1" s="47">
      <c r="B807" s="83" t="n"/>
      <c r="C807" s="83" t="n"/>
      <c r="D807" s="84" t="n"/>
      <c r="E807" s="84" t="n"/>
      <c r="F807" s="84" t="n"/>
      <c r="G807" s="84" t="n"/>
      <c r="H807" s="84" t="n"/>
      <c r="I807" s="84" t="n"/>
      <c r="J807" s="84" t="n"/>
      <c r="K807" s="84" t="n"/>
      <c r="L807" s="85" t="n"/>
      <c r="M807" s="86" t="n"/>
      <c r="N807" s="245" t="n"/>
      <c r="O807" s="238" t="n"/>
      <c r="P807" s="238" t="n"/>
      <c r="Q807" s="246" t="n"/>
    </row>
    <row r="808" ht="13.2" customFormat="1" customHeight="1" s="47">
      <c r="B808" s="83" t="n"/>
      <c r="C808" s="83" t="n"/>
      <c r="D808" s="84" t="n"/>
      <c r="E808" s="84" t="n"/>
      <c r="F808" s="84" t="n"/>
      <c r="G808" s="84" t="n"/>
      <c r="H808" s="84" t="n"/>
      <c r="I808" s="84" t="n"/>
      <c r="J808" s="84" t="n"/>
      <c r="K808" s="84" t="n"/>
      <c r="L808" s="85" t="n"/>
      <c r="M808" s="86" t="n"/>
      <c r="N808" s="245" t="n"/>
      <c r="O808" s="238" t="n"/>
      <c r="P808" s="238" t="n"/>
      <c r="Q808" s="246" t="n"/>
    </row>
    <row r="809" ht="13.2" customFormat="1" customHeight="1" s="47">
      <c r="B809" s="83" t="n"/>
      <c r="C809" s="83" t="n"/>
      <c r="D809" s="84" t="n"/>
      <c r="E809" s="84" t="n"/>
      <c r="F809" s="84" t="n"/>
      <c r="G809" s="84" t="n"/>
      <c r="H809" s="84" t="n"/>
      <c r="I809" s="84" t="n"/>
      <c r="J809" s="84" t="n"/>
      <c r="K809" s="84" t="n"/>
      <c r="L809" s="85" t="n"/>
      <c r="M809" s="86" t="n"/>
      <c r="N809" s="245" t="n"/>
      <c r="O809" s="238" t="n"/>
      <c r="P809" s="238" t="n"/>
      <c r="Q809" s="246" t="n"/>
    </row>
    <row r="810" ht="13.2" customFormat="1" customHeight="1" s="47">
      <c r="B810" s="83" t="n"/>
      <c r="C810" s="83" t="n"/>
      <c r="D810" s="84" t="n"/>
      <c r="E810" s="84" t="n"/>
      <c r="F810" s="84" t="n"/>
      <c r="G810" s="84" t="n"/>
      <c r="H810" s="84" t="n"/>
      <c r="I810" s="84" t="n"/>
      <c r="J810" s="84" t="n"/>
      <c r="K810" s="84" t="n"/>
      <c r="L810" s="85" t="n"/>
      <c r="M810" s="86" t="n"/>
      <c r="N810" s="245" t="n"/>
      <c r="O810" s="238" t="n"/>
      <c r="P810" s="238" t="n"/>
      <c r="Q810" s="246" t="n"/>
    </row>
    <row r="811" ht="13.2" customFormat="1" customHeight="1" s="47">
      <c r="B811" s="83" t="n"/>
      <c r="C811" s="83" t="n"/>
      <c r="D811" s="84" t="n"/>
      <c r="E811" s="84" t="n"/>
      <c r="F811" s="84" t="n"/>
      <c r="G811" s="84" t="n"/>
      <c r="H811" s="84" t="n"/>
      <c r="I811" s="84" t="n"/>
      <c r="J811" s="84" t="n"/>
      <c r="K811" s="84" t="n"/>
      <c r="L811" s="85" t="n"/>
      <c r="M811" s="86" t="n"/>
      <c r="N811" s="245" t="n"/>
      <c r="O811" s="238" t="n"/>
      <c r="P811" s="238" t="n"/>
      <c r="Q811" s="246" t="n"/>
    </row>
    <row r="812" ht="13.2" customFormat="1" customHeight="1" s="47">
      <c r="B812" s="83" t="n"/>
      <c r="C812" s="83" t="n"/>
      <c r="D812" s="84" t="n"/>
      <c r="E812" s="84" t="n"/>
      <c r="F812" s="84" t="n"/>
      <c r="G812" s="84" t="n"/>
      <c r="H812" s="84" t="n"/>
      <c r="I812" s="84" t="n"/>
      <c r="J812" s="84" t="n"/>
      <c r="K812" s="84" t="n"/>
      <c r="L812" s="85" t="n"/>
      <c r="M812" s="86" t="n"/>
      <c r="N812" s="245" t="n"/>
      <c r="O812" s="238" t="n"/>
      <c r="P812" s="238" t="n"/>
      <c r="Q812" s="246" t="n"/>
    </row>
    <row r="813" ht="13.2" customFormat="1" customHeight="1" s="47">
      <c r="B813" s="83" t="n"/>
      <c r="C813" s="83" t="n"/>
      <c r="D813" s="84" t="n"/>
      <c r="E813" s="84" t="n"/>
      <c r="F813" s="84" t="n"/>
      <c r="G813" s="84" t="n"/>
      <c r="H813" s="84" t="n"/>
      <c r="I813" s="84" t="n"/>
      <c r="J813" s="84" t="n"/>
      <c r="K813" s="84" t="n"/>
      <c r="L813" s="85" t="n"/>
      <c r="M813" s="86" t="n"/>
      <c r="N813" s="245" t="n"/>
      <c r="O813" s="238" t="n"/>
      <c r="P813" s="238" t="n"/>
      <c r="Q813" s="246" t="n"/>
    </row>
    <row r="814" ht="13.2" customFormat="1" customHeight="1" s="47">
      <c r="B814" s="83" t="n"/>
      <c r="C814" s="83" t="n"/>
      <c r="D814" s="84" t="n"/>
      <c r="E814" s="84" t="n"/>
      <c r="F814" s="84" t="n"/>
      <c r="G814" s="84" t="n"/>
      <c r="H814" s="84" t="n"/>
      <c r="I814" s="84" t="n"/>
      <c r="J814" s="84" t="n"/>
      <c r="K814" s="84" t="n"/>
      <c r="L814" s="85" t="n"/>
      <c r="M814" s="86" t="n"/>
      <c r="N814" s="245" t="n"/>
      <c r="O814" s="238" t="n"/>
      <c r="P814" s="238" t="n"/>
      <c r="Q814" s="246" t="n"/>
    </row>
    <row r="815" ht="13.2" customFormat="1" customHeight="1" s="47">
      <c r="B815" s="83" t="n"/>
      <c r="C815" s="83" t="n"/>
      <c r="D815" s="84" t="n"/>
      <c r="E815" s="84" t="n"/>
      <c r="F815" s="84" t="n"/>
      <c r="G815" s="84" t="n"/>
      <c r="H815" s="84" t="n"/>
      <c r="I815" s="84" t="n"/>
      <c r="J815" s="84" t="n"/>
      <c r="K815" s="84" t="n"/>
      <c r="L815" s="85" t="n"/>
      <c r="M815" s="86" t="n"/>
      <c r="N815" s="245" t="n"/>
      <c r="O815" s="238" t="n"/>
      <c r="P815" s="238" t="n"/>
      <c r="Q815" s="246" t="n"/>
    </row>
    <row r="816" ht="13.2" customFormat="1" customHeight="1" s="47">
      <c r="B816" s="83" t="n"/>
      <c r="C816" s="83" t="n"/>
      <c r="D816" s="84" t="n"/>
      <c r="E816" s="84" t="n"/>
      <c r="F816" s="84" t="n"/>
      <c r="G816" s="84" t="n"/>
      <c r="H816" s="84" t="n"/>
      <c r="I816" s="84" t="n"/>
      <c r="J816" s="84" t="n"/>
      <c r="K816" s="84" t="n"/>
      <c r="L816" s="85" t="n"/>
      <c r="M816" s="86" t="n"/>
      <c r="N816" s="245" t="n"/>
      <c r="O816" s="238" t="n"/>
      <c r="P816" s="238" t="n"/>
      <c r="Q816" s="246" t="n"/>
    </row>
    <row r="817" ht="13.2" customFormat="1" customHeight="1" s="47">
      <c r="B817" s="83" t="n"/>
      <c r="C817" s="83" t="n"/>
      <c r="D817" s="84" t="n"/>
      <c r="E817" s="84" t="n"/>
      <c r="F817" s="84" t="n"/>
      <c r="G817" s="84" t="n"/>
      <c r="H817" s="84" t="n"/>
      <c r="I817" s="84" t="n"/>
      <c r="J817" s="84" t="n"/>
      <c r="K817" s="84" t="n"/>
      <c r="L817" s="85" t="n"/>
      <c r="M817" s="86" t="n"/>
      <c r="N817" s="245" t="n"/>
      <c r="O817" s="238" t="n"/>
      <c r="P817" s="238" t="n"/>
      <c r="Q817" s="246" t="n"/>
    </row>
    <row r="818" ht="13.2" customFormat="1" customHeight="1" s="47">
      <c r="B818" s="83" t="n"/>
      <c r="C818" s="83" t="n"/>
      <c r="D818" s="84" t="n"/>
      <c r="E818" s="84" t="n"/>
      <c r="F818" s="84" t="n"/>
      <c r="G818" s="84" t="n"/>
      <c r="H818" s="84" t="n"/>
      <c r="I818" s="84" t="n"/>
      <c r="J818" s="84" t="n"/>
      <c r="K818" s="84" t="n"/>
      <c r="L818" s="85" t="n"/>
      <c r="M818" s="86" t="n"/>
      <c r="N818" s="245" t="n"/>
      <c r="O818" s="238" t="n"/>
      <c r="P818" s="238" t="n"/>
      <c r="Q818" s="246" t="n"/>
    </row>
    <row r="819" ht="13.2" customFormat="1" customHeight="1" s="47">
      <c r="B819" s="83" t="n"/>
      <c r="C819" s="83" t="n"/>
      <c r="D819" s="84" t="n"/>
      <c r="E819" s="84" t="n"/>
      <c r="F819" s="84" t="n"/>
      <c r="G819" s="84" t="n"/>
      <c r="H819" s="84" t="n"/>
      <c r="I819" s="84" t="n"/>
      <c r="J819" s="84" t="n"/>
      <c r="K819" s="84" t="n"/>
      <c r="L819" s="85" t="n"/>
      <c r="M819" s="86" t="n"/>
      <c r="N819" s="245" t="n"/>
      <c r="O819" s="238" t="n"/>
      <c r="P819" s="238" t="n"/>
      <c r="Q819" s="246" t="n"/>
    </row>
    <row r="820" ht="13.2" customFormat="1" customHeight="1" s="47">
      <c r="B820" s="83" t="n"/>
      <c r="C820" s="83" t="n"/>
      <c r="D820" s="84" t="n"/>
      <c r="E820" s="84" t="n"/>
      <c r="F820" s="84" t="n"/>
      <c r="G820" s="84" t="n"/>
      <c r="H820" s="84" t="n"/>
      <c r="I820" s="84" t="n"/>
      <c r="J820" s="84" t="n"/>
      <c r="K820" s="84" t="n"/>
      <c r="L820" s="85" t="n"/>
      <c r="M820" s="86" t="n"/>
      <c r="N820" s="245" t="n"/>
      <c r="O820" s="238" t="n"/>
      <c r="P820" s="238" t="n"/>
      <c r="Q820" s="246" t="n"/>
    </row>
    <row r="821" ht="13.2" customFormat="1" customHeight="1" s="47">
      <c r="B821" s="83" t="n"/>
      <c r="C821" s="83" t="n"/>
      <c r="D821" s="84" t="n"/>
      <c r="E821" s="84" t="n"/>
      <c r="F821" s="84" t="n"/>
      <c r="G821" s="84" t="n"/>
      <c r="H821" s="84" t="n"/>
      <c r="I821" s="84" t="n"/>
      <c r="J821" s="84" t="n"/>
      <c r="K821" s="84" t="n"/>
      <c r="L821" s="85" t="n"/>
      <c r="M821" s="86" t="n"/>
      <c r="N821" s="245" t="n"/>
      <c r="O821" s="238" t="n"/>
      <c r="P821" s="238" t="n"/>
      <c r="Q821" s="246" t="n"/>
    </row>
    <row r="822" ht="13.2" customFormat="1" customHeight="1" s="47">
      <c r="B822" s="83" t="n"/>
      <c r="C822" s="83" t="n"/>
      <c r="D822" s="84" t="n"/>
      <c r="E822" s="84" t="n"/>
      <c r="F822" s="84" t="n"/>
      <c r="G822" s="84" t="n"/>
      <c r="H822" s="84" t="n"/>
      <c r="I822" s="84" t="n"/>
      <c r="J822" s="84" t="n"/>
      <c r="K822" s="84" t="n"/>
      <c r="L822" s="85" t="n"/>
      <c r="M822" s="86" t="n"/>
      <c r="N822" s="245" t="n"/>
      <c r="O822" s="238" t="n"/>
      <c r="P822" s="238" t="n"/>
      <c r="Q822" s="246" t="n"/>
    </row>
    <row r="823" ht="13.2" customFormat="1" customHeight="1" s="47">
      <c r="B823" s="83" t="n"/>
      <c r="C823" s="83" t="n"/>
      <c r="D823" s="84" t="n"/>
      <c r="E823" s="84" t="n"/>
      <c r="F823" s="84" t="n"/>
      <c r="G823" s="84" t="n"/>
      <c r="H823" s="84" t="n"/>
      <c r="I823" s="84" t="n"/>
      <c r="J823" s="84" t="n"/>
      <c r="K823" s="84" t="n"/>
      <c r="L823" s="85" t="n"/>
      <c r="M823" s="86" t="n"/>
      <c r="N823" s="245" t="n"/>
      <c r="O823" s="238" t="n"/>
      <c r="P823" s="238" t="n"/>
      <c r="Q823" s="246" t="n"/>
    </row>
    <row r="824" ht="13.2" customFormat="1" customHeight="1" s="47">
      <c r="B824" s="83" t="n"/>
      <c r="C824" s="83" t="n"/>
      <c r="D824" s="84" t="n"/>
      <c r="E824" s="84" t="n"/>
      <c r="F824" s="84" t="n"/>
      <c r="G824" s="84" t="n"/>
      <c r="H824" s="84" t="n"/>
      <c r="I824" s="84" t="n"/>
      <c r="J824" s="84" t="n"/>
      <c r="K824" s="84" t="n"/>
      <c r="L824" s="85" t="n"/>
      <c r="M824" s="86" t="n"/>
      <c r="N824" s="245" t="n"/>
      <c r="O824" s="238" t="n"/>
      <c r="P824" s="238" t="n"/>
      <c r="Q824" s="246" t="n"/>
    </row>
    <row r="825" ht="13.2" customFormat="1" customHeight="1" s="47">
      <c r="B825" s="83" t="n"/>
      <c r="C825" s="83" t="n"/>
      <c r="D825" s="84" t="n"/>
      <c r="E825" s="84" t="n"/>
      <c r="F825" s="84" t="n"/>
      <c r="G825" s="84" t="n"/>
      <c r="H825" s="84" t="n"/>
      <c r="I825" s="84" t="n"/>
      <c r="J825" s="84" t="n"/>
      <c r="K825" s="84" t="n"/>
      <c r="L825" s="85" t="n"/>
      <c r="M825" s="86" t="n"/>
      <c r="N825" s="245" t="n"/>
      <c r="O825" s="238" t="n"/>
      <c r="P825" s="238" t="n"/>
      <c r="Q825" s="246" t="n"/>
    </row>
    <row r="826" ht="13.2" customFormat="1" customHeight="1" s="47">
      <c r="B826" s="83" t="n"/>
      <c r="C826" s="83" t="n"/>
      <c r="D826" s="84" t="n"/>
      <c r="E826" s="84" t="n"/>
      <c r="F826" s="84" t="n"/>
      <c r="G826" s="84" t="n"/>
      <c r="H826" s="84" t="n"/>
      <c r="I826" s="84" t="n"/>
      <c r="J826" s="84" t="n"/>
      <c r="K826" s="84" t="n"/>
      <c r="L826" s="85" t="n"/>
      <c r="M826" s="86" t="n"/>
      <c r="N826" s="245" t="n"/>
      <c r="O826" s="238" t="n"/>
      <c r="P826" s="238" t="n"/>
      <c r="Q826" s="246" t="n"/>
    </row>
    <row r="827" ht="13.2" customFormat="1" customHeight="1" s="47">
      <c r="B827" s="83" t="n"/>
      <c r="C827" s="83" t="n"/>
      <c r="D827" s="84" t="n"/>
      <c r="E827" s="84" t="n"/>
      <c r="F827" s="84" t="n"/>
      <c r="G827" s="84" t="n"/>
      <c r="H827" s="84" t="n"/>
      <c r="I827" s="84" t="n"/>
      <c r="J827" s="84" t="n"/>
      <c r="K827" s="84" t="n"/>
      <c r="L827" s="85" t="n"/>
      <c r="M827" s="86" t="n"/>
      <c r="N827" s="245" t="n"/>
      <c r="O827" s="238" t="n"/>
      <c r="P827" s="238" t="n"/>
      <c r="Q827" s="246" t="n"/>
    </row>
    <row r="828" ht="13.2" customFormat="1" customHeight="1" s="47">
      <c r="B828" s="83" t="n"/>
      <c r="C828" s="83" t="n"/>
      <c r="D828" s="84" t="n"/>
      <c r="E828" s="84" t="n"/>
      <c r="F828" s="84" t="n"/>
      <c r="G828" s="84" t="n"/>
      <c r="H828" s="84" t="n"/>
      <c r="I828" s="84" t="n"/>
      <c r="J828" s="84" t="n"/>
      <c r="K828" s="84" t="n"/>
      <c r="L828" s="85" t="n"/>
      <c r="M828" s="86" t="n"/>
      <c r="N828" s="245" t="n"/>
      <c r="O828" s="238" t="n"/>
      <c r="P828" s="238" t="n"/>
      <c r="Q828" s="246" t="n"/>
    </row>
    <row r="829" ht="13.2" customFormat="1" customHeight="1" s="47">
      <c r="B829" s="83" t="n"/>
      <c r="C829" s="83" t="n"/>
      <c r="D829" s="84" t="n"/>
      <c r="E829" s="84" t="n"/>
      <c r="F829" s="84" t="n"/>
      <c r="G829" s="84" t="n"/>
      <c r="H829" s="84" t="n"/>
      <c r="I829" s="84" t="n"/>
      <c r="J829" s="84" t="n"/>
      <c r="K829" s="84" t="n"/>
      <c r="L829" s="85" t="n"/>
      <c r="M829" s="86" t="n"/>
      <c r="N829" s="245" t="n"/>
      <c r="O829" s="238" t="n"/>
      <c r="P829" s="238" t="n"/>
      <c r="Q829" s="246" t="n"/>
    </row>
    <row r="830" ht="13.2" customFormat="1" customHeight="1" s="47">
      <c r="B830" s="83" t="n"/>
      <c r="C830" s="83" t="n"/>
      <c r="D830" s="84" t="n"/>
      <c r="E830" s="84" t="n"/>
      <c r="F830" s="84" t="n"/>
      <c r="G830" s="84" t="n"/>
      <c r="H830" s="84" t="n"/>
      <c r="I830" s="84" t="n"/>
      <c r="J830" s="84" t="n"/>
      <c r="K830" s="84" t="n"/>
      <c r="L830" s="85" t="n"/>
      <c r="M830" s="86" t="n"/>
      <c r="N830" s="245" t="n"/>
      <c r="O830" s="238" t="n"/>
      <c r="P830" s="238" t="n"/>
      <c r="Q830" s="246" t="n"/>
    </row>
    <row r="831" ht="13.2" customFormat="1" customHeight="1" s="47">
      <c r="B831" s="83" t="n"/>
      <c r="C831" s="83" t="n"/>
      <c r="D831" s="84" t="n"/>
      <c r="E831" s="84" t="n"/>
      <c r="F831" s="84" t="n"/>
      <c r="G831" s="84" t="n"/>
      <c r="H831" s="84" t="n"/>
      <c r="I831" s="84" t="n"/>
      <c r="J831" s="84" t="n"/>
      <c r="K831" s="84" t="n"/>
      <c r="L831" s="85" t="n"/>
      <c r="M831" s="86" t="n"/>
      <c r="N831" s="245" t="n"/>
      <c r="O831" s="238" t="n"/>
      <c r="P831" s="238" t="n"/>
      <c r="Q831" s="246" t="n"/>
    </row>
    <row r="832" ht="13.2" customFormat="1" customHeight="1" s="47">
      <c r="B832" s="83" t="n"/>
      <c r="C832" s="83" t="n"/>
      <c r="D832" s="84" t="n"/>
      <c r="E832" s="84" t="n"/>
      <c r="F832" s="84" t="n"/>
      <c r="G832" s="84" t="n"/>
      <c r="H832" s="84" t="n"/>
      <c r="I832" s="84" t="n"/>
      <c r="J832" s="84" t="n"/>
      <c r="K832" s="84" t="n"/>
      <c r="L832" s="85" t="n"/>
      <c r="M832" s="86" t="n"/>
      <c r="N832" s="245" t="n"/>
      <c r="O832" s="238" t="n"/>
      <c r="P832" s="238" t="n"/>
      <c r="Q832" s="246" t="n"/>
    </row>
    <row r="833" ht="13.2" customFormat="1" customHeight="1" s="47">
      <c r="B833" s="83" t="n"/>
      <c r="C833" s="83" t="n"/>
      <c r="D833" s="84" t="n"/>
      <c r="E833" s="84" t="n"/>
      <c r="F833" s="84" t="n"/>
      <c r="G833" s="84" t="n"/>
      <c r="H833" s="84" t="n"/>
      <c r="I833" s="84" t="n"/>
      <c r="J833" s="84" t="n"/>
      <c r="K833" s="84" t="n"/>
      <c r="L833" s="85" t="n"/>
      <c r="M833" s="86" t="n"/>
      <c r="N833" s="245" t="n"/>
      <c r="O833" s="238" t="n"/>
      <c r="P833" s="238" t="n"/>
      <c r="Q833" s="246" t="n"/>
    </row>
    <row r="834" ht="13.2" customFormat="1" customHeight="1" s="47">
      <c r="B834" s="83" t="n"/>
      <c r="C834" s="83" t="n"/>
      <c r="D834" s="84" t="n"/>
      <c r="E834" s="84" t="n"/>
      <c r="F834" s="84" t="n"/>
      <c r="G834" s="84" t="n"/>
      <c r="H834" s="84" t="n"/>
      <c r="I834" s="84" t="n"/>
      <c r="J834" s="84" t="n"/>
      <c r="K834" s="84" t="n"/>
      <c r="L834" s="85" t="n"/>
      <c r="M834" s="86" t="n"/>
      <c r="N834" s="245" t="n"/>
      <c r="O834" s="238" t="n"/>
      <c r="P834" s="238" t="n"/>
      <c r="Q834" s="246" t="n"/>
    </row>
    <row r="835" ht="13.2" customFormat="1" customHeight="1" s="47">
      <c r="B835" s="83" t="n"/>
      <c r="C835" s="83" t="n"/>
      <c r="D835" s="84" t="n"/>
      <c r="E835" s="84" t="n"/>
      <c r="F835" s="84" t="n"/>
      <c r="G835" s="84" t="n"/>
      <c r="H835" s="84" t="n"/>
      <c r="I835" s="84" t="n"/>
      <c r="J835" s="84" t="n"/>
      <c r="K835" s="84" t="n"/>
      <c r="L835" s="85" t="n"/>
      <c r="M835" s="86" t="n"/>
      <c r="N835" s="245" t="n"/>
      <c r="O835" s="238" t="n"/>
      <c r="P835" s="238" t="n"/>
      <c r="Q835" s="246" t="n"/>
    </row>
    <row r="836" ht="13.2" customFormat="1" customHeight="1" s="47">
      <c r="B836" s="83" t="n"/>
      <c r="C836" s="83" t="n"/>
      <c r="D836" s="84" t="n"/>
      <c r="E836" s="84" t="n"/>
      <c r="F836" s="84" t="n"/>
      <c r="G836" s="84" t="n"/>
      <c r="H836" s="84" t="n"/>
      <c r="I836" s="84" t="n"/>
      <c r="J836" s="84" t="n"/>
      <c r="K836" s="84" t="n"/>
      <c r="L836" s="85" t="n"/>
      <c r="M836" s="86" t="n"/>
      <c r="N836" s="245" t="n"/>
      <c r="O836" s="238" t="n"/>
      <c r="P836" s="238" t="n"/>
      <c r="Q836" s="246" t="n"/>
    </row>
    <row r="837" ht="13.2" customFormat="1" customHeight="1" s="47">
      <c r="B837" s="83" t="n"/>
      <c r="C837" s="83" t="n"/>
      <c r="D837" s="84" t="n"/>
      <c r="E837" s="84" t="n"/>
      <c r="F837" s="84" t="n"/>
      <c r="G837" s="84" t="n"/>
      <c r="H837" s="84" t="n"/>
      <c r="I837" s="84" t="n"/>
      <c r="J837" s="84" t="n"/>
      <c r="K837" s="84" t="n"/>
      <c r="L837" s="85" t="n"/>
      <c r="M837" s="86" t="n"/>
      <c r="N837" s="245" t="n"/>
      <c r="O837" s="238" t="n"/>
      <c r="P837" s="238" t="n"/>
      <c r="Q837" s="246" t="n"/>
    </row>
    <row r="838" ht="13.2" customFormat="1" customHeight="1" s="47">
      <c r="B838" s="83" t="n"/>
      <c r="C838" s="83" t="n"/>
      <c r="D838" s="84" t="n"/>
      <c r="E838" s="84" t="n"/>
      <c r="F838" s="84" t="n"/>
      <c r="G838" s="84" t="n"/>
      <c r="H838" s="84" t="n"/>
      <c r="I838" s="84" t="n"/>
      <c r="J838" s="84" t="n"/>
      <c r="K838" s="84" t="n"/>
      <c r="L838" s="85" t="n"/>
      <c r="M838" s="86" t="n"/>
      <c r="N838" s="245" t="n"/>
      <c r="O838" s="238" t="n"/>
      <c r="P838" s="238" t="n"/>
      <c r="Q838" s="246" t="n"/>
    </row>
    <row r="839" ht="13.2" customFormat="1" customHeight="1" s="47">
      <c r="B839" s="83" t="n"/>
      <c r="C839" s="83" t="n"/>
      <c r="D839" s="84" t="n"/>
      <c r="E839" s="84" t="n"/>
      <c r="F839" s="84" t="n"/>
      <c r="G839" s="84" t="n"/>
      <c r="H839" s="84" t="n"/>
      <c r="I839" s="84" t="n"/>
      <c r="J839" s="84" t="n"/>
      <c r="K839" s="84" t="n"/>
      <c r="L839" s="85" t="n"/>
      <c r="M839" s="86" t="n"/>
      <c r="N839" s="245" t="n"/>
      <c r="O839" s="238" t="n"/>
      <c r="P839" s="238" t="n"/>
      <c r="Q839" s="246" t="n"/>
    </row>
    <row r="840" ht="13.2" customFormat="1" customHeight="1" s="47">
      <c r="B840" s="83" t="n"/>
      <c r="C840" s="83" t="n"/>
      <c r="D840" s="84" t="n"/>
      <c r="E840" s="84" t="n"/>
      <c r="F840" s="84" t="n"/>
      <c r="G840" s="84" t="n"/>
      <c r="H840" s="84" t="n"/>
      <c r="I840" s="84" t="n"/>
      <c r="J840" s="84" t="n"/>
      <c r="K840" s="84" t="n"/>
      <c r="L840" s="85" t="n"/>
      <c r="M840" s="86" t="n"/>
      <c r="N840" s="245" t="n"/>
      <c r="O840" s="238" t="n"/>
      <c r="P840" s="238" t="n"/>
      <c r="Q840" s="246" t="n"/>
    </row>
    <row r="841" ht="13.2" customFormat="1" customHeight="1" s="47">
      <c r="B841" s="83" t="n"/>
      <c r="C841" s="83" t="n"/>
      <c r="D841" s="84" t="n"/>
      <c r="E841" s="84" t="n"/>
      <c r="F841" s="84" t="n"/>
      <c r="G841" s="84" t="n"/>
      <c r="H841" s="84" t="n"/>
      <c r="I841" s="84" t="n"/>
      <c r="J841" s="84" t="n"/>
      <c r="K841" s="84" t="n"/>
      <c r="L841" s="85" t="n"/>
      <c r="M841" s="86" t="n"/>
      <c r="N841" s="245" t="n"/>
      <c r="O841" s="238" t="n"/>
      <c r="P841" s="238" t="n"/>
      <c r="Q841" s="246" t="n"/>
    </row>
    <row r="842" ht="13.2" customFormat="1" customHeight="1" s="47">
      <c r="B842" s="83" t="n"/>
      <c r="C842" s="83" t="n"/>
      <c r="D842" s="84" t="n"/>
      <c r="E842" s="84" t="n"/>
      <c r="F842" s="84" t="n"/>
      <c r="G842" s="84" t="n"/>
      <c r="H842" s="84" t="n"/>
      <c r="I842" s="84" t="n"/>
      <c r="J842" s="84" t="n"/>
      <c r="K842" s="84" t="n"/>
      <c r="L842" s="85" t="n"/>
      <c r="M842" s="86" t="n"/>
      <c r="N842" s="245" t="n"/>
      <c r="O842" s="238" t="n"/>
      <c r="P842" s="238" t="n"/>
      <c r="Q842" s="246" t="n"/>
    </row>
    <row r="843" ht="13.2" customFormat="1" customHeight="1" s="47">
      <c r="B843" s="83" t="n"/>
      <c r="C843" s="83" t="n"/>
      <c r="D843" s="84" t="n"/>
      <c r="E843" s="84" t="n"/>
      <c r="F843" s="84" t="n"/>
      <c r="G843" s="84" t="n"/>
      <c r="H843" s="84" t="n"/>
      <c r="I843" s="84" t="n"/>
      <c r="J843" s="84" t="n"/>
      <c r="K843" s="84" t="n"/>
      <c r="L843" s="85" t="n"/>
      <c r="M843" s="86" t="n"/>
      <c r="N843" s="245" t="n"/>
      <c r="O843" s="238" t="n"/>
      <c r="P843" s="238" t="n"/>
      <c r="Q843" s="246" t="n"/>
    </row>
    <row r="844" ht="13.2" customFormat="1" customHeight="1" s="47">
      <c r="B844" s="83" t="n"/>
      <c r="C844" s="83" t="n"/>
      <c r="D844" s="84" t="n"/>
      <c r="E844" s="84" t="n"/>
      <c r="F844" s="84" t="n"/>
      <c r="G844" s="84" t="n"/>
      <c r="H844" s="84" t="n"/>
      <c r="I844" s="84" t="n"/>
      <c r="J844" s="84" t="n"/>
      <c r="K844" s="84" t="n"/>
      <c r="L844" s="85" t="n"/>
      <c r="M844" s="86" t="n"/>
      <c r="N844" s="245" t="n"/>
      <c r="O844" s="238" t="n"/>
      <c r="P844" s="238" t="n"/>
      <c r="Q844" s="246" t="n"/>
    </row>
    <row r="845" ht="13.2" customFormat="1" customHeight="1" s="47">
      <c r="B845" s="83" t="n"/>
      <c r="C845" s="83" t="n"/>
      <c r="D845" s="84" t="n"/>
      <c r="E845" s="84" t="n"/>
      <c r="F845" s="84" t="n"/>
      <c r="G845" s="84" t="n"/>
      <c r="H845" s="84" t="n"/>
      <c r="I845" s="84" t="n"/>
      <c r="J845" s="84" t="n"/>
      <c r="K845" s="84" t="n"/>
      <c r="L845" s="85" t="n"/>
      <c r="M845" s="86" t="n"/>
      <c r="N845" s="245" t="n"/>
      <c r="O845" s="238" t="n"/>
      <c r="P845" s="238" t="n"/>
      <c r="Q845" s="246" t="n"/>
    </row>
    <row r="846" ht="13.2" customFormat="1" customHeight="1" s="47">
      <c r="B846" s="83" t="n"/>
      <c r="C846" s="83" t="n"/>
      <c r="D846" s="84" t="n"/>
      <c r="E846" s="84" t="n"/>
      <c r="F846" s="84" t="n"/>
      <c r="G846" s="84" t="n"/>
      <c r="H846" s="84" t="n"/>
      <c r="I846" s="84" t="n"/>
      <c r="J846" s="84" t="n"/>
      <c r="K846" s="84" t="n"/>
      <c r="L846" s="85" t="n"/>
      <c r="M846" s="86" t="n"/>
      <c r="N846" s="245" t="n"/>
      <c r="O846" s="238" t="n"/>
      <c r="P846" s="238" t="n"/>
      <c r="Q846" s="246" t="n"/>
    </row>
    <row r="847" ht="13.2" customFormat="1" customHeight="1" s="47">
      <c r="B847" s="83" t="n"/>
      <c r="C847" s="83" t="n"/>
      <c r="D847" s="84" t="n"/>
      <c r="E847" s="84" t="n"/>
      <c r="F847" s="84" t="n"/>
      <c r="G847" s="84" t="n"/>
      <c r="H847" s="84" t="n"/>
      <c r="I847" s="84" t="n"/>
      <c r="J847" s="84" t="n"/>
      <c r="K847" s="84" t="n"/>
      <c r="L847" s="85" t="n"/>
      <c r="M847" s="86" t="n"/>
      <c r="N847" s="245" t="n"/>
      <c r="O847" s="238" t="n"/>
      <c r="P847" s="238" t="n"/>
      <c r="Q847" s="246" t="n"/>
    </row>
    <row r="848" ht="13.2" customFormat="1" customHeight="1" s="47">
      <c r="B848" s="83" t="n"/>
      <c r="C848" s="83" t="n"/>
      <c r="D848" s="84" t="n"/>
      <c r="E848" s="84" t="n"/>
      <c r="F848" s="84" t="n"/>
      <c r="G848" s="84" t="n"/>
      <c r="H848" s="84" t="n"/>
      <c r="I848" s="84" t="n"/>
      <c r="J848" s="84" t="n"/>
      <c r="K848" s="84" t="n"/>
      <c r="L848" s="85" t="n"/>
      <c r="M848" s="86" t="n"/>
      <c r="N848" s="245" t="n"/>
      <c r="O848" s="238" t="n"/>
      <c r="P848" s="238" t="n"/>
      <c r="Q848" s="246" t="n"/>
    </row>
    <row r="849" ht="13.2" customFormat="1" customHeight="1" s="47">
      <c r="B849" s="83" t="n"/>
      <c r="C849" s="83" t="n"/>
      <c r="D849" s="84" t="n"/>
      <c r="E849" s="84" t="n"/>
      <c r="F849" s="84" t="n"/>
      <c r="G849" s="84" t="n"/>
      <c r="H849" s="84" t="n"/>
      <c r="I849" s="84" t="n"/>
      <c r="J849" s="84" t="n"/>
      <c r="K849" s="84" t="n"/>
      <c r="L849" s="85" t="n"/>
      <c r="M849" s="86" t="n"/>
      <c r="N849" s="245" t="n"/>
      <c r="O849" s="238" t="n"/>
      <c r="P849" s="238" t="n"/>
      <c r="Q849" s="246" t="n"/>
    </row>
    <row r="850" ht="13.2" customFormat="1" customHeight="1" s="47">
      <c r="B850" s="83" t="n"/>
      <c r="C850" s="83" t="n"/>
      <c r="D850" s="84" t="n"/>
      <c r="E850" s="84" t="n"/>
      <c r="F850" s="84" t="n"/>
      <c r="G850" s="84" t="n"/>
      <c r="H850" s="84" t="n"/>
      <c r="I850" s="84" t="n"/>
      <c r="J850" s="84" t="n"/>
      <c r="K850" s="84" t="n"/>
      <c r="L850" s="85" t="n"/>
      <c r="M850" s="86" t="n"/>
      <c r="N850" s="245" t="n"/>
      <c r="O850" s="238" t="n"/>
      <c r="P850" s="238" t="n"/>
      <c r="Q850" s="246" t="n"/>
    </row>
    <row r="851" ht="13.2" customFormat="1" customHeight="1" s="47">
      <c r="B851" s="83" t="n"/>
      <c r="C851" s="83" t="n"/>
      <c r="D851" s="84" t="n"/>
      <c r="E851" s="84" t="n"/>
      <c r="F851" s="84" t="n"/>
      <c r="G851" s="84" t="n"/>
      <c r="H851" s="84" t="n"/>
      <c r="I851" s="84" t="n"/>
      <c r="J851" s="84" t="n"/>
      <c r="K851" s="84" t="n"/>
      <c r="L851" s="85" t="n"/>
      <c r="M851" s="86" t="n"/>
      <c r="N851" s="245" t="n"/>
      <c r="O851" s="238" t="n"/>
      <c r="P851" s="238" t="n"/>
      <c r="Q851" s="246" t="n"/>
    </row>
    <row r="852" ht="13.2" customFormat="1" customHeight="1" s="47">
      <c r="B852" s="83" t="n"/>
      <c r="C852" s="83" t="n"/>
      <c r="D852" s="84" t="n"/>
      <c r="E852" s="84" t="n"/>
      <c r="F852" s="84" t="n"/>
      <c r="G852" s="84" t="n"/>
      <c r="H852" s="84" t="n"/>
      <c r="I852" s="84" t="n"/>
      <c r="J852" s="84" t="n"/>
      <c r="K852" s="84" t="n"/>
      <c r="L852" s="85" t="n"/>
      <c r="M852" s="86" t="n"/>
      <c r="N852" s="245" t="n"/>
      <c r="O852" s="238" t="n"/>
      <c r="P852" s="238" t="n"/>
      <c r="Q852" s="246" t="n"/>
    </row>
    <row r="853" ht="13.2" customFormat="1" customHeight="1" s="47">
      <c r="B853" s="83" t="n"/>
      <c r="C853" s="83" t="n"/>
      <c r="D853" s="84" t="n"/>
      <c r="E853" s="84" t="n"/>
      <c r="F853" s="84" t="n"/>
      <c r="G853" s="84" t="n"/>
      <c r="H853" s="84" t="n"/>
      <c r="I853" s="84" t="n"/>
      <c r="J853" s="84" t="n"/>
      <c r="K853" s="84" t="n"/>
      <c r="L853" s="85" t="n"/>
      <c r="M853" s="86" t="n"/>
      <c r="N853" s="245" t="n"/>
      <c r="O853" s="238" t="n"/>
      <c r="P853" s="238" t="n"/>
      <c r="Q853" s="246" t="n"/>
    </row>
    <row r="854" ht="13.2" customFormat="1" customHeight="1" s="47">
      <c r="B854" s="83" t="n"/>
      <c r="C854" s="83" t="n"/>
      <c r="D854" s="84" t="n"/>
      <c r="E854" s="84" t="n"/>
      <c r="F854" s="84" t="n"/>
      <c r="G854" s="84" t="n"/>
      <c r="H854" s="84" t="n"/>
      <c r="I854" s="84" t="n"/>
      <c r="J854" s="84" t="n"/>
      <c r="K854" s="84" t="n"/>
      <c r="L854" s="85" t="n"/>
      <c r="M854" s="86" t="n"/>
      <c r="N854" s="245" t="n"/>
      <c r="O854" s="238" t="n"/>
      <c r="P854" s="238" t="n"/>
      <c r="Q854" s="246" t="n"/>
    </row>
    <row r="855" ht="13.2" customFormat="1" customHeight="1" s="47">
      <c r="B855" s="83" t="n"/>
      <c r="C855" s="83" t="n"/>
      <c r="D855" s="84" t="n"/>
      <c r="E855" s="84" t="n"/>
      <c r="F855" s="84" t="n"/>
      <c r="G855" s="84" t="n"/>
      <c r="H855" s="84" t="n"/>
      <c r="I855" s="84" t="n"/>
      <c r="J855" s="84" t="n"/>
      <c r="K855" s="84" t="n"/>
      <c r="L855" s="85" t="n"/>
      <c r="M855" s="86" t="n"/>
      <c r="N855" s="245" t="n"/>
      <c r="O855" s="238" t="n"/>
      <c r="P855" s="238" t="n"/>
      <c r="Q855" s="246" t="n"/>
    </row>
    <row r="856" ht="13.2" customFormat="1" customHeight="1" s="47">
      <c r="B856" s="83" t="n"/>
      <c r="C856" s="83" t="n"/>
      <c r="D856" s="84" t="n"/>
      <c r="E856" s="84" t="n"/>
      <c r="F856" s="84" t="n"/>
      <c r="G856" s="84" t="n"/>
      <c r="H856" s="84" t="n"/>
      <c r="I856" s="84" t="n"/>
      <c r="J856" s="84" t="n"/>
      <c r="K856" s="84" t="n"/>
      <c r="L856" s="85" t="n"/>
      <c r="M856" s="86" t="n"/>
      <c r="N856" s="245" t="n"/>
      <c r="O856" s="238" t="n"/>
      <c r="P856" s="238" t="n"/>
      <c r="Q856" s="246" t="n"/>
    </row>
    <row r="857" ht="13.2" customFormat="1" customHeight="1" s="47">
      <c r="B857" s="83" t="n"/>
      <c r="C857" s="83" t="n"/>
      <c r="D857" s="84" t="n"/>
      <c r="E857" s="84" t="n"/>
      <c r="F857" s="84" t="n"/>
      <c r="G857" s="84" t="n"/>
      <c r="H857" s="84" t="n"/>
      <c r="I857" s="84" t="n"/>
      <c r="J857" s="84" t="n"/>
      <c r="K857" s="84" t="n"/>
      <c r="L857" s="85" t="n"/>
      <c r="M857" s="86" t="n"/>
      <c r="N857" s="245" t="n"/>
      <c r="O857" s="238" t="n"/>
      <c r="P857" s="238" t="n"/>
      <c r="Q857" s="246" t="n"/>
    </row>
    <row r="858" ht="13.2" customFormat="1" customHeight="1" s="47">
      <c r="B858" s="83" t="n"/>
      <c r="C858" s="83" t="n"/>
      <c r="D858" s="84" t="n"/>
      <c r="E858" s="84" t="n"/>
      <c r="F858" s="84" t="n"/>
      <c r="G858" s="84" t="n"/>
      <c r="H858" s="84" t="n"/>
      <c r="I858" s="84" t="n"/>
      <c r="J858" s="84" t="n"/>
      <c r="K858" s="84" t="n"/>
      <c r="L858" s="85" t="n"/>
      <c r="M858" s="86" t="n"/>
      <c r="N858" s="245" t="n"/>
      <c r="O858" s="238" t="n"/>
      <c r="P858" s="238" t="n"/>
      <c r="Q858" s="246" t="n"/>
    </row>
    <row r="859" ht="13.2" customFormat="1" customHeight="1" s="47">
      <c r="B859" s="83" t="n"/>
      <c r="C859" s="83" t="n"/>
      <c r="D859" s="84" t="n"/>
      <c r="E859" s="84" t="n"/>
      <c r="F859" s="84" t="n"/>
      <c r="G859" s="84" t="n"/>
      <c r="H859" s="84" t="n"/>
      <c r="I859" s="84" t="n"/>
      <c r="J859" s="84" t="n"/>
      <c r="K859" s="84" t="n"/>
      <c r="L859" s="85" t="n"/>
      <c r="M859" s="86" t="n"/>
      <c r="N859" s="245" t="n"/>
      <c r="O859" s="238" t="n"/>
      <c r="P859" s="238" t="n"/>
      <c r="Q859" s="246" t="n"/>
    </row>
    <row r="860" ht="13.2" customFormat="1" customHeight="1" s="47">
      <c r="B860" s="83" t="n"/>
      <c r="C860" s="83" t="n"/>
      <c r="D860" s="84" t="n"/>
      <c r="E860" s="84" t="n"/>
      <c r="F860" s="84" t="n"/>
      <c r="G860" s="84" t="n"/>
      <c r="H860" s="84" t="n"/>
      <c r="I860" s="84" t="n"/>
      <c r="J860" s="84" t="n"/>
      <c r="K860" s="84" t="n"/>
      <c r="L860" s="85" t="n"/>
      <c r="M860" s="86" t="n"/>
      <c r="N860" s="245" t="n"/>
      <c r="O860" s="238" t="n"/>
      <c r="P860" s="238" t="n"/>
      <c r="Q860" s="246" t="n"/>
    </row>
    <row r="861" ht="13.2" customFormat="1" customHeight="1" s="47">
      <c r="B861" s="83" t="n"/>
      <c r="C861" s="83" t="n"/>
      <c r="D861" s="84" t="n"/>
      <c r="E861" s="84" t="n"/>
      <c r="F861" s="84" t="n"/>
      <c r="G861" s="84" t="n"/>
      <c r="H861" s="84" t="n"/>
      <c r="I861" s="84" t="n"/>
      <c r="J861" s="84" t="n"/>
      <c r="K861" s="84" t="n"/>
      <c r="L861" s="85" t="n"/>
      <c r="M861" s="86" t="n"/>
      <c r="N861" s="245" t="n"/>
      <c r="O861" s="238" t="n"/>
      <c r="P861" s="238" t="n"/>
      <c r="Q861" s="246" t="n"/>
    </row>
    <row r="862" ht="13.2" customFormat="1" customHeight="1" s="47">
      <c r="B862" s="83" t="n"/>
      <c r="C862" s="83" t="n"/>
      <c r="D862" s="84" t="n"/>
      <c r="E862" s="84" t="n"/>
      <c r="F862" s="84" t="n"/>
      <c r="G862" s="84" t="n"/>
      <c r="H862" s="84" t="n"/>
      <c r="I862" s="84" t="n"/>
      <c r="J862" s="84" t="n"/>
      <c r="K862" s="84" t="n"/>
      <c r="L862" s="85" t="n"/>
      <c r="M862" s="86" t="n"/>
      <c r="N862" s="245" t="n"/>
      <c r="O862" s="238" t="n"/>
      <c r="P862" s="238" t="n"/>
      <c r="Q862" s="246" t="n"/>
    </row>
    <row r="863" ht="13.2" customFormat="1" customHeight="1" s="47">
      <c r="B863" s="83" t="n"/>
      <c r="C863" s="83" t="n"/>
      <c r="D863" s="84" t="n"/>
      <c r="E863" s="84" t="n"/>
      <c r="F863" s="84" t="n"/>
      <c r="G863" s="84" t="n"/>
      <c r="H863" s="84" t="n"/>
      <c r="I863" s="84" t="n"/>
      <c r="J863" s="84" t="n"/>
      <c r="K863" s="84" t="n"/>
      <c r="L863" s="85" t="n"/>
      <c r="M863" s="86" t="n"/>
      <c r="N863" s="245" t="n"/>
      <c r="O863" s="238" t="n"/>
      <c r="P863" s="238" t="n"/>
      <c r="Q863" s="246" t="n"/>
    </row>
    <row r="864" ht="13.2" customFormat="1" customHeight="1" s="47">
      <c r="B864" s="83" t="n"/>
      <c r="C864" s="83" t="n"/>
      <c r="D864" s="84" t="n"/>
      <c r="E864" s="84" t="n"/>
      <c r="F864" s="84" t="n"/>
      <c r="G864" s="84" t="n"/>
      <c r="H864" s="84" t="n"/>
      <c r="I864" s="84" t="n"/>
      <c r="J864" s="84" t="n"/>
      <c r="K864" s="84" t="n"/>
      <c r="L864" s="85" t="n"/>
      <c r="M864" s="86" t="n"/>
      <c r="N864" s="245" t="n"/>
      <c r="O864" s="238" t="n"/>
      <c r="P864" s="238" t="n"/>
      <c r="Q864" s="246" t="n"/>
    </row>
    <row r="865" ht="13.2" customFormat="1" customHeight="1" s="47">
      <c r="B865" s="83" t="n"/>
      <c r="C865" s="83" t="n"/>
      <c r="D865" s="84" t="n"/>
      <c r="E865" s="84" t="n"/>
      <c r="F865" s="84" t="n"/>
      <c r="G865" s="84" t="n"/>
      <c r="H865" s="84" t="n"/>
      <c r="I865" s="84" t="n"/>
      <c r="J865" s="84" t="n"/>
      <c r="K865" s="84" t="n"/>
      <c r="L865" s="85" t="n"/>
      <c r="M865" s="86" t="n"/>
      <c r="N865" s="245" t="n"/>
      <c r="O865" s="238" t="n"/>
      <c r="P865" s="238" t="n"/>
      <c r="Q865" s="246" t="n"/>
    </row>
    <row r="866" ht="13.2" customFormat="1" customHeight="1" s="47">
      <c r="B866" s="83" t="n"/>
      <c r="C866" s="83" t="n"/>
      <c r="D866" s="84" t="n"/>
      <c r="E866" s="84" t="n"/>
      <c r="F866" s="84" t="n"/>
      <c r="G866" s="84" t="n"/>
      <c r="H866" s="84" t="n"/>
      <c r="I866" s="84" t="n"/>
      <c r="J866" s="84" t="n"/>
      <c r="K866" s="84" t="n"/>
      <c r="L866" s="85" t="n"/>
      <c r="M866" s="86" t="n"/>
      <c r="N866" s="245" t="n"/>
      <c r="O866" s="238" t="n"/>
      <c r="P866" s="238" t="n"/>
      <c r="Q866" s="246" t="n"/>
    </row>
    <row r="867" ht="13.2" customFormat="1" customHeight="1" s="47">
      <c r="B867" s="83" t="n"/>
      <c r="C867" s="83" t="n"/>
      <c r="D867" s="84" t="n"/>
      <c r="E867" s="84" t="n"/>
      <c r="F867" s="84" t="n"/>
      <c r="G867" s="84" t="n"/>
      <c r="H867" s="84" t="n"/>
      <c r="I867" s="84" t="n"/>
      <c r="J867" s="84" t="n"/>
      <c r="K867" s="84" t="n"/>
      <c r="L867" s="85" t="n"/>
      <c r="M867" s="86" t="n"/>
      <c r="N867" s="245" t="n"/>
      <c r="O867" s="238" t="n"/>
      <c r="P867" s="238" t="n"/>
      <c r="Q867" s="246" t="n"/>
    </row>
    <row r="868" ht="13.2" customFormat="1" customHeight="1" s="47">
      <c r="B868" s="83" t="n"/>
      <c r="C868" s="83" t="n"/>
      <c r="D868" s="84" t="n"/>
      <c r="E868" s="84" t="n"/>
      <c r="F868" s="84" t="n"/>
      <c r="G868" s="84" t="n"/>
      <c r="H868" s="84" t="n"/>
      <c r="I868" s="84" t="n"/>
      <c r="J868" s="84" t="n"/>
      <c r="K868" s="84" t="n"/>
      <c r="L868" s="85" t="n"/>
      <c r="M868" s="86" t="n"/>
      <c r="N868" s="245" t="n"/>
      <c r="O868" s="238" t="n"/>
      <c r="P868" s="238" t="n"/>
      <c r="Q868" s="246" t="n"/>
    </row>
    <row r="869" ht="13.2" customFormat="1" customHeight="1" s="47">
      <c r="B869" s="83" t="n"/>
      <c r="C869" s="83" t="n"/>
      <c r="D869" s="84" t="n"/>
      <c r="E869" s="84" t="n"/>
      <c r="F869" s="84" t="n"/>
      <c r="G869" s="84" t="n"/>
      <c r="H869" s="84" t="n"/>
      <c r="I869" s="84" t="n"/>
      <c r="J869" s="84" t="n"/>
      <c r="K869" s="84" t="n"/>
      <c r="L869" s="85" t="n"/>
      <c r="M869" s="86" t="n"/>
      <c r="N869" s="245" t="n"/>
      <c r="O869" s="238" t="n"/>
      <c r="P869" s="238" t="n"/>
      <c r="Q869" s="246" t="n"/>
    </row>
    <row r="870" ht="13.2" customFormat="1" customHeight="1" s="47">
      <c r="B870" s="83" t="n"/>
      <c r="C870" s="83" t="n"/>
      <c r="D870" s="84" t="n"/>
      <c r="E870" s="84" t="n"/>
      <c r="F870" s="84" t="n"/>
      <c r="G870" s="84" t="n"/>
      <c r="H870" s="84" t="n"/>
      <c r="I870" s="84" t="n"/>
      <c r="J870" s="84" t="n"/>
      <c r="K870" s="84" t="n"/>
      <c r="L870" s="85" t="n"/>
      <c r="M870" s="86" t="n"/>
      <c r="N870" s="245" t="n"/>
      <c r="O870" s="238" t="n"/>
      <c r="P870" s="238" t="n"/>
      <c r="Q870" s="246" t="n"/>
    </row>
    <row r="871" ht="13.2" customFormat="1" customHeight="1" s="47">
      <c r="B871" s="83" t="n"/>
      <c r="C871" s="83" t="n"/>
      <c r="D871" s="84" t="n"/>
      <c r="E871" s="84" t="n"/>
      <c r="F871" s="84" t="n"/>
      <c r="G871" s="84" t="n"/>
      <c r="H871" s="84" t="n"/>
      <c r="I871" s="84" t="n"/>
      <c r="J871" s="84" t="n"/>
      <c r="K871" s="84" t="n"/>
      <c r="L871" s="85" t="n"/>
      <c r="M871" s="86" t="n"/>
      <c r="N871" s="245" t="n"/>
      <c r="O871" s="238" t="n"/>
      <c r="P871" s="238" t="n"/>
      <c r="Q871" s="246" t="n"/>
    </row>
    <row r="872" ht="13.2" customFormat="1" customHeight="1" s="47">
      <c r="B872" s="83" t="n"/>
      <c r="C872" s="83" t="n"/>
      <c r="D872" s="84" t="n"/>
      <c r="E872" s="84" t="n"/>
      <c r="F872" s="84" t="n"/>
      <c r="G872" s="84" t="n"/>
      <c r="H872" s="84" t="n"/>
      <c r="I872" s="84" t="n"/>
      <c r="J872" s="84" t="n"/>
      <c r="K872" s="84" t="n"/>
      <c r="L872" s="85" t="n"/>
      <c r="M872" s="86" t="n"/>
      <c r="N872" s="245" t="n"/>
      <c r="O872" s="238" t="n"/>
      <c r="P872" s="238" t="n"/>
      <c r="Q872" s="246" t="n"/>
    </row>
    <row r="873" ht="13.2" customFormat="1" customHeight="1" s="47">
      <c r="B873" s="83" t="n"/>
      <c r="C873" s="83" t="n"/>
      <c r="D873" s="84" t="n"/>
      <c r="E873" s="84" t="n"/>
      <c r="F873" s="84" t="n"/>
      <c r="G873" s="84" t="n"/>
      <c r="H873" s="84" t="n"/>
      <c r="I873" s="84" t="n"/>
      <c r="J873" s="84" t="n"/>
      <c r="K873" s="84" t="n"/>
      <c r="L873" s="85" t="n"/>
      <c r="M873" s="86" t="n"/>
      <c r="N873" s="245" t="n"/>
      <c r="O873" s="238" t="n"/>
      <c r="P873" s="238" t="n"/>
      <c r="Q873" s="246" t="n"/>
    </row>
    <row r="874" ht="13.2" customFormat="1" customHeight="1" s="47">
      <c r="B874" s="83" t="n"/>
      <c r="C874" s="83" t="n"/>
      <c r="D874" s="84" t="n"/>
      <c r="E874" s="84" t="n"/>
      <c r="F874" s="84" t="n"/>
      <c r="G874" s="84" t="n"/>
      <c r="H874" s="84" t="n"/>
      <c r="I874" s="84" t="n"/>
      <c r="J874" s="84" t="n"/>
      <c r="K874" s="84" t="n"/>
      <c r="L874" s="85" t="n"/>
      <c r="M874" s="86" t="n"/>
      <c r="N874" s="245" t="n"/>
      <c r="O874" s="238" t="n"/>
      <c r="P874" s="238" t="n"/>
      <c r="Q874" s="246" t="n"/>
    </row>
    <row r="875" ht="13.2" customFormat="1" customHeight="1" s="47">
      <c r="B875" s="83" t="n"/>
      <c r="C875" s="83" t="n"/>
      <c r="D875" s="84" t="n"/>
      <c r="E875" s="84" t="n"/>
      <c r="F875" s="84" t="n"/>
      <c r="G875" s="84" t="n"/>
      <c r="H875" s="84" t="n"/>
      <c r="I875" s="84" t="n"/>
      <c r="J875" s="84" t="n"/>
      <c r="K875" s="84" t="n"/>
      <c r="L875" s="85" t="n"/>
      <c r="M875" s="86" t="n"/>
      <c r="N875" s="245" t="n"/>
      <c r="O875" s="238" t="n"/>
      <c r="P875" s="238" t="n"/>
      <c r="Q875" s="246" t="n"/>
    </row>
    <row r="876" ht="13.2" customFormat="1" customHeight="1" s="47">
      <c r="B876" s="83" t="n"/>
      <c r="C876" s="83" t="n"/>
      <c r="D876" s="84" t="n"/>
      <c r="E876" s="84" t="n"/>
      <c r="F876" s="84" t="n"/>
      <c r="G876" s="84" t="n"/>
      <c r="H876" s="84" t="n"/>
      <c r="I876" s="84" t="n"/>
      <c r="J876" s="84" t="n"/>
      <c r="K876" s="84" t="n"/>
      <c r="L876" s="85" t="n"/>
      <c r="M876" s="86" t="n"/>
      <c r="N876" s="245" t="n"/>
      <c r="O876" s="238" t="n"/>
      <c r="P876" s="238" t="n"/>
      <c r="Q876" s="246" t="n"/>
    </row>
    <row r="877" ht="13.2" customFormat="1" customHeight="1" s="47">
      <c r="B877" s="83" t="n"/>
      <c r="C877" s="83" t="n"/>
      <c r="D877" s="84" t="n"/>
      <c r="E877" s="84" t="n"/>
      <c r="F877" s="84" t="n"/>
      <c r="G877" s="84" t="n"/>
      <c r="H877" s="84" t="n"/>
      <c r="I877" s="84" t="n"/>
      <c r="J877" s="84" t="n"/>
      <c r="K877" s="84" t="n"/>
      <c r="L877" s="85" t="n"/>
      <c r="M877" s="86" t="n"/>
      <c r="N877" s="245" t="n"/>
      <c r="O877" s="238" t="n"/>
      <c r="P877" s="238" t="n"/>
      <c r="Q877" s="246" t="n"/>
    </row>
    <row r="878" ht="13.2" customFormat="1" customHeight="1" s="47">
      <c r="B878" s="83" t="n"/>
      <c r="C878" s="83" t="n"/>
      <c r="D878" s="84" t="n"/>
      <c r="E878" s="84" t="n"/>
      <c r="F878" s="84" t="n"/>
      <c r="G878" s="84" t="n"/>
      <c r="H878" s="84" t="n"/>
      <c r="I878" s="84" t="n"/>
      <c r="J878" s="84" t="n"/>
      <c r="K878" s="84" t="n"/>
      <c r="L878" s="85" t="n"/>
      <c r="M878" s="86" t="n"/>
      <c r="N878" s="245" t="n"/>
      <c r="O878" s="238" t="n"/>
      <c r="P878" s="238" t="n"/>
      <c r="Q878" s="246" t="n"/>
    </row>
    <row r="879" ht="13.2" customFormat="1" customHeight="1" s="47">
      <c r="B879" s="83" t="n"/>
      <c r="C879" s="83" t="n"/>
      <c r="D879" s="84" t="n"/>
      <c r="E879" s="84" t="n"/>
      <c r="F879" s="84" t="n"/>
      <c r="G879" s="84" t="n"/>
      <c r="H879" s="84" t="n"/>
      <c r="I879" s="84" t="n"/>
      <c r="J879" s="84" t="n"/>
      <c r="K879" s="84" t="n"/>
      <c r="L879" s="85" t="n"/>
      <c r="M879" s="86" t="n"/>
      <c r="N879" s="245" t="n"/>
      <c r="O879" s="238" t="n"/>
      <c r="P879" s="238" t="n"/>
      <c r="Q879" s="246" t="n"/>
    </row>
    <row r="880" ht="13.2" customFormat="1" customHeight="1" s="47">
      <c r="B880" s="83" t="n"/>
      <c r="C880" s="83" t="n"/>
      <c r="D880" s="84" t="n"/>
      <c r="E880" s="84" t="n"/>
      <c r="F880" s="84" t="n"/>
      <c r="G880" s="84" t="n"/>
      <c r="H880" s="84" t="n"/>
      <c r="I880" s="84" t="n"/>
      <c r="J880" s="84" t="n"/>
      <c r="K880" s="84" t="n"/>
      <c r="L880" s="85" t="n"/>
      <c r="M880" s="86" t="n"/>
      <c r="N880" s="245" t="n"/>
      <c r="O880" s="238" t="n"/>
      <c r="P880" s="238" t="n"/>
      <c r="Q880" s="246" t="n"/>
    </row>
    <row r="881" ht="13.2" customFormat="1" customHeight="1" s="47">
      <c r="B881" s="83" t="n"/>
      <c r="C881" s="83" t="n"/>
      <c r="D881" s="84" t="n"/>
      <c r="E881" s="84" t="n"/>
      <c r="F881" s="84" t="n"/>
      <c r="G881" s="84" t="n"/>
      <c r="H881" s="84" t="n"/>
      <c r="I881" s="84" t="n"/>
      <c r="J881" s="84" t="n"/>
      <c r="K881" s="84" t="n"/>
      <c r="L881" s="85" t="n"/>
      <c r="M881" s="86" t="n"/>
      <c r="N881" s="245" t="n"/>
      <c r="O881" s="238" t="n"/>
      <c r="P881" s="238" t="n"/>
      <c r="Q881" s="246" t="n"/>
    </row>
    <row r="882" ht="13.2" customFormat="1" customHeight="1" s="47">
      <c r="B882" s="83" t="n"/>
      <c r="C882" s="83" t="n"/>
      <c r="D882" s="84" t="n"/>
      <c r="E882" s="84" t="n"/>
      <c r="F882" s="84" t="n"/>
      <c r="G882" s="84" t="n"/>
      <c r="H882" s="84" t="n"/>
      <c r="I882" s="84" t="n"/>
      <c r="J882" s="84" t="n"/>
      <c r="K882" s="84" t="n"/>
      <c r="L882" s="85" t="n"/>
      <c r="M882" s="86" t="n"/>
      <c r="N882" s="245" t="n"/>
      <c r="O882" s="238" t="n"/>
      <c r="P882" s="238" t="n"/>
      <c r="Q882" s="246" t="n"/>
    </row>
    <row r="883" ht="13.2" customFormat="1" customHeight="1" s="47">
      <c r="B883" s="83" t="n"/>
      <c r="C883" s="83" t="n"/>
      <c r="D883" s="84" t="n"/>
      <c r="E883" s="84" t="n"/>
      <c r="F883" s="84" t="n"/>
      <c r="G883" s="84" t="n"/>
      <c r="H883" s="84" t="n"/>
      <c r="I883" s="84" t="n"/>
      <c r="J883" s="84" t="n"/>
      <c r="K883" s="84" t="n"/>
      <c r="L883" s="85" t="n"/>
      <c r="M883" s="86" t="n"/>
      <c r="N883" s="245" t="n"/>
      <c r="O883" s="238" t="n"/>
      <c r="P883" s="238" t="n"/>
      <c r="Q883" s="246" t="n"/>
    </row>
    <row r="884" ht="13.2" customFormat="1" customHeight="1" s="47">
      <c r="B884" s="83" t="n"/>
      <c r="C884" s="83" t="n"/>
      <c r="D884" s="84" t="n"/>
      <c r="E884" s="84" t="n"/>
      <c r="F884" s="84" t="n"/>
      <c r="G884" s="84" t="n"/>
      <c r="H884" s="84" t="n"/>
      <c r="I884" s="84" t="n"/>
      <c r="J884" s="84" t="n"/>
      <c r="K884" s="84" t="n"/>
      <c r="L884" s="85" t="n"/>
      <c r="M884" s="86" t="n"/>
      <c r="N884" s="245" t="n"/>
      <c r="O884" s="238" t="n"/>
      <c r="P884" s="238" t="n"/>
      <c r="Q884" s="246" t="n"/>
    </row>
    <row r="885" ht="13.2" customFormat="1" customHeight="1" s="47">
      <c r="B885" s="83" t="n"/>
      <c r="C885" s="83" t="n"/>
      <c r="D885" s="84" t="n"/>
      <c r="E885" s="84" t="n"/>
      <c r="F885" s="84" t="n"/>
      <c r="G885" s="84" t="n"/>
      <c r="H885" s="84" t="n"/>
      <c r="I885" s="84" t="n"/>
      <c r="J885" s="84" t="n"/>
      <c r="K885" s="84" t="n"/>
      <c r="L885" s="85" t="n"/>
      <c r="M885" s="86" t="n"/>
      <c r="N885" s="245" t="n"/>
      <c r="O885" s="238" t="n"/>
      <c r="P885" s="238" t="n"/>
      <c r="Q885" s="246" t="n"/>
    </row>
    <row r="886" ht="13.2" customFormat="1" customHeight="1" s="47">
      <c r="B886" s="83" t="n"/>
      <c r="C886" s="83" t="n"/>
      <c r="D886" s="84" t="n"/>
      <c r="E886" s="84" t="n"/>
      <c r="F886" s="84" t="n"/>
      <c r="G886" s="84" t="n"/>
      <c r="H886" s="84" t="n"/>
      <c r="I886" s="84" t="n"/>
      <c r="J886" s="84" t="n"/>
      <c r="K886" s="84" t="n"/>
      <c r="L886" s="85" t="n"/>
      <c r="M886" s="86" t="n"/>
      <c r="N886" s="245" t="n"/>
      <c r="O886" s="238" t="n"/>
      <c r="P886" s="238" t="n"/>
      <c r="Q886" s="246" t="n"/>
    </row>
    <row r="887" ht="13.2" customFormat="1" customHeight="1" s="47">
      <c r="B887" s="83" t="n"/>
      <c r="C887" s="83" t="n"/>
      <c r="D887" s="84" t="n"/>
      <c r="E887" s="84" t="n"/>
      <c r="F887" s="84" t="n"/>
      <c r="G887" s="84" t="n"/>
      <c r="H887" s="84" t="n"/>
      <c r="I887" s="84" t="n"/>
      <c r="J887" s="84" t="n"/>
      <c r="K887" s="84" t="n"/>
      <c r="L887" s="85" t="n"/>
      <c r="M887" s="86" t="n"/>
      <c r="N887" s="245" t="n"/>
      <c r="O887" s="238" t="n"/>
      <c r="P887" s="238" t="n"/>
      <c r="Q887" s="246" t="n"/>
    </row>
    <row r="888" ht="13.2" customFormat="1" customHeight="1" s="47">
      <c r="B888" s="83" t="n"/>
      <c r="C888" s="83" t="n"/>
      <c r="D888" s="84" t="n"/>
      <c r="E888" s="84" t="n"/>
      <c r="F888" s="84" t="n"/>
      <c r="G888" s="84" t="n"/>
      <c r="H888" s="84" t="n"/>
      <c r="I888" s="84" t="n"/>
      <c r="J888" s="84" t="n"/>
      <c r="K888" s="84" t="n"/>
      <c r="L888" s="85" t="n"/>
      <c r="M888" s="86" t="n"/>
      <c r="N888" s="245" t="n"/>
      <c r="O888" s="238" t="n"/>
      <c r="P888" s="238" t="n"/>
      <c r="Q888" s="246" t="n"/>
    </row>
    <row r="889" ht="13.2" customFormat="1" customHeight="1" s="47">
      <c r="B889" s="83" t="n"/>
      <c r="C889" s="83" t="n"/>
      <c r="D889" s="84" t="n"/>
      <c r="E889" s="84" t="n"/>
      <c r="F889" s="84" t="n"/>
      <c r="G889" s="84" t="n"/>
      <c r="H889" s="84" t="n"/>
      <c r="I889" s="84" t="n"/>
      <c r="J889" s="84" t="n"/>
      <c r="K889" s="84" t="n"/>
      <c r="L889" s="85" t="n"/>
      <c r="M889" s="86" t="n"/>
      <c r="N889" s="245" t="n"/>
      <c r="O889" s="238" t="n"/>
      <c r="P889" s="238" t="n"/>
      <c r="Q889" s="246" t="n"/>
    </row>
    <row r="890" ht="13.2" customFormat="1" customHeight="1" s="47">
      <c r="B890" s="83" t="n"/>
      <c r="C890" s="83" t="n"/>
      <c r="D890" s="84" t="n"/>
      <c r="E890" s="84" t="n"/>
      <c r="F890" s="84" t="n"/>
      <c r="G890" s="84" t="n"/>
      <c r="H890" s="84" t="n"/>
      <c r="I890" s="84" t="n"/>
      <c r="J890" s="84" t="n"/>
      <c r="K890" s="84" t="n"/>
      <c r="L890" s="85" t="n"/>
      <c r="M890" s="86" t="n"/>
      <c r="N890" s="245" t="n"/>
      <c r="O890" s="238" t="n"/>
      <c r="P890" s="238" t="n"/>
      <c r="Q890" s="246" t="n"/>
    </row>
    <row r="891" ht="13.2" customFormat="1" customHeight="1" s="47">
      <c r="B891" s="83" t="n"/>
      <c r="C891" s="83" t="n"/>
      <c r="D891" s="84" t="n"/>
      <c r="E891" s="84" t="n"/>
      <c r="F891" s="84" t="n"/>
      <c r="G891" s="84" t="n"/>
      <c r="H891" s="84" t="n"/>
      <c r="I891" s="84" t="n"/>
      <c r="J891" s="84" t="n"/>
      <c r="K891" s="84" t="n"/>
      <c r="L891" s="85" t="n"/>
      <c r="M891" s="86" t="n"/>
      <c r="N891" s="245" t="n"/>
      <c r="O891" s="238" t="n"/>
      <c r="P891" s="238" t="n"/>
      <c r="Q891" s="246" t="n"/>
    </row>
    <row r="892" ht="13.2" customFormat="1" customHeight="1" s="47">
      <c r="B892" s="83" t="n"/>
      <c r="C892" s="83" t="n"/>
      <c r="D892" s="84" t="n"/>
      <c r="E892" s="84" t="n"/>
      <c r="F892" s="84" t="n"/>
      <c r="G892" s="84" t="n"/>
      <c r="H892" s="84" t="n"/>
      <c r="I892" s="84" t="n"/>
      <c r="J892" s="84" t="n"/>
      <c r="K892" s="84" t="n"/>
      <c r="L892" s="85" t="n"/>
      <c r="M892" s="86" t="n"/>
      <c r="N892" s="245" t="n"/>
      <c r="O892" s="238" t="n"/>
      <c r="P892" s="238" t="n"/>
      <c r="Q892" s="246" t="n"/>
    </row>
    <row r="893" ht="13.2" customFormat="1" customHeight="1" s="47">
      <c r="B893" s="83" t="n"/>
      <c r="C893" s="83" t="n"/>
      <c r="D893" s="84" t="n"/>
      <c r="E893" s="84" t="n"/>
      <c r="F893" s="84" t="n"/>
      <c r="G893" s="84" t="n"/>
      <c r="H893" s="84" t="n"/>
      <c r="I893" s="84" t="n"/>
      <c r="J893" s="84" t="n"/>
      <c r="K893" s="84" t="n"/>
      <c r="L893" s="85" t="n"/>
      <c r="M893" s="86" t="n"/>
      <c r="N893" s="245" t="n"/>
      <c r="O893" s="238" t="n"/>
      <c r="P893" s="238" t="n"/>
      <c r="Q893" s="246" t="n"/>
    </row>
    <row r="894" ht="13.2" customFormat="1" customHeight="1" s="47">
      <c r="B894" s="83" t="n"/>
      <c r="C894" s="83" t="n"/>
      <c r="D894" s="84" t="n"/>
      <c r="E894" s="84" t="n"/>
      <c r="F894" s="84" t="n"/>
      <c r="G894" s="84" t="n"/>
      <c r="H894" s="84" t="n"/>
      <c r="I894" s="84" t="n"/>
      <c r="J894" s="84" t="n"/>
      <c r="K894" s="84" t="n"/>
      <c r="L894" s="85" t="n"/>
      <c r="M894" s="86" t="n"/>
      <c r="N894" s="245" t="n"/>
      <c r="O894" s="238" t="n"/>
      <c r="P894" s="238" t="n"/>
      <c r="Q894" s="246" t="n"/>
    </row>
    <row r="895" ht="13.2" customFormat="1" customHeight="1" s="47">
      <c r="B895" s="83" t="n"/>
      <c r="C895" s="83" t="n"/>
      <c r="D895" s="84" t="n"/>
      <c r="E895" s="84" t="n"/>
      <c r="F895" s="84" t="n"/>
      <c r="G895" s="84" t="n"/>
      <c r="H895" s="84" t="n"/>
      <c r="I895" s="84" t="n"/>
      <c r="J895" s="84" t="n"/>
      <c r="K895" s="84" t="n"/>
      <c r="L895" s="85" t="n"/>
      <c r="M895" s="86" t="n"/>
      <c r="N895" s="245" t="n"/>
      <c r="O895" s="238" t="n"/>
      <c r="P895" s="238" t="n"/>
      <c r="Q895" s="246" t="n"/>
    </row>
    <row r="896" ht="13.2" customFormat="1" customHeight="1" s="47">
      <c r="B896" s="83" t="n"/>
      <c r="C896" s="83" t="n"/>
      <c r="D896" s="84" t="n"/>
      <c r="E896" s="84" t="n"/>
      <c r="F896" s="84" t="n"/>
      <c r="G896" s="84" t="n"/>
      <c r="H896" s="84" t="n"/>
      <c r="I896" s="84" t="n"/>
      <c r="J896" s="84" t="n"/>
      <c r="K896" s="84" t="n"/>
      <c r="L896" s="85" t="n"/>
      <c r="M896" s="86" t="n"/>
      <c r="N896" s="245" t="n"/>
      <c r="O896" s="238" t="n"/>
      <c r="P896" s="238" t="n"/>
      <c r="Q896" s="246" t="n"/>
    </row>
    <row r="897" ht="13.2" customFormat="1" customHeight="1" s="47">
      <c r="B897" s="83" t="n"/>
      <c r="C897" s="83" t="n"/>
      <c r="D897" s="84" t="n"/>
      <c r="E897" s="84" t="n"/>
      <c r="F897" s="84" t="n"/>
      <c r="G897" s="84" t="n"/>
      <c r="H897" s="84" t="n"/>
      <c r="I897" s="84" t="n"/>
      <c r="J897" s="84" t="n"/>
      <c r="K897" s="84" t="n"/>
      <c r="L897" s="85" t="n"/>
      <c r="M897" s="86" t="n"/>
      <c r="N897" s="245" t="n"/>
      <c r="O897" s="238" t="n"/>
      <c r="P897" s="238" t="n"/>
      <c r="Q897" s="246" t="n"/>
    </row>
    <row r="898" ht="13.2" customFormat="1" customHeight="1" s="47">
      <c r="B898" s="83" t="n"/>
      <c r="C898" s="83" t="n"/>
      <c r="D898" s="84" t="n"/>
      <c r="E898" s="84" t="n"/>
      <c r="F898" s="84" t="n"/>
      <c r="G898" s="84" t="n"/>
      <c r="H898" s="84" t="n"/>
      <c r="I898" s="84" t="n"/>
      <c r="J898" s="84" t="n"/>
      <c r="K898" s="84" t="n"/>
      <c r="L898" s="85" t="n"/>
      <c r="M898" s="86" t="n"/>
      <c r="N898" s="245" t="n"/>
      <c r="O898" s="238" t="n"/>
      <c r="P898" s="238" t="n"/>
      <c r="Q898" s="246" t="n"/>
    </row>
    <row r="899" ht="13.2" customFormat="1" customHeight="1" s="47">
      <c r="B899" s="83" t="n"/>
      <c r="C899" s="83" t="n"/>
      <c r="D899" s="84" t="n"/>
      <c r="E899" s="84" t="n"/>
      <c r="F899" s="84" t="n"/>
      <c r="G899" s="84" t="n"/>
      <c r="H899" s="84" t="n"/>
      <c r="I899" s="84" t="n"/>
      <c r="J899" s="84" t="n"/>
      <c r="K899" s="84" t="n"/>
      <c r="L899" s="85" t="n"/>
      <c r="M899" s="86" t="n"/>
      <c r="N899" s="245" t="n"/>
      <c r="O899" s="238" t="n"/>
      <c r="P899" s="238" t="n"/>
      <c r="Q899" s="246" t="n"/>
    </row>
    <row r="900" ht="13.2" customFormat="1" customHeight="1" s="47">
      <c r="B900" s="83" t="n"/>
      <c r="C900" s="83" t="n"/>
      <c r="D900" s="84" t="n"/>
      <c r="E900" s="84" t="n"/>
      <c r="F900" s="84" t="n"/>
      <c r="G900" s="84" t="n"/>
      <c r="H900" s="84" t="n"/>
      <c r="I900" s="84" t="n"/>
      <c r="J900" s="84" t="n"/>
      <c r="K900" s="84" t="n"/>
      <c r="L900" s="85" t="n"/>
      <c r="M900" s="86" t="n"/>
      <c r="N900" s="245" t="n"/>
      <c r="O900" s="238" t="n"/>
      <c r="P900" s="238" t="n"/>
      <c r="Q900" s="246" t="n"/>
    </row>
    <row r="901" ht="13.2" customFormat="1" customHeight="1" s="47">
      <c r="B901" s="83" t="n"/>
      <c r="C901" s="83" t="n"/>
      <c r="D901" s="84" t="n"/>
      <c r="E901" s="84" t="n"/>
      <c r="F901" s="84" t="n"/>
      <c r="G901" s="84" t="n"/>
      <c r="H901" s="84" t="n"/>
      <c r="I901" s="84" t="n"/>
      <c r="J901" s="84" t="n"/>
      <c r="K901" s="84" t="n"/>
      <c r="L901" s="85" t="n"/>
      <c r="M901" s="86" t="n"/>
      <c r="N901" s="245" t="n"/>
      <c r="O901" s="238" t="n"/>
      <c r="P901" s="238" t="n"/>
      <c r="Q901" s="246" t="n"/>
    </row>
    <row r="902" ht="13.2" customFormat="1" customHeight="1" s="47">
      <c r="B902" s="83" t="n"/>
      <c r="C902" s="83" t="n"/>
      <c r="D902" s="84" t="n"/>
      <c r="E902" s="84" t="n"/>
      <c r="F902" s="84" t="n"/>
      <c r="G902" s="84" t="n"/>
      <c r="H902" s="84" t="n"/>
      <c r="I902" s="84" t="n"/>
      <c r="J902" s="84" t="n"/>
      <c r="K902" s="84" t="n"/>
      <c r="L902" s="85" t="n"/>
      <c r="M902" s="86" t="n"/>
      <c r="N902" s="245" t="n"/>
      <c r="O902" s="238" t="n"/>
      <c r="P902" s="238" t="n"/>
      <c r="Q902" s="246" t="n"/>
    </row>
    <row r="903" ht="13.2" customFormat="1" customHeight="1" s="47">
      <c r="B903" s="83" t="n"/>
      <c r="C903" s="83" t="n"/>
      <c r="D903" s="84" t="n"/>
      <c r="E903" s="84" t="n"/>
      <c r="F903" s="84" t="n"/>
      <c r="G903" s="84" t="n"/>
      <c r="H903" s="84" t="n"/>
      <c r="I903" s="84" t="n"/>
      <c r="J903" s="84" t="n"/>
      <c r="K903" s="84" t="n"/>
      <c r="L903" s="85" t="n"/>
      <c r="M903" s="86" t="n"/>
      <c r="N903" s="245" t="n"/>
      <c r="O903" s="238" t="n"/>
      <c r="P903" s="238" t="n"/>
      <c r="Q903" s="246" t="n"/>
    </row>
    <row r="904" ht="13.2" customFormat="1" customHeight="1" s="47">
      <c r="B904" s="83" t="n"/>
      <c r="C904" s="83" t="n"/>
      <c r="D904" s="84" t="n"/>
      <c r="E904" s="84" t="n"/>
      <c r="F904" s="84" t="n"/>
      <c r="G904" s="84" t="n"/>
      <c r="H904" s="84" t="n"/>
      <c r="I904" s="84" t="n"/>
      <c r="J904" s="84" t="n"/>
      <c r="K904" s="84" t="n"/>
      <c r="L904" s="85" t="n"/>
      <c r="M904" s="86" t="n"/>
      <c r="N904" s="245" t="n"/>
      <c r="O904" s="238" t="n"/>
      <c r="P904" s="238" t="n"/>
      <c r="Q904" s="246" t="n"/>
    </row>
    <row r="905" ht="13.2" customFormat="1" customHeight="1" s="47">
      <c r="B905" s="83" t="n"/>
      <c r="C905" s="83" t="n"/>
      <c r="D905" s="84" t="n"/>
      <c r="E905" s="84" t="n"/>
      <c r="F905" s="84" t="n"/>
      <c r="G905" s="84" t="n"/>
      <c r="H905" s="84" t="n"/>
      <c r="I905" s="84" t="n"/>
      <c r="J905" s="84" t="n"/>
      <c r="K905" s="84" t="n"/>
      <c r="L905" s="85" t="n"/>
      <c r="M905" s="86" t="n"/>
      <c r="N905" s="245" t="n"/>
      <c r="O905" s="238" t="n"/>
      <c r="P905" s="238" t="n"/>
      <c r="Q905" s="246" t="n"/>
    </row>
    <row r="906" ht="13.2" customFormat="1" customHeight="1" s="47">
      <c r="B906" s="83" t="n"/>
      <c r="C906" s="83" t="n"/>
      <c r="D906" s="84" t="n"/>
      <c r="E906" s="84" t="n"/>
      <c r="F906" s="84" t="n"/>
      <c r="G906" s="84" t="n"/>
      <c r="H906" s="84" t="n"/>
      <c r="I906" s="84" t="n"/>
      <c r="J906" s="84" t="n"/>
      <c r="K906" s="84" t="n"/>
      <c r="L906" s="85" t="n"/>
      <c r="M906" s="86" t="n"/>
      <c r="N906" s="245" t="n"/>
      <c r="O906" s="238" t="n"/>
      <c r="P906" s="238" t="n"/>
      <c r="Q906" s="246" t="n"/>
    </row>
    <row r="907" ht="13.2" customFormat="1" customHeight="1" s="47">
      <c r="B907" s="83" t="n"/>
      <c r="C907" s="83" t="n"/>
      <c r="D907" s="84" t="n"/>
      <c r="E907" s="84" t="n"/>
      <c r="F907" s="84" t="n"/>
      <c r="G907" s="84" t="n"/>
      <c r="H907" s="84" t="n"/>
      <c r="I907" s="84" t="n"/>
      <c r="J907" s="84" t="n"/>
      <c r="K907" s="84" t="n"/>
      <c r="L907" s="85" t="n"/>
      <c r="M907" s="86" t="n"/>
      <c r="N907" s="245" t="n"/>
      <c r="O907" s="238" t="n"/>
      <c r="P907" s="238" t="n"/>
      <c r="Q907" s="246" t="n"/>
    </row>
    <row r="908" ht="13.2" customFormat="1" customHeight="1" s="47">
      <c r="B908" s="83" t="n"/>
      <c r="C908" s="83" t="n"/>
      <c r="D908" s="84" t="n"/>
      <c r="E908" s="84" t="n"/>
      <c r="F908" s="84" t="n"/>
      <c r="G908" s="84" t="n"/>
      <c r="H908" s="84" t="n"/>
      <c r="I908" s="84" t="n"/>
      <c r="J908" s="84" t="n"/>
      <c r="K908" s="84" t="n"/>
      <c r="L908" s="85" t="n"/>
      <c r="M908" s="86" t="n"/>
      <c r="N908" s="245" t="n"/>
      <c r="O908" s="238" t="n"/>
      <c r="P908" s="238" t="n"/>
      <c r="Q908" s="246" t="n"/>
    </row>
    <row r="909" ht="13.2" customFormat="1" customHeight="1" s="47">
      <c r="B909" s="83" t="n"/>
      <c r="C909" s="83" t="n"/>
      <c r="D909" s="84" t="n"/>
      <c r="E909" s="84" t="n"/>
      <c r="F909" s="84" t="n"/>
      <c r="G909" s="84" t="n"/>
      <c r="H909" s="84" t="n"/>
      <c r="I909" s="84" t="n"/>
      <c r="J909" s="84" t="n"/>
      <c r="K909" s="84" t="n"/>
      <c r="L909" s="85" t="n"/>
      <c r="M909" s="86" t="n"/>
      <c r="N909" s="245" t="n"/>
      <c r="O909" s="238" t="n"/>
      <c r="P909" s="238" t="n"/>
      <c r="Q909" s="246" t="n"/>
    </row>
    <row r="910" ht="13.2" customFormat="1" customHeight="1" s="47">
      <c r="B910" s="83" t="n"/>
      <c r="C910" s="83" t="n"/>
      <c r="D910" s="84" t="n"/>
      <c r="E910" s="84" t="n"/>
      <c r="F910" s="84" t="n"/>
      <c r="G910" s="84" t="n"/>
      <c r="H910" s="84" t="n"/>
      <c r="I910" s="84" t="n"/>
      <c r="J910" s="84" t="n"/>
      <c r="K910" s="84" t="n"/>
      <c r="L910" s="85" t="n"/>
      <c r="M910" s="86" t="n"/>
      <c r="N910" s="245" t="n"/>
      <c r="O910" s="238" t="n"/>
      <c r="P910" s="238" t="n"/>
      <c r="Q910" s="246" t="n"/>
    </row>
    <row r="911" ht="13.2" customFormat="1" customHeight="1" s="47">
      <c r="B911" s="83" t="n"/>
      <c r="C911" s="83" t="n"/>
      <c r="D911" s="84" t="n"/>
      <c r="E911" s="84" t="n"/>
      <c r="F911" s="84" t="n"/>
      <c r="G911" s="84" t="n"/>
      <c r="H911" s="84" t="n"/>
      <c r="I911" s="84" t="n"/>
      <c r="J911" s="84" t="n"/>
      <c r="K911" s="84" t="n"/>
      <c r="L911" s="85" t="n"/>
      <c r="M911" s="86" t="n"/>
      <c r="N911" s="245" t="n"/>
      <c r="O911" s="238" t="n"/>
      <c r="P911" s="238" t="n"/>
      <c r="Q911" s="246" t="n"/>
    </row>
    <row r="912" ht="13.2" customFormat="1" customHeight="1" s="47">
      <c r="B912" s="83" t="n"/>
      <c r="C912" s="83" t="n"/>
      <c r="D912" s="84" t="n"/>
      <c r="E912" s="84" t="n"/>
      <c r="F912" s="84" t="n"/>
      <c r="G912" s="84" t="n"/>
      <c r="H912" s="84" t="n"/>
      <c r="I912" s="84" t="n"/>
      <c r="J912" s="84" t="n"/>
      <c r="K912" s="84" t="n"/>
      <c r="L912" s="85" t="n"/>
      <c r="M912" s="86" t="n"/>
      <c r="N912" s="245" t="n"/>
      <c r="O912" s="238" t="n"/>
      <c r="P912" s="238" t="n"/>
      <c r="Q912" s="246" t="n"/>
    </row>
    <row r="913" ht="13.2" customFormat="1" customHeight="1" s="47">
      <c r="B913" s="83" t="n"/>
      <c r="C913" s="83" t="n"/>
      <c r="D913" s="84" t="n"/>
      <c r="E913" s="84" t="n"/>
      <c r="F913" s="84" t="n"/>
      <c r="G913" s="84" t="n"/>
      <c r="H913" s="84" t="n"/>
      <c r="I913" s="84" t="n"/>
      <c r="J913" s="84" t="n"/>
      <c r="K913" s="84" t="n"/>
      <c r="L913" s="85" t="n"/>
      <c r="M913" s="86" t="n"/>
      <c r="N913" s="245" t="n"/>
      <c r="O913" s="238" t="n"/>
      <c r="P913" s="238" t="n"/>
      <c r="Q913" s="246" t="n"/>
    </row>
    <row r="914" ht="13.2" customFormat="1" customHeight="1" s="47">
      <c r="B914" s="83" t="n"/>
      <c r="C914" s="83" t="n"/>
      <c r="D914" s="84" t="n"/>
      <c r="E914" s="84" t="n"/>
      <c r="F914" s="84" t="n"/>
      <c r="G914" s="84" t="n"/>
      <c r="H914" s="84" t="n"/>
      <c r="I914" s="84" t="n"/>
      <c r="J914" s="84" t="n"/>
      <c r="K914" s="84" t="n"/>
      <c r="L914" s="85" t="n"/>
      <c r="M914" s="86" t="n"/>
      <c r="N914" s="245" t="n"/>
      <c r="O914" s="238" t="n"/>
      <c r="P914" s="238" t="n"/>
      <c r="Q914" s="246" t="n"/>
    </row>
    <row r="915" ht="13.2" customFormat="1" customHeight="1" s="47">
      <c r="B915" s="83" t="n"/>
      <c r="C915" s="83" t="n"/>
      <c r="D915" s="84" t="n"/>
      <c r="E915" s="84" t="n"/>
      <c r="F915" s="84" t="n"/>
      <c r="G915" s="84" t="n"/>
      <c r="H915" s="84" t="n"/>
      <c r="I915" s="84" t="n"/>
      <c r="J915" s="84" t="n"/>
      <c r="K915" s="84" t="n"/>
      <c r="L915" s="85" t="n"/>
      <c r="M915" s="86" t="n"/>
      <c r="N915" s="245" t="n"/>
      <c r="O915" s="238" t="n"/>
      <c r="P915" s="238" t="n"/>
      <c r="Q915" s="246" t="n"/>
    </row>
    <row r="916" ht="13.2" customFormat="1" customHeight="1" s="47">
      <c r="B916" s="83" t="n"/>
      <c r="C916" s="83" t="n"/>
      <c r="D916" s="84" t="n"/>
      <c r="E916" s="84" t="n"/>
      <c r="F916" s="84" t="n"/>
      <c r="G916" s="84" t="n"/>
      <c r="H916" s="84" t="n"/>
      <c r="I916" s="84" t="n"/>
      <c r="J916" s="84" t="n"/>
      <c r="K916" s="84" t="n"/>
      <c r="L916" s="85" t="n"/>
      <c r="M916" s="86" t="n"/>
      <c r="N916" s="245" t="n"/>
      <c r="O916" s="238" t="n"/>
      <c r="P916" s="238" t="n"/>
      <c r="Q916" s="246" t="n"/>
    </row>
    <row r="917" ht="13.2" customFormat="1" customHeight="1" s="47">
      <c r="B917" s="83" t="n"/>
      <c r="C917" s="83" t="n"/>
      <c r="D917" s="84" t="n"/>
      <c r="E917" s="84" t="n"/>
      <c r="F917" s="84" t="n"/>
      <c r="G917" s="84" t="n"/>
      <c r="H917" s="84" t="n"/>
      <c r="I917" s="84" t="n"/>
      <c r="J917" s="84" t="n"/>
      <c r="K917" s="84" t="n"/>
      <c r="L917" s="85" t="n"/>
      <c r="M917" s="86" t="n"/>
      <c r="N917" s="245" t="n"/>
      <c r="O917" s="238" t="n"/>
      <c r="P917" s="238" t="n"/>
      <c r="Q917" s="246" t="n"/>
    </row>
    <row r="918" ht="13.2" customFormat="1" customHeight="1" s="47">
      <c r="B918" s="83" t="n"/>
      <c r="C918" s="83" t="n"/>
      <c r="D918" s="84" t="n"/>
      <c r="E918" s="84" t="n"/>
      <c r="F918" s="84" t="n"/>
      <c r="G918" s="84" t="n"/>
      <c r="H918" s="84" t="n"/>
      <c r="I918" s="84" t="n"/>
      <c r="J918" s="84" t="n"/>
      <c r="K918" s="84" t="n"/>
      <c r="L918" s="85" t="n"/>
      <c r="M918" s="86" t="n"/>
      <c r="N918" s="245" t="n"/>
      <c r="O918" s="238" t="n"/>
      <c r="P918" s="238" t="n"/>
      <c r="Q918" s="246" t="n"/>
    </row>
    <row r="919" ht="13.2" customFormat="1" customHeight="1" s="47">
      <c r="B919" s="83" t="n"/>
      <c r="C919" s="83" t="n"/>
      <c r="D919" s="84" t="n"/>
      <c r="E919" s="84" t="n"/>
      <c r="F919" s="84" t="n"/>
      <c r="G919" s="84" t="n"/>
      <c r="H919" s="84" t="n"/>
      <c r="I919" s="84" t="n"/>
      <c r="J919" s="84" t="n"/>
      <c r="K919" s="84" t="n"/>
      <c r="L919" s="85" t="n"/>
      <c r="M919" s="86" t="n"/>
      <c r="N919" s="245" t="n"/>
      <c r="O919" s="238" t="n"/>
      <c r="P919" s="238" t="n"/>
      <c r="Q919" s="246" t="n"/>
    </row>
    <row r="920" ht="13.2" customFormat="1" customHeight="1" s="47">
      <c r="B920" s="83" t="n"/>
      <c r="C920" s="83" t="n"/>
      <c r="D920" s="84" t="n"/>
      <c r="E920" s="84" t="n"/>
      <c r="F920" s="84" t="n"/>
      <c r="G920" s="84" t="n"/>
      <c r="H920" s="84" t="n"/>
      <c r="I920" s="84" t="n"/>
      <c r="J920" s="84" t="n"/>
      <c r="K920" s="84" t="n"/>
      <c r="L920" s="85" t="n"/>
      <c r="M920" s="86" t="n"/>
      <c r="N920" s="245" t="n"/>
      <c r="O920" s="238" t="n"/>
      <c r="P920" s="238" t="n"/>
      <c r="Q920" s="246" t="n"/>
    </row>
    <row r="921" ht="13.2" customFormat="1" customHeight="1" s="47">
      <c r="B921" s="83" t="n"/>
      <c r="C921" s="83" t="n"/>
      <c r="D921" s="84" t="n"/>
      <c r="E921" s="84" t="n"/>
      <c r="F921" s="84" t="n"/>
      <c r="G921" s="84" t="n"/>
      <c r="H921" s="84" t="n"/>
      <c r="I921" s="84" t="n"/>
      <c r="J921" s="84" t="n"/>
      <c r="K921" s="84" t="n"/>
      <c r="L921" s="85" t="n"/>
      <c r="M921" s="86" t="n"/>
      <c r="N921" s="245" t="n"/>
      <c r="O921" s="238" t="n"/>
      <c r="P921" s="238" t="n"/>
      <c r="Q921" s="246" t="n"/>
    </row>
    <row r="922" ht="13.2" customFormat="1" customHeight="1" s="47">
      <c r="B922" s="83" t="n"/>
      <c r="C922" s="83" t="n"/>
      <c r="D922" s="84" t="n"/>
      <c r="E922" s="84" t="n"/>
      <c r="F922" s="84" t="n"/>
      <c r="G922" s="84" t="n"/>
      <c r="H922" s="84" t="n"/>
      <c r="I922" s="84" t="n"/>
      <c r="J922" s="84" t="n"/>
      <c r="K922" s="84" t="n"/>
      <c r="L922" s="85" t="n"/>
      <c r="M922" s="86" t="n"/>
      <c r="N922" s="245" t="n"/>
      <c r="O922" s="238" t="n"/>
      <c r="P922" s="238" t="n"/>
      <c r="Q922" s="246" t="n"/>
    </row>
    <row r="923" ht="13.2" customFormat="1" customHeight="1" s="47">
      <c r="B923" s="83" t="n"/>
      <c r="C923" s="83" t="n"/>
      <c r="D923" s="84" t="n"/>
      <c r="E923" s="84" t="n"/>
      <c r="F923" s="84" t="n"/>
      <c r="G923" s="84" t="n"/>
      <c r="H923" s="84" t="n"/>
      <c r="I923" s="84" t="n"/>
      <c r="J923" s="84" t="n"/>
      <c r="K923" s="84" t="n"/>
      <c r="L923" s="85" t="n"/>
      <c r="M923" s="86" t="n"/>
      <c r="N923" s="245" t="n"/>
      <c r="O923" s="238" t="n"/>
      <c r="P923" s="238" t="n"/>
      <c r="Q923" s="246" t="n"/>
    </row>
    <row r="924" ht="13.2" customFormat="1" customHeight="1" s="47">
      <c r="B924" s="83" t="n"/>
      <c r="C924" s="83" t="n"/>
      <c r="D924" s="84" t="n"/>
      <c r="E924" s="84" t="n"/>
      <c r="F924" s="84" t="n"/>
      <c r="G924" s="84" t="n"/>
      <c r="H924" s="84" t="n"/>
      <c r="I924" s="84" t="n"/>
      <c r="J924" s="84" t="n"/>
      <c r="K924" s="84" t="n"/>
      <c r="L924" s="85" t="n"/>
      <c r="M924" s="86" t="n"/>
      <c r="N924" s="245" t="n"/>
      <c r="O924" s="238" t="n"/>
      <c r="P924" s="238" t="n"/>
      <c r="Q924" s="246" t="n"/>
    </row>
    <row r="925" ht="13.2" customFormat="1" customHeight="1" s="47">
      <c r="B925" s="83" t="n"/>
      <c r="C925" s="83" t="n"/>
      <c r="D925" s="84" t="n"/>
      <c r="E925" s="84" t="n"/>
      <c r="F925" s="84" t="n"/>
      <c r="G925" s="84" t="n"/>
      <c r="H925" s="84" t="n"/>
      <c r="I925" s="84" t="n"/>
      <c r="J925" s="84" t="n"/>
      <c r="K925" s="84" t="n"/>
      <c r="L925" s="85" t="n"/>
      <c r="M925" s="86" t="n"/>
      <c r="N925" s="245" t="n"/>
      <c r="O925" s="238" t="n"/>
      <c r="P925" s="238" t="n"/>
      <c r="Q925" s="246" t="n"/>
    </row>
    <row r="926" ht="13.2" customFormat="1" customHeight="1" s="47">
      <c r="B926" s="83" t="n"/>
      <c r="C926" s="83" t="n"/>
      <c r="D926" s="84" t="n"/>
      <c r="E926" s="84" t="n"/>
      <c r="F926" s="84" t="n"/>
      <c r="G926" s="84" t="n"/>
      <c r="H926" s="84" t="n"/>
      <c r="I926" s="84" t="n"/>
      <c r="J926" s="84" t="n"/>
      <c r="K926" s="84" t="n"/>
      <c r="L926" s="85" t="n"/>
      <c r="M926" s="86" t="n"/>
      <c r="N926" s="245" t="n"/>
      <c r="O926" s="238" t="n"/>
      <c r="P926" s="238" t="n"/>
      <c r="Q926" s="246" t="n"/>
    </row>
    <row r="927" ht="13.2" customFormat="1" customHeight="1" s="47">
      <c r="B927" s="83" t="n"/>
      <c r="C927" s="83" t="n"/>
      <c r="D927" s="84" t="n"/>
      <c r="E927" s="84" t="n"/>
      <c r="F927" s="84" t="n"/>
      <c r="G927" s="84" t="n"/>
      <c r="H927" s="84" t="n"/>
      <c r="I927" s="84" t="n"/>
      <c r="J927" s="84" t="n"/>
      <c r="K927" s="84" t="n"/>
      <c r="L927" s="85" t="n"/>
      <c r="M927" s="86" t="n"/>
      <c r="N927" s="245" t="n"/>
      <c r="O927" s="238" t="n"/>
      <c r="P927" s="238" t="n"/>
      <c r="Q927" s="246" t="n"/>
    </row>
    <row r="928" ht="13.2" customFormat="1" customHeight="1" s="47">
      <c r="B928" s="83" t="n"/>
      <c r="C928" s="83" t="n"/>
      <c r="D928" s="84" t="n"/>
      <c r="E928" s="84" t="n"/>
      <c r="F928" s="84" t="n"/>
      <c r="G928" s="84" t="n"/>
      <c r="H928" s="84" t="n"/>
      <c r="I928" s="84" t="n"/>
      <c r="J928" s="84" t="n"/>
      <c r="K928" s="84" t="n"/>
      <c r="L928" s="85" t="n"/>
      <c r="M928" s="86" t="n"/>
      <c r="N928" s="245" t="n"/>
      <c r="O928" s="238" t="n"/>
      <c r="P928" s="238" t="n"/>
      <c r="Q928" s="246" t="n"/>
    </row>
    <row r="929" ht="13.2" customFormat="1" customHeight="1" s="47">
      <c r="B929" s="83" t="n"/>
      <c r="C929" s="83" t="n"/>
      <c r="D929" s="84" t="n"/>
      <c r="E929" s="84" t="n"/>
      <c r="F929" s="84" t="n"/>
      <c r="G929" s="84" t="n"/>
      <c r="H929" s="84" t="n"/>
      <c r="I929" s="84" t="n"/>
      <c r="J929" s="84" t="n"/>
      <c r="K929" s="84" t="n"/>
      <c r="L929" s="85" t="n"/>
      <c r="M929" s="86" t="n"/>
      <c r="N929" s="245" t="n"/>
      <c r="O929" s="238" t="n"/>
      <c r="P929" s="238" t="n"/>
      <c r="Q929" s="246" t="n"/>
    </row>
    <row r="930" ht="13.2" customFormat="1" customHeight="1" s="47">
      <c r="B930" s="83" t="n"/>
      <c r="C930" s="83" t="n"/>
      <c r="D930" s="84" t="n"/>
      <c r="E930" s="84" t="n"/>
      <c r="F930" s="84" t="n"/>
      <c r="G930" s="84" t="n"/>
      <c r="H930" s="84" t="n"/>
      <c r="I930" s="84" t="n"/>
      <c r="J930" s="84" t="n"/>
      <c r="K930" s="84" t="n"/>
      <c r="L930" s="85" t="n"/>
      <c r="M930" s="86" t="n"/>
      <c r="N930" s="245" t="n"/>
      <c r="O930" s="238" t="n"/>
      <c r="P930" s="238" t="n"/>
      <c r="Q930" s="246" t="n"/>
    </row>
    <row r="931" ht="13.2" customFormat="1" customHeight="1" s="47">
      <c r="B931" s="83" t="n"/>
      <c r="C931" s="83" t="n"/>
      <c r="D931" s="84" t="n"/>
      <c r="E931" s="84" t="n"/>
      <c r="F931" s="84" t="n"/>
      <c r="G931" s="84" t="n"/>
      <c r="H931" s="84" t="n"/>
      <c r="I931" s="84" t="n"/>
      <c r="J931" s="84" t="n"/>
      <c r="K931" s="84" t="n"/>
      <c r="L931" s="85" t="n"/>
      <c r="M931" s="86" t="n"/>
      <c r="N931" s="245" t="n"/>
      <c r="O931" s="238" t="n"/>
      <c r="P931" s="238" t="n"/>
      <c r="Q931" s="246" t="n"/>
    </row>
    <row r="932" ht="13.2" customFormat="1" customHeight="1" s="47">
      <c r="B932" s="83" t="n"/>
      <c r="C932" s="83" t="n"/>
      <c r="D932" s="84" t="n"/>
      <c r="E932" s="84" t="n"/>
      <c r="F932" s="84" t="n"/>
      <c r="G932" s="84" t="n"/>
      <c r="H932" s="84" t="n"/>
      <c r="I932" s="84" t="n"/>
      <c r="J932" s="84" t="n"/>
      <c r="K932" s="84" t="n"/>
      <c r="L932" s="85" t="n"/>
      <c r="M932" s="86" t="n"/>
      <c r="N932" s="245" t="n"/>
      <c r="O932" s="238" t="n"/>
      <c r="P932" s="238" t="n"/>
      <c r="Q932" s="246" t="n"/>
    </row>
    <row r="933" ht="13.2" customFormat="1" customHeight="1" s="47">
      <c r="B933" s="83" t="n"/>
      <c r="C933" s="83" t="n"/>
      <c r="D933" s="84" t="n"/>
      <c r="E933" s="84" t="n"/>
      <c r="F933" s="84" t="n"/>
      <c r="G933" s="84" t="n"/>
      <c r="H933" s="84" t="n"/>
      <c r="I933" s="84" t="n"/>
      <c r="J933" s="84" t="n"/>
      <c r="K933" s="84" t="n"/>
      <c r="L933" s="85" t="n"/>
      <c r="M933" s="86" t="n"/>
      <c r="N933" s="245" t="n"/>
      <c r="O933" s="238" t="n"/>
      <c r="P933" s="238" t="n"/>
      <c r="Q933" s="246" t="n"/>
    </row>
    <row r="934" ht="13.2" customFormat="1" customHeight="1" s="47">
      <c r="B934" s="83" t="n"/>
      <c r="C934" s="83" t="n"/>
      <c r="D934" s="84" t="n"/>
      <c r="E934" s="84" t="n"/>
      <c r="F934" s="84" t="n"/>
      <c r="G934" s="84" t="n"/>
      <c r="H934" s="84" t="n"/>
      <c r="I934" s="84" t="n"/>
      <c r="J934" s="84" t="n"/>
      <c r="K934" s="84" t="n"/>
      <c r="L934" s="85" t="n"/>
      <c r="M934" s="86" t="n"/>
      <c r="N934" s="245" t="n"/>
      <c r="O934" s="238" t="n"/>
      <c r="P934" s="238" t="n"/>
      <c r="Q934" s="246" t="n"/>
    </row>
    <row r="935" ht="13.2" customFormat="1" customHeight="1" s="47">
      <c r="B935" s="83" t="n"/>
      <c r="C935" s="83" t="n"/>
      <c r="D935" s="84" t="n"/>
      <c r="E935" s="84" t="n"/>
      <c r="F935" s="84" t="n"/>
      <c r="G935" s="84" t="n"/>
      <c r="H935" s="84" t="n"/>
      <c r="I935" s="84" t="n"/>
      <c r="J935" s="84" t="n"/>
      <c r="K935" s="84" t="n"/>
      <c r="L935" s="85" t="n"/>
      <c r="M935" s="86" t="n"/>
      <c r="N935" s="245" t="n"/>
      <c r="O935" s="238" t="n"/>
      <c r="P935" s="238" t="n"/>
      <c r="Q935" s="246" t="n"/>
    </row>
    <row r="936" ht="13.2" customFormat="1" customHeight="1" s="47">
      <c r="B936" s="83" t="n"/>
      <c r="C936" s="83" t="n"/>
      <c r="D936" s="84" t="n"/>
      <c r="E936" s="84" t="n"/>
      <c r="F936" s="84" t="n"/>
      <c r="G936" s="84" t="n"/>
      <c r="H936" s="84" t="n"/>
      <c r="I936" s="84" t="n"/>
      <c r="J936" s="84" t="n"/>
      <c r="K936" s="84" t="n"/>
      <c r="L936" s="85" t="n"/>
      <c r="M936" s="86" t="n"/>
      <c r="N936" s="245" t="n"/>
      <c r="O936" s="238" t="n"/>
      <c r="P936" s="238" t="n"/>
      <c r="Q936" s="246" t="n"/>
    </row>
    <row r="937" ht="13.2" customFormat="1" customHeight="1" s="47">
      <c r="B937" s="83" t="n"/>
      <c r="C937" s="83" t="n"/>
      <c r="D937" s="84" t="n"/>
      <c r="E937" s="84" t="n"/>
      <c r="F937" s="84" t="n"/>
      <c r="G937" s="84" t="n"/>
      <c r="H937" s="84" t="n"/>
      <c r="I937" s="84" t="n"/>
      <c r="J937" s="84" t="n"/>
      <c r="K937" s="84" t="n"/>
      <c r="L937" s="85" t="n"/>
      <c r="M937" s="86" t="n"/>
      <c r="N937" s="245" t="n"/>
      <c r="O937" s="238" t="n"/>
      <c r="P937" s="238" t="n"/>
      <c r="Q937" s="246" t="n"/>
    </row>
    <row r="938" ht="13.2" customFormat="1" customHeight="1" s="47">
      <c r="B938" s="83" t="n"/>
      <c r="C938" s="83" t="n"/>
      <c r="D938" s="84" t="n"/>
      <c r="E938" s="84" t="n"/>
      <c r="F938" s="84" t="n"/>
      <c r="G938" s="84" t="n"/>
      <c r="H938" s="84" t="n"/>
      <c r="I938" s="84" t="n"/>
      <c r="J938" s="84" t="n"/>
      <c r="K938" s="84" t="n"/>
      <c r="L938" s="85" t="n"/>
      <c r="M938" s="86" t="n"/>
      <c r="N938" s="245" t="n"/>
      <c r="O938" s="238" t="n"/>
      <c r="P938" s="238" t="n"/>
      <c r="Q938" s="246" t="n"/>
    </row>
    <row r="939" ht="13.2" customFormat="1" customHeight="1" s="47">
      <c r="B939" s="83" t="n"/>
      <c r="C939" s="83" t="n"/>
      <c r="D939" s="84" t="n"/>
      <c r="E939" s="84" t="n"/>
      <c r="F939" s="84" t="n"/>
      <c r="G939" s="84" t="n"/>
      <c r="H939" s="84" t="n"/>
      <c r="I939" s="84" t="n"/>
      <c r="J939" s="84" t="n"/>
      <c r="K939" s="84" t="n"/>
      <c r="L939" s="85" t="n"/>
      <c r="M939" s="86" t="n"/>
      <c r="N939" s="245" t="n"/>
      <c r="O939" s="238" t="n"/>
      <c r="P939" s="238" t="n"/>
      <c r="Q939" s="246" t="n"/>
    </row>
    <row r="940" ht="13.2" customFormat="1" customHeight="1" s="47">
      <c r="B940" s="83" t="n"/>
      <c r="C940" s="83" t="n"/>
      <c r="D940" s="84" t="n"/>
      <c r="E940" s="84" t="n"/>
      <c r="F940" s="84" t="n"/>
      <c r="G940" s="84" t="n"/>
      <c r="H940" s="84" t="n"/>
      <c r="I940" s="84" t="n"/>
      <c r="J940" s="84" t="n"/>
      <c r="K940" s="84" t="n"/>
      <c r="L940" s="85" t="n"/>
      <c r="M940" s="86" t="n"/>
      <c r="N940" s="245" t="n"/>
      <c r="O940" s="238" t="n"/>
      <c r="P940" s="238" t="n"/>
      <c r="Q940" s="246" t="n"/>
    </row>
    <row r="941" ht="13.2" customFormat="1" customHeight="1" s="47">
      <c r="B941" s="83" t="n"/>
      <c r="C941" s="83" t="n"/>
      <c r="D941" s="84" t="n"/>
      <c r="E941" s="84" t="n"/>
      <c r="F941" s="84" t="n"/>
      <c r="G941" s="84" t="n"/>
      <c r="H941" s="84" t="n"/>
      <c r="I941" s="84" t="n"/>
      <c r="J941" s="84" t="n"/>
      <c r="K941" s="84" t="n"/>
      <c r="L941" s="85" t="n"/>
      <c r="M941" s="86" t="n"/>
      <c r="N941" s="245" t="n"/>
      <c r="O941" s="238" t="n"/>
      <c r="P941" s="238" t="n"/>
      <c r="Q941" s="246" t="n"/>
    </row>
    <row r="942" ht="13.2" customFormat="1" customHeight="1" s="47">
      <c r="B942" s="83" t="n"/>
      <c r="C942" s="83" t="n"/>
      <c r="D942" s="84" t="n"/>
      <c r="E942" s="84" t="n"/>
      <c r="F942" s="84" t="n"/>
      <c r="G942" s="84" t="n"/>
      <c r="H942" s="84" t="n"/>
      <c r="I942" s="84" t="n"/>
      <c r="J942" s="84" t="n"/>
      <c r="K942" s="84" t="n"/>
      <c r="L942" s="85" t="n"/>
      <c r="M942" s="86" t="n"/>
      <c r="N942" s="245" t="n"/>
      <c r="O942" s="238" t="n"/>
      <c r="P942" s="238" t="n"/>
      <c r="Q942" s="246" t="n"/>
    </row>
    <row r="943" ht="13.2" customFormat="1" customHeight="1" s="47">
      <c r="B943" s="83" t="n"/>
      <c r="C943" s="83" t="n"/>
      <c r="D943" s="84" t="n"/>
      <c r="E943" s="84" t="n"/>
      <c r="F943" s="84" t="n"/>
      <c r="G943" s="84" t="n"/>
      <c r="H943" s="84" t="n"/>
      <c r="I943" s="84" t="n"/>
      <c r="J943" s="84" t="n"/>
      <c r="K943" s="84" t="n"/>
      <c r="L943" s="85" t="n"/>
      <c r="M943" s="86" t="n"/>
      <c r="N943" s="245" t="n"/>
      <c r="O943" s="238" t="n"/>
      <c r="P943" s="238" t="n"/>
      <c r="Q943" s="246" t="n"/>
    </row>
    <row r="944" ht="13.2" customFormat="1" customHeight="1" s="47">
      <c r="B944" s="83" t="n"/>
      <c r="C944" s="83" t="n"/>
      <c r="D944" s="84" t="n"/>
      <c r="E944" s="84" t="n"/>
      <c r="F944" s="84" t="n"/>
      <c r="G944" s="84" t="n"/>
      <c r="H944" s="84" t="n"/>
      <c r="I944" s="84" t="n"/>
      <c r="J944" s="84" t="n"/>
      <c r="K944" s="84" t="n"/>
      <c r="L944" s="85" t="n"/>
      <c r="M944" s="86" t="n"/>
      <c r="N944" s="245" t="n"/>
      <c r="O944" s="238" t="n"/>
      <c r="P944" s="238" t="n"/>
      <c r="Q944" s="246" t="n"/>
    </row>
    <row r="945" ht="13.2" customFormat="1" customHeight="1" s="47">
      <c r="B945" s="83" t="n"/>
      <c r="C945" s="83" t="n"/>
      <c r="D945" s="84" t="n"/>
      <c r="E945" s="84" t="n"/>
      <c r="F945" s="84" t="n"/>
      <c r="G945" s="84" t="n"/>
      <c r="H945" s="84" t="n"/>
      <c r="I945" s="84" t="n"/>
      <c r="J945" s="84" t="n"/>
      <c r="K945" s="84" t="n"/>
      <c r="L945" s="85" t="n"/>
      <c r="M945" s="86" t="n"/>
      <c r="N945" s="245" t="n"/>
      <c r="O945" s="238" t="n"/>
      <c r="P945" s="238" t="n"/>
      <c r="Q945" s="246" t="n"/>
    </row>
    <row r="946" ht="13.2" customFormat="1" customHeight="1" s="47">
      <c r="B946" s="83" t="n"/>
      <c r="C946" s="83" t="n"/>
      <c r="D946" s="84" t="n"/>
      <c r="E946" s="84" t="n"/>
      <c r="F946" s="84" t="n"/>
      <c r="G946" s="84" t="n"/>
      <c r="H946" s="84" t="n"/>
      <c r="I946" s="84" t="n"/>
      <c r="J946" s="84" t="n"/>
      <c r="K946" s="84" t="n"/>
      <c r="L946" s="85" t="n"/>
      <c r="M946" s="86" t="n"/>
      <c r="N946" s="245" t="n"/>
      <c r="O946" s="238" t="n"/>
      <c r="P946" s="238" t="n"/>
      <c r="Q946" s="246" t="n"/>
    </row>
    <row r="947" ht="13.2" customFormat="1" customHeight="1" s="47">
      <c r="B947" s="83" t="n"/>
      <c r="C947" s="83" t="n"/>
      <c r="D947" s="84" t="n"/>
      <c r="E947" s="84" t="n"/>
      <c r="F947" s="84" t="n"/>
      <c r="G947" s="84" t="n"/>
      <c r="H947" s="84" t="n"/>
      <c r="I947" s="84" t="n"/>
      <c r="J947" s="84" t="n"/>
      <c r="K947" s="84" t="n"/>
      <c r="L947" s="85" t="n"/>
      <c r="M947" s="86" t="n"/>
      <c r="N947" s="245" t="n"/>
      <c r="O947" s="238" t="n"/>
      <c r="P947" s="238" t="n"/>
      <c r="Q947" s="246" t="n"/>
    </row>
    <row r="948" ht="13.2" customFormat="1" customHeight="1" s="47">
      <c r="B948" s="83" t="n"/>
      <c r="C948" s="83" t="n"/>
      <c r="D948" s="84" t="n"/>
      <c r="E948" s="84" t="n"/>
      <c r="F948" s="84" t="n"/>
      <c r="G948" s="84" t="n"/>
      <c r="H948" s="84" t="n"/>
      <c r="I948" s="84" t="n"/>
      <c r="J948" s="84" t="n"/>
      <c r="K948" s="84" t="n"/>
      <c r="L948" s="85" t="n"/>
      <c r="M948" s="86" t="n"/>
      <c r="N948" s="245" t="n"/>
      <c r="O948" s="238" t="n"/>
      <c r="P948" s="238" t="n"/>
      <c r="Q948" s="246" t="n"/>
    </row>
    <row r="949" ht="13.2" customFormat="1" customHeight="1" s="47">
      <c r="B949" s="83" t="n"/>
      <c r="C949" s="83" t="n"/>
      <c r="D949" s="84" t="n"/>
      <c r="E949" s="84" t="n"/>
      <c r="F949" s="84" t="n"/>
      <c r="G949" s="84" t="n"/>
      <c r="H949" s="84" t="n"/>
      <c r="I949" s="84" t="n"/>
      <c r="J949" s="84" t="n"/>
      <c r="K949" s="84" t="n"/>
      <c r="L949" s="85" t="n"/>
      <c r="M949" s="86" t="n"/>
      <c r="N949" s="245" t="n"/>
      <c r="O949" s="238" t="n"/>
      <c r="P949" s="238" t="n"/>
      <c r="Q949" s="246" t="n"/>
    </row>
    <row r="950" ht="13.2" customFormat="1" customHeight="1" s="47">
      <c r="B950" s="83" t="n"/>
      <c r="C950" s="83" t="n"/>
      <c r="D950" s="84" t="n"/>
      <c r="E950" s="84" t="n"/>
      <c r="F950" s="84" t="n"/>
      <c r="G950" s="84" t="n"/>
      <c r="H950" s="84" t="n"/>
      <c r="I950" s="84" t="n"/>
      <c r="J950" s="84" t="n"/>
      <c r="K950" s="84" t="n"/>
      <c r="L950" s="85" t="n"/>
      <c r="M950" s="86" t="n"/>
      <c r="N950" s="245" t="n"/>
      <c r="O950" s="238" t="n"/>
      <c r="P950" s="238" t="n"/>
      <c r="Q950" s="246" t="n"/>
    </row>
    <row r="951" ht="13.2" customFormat="1" customHeight="1" s="47">
      <c r="B951" s="83" t="n"/>
      <c r="C951" s="83" t="n"/>
      <c r="D951" s="84" t="n"/>
      <c r="E951" s="84" t="n"/>
      <c r="F951" s="84" t="n"/>
      <c r="G951" s="84" t="n"/>
      <c r="H951" s="84" t="n"/>
      <c r="I951" s="84" t="n"/>
      <c r="J951" s="84" t="n"/>
      <c r="K951" s="84" t="n"/>
      <c r="L951" s="85" t="n"/>
      <c r="M951" s="86" t="n"/>
      <c r="N951" s="245" t="n"/>
      <c r="O951" s="238" t="n"/>
      <c r="P951" s="238" t="n"/>
      <c r="Q951" s="246" t="n"/>
    </row>
    <row r="952" ht="13.2" customFormat="1" customHeight="1" s="47">
      <c r="B952" s="83" t="n"/>
      <c r="C952" s="83" t="n"/>
      <c r="D952" s="84" t="n"/>
      <c r="E952" s="84" t="n"/>
      <c r="F952" s="84" t="n"/>
      <c r="G952" s="84" t="n"/>
      <c r="H952" s="84" t="n"/>
      <c r="I952" s="84" t="n"/>
      <c r="J952" s="84" t="n"/>
      <c r="K952" s="84" t="n"/>
      <c r="L952" s="85" t="n"/>
      <c r="M952" s="86" t="n"/>
      <c r="N952" s="245" t="n"/>
      <c r="O952" s="238" t="n"/>
      <c r="P952" s="238" t="n"/>
      <c r="Q952" s="246" t="n"/>
    </row>
    <row r="953" ht="13.2" customFormat="1" customHeight="1" s="47">
      <c r="B953" s="83" t="n"/>
      <c r="C953" s="83" t="n"/>
      <c r="D953" s="84" t="n"/>
      <c r="E953" s="84" t="n"/>
      <c r="F953" s="84" t="n"/>
      <c r="G953" s="84" t="n"/>
      <c r="H953" s="84" t="n"/>
      <c r="I953" s="84" t="n"/>
      <c r="J953" s="84" t="n"/>
      <c r="K953" s="84" t="n"/>
      <c r="L953" s="85" t="n"/>
      <c r="M953" s="86" t="n"/>
      <c r="N953" s="245" t="n"/>
      <c r="O953" s="238" t="n"/>
      <c r="P953" s="238" t="n"/>
      <c r="Q953" s="246" t="n"/>
    </row>
    <row r="954" ht="13.2" customFormat="1" customHeight="1" s="47">
      <c r="B954" s="83" t="n"/>
      <c r="C954" s="83" t="n"/>
      <c r="D954" s="84" t="n"/>
      <c r="E954" s="84" t="n"/>
      <c r="F954" s="84" t="n"/>
      <c r="G954" s="84" t="n"/>
      <c r="H954" s="84" t="n"/>
      <c r="I954" s="84" t="n"/>
      <c r="J954" s="84" t="n"/>
      <c r="K954" s="84" t="n"/>
      <c r="L954" s="85" t="n"/>
      <c r="M954" s="86" t="n"/>
      <c r="N954" s="245" t="n"/>
      <c r="O954" s="238" t="n"/>
      <c r="P954" s="238" t="n"/>
      <c r="Q954" s="246" t="n"/>
    </row>
    <row r="955" ht="13.2" customFormat="1" customHeight="1" s="47">
      <c r="B955" s="83" t="n"/>
      <c r="C955" s="83" t="n"/>
      <c r="D955" s="84" t="n"/>
      <c r="E955" s="84" t="n"/>
      <c r="F955" s="84" t="n"/>
      <c r="G955" s="84" t="n"/>
      <c r="H955" s="84" t="n"/>
      <c r="I955" s="84" t="n"/>
      <c r="J955" s="84" t="n"/>
      <c r="K955" s="84" t="n"/>
      <c r="L955" s="85" t="n"/>
      <c r="M955" s="86" t="n"/>
      <c r="N955" s="245" t="n"/>
      <c r="O955" s="238" t="n"/>
      <c r="P955" s="238" t="n"/>
      <c r="Q955" s="246" t="n"/>
    </row>
    <row r="956" ht="13.2" customFormat="1" customHeight="1" s="47">
      <c r="B956" s="83" t="n"/>
      <c r="C956" s="83" t="n"/>
      <c r="D956" s="84" t="n"/>
      <c r="E956" s="84" t="n"/>
      <c r="F956" s="84" t="n"/>
      <c r="G956" s="84" t="n"/>
      <c r="H956" s="84" t="n"/>
      <c r="I956" s="84" t="n"/>
      <c r="J956" s="84" t="n"/>
      <c r="K956" s="84" t="n"/>
      <c r="L956" s="85" t="n"/>
      <c r="M956" s="86" t="n"/>
      <c r="N956" s="245" t="n"/>
      <c r="O956" s="238" t="n"/>
      <c r="P956" s="238" t="n"/>
      <c r="Q956" s="246" t="n"/>
    </row>
    <row r="957" ht="13.2" customFormat="1" customHeight="1" s="47">
      <c r="B957" s="83" t="n"/>
      <c r="C957" s="83" t="n"/>
      <c r="D957" s="84" t="n"/>
      <c r="E957" s="84" t="n"/>
      <c r="F957" s="84" t="n"/>
      <c r="G957" s="84" t="n"/>
      <c r="H957" s="84" t="n"/>
      <c r="I957" s="84" t="n"/>
      <c r="J957" s="84" t="n"/>
      <c r="K957" s="84" t="n"/>
      <c r="L957" s="85" t="n"/>
      <c r="M957" s="86" t="n"/>
      <c r="N957" s="245" t="n"/>
      <c r="O957" s="238" t="n"/>
      <c r="P957" s="238" t="n"/>
      <c r="Q957" s="246" t="n"/>
    </row>
    <row r="958" ht="13.2" customFormat="1" customHeight="1" s="47">
      <c r="B958" s="83" t="n"/>
      <c r="C958" s="83" t="n"/>
      <c r="D958" s="84" t="n"/>
      <c r="E958" s="84" t="n"/>
      <c r="F958" s="84" t="n"/>
      <c r="G958" s="84" t="n"/>
      <c r="H958" s="84" t="n"/>
      <c r="I958" s="84" t="n"/>
      <c r="J958" s="84" t="n"/>
      <c r="K958" s="84" t="n"/>
      <c r="L958" s="85" t="n"/>
      <c r="M958" s="86" t="n"/>
      <c r="N958" s="245" t="n"/>
      <c r="O958" s="238" t="n"/>
      <c r="P958" s="238" t="n"/>
      <c r="Q958" s="246" t="n"/>
    </row>
    <row r="959" ht="13.2" customFormat="1" customHeight="1" s="47">
      <c r="B959" s="83" t="n"/>
      <c r="C959" s="83" t="n"/>
      <c r="D959" s="84" t="n"/>
      <c r="E959" s="84" t="n"/>
      <c r="F959" s="84" t="n"/>
      <c r="G959" s="84" t="n"/>
      <c r="H959" s="84" t="n"/>
      <c r="I959" s="84" t="n"/>
      <c r="J959" s="84" t="n"/>
      <c r="K959" s="84" t="n"/>
      <c r="L959" s="85" t="n"/>
      <c r="M959" s="86" t="n"/>
      <c r="N959" s="245" t="n"/>
      <c r="O959" s="238" t="n"/>
      <c r="P959" s="238" t="n"/>
      <c r="Q959" s="246" t="n"/>
    </row>
    <row r="960" ht="13.2" customFormat="1" customHeight="1" s="47">
      <c r="B960" s="83" t="n"/>
      <c r="C960" s="83" t="n"/>
      <c r="D960" s="84" t="n"/>
      <c r="E960" s="84" t="n"/>
      <c r="F960" s="84" t="n"/>
      <c r="G960" s="84" t="n"/>
      <c r="H960" s="84" t="n"/>
      <c r="I960" s="84" t="n"/>
      <c r="J960" s="84" t="n"/>
      <c r="K960" s="84" t="n"/>
      <c r="L960" s="85" t="n"/>
      <c r="M960" s="86" t="n"/>
      <c r="N960" s="245" t="n"/>
      <c r="O960" s="238" t="n"/>
      <c r="P960" s="238" t="n"/>
      <c r="Q960" s="246" t="n"/>
    </row>
    <row r="961" ht="13.2" customFormat="1" customHeight="1" s="47">
      <c r="B961" s="83" t="n"/>
      <c r="C961" s="83" t="n"/>
      <c r="D961" s="84" t="n"/>
      <c r="E961" s="84" t="n"/>
      <c r="F961" s="84" t="n"/>
      <c r="G961" s="84" t="n"/>
      <c r="H961" s="84" t="n"/>
      <c r="I961" s="84" t="n"/>
      <c r="J961" s="84" t="n"/>
      <c r="K961" s="84" t="n"/>
      <c r="L961" s="85" t="n"/>
      <c r="M961" s="86" t="n"/>
      <c r="N961" s="245" t="n"/>
      <c r="O961" s="238" t="n"/>
      <c r="P961" s="238" t="n"/>
      <c r="Q961" s="246" t="n"/>
    </row>
    <row r="962" ht="13.2" customFormat="1" customHeight="1" s="47">
      <c r="B962" s="83" t="n"/>
      <c r="C962" s="83" t="n"/>
      <c r="D962" s="84" t="n"/>
      <c r="E962" s="84" t="n"/>
      <c r="F962" s="84" t="n"/>
      <c r="G962" s="84" t="n"/>
      <c r="H962" s="84" t="n"/>
      <c r="I962" s="84" t="n"/>
      <c r="J962" s="84" t="n"/>
      <c r="K962" s="84" t="n"/>
      <c r="L962" s="85" t="n"/>
      <c r="M962" s="86" t="n"/>
      <c r="N962" s="245" t="n"/>
      <c r="O962" s="238" t="n"/>
      <c r="P962" s="238" t="n"/>
      <c r="Q962" s="246" t="n"/>
    </row>
    <row r="963" ht="13.2" customFormat="1" customHeight="1" s="47">
      <c r="B963" s="83" t="n"/>
      <c r="C963" s="83" t="n"/>
      <c r="D963" s="84" t="n"/>
      <c r="E963" s="84" t="n"/>
      <c r="F963" s="84" t="n"/>
      <c r="G963" s="84" t="n"/>
      <c r="H963" s="84" t="n"/>
      <c r="I963" s="84" t="n"/>
      <c r="J963" s="84" t="n"/>
      <c r="K963" s="84" t="n"/>
      <c r="L963" s="85" t="n"/>
      <c r="M963" s="86" t="n"/>
      <c r="N963" s="245" t="n"/>
      <c r="O963" s="238" t="n"/>
      <c r="P963" s="238" t="n"/>
      <c r="Q963" s="246" t="n"/>
    </row>
    <row r="964" ht="13.2" customFormat="1" customHeight="1" s="47">
      <c r="B964" s="83" t="n"/>
      <c r="C964" s="83" t="n"/>
      <c r="D964" s="84" t="n"/>
      <c r="E964" s="84" t="n"/>
      <c r="F964" s="84" t="n"/>
      <c r="G964" s="84" t="n"/>
      <c r="H964" s="84" t="n"/>
      <c r="I964" s="84" t="n"/>
      <c r="J964" s="84" t="n"/>
      <c r="K964" s="84" t="n"/>
      <c r="L964" s="85" t="n"/>
      <c r="M964" s="86" t="n"/>
      <c r="N964" s="245" t="n"/>
      <c r="O964" s="238" t="n"/>
      <c r="P964" s="238" t="n"/>
      <c r="Q964" s="246" t="n"/>
    </row>
    <row r="965" ht="13.2" customFormat="1" customHeight="1" s="47">
      <c r="B965" s="83" t="n"/>
      <c r="C965" s="83" t="n"/>
      <c r="D965" s="84" t="n"/>
      <c r="E965" s="84" t="n"/>
      <c r="F965" s="84" t="n"/>
      <c r="G965" s="84" t="n"/>
      <c r="H965" s="84" t="n"/>
      <c r="I965" s="84" t="n"/>
      <c r="J965" s="84" t="n"/>
      <c r="K965" s="84" t="n"/>
      <c r="L965" s="85" t="n"/>
      <c r="M965" s="86" t="n"/>
      <c r="N965" s="245" t="n"/>
      <c r="O965" s="238" t="n"/>
      <c r="P965" s="238" t="n"/>
      <c r="Q965" s="246" t="n"/>
    </row>
    <row r="966" ht="13.2" customFormat="1" customHeight="1" s="47">
      <c r="B966" s="83" t="n"/>
      <c r="C966" s="83" t="n"/>
      <c r="D966" s="84" t="n"/>
      <c r="E966" s="84" t="n"/>
      <c r="F966" s="84" t="n"/>
      <c r="G966" s="84" t="n"/>
      <c r="H966" s="84" t="n"/>
      <c r="I966" s="84" t="n"/>
      <c r="J966" s="84" t="n"/>
      <c r="K966" s="84" t="n"/>
      <c r="L966" s="85" t="n"/>
      <c r="M966" s="86" t="n"/>
      <c r="N966" s="245" t="n"/>
      <c r="O966" s="238" t="n"/>
      <c r="P966" s="238" t="n"/>
      <c r="Q966" s="246" t="n"/>
    </row>
    <row r="967" ht="13.2" customFormat="1" customHeight="1" s="47">
      <c r="B967" s="83" t="n"/>
      <c r="C967" s="83" t="n"/>
      <c r="D967" s="84" t="n"/>
      <c r="E967" s="84" t="n"/>
      <c r="F967" s="84" t="n"/>
      <c r="G967" s="84" t="n"/>
      <c r="H967" s="84" t="n"/>
      <c r="I967" s="84" t="n"/>
      <c r="J967" s="84" t="n"/>
      <c r="K967" s="84" t="n"/>
      <c r="L967" s="85" t="n"/>
      <c r="M967" s="86" t="n"/>
      <c r="N967" s="245" t="n"/>
      <c r="O967" s="238" t="n"/>
      <c r="P967" s="238" t="n"/>
      <c r="Q967" s="246" t="n"/>
    </row>
    <row r="968" ht="13.2" customFormat="1" customHeight="1" s="47">
      <c r="B968" s="83" t="n"/>
      <c r="C968" s="83" t="n"/>
      <c r="D968" s="84" t="n"/>
      <c r="E968" s="84" t="n"/>
      <c r="F968" s="84" t="n"/>
      <c r="G968" s="84" t="n"/>
      <c r="H968" s="84" t="n"/>
      <c r="I968" s="84" t="n"/>
      <c r="J968" s="84" t="n"/>
      <c r="K968" s="84" t="n"/>
      <c r="L968" s="85" t="n"/>
      <c r="M968" s="86" t="n"/>
      <c r="N968" s="245" t="n"/>
      <c r="O968" s="238" t="n"/>
      <c r="P968" s="238" t="n"/>
      <c r="Q968" s="246" t="n"/>
    </row>
    <row r="969" ht="13.2" customFormat="1" customHeight="1" s="47">
      <c r="B969" s="83" t="n"/>
      <c r="C969" s="83" t="n"/>
      <c r="D969" s="84" t="n"/>
      <c r="E969" s="84" t="n"/>
      <c r="F969" s="84" t="n"/>
      <c r="G969" s="84" t="n"/>
      <c r="H969" s="84" t="n"/>
      <c r="I969" s="84" t="n"/>
      <c r="J969" s="84" t="n"/>
      <c r="K969" s="84" t="n"/>
      <c r="L969" s="85" t="n"/>
      <c r="M969" s="86" t="n"/>
      <c r="N969" s="245" t="n"/>
      <c r="O969" s="238" t="n"/>
      <c r="P969" s="238" t="n"/>
      <c r="Q969" s="246" t="n"/>
    </row>
    <row r="970" ht="13.2" customFormat="1" customHeight="1" s="47">
      <c r="B970" s="83" t="n"/>
      <c r="C970" s="83" t="n"/>
      <c r="D970" s="84" t="n"/>
      <c r="E970" s="84" t="n"/>
      <c r="F970" s="84" t="n"/>
      <c r="G970" s="84" t="n"/>
      <c r="H970" s="84" t="n"/>
      <c r="I970" s="84" t="n"/>
      <c r="J970" s="84" t="n"/>
      <c r="K970" s="84" t="n"/>
      <c r="L970" s="85" t="n"/>
      <c r="M970" s="86" t="n"/>
      <c r="N970" s="245" t="n"/>
      <c r="O970" s="238" t="n"/>
      <c r="P970" s="238" t="n"/>
      <c r="Q970" s="246" t="n"/>
    </row>
    <row r="971" ht="13.2" customFormat="1" customHeight="1" s="47">
      <c r="B971" s="83" t="n"/>
      <c r="C971" s="83" t="n"/>
      <c r="D971" s="84" t="n"/>
      <c r="E971" s="84" t="n"/>
      <c r="F971" s="84" t="n"/>
      <c r="G971" s="84" t="n"/>
      <c r="H971" s="84" t="n"/>
      <c r="I971" s="84" t="n"/>
      <c r="J971" s="84" t="n"/>
      <c r="K971" s="84" t="n"/>
      <c r="L971" s="85" t="n"/>
      <c r="M971" s="86" t="n"/>
      <c r="N971" s="245" t="n"/>
      <c r="O971" s="238" t="n"/>
      <c r="P971" s="238" t="n"/>
      <c r="Q971" s="246" t="n"/>
    </row>
    <row r="972" ht="13.2" customFormat="1" customHeight="1" s="47">
      <c r="B972" s="83" t="n"/>
      <c r="C972" s="83" t="n"/>
      <c r="D972" s="84" t="n"/>
      <c r="E972" s="84" t="n"/>
      <c r="F972" s="84" t="n"/>
      <c r="G972" s="84" t="n"/>
      <c r="H972" s="84" t="n"/>
      <c r="I972" s="84" t="n"/>
      <c r="J972" s="84" t="n"/>
      <c r="K972" s="84" t="n"/>
      <c r="L972" s="85" t="n"/>
      <c r="M972" s="86" t="n"/>
      <c r="N972" s="245" t="n"/>
      <c r="O972" s="238" t="n"/>
      <c r="P972" s="238" t="n"/>
      <c r="Q972" s="246" t="n"/>
    </row>
    <row r="973" ht="13.2" customFormat="1" customHeight="1" s="47">
      <c r="B973" s="83" t="n"/>
      <c r="C973" s="83" t="n"/>
      <c r="D973" s="84" t="n"/>
      <c r="E973" s="84" t="n"/>
      <c r="F973" s="84" t="n"/>
      <c r="G973" s="84" t="n"/>
      <c r="H973" s="84" t="n"/>
      <c r="I973" s="84" t="n"/>
      <c r="J973" s="84" t="n"/>
      <c r="K973" s="84" t="n"/>
      <c r="L973" s="85" t="n"/>
      <c r="M973" s="86" t="n"/>
      <c r="N973" s="245" t="n"/>
      <c r="O973" s="238" t="n"/>
      <c r="P973" s="238" t="n"/>
      <c r="Q973" s="246" t="n"/>
    </row>
    <row r="974" ht="13.2" customFormat="1" customHeight="1" s="47">
      <c r="B974" s="83" t="n"/>
      <c r="C974" s="83" t="n"/>
      <c r="D974" s="84" t="n"/>
      <c r="E974" s="84" t="n"/>
      <c r="F974" s="84" t="n"/>
      <c r="G974" s="84" t="n"/>
      <c r="H974" s="84" t="n"/>
      <c r="I974" s="84" t="n"/>
      <c r="J974" s="84" t="n"/>
      <c r="K974" s="84" t="n"/>
      <c r="L974" s="85" t="n"/>
      <c r="M974" s="86" t="n"/>
      <c r="N974" s="245" t="n"/>
      <c r="O974" s="238" t="n"/>
      <c r="P974" s="238" t="n"/>
      <c r="Q974" s="246" t="n"/>
    </row>
    <row r="975" ht="13.2" customFormat="1" customHeight="1" s="47">
      <c r="B975" s="83" t="n"/>
      <c r="C975" s="83" t="n"/>
      <c r="D975" s="84" t="n"/>
      <c r="E975" s="84" t="n"/>
      <c r="F975" s="84" t="n"/>
      <c r="G975" s="84" t="n"/>
      <c r="H975" s="84" t="n"/>
      <c r="I975" s="84" t="n"/>
      <c r="J975" s="84" t="n"/>
      <c r="K975" s="84" t="n"/>
      <c r="L975" s="85" t="n"/>
      <c r="M975" s="86" t="n"/>
      <c r="N975" s="245" t="n"/>
      <c r="O975" s="238" t="n"/>
      <c r="P975" s="238" t="n"/>
      <c r="Q975" s="246" t="n"/>
    </row>
    <row r="976" ht="13.2" customFormat="1" customHeight="1" s="47">
      <c r="B976" s="83" t="n"/>
      <c r="C976" s="83" t="n"/>
      <c r="D976" s="84" t="n"/>
      <c r="E976" s="84" t="n"/>
      <c r="F976" s="84" t="n"/>
      <c r="G976" s="84" t="n"/>
      <c r="H976" s="84" t="n"/>
      <c r="I976" s="84" t="n"/>
      <c r="J976" s="84" t="n"/>
      <c r="K976" s="84" t="n"/>
      <c r="L976" s="85" t="n"/>
      <c r="M976" s="86" t="n"/>
      <c r="N976" s="245" t="n"/>
      <c r="O976" s="238" t="n"/>
      <c r="P976" s="238" t="n"/>
      <c r="Q976" s="246" t="n"/>
    </row>
    <row r="977" ht="13.2" customFormat="1" customHeight="1" s="47">
      <c r="B977" s="83" t="n"/>
      <c r="C977" s="83" t="n"/>
      <c r="D977" s="84" t="n"/>
      <c r="E977" s="84" t="n"/>
      <c r="F977" s="84" t="n"/>
      <c r="G977" s="84" t="n"/>
      <c r="H977" s="84" t="n"/>
      <c r="I977" s="84" t="n"/>
      <c r="J977" s="84" t="n"/>
      <c r="K977" s="84" t="n"/>
      <c r="L977" s="85" t="n"/>
      <c r="M977" s="86" t="n"/>
      <c r="N977" s="245" t="n"/>
      <c r="O977" s="238" t="n"/>
      <c r="P977" s="238" t="n"/>
      <c r="Q977" s="246" t="n"/>
    </row>
    <row r="978" ht="13.2" customFormat="1" customHeight="1" s="47">
      <c r="B978" s="83" t="n"/>
      <c r="C978" s="83" t="n"/>
      <c r="D978" s="84" t="n"/>
      <c r="E978" s="84" t="n"/>
      <c r="F978" s="84" t="n"/>
      <c r="G978" s="84" t="n"/>
      <c r="H978" s="84" t="n"/>
      <c r="I978" s="84" t="n"/>
      <c r="J978" s="84" t="n"/>
      <c r="K978" s="84" t="n"/>
      <c r="L978" s="85" t="n"/>
      <c r="M978" s="86" t="n"/>
      <c r="N978" s="245" t="n"/>
      <c r="O978" s="238" t="n"/>
      <c r="P978" s="238" t="n"/>
      <c r="Q978" s="246" t="n"/>
    </row>
    <row r="979" ht="13.2" customFormat="1" customHeight="1" s="47">
      <c r="B979" s="83" t="n"/>
      <c r="C979" s="83" t="n"/>
      <c r="D979" s="84" t="n"/>
      <c r="E979" s="84" t="n"/>
      <c r="F979" s="84" t="n"/>
      <c r="G979" s="84" t="n"/>
      <c r="H979" s="84" t="n"/>
      <c r="I979" s="84" t="n"/>
      <c r="J979" s="84" t="n"/>
      <c r="K979" s="84" t="n"/>
      <c r="L979" s="85" t="n"/>
      <c r="M979" s="86" t="n"/>
      <c r="N979" s="245" t="n"/>
      <c r="O979" s="238" t="n"/>
      <c r="P979" s="238" t="n"/>
      <c r="Q979" s="246" t="n"/>
    </row>
    <row r="980" ht="13.2" customFormat="1" customHeight="1" s="47">
      <c r="B980" s="83" t="n"/>
      <c r="C980" s="83" t="n"/>
      <c r="D980" s="84" t="n"/>
      <c r="E980" s="84" t="n"/>
      <c r="F980" s="84" t="n"/>
      <c r="G980" s="84" t="n"/>
      <c r="H980" s="84" t="n"/>
      <c r="I980" s="84" t="n"/>
      <c r="J980" s="84" t="n"/>
      <c r="K980" s="84" t="n"/>
      <c r="L980" s="85" t="n"/>
      <c r="M980" s="86" t="n"/>
      <c r="N980" s="245" t="n"/>
      <c r="O980" s="238" t="n"/>
      <c r="P980" s="238" t="n"/>
      <c r="Q980" s="246" t="n"/>
    </row>
    <row r="981" ht="13.2" customFormat="1" customHeight="1" s="47">
      <c r="B981" s="83" t="n"/>
      <c r="C981" s="83" t="n"/>
      <c r="D981" s="84" t="n"/>
      <c r="E981" s="84" t="n"/>
      <c r="F981" s="84" t="n"/>
      <c r="G981" s="84" t="n"/>
      <c r="H981" s="84" t="n"/>
      <c r="I981" s="84" t="n"/>
      <c r="J981" s="84" t="n"/>
      <c r="K981" s="84" t="n"/>
      <c r="L981" s="85" t="n"/>
      <c r="M981" s="86" t="n"/>
      <c r="N981" s="245" t="n"/>
      <c r="O981" s="238" t="n"/>
      <c r="P981" s="238" t="n"/>
      <c r="Q981" s="246" t="n"/>
    </row>
    <row r="982" ht="13.2" customFormat="1" customHeight="1" s="47">
      <c r="B982" s="83" t="n"/>
      <c r="C982" s="83" t="n"/>
      <c r="D982" s="84" t="n"/>
      <c r="E982" s="84" t="n"/>
      <c r="F982" s="84" t="n"/>
      <c r="G982" s="84" t="n"/>
      <c r="H982" s="84" t="n"/>
      <c r="I982" s="84" t="n"/>
      <c r="J982" s="84" t="n"/>
      <c r="K982" s="84" t="n"/>
      <c r="L982" s="85" t="n"/>
      <c r="M982" s="86" t="n"/>
      <c r="N982" s="245" t="n"/>
      <c r="O982" s="238" t="n"/>
      <c r="P982" s="238" t="n"/>
      <c r="Q982" s="246" t="n"/>
    </row>
    <row r="983" ht="13.2" customFormat="1" customHeight="1" s="47">
      <c r="B983" s="83" t="n"/>
      <c r="C983" s="83" t="n"/>
      <c r="D983" s="84" t="n"/>
      <c r="E983" s="84" t="n"/>
      <c r="F983" s="84" t="n"/>
      <c r="G983" s="84" t="n"/>
      <c r="H983" s="84" t="n"/>
      <c r="I983" s="84" t="n"/>
      <c r="J983" s="84" t="n"/>
      <c r="K983" s="84" t="n"/>
      <c r="L983" s="85" t="n"/>
      <c r="M983" s="86" t="n"/>
      <c r="N983" s="245" t="n"/>
      <c r="O983" s="238" t="n"/>
      <c r="P983" s="238" t="n"/>
      <c r="Q983" s="246" t="n"/>
    </row>
    <row r="984" ht="13.2" customFormat="1" customHeight="1" s="47">
      <c r="B984" s="83" t="n"/>
      <c r="C984" s="83" t="n"/>
      <c r="D984" s="84" t="n"/>
      <c r="E984" s="84" t="n"/>
      <c r="F984" s="84" t="n"/>
      <c r="G984" s="84" t="n"/>
      <c r="H984" s="84" t="n"/>
      <c r="I984" s="84" t="n"/>
      <c r="J984" s="84" t="n"/>
      <c r="K984" s="84" t="n"/>
      <c r="L984" s="85" t="n"/>
      <c r="M984" s="86" t="n"/>
      <c r="N984" s="245" t="n"/>
      <c r="O984" s="238" t="n"/>
      <c r="P984" s="238" t="n"/>
      <c r="Q984" s="246" t="n"/>
    </row>
    <row r="985" ht="13.2" customFormat="1" customHeight="1" s="47">
      <c r="B985" s="83" t="n"/>
      <c r="C985" s="83" t="n"/>
      <c r="D985" s="84" t="n"/>
      <c r="E985" s="84" t="n"/>
      <c r="F985" s="84" t="n"/>
      <c r="G985" s="84" t="n"/>
      <c r="H985" s="84" t="n"/>
      <c r="I985" s="84" t="n"/>
      <c r="J985" s="84" t="n"/>
      <c r="K985" s="84" t="n"/>
      <c r="L985" s="85" t="n"/>
      <c r="M985" s="86" t="n"/>
      <c r="N985" s="245" t="n"/>
      <c r="O985" s="238" t="n"/>
      <c r="P985" s="238" t="n"/>
      <c r="Q985" s="246" t="n"/>
    </row>
    <row r="986" ht="13.2" customFormat="1" customHeight="1" s="47">
      <c r="B986" s="83" t="n"/>
      <c r="C986" s="83" t="n"/>
      <c r="D986" s="84" t="n"/>
      <c r="E986" s="84" t="n"/>
      <c r="F986" s="84" t="n"/>
      <c r="G986" s="84" t="n"/>
      <c r="H986" s="84" t="n"/>
      <c r="I986" s="84" t="n"/>
      <c r="J986" s="84" t="n"/>
      <c r="K986" s="84" t="n"/>
      <c r="L986" s="85" t="n"/>
      <c r="M986" s="86" t="n"/>
      <c r="N986" s="245" t="n"/>
      <c r="O986" s="238" t="n"/>
      <c r="P986" s="238" t="n"/>
      <c r="Q986" s="246" t="n"/>
    </row>
    <row r="987" ht="13.2" customFormat="1" customHeight="1" s="47">
      <c r="B987" s="83" t="n"/>
      <c r="C987" s="83" t="n"/>
      <c r="D987" s="84" t="n"/>
      <c r="E987" s="84" t="n"/>
      <c r="F987" s="84" t="n"/>
      <c r="G987" s="84" t="n"/>
      <c r="H987" s="84" t="n"/>
      <c r="I987" s="84" t="n"/>
      <c r="J987" s="84" t="n"/>
      <c r="K987" s="84" t="n"/>
      <c r="L987" s="85" t="n"/>
      <c r="M987" s="86" t="n"/>
      <c r="N987" s="245" t="n"/>
      <c r="O987" s="238" t="n"/>
      <c r="P987" s="238" t="n"/>
      <c r="Q987" s="246" t="n"/>
    </row>
    <row r="988" ht="13.2" customFormat="1" customHeight="1" s="47">
      <c r="B988" s="83" t="n"/>
      <c r="C988" s="83" t="n"/>
      <c r="D988" s="84" t="n"/>
      <c r="E988" s="84" t="n"/>
      <c r="F988" s="84" t="n"/>
      <c r="G988" s="84" t="n"/>
      <c r="H988" s="84" t="n"/>
      <c r="I988" s="84" t="n"/>
      <c r="J988" s="84" t="n"/>
      <c r="K988" s="84" t="n"/>
      <c r="L988" s="85" t="n"/>
      <c r="M988" s="86" t="n"/>
      <c r="N988" s="245" t="n"/>
      <c r="O988" s="238" t="n"/>
      <c r="P988" s="238" t="n"/>
      <c r="Q988" s="246" t="n"/>
    </row>
    <row r="989" ht="13.2" customFormat="1" customHeight="1" s="47">
      <c r="B989" s="83" t="n"/>
      <c r="C989" s="83" t="n"/>
      <c r="D989" s="84" t="n"/>
      <c r="E989" s="84" t="n"/>
      <c r="F989" s="84" t="n"/>
      <c r="G989" s="84" t="n"/>
      <c r="H989" s="84" t="n"/>
      <c r="I989" s="84" t="n"/>
      <c r="J989" s="84" t="n"/>
      <c r="K989" s="84" t="n"/>
      <c r="L989" s="85" t="n"/>
      <c r="M989" s="86" t="n"/>
      <c r="N989" s="245" t="n"/>
      <c r="O989" s="238" t="n"/>
      <c r="P989" s="238" t="n"/>
      <c r="Q989" s="246" t="n"/>
    </row>
    <row r="990" ht="13.2" customFormat="1" customHeight="1" s="47">
      <c r="B990" s="83" t="n"/>
      <c r="C990" s="83" t="n"/>
      <c r="D990" s="84" t="n"/>
      <c r="E990" s="84" t="n"/>
      <c r="F990" s="84" t="n"/>
      <c r="G990" s="84" t="n"/>
      <c r="H990" s="84" t="n"/>
      <c r="I990" s="84" t="n"/>
      <c r="J990" s="84" t="n"/>
      <c r="K990" s="84" t="n"/>
      <c r="L990" s="85" t="n"/>
      <c r="M990" s="86" t="n"/>
      <c r="N990" s="245" t="n"/>
      <c r="O990" s="238" t="n"/>
      <c r="P990" s="238" t="n"/>
      <c r="Q990" s="246" t="n"/>
    </row>
    <row r="991" ht="13.2" customFormat="1" customHeight="1" s="47">
      <c r="B991" s="83" t="n"/>
      <c r="C991" s="83" t="n"/>
      <c r="D991" s="84" t="n"/>
      <c r="E991" s="84" t="n"/>
      <c r="F991" s="84" t="n"/>
      <c r="G991" s="84" t="n"/>
      <c r="H991" s="84" t="n"/>
      <c r="I991" s="84" t="n"/>
      <c r="J991" s="84" t="n"/>
      <c r="K991" s="84" t="n"/>
      <c r="L991" s="85" t="n"/>
      <c r="M991" s="86" t="n"/>
      <c r="N991" s="245" t="n"/>
      <c r="O991" s="238" t="n"/>
      <c r="P991" s="238" t="n"/>
      <c r="Q991" s="246" t="n"/>
    </row>
    <row r="992" ht="13.2" customFormat="1" customHeight="1" s="47">
      <c r="B992" s="83" t="n"/>
      <c r="C992" s="83" t="n"/>
      <c r="D992" s="84" t="n"/>
      <c r="E992" s="84" t="n"/>
      <c r="F992" s="84" t="n"/>
      <c r="G992" s="84" t="n"/>
      <c r="H992" s="84" t="n"/>
      <c r="I992" s="84" t="n"/>
      <c r="J992" s="84" t="n"/>
      <c r="K992" s="84" t="n"/>
      <c r="L992" s="85" t="n"/>
      <c r="M992" s="86" t="n"/>
      <c r="N992" s="245" t="n"/>
      <c r="O992" s="238" t="n"/>
      <c r="P992" s="238" t="n"/>
      <c r="Q992" s="246" t="n"/>
    </row>
    <row r="993" ht="13.2" customFormat="1" customHeight="1" s="47">
      <c r="B993" s="83" t="n"/>
      <c r="C993" s="83" t="n"/>
      <c r="D993" s="84" t="n"/>
      <c r="E993" s="84" t="n"/>
      <c r="F993" s="84" t="n"/>
      <c r="G993" s="84" t="n"/>
      <c r="H993" s="84" t="n"/>
      <c r="I993" s="84" t="n"/>
      <c r="J993" s="84" t="n"/>
      <c r="K993" s="84" t="n"/>
      <c r="L993" s="85" t="n"/>
      <c r="M993" s="86" t="n"/>
      <c r="N993" s="245" t="n"/>
      <c r="O993" s="238" t="n"/>
      <c r="P993" s="238" t="n"/>
      <c r="Q993" s="246" t="n"/>
    </row>
    <row r="994" ht="13.2" customFormat="1" customHeight="1" s="47">
      <c r="B994" s="83" t="n"/>
      <c r="C994" s="83" t="n"/>
      <c r="D994" s="84" t="n"/>
      <c r="E994" s="84" t="n"/>
      <c r="F994" s="84" t="n"/>
      <c r="G994" s="84" t="n"/>
      <c r="H994" s="84" t="n"/>
      <c r="I994" s="84" t="n"/>
      <c r="J994" s="84" t="n"/>
      <c r="K994" s="84" t="n"/>
      <c r="L994" s="85" t="n"/>
      <c r="M994" s="86" t="n"/>
      <c r="N994" s="245" t="n"/>
      <c r="O994" s="238" t="n"/>
      <c r="P994" s="238" t="n"/>
      <c r="Q994" s="246" t="n"/>
    </row>
    <row r="995" ht="13.2" customFormat="1" customHeight="1" s="47">
      <c r="B995" s="83" t="n"/>
      <c r="C995" s="83" t="n"/>
      <c r="D995" s="84" t="n"/>
      <c r="E995" s="84" t="n"/>
      <c r="F995" s="84" t="n"/>
      <c r="G995" s="84" t="n"/>
      <c r="H995" s="84" t="n"/>
      <c r="I995" s="84" t="n"/>
      <c r="J995" s="84" t="n"/>
      <c r="K995" s="84" t="n"/>
      <c r="L995" s="85" t="n"/>
      <c r="M995" s="86" t="n"/>
      <c r="N995" s="245" t="n"/>
      <c r="O995" s="238" t="n"/>
      <c r="P995" s="238" t="n"/>
      <c r="Q995" s="246" t="n"/>
    </row>
    <row r="996" ht="13.2" customFormat="1" customHeight="1" s="47">
      <c r="B996" s="83" t="n"/>
      <c r="C996" s="83" t="n"/>
      <c r="D996" s="84" t="n"/>
      <c r="E996" s="84" t="n"/>
      <c r="F996" s="84" t="n"/>
      <c r="G996" s="84" t="n"/>
      <c r="H996" s="84" t="n"/>
      <c r="I996" s="84" t="n"/>
      <c r="J996" s="84" t="n"/>
      <c r="K996" s="84" t="n"/>
      <c r="L996" s="85" t="n"/>
      <c r="M996" s="86" t="n"/>
      <c r="N996" s="245" t="n"/>
      <c r="O996" s="238" t="n"/>
      <c r="P996" s="238" t="n"/>
      <c r="Q996" s="246" t="n"/>
    </row>
    <row r="997" ht="13.2" customFormat="1" customHeight="1" s="47">
      <c r="B997" s="83" t="n"/>
      <c r="C997" s="83" t="n"/>
      <c r="D997" s="84" t="n"/>
      <c r="E997" s="84" t="n"/>
      <c r="F997" s="84" t="n"/>
      <c r="G997" s="84" t="n"/>
      <c r="H997" s="84" t="n"/>
      <c r="I997" s="84" t="n"/>
      <c r="J997" s="84" t="n"/>
      <c r="K997" s="84" t="n"/>
      <c r="L997" s="85" t="n"/>
      <c r="M997" s="86" t="n"/>
      <c r="N997" s="245" t="n"/>
      <c r="O997" s="238" t="n"/>
      <c r="P997" s="238" t="n"/>
      <c r="Q997" s="246" t="n"/>
    </row>
    <row r="998" ht="13.2" customFormat="1" customHeight="1" s="47">
      <c r="B998" s="83" t="n"/>
      <c r="C998" s="83" t="n"/>
      <c r="D998" s="84" t="n"/>
      <c r="E998" s="84" t="n"/>
      <c r="F998" s="84" t="n"/>
      <c r="G998" s="84" t="n"/>
      <c r="H998" s="84" t="n"/>
      <c r="I998" s="84" t="n"/>
      <c r="J998" s="84" t="n"/>
      <c r="K998" s="84" t="n"/>
      <c r="L998" s="85" t="n"/>
      <c r="M998" s="86" t="n"/>
      <c r="N998" s="245" t="n"/>
      <c r="O998" s="238" t="n"/>
      <c r="P998" s="238" t="n"/>
      <c r="Q998" s="246" t="n"/>
    </row>
    <row r="999" ht="13.2" customFormat="1" customHeight="1" s="47">
      <c r="B999" s="83" t="n"/>
      <c r="C999" s="83" t="n"/>
      <c r="D999" s="84" t="n"/>
      <c r="E999" s="84" t="n"/>
      <c r="F999" s="84" t="n"/>
      <c r="G999" s="84" t="n"/>
      <c r="H999" s="84" t="n"/>
      <c r="I999" s="84" t="n"/>
      <c r="J999" s="84" t="n"/>
      <c r="K999" s="84" t="n"/>
      <c r="L999" s="85" t="n"/>
      <c r="M999" s="86" t="n"/>
      <c r="N999" s="245" t="n"/>
      <c r="O999" s="238" t="n"/>
      <c r="P999" s="238" t="n"/>
      <c r="Q999" s="246" t="n"/>
    </row>
    <row r="1000" ht="13.2" customFormat="1" customHeight="1" s="47">
      <c r="B1000" s="83" t="n"/>
      <c r="C1000" s="83" t="n"/>
      <c r="D1000" s="84" t="n"/>
      <c r="E1000" s="84" t="n"/>
      <c r="F1000" s="84" t="n"/>
      <c r="G1000" s="84" t="n"/>
      <c r="H1000" s="84" t="n"/>
      <c r="I1000" s="84" t="n"/>
      <c r="J1000" s="84" t="n"/>
      <c r="K1000" s="84" t="n"/>
      <c r="L1000" s="85" t="n"/>
      <c r="M1000" s="86" t="n"/>
      <c r="N1000" s="245" t="n"/>
      <c r="O1000" s="238" t="n"/>
      <c r="P1000" s="238" t="n"/>
      <c r="Q1000" s="246" t="n"/>
    </row>
    <row r="1001" ht="13.2" customFormat="1" customHeight="1" s="47">
      <c r="B1001" s="83" t="n"/>
      <c r="C1001" s="83" t="n"/>
      <c r="D1001" s="84" t="n"/>
      <c r="E1001" s="84" t="n"/>
      <c r="F1001" s="84" t="n"/>
      <c r="G1001" s="84" t="n"/>
      <c r="H1001" s="84" t="n"/>
      <c r="I1001" s="84" t="n"/>
      <c r="J1001" s="84" t="n"/>
      <c r="K1001" s="84" t="n"/>
      <c r="L1001" s="85" t="n"/>
      <c r="M1001" s="86" t="n"/>
      <c r="N1001" s="245" t="n"/>
      <c r="O1001" s="238" t="n"/>
      <c r="P1001" s="238" t="n"/>
      <c r="Q1001" s="246" t="n"/>
    </row>
    <row r="1002" ht="13.2" customFormat="1" customHeight="1" s="47">
      <c r="B1002" s="83" t="n"/>
      <c r="C1002" s="83" t="n"/>
      <c r="D1002" s="84" t="n"/>
      <c r="E1002" s="84" t="n"/>
      <c r="F1002" s="84" t="n"/>
      <c r="G1002" s="84" t="n"/>
      <c r="H1002" s="84" t="n"/>
      <c r="I1002" s="84" t="n"/>
      <c r="J1002" s="84" t="n"/>
      <c r="K1002" s="84" t="n"/>
      <c r="L1002" s="85" t="n"/>
      <c r="M1002" s="86" t="n"/>
      <c r="N1002" s="245" t="n"/>
      <c r="O1002" s="238" t="n"/>
      <c r="P1002" s="238" t="n"/>
      <c r="Q1002" s="246" t="n"/>
    </row>
    <row r="1003" ht="13.2" customFormat="1" customHeight="1" s="47">
      <c r="B1003" s="83" t="n"/>
      <c r="C1003" s="83" t="n"/>
      <c r="D1003" s="84" t="n"/>
      <c r="E1003" s="84" t="n"/>
      <c r="F1003" s="84" t="n"/>
      <c r="G1003" s="84" t="n"/>
      <c r="H1003" s="84" t="n"/>
      <c r="I1003" s="84" t="n"/>
      <c r="J1003" s="84" t="n"/>
      <c r="K1003" s="84" t="n"/>
      <c r="L1003" s="85" t="n"/>
      <c r="M1003" s="86" t="n"/>
      <c r="N1003" s="245" t="n"/>
      <c r="O1003" s="238" t="n"/>
      <c r="P1003" s="238" t="n"/>
      <c r="Q1003" s="246" t="n"/>
    </row>
    <row r="1004" ht="13.2" customFormat="1" customHeight="1" s="47">
      <c r="B1004" s="83" t="n"/>
      <c r="C1004" s="83" t="n"/>
      <c r="D1004" s="84" t="n"/>
      <c r="E1004" s="84" t="n"/>
      <c r="F1004" s="84" t="n"/>
      <c r="G1004" s="84" t="n"/>
      <c r="H1004" s="84" t="n"/>
      <c r="I1004" s="84" t="n"/>
      <c r="J1004" s="84" t="n"/>
      <c r="K1004" s="84" t="n"/>
      <c r="L1004" s="85" t="n"/>
      <c r="M1004" s="86" t="n"/>
      <c r="N1004" s="245" t="n"/>
      <c r="O1004" s="238" t="n"/>
      <c r="P1004" s="238" t="n"/>
      <c r="Q1004" s="246" t="n"/>
    </row>
    <row r="1005" ht="13.2" customFormat="1" customHeight="1" s="47">
      <c r="B1005" s="83" t="n"/>
      <c r="C1005" s="83" t="n"/>
      <c r="D1005" s="84" t="n"/>
      <c r="E1005" s="84" t="n"/>
      <c r="F1005" s="84" t="n"/>
      <c r="G1005" s="84" t="n"/>
      <c r="H1005" s="84" t="n"/>
      <c r="I1005" s="84" t="n"/>
      <c r="J1005" s="84" t="n"/>
      <c r="K1005" s="84" t="n"/>
      <c r="L1005" s="85" t="n"/>
      <c r="M1005" s="86" t="n"/>
      <c r="N1005" s="245" t="n"/>
      <c r="O1005" s="238" t="n"/>
      <c r="P1005" s="238" t="n"/>
      <c r="Q1005" s="246" t="n"/>
    </row>
    <row r="1006" ht="13.2" customFormat="1" customHeight="1" s="47">
      <c r="B1006" s="83" t="n"/>
      <c r="C1006" s="83" t="n"/>
      <c r="D1006" s="84" t="n"/>
      <c r="E1006" s="84" t="n"/>
      <c r="F1006" s="84" t="n"/>
      <c r="G1006" s="84" t="n"/>
      <c r="H1006" s="84" t="n"/>
      <c r="I1006" s="84" t="n"/>
      <c r="J1006" s="84" t="n"/>
      <c r="K1006" s="84" t="n"/>
      <c r="L1006" s="85" t="n"/>
      <c r="M1006" s="86" t="n"/>
      <c r="N1006" s="245" t="n"/>
      <c r="O1006" s="238" t="n"/>
      <c r="P1006" s="238" t="n"/>
      <c r="Q1006" s="246" t="n"/>
    </row>
    <row r="1007" ht="13.2" customFormat="1" customHeight="1" s="47">
      <c r="B1007" s="83" t="n"/>
      <c r="C1007" s="83" t="n"/>
      <c r="D1007" s="84" t="n"/>
      <c r="E1007" s="84" t="n"/>
      <c r="F1007" s="84" t="n"/>
      <c r="G1007" s="84" t="n"/>
      <c r="H1007" s="84" t="n"/>
      <c r="I1007" s="84" t="n"/>
      <c r="J1007" s="84" t="n"/>
      <c r="K1007" s="84" t="n"/>
      <c r="L1007" s="85" t="n"/>
      <c r="M1007" s="86" t="n"/>
      <c r="N1007" s="245" t="n"/>
      <c r="O1007" s="238" t="n"/>
      <c r="P1007" s="238" t="n"/>
      <c r="Q1007" s="246" t="n"/>
    </row>
    <row r="1008" ht="13.2" customFormat="1" customHeight="1" s="47">
      <c r="B1008" s="83" t="n"/>
      <c r="C1008" s="83" t="n"/>
      <c r="D1008" s="84" t="n"/>
      <c r="E1008" s="84" t="n"/>
      <c r="F1008" s="84" t="n"/>
      <c r="G1008" s="84" t="n"/>
      <c r="H1008" s="84" t="n"/>
      <c r="I1008" s="84" t="n"/>
      <c r="J1008" s="84" t="n"/>
      <c r="K1008" s="84" t="n"/>
      <c r="L1008" s="85" t="n"/>
      <c r="M1008" s="86" t="n"/>
      <c r="N1008" s="245" t="n"/>
      <c r="O1008" s="238" t="n"/>
      <c r="P1008" s="238" t="n"/>
      <c r="Q1008" s="246" t="n"/>
    </row>
    <row r="1009" ht="13.2" customFormat="1" customHeight="1" s="47">
      <c r="B1009" s="83" t="n"/>
      <c r="C1009" s="83" t="n"/>
      <c r="D1009" s="84" t="n"/>
      <c r="E1009" s="84" t="n"/>
      <c r="F1009" s="84" t="n"/>
      <c r="G1009" s="84" t="n"/>
      <c r="H1009" s="84" t="n"/>
      <c r="I1009" s="84" t="n"/>
      <c r="J1009" s="84" t="n"/>
      <c r="K1009" s="84" t="n"/>
      <c r="L1009" s="85" t="n"/>
      <c r="M1009" s="86" t="n"/>
      <c r="N1009" s="245" t="n"/>
      <c r="O1009" s="238" t="n"/>
      <c r="P1009" s="238" t="n"/>
      <c r="Q1009" s="246" t="n"/>
    </row>
    <row r="1010" ht="13.2" customFormat="1" customHeight="1" s="47">
      <c r="B1010" s="83" t="n"/>
      <c r="C1010" s="83" t="n"/>
      <c r="D1010" s="84" t="n"/>
      <c r="E1010" s="84" t="n"/>
      <c r="F1010" s="84" t="n"/>
      <c r="G1010" s="84" t="n"/>
      <c r="H1010" s="84" t="n"/>
      <c r="I1010" s="84" t="n"/>
      <c r="J1010" s="84" t="n"/>
      <c r="K1010" s="84" t="n"/>
      <c r="L1010" s="85" t="n"/>
      <c r="M1010" s="86" t="n"/>
      <c r="N1010" s="245" t="n"/>
      <c r="O1010" s="238" t="n"/>
      <c r="P1010" s="238" t="n"/>
      <c r="Q1010" s="246" t="n"/>
    </row>
    <row r="1011" ht="13.2" customFormat="1" customHeight="1" s="47">
      <c r="B1011" s="83" t="n"/>
      <c r="C1011" s="83" t="n"/>
      <c r="D1011" s="84" t="n"/>
      <c r="E1011" s="84" t="n"/>
      <c r="F1011" s="84" t="n"/>
      <c r="G1011" s="84" t="n"/>
      <c r="H1011" s="84" t="n"/>
      <c r="I1011" s="84" t="n"/>
      <c r="J1011" s="84" t="n"/>
      <c r="K1011" s="84" t="n"/>
      <c r="L1011" s="85" t="n"/>
      <c r="M1011" s="86" t="n"/>
      <c r="N1011" s="245" t="n"/>
      <c r="O1011" s="238" t="n"/>
      <c r="P1011" s="238" t="n"/>
      <c r="Q1011" s="246" t="n"/>
    </row>
    <row r="1012" ht="13.2" customFormat="1" customHeight="1" s="47">
      <c r="B1012" s="83" t="n"/>
      <c r="C1012" s="83" t="n"/>
      <c r="D1012" s="84" t="n"/>
      <c r="E1012" s="84" t="n"/>
      <c r="F1012" s="84" t="n"/>
      <c r="G1012" s="84" t="n"/>
      <c r="H1012" s="84" t="n"/>
      <c r="I1012" s="84" t="n"/>
      <c r="J1012" s="84" t="n"/>
      <c r="K1012" s="84" t="n"/>
      <c r="L1012" s="85" t="n"/>
      <c r="M1012" s="86" t="n"/>
      <c r="N1012" s="245" t="n"/>
      <c r="O1012" s="238" t="n"/>
      <c r="P1012" s="238" t="n"/>
      <c r="Q1012" s="246" t="n"/>
    </row>
    <row r="1013" ht="13.2" customFormat="1" customHeight="1" s="47">
      <c r="B1013" s="83" t="n"/>
      <c r="C1013" s="83" t="n"/>
      <c r="D1013" s="84" t="n"/>
      <c r="E1013" s="84" t="n"/>
      <c r="F1013" s="84" t="n"/>
      <c r="G1013" s="84" t="n"/>
      <c r="H1013" s="84" t="n"/>
      <c r="I1013" s="84" t="n"/>
      <c r="J1013" s="84" t="n"/>
      <c r="K1013" s="84" t="n"/>
      <c r="L1013" s="85" t="n"/>
      <c r="M1013" s="86" t="n"/>
      <c r="N1013" s="245" t="n"/>
      <c r="O1013" s="238" t="n"/>
      <c r="P1013" s="238" t="n"/>
      <c r="Q1013" s="246" t="n"/>
    </row>
    <row r="1014" ht="13.2" customFormat="1" customHeight="1" s="47">
      <c r="B1014" s="83" t="n"/>
      <c r="C1014" s="83" t="n"/>
      <c r="D1014" s="84" t="n"/>
      <c r="E1014" s="84" t="n"/>
      <c r="F1014" s="84" t="n"/>
      <c r="G1014" s="84" t="n"/>
      <c r="H1014" s="84" t="n"/>
      <c r="I1014" s="84" t="n"/>
      <c r="J1014" s="84" t="n"/>
      <c r="K1014" s="84" t="n"/>
      <c r="L1014" s="85" t="n"/>
      <c r="M1014" s="86" t="n"/>
      <c r="N1014" s="245" t="n"/>
      <c r="O1014" s="238" t="n"/>
      <c r="P1014" s="238" t="n"/>
      <c r="Q1014" s="246" t="n"/>
    </row>
    <row r="1015" ht="13.2" customFormat="1" customHeight="1" s="47">
      <c r="B1015" s="83" t="n"/>
      <c r="C1015" s="83" t="n"/>
      <c r="D1015" s="84" t="n"/>
      <c r="E1015" s="84" t="n"/>
      <c r="F1015" s="84" t="n"/>
      <c r="G1015" s="84" t="n"/>
      <c r="H1015" s="84" t="n"/>
      <c r="I1015" s="84" t="n"/>
      <c r="J1015" s="84" t="n"/>
      <c r="K1015" s="84" t="n"/>
      <c r="L1015" s="85" t="n"/>
      <c r="M1015" s="86" t="n"/>
      <c r="N1015" s="245" t="n"/>
      <c r="O1015" s="238" t="n"/>
      <c r="P1015" s="238" t="n"/>
      <c r="Q1015" s="246" t="n"/>
    </row>
    <row r="1016" ht="13.2" customFormat="1" customHeight="1" s="47">
      <c r="B1016" s="83" t="n"/>
      <c r="C1016" s="83" t="n"/>
      <c r="D1016" s="84" t="n"/>
      <c r="E1016" s="84" t="n"/>
      <c r="F1016" s="84" t="n"/>
      <c r="G1016" s="84" t="n"/>
      <c r="H1016" s="84" t="n"/>
      <c r="I1016" s="84" t="n"/>
      <c r="J1016" s="84" t="n"/>
      <c r="K1016" s="84" t="n"/>
      <c r="L1016" s="85" t="n"/>
      <c r="M1016" s="86" t="n"/>
      <c r="N1016" s="245" t="n"/>
      <c r="O1016" s="238" t="n"/>
      <c r="P1016" s="238" t="n"/>
      <c r="Q1016" s="246" t="n"/>
    </row>
    <row r="1017" ht="13.2" customFormat="1" customHeight="1" s="47">
      <c r="B1017" s="83" t="n"/>
      <c r="C1017" s="83" t="n"/>
      <c r="D1017" s="84" t="n"/>
      <c r="E1017" s="84" t="n"/>
      <c r="F1017" s="84" t="n"/>
      <c r="G1017" s="84" t="n"/>
      <c r="H1017" s="84" t="n"/>
      <c r="I1017" s="84" t="n"/>
      <c r="J1017" s="84" t="n"/>
      <c r="K1017" s="84" t="n"/>
      <c r="L1017" s="85" t="n"/>
      <c r="M1017" s="86" t="n"/>
      <c r="N1017" s="245" t="n"/>
      <c r="O1017" s="238" t="n"/>
      <c r="P1017" s="238" t="n"/>
      <c r="Q1017" s="246" t="n"/>
    </row>
    <row r="1018" ht="13.2" customFormat="1" customHeight="1" s="47">
      <c r="B1018" s="83" t="n"/>
      <c r="C1018" s="83" t="n"/>
      <c r="D1018" s="84" t="n"/>
      <c r="E1018" s="84" t="n"/>
      <c r="F1018" s="84" t="n"/>
      <c r="G1018" s="84" t="n"/>
      <c r="H1018" s="84" t="n"/>
      <c r="I1018" s="84" t="n"/>
      <c r="J1018" s="84" t="n"/>
      <c r="K1018" s="84" t="n"/>
      <c r="L1018" s="85" t="n"/>
      <c r="M1018" s="86" t="n"/>
      <c r="N1018" s="245" t="n"/>
      <c r="O1018" s="238" t="n"/>
      <c r="P1018" s="238" t="n"/>
      <c r="Q1018" s="246" t="n"/>
    </row>
    <row r="1019" ht="13.2" customFormat="1" customHeight="1" s="47">
      <c r="B1019" s="83" t="n"/>
      <c r="C1019" s="83" t="n"/>
      <c r="D1019" s="84" t="n"/>
      <c r="E1019" s="84" t="n"/>
      <c r="F1019" s="84" t="n"/>
      <c r="G1019" s="84" t="n"/>
      <c r="H1019" s="84" t="n"/>
      <c r="I1019" s="84" t="n"/>
      <c r="J1019" s="84" t="n"/>
      <c r="K1019" s="84" t="n"/>
      <c r="L1019" s="85" t="n"/>
      <c r="M1019" s="86" t="n"/>
      <c r="N1019" s="245" t="n"/>
      <c r="O1019" s="238" t="n"/>
      <c r="P1019" s="238" t="n"/>
      <c r="Q1019" s="246" t="n"/>
    </row>
    <row r="1020" ht="13.2" customFormat="1" customHeight="1" s="47">
      <c r="B1020" s="83" t="n"/>
      <c r="C1020" s="83" t="n"/>
      <c r="D1020" s="84" t="n"/>
      <c r="E1020" s="84" t="n"/>
      <c r="F1020" s="84" t="n"/>
      <c r="G1020" s="84" t="n"/>
      <c r="H1020" s="84" t="n"/>
      <c r="I1020" s="84" t="n"/>
      <c r="J1020" s="84" t="n"/>
      <c r="K1020" s="84" t="n"/>
      <c r="L1020" s="85" t="n"/>
      <c r="M1020" s="86" t="n"/>
      <c r="N1020" s="245" t="n"/>
      <c r="O1020" s="238" t="n"/>
      <c r="P1020" s="238" t="n"/>
      <c r="Q1020" s="246" t="n"/>
    </row>
    <row r="1021" ht="13.2" customFormat="1" customHeight="1" s="47">
      <c r="B1021" s="83" t="n"/>
      <c r="C1021" s="83" t="n"/>
      <c r="D1021" s="84" t="n"/>
      <c r="E1021" s="84" t="n"/>
      <c r="F1021" s="84" t="n"/>
      <c r="G1021" s="84" t="n"/>
      <c r="H1021" s="84" t="n"/>
      <c r="I1021" s="84" t="n"/>
      <c r="J1021" s="84" t="n"/>
      <c r="K1021" s="84" t="n"/>
      <c r="L1021" s="85" t="n"/>
      <c r="M1021" s="86" t="n"/>
      <c r="N1021" s="245" t="n"/>
      <c r="O1021" s="238" t="n"/>
      <c r="P1021" s="238" t="n"/>
      <c r="Q1021" s="246" t="n"/>
    </row>
    <row r="1022" ht="13.2" customFormat="1" customHeight="1" s="47">
      <c r="B1022" s="83" t="n"/>
      <c r="C1022" s="83" t="n"/>
      <c r="D1022" s="84" t="n"/>
      <c r="E1022" s="84" t="n"/>
      <c r="F1022" s="84" t="n"/>
      <c r="G1022" s="84" t="n"/>
      <c r="H1022" s="84" t="n"/>
      <c r="I1022" s="84" t="n"/>
      <c r="J1022" s="84" t="n"/>
      <c r="K1022" s="84" t="n"/>
      <c r="L1022" s="85" t="n"/>
      <c r="M1022" s="86" t="n"/>
      <c r="N1022" s="245" t="n"/>
      <c r="O1022" s="238" t="n"/>
      <c r="P1022" s="238" t="n"/>
      <c r="Q1022" s="246" t="n"/>
    </row>
    <row r="1023" ht="13.2" customFormat="1" customHeight="1" s="47">
      <c r="B1023" s="83" t="n"/>
      <c r="C1023" s="83" t="n"/>
      <c r="D1023" s="84" t="n"/>
      <c r="E1023" s="84" t="n"/>
      <c r="F1023" s="84" t="n"/>
      <c r="G1023" s="84" t="n"/>
      <c r="H1023" s="84" t="n"/>
      <c r="I1023" s="84" t="n"/>
      <c r="J1023" s="84" t="n"/>
      <c r="K1023" s="84" t="n"/>
      <c r="L1023" s="85" t="n"/>
      <c r="M1023" s="86" t="n"/>
      <c r="N1023" s="245" t="n"/>
      <c r="O1023" s="238" t="n"/>
      <c r="P1023" s="238" t="n"/>
      <c r="Q1023" s="246" t="n"/>
    </row>
    <row r="1024" ht="13.2" customFormat="1" customHeight="1" s="47">
      <c r="B1024" s="83" t="n"/>
      <c r="C1024" s="83" t="n"/>
      <c r="D1024" s="84" t="n"/>
      <c r="E1024" s="84" t="n"/>
      <c r="F1024" s="84" t="n"/>
      <c r="G1024" s="84" t="n"/>
      <c r="H1024" s="84" t="n"/>
      <c r="I1024" s="84" t="n"/>
      <c r="J1024" s="84" t="n"/>
      <c r="K1024" s="84" t="n"/>
      <c r="L1024" s="85" t="n"/>
      <c r="M1024" s="86" t="n"/>
      <c r="N1024" s="245" t="n"/>
      <c r="O1024" s="238" t="n"/>
      <c r="P1024" s="238" t="n"/>
      <c r="Q1024" s="246" t="n"/>
    </row>
    <row r="1025" ht="13.2" customFormat="1" customHeight="1" s="47">
      <c r="B1025" s="83" t="n"/>
      <c r="C1025" s="83" t="n"/>
      <c r="D1025" s="84" t="n"/>
      <c r="E1025" s="84" t="n"/>
      <c r="F1025" s="84" t="n"/>
      <c r="G1025" s="84" t="n"/>
      <c r="H1025" s="84" t="n"/>
      <c r="I1025" s="84" t="n"/>
      <c r="J1025" s="84" t="n"/>
      <c r="K1025" s="84" t="n"/>
      <c r="L1025" s="85" t="n"/>
      <c r="M1025" s="86" t="n"/>
      <c r="N1025" s="245" t="n"/>
      <c r="O1025" s="238" t="n"/>
      <c r="P1025" s="238" t="n"/>
      <c r="Q1025" s="246" t="n"/>
    </row>
    <row r="1026" ht="13.2" customFormat="1" customHeight="1" s="47">
      <c r="B1026" s="83" t="n"/>
      <c r="C1026" s="83" t="n"/>
      <c r="D1026" s="84" t="n"/>
      <c r="E1026" s="84" t="n"/>
      <c r="F1026" s="84" t="n"/>
      <c r="G1026" s="84" t="n"/>
      <c r="H1026" s="84" t="n"/>
      <c r="I1026" s="84" t="n"/>
      <c r="J1026" s="84" t="n"/>
      <c r="K1026" s="84" t="n"/>
      <c r="L1026" s="85" t="n"/>
      <c r="M1026" s="86" t="n"/>
      <c r="N1026" s="245" t="n"/>
      <c r="O1026" s="238" t="n"/>
      <c r="P1026" s="238" t="n"/>
      <c r="Q1026" s="246" t="n"/>
    </row>
    <row r="1027" ht="13.2" customFormat="1" customHeight="1" s="47">
      <c r="B1027" s="83" t="n"/>
      <c r="C1027" s="83" t="n"/>
      <c r="D1027" s="84" t="n"/>
      <c r="E1027" s="84" t="n"/>
      <c r="F1027" s="84" t="n"/>
      <c r="G1027" s="84" t="n"/>
      <c r="H1027" s="84" t="n"/>
      <c r="I1027" s="84" t="n"/>
      <c r="J1027" s="84" t="n"/>
      <c r="K1027" s="84" t="n"/>
      <c r="L1027" s="85" t="n"/>
      <c r="M1027" s="86" t="n"/>
      <c r="N1027" s="245" t="n"/>
      <c r="O1027" s="238" t="n"/>
      <c r="P1027" s="238" t="n"/>
      <c r="Q1027" s="246" t="n"/>
    </row>
    <row r="1028" ht="13.2" customFormat="1" customHeight="1" s="47">
      <c r="B1028" s="83" t="n"/>
      <c r="C1028" s="83" t="n"/>
      <c r="D1028" s="84" t="n"/>
      <c r="E1028" s="84" t="n"/>
      <c r="F1028" s="84" t="n"/>
      <c r="G1028" s="84" t="n"/>
      <c r="H1028" s="84" t="n"/>
      <c r="I1028" s="84" t="n"/>
      <c r="J1028" s="84" t="n"/>
      <c r="K1028" s="84" t="n"/>
      <c r="L1028" s="85" t="n"/>
      <c r="M1028" s="86" t="n"/>
      <c r="N1028" s="245" t="n"/>
      <c r="O1028" s="238" t="n"/>
      <c r="P1028" s="238" t="n"/>
      <c r="Q1028" s="246" t="n"/>
    </row>
    <row r="1029" ht="13.2" customFormat="1" customHeight="1" s="47">
      <c r="B1029" s="83" t="n"/>
      <c r="C1029" s="83" t="n"/>
      <c r="D1029" s="84" t="n"/>
      <c r="E1029" s="84" t="n"/>
      <c r="F1029" s="84" t="n"/>
      <c r="G1029" s="84" t="n"/>
      <c r="H1029" s="84" t="n"/>
      <c r="I1029" s="84" t="n"/>
      <c r="J1029" s="84" t="n"/>
      <c r="K1029" s="84" t="n"/>
      <c r="L1029" s="85" t="n"/>
      <c r="M1029" s="86" t="n"/>
      <c r="N1029" s="245" t="n"/>
      <c r="O1029" s="238" t="n"/>
      <c r="P1029" s="238" t="n"/>
      <c r="Q1029" s="246" t="n"/>
    </row>
    <row r="1030" ht="13.2" customFormat="1" customHeight="1" s="47">
      <c r="B1030" s="83" t="n"/>
      <c r="C1030" s="83" t="n"/>
      <c r="D1030" s="84" t="n"/>
      <c r="E1030" s="84" t="n"/>
      <c r="F1030" s="84" t="n"/>
      <c r="G1030" s="84" t="n"/>
      <c r="H1030" s="84" t="n"/>
      <c r="I1030" s="84" t="n"/>
      <c r="J1030" s="84" t="n"/>
      <c r="K1030" s="84" t="n"/>
      <c r="L1030" s="85" t="n"/>
      <c r="M1030" s="86" t="n"/>
      <c r="N1030" s="245" t="n"/>
      <c r="O1030" s="238" t="n"/>
      <c r="P1030" s="238" t="n"/>
      <c r="Q1030" s="246" t="n"/>
    </row>
    <row r="1031" ht="13.2" customFormat="1" customHeight="1" s="47">
      <c r="B1031" s="83" t="n"/>
      <c r="C1031" s="83" t="n"/>
      <c r="D1031" s="84" t="n"/>
      <c r="E1031" s="84" t="n"/>
      <c r="F1031" s="84" t="n"/>
      <c r="G1031" s="84" t="n"/>
      <c r="H1031" s="84" t="n"/>
      <c r="I1031" s="84" t="n"/>
      <c r="J1031" s="84" t="n"/>
      <c r="K1031" s="84" t="n"/>
      <c r="L1031" s="85" t="n"/>
      <c r="M1031" s="86" t="n"/>
      <c r="N1031" s="245" t="n"/>
      <c r="O1031" s="238" t="n"/>
      <c r="P1031" s="238" t="n"/>
      <c r="Q1031" s="246" t="n"/>
    </row>
    <row r="1032" ht="13.2" customFormat="1" customHeight="1" s="47">
      <c r="B1032" s="83" t="n"/>
      <c r="C1032" s="83" t="n"/>
      <c r="D1032" s="84" t="n"/>
      <c r="E1032" s="84" t="n"/>
      <c r="F1032" s="84" t="n"/>
      <c r="G1032" s="84" t="n"/>
      <c r="H1032" s="84" t="n"/>
      <c r="I1032" s="84" t="n"/>
      <c r="J1032" s="84" t="n"/>
      <c r="K1032" s="84" t="n"/>
      <c r="L1032" s="85" t="n"/>
      <c r="M1032" s="86" t="n"/>
      <c r="N1032" s="245" t="n"/>
      <c r="O1032" s="238" t="n"/>
      <c r="P1032" s="238" t="n"/>
      <c r="Q1032" s="246" t="n"/>
    </row>
    <row r="1033" ht="13.2" customFormat="1" customHeight="1" s="47">
      <c r="B1033" s="83" t="n"/>
      <c r="C1033" s="83" t="n"/>
      <c r="D1033" s="84" t="n"/>
      <c r="E1033" s="84" t="n"/>
      <c r="F1033" s="84" t="n"/>
      <c r="G1033" s="84" t="n"/>
      <c r="H1033" s="84" t="n"/>
      <c r="I1033" s="84" t="n"/>
      <c r="J1033" s="84" t="n"/>
      <c r="K1033" s="84" t="n"/>
      <c r="L1033" s="85" t="n"/>
      <c r="M1033" s="86" t="n"/>
      <c r="N1033" s="245" t="n"/>
      <c r="O1033" s="238" t="n"/>
      <c r="P1033" s="238" t="n"/>
      <c r="Q1033" s="246" t="n"/>
    </row>
    <row r="1034" ht="13.2" customFormat="1" customHeight="1" s="47">
      <c r="B1034" s="83" t="n"/>
      <c r="C1034" s="83" t="n"/>
      <c r="D1034" s="84" t="n"/>
      <c r="E1034" s="84" t="n"/>
      <c r="F1034" s="84" t="n"/>
      <c r="G1034" s="84" t="n"/>
      <c r="H1034" s="84" t="n"/>
      <c r="I1034" s="84" t="n"/>
      <c r="J1034" s="84" t="n"/>
      <c r="K1034" s="84" t="n"/>
      <c r="L1034" s="85" t="n"/>
      <c r="M1034" s="86" t="n"/>
      <c r="N1034" s="245" t="n"/>
      <c r="O1034" s="238" t="n"/>
      <c r="P1034" s="238" t="n"/>
      <c r="Q1034" s="246" t="n"/>
    </row>
    <row r="1035" ht="13.2" customFormat="1" customHeight="1" s="47">
      <c r="B1035" s="83" t="n"/>
      <c r="C1035" s="83" t="n"/>
      <c r="D1035" s="84" t="n"/>
      <c r="E1035" s="84" t="n"/>
      <c r="F1035" s="84" t="n"/>
      <c r="G1035" s="84" t="n"/>
      <c r="H1035" s="84" t="n"/>
      <c r="I1035" s="84" t="n"/>
      <c r="J1035" s="84" t="n"/>
      <c r="K1035" s="84" t="n"/>
      <c r="L1035" s="85" t="n"/>
      <c r="M1035" s="86" t="n"/>
      <c r="N1035" s="245" t="n"/>
      <c r="O1035" s="238" t="n"/>
      <c r="P1035" s="238" t="n"/>
      <c r="Q1035" s="246" t="n"/>
    </row>
    <row r="1036" ht="13.2" customFormat="1" customHeight="1" s="47">
      <c r="B1036" s="83" t="n"/>
      <c r="C1036" s="83" t="n"/>
      <c r="D1036" s="84" t="n"/>
      <c r="E1036" s="84" t="n"/>
      <c r="F1036" s="84" t="n"/>
      <c r="G1036" s="84" t="n"/>
      <c r="H1036" s="84" t="n"/>
      <c r="I1036" s="84" t="n"/>
      <c r="J1036" s="84" t="n"/>
      <c r="K1036" s="84" t="n"/>
      <c r="L1036" s="85" t="n"/>
      <c r="M1036" s="86" t="n"/>
      <c r="N1036" s="245" t="n"/>
      <c r="O1036" s="238" t="n"/>
      <c r="P1036" s="238" t="n"/>
      <c r="Q1036" s="246" t="n"/>
    </row>
    <row r="1037" ht="13.2" customFormat="1" customHeight="1" s="47">
      <c r="B1037" s="83" t="n"/>
      <c r="C1037" s="83" t="n"/>
      <c r="D1037" s="84" t="n"/>
      <c r="E1037" s="84" t="n"/>
      <c r="F1037" s="84" t="n"/>
      <c r="G1037" s="84" t="n"/>
      <c r="H1037" s="84" t="n"/>
      <c r="I1037" s="84" t="n"/>
      <c r="J1037" s="84" t="n"/>
      <c r="K1037" s="84" t="n"/>
      <c r="L1037" s="85" t="n"/>
      <c r="M1037" s="86" t="n"/>
      <c r="N1037" s="245" t="n"/>
      <c r="O1037" s="238" t="n"/>
      <c r="P1037" s="238" t="n"/>
      <c r="Q1037" s="246" t="n"/>
    </row>
    <row r="1038" ht="13.2" customFormat="1" customHeight="1" s="47">
      <c r="B1038" s="83" t="n"/>
      <c r="C1038" s="83" t="n"/>
      <c r="D1038" s="84" t="n"/>
      <c r="E1038" s="84" t="n"/>
      <c r="F1038" s="84" t="n"/>
      <c r="G1038" s="84" t="n"/>
      <c r="H1038" s="84" t="n"/>
      <c r="I1038" s="84" t="n"/>
      <c r="J1038" s="84" t="n"/>
      <c r="K1038" s="84" t="n"/>
      <c r="L1038" s="85" t="n"/>
      <c r="M1038" s="86" t="n"/>
      <c r="N1038" s="245" t="n"/>
      <c r="O1038" s="238" t="n"/>
      <c r="P1038" s="238" t="n"/>
      <c r="Q1038" s="246" t="n"/>
    </row>
    <row r="1039" ht="13.2" customFormat="1" customHeight="1" s="47">
      <c r="B1039" s="83" t="n"/>
      <c r="C1039" s="83" t="n"/>
      <c r="D1039" s="84" t="n"/>
      <c r="E1039" s="84" t="n"/>
      <c r="F1039" s="84" t="n"/>
      <c r="G1039" s="84" t="n"/>
      <c r="H1039" s="84" t="n"/>
      <c r="I1039" s="84" t="n"/>
      <c r="J1039" s="84" t="n"/>
      <c r="K1039" s="84" t="n"/>
      <c r="L1039" s="85" t="n"/>
      <c r="M1039" s="86" t="n"/>
      <c r="N1039" s="245" t="n"/>
      <c r="O1039" s="238" t="n"/>
      <c r="P1039" s="238" t="n"/>
      <c r="Q1039" s="246" t="n"/>
    </row>
    <row r="1040" ht="13.2" customFormat="1" customHeight="1" s="47">
      <c r="B1040" s="83" t="n"/>
      <c r="C1040" s="83" t="n"/>
      <c r="D1040" s="84" t="n"/>
      <c r="E1040" s="84" t="n"/>
      <c r="F1040" s="84" t="n"/>
      <c r="G1040" s="84" t="n"/>
      <c r="H1040" s="84" t="n"/>
      <c r="I1040" s="84" t="n"/>
      <c r="J1040" s="84" t="n"/>
      <c r="K1040" s="84" t="n"/>
      <c r="L1040" s="85" t="n"/>
      <c r="M1040" s="86" t="n"/>
      <c r="N1040" s="245" t="n"/>
      <c r="O1040" s="238" t="n"/>
      <c r="P1040" s="238" t="n"/>
      <c r="Q1040" s="246" t="n"/>
    </row>
    <row r="1041" ht="13.2" customFormat="1" customHeight="1" s="47">
      <c r="B1041" s="83" t="n"/>
      <c r="C1041" s="83" t="n"/>
      <c r="D1041" s="84" t="n"/>
      <c r="E1041" s="84" t="n"/>
      <c r="F1041" s="84" t="n"/>
      <c r="G1041" s="84" t="n"/>
      <c r="H1041" s="84" t="n"/>
      <c r="I1041" s="84" t="n"/>
      <c r="J1041" s="84" t="n"/>
      <c r="K1041" s="84" t="n"/>
      <c r="L1041" s="85" t="n"/>
      <c r="M1041" s="86" t="n"/>
      <c r="N1041" s="245" t="n"/>
      <c r="O1041" s="238" t="n"/>
      <c r="P1041" s="238" t="n"/>
      <c r="Q1041" s="246" t="n"/>
    </row>
    <row r="1042" ht="13.2" customFormat="1" customHeight="1" s="47">
      <c r="B1042" s="83" t="n"/>
      <c r="C1042" s="83" t="n"/>
      <c r="D1042" s="84" t="n"/>
      <c r="E1042" s="84" t="n"/>
      <c r="F1042" s="84" t="n"/>
      <c r="G1042" s="84" t="n"/>
      <c r="H1042" s="84" t="n"/>
      <c r="I1042" s="84" t="n"/>
      <c r="J1042" s="84" t="n"/>
      <c r="K1042" s="84" t="n"/>
      <c r="L1042" s="85" t="n"/>
      <c r="M1042" s="86" t="n"/>
      <c r="N1042" s="245" t="n"/>
      <c r="O1042" s="238" t="n"/>
      <c r="P1042" s="238" t="n"/>
      <c r="Q1042" s="246" t="n"/>
    </row>
    <row r="1043" ht="13.2" customFormat="1" customHeight="1" s="47">
      <c r="B1043" s="83" t="n"/>
      <c r="C1043" s="83" t="n"/>
      <c r="D1043" s="84" t="n"/>
      <c r="E1043" s="84" t="n"/>
      <c r="F1043" s="84" t="n"/>
      <c r="G1043" s="84" t="n"/>
      <c r="H1043" s="84" t="n"/>
      <c r="I1043" s="84" t="n"/>
      <c r="J1043" s="84" t="n"/>
      <c r="K1043" s="84" t="n"/>
      <c r="L1043" s="85" t="n"/>
      <c r="M1043" s="86" t="n"/>
      <c r="N1043" s="245" t="n"/>
      <c r="O1043" s="238" t="n"/>
      <c r="P1043" s="238" t="n"/>
      <c r="Q1043" s="246" t="n"/>
    </row>
    <row r="1044" ht="13.2" customFormat="1" customHeight="1" s="47">
      <c r="B1044" s="83" t="n"/>
      <c r="C1044" s="83" t="n"/>
      <c r="D1044" s="84" t="n"/>
      <c r="E1044" s="84" t="n"/>
      <c r="F1044" s="84" t="n"/>
      <c r="G1044" s="84" t="n"/>
      <c r="H1044" s="84" t="n"/>
      <c r="I1044" s="84" t="n"/>
      <c r="J1044" s="84" t="n"/>
      <c r="K1044" s="84" t="n"/>
      <c r="L1044" s="85" t="n"/>
      <c r="M1044" s="86" t="n"/>
      <c r="N1044" s="245" t="n"/>
      <c r="O1044" s="238" t="n"/>
      <c r="P1044" s="238" t="n"/>
      <c r="Q1044" s="246" t="n"/>
    </row>
    <row r="1045" ht="13.2" customFormat="1" customHeight="1" s="47">
      <c r="B1045" s="83" t="n"/>
      <c r="C1045" s="83" t="n"/>
      <c r="D1045" s="84" t="n"/>
      <c r="E1045" s="84" t="n"/>
      <c r="F1045" s="84" t="n"/>
      <c r="G1045" s="84" t="n"/>
      <c r="H1045" s="84" t="n"/>
      <c r="I1045" s="84" t="n"/>
      <c r="J1045" s="84" t="n"/>
      <c r="K1045" s="84" t="n"/>
      <c r="L1045" s="85" t="n"/>
      <c r="M1045" s="86" t="n"/>
      <c r="N1045" s="245" t="n"/>
      <c r="O1045" s="238" t="n"/>
      <c r="P1045" s="238" t="n"/>
      <c r="Q1045" s="246" t="n"/>
    </row>
    <row r="1046" ht="13.2" customFormat="1" customHeight="1" s="47">
      <c r="B1046" s="83" t="n"/>
      <c r="C1046" s="83" t="n"/>
      <c r="D1046" s="84" t="n"/>
      <c r="E1046" s="84" t="n"/>
      <c r="F1046" s="84" t="n"/>
      <c r="G1046" s="84" t="n"/>
      <c r="H1046" s="84" t="n"/>
      <c r="I1046" s="84" t="n"/>
      <c r="J1046" s="84" t="n"/>
      <c r="K1046" s="84" t="n"/>
      <c r="L1046" s="85" t="n"/>
      <c r="M1046" s="86" t="n"/>
      <c r="N1046" s="245" t="n"/>
      <c r="O1046" s="238" t="n"/>
      <c r="P1046" s="238" t="n"/>
      <c r="Q1046" s="246" t="n"/>
    </row>
    <row r="1047" ht="13.2" customFormat="1" customHeight="1" s="47">
      <c r="B1047" s="83" t="n"/>
      <c r="C1047" s="83" t="n"/>
      <c r="D1047" s="84" t="n"/>
      <c r="E1047" s="84" t="n"/>
      <c r="F1047" s="84" t="n"/>
      <c r="G1047" s="84" t="n"/>
      <c r="H1047" s="84" t="n"/>
      <c r="I1047" s="84" t="n"/>
      <c r="J1047" s="84" t="n"/>
      <c r="K1047" s="84" t="n"/>
      <c r="L1047" s="85" t="n"/>
      <c r="M1047" s="86" t="n"/>
      <c r="N1047" s="245" t="n"/>
      <c r="O1047" s="238" t="n"/>
      <c r="P1047" s="238" t="n"/>
      <c r="Q1047" s="246" t="n"/>
    </row>
    <row r="1048" ht="13.2" customFormat="1" customHeight="1" s="47">
      <c r="B1048" s="83" t="n"/>
      <c r="C1048" s="83" t="n"/>
      <c r="D1048" s="84" t="n"/>
      <c r="E1048" s="84" t="n"/>
      <c r="F1048" s="84" t="n"/>
      <c r="G1048" s="84" t="n"/>
      <c r="H1048" s="84" t="n"/>
      <c r="I1048" s="84" t="n"/>
      <c r="J1048" s="84" t="n"/>
      <c r="K1048" s="84" t="n"/>
      <c r="L1048" s="85" t="n"/>
      <c r="M1048" s="86" t="n"/>
      <c r="N1048" s="245" t="n"/>
      <c r="O1048" s="238" t="n"/>
      <c r="P1048" s="238" t="n"/>
      <c r="Q1048" s="246" t="n"/>
    </row>
    <row r="1049" ht="13.2" customFormat="1" customHeight="1" s="47">
      <c r="B1049" s="83" t="n"/>
      <c r="C1049" s="83" t="n"/>
      <c r="D1049" s="84" t="n"/>
      <c r="E1049" s="84" t="n"/>
      <c r="F1049" s="84" t="n"/>
      <c r="G1049" s="84" t="n"/>
      <c r="H1049" s="84" t="n"/>
      <c r="I1049" s="84" t="n"/>
      <c r="J1049" s="84" t="n"/>
      <c r="K1049" s="84" t="n"/>
      <c r="L1049" s="85" t="n"/>
      <c r="M1049" s="86" t="n"/>
      <c r="N1049" s="245" t="n"/>
      <c r="O1049" s="238" t="n"/>
      <c r="P1049" s="238" t="n"/>
      <c r="Q1049" s="246" t="n"/>
    </row>
    <row r="1050" ht="13.2" customFormat="1" customHeight="1" s="47">
      <c r="B1050" s="83" t="n"/>
      <c r="C1050" s="83" t="n"/>
      <c r="D1050" s="84" t="n"/>
      <c r="E1050" s="84" t="n"/>
      <c r="F1050" s="84" t="n"/>
      <c r="G1050" s="84" t="n"/>
      <c r="H1050" s="84" t="n"/>
      <c r="I1050" s="84" t="n"/>
      <c r="J1050" s="84" t="n"/>
      <c r="K1050" s="84" t="n"/>
      <c r="L1050" s="85" t="n"/>
      <c r="M1050" s="86" t="n"/>
      <c r="N1050" s="245" t="n"/>
      <c r="O1050" s="238" t="n"/>
      <c r="P1050" s="238" t="n"/>
      <c r="Q1050" s="246" t="n"/>
    </row>
    <row r="1051" ht="13.2" customFormat="1" customHeight="1" s="47">
      <c r="B1051" s="83" t="n"/>
      <c r="C1051" s="83" t="n"/>
      <c r="D1051" s="84" t="n"/>
      <c r="E1051" s="84" t="n"/>
      <c r="F1051" s="84" t="n"/>
      <c r="G1051" s="84" t="n"/>
      <c r="H1051" s="84" t="n"/>
      <c r="I1051" s="84" t="n"/>
      <c r="J1051" s="84" t="n"/>
      <c r="K1051" s="84" t="n"/>
      <c r="L1051" s="85" t="n"/>
      <c r="M1051" s="86" t="n"/>
      <c r="N1051" s="245" t="n"/>
      <c r="O1051" s="238" t="n"/>
      <c r="P1051" s="238" t="n"/>
      <c r="Q1051" s="246" t="n"/>
    </row>
    <row r="1052" ht="13.2" customFormat="1" customHeight="1" s="47">
      <c r="B1052" s="83" t="n"/>
      <c r="C1052" s="83" t="n"/>
      <c r="D1052" s="84" t="n"/>
      <c r="E1052" s="84" t="n"/>
      <c r="F1052" s="84" t="n"/>
      <c r="G1052" s="84" t="n"/>
      <c r="H1052" s="84" t="n"/>
      <c r="I1052" s="84" t="n"/>
      <c r="J1052" s="84" t="n"/>
      <c r="K1052" s="84" t="n"/>
      <c r="L1052" s="85" t="n"/>
      <c r="M1052" s="86" t="n"/>
      <c r="N1052" s="245" t="n"/>
      <c r="O1052" s="238" t="n"/>
      <c r="P1052" s="238" t="n"/>
      <c r="Q1052" s="246" t="n"/>
    </row>
    <row r="1053" ht="13.2" customFormat="1" customHeight="1" s="47">
      <c r="B1053" s="83" t="n"/>
      <c r="C1053" s="83" t="n"/>
      <c r="D1053" s="84" t="n"/>
      <c r="E1053" s="84" t="n"/>
      <c r="F1053" s="84" t="n"/>
      <c r="G1053" s="84" t="n"/>
      <c r="H1053" s="84" t="n"/>
      <c r="I1053" s="84" t="n"/>
      <c r="J1053" s="84" t="n"/>
      <c r="K1053" s="84" t="n"/>
      <c r="L1053" s="85" t="n"/>
      <c r="M1053" s="86" t="n"/>
      <c r="N1053" s="245" t="n"/>
      <c r="O1053" s="238" t="n"/>
      <c r="P1053" s="238" t="n"/>
      <c r="Q1053" s="246" t="n"/>
    </row>
    <row r="1054" ht="13.2" customFormat="1" customHeight="1" s="47">
      <c r="B1054" s="83" t="n"/>
      <c r="C1054" s="83" t="n"/>
      <c r="D1054" s="84" t="n"/>
      <c r="E1054" s="84" t="n"/>
      <c r="F1054" s="84" t="n"/>
      <c r="G1054" s="84" t="n"/>
      <c r="H1054" s="84" t="n"/>
      <c r="I1054" s="84" t="n"/>
      <c r="J1054" s="84" t="n"/>
      <c r="K1054" s="84" t="n"/>
      <c r="L1054" s="85" t="n"/>
      <c r="M1054" s="86" t="n"/>
      <c r="N1054" s="245" t="n"/>
      <c r="O1054" s="238" t="n"/>
      <c r="P1054" s="238" t="n"/>
      <c r="Q1054" s="246" t="n"/>
    </row>
    <row r="1055" ht="13.2" customFormat="1" customHeight="1" s="47">
      <c r="B1055" s="83" t="n"/>
      <c r="C1055" s="83" t="n"/>
      <c r="D1055" s="84" t="n"/>
      <c r="E1055" s="84" t="n"/>
      <c r="F1055" s="84" t="n"/>
      <c r="G1055" s="84" t="n"/>
      <c r="H1055" s="84" t="n"/>
      <c r="I1055" s="84" t="n"/>
      <c r="J1055" s="84" t="n"/>
      <c r="K1055" s="84" t="n"/>
      <c r="L1055" s="85" t="n"/>
      <c r="M1055" s="86" t="n"/>
      <c r="N1055" s="245" t="n"/>
      <c r="O1055" s="238" t="n"/>
      <c r="P1055" s="238" t="n"/>
      <c r="Q1055" s="246" t="n"/>
    </row>
    <row r="1056" ht="13.2" customFormat="1" customHeight="1" s="47">
      <c r="B1056" s="83" t="n"/>
      <c r="C1056" s="83" t="n"/>
      <c r="D1056" s="84" t="n"/>
      <c r="E1056" s="84" t="n"/>
      <c r="F1056" s="84" t="n"/>
      <c r="G1056" s="84" t="n"/>
      <c r="H1056" s="84" t="n"/>
      <c r="I1056" s="84" t="n"/>
      <c r="J1056" s="84" t="n"/>
      <c r="K1056" s="84" t="n"/>
      <c r="L1056" s="85" t="n"/>
      <c r="M1056" s="86" t="n"/>
      <c r="N1056" s="245" t="n"/>
      <c r="O1056" s="238" t="n"/>
      <c r="P1056" s="238" t="n"/>
      <c r="Q1056" s="246" t="n"/>
    </row>
    <row r="1057" ht="13.2" customFormat="1" customHeight="1" s="47">
      <c r="B1057" s="83" t="n"/>
      <c r="C1057" s="83" t="n"/>
      <c r="D1057" s="84" t="n"/>
      <c r="E1057" s="84" t="n"/>
      <c r="F1057" s="84" t="n"/>
      <c r="G1057" s="84" t="n"/>
      <c r="H1057" s="84" t="n"/>
      <c r="I1057" s="84" t="n"/>
      <c r="J1057" s="84" t="n"/>
      <c r="K1057" s="84" t="n"/>
      <c r="L1057" s="85" t="n"/>
      <c r="M1057" s="86" t="n"/>
      <c r="N1057" s="245" t="n"/>
      <c r="O1057" s="238" t="n"/>
      <c r="P1057" s="238" t="n"/>
      <c r="Q1057" s="246" t="n"/>
    </row>
    <row r="1058" ht="13.2" customFormat="1" customHeight="1" s="47">
      <c r="B1058" s="83" t="n"/>
      <c r="C1058" s="83" t="n"/>
      <c r="D1058" s="84" t="n"/>
      <c r="E1058" s="84" t="n"/>
      <c r="F1058" s="84" t="n"/>
      <c r="G1058" s="84" t="n"/>
      <c r="H1058" s="84" t="n"/>
      <c r="I1058" s="84" t="n"/>
      <c r="J1058" s="84" t="n"/>
      <c r="K1058" s="84" t="n"/>
      <c r="L1058" s="85" t="n"/>
      <c r="M1058" s="86" t="n"/>
      <c r="N1058" s="245" t="n"/>
      <c r="O1058" s="238" t="n"/>
      <c r="P1058" s="238" t="n"/>
      <c r="Q1058" s="246" t="n"/>
    </row>
    <row r="1059" ht="13.2" customFormat="1" customHeight="1" s="47">
      <c r="B1059" s="83" t="n"/>
      <c r="C1059" s="83" t="n"/>
      <c r="D1059" s="84" t="n"/>
      <c r="E1059" s="84" t="n"/>
      <c r="F1059" s="84" t="n"/>
      <c r="G1059" s="84" t="n"/>
      <c r="H1059" s="84" t="n"/>
      <c r="I1059" s="84" t="n"/>
      <c r="J1059" s="84" t="n"/>
      <c r="K1059" s="84" t="n"/>
      <c r="L1059" s="85" t="n"/>
      <c r="M1059" s="86" t="n"/>
      <c r="N1059" s="245" t="n"/>
      <c r="O1059" s="238" t="n"/>
      <c r="P1059" s="238" t="n"/>
      <c r="Q1059" s="246" t="n"/>
    </row>
    <row r="1060" ht="13.2" customFormat="1" customHeight="1" s="47">
      <c r="B1060" s="83" t="n"/>
      <c r="C1060" s="83" t="n"/>
      <c r="D1060" s="84" t="n"/>
      <c r="E1060" s="84" t="n"/>
      <c r="F1060" s="84" t="n"/>
      <c r="G1060" s="84" t="n"/>
      <c r="H1060" s="84" t="n"/>
      <c r="I1060" s="84" t="n"/>
      <c r="J1060" s="84" t="n"/>
      <c r="K1060" s="84" t="n"/>
      <c r="L1060" s="85" t="n"/>
      <c r="M1060" s="86" t="n"/>
      <c r="N1060" s="245" t="n"/>
      <c r="O1060" s="238" t="n"/>
      <c r="P1060" s="238" t="n"/>
      <c r="Q1060" s="246" t="n"/>
    </row>
    <row r="1061" ht="13.2" customFormat="1" customHeight="1" s="47">
      <c r="B1061" s="83" t="n"/>
      <c r="C1061" s="83" t="n"/>
      <c r="D1061" s="84" t="n"/>
      <c r="E1061" s="84" t="n"/>
      <c r="F1061" s="84" t="n"/>
      <c r="G1061" s="84" t="n"/>
      <c r="H1061" s="84" t="n"/>
      <c r="I1061" s="84" t="n"/>
      <c r="J1061" s="84" t="n"/>
      <c r="K1061" s="84" t="n"/>
      <c r="L1061" s="85" t="n"/>
      <c r="M1061" s="86" t="n"/>
      <c r="N1061" s="245" t="n"/>
      <c r="O1061" s="238" t="n"/>
      <c r="P1061" s="238" t="n"/>
      <c r="Q1061" s="246" t="n"/>
    </row>
    <row r="1062" ht="13.2" customFormat="1" customHeight="1" s="47">
      <c r="B1062" s="83" t="n"/>
      <c r="C1062" s="83" t="n"/>
      <c r="D1062" s="84" t="n"/>
      <c r="E1062" s="84" t="n"/>
      <c r="F1062" s="84" t="n"/>
      <c r="G1062" s="84" t="n"/>
      <c r="H1062" s="84" t="n"/>
      <c r="I1062" s="84" t="n"/>
      <c r="J1062" s="84" t="n"/>
      <c r="K1062" s="84" t="n"/>
      <c r="L1062" s="85" t="n"/>
      <c r="M1062" s="86" t="n"/>
      <c r="N1062" s="245" t="n"/>
      <c r="O1062" s="238" t="n"/>
      <c r="P1062" s="238" t="n"/>
      <c r="Q1062" s="246" t="n"/>
    </row>
    <row r="1063" ht="13.2" customFormat="1" customHeight="1" s="47">
      <c r="B1063" s="83" t="n"/>
      <c r="C1063" s="83" t="n"/>
      <c r="D1063" s="84" t="n"/>
      <c r="E1063" s="84" t="n"/>
      <c r="F1063" s="84" t="n"/>
      <c r="G1063" s="84" t="n"/>
      <c r="H1063" s="84" t="n"/>
      <c r="I1063" s="84" t="n"/>
      <c r="J1063" s="84" t="n"/>
      <c r="K1063" s="84" t="n"/>
      <c r="L1063" s="85" t="n"/>
      <c r="M1063" s="86" t="n"/>
      <c r="N1063" s="245" t="n"/>
      <c r="O1063" s="238" t="n"/>
      <c r="P1063" s="238" t="n"/>
      <c r="Q1063" s="246" t="n"/>
    </row>
    <row r="1064" ht="13.2" customFormat="1" customHeight="1" s="47">
      <c r="B1064" s="83" t="n"/>
      <c r="C1064" s="83" t="n"/>
      <c r="D1064" s="84" t="n"/>
      <c r="E1064" s="84" t="n"/>
      <c r="F1064" s="84" t="n"/>
      <c r="G1064" s="84" t="n"/>
      <c r="H1064" s="84" t="n"/>
      <c r="I1064" s="84" t="n"/>
      <c r="J1064" s="84" t="n"/>
      <c r="K1064" s="84" t="n"/>
      <c r="L1064" s="85" t="n"/>
      <c r="M1064" s="86" t="n"/>
      <c r="N1064" s="245" t="n"/>
      <c r="O1064" s="238" t="n"/>
      <c r="P1064" s="238" t="n"/>
      <c r="Q1064" s="246" t="n"/>
    </row>
    <row r="1065" ht="13.2" customFormat="1" customHeight="1" s="47">
      <c r="B1065" s="83" t="n"/>
      <c r="C1065" s="83" t="n"/>
      <c r="D1065" s="84" t="n"/>
      <c r="E1065" s="84" t="n"/>
      <c r="F1065" s="84" t="n"/>
      <c r="G1065" s="84" t="n"/>
      <c r="H1065" s="84" t="n"/>
      <c r="I1065" s="84" t="n"/>
      <c r="J1065" s="84" t="n"/>
      <c r="K1065" s="84" t="n"/>
      <c r="L1065" s="85" t="n"/>
      <c r="M1065" s="86" t="n"/>
      <c r="N1065" s="245" t="n"/>
      <c r="O1065" s="238" t="n"/>
      <c r="P1065" s="238" t="n"/>
      <c r="Q1065" s="246" t="n"/>
    </row>
    <row r="1066" ht="13.2" customFormat="1" customHeight="1" s="47">
      <c r="B1066" s="83" t="n"/>
      <c r="C1066" s="83" t="n"/>
      <c r="D1066" s="84" t="n"/>
      <c r="E1066" s="84" t="n"/>
      <c r="F1066" s="84" t="n"/>
      <c r="G1066" s="84" t="n"/>
      <c r="H1066" s="84" t="n"/>
      <c r="I1066" s="84" t="n"/>
      <c r="J1066" s="84" t="n"/>
      <c r="K1066" s="84" t="n"/>
      <c r="L1066" s="85" t="n"/>
      <c r="M1066" s="86" t="n"/>
      <c r="N1066" s="245" t="n"/>
      <c r="O1066" s="238" t="n"/>
      <c r="P1066" s="238" t="n"/>
      <c r="Q1066" s="246" t="n"/>
    </row>
    <row r="1067" ht="13.2" customFormat="1" customHeight="1" s="47">
      <c r="B1067" s="83" t="n"/>
      <c r="C1067" s="83" t="n"/>
      <c r="D1067" s="84" t="n"/>
      <c r="E1067" s="84" t="n"/>
      <c r="F1067" s="84" t="n"/>
      <c r="G1067" s="84" t="n"/>
      <c r="H1067" s="84" t="n"/>
      <c r="I1067" s="84" t="n"/>
      <c r="J1067" s="84" t="n"/>
      <c r="K1067" s="84" t="n"/>
      <c r="L1067" s="85" t="n"/>
      <c r="M1067" s="86" t="n"/>
      <c r="N1067" s="245" t="n"/>
      <c r="O1067" s="238" t="n"/>
      <c r="P1067" s="238" t="n"/>
      <c r="Q1067" s="246" t="n"/>
    </row>
    <row r="1068" ht="13.2" customFormat="1" customHeight="1" s="47">
      <c r="B1068" s="83" t="n"/>
      <c r="C1068" s="83" t="n"/>
      <c r="D1068" s="84" t="n"/>
      <c r="E1068" s="84" t="n"/>
      <c r="F1068" s="84" t="n"/>
      <c r="G1068" s="84" t="n"/>
      <c r="H1068" s="84" t="n"/>
      <c r="I1068" s="84" t="n"/>
      <c r="J1068" s="84" t="n"/>
      <c r="K1068" s="84" t="n"/>
      <c r="L1068" s="85" t="n"/>
      <c r="M1068" s="86" t="n"/>
      <c r="N1068" s="245" t="n"/>
      <c r="O1068" s="238" t="n"/>
      <c r="P1068" s="238" t="n"/>
      <c r="Q1068" s="246" t="n"/>
    </row>
    <row r="1069" ht="13.2" customFormat="1" customHeight="1" s="47">
      <c r="B1069" s="83" t="n"/>
      <c r="C1069" s="83" t="n"/>
      <c r="D1069" s="84" t="n"/>
      <c r="E1069" s="84" t="n"/>
      <c r="F1069" s="84" t="n"/>
      <c r="G1069" s="84" t="n"/>
      <c r="H1069" s="84" t="n"/>
      <c r="I1069" s="84" t="n"/>
      <c r="J1069" s="84" t="n"/>
      <c r="K1069" s="84" t="n"/>
      <c r="L1069" s="85" t="n"/>
      <c r="M1069" s="86" t="n"/>
      <c r="N1069" s="245" t="n"/>
      <c r="O1069" s="238" t="n"/>
      <c r="P1069" s="238" t="n"/>
      <c r="Q1069" s="246" t="n"/>
    </row>
    <row r="1070" ht="13.2" customFormat="1" customHeight="1" s="47">
      <c r="B1070" s="83" t="n"/>
      <c r="C1070" s="83" t="n"/>
      <c r="D1070" s="84" t="n"/>
      <c r="E1070" s="84" t="n"/>
      <c r="F1070" s="84" t="n"/>
      <c r="G1070" s="84" t="n"/>
      <c r="H1070" s="84" t="n"/>
      <c r="I1070" s="84" t="n"/>
      <c r="J1070" s="84" t="n"/>
      <c r="K1070" s="84" t="n"/>
      <c r="L1070" s="85" t="n"/>
      <c r="M1070" s="86" t="n"/>
      <c r="N1070" s="245" t="n"/>
      <c r="O1070" s="238" t="n"/>
      <c r="P1070" s="238" t="n"/>
      <c r="Q1070" s="246" t="n"/>
    </row>
    <row r="1071" ht="13.2" customFormat="1" customHeight="1" s="47">
      <c r="B1071" s="83" t="n"/>
      <c r="C1071" s="83" t="n"/>
      <c r="D1071" s="84" t="n"/>
      <c r="E1071" s="84" t="n"/>
      <c r="F1071" s="84" t="n"/>
      <c r="G1071" s="84" t="n"/>
      <c r="H1071" s="84" t="n"/>
      <c r="I1071" s="84" t="n"/>
      <c r="J1071" s="84" t="n"/>
      <c r="K1071" s="84" t="n"/>
      <c r="L1071" s="85" t="n"/>
      <c r="M1071" s="86" t="n"/>
      <c r="N1071" s="245" t="n"/>
      <c r="O1071" s="238" t="n"/>
      <c r="P1071" s="238" t="n"/>
      <c r="Q1071" s="246" t="n"/>
    </row>
    <row r="1072" ht="13.2" customFormat="1" customHeight="1" s="47">
      <c r="B1072" s="83" t="n"/>
      <c r="C1072" s="83" t="n"/>
      <c r="D1072" s="84" t="n"/>
      <c r="E1072" s="84" t="n"/>
      <c r="F1072" s="84" t="n"/>
      <c r="G1072" s="84" t="n"/>
      <c r="H1072" s="84" t="n"/>
      <c r="I1072" s="84" t="n"/>
      <c r="J1072" s="84" t="n"/>
      <c r="K1072" s="84" t="n"/>
      <c r="L1072" s="85" t="n"/>
      <c r="M1072" s="86" t="n"/>
      <c r="N1072" s="245" t="n"/>
      <c r="O1072" s="238" t="n"/>
      <c r="P1072" s="238" t="n"/>
      <c r="Q1072" s="246" t="n"/>
    </row>
    <row r="1073" ht="13.2" customFormat="1" customHeight="1" s="47">
      <c r="B1073" s="83" t="n"/>
      <c r="C1073" s="83" t="n"/>
      <c r="D1073" s="84" t="n"/>
      <c r="E1073" s="84" t="n"/>
      <c r="F1073" s="84" t="n"/>
      <c r="G1073" s="84" t="n"/>
      <c r="H1073" s="84" t="n"/>
      <c r="I1073" s="84" t="n"/>
      <c r="J1073" s="84" t="n"/>
      <c r="K1073" s="84" t="n"/>
      <c r="L1073" s="85" t="n"/>
      <c r="M1073" s="86" t="n"/>
      <c r="N1073" s="245" t="n"/>
      <c r="O1073" s="238" t="n"/>
      <c r="P1073" s="238" t="n"/>
      <c r="Q1073" s="246" t="n"/>
    </row>
    <row r="1074" ht="13.2" customFormat="1" customHeight="1" s="47">
      <c r="B1074" s="83" t="n"/>
      <c r="C1074" s="83" t="n"/>
      <c r="D1074" s="84" t="n"/>
      <c r="E1074" s="84" t="n"/>
      <c r="F1074" s="84" t="n"/>
      <c r="G1074" s="84" t="n"/>
      <c r="H1074" s="84" t="n"/>
      <c r="I1074" s="84" t="n"/>
      <c r="J1074" s="84" t="n"/>
      <c r="K1074" s="84" t="n"/>
      <c r="L1074" s="85" t="n"/>
      <c r="M1074" s="86" t="n"/>
      <c r="N1074" s="245" t="n"/>
      <c r="O1074" s="238" t="n"/>
      <c r="P1074" s="238" t="n"/>
      <c r="Q1074" s="246" t="n"/>
    </row>
    <row r="1075" ht="13.2" customFormat="1" customHeight="1" s="47">
      <c r="B1075" s="83" t="n"/>
      <c r="C1075" s="83" t="n"/>
      <c r="D1075" s="84" t="n"/>
      <c r="E1075" s="84" t="n"/>
      <c r="F1075" s="84" t="n"/>
      <c r="G1075" s="84" t="n"/>
      <c r="H1075" s="84" t="n"/>
      <c r="I1075" s="84" t="n"/>
      <c r="J1075" s="84" t="n"/>
      <c r="K1075" s="84" t="n"/>
      <c r="L1075" s="85" t="n"/>
      <c r="M1075" s="86" t="n"/>
      <c r="N1075" s="245" t="n"/>
      <c r="O1075" s="238" t="n"/>
      <c r="P1075" s="238" t="n"/>
      <c r="Q1075" s="246" t="n"/>
    </row>
    <row r="1076" ht="13.2" customFormat="1" customHeight="1" s="47">
      <c r="B1076" s="83" t="n"/>
      <c r="C1076" s="83" t="n"/>
      <c r="D1076" s="84" t="n"/>
      <c r="E1076" s="84" t="n"/>
      <c r="F1076" s="84" t="n"/>
      <c r="G1076" s="84" t="n"/>
      <c r="H1076" s="84" t="n"/>
      <c r="I1076" s="84" t="n"/>
      <c r="J1076" s="84" t="n"/>
      <c r="K1076" s="84" t="n"/>
      <c r="L1076" s="85" t="n"/>
      <c r="M1076" s="86" t="n"/>
      <c r="N1076" s="245" t="n"/>
      <c r="O1076" s="238" t="n"/>
      <c r="P1076" s="238" t="n"/>
      <c r="Q1076" s="246" t="n"/>
    </row>
    <row r="1077" ht="13.2" customFormat="1" customHeight="1" s="47">
      <c r="B1077" s="83" t="n"/>
      <c r="C1077" s="83" t="n"/>
      <c r="D1077" s="84" t="n"/>
      <c r="E1077" s="84" t="n"/>
      <c r="F1077" s="84" t="n"/>
      <c r="G1077" s="84" t="n"/>
      <c r="H1077" s="84" t="n"/>
      <c r="I1077" s="84" t="n"/>
      <c r="J1077" s="84" t="n"/>
      <c r="K1077" s="84" t="n"/>
      <c r="L1077" s="85" t="n"/>
      <c r="M1077" s="86" t="n"/>
      <c r="N1077" s="245" t="n"/>
      <c r="O1077" s="238" t="n"/>
      <c r="P1077" s="238" t="n"/>
      <c r="Q1077" s="246" t="n"/>
    </row>
    <row r="1078" ht="13.2" customFormat="1" customHeight="1" s="47">
      <c r="B1078" s="83" t="n"/>
      <c r="C1078" s="83" t="n"/>
      <c r="D1078" s="84" t="n"/>
      <c r="E1078" s="84" t="n"/>
      <c r="F1078" s="84" t="n"/>
      <c r="G1078" s="84" t="n"/>
      <c r="H1078" s="84" t="n"/>
      <c r="I1078" s="84" t="n"/>
      <c r="J1078" s="84" t="n"/>
      <c r="K1078" s="84" t="n"/>
      <c r="L1078" s="85" t="n"/>
      <c r="M1078" s="86" t="n"/>
      <c r="N1078" s="245" t="n"/>
      <c r="O1078" s="238" t="n"/>
      <c r="P1078" s="238" t="n"/>
      <c r="Q1078" s="246" t="n"/>
    </row>
    <row r="1079" ht="13.2" customFormat="1" customHeight="1" s="47">
      <c r="B1079" s="83" t="n"/>
      <c r="C1079" s="83" t="n"/>
      <c r="D1079" s="84" t="n"/>
      <c r="E1079" s="84" t="n"/>
      <c r="F1079" s="84" t="n"/>
      <c r="G1079" s="84" t="n"/>
      <c r="H1079" s="84" t="n"/>
      <c r="I1079" s="84" t="n"/>
      <c r="J1079" s="84" t="n"/>
      <c r="K1079" s="84" t="n"/>
      <c r="L1079" s="85" t="n"/>
      <c r="M1079" s="86" t="n"/>
      <c r="N1079" s="245" t="n"/>
      <c r="O1079" s="238" t="n"/>
      <c r="P1079" s="238" t="n"/>
      <c r="Q1079" s="246" t="n"/>
    </row>
    <row r="1080" ht="13.2" customFormat="1" customHeight="1" s="47">
      <c r="B1080" s="83" t="n"/>
      <c r="C1080" s="83" t="n"/>
      <c r="D1080" s="84" t="n"/>
      <c r="E1080" s="84" t="n"/>
      <c r="F1080" s="84" t="n"/>
      <c r="G1080" s="84" t="n"/>
      <c r="H1080" s="84" t="n"/>
      <c r="I1080" s="84" t="n"/>
      <c r="J1080" s="84" t="n"/>
      <c r="K1080" s="84" t="n"/>
      <c r="L1080" s="85" t="n"/>
      <c r="M1080" s="86" t="n"/>
      <c r="N1080" s="245" t="n"/>
      <c r="O1080" s="238" t="n"/>
      <c r="P1080" s="238" t="n"/>
      <c r="Q1080" s="246" t="n"/>
    </row>
    <row r="1081" ht="13.2" customFormat="1" customHeight="1" s="47">
      <c r="B1081" s="83" t="n"/>
      <c r="C1081" s="83" t="n"/>
      <c r="D1081" s="84" t="n"/>
      <c r="E1081" s="84" t="n"/>
      <c r="F1081" s="84" t="n"/>
      <c r="G1081" s="84" t="n"/>
      <c r="H1081" s="84" t="n"/>
      <c r="I1081" s="84" t="n"/>
      <c r="J1081" s="84" t="n"/>
      <c r="K1081" s="84" t="n"/>
      <c r="L1081" s="85" t="n"/>
      <c r="M1081" s="86" t="n"/>
      <c r="N1081" s="245" t="n"/>
      <c r="O1081" s="238" t="n"/>
      <c r="P1081" s="238" t="n"/>
      <c r="Q1081" s="246" t="n"/>
    </row>
    <row r="1082" ht="13.2" customFormat="1" customHeight="1" s="47">
      <c r="B1082" s="83" t="n"/>
      <c r="C1082" s="83" t="n"/>
      <c r="D1082" s="84" t="n"/>
      <c r="E1082" s="84" t="n"/>
      <c r="F1082" s="84" t="n"/>
      <c r="G1082" s="84" t="n"/>
      <c r="H1082" s="84" t="n"/>
      <c r="I1082" s="84" t="n"/>
      <c r="J1082" s="84" t="n"/>
      <c r="K1082" s="84" t="n"/>
      <c r="L1082" s="85" t="n"/>
      <c r="M1082" s="86" t="n"/>
      <c r="N1082" s="245" t="n"/>
      <c r="O1082" s="238" t="n"/>
      <c r="P1082" s="238" t="n"/>
      <c r="Q1082" s="246" t="n"/>
    </row>
    <row r="1083" ht="13.2" customFormat="1" customHeight="1" s="47">
      <c r="B1083" s="83" t="n"/>
      <c r="C1083" s="83" t="n"/>
      <c r="D1083" s="84" t="n"/>
      <c r="E1083" s="84" t="n"/>
      <c r="F1083" s="84" t="n"/>
      <c r="G1083" s="84" t="n"/>
      <c r="H1083" s="84" t="n"/>
      <c r="I1083" s="84" t="n"/>
      <c r="J1083" s="84" t="n"/>
      <c r="K1083" s="84" t="n"/>
      <c r="L1083" s="85" t="n"/>
      <c r="M1083" s="86" t="n"/>
      <c r="N1083" s="245" t="n"/>
      <c r="O1083" s="238" t="n"/>
      <c r="P1083" s="238" t="n"/>
      <c r="Q1083" s="246" t="n"/>
    </row>
    <row r="1084" ht="13.2" customFormat="1" customHeight="1" s="47">
      <c r="B1084" s="83" t="n"/>
      <c r="C1084" s="83" t="n"/>
      <c r="D1084" s="84" t="n"/>
      <c r="E1084" s="84" t="n"/>
      <c r="F1084" s="84" t="n"/>
      <c r="G1084" s="84" t="n"/>
      <c r="H1084" s="84" t="n"/>
      <c r="I1084" s="84" t="n"/>
      <c r="J1084" s="84" t="n"/>
      <c r="K1084" s="84" t="n"/>
      <c r="L1084" s="85" t="n"/>
      <c r="M1084" s="86" t="n"/>
      <c r="N1084" s="245" t="n"/>
      <c r="O1084" s="238" t="n"/>
      <c r="P1084" s="238" t="n"/>
      <c r="Q1084" s="246" t="n"/>
    </row>
    <row r="1085" ht="13.2" customFormat="1" customHeight="1" s="47">
      <c r="B1085" s="83" t="n"/>
      <c r="C1085" s="83" t="n"/>
      <c r="D1085" s="84" t="n"/>
      <c r="E1085" s="84" t="n"/>
      <c r="F1085" s="84" t="n"/>
      <c r="G1085" s="84" t="n"/>
      <c r="H1085" s="84" t="n"/>
      <c r="I1085" s="84" t="n"/>
      <c r="J1085" s="84" t="n"/>
      <c r="K1085" s="84" t="n"/>
      <c r="L1085" s="85" t="n"/>
      <c r="M1085" s="86" t="n"/>
      <c r="N1085" s="245" t="n"/>
      <c r="O1085" s="238" t="n"/>
      <c r="P1085" s="238" t="n"/>
      <c r="Q1085" s="246" t="n"/>
    </row>
    <row r="1086" ht="13.2" customFormat="1" customHeight="1" s="47">
      <c r="B1086" s="83" t="n"/>
      <c r="C1086" s="83" t="n"/>
      <c r="D1086" s="84" t="n"/>
      <c r="E1086" s="84" t="n"/>
      <c r="F1086" s="84" t="n"/>
      <c r="G1086" s="84" t="n"/>
      <c r="H1086" s="84" t="n"/>
      <c r="I1086" s="84" t="n"/>
      <c r="J1086" s="84" t="n"/>
      <c r="K1086" s="84" t="n"/>
      <c r="L1086" s="85" t="n"/>
      <c r="M1086" s="86" t="n"/>
      <c r="N1086" s="245" t="n"/>
      <c r="O1086" s="238" t="n"/>
      <c r="P1086" s="238" t="n"/>
      <c r="Q1086" s="246" t="n"/>
    </row>
    <row r="1087" ht="13.2" customFormat="1" customHeight="1" s="47">
      <c r="B1087" s="83" t="n"/>
      <c r="C1087" s="83" t="n"/>
      <c r="D1087" s="84" t="n"/>
      <c r="E1087" s="84" t="n"/>
      <c r="F1087" s="84" t="n"/>
      <c r="G1087" s="84" t="n"/>
      <c r="H1087" s="84" t="n"/>
      <c r="I1087" s="84" t="n"/>
      <c r="J1087" s="84" t="n"/>
      <c r="K1087" s="84" t="n"/>
      <c r="L1087" s="85" t="n"/>
      <c r="M1087" s="86" t="n"/>
      <c r="N1087" s="245" t="n"/>
      <c r="O1087" s="238" t="n"/>
      <c r="P1087" s="238" t="n"/>
      <c r="Q1087" s="246" t="n"/>
    </row>
    <row r="1088" ht="13.2" customFormat="1" customHeight="1" s="47">
      <c r="B1088" s="83" t="n"/>
      <c r="C1088" s="83" t="n"/>
      <c r="D1088" s="84" t="n"/>
      <c r="E1088" s="84" t="n"/>
      <c r="F1088" s="84" t="n"/>
      <c r="G1088" s="84" t="n"/>
      <c r="H1088" s="84" t="n"/>
      <c r="I1088" s="84" t="n"/>
      <c r="J1088" s="84" t="n"/>
      <c r="K1088" s="84" t="n"/>
      <c r="L1088" s="85" t="n"/>
      <c r="M1088" s="86" t="n"/>
      <c r="N1088" s="245" t="n"/>
      <c r="O1088" s="238" t="n"/>
      <c r="P1088" s="238" t="n"/>
      <c r="Q1088" s="246" t="n"/>
    </row>
    <row r="1089" ht="13.2" customFormat="1" customHeight="1" s="47">
      <c r="B1089" s="83" t="n"/>
      <c r="C1089" s="83" t="n"/>
      <c r="D1089" s="84" t="n"/>
      <c r="E1089" s="84" t="n"/>
      <c r="F1089" s="84" t="n"/>
      <c r="G1089" s="84" t="n"/>
      <c r="H1089" s="84" t="n"/>
      <c r="I1089" s="84" t="n"/>
      <c r="J1089" s="84" t="n"/>
      <c r="K1089" s="84" t="n"/>
      <c r="L1089" s="85" t="n"/>
      <c r="M1089" s="86" t="n"/>
      <c r="N1089" s="245" t="n"/>
      <c r="O1089" s="238" t="n"/>
      <c r="P1089" s="238" t="n"/>
      <c r="Q1089" s="246" t="n"/>
    </row>
    <row r="1090" ht="13.2" customFormat="1" customHeight="1" s="47">
      <c r="B1090" s="83" t="n"/>
      <c r="C1090" s="83" t="n"/>
      <c r="D1090" s="84" t="n"/>
      <c r="E1090" s="84" t="n"/>
      <c r="F1090" s="84" t="n"/>
      <c r="G1090" s="84" t="n"/>
      <c r="H1090" s="84" t="n"/>
      <c r="I1090" s="84" t="n"/>
      <c r="J1090" s="84" t="n"/>
      <c r="K1090" s="84" t="n"/>
      <c r="L1090" s="85" t="n"/>
      <c r="M1090" s="86" t="n"/>
      <c r="N1090" s="245" t="n"/>
      <c r="O1090" s="238" t="n"/>
      <c r="P1090" s="238" t="n"/>
      <c r="Q1090" s="246" t="n"/>
    </row>
    <row r="1091" ht="13.2" customFormat="1" customHeight="1" s="47">
      <c r="B1091" s="83" t="n"/>
      <c r="C1091" s="83" t="n"/>
      <c r="D1091" s="84" t="n"/>
      <c r="E1091" s="84" t="n"/>
      <c r="F1091" s="84" t="n"/>
      <c r="G1091" s="84" t="n"/>
      <c r="H1091" s="84" t="n"/>
      <c r="I1091" s="84" t="n"/>
      <c r="J1091" s="84" t="n"/>
      <c r="K1091" s="84" t="n"/>
      <c r="L1091" s="85" t="n"/>
      <c r="M1091" s="86" t="n"/>
      <c r="N1091" s="245" t="n"/>
      <c r="O1091" s="238" t="n"/>
      <c r="P1091" s="238" t="n"/>
      <c r="Q1091" s="246" t="n"/>
    </row>
    <row r="1092" ht="13.2" customFormat="1" customHeight="1" s="47">
      <c r="B1092" s="83" t="n"/>
      <c r="C1092" s="83" t="n"/>
      <c r="D1092" s="84" t="n"/>
      <c r="E1092" s="84" t="n"/>
      <c r="F1092" s="84" t="n"/>
      <c r="G1092" s="84" t="n"/>
      <c r="H1092" s="84" t="n"/>
      <c r="I1092" s="84" t="n"/>
      <c r="J1092" s="84" t="n"/>
      <c r="K1092" s="84" t="n"/>
      <c r="L1092" s="85" t="n"/>
      <c r="M1092" s="86" t="n"/>
      <c r="N1092" s="245" t="n"/>
      <c r="O1092" s="238" t="n"/>
      <c r="P1092" s="238" t="n"/>
      <c r="Q1092" s="246" t="n"/>
    </row>
    <row r="1093" ht="13.2" customFormat="1" customHeight="1" s="47">
      <c r="B1093" s="83" t="n"/>
      <c r="C1093" s="83" t="n"/>
      <c r="D1093" s="84" t="n"/>
      <c r="E1093" s="84" t="n"/>
      <c r="F1093" s="84" t="n"/>
      <c r="G1093" s="84" t="n"/>
      <c r="H1093" s="84" t="n"/>
      <c r="I1093" s="84" t="n"/>
      <c r="J1093" s="84" t="n"/>
      <c r="K1093" s="84" t="n"/>
      <c r="L1093" s="85" t="n"/>
      <c r="M1093" s="86" t="n"/>
      <c r="N1093" s="245" t="n"/>
      <c r="O1093" s="238" t="n"/>
      <c r="P1093" s="238" t="n"/>
      <c r="Q1093" s="246" t="n"/>
    </row>
    <row r="1094" ht="13.2" customFormat="1" customHeight="1" s="47">
      <c r="B1094" s="83" t="n"/>
      <c r="C1094" s="83" t="n"/>
      <c r="D1094" s="84" t="n"/>
      <c r="E1094" s="84" t="n"/>
      <c r="F1094" s="84" t="n"/>
      <c r="G1094" s="84" t="n"/>
      <c r="H1094" s="84" t="n"/>
      <c r="I1094" s="84" t="n"/>
      <c r="J1094" s="84" t="n"/>
      <c r="K1094" s="84" t="n"/>
      <c r="L1094" s="85" t="n"/>
      <c r="M1094" s="86" t="n"/>
      <c r="N1094" s="245" t="n"/>
      <c r="O1094" s="238" t="n"/>
      <c r="P1094" s="238" t="n"/>
      <c r="Q1094" s="246" t="n"/>
    </row>
    <row r="1095" ht="13.2" customFormat="1" customHeight="1" s="47">
      <c r="B1095" s="83" t="n"/>
      <c r="C1095" s="83" t="n"/>
      <c r="D1095" s="84" t="n"/>
      <c r="E1095" s="84" t="n"/>
      <c r="F1095" s="84" t="n"/>
      <c r="G1095" s="84" t="n"/>
      <c r="H1095" s="84" t="n"/>
      <c r="I1095" s="84" t="n"/>
      <c r="J1095" s="84" t="n"/>
      <c r="K1095" s="84" t="n"/>
      <c r="L1095" s="85" t="n"/>
      <c r="M1095" s="86" t="n"/>
      <c r="N1095" s="245" t="n"/>
      <c r="O1095" s="238" t="n"/>
      <c r="P1095" s="238" t="n"/>
      <c r="Q1095" s="246" t="n"/>
    </row>
    <row r="1096" ht="13.2" customFormat="1" customHeight="1" s="47">
      <c r="B1096" s="83" t="n"/>
      <c r="C1096" s="83" t="n"/>
      <c r="D1096" s="84" t="n"/>
      <c r="E1096" s="84" t="n"/>
      <c r="F1096" s="84" t="n"/>
      <c r="G1096" s="84" t="n"/>
      <c r="H1096" s="84" t="n"/>
      <c r="I1096" s="84" t="n"/>
      <c r="J1096" s="84" t="n"/>
      <c r="K1096" s="84" t="n"/>
      <c r="L1096" s="85" t="n"/>
      <c r="M1096" s="86" t="n"/>
      <c r="N1096" s="245" t="n"/>
      <c r="O1096" s="238" t="n"/>
      <c r="P1096" s="238" t="n"/>
      <c r="Q1096" s="246" t="n"/>
    </row>
    <row r="1097" ht="13.2" customFormat="1" customHeight="1" s="47">
      <c r="B1097" s="83" t="n"/>
      <c r="C1097" s="83" t="n"/>
      <c r="D1097" s="84" t="n"/>
      <c r="E1097" s="84" t="n"/>
      <c r="F1097" s="84" t="n"/>
      <c r="G1097" s="84" t="n"/>
      <c r="H1097" s="84" t="n"/>
      <c r="I1097" s="84" t="n"/>
      <c r="J1097" s="84" t="n"/>
      <c r="K1097" s="84" t="n"/>
      <c r="L1097" s="85" t="n"/>
      <c r="M1097" s="86" t="n"/>
      <c r="N1097" s="245" t="n"/>
      <c r="O1097" s="238" t="n"/>
      <c r="P1097" s="238" t="n"/>
      <c r="Q1097" s="246" t="n"/>
    </row>
    <row r="1098" ht="13.2" customFormat="1" customHeight="1" s="47">
      <c r="B1098" s="83" t="n"/>
      <c r="C1098" s="83" t="n"/>
      <c r="D1098" s="84" t="n"/>
      <c r="E1098" s="84" t="n"/>
      <c r="F1098" s="84" t="n"/>
      <c r="G1098" s="84" t="n"/>
      <c r="H1098" s="84" t="n"/>
      <c r="I1098" s="84" t="n"/>
      <c r="J1098" s="84" t="n"/>
      <c r="K1098" s="84" t="n"/>
      <c r="L1098" s="85" t="n"/>
      <c r="M1098" s="86" t="n"/>
      <c r="N1098" s="245" t="n"/>
      <c r="O1098" s="238" t="n"/>
      <c r="P1098" s="238" t="n"/>
      <c r="Q1098" s="246" t="n"/>
    </row>
    <row r="1099" ht="13.2" customFormat="1" customHeight="1" s="47">
      <c r="B1099" s="83" t="n"/>
      <c r="C1099" s="83" t="n"/>
      <c r="D1099" s="84" t="n"/>
      <c r="E1099" s="84" t="n"/>
      <c r="F1099" s="84" t="n"/>
      <c r="G1099" s="84" t="n"/>
      <c r="H1099" s="84" t="n"/>
      <c r="I1099" s="84" t="n"/>
      <c r="J1099" s="84" t="n"/>
      <c r="K1099" s="84" t="n"/>
      <c r="L1099" s="85" t="n"/>
      <c r="M1099" s="86" t="n"/>
      <c r="N1099" s="245" t="n"/>
      <c r="O1099" s="238" t="n"/>
      <c r="P1099" s="238" t="n"/>
      <c r="Q1099" s="246" t="n"/>
    </row>
    <row r="1100" ht="13.2" customFormat="1" customHeight="1" s="47">
      <c r="B1100" s="83" t="n"/>
      <c r="C1100" s="83" t="n"/>
      <c r="D1100" s="84" t="n"/>
      <c r="E1100" s="84" t="n"/>
      <c r="F1100" s="84" t="n"/>
      <c r="G1100" s="84" t="n"/>
      <c r="H1100" s="84" t="n"/>
      <c r="I1100" s="84" t="n"/>
      <c r="J1100" s="84" t="n"/>
      <c r="K1100" s="84" t="n"/>
      <c r="L1100" s="85" t="n"/>
      <c r="M1100" s="86" t="n"/>
      <c r="N1100" s="245" t="n"/>
      <c r="O1100" s="238" t="n"/>
      <c r="P1100" s="238" t="n"/>
      <c r="Q1100" s="246" t="n"/>
    </row>
    <row r="1101" ht="13.2" customFormat="1" customHeight="1" s="47">
      <c r="B1101" s="83" t="n"/>
      <c r="C1101" s="83" t="n"/>
      <c r="D1101" s="84" t="n"/>
      <c r="E1101" s="84" t="n"/>
      <c r="F1101" s="84" t="n"/>
      <c r="G1101" s="84" t="n"/>
      <c r="H1101" s="84" t="n"/>
      <c r="I1101" s="84" t="n"/>
      <c r="J1101" s="84" t="n"/>
      <c r="K1101" s="84" t="n"/>
      <c r="L1101" s="85" t="n"/>
      <c r="M1101" s="86" t="n"/>
      <c r="N1101" s="245" t="n"/>
      <c r="O1101" s="238" t="n"/>
      <c r="P1101" s="238" t="n"/>
      <c r="Q1101" s="246" t="n"/>
    </row>
    <row r="1102" ht="13.2" customFormat="1" customHeight="1" s="47">
      <c r="B1102" s="83" t="n"/>
      <c r="C1102" s="83" t="n"/>
      <c r="D1102" s="84" t="n"/>
      <c r="E1102" s="84" t="n"/>
      <c r="F1102" s="84" t="n"/>
      <c r="G1102" s="84" t="n"/>
      <c r="H1102" s="84" t="n"/>
      <c r="I1102" s="84" t="n"/>
      <c r="J1102" s="84" t="n"/>
      <c r="K1102" s="84" t="n"/>
      <c r="L1102" s="85" t="n"/>
      <c r="M1102" s="86" t="n"/>
      <c r="N1102" s="245" t="n"/>
      <c r="O1102" s="238" t="n"/>
      <c r="P1102" s="238" t="n"/>
      <c r="Q1102" s="246" t="n"/>
    </row>
    <row r="1103" ht="13.2" customFormat="1" customHeight="1" s="47">
      <c r="B1103" s="83" t="n"/>
      <c r="C1103" s="83" t="n"/>
      <c r="D1103" s="84" t="n"/>
      <c r="E1103" s="84" t="n"/>
      <c r="F1103" s="84" t="n"/>
      <c r="G1103" s="84" t="n"/>
      <c r="H1103" s="84" t="n"/>
      <c r="I1103" s="84" t="n"/>
      <c r="J1103" s="84" t="n"/>
      <c r="K1103" s="84" t="n"/>
      <c r="L1103" s="85" t="n"/>
      <c r="M1103" s="86" t="n"/>
      <c r="N1103" s="245" t="n"/>
      <c r="O1103" s="238" t="n"/>
      <c r="P1103" s="238" t="n"/>
      <c r="Q1103" s="246" t="n"/>
    </row>
    <row r="1104" ht="13.2" customFormat="1" customHeight="1" s="47">
      <c r="B1104" s="83" t="n"/>
      <c r="C1104" s="83" t="n"/>
      <c r="D1104" s="84" t="n"/>
      <c r="E1104" s="84" t="n"/>
      <c r="F1104" s="84" t="n"/>
      <c r="G1104" s="84" t="n"/>
      <c r="H1104" s="84" t="n"/>
      <c r="I1104" s="84" t="n"/>
      <c r="J1104" s="84" t="n"/>
      <c r="K1104" s="84" t="n"/>
      <c r="L1104" s="85" t="n"/>
      <c r="M1104" s="86" t="n"/>
      <c r="N1104" s="245" t="n"/>
      <c r="O1104" s="238" t="n"/>
      <c r="P1104" s="238" t="n"/>
      <c r="Q1104" s="246" t="n"/>
    </row>
    <row r="1105" ht="13.2" customFormat="1" customHeight="1" s="47">
      <c r="B1105" s="83" t="n"/>
      <c r="C1105" s="83" t="n"/>
      <c r="D1105" s="84" t="n"/>
      <c r="E1105" s="84" t="n"/>
      <c r="F1105" s="84" t="n"/>
      <c r="G1105" s="84" t="n"/>
      <c r="H1105" s="84" t="n"/>
      <c r="I1105" s="84" t="n"/>
      <c r="J1105" s="84" t="n"/>
      <c r="K1105" s="84" t="n"/>
      <c r="L1105" s="85" t="n"/>
      <c r="M1105" s="86" t="n"/>
      <c r="N1105" s="245" t="n"/>
      <c r="O1105" s="238" t="n"/>
      <c r="P1105" s="238" t="n"/>
      <c r="Q1105" s="246" t="n"/>
    </row>
    <row r="1106" ht="13.2" customFormat="1" customHeight="1" s="47">
      <c r="B1106" s="83" t="n"/>
      <c r="C1106" s="83" t="n"/>
      <c r="D1106" s="84" t="n"/>
      <c r="E1106" s="84" t="n"/>
      <c r="F1106" s="84" t="n"/>
      <c r="G1106" s="84" t="n"/>
      <c r="H1106" s="84" t="n"/>
      <c r="I1106" s="84" t="n"/>
      <c r="J1106" s="84" t="n"/>
      <c r="K1106" s="84" t="n"/>
      <c r="L1106" s="85" t="n"/>
      <c r="M1106" s="86" t="n"/>
      <c r="N1106" s="245" t="n"/>
      <c r="O1106" s="238" t="n"/>
      <c r="P1106" s="238" t="n"/>
      <c r="Q1106" s="246" t="n"/>
    </row>
    <row r="1107" ht="13.2" customFormat="1" customHeight="1" s="47">
      <c r="B1107" s="83" t="n"/>
      <c r="C1107" s="83" t="n"/>
      <c r="D1107" s="84" t="n"/>
      <c r="E1107" s="84" t="n"/>
      <c r="F1107" s="84" t="n"/>
      <c r="G1107" s="84" t="n"/>
      <c r="H1107" s="84" t="n"/>
      <c r="I1107" s="84" t="n"/>
      <c r="J1107" s="84" t="n"/>
      <c r="K1107" s="84" t="n"/>
      <c r="L1107" s="85" t="n"/>
      <c r="M1107" s="86" t="n"/>
      <c r="N1107" s="245" t="n"/>
      <c r="O1107" s="238" t="n"/>
      <c r="P1107" s="238" t="n"/>
      <c r="Q1107" s="246" t="n"/>
    </row>
    <row r="1108" ht="13.2" customFormat="1" customHeight="1" s="47">
      <c r="B1108" s="83" t="n"/>
      <c r="C1108" s="83" t="n"/>
      <c r="D1108" s="84" t="n"/>
      <c r="E1108" s="84" t="n"/>
      <c r="F1108" s="84" t="n"/>
      <c r="G1108" s="84" t="n"/>
      <c r="H1108" s="84" t="n"/>
      <c r="I1108" s="84" t="n"/>
      <c r="J1108" s="84" t="n"/>
      <c r="K1108" s="84" t="n"/>
      <c r="L1108" s="85" t="n"/>
      <c r="M1108" s="86" t="n"/>
      <c r="N1108" s="245" t="n"/>
      <c r="O1108" s="238" t="n"/>
      <c r="P1108" s="238" t="n"/>
      <c r="Q1108" s="246" t="n"/>
    </row>
    <row r="1109" ht="13.2" customFormat="1" customHeight="1" s="47">
      <c r="B1109" s="83" t="n"/>
      <c r="C1109" s="83" t="n"/>
      <c r="D1109" s="84" t="n"/>
      <c r="E1109" s="84" t="n"/>
      <c r="F1109" s="84" t="n"/>
      <c r="G1109" s="84" t="n"/>
      <c r="H1109" s="84" t="n"/>
      <c r="I1109" s="84" t="n"/>
      <c r="J1109" s="84" t="n"/>
      <c r="K1109" s="84" t="n"/>
      <c r="L1109" s="85" t="n"/>
      <c r="M1109" s="86" t="n"/>
      <c r="N1109" s="245" t="n"/>
      <c r="O1109" s="238" t="n"/>
      <c r="P1109" s="238" t="n"/>
      <c r="Q1109" s="246" t="n"/>
    </row>
    <row r="1110" ht="13.2" customFormat="1" customHeight="1" s="47">
      <c r="B1110" s="83" t="n"/>
      <c r="C1110" s="83" t="n"/>
      <c r="D1110" s="84" t="n"/>
      <c r="E1110" s="84" t="n"/>
      <c r="F1110" s="84" t="n"/>
      <c r="G1110" s="84" t="n"/>
      <c r="H1110" s="84" t="n"/>
      <c r="I1110" s="84" t="n"/>
      <c r="J1110" s="84" t="n"/>
      <c r="K1110" s="84" t="n"/>
      <c r="L1110" s="85" t="n"/>
      <c r="M1110" s="86" t="n"/>
      <c r="N1110" s="245" t="n"/>
      <c r="O1110" s="238" t="n"/>
      <c r="P1110" s="238" t="n"/>
      <c r="Q1110" s="246" t="n"/>
    </row>
    <row r="1111" ht="13.2" customFormat="1" customHeight="1" s="47">
      <c r="B1111" s="83" t="n"/>
      <c r="C1111" s="83" t="n"/>
      <c r="D1111" s="84" t="n"/>
      <c r="E1111" s="84" t="n"/>
      <c r="F1111" s="84" t="n"/>
      <c r="G1111" s="84" t="n"/>
      <c r="H1111" s="84" t="n"/>
      <c r="I1111" s="84" t="n"/>
      <c r="J1111" s="84" t="n"/>
      <c r="K1111" s="84" t="n"/>
      <c r="L1111" s="85" t="n"/>
      <c r="M1111" s="86" t="n"/>
      <c r="N1111" s="245" t="n"/>
      <c r="O1111" s="238" t="n"/>
      <c r="P1111" s="238" t="n"/>
      <c r="Q1111" s="246" t="n"/>
    </row>
    <row r="1112" ht="13.2" customFormat="1" customHeight="1" s="47">
      <c r="B1112" s="83" t="n"/>
      <c r="C1112" s="83" t="n"/>
      <c r="D1112" s="84" t="n"/>
      <c r="E1112" s="84" t="n"/>
      <c r="F1112" s="84" t="n"/>
      <c r="G1112" s="84" t="n"/>
      <c r="H1112" s="84" t="n"/>
      <c r="I1112" s="84" t="n"/>
      <c r="J1112" s="84" t="n"/>
      <c r="K1112" s="84" t="n"/>
      <c r="L1112" s="85" t="n"/>
      <c r="M1112" s="86" t="n"/>
      <c r="N1112" s="245" t="n"/>
      <c r="O1112" s="238" t="n"/>
      <c r="P1112" s="238" t="n"/>
      <c r="Q1112" s="246" t="n"/>
    </row>
    <row r="1113" ht="13.2" customFormat="1" customHeight="1" s="47">
      <c r="B1113" s="83" t="n"/>
      <c r="C1113" s="83" t="n"/>
      <c r="D1113" s="84" t="n"/>
      <c r="E1113" s="84" t="n"/>
      <c r="F1113" s="84" t="n"/>
      <c r="G1113" s="84" t="n"/>
      <c r="H1113" s="84" t="n"/>
      <c r="I1113" s="84" t="n"/>
      <c r="J1113" s="84" t="n"/>
      <c r="K1113" s="84" t="n"/>
      <c r="L1113" s="85" t="n"/>
      <c r="M1113" s="86" t="n"/>
      <c r="N1113" s="245" t="n"/>
      <c r="O1113" s="238" t="n"/>
      <c r="P1113" s="238" t="n"/>
      <c r="Q1113" s="246" t="n"/>
    </row>
    <row r="1114" ht="13.2" customFormat="1" customHeight="1" s="47">
      <c r="B1114" s="83" t="n"/>
      <c r="C1114" s="83" t="n"/>
      <c r="D1114" s="84" t="n"/>
      <c r="E1114" s="84" t="n"/>
      <c r="F1114" s="84" t="n"/>
      <c r="G1114" s="84" t="n"/>
      <c r="H1114" s="84" t="n"/>
      <c r="I1114" s="84" t="n"/>
      <c r="J1114" s="84" t="n"/>
      <c r="K1114" s="84" t="n"/>
      <c r="L1114" s="85" t="n"/>
      <c r="M1114" s="86" t="n"/>
      <c r="N1114" s="245" t="n"/>
      <c r="O1114" s="238" t="n"/>
      <c r="P1114" s="238" t="n"/>
      <c r="Q1114" s="246" t="n"/>
    </row>
    <row r="1115" ht="13.2" customFormat="1" customHeight="1" s="47">
      <c r="B1115" s="83" t="n"/>
      <c r="C1115" s="83" t="n"/>
      <c r="D1115" s="84" t="n"/>
      <c r="E1115" s="84" t="n"/>
      <c r="F1115" s="84" t="n"/>
      <c r="G1115" s="84" t="n"/>
      <c r="H1115" s="84" t="n"/>
      <c r="I1115" s="84" t="n"/>
      <c r="J1115" s="84" t="n"/>
      <c r="K1115" s="84" t="n"/>
      <c r="L1115" s="85" t="n"/>
      <c r="M1115" s="86" t="n"/>
      <c r="N1115" s="245" t="n"/>
      <c r="O1115" s="238" t="n"/>
      <c r="P1115" s="238" t="n"/>
      <c r="Q1115" s="246" t="n"/>
    </row>
    <row r="1116" ht="13.2" customFormat="1" customHeight="1" s="47">
      <c r="B1116" s="83" t="n"/>
      <c r="C1116" s="83" t="n"/>
      <c r="D1116" s="84" t="n"/>
      <c r="E1116" s="84" t="n"/>
      <c r="F1116" s="84" t="n"/>
      <c r="G1116" s="84" t="n"/>
      <c r="H1116" s="84" t="n"/>
      <c r="I1116" s="84" t="n"/>
      <c r="J1116" s="84" t="n"/>
      <c r="K1116" s="84" t="n"/>
      <c r="L1116" s="85" t="n"/>
      <c r="M1116" s="86" t="n"/>
      <c r="N1116" s="245" t="n"/>
      <c r="O1116" s="238" t="n"/>
      <c r="P1116" s="238" t="n"/>
      <c r="Q1116" s="246" t="n"/>
    </row>
    <row r="1117" ht="13.2" customFormat="1" customHeight="1" s="47">
      <c r="B1117" s="83" t="n"/>
      <c r="C1117" s="83" t="n"/>
      <c r="D1117" s="84" t="n"/>
      <c r="E1117" s="84" t="n"/>
      <c r="F1117" s="84" t="n"/>
      <c r="G1117" s="84" t="n"/>
      <c r="H1117" s="84" t="n"/>
      <c r="I1117" s="84" t="n"/>
      <c r="J1117" s="84" t="n"/>
      <c r="K1117" s="84" t="n"/>
      <c r="L1117" s="85" t="n"/>
      <c r="M1117" s="86" t="n"/>
      <c r="N1117" s="245" t="n"/>
      <c r="O1117" s="238" t="n"/>
      <c r="P1117" s="238" t="n"/>
      <c r="Q1117" s="246" t="n"/>
    </row>
    <row r="1118" ht="13.2" customFormat="1" customHeight="1" s="47">
      <c r="B1118" s="83" t="n"/>
      <c r="C1118" s="83" t="n"/>
      <c r="D1118" s="84" t="n"/>
      <c r="E1118" s="84" t="n"/>
      <c r="F1118" s="84" t="n"/>
      <c r="G1118" s="84" t="n"/>
      <c r="H1118" s="84" t="n"/>
      <c r="I1118" s="84" t="n"/>
      <c r="J1118" s="84" t="n"/>
      <c r="K1118" s="84" t="n"/>
      <c r="L1118" s="85" t="n"/>
      <c r="M1118" s="86" t="n"/>
      <c r="N1118" s="245" t="n"/>
      <c r="O1118" s="238" t="n"/>
      <c r="P1118" s="238" t="n"/>
      <c r="Q1118" s="246" t="n"/>
    </row>
    <row r="1119" ht="13.2" customFormat="1" customHeight="1" s="47">
      <c r="B1119" s="83" t="n"/>
      <c r="C1119" s="83" t="n"/>
      <c r="D1119" s="84" t="n"/>
      <c r="E1119" s="84" t="n"/>
      <c r="F1119" s="84" t="n"/>
      <c r="G1119" s="84" t="n"/>
      <c r="H1119" s="84" t="n"/>
      <c r="I1119" s="84" t="n"/>
      <c r="J1119" s="84" t="n"/>
      <c r="K1119" s="84" t="n"/>
      <c r="L1119" s="85" t="n"/>
      <c r="M1119" s="86" t="n"/>
      <c r="N1119" s="245" t="n"/>
      <c r="O1119" s="238" t="n"/>
      <c r="P1119" s="238" t="n"/>
      <c r="Q1119" s="246" t="n"/>
    </row>
    <row r="1120" ht="13.2" customFormat="1" customHeight="1" s="47">
      <c r="B1120" s="83" t="n"/>
      <c r="C1120" s="83" t="n"/>
      <c r="D1120" s="84" t="n"/>
      <c r="E1120" s="84" t="n"/>
      <c r="F1120" s="84" t="n"/>
      <c r="G1120" s="84" t="n"/>
      <c r="H1120" s="84" t="n"/>
      <c r="I1120" s="84" t="n"/>
      <c r="J1120" s="84" t="n"/>
      <c r="K1120" s="84" t="n"/>
      <c r="L1120" s="85" t="n"/>
      <c r="M1120" s="86" t="n"/>
      <c r="N1120" s="245" t="n"/>
      <c r="O1120" s="238" t="n"/>
      <c r="P1120" s="238" t="n"/>
      <c r="Q1120" s="246" t="n"/>
    </row>
    <row r="1121" ht="13.2" customFormat="1" customHeight="1" s="47">
      <c r="B1121" s="83" t="n"/>
      <c r="C1121" s="83" t="n"/>
      <c r="D1121" s="84" t="n"/>
      <c r="E1121" s="84" t="n"/>
      <c r="F1121" s="84" t="n"/>
      <c r="G1121" s="84" t="n"/>
      <c r="H1121" s="84" t="n"/>
      <c r="I1121" s="84" t="n"/>
      <c r="J1121" s="84" t="n"/>
      <c r="K1121" s="84" t="n"/>
      <c r="L1121" s="85" t="n"/>
      <c r="M1121" s="86" t="n"/>
      <c r="N1121" s="245" t="n"/>
      <c r="O1121" s="238" t="n"/>
      <c r="P1121" s="238" t="n"/>
      <c r="Q1121" s="246" t="n"/>
    </row>
    <row r="1122" ht="13.2" customFormat="1" customHeight="1" s="47">
      <c r="B1122" s="83" t="n"/>
      <c r="C1122" s="83" t="n"/>
      <c r="D1122" s="84" t="n"/>
      <c r="E1122" s="84" t="n"/>
      <c r="F1122" s="84" t="n"/>
      <c r="G1122" s="84" t="n"/>
      <c r="H1122" s="84" t="n"/>
      <c r="I1122" s="84" t="n"/>
      <c r="J1122" s="84" t="n"/>
      <c r="K1122" s="84" t="n"/>
      <c r="L1122" s="85" t="n"/>
      <c r="M1122" s="86" t="n"/>
      <c r="N1122" s="245" t="n"/>
      <c r="O1122" s="238" t="n"/>
      <c r="P1122" s="238" t="n"/>
      <c r="Q1122" s="246" t="n"/>
    </row>
    <row r="1123" ht="13.2" customFormat="1" customHeight="1" s="47">
      <c r="B1123" s="83" t="n"/>
      <c r="C1123" s="83" t="n"/>
      <c r="D1123" s="84" t="n"/>
      <c r="E1123" s="84" t="n"/>
      <c r="F1123" s="84" t="n"/>
      <c r="G1123" s="84" t="n"/>
      <c r="H1123" s="84" t="n"/>
      <c r="I1123" s="84" t="n"/>
      <c r="J1123" s="84" t="n"/>
      <c r="K1123" s="84" t="n"/>
      <c r="L1123" s="85" t="n"/>
      <c r="M1123" s="86" t="n"/>
      <c r="N1123" s="245" t="n"/>
      <c r="O1123" s="238" t="n"/>
      <c r="P1123" s="238" t="n"/>
      <c r="Q1123" s="246" t="n"/>
    </row>
    <row r="1124" ht="13.2" customFormat="1" customHeight="1" s="47">
      <c r="B1124" s="83" t="n"/>
      <c r="C1124" s="83" t="n"/>
      <c r="D1124" s="84" t="n"/>
      <c r="E1124" s="84" t="n"/>
      <c r="F1124" s="84" t="n"/>
      <c r="G1124" s="84" t="n"/>
      <c r="H1124" s="84" t="n"/>
      <c r="I1124" s="84" t="n"/>
      <c r="J1124" s="84" t="n"/>
      <c r="K1124" s="84" t="n"/>
      <c r="L1124" s="85" t="n"/>
      <c r="M1124" s="86" t="n"/>
      <c r="N1124" s="245" t="n"/>
      <c r="O1124" s="238" t="n"/>
      <c r="P1124" s="238" t="n"/>
      <c r="Q1124" s="246" t="n"/>
    </row>
    <row r="1125" ht="13.2" customFormat="1" customHeight="1" s="47">
      <c r="B1125" s="83" t="n"/>
      <c r="C1125" s="83" t="n"/>
      <c r="D1125" s="84" t="n"/>
      <c r="E1125" s="84" t="n"/>
      <c r="F1125" s="84" t="n"/>
      <c r="G1125" s="84" t="n"/>
      <c r="H1125" s="84" t="n"/>
      <c r="I1125" s="84" t="n"/>
      <c r="J1125" s="84" t="n"/>
      <c r="K1125" s="84" t="n"/>
      <c r="L1125" s="85" t="n"/>
      <c r="M1125" s="86" t="n"/>
      <c r="N1125" s="245" t="n"/>
      <c r="O1125" s="238" t="n"/>
      <c r="P1125" s="238" t="n"/>
      <c r="Q1125" s="246" t="n"/>
    </row>
    <row r="1126" ht="13.2" customFormat="1" customHeight="1" s="47">
      <c r="B1126" s="83" t="n"/>
      <c r="C1126" s="83" t="n"/>
      <c r="D1126" s="84" t="n"/>
      <c r="E1126" s="84" t="n"/>
      <c r="F1126" s="84" t="n"/>
      <c r="G1126" s="84" t="n"/>
      <c r="H1126" s="84" t="n"/>
      <c r="I1126" s="84" t="n"/>
      <c r="J1126" s="84" t="n"/>
      <c r="K1126" s="84" t="n"/>
      <c r="L1126" s="85" t="n"/>
      <c r="M1126" s="86" t="n"/>
      <c r="N1126" s="245" t="n"/>
      <c r="O1126" s="238" t="n"/>
      <c r="P1126" s="238" t="n"/>
      <c r="Q1126" s="246" t="n"/>
    </row>
    <row r="1127" ht="13.2" customFormat="1" customHeight="1" s="47">
      <c r="B1127" s="83" t="n"/>
      <c r="C1127" s="83" t="n"/>
      <c r="D1127" s="84" t="n"/>
      <c r="E1127" s="84" t="n"/>
      <c r="F1127" s="84" t="n"/>
      <c r="G1127" s="84" t="n"/>
      <c r="H1127" s="84" t="n"/>
      <c r="I1127" s="84" t="n"/>
      <c r="J1127" s="84" t="n"/>
      <c r="K1127" s="84" t="n"/>
      <c r="L1127" s="85" t="n"/>
      <c r="M1127" s="86" t="n"/>
      <c r="N1127" s="245" t="n"/>
      <c r="O1127" s="238" t="n"/>
      <c r="P1127" s="238" t="n"/>
      <c r="Q1127" s="246" t="n"/>
    </row>
    <row r="1128" ht="13.2" customFormat="1" customHeight="1" s="47">
      <c r="B1128" s="83" t="n"/>
      <c r="C1128" s="83" t="n"/>
      <c r="D1128" s="84" t="n"/>
      <c r="E1128" s="84" t="n"/>
      <c r="F1128" s="84" t="n"/>
      <c r="G1128" s="84" t="n"/>
      <c r="H1128" s="84" t="n"/>
      <c r="I1128" s="84" t="n"/>
      <c r="J1128" s="84" t="n"/>
      <c r="K1128" s="84" t="n"/>
      <c r="L1128" s="85" t="n"/>
      <c r="M1128" s="86" t="n"/>
      <c r="N1128" s="245" t="n"/>
      <c r="O1128" s="238" t="n"/>
      <c r="P1128" s="238" t="n"/>
      <c r="Q1128" s="246" t="n"/>
    </row>
    <row r="1129" ht="13.2" customFormat="1" customHeight="1" s="47">
      <c r="B1129" s="83" t="n"/>
      <c r="C1129" s="83" t="n"/>
      <c r="D1129" s="84" t="n"/>
      <c r="E1129" s="84" t="n"/>
      <c r="F1129" s="84" t="n"/>
      <c r="G1129" s="84" t="n"/>
      <c r="H1129" s="84" t="n"/>
      <c r="I1129" s="84" t="n"/>
      <c r="J1129" s="84" t="n"/>
      <c r="K1129" s="84" t="n"/>
      <c r="L1129" s="85" t="n"/>
      <c r="M1129" s="86" t="n"/>
      <c r="N1129" s="245" t="n"/>
      <c r="O1129" s="238" t="n"/>
      <c r="P1129" s="238" t="n"/>
      <c r="Q1129" s="246" t="n"/>
    </row>
    <row r="1130" ht="13.2" customFormat="1" customHeight="1" s="47">
      <c r="B1130" s="83" t="n"/>
      <c r="C1130" s="83" t="n"/>
      <c r="D1130" s="84" t="n"/>
      <c r="E1130" s="84" t="n"/>
      <c r="F1130" s="84" t="n"/>
      <c r="G1130" s="84" t="n"/>
      <c r="H1130" s="84" t="n"/>
      <c r="I1130" s="84" t="n"/>
      <c r="J1130" s="84" t="n"/>
      <c r="K1130" s="84" t="n"/>
      <c r="L1130" s="85" t="n"/>
      <c r="M1130" s="86" t="n"/>
      <c r="N1130" s="245" t="n"/>
      <c r="O1130" s="238" t="n"/>
      <c r="P1130" s="238" t="n"/>
      <c r="Q1130" s="246" t="n"/>
    </row>
    <row r="1131" ht="13.2" customFormat="1" customHeight="1" s="47">
      <c r="B1131" s="83" t="n"/>
      <c r="C1131" s="83" t="n"/>
      <c r="D1131" s="84" t="n"/>
      <c r="E1131" s="84" t="n"/>
      <c r="F1131" s="84" t="n"/>
      <c r="G1131" s="84" t="n"/>
      <c r="H1131" s="84" t="n"/>
      <c r="I1131" s="84" t="n"/>
      <c r="J1131" s="84" t="n"/>
      <c r="K1131" s="84" t="n"/>
      <c r="L1131" s="85" t="n"/>
      <c r="M1131" s="86" t="n"/>
      <c r="N1131" s="245" t="n"/>
      <c r="O1131" s="238" t="n"/>
      <c r="P1131" s="238" t="n"/>
      <c r="Q1131" s="246" t="n"/>
    </row>
    <row r="1132" ht="13.2" customFormat="1" customHeight="1" s="47">
      <c r="B1132" s="83" t="n"/>
      <c r="C1132" s="83" t="n"/>
      <c r="D1132" s="84" t="n"/>
      <c r="E1132" s="84" t="n"/>
      <c r="F1132" s="84" t="n"/>
      <c r="G1132" s="84" t="n"/>
      <c r="H1132" s="84" t="n"/>
      <c r="I1132" s="84" t="n"/>
      <c r="J1132" s="84" t="n"/>
      <c r="K1132" s="84" t="n"/>
      <c r="L1132" s="85" t="n"/>
      <c r="M1132" s="86" t="n"/>
      <c r="N1132" s="245" t="n"/>
      <c r="O1132" s="238" t="n"/>
      <c r="P1132" s="238" t="n"/>
      <c r="Q1132" s="246" t="n"/>
    </row>
    <row r="1133" ht="13.2" customFormat="1" customHeight="1" s="47">
      <c r="B1133" s="83" t="n"/>
      <c r="C1133" s="83" t="n"/>
      <c r="D1133" s="84" t="n"/>
      <c r="E1133" s="84" t="n"/>
      <c r="F1133" s="84" t="n"/>
      <c r="G1133" s="84" t="n"/>
      <c r="H1133" s="84" t="n"/>
      <c r="I1133" s="84" t="n"/>
      <c r="J1133" s="84" t="n"/>
      <c r="K1133" s="84" t="n"/>
      <c r="L1133" s="85" t="n"/>
      <c r="M1133" s="86" t="n"/>
      <c r="N1133" s="245" t="n"/>
      <c r="O1133" s="238" t="n"/>
      <c r="P1133" s="238" t="n"/>
      <c r="Q1133" s="246" t="n"/>
    </row>
    <row r="1134" ht="13.2" customFormat="1" customHeight="1" s="47">
      <c r="B1134" s="83" t="n"/>
      <c r="C1134" s="83" t="n"/>
      <c r="D1134" s="84" t="n"/>
      <c r="E1134" s="84" t="n"/>
      <c r="F1134" s="84" t="n"/>
      <c r="G1134" s="84" t="n"/>
      <c r="H1134" s="84" t="n"/>
      <c r="I1134" s="84" t="n"/>
      <c r="J1134" s="84" t="n"/>
      <c r="K1134" s="84" t="n"/>
      <c r="L1134" s="85" t="n"/>
      <c r="M1134" s="86" t="n"/>
      <c r="N1134" s="245" t="n"/>
      <c r="O1134" s="238" t="n"/>
      <c r="P1134" s="238" t="n"/>
      <c r="Q1134" s="246" t="n"/>
    </row>
    <row r="1135" ht="13.2" customFormat="1" customHeight="1" s="47">
      <c r="B1135" s="83" t="n"/>
      <c r="C1135" s="83" t="n"/>
      <c r="D1135" s="84" t="n"/>
      <c r="E1135" s="84" t="n"/>
      <c r="F1135" s="84" t="n"/>
      <c r="G1135" s="84" t="n"/>
      <c r="H1135" s="84" t="n"/>
      <c r="I1135" s="84" t="n"/>
      <c r="J1135" s="84" t="n"/>
      <c r="K1135" s="84" t="n"/>
      <c r="L1135" s="85" t="n"/>
      <c r="M1135" s="86" t="n"/>
      <c r="N1135" s="245" t="n"/>
      <c r="O1135" s="238" t="n"/>
      <c r="P1135" s="238" t="n"/>
      <c r="Q1135" s="246" t="n"/>
    </row>
    <row r="1136" ht="13.2" customFormat="1" customHeight="1" s="47">
      <c r="B1136" s="83" t="n"/>
      <c r="C1136" s="83" t="n"/>
      <c r="D1136" s="84" t="n"/>
      <c r="E1136" s="84" t="n"/>
      <c r="F1136" s="84" t="n"/>
      <c r="G1136" s="84" t="n"/>
      <c r="H1136" s="84" t="n"/>
      <c r="I1136" s="84" t="n"/>
      <c r="J1136" s="84" t="n"/>
      <c r="K1136" s="84" t="n"/>
      <c r="L1136" s="85" t="n"/>
      <c r="M1136" s="86" t="n"/>
      <c r="N1136" s="245" t="n"/>
      <c r="O1136" s="238" t="n"/>
      <c r="P1136" s="238" t="n"/>
      <c r="Q1136" s="246" t="n"/>
    </row>
    <row r="1137" ht="13.2" customFormat="1" customHeight="1" s="47">
      <c r="B1137" s="83" t="n"/>
      <c r="C1137" s="83" t="n"/>
      <c r="D1137" s="84" t="n"/>
      <c r="E1137" s="84" t="n"/>
      <c r="F1137" s="84" t="n"/>
      <c r="G1137" s="84" t="n"/>
      <c r="H1137" s="84" t="n"/>
      <c r="I1137" s="84" t="n"/>
      <c r="J1137" s="84" t="n"/>
      <c r="K1137" s="84" t="n"/>
      <c r="L1137" s="85" t="n"/>
      <c r="M1137" s="86" t="n"/>
      <c r="N1137" s="245" t="n"/>
      <c r="O1137" s="238" t="n"/>
      <c r="P1137" s="238" t="n"/>
      <c r="Q1137" s="246" t="n"/>
    </row>
    <row r="1138" ht="13.2" customFormat="1" customHeight="1" s="47">
      <c r="B1138" s="83" t="n"/>
      <c r="C1138" s="83" t="n"/>
      <c r="D1138" s="84" t="n"/>
      <c r="E1138" s="84" t="n"/>
      <c r="F1138" s="84" t="n"/>
      <c r="G1138" s="84" t="n"/>
      <c r="H1138" s="84" t="n"/>
      <c r="I1138" s="84" t="n"/>
      <c r="J1138" s="84" t="n"/>
      <c r="K1138" s="84" t="n"/>
      <c r="L1138" s="85" t="n"/>
      <c r="M1138" s="86" t="n"/>
      <c r="N1138" s="245" t="n"/>
      <c r="O1138" s="238" t="n"/>
      <c r="P1138" s="238" t="n"/>
      <c r="Q1138" s="246" t="n"/>
    </row>
    <row r="1139" ht="13.2" customFormat="1" customHeight="1" s="47">
      <c r="B1139" s="83" t="n"/>
      <c r="C1139" s="83" t="n"/>
      <c r="D1139" s="84" t="n"/>
      <c r="E1139" s="84" t="n"/>
      <c r="F1139" s="84" t="n"/>
      <c r="G1139" s="84" t="n"/>
      <c r="H1139" s="84" t="n"/>
      <c r="I1139" s="84" t="n"/>
      <c r="J1139" s="84" t="n"/>
      <c r="K1139" s="84" t="n"/>
      <c r="L1139" s="85" t="n"/>
      <c r="M1139" s="86" t="n"/>
      <c r="N1139" s="245" t="n"/>
      <c r="O1139" s="238" t="n"/>
      <c r="P1139" s="238" t="n"/>
      <c r="Q1139" s="246" t="n"/>
    </row>
    <row r="1140" ht="13.2" customFormat="1" customHeight="1" s="47">
      <c r="B1140" s="83" t="n"/>
      <c r="C1140" s="83" t="n"/>
      <c r="D1140" s="84" t="n"/>
      <c r="E1140" s="84" t="n"/>
      <c r="F1140" s="84" t="n"/>
      <c r="G1140" s="84" t="n"/>
      <c r="H1140" s="84" t="n"/>
      <c r="I1140" s="84" t="n"/>
      <c r="J1140" s="84" t="n"/>
      <c r="K1140" s="84" t="n"/>
      <c r="L1140" s="85" t="n"/>
      <c r="M1140" s="86" t="n"/>
      <c r="N1140" s="245" t="n"/>
      <c r="O1140" s="238" t="n"/>
      <c r="P1140" s="238" t="n"/>
      <c r="Q1140" s="246" t="n"/>
    </row>
    <row r="1141" ht="13.2" customFormat="1" customHeight="1" s="47">
      <c r="B1141" s="83" t="n"/>
      <c r="C1141" s="83" t="n"/>
      <c r="D1141" s="84" t="n"/>
      <c r="E1141" s="84" t="n"/>
      <c r="F1141" s="84" t="n"/>
      <c r="G1141" s="84" t="n"/>
      <c r="H1141" s="84" t="n"/>
      <c r="I1141" s="84" t="n"/>
      <c r="J1141" s="84" t="n"/>
      <c r="K1141" s="84" t="n"/>
      <c r="L1141" s="85" t="n"/>
      <c r="M1141" s="86" t="n"/>
      <c r="N1141" s="245" t="n"/>
      <c r="O1141" s="238" t="n"/>
      <c r="P1141" s="238" t="n"/>
      <c r="Q1141" s="246" t="n"/>
    </row>
    <row r="1142" ht="13.2" customFormat="1" customHeight="1" s="47">
      <c r="B1142" s="83" t="n"/>
      <c r="C1142" s="83" t="n"/>
      <c r="D1142" s="84" t="n"/>
      <c r="E1142" s="84" t="n"/>
      <c r="F1142" s="84" t="n"/>
      <c r="G1142" s="84" t="n"/>
      <c r="H1142" s="84" t="n"/>
      <c r="I1142" s="84" t="n"/>
      <c r="J1142" s="84" t="n"/>
      <c r="K1142" s="84" t="n"/>
      <c r="L1142" s="85" t="n"/>
      <c r="M1142" s="86" t="n"/>
      <c r="N1142" s="245" t="n"/>
      <c r="O1142" s="238" t="n"/>
      <c r="P1142" s="238" t="n"/>
      <c r="Q1142" s="246" t="n"/>
    </row>
    <row r="1143" ht="13.2" customFormat="1" customHeight="1" s="47">
      <c r="B1143" s="83" t="n"/>
      <c r="C1143" s="83" t="n"/>
      <c r="D1143" s="84" t="n"/>
      <c r="E1143" s="84" t="n"/>
      <c r="F1143" s="84" t="n"/>
      <c r="G1143" s="84" t="n"/>
      <c r="H1143" s="84" t="n"/>
      <c r="I1143" s="84" t="n"/>
      <c r="J1143" s="84" t="n"/>
      <c r="K1143" s="84" t="n"/>
      <c r="L1143" s="85" t="n"/>
      <c r="M1143" s="86" t="n"/>
      <c r="N1143" s="245" t="n"/>
      <c r="O1143" s="238" t="n"/>
      <c r="P1143" s="238" t="n"/>
      <c r="Q1143" s="246" t="n"/>
    </row>
    <row r="1144" ht="13.2" customFormat="1" customHeight="1" s="47">
      <c r="B1144" s="83" t="n"/>
      <c r="C1144" s="83" t="n"/>
      <c r="D1144" s="84" t="n"/>
      <c r="E1144" s="84" t="n"/>
      <c r="F1144" s="84" t="n"/>
      <c r="G1144" s="84" t="n"/>
      <c r="H1144" s="84" t="n"/>
      <c r="I1144" s="84" t="n"/>
      <c r="J1144" s="84" t="n"/>
      <c r="K1144" s="84" t="n"/>
      <c r="L1144" s="85" t="n"/>
      <c r="M1144" s="86" t="n"/>
      <c r="N1144" s="245" t="n"/>
      <c r="O1144" s="238" t="n"/>
      <c r="P1144" s="238" t="n"/>
      <c r="Q1144" s="246" t="n"/>
    </row>
    <row r="1145" ht="13.2" customFormat="1" customHeight="1" s="47">
      <c r="B1145" s="83" t="n"/>
      <c r="C1145" s="83" t="n"/>
      <c r="D1145" s="84" t="n"/>
      <c r="E1145" s="84" t="n"/>
      <c r="F1145" s="84" t="n"/>
      <c r="G1145" s="84" t="n"/>
      <c r="H1145" s="84" t="n"/>
      <c r="I1145" s="84" t="n"/>
      <c r="J1145" s="84" t="n"/>
      <c r="K1145" s="84" t="n"/>
      <c r="L1145" s="85" t="n"/>
      <c r="M1145" s="86" t="n"/>
      <c r="N1145" s="245" t="n"/>
      <c r="O1145" s="238" t="n"/>
      <c r="P1145" s="238" t="n"/>
      <c r="Q1145" s="246" t="n"/>
    </row>
    <row r="1146" ht="13.2" customFormat="1" customHeight="1" s="47">
      <c r="B1146" s="83" t="n"/>
      <c r="C1146" s="83" t="n"/>
      <c r="D1146" s="84" t="n"/>
      <c r="E1146" s="84" t="n"/>
      <c r="F1146" s="84" t="n"/>
      <c r="G1146" s="84" t="n"/>
      <c r="H1146" s="84" t="n"/>
      <c r="I1146" s="84" t="n"/>
      <c r="J1146" s="84" t="n"/>
      <c r="K1146" s="84" t="n"/>
      <c r="L1146" s="85" t="n"/>
      <c r="M1146" s="86" t="n"/>
      <c r="N1146" s="245" t="n"/>
      <c r="O1146" s="238" t="n"/>
      <c r="P1146" s="238" t="n"/>
      <c r="Q1146" s="246" t="n"/>
    </row>
    <row r="1147" ht="13.2" customFormat="1" customHeight="1" s="47">
      <c r="B1147" s="83" t="n"/>
      <c r="C1147" s="83" t="n"/>
      <c r="D1147" s="84" t="n"/>
      <c r="E1147" s="84" t="n"/>
      <c r="F1147" s="84" t="n"/>
      <c r="G1147" s="84" t="n"/>
      <c r="H1147" s="84" t="n"/>
      <c r="I1147" s="84" t="n"/>
      <c r="J1147" s="84" t="n"/>
      <c r="K1147" s="84" t="n"/>
      <c r="L1147" s="85" t="n"/>
      <c r="M1147" s="86" t="n"/>
      <c r="N1147" s="245" t="n"/>
      <c r="O1147" s="238" t="n"/>
      <c r="P1147" s="238" t="n"/>
      <c r="Q1147" s="246" t="n"/>
    </row>
    <row r="1149">
      <c r="M1149" s="247" t="inlineStr">
        <is>
          <t>TỔNG CỘNG DỰ ÁN:</t>
        </is>
      </c>
      <c r="N1149" s="248">
        <f>SUBTOTAL(9,N1:N1148)</f>
        <v/>
      </c>
    </row>
  </sheetData>
  <mergeCells count="36">
    <mergeCell ref="M61:P61"/>
    <mergeCell ref="A8:M8"/>
    <mergeCell ref="B3:B4"/>
    <mergeCell ref="C11:C13"/>
    <mergeCell ref="A46:O46"/>
    <mergeCell ref="E11:E13"/>
    <mergeCell ref="O11:O13"/>
    <mergeCell ref="Q11:Q13"/>
    <mergeCell ref="A6:Q6"/>
    <mergeCell ref="F11:I11"/>
    <mergeCell ref="A9:M9"/>
    <mergeCell ref="A47:O47"/>
    <mergeCell ref="L11:L13"/>
    <mergeCell ref="D2:Q2"/>
    <mergeCell ref="N11:N13"/>
    <mergeCell ref="M59:P59"/>
    <mergeCell ref="D10:M10"/>
    <mergeCell ref="K11:K13"/>
    <mergeCell ref="A11:A13"/>
    <mergeCell ref="M11:M13"/>
    <mergeCell ref="B11:B13"/>
    <mergeCell ref="M60:P60"/>
    <mergeCell ref="A7:M7"/>
    <mergeCell ref="F13:G13"/>
    <mergeCell ref="H13:I13"/>
    <mergeCell ref="D4:Q4"/>
    <mergeCell ref="O10:Q10"/>
    <mergeCell ref="D3:Q3"/>
    <mergeCell ref="B15:C15"/>
    <mergeCell ref="A10:B10"/>
    <mergeCell ref="D11:D13"/>
    <mergeCell ref="A45:O45"/>
    <mergeCell ref="P11:P13"/>
    <mergeCell ref="J11:J13"/>
    <mergeCell ref="B26:C26"/>
    <mergeCell ref="D5:Q5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35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28" customHeight="1">
      <c r="A1" s="249" t="inlineStr">
        <is>
          <t>STT</t>
        </is>
      </c>
      <c r="B1" s="249" t="inlineStr">
        <is>
          <t>ITEM_ID</t>
        </is>
      </c>
      <c r="C1" s="249" t="inlineStr">
        <is>
          <t>PHÂN NHÓM</t>
        </is>
      </c>
      <c r="D1" s="249" t="inlineStr">
        <is>
          <t>TÊN SẢN PHẨM</t>
        </is>
      </c>
      <c r="E1" s="249" t="inlineStr">
        <is>
          <t>QUY CÁCH (WxH)</t>
        </is>
      </c>
      <c r="F1" s="249" t="inlineStr">
        <is>
          <t>ĐVT</t>
        </is>
      </c>
      <c r="G1" s="249" t="inlineStr">
        <is>
          <t>SỐ LƯỢNG</t>
        </is>
      </c>
      <c r="H1" s="249" t="inlineStr">
        <is>
          <t>CP VẬT TƯ ỐNG</t>
        </is>
      </c>
      <c r="I1" s="249" t="inlineStr">
        <is>
          <t>CP VẬT TƯ CỬA</t>
        </is>
      </c>
      <c r="J1" s="249" t="inlineStr">
        <is>
          <t>CP VẬT TƯ VAN</t>
        </is>
      </c>
      <c r="K1" s="249" t="inlineStr">
        <is>
          <t>TỔNG CP VẬT TƯ</t>
        </is>
      </c>
      <c r="L1" s="249" t="inlineStr">
        <is>
          <t>NHÂN CÔNG (25%)</t>
        </is>
      </c>
      <c r="M1" s="249" t="inlineStr">
        <is>
          <t>CP XƯỞNG (10%)</t>
        </is>
      </c>
      <c r="N1" s="249" t="inlineStr">
        <is>
          <t>TỔNG GIÁ VỐN</t>
        </is>
      </c>
      <c r="O1" s="249" t="inlineStr">
        <is>
          <t>GIÁ VỐN / ĐVT</t>
        </is>
      </c>
      <c r="P1" s="249" t="inlineStr">
        <is>
          <t>MARGIN (%)</t>
        </is>
      </c>
      <c r="Q1" s="249" t="inlineStr">
        <is>
          <t>ĐƠN GIÁ BÁN</t>
        </is>
      </c>
      <c r="R1" s="249" t="inlineStr">
        <is>
          <t>THÀNH TIỀN (VNĐ)</t>
        </is>
      </c>
      <c r="S1" s="249" t="inlineStr">
        <is>
          <t>GHI CHÚ</t>
        </is>
      </c>
    </row>
    <row r="2">
      <c r="A2" t="n">
        <v>1</v>
      </c>
      <c r="B2" t="inlineStr">
        <is>
          <t>SW-DAMPER-001</t>
        </is>
      </c>
      <c r="C2" t="inlineStr">
        <is>
          <t>VAN GIÓ</t>
        </is>
      </c>
      <c r="D2" t="inlineStr">
        <is>
          <t>VẬT TƯ THI CÔNG P1B: (số BNH-ĐXVT-P1B-29-M-Van ống hồi gió lạnh  L12 - P1B) Van FD 1000x1200xL200</t>
        </is>
      </c>
      <c r="E2" t="inlineStr">
        <is>
          <t>1000x1200</t>
        </is>
      </c>
      <c r="F2" t="inlineStr">
        <is>
          <t>cái</t>
        </is>
      </c>
      <c r="G2" s="250" t="n">
        <v>1</v>
      </c>
      <c r="H2" s="250">
        <f>SUMIF('01_BOC_TACH_ONG'!B:B, B2, '01_BOC_TACH_ONG'!K:K)</f>
        <v/>
      </c>
      <c r="I2" s="250">
        <f>SUMIF('02_BOC_TACH_CUA'!B:B, B2, '02_BOC_TACH_CUA'!K:K)</f>
        <v/>
      </c>
      <c r="J2" s="250">
        <f>SUMIF('03_BOC_TACH_VAN'!B:B, B2, '03_BOC_TACH_VAN'!K:K)</f>
        <v/>
      </c>
      <c r="K2" s="250">
        <f>SUM(H2:J2)</f>
        <v/>
      </c>
      <c r="L2" s="250">
        <f>(K2-SUMIFS('03_BOC_TACH_VAN'!K:K, '03_BOC_TACH_VAN'!B:B, B2, '03_BOC_TACH_VAN'!D:D, "ĐỘNG_CƠ_VÀ_CẢM_BIẾN"))*0.25</f>
        <v/>
      </c>
      <c r="M2" s="250">
        <f>(K2-SUMIFS('03_BOC_TACH_VAN'!K:K, '03_BOC_TACH_VAN'!B:B, B2, '03_BOC_TACH_VAN'!D:D, "ĐỘNG_CƠ_VÀ_CẢM_BIẾN"))*0.10</f>
        <v/>
      </c>
      <c r="N2" s="250">
        <f>K2+L2+M2</f>
        <v/>
      </c>
      <c r="O2" s="250">
        <f>IF(G2&gt;0, N2/G2, 0)</f>
        <v/>
      </c>
      <c r="P2" s="251" t="n">
        <v>0.18</v>
      </c>
      <c r="Q2" s="250">
        <f>IF(G2&gt;0, ((N2-SUMIFS('03_BOC_TACH_VAN'!K:K, '03_BOC_TACH_VAN'!B:B, B2, '03_BOC_TACH_VAN'!D:D, "ĐỘNG_CƠ_VÀ_CẢM_BIẾN"))*(1+P2)+SUMIFS('03_BOC_TACH_VAN'!K:K, '03_BOC_TACH_VAN'!B:B, B2, '03_BOC_TACH_VAN'!D:D, "ĐỘNG_CƠ_VÀ_CẢM_BIẾN"))/G2, 0)</f>
        <v/>
      </c>
      <c r="R2" s="250">
        <f>G2*Q2</f>
        <v/>
      </c>
      <c r="S2" t="inlineStr"/>
    </row>
    <row r="3">
      <c r="A3" t="n">
        <v>2</v>
      </c>
      <c r="B3" t="inlineStr">
        <is>
          <t>SW-DAMPER-002</t>
        </is>
      </c>
      <c r="C3" t="inlineStr">
        <is>
          <t>VAN GIÓ</t>
        </is>
      </c>
      <c r="D3" t="inlineStr">
        <is>
          <t>VẬT TƯ THI CÔNG P1B: (số BNH-ĐXVT-P1B-29-M-Van ống hồi gió lạnh  L12 - P1B) Van FD 1200x700xL200</t>
        </is>
      </c>
      <c r="E3" t="inlineStr">
        <is>
          <t>1200x700</t>
        </is>
      </c>
      <c r="F3" t="inlineStr">
        <is>
          <t>cái</t>
        </is>
      </c>
      <c r="G3" s="250" t="n">
        <v>1</v>
      </c>
      <c r="H3" s="250">
        <f>SUMIF('01_BOC_TACH_ONG'!B:B, B3, '01_BOC_TACH_ONG'!K:K)</f>
        <v/>
      </c>
      <c r="I3" s="250">
        <f>SUMIF('02_BOC_TACH_CUA'!B:B, B3, '02_BOC_TACH_CUA'!K:K)</f>
        <v/>
      </c>
      <c r="J3" s="250">
        <f>SUMIF('03_BOC_TACH_VAN'!B:B, B3, '03_BOC_TACH_VAN'!K:K)</f>
        <v/>
      </c>
      <c r="K3" s="250">
        <f>SUM(H3:J3)</f>
        <v/>
      </c>
      <c r="L3" s="250">
        <f>(K3-SUMIFS('03_BOC_TACH_VAN'!K:K, '03_BOC_TACH_VAN'!B:B, B3, '03_BOC_TACH_VAN'!D:D, "ĐỘNG_CƠ_VÀ_CẢM_BIẾN"))*0.25</f>
        <v/>
      </c>
      <c r="M3" s="250">
        <f>(K3-SUMIFS('03_BOC_TACH_VAN'!K:K, '03_BOC_TACH_VAN'!B:B, B3, '03_BOC_TACH_VAN'!D:D, "ĐỘNG_CƠ_VÀ_CẢM_BIẾN"))*0.10</f>
        <v/>
      </c>
      <c r="N3" s="250">
        <f>K3+L3+M3</f>
        <v/>
      </c>
      <c r="O3" s="250">
        <f>IF(G3&gt;0, N3/G3, 0)</f>
        <v/>
      </c>
      <c r="P3" s="251" t="n">
        <v>0.18</v>
      </c>
      <c r="Q3" s="250">
        <f>IF(G3&gt;0, ((N3-SUMIFS('03_BOC_TACH_VAN'!K:K, '03_BOC_TACH_VAN'!B:B, B3, '03_BOC_TACH_VAN'!D:D, "ĐỘNG_CƠ_VÀ_CẢM_BIẾN"))*(1+P3)+SUMIFS('03_BOC_TACH_VAN'!K:K, '03_BOC_TACH_VAN'!B:B, B3, '03_BOC_TACH_VAN'!D:D, "ĐỘNG_CƠ_VÀ_CẢM_BIẾN"))/G3, 0)</f>
        <v/>
      </c>
      <c r="R3" s="250">
        <f>G3*Q3</f>
        <v/>
      </c>
      <c r="S3" t="inlineStr"/>
    </row>
    <row r="4">
      <c r="A4" t="n">
        <v>3</v>
      </c>
      <c r="B4" t="inlineStr">
        <is>
          <t>SW-DAMPER-003</t>
        </is>
      </c>
      <c r="C4" t="inlineStr">
        <is>
          <t>VAN GIÓ</t>
        </is>
      </c>
      <c r="D4" t="inlineStr">
        <is>
          <t>VẬT TƯ THI CÔNG P1B: (số BNH-ĐXVT-P1B-29-M-Van ống hồi gió lạnh  L12 - P1B) Van FD 1250x1000xL200</t>
        </is>
      </c>
      <c r="E4" t="inlineStr">
        <is>
          <t>1250x1000</t>
        </is>
      </c>
      <c r="F4" t="inlineStr">
        <is>
          <t>cái</t>
        </is>
      </c>
      <c r="G4" s="250" t="n">
        <v>2</v>
      </c>
      <c r="H4" s="250">
        <f>SUMIF('01_BOC_TACH_ONG'!B:B, B4, '01_BOC_TACH_ONG'!K:K)</f>
        <v/>
      </c>
      <c r="I4" s="250">
        <f>SUMIF('02_BOC_TACH_CUA'!B:B, B4, '02_BOC_TACH_CUA'!K:K)</f>
        <v/>
      </c>
      <c r="J4" s="250">
        <f>SUMIF('03_BOC_TACH_VAN'!B:B, B4, '03_BOC_TACH_VAN'!K:K)</f>
        <v/>
      </c>
      <c r="K4" s="250">
        <f>SUM(H4:J4)</f>
        <v/>
      </c>
      <c r="L4" s="250">
        <f>(K4-SUMIFS('03_BOC_TACH_VAN'!K:K, '03_BOC_TACH_VAN'!B:B, B4, '03_BOC_TACH_VAN'!D:D, "ĐỘNG_CƠ_VÀ_CẢM_BIẾN"))*0.25</f>
        <v/>
      </c>
      <c r="M4" s="250">
        <f>(K4-SUMIFS('03_BOC_TACH_VAN'!K:K, '03_BOC_TACH_VAN'!B:B, B4, '03_BOC_TACH_VAN'!D:D, "ĐỘNG_CƠ_VÀ_CẢM_BIẾN"))*0.10</f>
        <v/>
      </c>
      <c r="N4" s="250">
        <f>K4+L4+M4</f>
        <v/>
      </c>
      <c r="O4" s="250">
        <f>IF(G4&gt;0, N4/G4, 0)</f>
        <v/>
      </c>
      <c r="P4" s="251" t="n">
        <v>0.18</v>
      </c>
      <c r="Q4" s="250">
        <f>IF(G4&gt;0, ((N4-SUMIFS('03_BOC_TACH_VAN'!K:K, '03_BOC_TACH_VAN'!B:B, B4, '03_BOC_TACH_VAN'!D:D, "ĐỘNG_CƠ_VÀ_CẢM_BIẾN"))*(1+P4)+SUMIFS('03_BOC_TACH_VAN'!K:K, '03_BOC_TACH_VAN'!B:B, B4, '03_BOC_TACH_VAN'!D:D, "ĐỘNG_CƠ_VÀ_CẢM_BIẾN"))/G4, 0)</f>
        <v/>
      </c>
      <c r="R4" s="250">
        <f>G4*Q4</f>
        <v/>
      </c>
      <c r="S4" t="inlineStr"/>
    </row>
    <row r="5">
      <c r="A5" t="n">
        <v>4</v>
      </c>
      <c r="B5" t="inlineStr">
        <is>
          <t>SW-DAMPER-004</t>
        </is>
      </c>
      <c r="C5" t="inlineStr">
        <is>
          <t>VAN GIÓ</t>
        </is>
      </c>
      <c r="D5" t="inlineStr">
        <is>
          <t>VẬT TƯ THI CÔNG P1B: (số BNH-ĐXVT-P1B-29-M-Van ống hồi gió lạnh  L12 - P1B) Van FD 1350x900xL200</t>
        </is>
      </c>
      <c r="E5" t="inlineStr">
        <is>
          <t>1350x900</t>
        </is>
      </c>
      <c r="F5" t="inlineStr">
        <is>
          <t>cái</t>
        </is>
      </c>
      <c r="G5" s="250" t="n">
        <v>1</v>
      </c>
      <c r="H5" s="250">
        <f>SUMIF('01_BOC_TACH_ONG'!B:B, B5, '01_BOC_TACH_ONG'!K:K)</f>
        <v/>
      </c>
      <c r="I5" s="250">
        <f>SUMIF('02_BOC_TACH_CUA'!B:B, B5, '02_BOC_TACH_CUA'!K:K)</f>
        <v/>
      </c>
      <c r="J5" s="250">
        <f>SUMIF('03_BOC_TACH_VAN'!B:B, B5, '03_BOC_TACH_VAN'!K:K)</f>
        <v/>
      </c>
      <c r="K5" s="250">
        <f>SUM(H5:J5)</f>
        <v/>
      </c>
      <c r="L5" s="250">
        <f>(K5-SUMIFS('03_BOC_TACH_VAN'!K:K, '03_BOC_TACH_VAN'!B:B, B5, '03_BOC_TACH_VAN'!D:D, "ĐỘNG_CƠ_VÀ_CẢM_BIẾN"))*0.25</f>
        <v/>
      </c>
      <c r="M5" s="250">
        <f>(K5-SUMIFS('03_BOC_TACH_VAN'!K:K, '03_BOC_TACH_VAN'!B:B, B5, '03_BOC_TACH_VAN'!D:D, "ĐỘNG_CƠ_VÀ_CẢM_BIẾN"))*0.10</f>
        <v/>
      </c>
      <c r="N5" s="250">
        <f>K5+L5+M5</f>
        <v/>
      </c>
      <c r="O5" s="250">
        <f>IF(G5&gt;0, N5/G5, 0)</f>
        <v/>
      </c>
      <c r="P5" s="251" t="n">
        <v>0.18</v>
      </c>
      <c r="Q5" s="250">
        <f>IF(G5&gt;0, ((N5-SUMIFS('03_BOC_TACH_VAN'!K:K, '03_BOC_TACH_VAN'!B:B, B5, '03_BOC_TACH_VAN'!D:D, "ĐỘNG_CƠ_VÀ_CẢM_BIẾN"))*(1+P5)+SUMIFS('03_BOC_TACH_VAN'!K:K, '03_BOC_TACH_VAN'!B:B, B5, '03_BOC_TACH_VAN'!D:D, "ĐỘNG_CƠ_VÀ_CẢM_BIẾN"))/G5, 0)</f>
        <v/>
      </c>
      <c r="R5" s="250">
        <f>G5*Q5</f>
        <v/>
      </c>
      <c r="S5" t="inlineStr"/>
    </row>
    <row r="6">
      <c r="A6" t="n">
        <v>5</v>
      </c>
      <c r="B6" t="inlineStr">
        <is>
          <t>SW-DAMPER-005</t>
        </is>
      </c>
      <c r="C6" t="inlineStr">
        <is>
          <t>VAN GIÓ</t>
        </is>
      </c>
      <c r="D6" t="inlineStr">
        <is>
          <t>VẬT TƯ THI CÔNG P1B: (số BNH-ĐXVT-P1B-29-M-Van ống hồi gió lạnh  L12 - P1B) Van FD 1350x900xL300</t>
        </is>
      </c>
      <c r="E6" t="inlineStr">
        <is>
          <t>1350x900</t>
        </is>
      </c>
      <c r="F6" t="inlineStr">
        <is>
          <t>cái</t>
        </is>
      </c>
      <c r="G6" s="250" t="n">
        <v>1</v>
      </c>
      <c r="H6" s="250">
        <f>SUMIF('01_BOC_TACH_ONG'!B:B, B6, '01_BOC_TACH_ONG'!K:K)</f>
        <v/>
      </c>
      <c r="I6" s="250">
        <f>SUMIF('02_BOC_TACH_CUA'!B:B, B6, '02_BOC_TACH_CUA'!K:K)</f>
        <v/>
      </c>
      <c r="J6" s="250">
        <f>SUMIF('03_BOC_TACH_VAN'!B:B, B6, '03_BOC_TACH_VAN'!K:K)</f>
        <v/>
      </c>
      <c r="K6" s="250">
        <f>SUM(H6:J6)</f>
        <v/>
      </c>
      <c r="L6" s="250">
        <f>(K6-SUMIFS('03_BOC_TACH_VAN'!K:K, '03_BOC_TACH_VAN'!B:B, B6, '03_BOC_TACH_VAN'!D:D, "ĐỘNG_CƠ_VÀ_CẢM_BIẾN"))*0.25</f>
        <v/>
      </c>
      <c r="M6" s="250">
        <f>(K6-SUMIFS('03_BOC_TACH_VAN'!K:K, '03_BOC_TACH_VAN'!B:B, B6, '03_BOC_TACH_VAN'!D:D, "ĐỘNG_CƠ_VÀ_CẢM_BIẾN"))*0.10</f>
        <v/>
      </c>
      <c r="N6" s="250">
        <f>K6+L6+M6</f>
        <v/>
      </c>
      <c r="O6" s="250">
        <f>IF(G6&gt;0, N6/G6, 0)</f>
        <v/>
      </c>
      <c r="P6" s="251" t="n">
        <v>0.18</v>
      </c>
      <c r="Q6" s="250">
        <f>IF(G6&gt;0, ((N6-SUMIFS('03_BOC_TACH_VAN'!K:K, '03_BOC_TACH_VAN'!B:B, B6, '03_BOC_TACH_VAN'!D:D, "ĐỘNG_CƠ_VÀ_CẢM_BIẾN"))*(1+P6)+SUMIFS('03_BOC_TACH_VAN'!K:K, '03_BOC_TACH_VAN'!B:B, B6, '03_BOC_TACH_VAN'!D:D, "ĐỘNG_CƠ_VÀ_CẢM_BIẾN"))/G6, 0)</f>
        <v/>
      </c>
      <c r="R6" s="250">
        <f>G6*Q6</f>
        <v/>
      </c>
      <c r="S6" t="inlineStr"/>
    </row>
    <row r="7">
      <c r="A7" t="n">
        <v>6</v>
      </c>
      <c r="B7" t="inlineStr">
        <is>
          <t>SW-DAMPER-006</t>
        </is>
      </c>
      <c r="C7" t="inlineStr">
        <is>
          <t>VAN GIÓ</t>
        </is>
      </c>
      <c r="D7" t="inlineStr">
        <is>
          <t>VẬT TƯ THI CÔNG P1B: (số BNH-ĐXVT-P1B-29-M-Van ống hồi gió lạnh  L12 - P1B) Van FD 1400x1100xL200</t>
        </is>
      </c>
      <c r="E7" t="inlineStr">
        <is>
          <t>1400x1100</t>
        </is>
      </c>
      <c r="F7" t="inlineStr">
        <is>
          <t>cái</t>
        </is>
      </c>
      <c r="G7" s="250" t="n">
        <v>1</v>
      </c>
      <c r="H7" s="250">
        <f>SUMIF('01_BOC_TACH_ONG'!B:B, B7, '01_BOC_TACH_ONG'!K:K)</f>
        <v/>
      </c>
      <c r="I7" s="250">
        <f>SUMIF('02_BOC_TACH_CUA'!B:B, B7, '02_BOC_TACH_CUA'!K:K)</f>
        <v/>
      </c>
      <c r="J7" s="250">
        <f>SUMIF('03_BOC_TACH_VAN'!B:B, B7, '03_BOC_TACH_VAN'!K:K)</f>
        <v/>
      </c>
      <c r="K7" s="250">
        <f>SUM(H7:J7)</f>
        <v/>
      </c>
      <c r="L7" s="250">
        <f>(K7-SUMIFS('03_BOC_TACH_VAN'!K:K, '03_BOC_TACH_VAN'!B:B, B7, '03_BOC_TACH_VAN'!D:D, "ĐỘNG_CƠ_VÀ_CẢM_BIẾN"))*0.25</f>
        <v/>
      </c>
      <c r="M7" s="250">
        <f>(K7-SUMIFS('03_BOC_TACH_VAN'!K:K, '03_BOC_TACH_VAN'!B:B, B7, '03_BOC_TACH_VAN'!D:D, "ĐỘNG_CƠ_VÀ_CẢM_BIẾN"))*0.10</f>
        <v/>
      </c>
      <c r="N7" s="250">
        <f>K7+L7+M7</f>
        <v/>
      </c>
      <c r="O7" s="250">
        <f>IF(G7&gt;0, N7/G7, 0)</f>
        <v/>
      </c>
      <c r="P7" s="251" t="n">
        <v>0.18</v>
      </c>
      <c r="Q7" s="250">
        <f>IF(G7&gt;0, ((N7-SUMIFS('03_BOC_TACH_VAN'!K:K, '03_BOC_TACH_VAN'!B:B, B7, '03_BOC_TACH_VAN'!D:D, "ĐỘNG_CƠ_VÀ_CẢM_BIẾN"))*(1+P7)+SUMIFS('03_BOC_TACH_VAN'!K:K, '03_BOC_TACH_VAN'!B:B, B7, '03_BOC_TACH_VAN'!D:D, "ĐỘNG_CƠ_VÀ_CẢM_BIẾN"))/G7, 0)</f>
        <v/>
      </c>
      <c r="R7" s="250">
        <f>G7*Q7</f>
        <v/>
      </c>
      <c r="S7" t="inlineStr"/>
    </row>
    <row r="8">
      <c r="A8" t="n">
        <v>7</v>
      </c>
      <c r="B8" t="inlineStr">
        <is>
          <t>SW-DAMPER-007</t>
        </is>
      </c>
      <c r="C8" t="inlineStr">
        <is>
          <t>VAN GIÓ</t>
        </is>
      </c>
      <c r="D8" t="inlineStr">
        <is>
          <t>VẬT TƯ THI CÔNG P1B: (số BNH-ĐXVT-P1B-29-M-Van ống hồi gió lạnh  L12 - P1B) Van FD 1800x700xL200</t>
        </is>
      </c>
      <c r="E8" t="inlineStr">
        <is>
          <t>1800x700</t>
        </is>
      </c>
      <c r="F8" t="inlineStr">
        <is>
          <t>cái</t>
        </is>
      </c>
      <c r="G8" s="250" t="n">
        <v>1</v>
      </c>
      <c r="H8" s="250">
        <f>SUMIF('01_BOC_TACH_ONG'!B:B, B8, '01_BOC_TACH_ONG'!K:K)</f>
        <v/>
      </c>
      <c r="I8" s="250">
        <f>SUMIF('02_BOC_TACH_CUA'!B:B, B8, '02_BOC_TACH_CUA'!K:K)</f>
        <v/>
      </c>
      <c r="J8" s="250">
        <f>SUMIF('03_BOC_TACH_VAN'!B:B, B8, '03_BOC_TACH_VAN'!K:K)</f>
        <v/>
      </c>
      <c r="K8" s="250">
        <f>SUM(H8:J8)</f>
        <v/>
      </c>
      <c r="L8" s="250">
        <f>(K8-SUMIFS('03_BOC_TACH_VAN'!K:K, '03_BOC_TACH_VAN'!B:B, B8, '03_BOC_TACH_VAN'!D:D, "ĐỘNG_CƠ_VÀ_CẢM_BIẾN"))*0.25</f>
        <v/>
      </c>
      <c r="M8" s="250">
        <f>(K8-SUMIFS('03_BOC_TACH_VAN'!K:K, '03_BOC_TACH_VAN'!B:B, B8, '03_BOC_TACH_VAN'!D:D, "ĐỘNG_CƠ_VÀ_CẢM_BIẾN"))*0.10</f>
        <v/>
      </c>
      <c r="N8" s="250">
        <f>K8+L8+M8</f>
        <v/>
      </c>
      <c r="O8" s="250">
        <f>IF(G8&gt;0, N8/G8, 0)</f>
        <v/>
      </c>
      <c r="P8" s="251" t="n">
        <v>0.18</v>
      </c>
      <c r="Q8" s="250">
        <f>IF(G8&gt;0, ((N8-SUMIFS('03_BOC_TACH_VAN'!K:K, '03_BOC_TACH_VAN'!B:B, B8, '03_BOC_TACH_VAN'!D:D, "ĐỘNG_CƠ_VÀ_CẢM_BIẾN"))*(1+P8)+SUMIFS('03_BOC_TACH_VAN'!K:K, '03_BOC_TACH_VAN'!B:B, B8, '03_BOC_TACH_VAN'!D:D, "ĐỘNG_CƠ_VÀ_CẢM_BIẾN"))/G8, 0)</f>
        <v/>
      </c>
      <c r="R8" s="250">
        <f>G8*Q8</f>
        <v/>
      </c>
      <c r="S8" t="inlineStr"/>
    </row>
    <row r="9">
      <c r="A9" t="n">
        <v>8</v>
      </c>
      <c r="B9" t="inlineStr">
        <is>
          <t>SW-DAMPER-008</t>
        </is>
      </c>
      <c r="C9" t="inlineStr">
        <is>
          <t>VAN GIÓ</t>
        </is>
      </c>
      <c r="D9" t="inlineStr">
        <is>
          <t>VẬT TƯ THI CÔNG P1B: (số BNH-ĐXVT-P1B-29-M-Van ống hồi gió lạnh  L12 - P1B) Van FD 500x400xL200</t>
        </is>
      </c>
      <c r="E9" t="inlineStr">
        <is>
          <t>500x400</t>
        </is>
      </c>
      <c r="F9" t="inlineStr">
        <is>
          <t>cái</t>
        </is>
      </c>
      <c r="G9" s="250" t="n">
        <v>2</v>
      </c>
      <c r="H9" s="250">
        <f>SUMIF('01_BOC_TACH_ONG'!B:B, B9, '01_BOC_TACH_ONG'!K:K)</f>
        <v/>
      </c>
      <c r="I9" s="250">
        <f>SUMIF('02_BOC_TACH_CUA'!B:B, B9, '02_BOC_TACH_CUA'!K:K)</f>
        <v/>
      </c>
      <c r="J9" s="250">
        <f>SUMIF('03_BOC_TACH_VAN'!B:B, B9, '03_BOC_TACH_VAN'!K:K)</f>
        <v/>
      </c>
      <c r="K9" s="250">
        <f>SUM(H9:J9)</f>
        <v/>
      </c>
      <c r="L9" s="250">
        <f>(K9-SUMIFS('03_BOC_TACH_VAN'!K:K, '03_BOC_TACH_VAN'!B:B, B9, '03_BOC_TACH_VAN'!D:D, "ĐỘNG_CƠ_VÀ_CẢM_BIẾN"))*0.25</f>
        <v/>
      </c>
      <c r="M9" s="250">
        <f>(K9-SUMIFS('03_BOC_TACH_VAN'!K:K, '03_BOC_TACH_VAN'!B:B, B9, '03_BOC_TACH_VAN'!D:D, "ĐỘNG_CƠ_VÀ_CẢM_BIẾN"))*0.10</f>
        <v/>
      </c>
      <c r="N9" s="250">
        <f>K9+L9+M9</f>
        <v/>
      </c>
      <c r="O9" s="250">
        <f>IF(G9&gt;0, N9/G9, 0)</f>
        <v/>
      </c>
      <c r="P9" s="251" t="n">
        <v>0.18</v>
      </c>
      <c r="Q9" s="250">
        <f>IF(G9&gt;0, ((N9-SUMIFS('03_BOC_TACH_VAN'!K:K, '03_BOC_TACH_VAN'!B:B, B9, '03_BOC_TACH_VAN'!D:D, "ĐỘNG_CƠ_VÀ_CẢM_BIẾN"))*(1+P9)+SUMIFS('03_BOC_TACH_VAN'!K:K, '03_BOC_TACH_VAN'!B:B, B9, '03_BOC_TACH_VAN'!D:D, "ĐỘNG_CƠ_VÀ_CẢM_BIẾN"))/G9, 0)</f>
        <v/>
      </c>
      <c r="R9" s="250">
        <f>G9*Q9</f>
        <v/>
      </c>
      <c r="S9" t="inlineStr"/>
    </row>
    <row r="10">
      <c r="A10" t="n">
        <v>9</v>
      </c>
      <c r="B10" t="inlineStr">
        <is>
          <t>SW-DAMPER-009</t>
        </is>
      </c>
      <c r="C10" t="inlineStr">
        <is>
          <t>VAN GIÓ</t>
        </is>
      </c>
      <c r="D10" t="inlineStr">
        <is>
          <t>VẬT TƯ THI CÔNG P1B: (số BNH-ĐXVT-P1B-29-M-Van ống hồi gió lạnh  L12 - P1B) Van FD 700x500xL200</t>
        </is>
      </c>
      <c r="E10" t="inlineStr">
        <is>
          <t>700x500</t>
        </is>
      </c>
      <c r="F10" t="inlineStr">
        <is>
          <t>cái</t>
        </is>
      </c>
      <c r="G10" s="250" t="n">
        <v>1</v>
      </c>
      <c r="H10" s="250">
        <f>SUMIF('01_BOC_TACH_ONG'!B:B, B10, '01_BOC_TACH_ONG'!K:K)</f>
        <v/>
      </c>
      <c r="I10" s="250">
        <f>SUMIF('02_BOC_TACH_CUA'!B:B, B10, '02_BOC_TACH_CUA'!K:K)</f>
        <v/>
      </c>
      <c r="J10" s="250">
        <f>SUMIF('03_BOC_TACH_VAN'!B:B, B10, '03_BOC_TACH_VAN'!K:K)</f>
        <v/>
      </c>
      <c r="K10" s="250">
        <f>SUM(H10:J10)</f>
        <v/>
      </c>
      <c r="L10" s="250">
        <f>(K10-SUMIFS('03_BOC_TACH_VAN'!K:K, '03_BOC_TACH_VAN'!B:B, B10, '03_BOC_TACH_VAN'!D:D, "ĐỘNG_CƠ_VÀ_CẢM_BIẾN"))*0.25</f>
        <v/>
      </c>
      <c r="M10" s="250">
        <f>(K10-SUMIFS('03_BOC_TACH_VAN'!K:K, '03_BOC_TACH_VAN'!B:B, B10, '03_BOC_TACH_VAN'!D:D, "ĐỘNG_CƠ_VÀ_CẢM_BIẾN"))*0.10</f>
        <v/>
      </c>
      <c r="N10" s="250">
        <f>K10+L10+M10</f>
        <v/>
      </c>
      <c r="O10" s="250">
        <f>IF(G10&gt;0, N10/G10, 0)</f>
        <v/>
      </c>
      <c r="P10" s="251" t="n">
        <v>0.18</v>
      </c>
      <c r="Q10" s="250">
        <f>IF(G10&gt;0, ((N10-SUMIFS('03_BOC_TACH_VAN'!K:K, '03_BOC_TACH_VAN'!B:B, B10, '03_BOC_TACH_VAN'!D:D, "ĐỘNG_CƠ_VÀ_CẢM_BIẾN"))*(1+P10)+SUMIFS('03_BOC_TACH_VAN'!K:K, '03_BOC_TACH_VAN'!B:B, B10, '03_BOC_TACH_VAN'!D:D, "ĐỘNG_CƠ_VÀ_CẢM_BIẾN"))/G10, 0)</f>
        <v/>
      </c>
      <c r="R10" s="250">
        <f>G10*Q10</f>
        <v/>
      </c>
      <c r="S10" t="inlineStr"/>
    </row>
    <row r="11">
      <c r="A11" t="n">
        <v>10</v>
      </c>
      <c r="B11" t="inlineStr">
        <is>
          <t>SW-DAMPER-010</t>
        </is>
      </c>
      <c r="C11" t="inlineStr">
        <is>
          <t>VAN GIÓ</t>
        </is>
      </c>
      <c r="D11" t="inlineStr">
        <is>
          <t>VẬT TƯ THI CÔNG P1B: (số BNH-ĐXVT-P1B-29-M-Van ống hồi gió lạnh  L12 - P1B) Van FD 800x1550xL200</t>
        </is>
      </c>
      <c r="E11" t="inlineStr">
        <is>
          <t>800x1550</t>
        </is>
      </c>
      <c r="F11" t="inlineStr">
        <is>
          <t>cái</t>
        </is>
      </c>
      <c r="G11" s="250" t="n">
        <v>1</v>
      </c>
      <c r="H11" s="250">
        <f>SUMIF('01_BOC_TACH_ONG'!B:B, B11, '01_BOC_TACH_ONG'!K:K)</f>
        <v/>
      </c>
      <c r="I11" s="250">
        <f>SUMIF('02_BOC_TACH_CUA'!B:B, B11, '02_BOC_TACH_CUA'!K:K)</f>
        <v/>
      </c>
      <c r="J11" s="250">
        <f>SUMIF('03_BOC_TACH_VAN'!B:B, B11, '03_BOC_TACH_VAN'!K:K)</f>
        <v/>
      </c>
      <c r="K11" s="250">
        <f>SUM(H11:J11)</f>
        <v/>
      </c>
      <c r="L11" s="250">
        <f>(K11-SUMIFS('03_BOC_TACH_VAN'!K:K, '03_BOC_TACH_VAN'!B:B, B11, '03_BOC_TACH_VAN'!D:D, "ĐỘNG_CƠ_VÀ_CẢM_BIẾN"))*0.25</f>
        <v/>
      </c>
      <c r="M11" s="250">
        <f>(K11-SUMIFS('03_BOC_TACH_VAN'!K:K, '03_BOC_TACH_VAN'!B:B, B11, '03_BOC_TACH_VAN'!D:D, "ĐỘNG_CƠ_VÀ_CẢM_BIẾN"))*0.10</f>
        <v/>
      </c>
      <c r="N11" s="250">
        <f>K11+L11+M11</f>
        <v/>
      </c>
      <c r="O11" s="250">
        <f>IF(G11&gt;0, N11/G11, 0)</f>
        <v/>
      </c>
      <c r="P11" s="251" t="n">
        <v>0.18</v>
      </c>
      <c r="Q11" s="250">
        <f>IF(G11&gt;0, ((N11-SUMIFS('03_BOC_TACH_VAN'!K:K, '03_BOC_TACH_VAN'!B:B, B11, '03_BOC_TACH_VAN'!D:D, "ĐỘNG_CƠ_VÀ_CẢM_BIẾN"))*(1+P11)+SUMIFS('03_BOC_TACH_VAN'!K:K, '03_BOC_TACH_VAN'!B:B, B11, '03_BOC_TACH_VAN'!D:D, "ĐỘNG_CƠ_VÀ_CẢM_BIẾN"))/G11, 0)</f>
        <v/>
      </c>
      <c r="R11" s="250">
        <f>G11*Q11</f>
        <v/>
      </c>
      <c r="S11" t="inlineStr"/>
    </row>
    <row r="12">
      <c r="A12" t="n">
        <v>11</v>
      </c>
      <c r="B12" t="inlineStr">
        <is>
          <t>SW-DAMPER-011</t>
        </is>
      </c>
      <c r="C12" t="inlineStr">
        <is>
          <t>VAN GIÓ</t>
        </is>
      </c>
      <c r="D12" t="inlineStr">
        <is>
          <t>VẬT TƯ THI CÔNG H1: (số BNH_DXVT_H1_29_M_Van MD, FD, VCD hệ HVAC trong phòng JS/DD, K1/DD, K1/AR, K1/K1 tầng 10-19 tòa H1) Van chặn lửa MFD - EI45 - Kích thước: 150x100</t>
        </is>
      </c>
      <c r="E12" t="inlineStr">
        <is>
          <t>150x100</t>
        </is>
      </c>
      <c r="F12" t="inlineStr">
        <is>
          <t>Cái</t>
        </is>
      </c>
      <c r="G12" s="250" t="n">
        <v>39</v>
      </c>
      <c r="H12" s="250">
        <f>SUMIF('01_BOC_TACH_ONG'!B:B, B12, '01_BOC_TACH_ONG'!K:K)</f>
        <v/>
      </c>
      <c r="I12" s="250">
        <f>SUMIF('02_BOC_TACH_CUA'!B:B, B12, '02_BOC_TACH_CUA'!K:K)</f>
        <v/>
      </c>
      <c r="J12" s="250">
        <f>SUMIF('03_BOC_TACH_VAN'!B:B, B12, '03_BOC_TACH_VAN'!K:K)</f>
        <v/>
      </c>
      <c r="K12" s="250">
        <f>SUM(H12:J12)</f>
        <v/>
      </c>
      <c r="L12" s="250">
        <f>(K12-SUMIFS('03_BOC_TACH_VAN'!K:K, '03_BOC_TACH_VAN'!B:B, B12, '03_BOC_TACH_VAN'!D:D, "ĐỘNG_CƠ_VÀ_CẢM_BIẾN"))*0.25</f>
        <v/>
      </c>
      <c r="M12" s="250">
        <f>(K12-SUMIFS('03_BOC_TACH_VAN'!K:K, '03_BOC_TACH_VAN'!B:B, B12, '03_BOC_TACH_VAN'!D:D, "ĐỘNG_CƠ_VÀ_CẢM_BIẾN"))*0.10</f>
        <v/>
      </c>
      <c r="N12" s="250">
        <f>K12+L12+M12</f>
        <v/>
      </c>
      <c r="O12" s="250">
        <f>IF(G12&gt;0, N12/G12, 0)</f>
        <v/>
      </c>
      <c r="P12" s="251" t="n">
        <v>0.18</v>
      </c>
      <c r="Q12" s="250">
        <f>IF(G12&gt;0, ((N12-SUMIFS('03_BOC_TACH_VAN'!K:K, '03_BOC_TACH_VAN'!B:B, B12, '03_BOC_TACH_VAN'!D:D, "ĐỘNG_CƠ_VÀ_CẢM_BIẾN"))*(1+P12)+SUMIFS('03_BOC_TACH_VAN'!K:K, '03_BOC_TACH_VAN'!B:B, B12, '03_BOC_TACH_VAN'!D:D, "ĐỘNG_CƠ_VÀ_CẢM_BIẾN"))/G12, 0)</f>
        <v/>
      </c>
      <c r="R12" s="250">
        <f>G12*Q12</f>
        <v/>
      </c>
      <c r="S12" t="inlineStr"/>
    </row>
    <row r="13">
      <c r="A13" t="n">
        <v>12</v>
      </c>
      <c r="B13" t="inlineStr">
        <is>
          <t>SW-DAMPER-012</t>
        </is>
      </c>
      <c r="C13" t="inlineStr">
        <is>
          <t>VAN GIÓ</t>
        </is>
      </c>
      <c r="D13" t="inlineStr">
        <is>
          <t>VẬT TƯ THI CÔNG H1: (số BNH_DXVT_H1_29_M_Van MD, FD, VCD hệ HVAC trong phòng JS/DD, K1/DD, K1/AR, K1/K1 tầng 10-19 tòa H1) Van chặn lửa MFD - EI45 - Kích thước: 150x150</t>
        </is>
      </c>
      <c r="E13" t="inlineStr">
        <is>
          <t>150x150</t>
        </is>
      </c>
      <c r="F13" t="inlineStr">
        <is>
          <t>Cái</t>
        </is>
      </c>
      <c r="G13" s="250" t="n">
        <v>19</v>
      </c>
      <c r="H13" s="250">
        <f>SUMIF('01_BOC_TACH_ONG'!B:B, B13, '01_BOC_TACH_ONG'!K:K)</f>
        <v/>
      </c>
      <c r="I13" s="250">
        <f>SUMIF('02_BOC_TACH_CUA'!B:B, B13, '02_BOC_TACH_CUA'!K:K)</f>
        <v/>
      </c>
      <c r="J13" s="250">
        <f>SUMIF('03_BOC_TACH_VAN'!B:B, B13, '03_BOC_TACH_VAN'!K:K)</f>
        <v/>
      </c>
      <c r="K13" s="250">
        <f>SUM(H13:J13)</f>
        <v/>
      </c>
      <c r="L13" s="250">
        <f>(K13-SUMIFS('03_BOC_TACH_VAN'!K:K, '03_BOC_TACH_VAN'!B:B, B13, '03_BOC_TACH_VAN'!D:D, "ĐỘNG_CƠ_VÀ_CẢM_BIẾN"))*0.25</f>
        <v/>
      </c>
      <c r="M13" s="250">
        <f>(K13-SUMIFS('03_BOC_TACH_VAN'!K:K, '03_BOC_TACH_VAN'!B:B, B13, '03_BOC_TACH_VAN'!D:D, "ĐỘNG_CƠ_VÀ_CẢM_BIẾN"))*0.10</f>
        <v/>
      </c>
      <c r="N13" s="250">
        <f>K13+L13+M13</f>
        <v/>
      </c>
      <c r="O13" s="250">
        <f>IF(G13&gt;0, N13/G13, 0)</f>
        <v/>
      </c>
      <c r="P13" s="251" t="n">
        <v>0.18</v>
      </c>
      <c r="Q13" s="250">
        <f>IF(G13&gt;0, ((N13-SUMIFS('03_BOC_TACH_VAN'!K:K, '03_BOC_TACH_VAN'!B:B, B13, '03_BOC_TACH_VAN'!D:D, "ĐỘNG_CƠ_VÀ_CẢM_BIẾN"))*(1+P13)+SUMIFS('03_BOC_TACH_VAN'!K:K, '03_BOC_TACH_VAN'!B:B, B13, '03_BOC_TACH_VAN'!D:D, "ĐỘNG_CƠ_VÀ_CẢM_BIẾN"))/G13, 0)</f>
        <v/>
      </c>
      <c r="R13" s="250">
        <f>G13*Q13</f>
        <v/>
      </c>
      <c r="S13" t="inlineStr"/>
    </row>
    <row r="14">
      <c r="A14" t="n">
        <v>13</v>
      </c>
      <c r="B14" t="inlineStr">
        <is>
          <t>SW-DAMPER-013</t>
        </is>
      </c>
      <c r="C14" t="inlineStr">
        <is>
          <t>VAN GIÓ</t>
        </is>
      </c>
      <c r="D14" t="inlineStr">
        <is>
          <t>VẬT TƯ THI CÔNG H1: (số BNH_DXVT_H1_29_M_Van MD, FD, VCD hệ HVAC trong phòng JS/DD, K1/DD, K1/AR, K1/K1 tầng 10-19 tòa H1) Van điều chỉnh lưu lượng VCD - Kích thước: 150x100</t>
        </is>
      </c>
      <c r="E14" t="inlineStr">
        <is>
          <t>150x100</t>
        </is>
      </c>
      <c r="F14" t="inlineStr">
        <is>
          <t>Cái</t>
        </is>
      </c>
      <c r="G14" s="250" t="n">
        <v>63</v>
      </c>
      <c r="H14" s="250">
        <f>SUMIF('01_BOC_TACH_ONG'!B:B, B14, '01_BOC_TACH_ONG'!K:K)</f>
        <v/>
      </c>
      <c r="I14" s="250">
        <f>SUMIF('02_BOC_TACH_CUA'!B:B, B14, '02_BOC_TACH_CUA'!K:K)</f>
        <v/>
      </c>
      <c r="J14" s="250">
        <f>SUMIF('03_BOC_TACH_VAN'!B:B, B14, '03_BOC_TACH_VAN'!K:K)</f>
        <v/>
      </c>
      <c r="K14" s="250">
        <f>SUM(H14:J14)</f>
        <v/>
      </c>
      <c r="L14" s="250">
        <f>(K14-SUMIFS('03_BOC_TACH_VAN'!K:K, '03_BOC_TACH_VAN'!B:B, B14, '03_BOC_TACH_VAN'!D:D, "ĐỘNG_CƠ_VÀ_CẢM_BIẾN"))*0.25</f>
        <v/>
      </c>
      <c r="M14" s="250">
        <f>(K14-SUMIFS('03_BOC_TACH_VAN'!K:K, '03_BOC_TACH_VAN'!B:B, B14, '03_BOC_TACH_VAN'!D:D, "ĐỘNG_CƠ_VÀ_CẢM_BIẾN"))*0.10</f>
        <v/>
      </c>
      <c r="N14" s="250">
        <f>K14+L14+M14</f>
        <v/>
      </c>
      <c r="O14" s="250">
        <f>IF(G14&gt;0, N14/G14, 0)</f>
        <v/>
      </c>
      <c r="P14" s="251" t="n">
        <v>0.18</v>
      </c>
      <c r="Q14" s="250">
        <f>IF(G14&gt;0, ((N14-SUMIFS('03_BOC_TACH_VAN'!K:K, '03_BOC_TACH_VAN'!B:B, B14, '03_BOC_TACH_VAN'!D:D, "ĐỘNG_CƠ_VÀ_CẢM_BIẾN"))*(1+P14)+SUMIFS('03_BOC_TACH_VAN'!K:K, '03_BOC_TACH_VAN'!B:B, B14, '03_BOC_TACH_VAN'!D:D, "ĐỘNG_CƠ_VÀ_CẢM_BIẾN"))/G14, 0)</f>
        <v/>
      </c>
      <c r="R14" s="250">
        <f>G14*Q14</f>
        <v/>
      </c>
      <c r="S14" t="inlineStr"/>
    </row>
    <row r="15">
      <c r="A15" t="n">
        <v>14</v>
      </c>
      <c r="B15" t="inlineStr">
        <is>
          <t>SW-DAMPER-014</t>
        </is>
      </c>
      <c r="C15" t="inlineStr">
        <is>
          <t>VAN GIÓ</t>
        </is>
      </c>
      <c r="D15" t="inlineStr">
        <is>
          <t>VẬT TƯ THI CÔNG H1: (số BNH_DXVT_H1_29_M_Van MD, FD, VCD hệ HVAC trong phòng JS/DD, K1/DD, K1/AR, K1/K1 tầng 10-19 tòa H1) Van điều chỉnh lưu lượng VCD - Kích thước: 150x150</t>
        </is>
      </c>
      <c r="E15" t="inlineStr">
        <is>
          <t>150x150</t>
        </is>
      </c>
      <c r="F15" t="inlineStr">
        <is>
          <t>Cái</t>
        </is>
      </c>
      <c r="G15" s="250" t="n">
        <v>23</v>
      </c>
      <c r="H15" s="250">
        <f>SUMIF('01_BOC_TACH_ONG'!B:B, B15, '01_BOC_TACH_ONG'!K:K)</f>
        <v/>
      </c>
      <c r="I15" s="250">
        <f>SUMIF('02_BOC_TACH_CUA'!B:B, B15, '02_BOC_TACH_CUA'!K:K)</f>
        <v/>
      </c>
      <c r="J15" s="250">
        <f>SUMIF('03_BOC_TACH_VAN'!B:B, B15, '03_BOC_TACH_VAN'!K:K)</f>
        <v/>
      </c>
      <c r="K15" s="250">
        <f>SUM(H15:J15)</f>
        <v/>
      </c>
      <c r="L15" s="250">
        <f>(K15-SUMIFS('03_BOC_TACH_VAN'!K:K, '03_BOC_TACH_VAN'!B:B, B15, '03_BOC_TACH_VAN'!D:D, "ĐỘNG_CƠ_VÀ_CẢM_BIẾN"))*0.25</f>
        <v/>
      </c>
      <c r="M15" s="250">
        <f>(K15-SUMIFS('03_BOC_TACH_VAN'!K:K, '03_BOC_TACH_VAN'!B:B, B15, '03_BOC_TACH_VAN'!D:D, "ĐỘNG_CƠ_VÀ_CẢM_BIẾN"))*0.10</f>
        <v/>
      </c>
      <c r="N15" s="250">
        <f>K15+L15+M15</f>
        <v/>
      </c>
      <c r="O15" s="250">
        <f>IF(G15&gt;0, N15/G15, 0)</f>
        <v/>
      </c>
      <c r="P15" s="251" t="n">
        <v>0.18</v>
      </c>
      <c r="Q15" s="250">
        <f>IF(G15&gt;0, ((N15-SUMIFS('03_BOC_TACH_VAN'!K:K, '03_BOC_TACH_VAN'!B:B, B15, '03_BOC_TACH_VAN'!D:D, "ĐỘNG_CƠ_VÀ_CẢM_BIẾN"))*(1+P15)+SUMIFS('03_BOC_TACH_VAN'!K:K, '03_BOC_TACH_VAN'!B:B, B15, '03_BOC_TACH_VAN'!D:D, "ĐỘNG_CƠ_VÀ_CẢM_BIẾN"))/G15, 0)</f>
        <v/>
      </c>
      <c r="R15" s="250">
        <f>G15*Q15</f>
        <v/>
      </c>
      <c r="S15" t="inlineStr"/>
    </row>
    <row r="16">
      <c r="A16" t="n">
        <v>15</v>
      </c>
      <c r="B16" t="inlineStr">
        <is>
          <t>SW-DAMPER-015</t>
        </is>
      </c>
      <c r="C16" t="inlineStr">
        <is>
          <t>VAN GIÓ</t>
        </is>
      </c>
      <c r="D16" t="inlineStr">
        <is>
          <t>VẬT TƯ THI CÔNG H1: (số BNH_DXVT_H1_29_M_Van MD, FD, VCD hệ HVAC trong phòng JS/DD, K1/DD, K1/AR, K1/K1 tầng 10-19 tòa H1) Van điều chỉnh lưu lượng VCD - Kích thước: 300x200</t>
        </is>
      </c>
      <c r="E16" t="inlineStr">
        <is>
          <t>300x200</t>
        </is>
      </c>
      <c r="F16" t="inlineStr">
        <is>
          <t>Cái</t>
        </is>
      </c>
      <c r="G16" s="250" t="n">
        <v>2</v>
      </c>
      <c r="H16" s="250">
        <f>SUMIF('01_BOC_TACH_ONG'!B:B, B16, '01_BOC_TACH_ONG'!K:K)</f>
        <v/>
      </c>
      <c r="I16" s="250">
        <f>SUMIF('02_BOC_TACH_CUA'!B:B, B16, '02_BOC_TACH_CUA'!K:K)</f>
        <v/>
      </c>
      <c r="J16" s="250">
        <f>SUMIF('03_BOC_TACH_VAN'!B:B, B16, '03_BOC_TACH_VAN'!K:K)</f>
        <v/>
      </c>
      <c r="K16" s="250">
        <f>SUM(H16:J16)</f>
        <v/>
      </c>
      <c r="L16" s="250">
        <f>(K16-SUMIFS('03_BOC_TACH_VAN'!K:K, '03_BOC_TACH_VAN'!B:B, B16, '03_BOC_TACH_VAN'!D:D, "ĐỘNG_CƠ_VÀ_CẢM_BIẾN"))*0.25</f>
        <v/>
      </c>
      <c r="M16" s="250">
        <f>(K16-SUMIFS('03_BOC_TACH_VAN'!K:K, '03_BOC_TACH_VAN'!B:B, B16, '03_BOC_TACH_VAN'!D:D, "ĐỘNG_CƠ_VÀ_CẢM_BIẾN"))*0.10</f>
        <v/>
      </c>
      <c r="N16" s="250">
        <f>K16+L16+M16</f>
        <v/>
      </c>
      <c r="O16" s="250">
        <f>IF(G16&gt;0, N16/G16, 0)</f>
        <v/>
      </c>
      <c r="P16" s="251" t="n">
        <v>0.18</v>
      </c>
      <c r="Q16" s="250">
        <f>IF(G16&gt;0, ((N16-SUMIFS('03_BOC_TACH_VAN'!K:K, '03_BOC_TACH_VAN'!B:B, B16, '03_BOC_TACH_VAN'!D:D, "ĐỘNG_CƠ_VÀ_CẢM_BIẾN"))*(1+P16)+SUMIFS('03_BOC_TACH_VAN'!K:K, '03_BOC_TACH_VAN'!B:B, B16, '03_BOC_TACH_VAN'!D:D, "ĐỘNG_CƠ_VÀ_CẢM_BIẾN"))/G16, 0)</f>
        <v/>
      </c>
      <c r="R16" s="250">
        <f>G16*Q16</f>
        <v/>
      </c>
      <c r="S16" t="inlineStr"/>
    </row>
    <row r="17">
      <c r="A17" t="n">
        <v>16</v>
      </c>
      <c r="B17" t="inlineStr">
        <is>
          <t>SW-DAMPER-016</t>
        </is>
      </c>
      <c r="C17" t="inlineStr">
        <is>
          <t>VAN GIÓ</t>
        </is>
      </c>
      <c r="D17" t="inlineStr">
        <is>
          <t>VẬT TƯ THI CÔNG H1: (số BNH_DXVT_H1_29_M_Van MD, FD, VCD hệ HVAC trong phòng JS/DD, K1/DD, K1/AR, K1/K1 tầng 10-19 tòa H1) Van điều gió MD - Kích thước: 150x100</t>
        </is>
      </c>
      <c r="E17" t="inlineStr">
        <is>
          <t>150x100</t>
        </is>
      </c>
      <c r="F17" t="inlineStr">
        <is>
          <t>Cái</t>
        </is>
      </c>
      <c r="G17" s="250" t="n">
        <v>41</v>
      </c>
      <c r="H17" s="250">
        <f>SUMIF('01_BOC_TACH_ONG'!B:B, B17, '01_BOC_TACH_ONG'!K:K)</f>
        <v/>
      </c>
      <c r="I17" s="250">
        <f>SUMIF('02_BOC_TACH_CUA'!B:B, B17, '02_BOC_TACH_CUA'!K:K)</f>
        <v/>
      </c>
      <c r="J17" s="250">
        <f>SUMIF('03_BOC_TACH_VAN'!B:B, B17, '03_BOC_TACH_VAN'!K:K)</f>
        <v/>
      </c>
      <c r="K17" s="250">
        <f>SUM(H17:J17)</f>
        <v/>
      </c>
      <c r="L17" s="250">
        <f>(K17-SUMIFS('03_BOC_TACH_VAN'!K:K, '03_BOC_TACH_VAN'!B:B, B17, '03_BOC_TACH_VAN'!D:D, "ĐỘNG_CƠ_VÀ_CẢM_BIẾN"))*0.25</f>
        <v/>
      </c>
      <c r="M17" s="250">
        <f>(K17-SUMIFS('03_BOC_TACH_VAN'!K:K, '03_BOC_TACH_VAN'!B:B, B17, '03_BOC_TACH_VAN'!D:D, "ĐỘNG_CƠ_VÀ_CẢM_BIẾN"))*0.10</f>
        <v/>
      </c>
      <c r="N17" s="250">
        <f>K17+L17+M17</f>
        <v/>
      </c>
      <c r="O17" s="250">
        <f>IF(G17&gt;0, N17/G17, 0)</f>
        <v/>
      </c>
      <c r="P17" s="251" t="n">
        <v>0.18</v>
      </c>
      <c r="Q17" s="250">
        <f>IF(G17&gt;0, ((N17-SUMIFS('03_BOC_TACH_VAN'!K:K, '03_BOC_TACH_VAN'!B:B, B17, '03_BOC_TACH_VAN'!D:D, "ĐỘNG_CƠ_VÀ_CẢM_BIẾN"))*(1+P17)+SUMIFS('03_BOC_TACH_VAN'!K:K, '03_BOC_TACH_VAN'!B:B, B17, '03_BOC_TACH_VAN'!D:D, "ĐỘNG_CƠ_VÀ_CẢM_BIẾN"))/G17, 0)</f>
        <v/>
      </c>
      <c r="R17" s="250">
        <f>G17*Q17</f>
        <v/>
      </c>
      <c r="S17" t="inlineStr"/>
    </row>
    <row r="18">
      <c r="A18" t="n">
        <v>17</v>
      </c>
      <c r="B18" t="inlineStr">
        <is>
          <t>SW-DAMPER-017</t>
        </is>
      </c>
      <c r="C18" t="inlineStr">
        <is>
          <t>VAN GIÓ</t>
        </is>
      </c>
      <c r="D18" t="inlineStr">
        <is>
          <t>VẬT TƯ THI CÔNG H1: (số BNH_DXVT_H1_29_M_Van MD, FD, VCD hệ HVAC trong phòng JS/DD, K1/DD, K1/AR, K1/K1 tầng 10-19 tòa H1) Van điều gió MD - Kích thước: 150x150</t>
        </is>
      </c>
      <c r="E18" t="inlineStr">
        <is>
          <t>150x150</t>
        </is>
      </c>
      <c r="F18" t="inlineStr">
        <is>
          <t>Cái</t>
        </is>
      </c>
      <c r="G18" s="250" t="n">
        <v>14</v>
      </c>
      <c r="H18" s="250">
        <f>SUMIF('01_BOC_TACH_ONG'!B:B, B18, '01_BOC_TACH_ONG'!K:K)</f>
        <v/>
      </c>
      <c r="I18" s="250">
        <f>SUMIF('02_BOC_TACH_CUA'!B:B, B18, '02_BOC_TACH_CUA'!K:K)</f>
        <v/>
      </c>
      <c r="J18" s="250">
        <f>SUMIF('03_BOC_TACH_VAN'!B:B, B18, '03_BOC_TACH_VAN'!K:K)</f>
        <v/>
      </c>
      <c r="K18" s="250">
        <f>SUM(H18:J18)</f>
        <v/>
      </c>
      <c r="L18" s="250">
        <f>(K18-SUMIFS('03_BOC_TACH_VAN'!K:K, '03_BOC_TACH_VAN'!B:B, B18, '03_BOC_TACH_VAN'!D:D, "ĐỘNG_CƠ_VÀ_CẢM_BIẾN"))*0.25</f>
        <v/>
      </c>
      <c r="M18" s="250">
        <f>(K18-SUMIFS('03_BOC_TACH_VAN'!K:K, '03_BOC_TACH_VAN'!B:B, B18, '03_BOC_TACH_VAN'!D:D, "ĐỘNG_CƠ_VÀ_CẢM_BIẾN"))*0.10</f>
        <v/>
      </c>
      <c r="N18" s="250">
        <f>K18+L18+M18</f>
        <v/>
      </c>
      <c r="O18" s="250">
        <f>IF(G18&gt;0, N18/G18, 0)</f>
        <v/>
      </c>
      <c r="P18" s="251" t="n">
        <v>0.18</v>
      </c>
      <c r="Q18" s="250">
        <f>IF(G18&gt;0, ((N18-SUMIFS('03_BOC_TACH_VAN'!K:K, '03_BOC_TACH_VAN'!B:B, B18, '03_BOC_TACH_VAN'!D:D, "ĐỘNG_CƠ_VÀ_CẢM_BIẾN"))*(1+P18)+SUMIFS('03_BOC_TACH_VAN'!K:K, '03_BOC_TACH_VAN'!B:B, B18, '03_BOC_TACH_VAN'!D:D, "ĐỘNG_CƠ_VÀ_CẢM_BIẾN"))/G18, 0)</f>
        <v/>
      </c>
      <c r="R18" s="250">
        <f>G18*Q18</f>
        <v/>
      </c>
      <c r="S18" t="inlineStr"/>
    </row>
    <row r="19">
      <c r="A19" t="n">
        <v>18</v>
      </c>
      <c r="B19" t="inlineStr">
        <is>
          <t>SW-DAMPER-018</t>
        </is>
      </c>
      <c r="C19" t="inlineStr">
        <is>
          <t>VAN GIÓ</t>
        </is>
      </c>
      <c r="D19" t="inlineStr">
        <is>
          <t>Van gió, miệng gió Van chặn lửa MFD - EI45 - Kích thước: 150x100</t>
        </is>
      </c>
      <c r="E19" t="inlineStr">
        <is>
          <t>150x100</t>
        </is>
      </c>
      <c r="F19" t="inlineStr">
        <is>
          <t>Cái</t>
        </is>
      </c>
      <c r="G19" s="250" t="n">
        <v>46</v>
      </c>
      <c r="H19" s="250">
        <f>SUMIF('01_BOC_TACH_ONG'!B:B, B19, '01_BOC_TACH_ONG'!K:K)</f>
        <v/>
      </c>
      <c r="I19" s="250">
        <f>SUMIF('02_BOC_TACH_CUA'!B:B, B19, '02_BOC_TACH_CUA'!K:K)</f>
        <v/>
      </c>
      <c r="J19" s="250">
        <f>SUMIF('03_BOC_TACH_VAN'!B:B, B19, '03_BOC_TACH_VAN'!K:K)</f>
        <v/>
      </c>
      <c r="K19" s="250">
        <f>SUM(H19:J19)</f>
        <v/>
      </c>
      <c r="L19" s="250">
        <f>(K19-SUMIFS('03_BOC_TACH_VAN'!K:K, '03_BOC_TACH_VAN'!B:B, B19, '03_BOC_TACH_VAN'!D:D, "ĐỘNG_CƠ_VÀ_CẢM_BIẾN"))*0.25</f>
        <v/>
      </c>
      <c r="M19" s="250">
        <f>(K19-SUMIFS('03_BOC_TACH_VAN'!K:K, '03_BOC_TACH_VAN'!B:B, B19, '03_BOC_TACH_VAN'!D:D, "ĐỘNG_CƠ_VÀ_CẢM_BIẾN"))*0.10</f>
        <v/>
      </c>
      <c r="N19" s="250">
        <f>K19+L19+M19</f>
        <v/>
      </c>
      <c r="O19" s="250">
        <f>IF(G19&gt;0, N19/G19, 0)</f>
        <v/>
      </c>
      <c r="P19" s="251" t="n">
        <v>0.18</v>
      </c>
      <c r="Q19" s="250">
        <f>IF(G19&gt;0, ((N19-SUMIFS('03_BOC_TACH_VAN'!K:K, '03_BOC_TACH_VAN'!B:B, B19, '03_BOC_TACH_VAN'!D:D, "ĐỘNG_CƠ_VÀ_CẢM_BIẾN"))*(1+P19)+SUMIFS('03_BOC_TACH_VAN'!K:K, '03_BOC_TACH_VAN'!B:B, B19, '03_BOC_TACH_VAN'!D:D, "ĐỘNG_CƠ_VÀ_CẢM_BIẾN"))/G19, 0)</f>
        <v/>
      </c>
      <c r="R19" s="250">
        <f>G19*Q19</f>
        <v/>
      </c>
      <c r="S19" t="inlineStr"/>
    </row>
    <row r="20">
      <c r="A20" t="n">
        <v>19</v>
      </c>
      <c r="B20" t="inlineStr">
        <is>
          <t>SW-DAMPER-019</t>
        </is>
      </c>
      <c r="C20" t="inlineStr">
        <is>
          <t>VAN GIÓ</t>
        </is>
      </c>
      <c r="D20" t="inlineStr">
        <is>
          <t>Van gió, miệng gió Van chặn lửa MFD - EI45 - Kích thước: 150x150</t>
        </is>
      </c>
      <c r="E20" t="inlineStr">
        <is>
          <t>150x150</t>
        </is>
      </c>
      <c r="F20" t="inlineStr">
        <is>
          <t>Cái</t>
        </is>
      </c>
      <c r="G20" s="250" t="n">
        <v>9</v>
      </c>
      <c r="H20" s="250">
        <f>SUMIF('01_BOC_TACH_ONG'!B:B, B20, '01_BOC_TACH_ONG'!K:K)</f>
        <v/>
      </c>
      <c r="I20" s="250">
        <f>SUMIF('02_BOC_TACH_CUA'!B:B, B20, '02_BOC_TACH_CUA'!K:K)</f>
        <v/>
      </c>
      <c r="J20" s="250">
        <f>SUMIF('03_BOC_TACH_VAN'!B:B, B20, '03_BOC_TACH_VAN'!K:K)</f>
        <v/>
      </c>
      <c r="K20" s="250">
        <f>SUM(H20:J20)</f>
        <v/>
      </c>
      <c r="L20" s="250">
        <f>(K20-SUMIFS('03_BOC_TACH_VAN'!K:K, '03_BOC_TACH_VAN'!B:B, B20, '03_BOC_TACH_VAN'!D:D, "ĐỘNG_CƠ_VÀ_CẢM_BIẾN"))*0.25</f>
        <v/>
      </c>
      <c r="M20" s="250">
        <f>(K20-SUMIFS('03_BOC_TACH_VAN'!K:K, '03_BOC_TACH_VAN'!B:B, B20, '03_BOC_TACH_VAN'!D:D, "ĐỘNG_CƠ_VÀ_CẢM_BIẾN"))*0.10</f>
        <v/>
      </c>
      <c r="N20" s="250">
        <f>K20+L20+M20</f>
        <v/>
      </c>
      <c r="O20" s="250">
        <f>IF(G20&gt;0, N20/G20, 0)</f>
        <v/>
      </c>
      <c r="P20" s="251" t="n">
        <v>0.18</v>
      </c>
      <c r="Q20" s="250">
        <f>IF(G20&gt;0, ((N20-SUMIFS('03_BOC_TACH_VAN'!K:K, '03_BOC_TACH_VAN'!B:B, B20, '03_BOC_TACH_VAN'!D:D, "ĐỘNG_CƠ_VÀ_CẢM_BIẾN"))*(1+P20)+SUMIFS('03_BOC_TACH_VAN'!K:K, '03_BOC_TACH_VAN'!B:B, B20, '03_BOC_TACH_VAN'!D:D, "ĐỘNG_CƠ_VÀ_CẢM_BIẾN"))/G20, 0)</f>
        <v/>
      </c>
      <c r="R20" s="250">
        <f>G20*Q20</f>
        <v/>
      </c>
      <c r="S20" t="inlineStr"/>
    </row>
    <row r="21">
      <c r="A21" t="n">
        <v>20</v>
      </c>
      <c r="B21" t="inlineStr">
        <is>
          <t>SW-DAMPER-020</t>
        </is>
      </c>
      <c r="C21" t="inlineStr">
        <is>
          <t>VAN GIÓ</t>
        </is>
      </c>
      <c r="D21" t="inlineStr">
        <is>
          <t>Van gió, miệng gió Van điều chỉnh lưu lượng VCD - Kích thước: 150x100</t>
        </is>
      </c>
      <c r="E21" t="inlineStr">
        <is>
          <t>150x100</t>
        </is>
      </c>
      <c r="F21" t="inlineStr">
        <is>
          <t>Cái</t>
        </is>
      </c>
      <c r="G21" s="250" t="n">
        <v>37</v>
      </c>
      <c r="H21" s="250">
        <f>SUMIF('01_BOC_TACH_ONG'!B:B, B21, '01_BOC_TACH_ONG'!K:K)</f>
        <v/>
      </c>
      <c r="I21" s="250">
        <f>SUMIF('02_BOC_TACH_CUA'!B:B, B21, '02_BOC_TACH_CUA'!K:K)</f>
        <v/>
      </c>
      <c r="J21" s="250">
        <f>SUMIF('03_BOC_TACH_VAN'!B:B, B21, '03_BOC_TACH_VAN'!K:K)</f>
        <v/>
      </c>
      <c r="K21" s="250">
        <f>SUM(H21:J21)</f>
        <v/>
      </c>
      <c r="L21" s="250">
        <f>(K21-SUMIFS('03_BOC_TACH_VAN'!K:K, '03_BOC_TACH_VAN'!B:B, B21, '03_BOC_TACH_VAN'!D:D, "ĐỘNG_CƠ_VÀ_CẢM_BIẾN"))*0.25</f>
        <v/>
      </c>
      <c r="M21" s="250">
        <f>(K21-SUMIFS('03_BOC_TACH_VAN'!K:K, '03_BOC_TACH_VAN'!B:B, B21, '03_BOC_TACH_VAN'!D:D, "ĐỘNG_CƠ_VÀ_CẢM_BIẾN"))*0.10</f>
        <v/>
      </c>
      <c r="N21" s="250">
        <f>K21+L21+M21</f>
        <v/>
      </c>
      <c r="O21" s="250">
        <f>IF(G21&gt;0, N21/G21, 0)</f>
        <v/>
      </c>
      <c r="P21" s="251" t="n">
        <v>0.18</v>
      </c>
      <c r="Q21" s="250">
        <f>IF(G21&gt;0, ((N21-SUMIFS('03_BOC_TACH_VAN'!K:K, '03_BOC_TACH_VAN'!B:B, B21, '03_BOC_TACH_VAN'!D:D, "ĐỘNG_CƠ_VÀ_CẢM_BIẾN"))*(1+P21)+SUMIFS('03_BOC_TACH_VAN'!K:K, '03_BOC_TACH_VAN'!B:B, B21, '03_BOC_TACH_VAN'!D:D, "ĐỘNG_CƠ_VÀ_CẢM_BIẾN"))/G21, 0)</f>
        <v/>
      </c>
      <c r="R21" s="250">
        <f>G21*Q21</f>
        <v/>
      </c>
      <c r="S21" t="inlineStr"/>
    </row>
    <row r="22">
      <c r="A22" t="n">
        <v>21</v>
      </c>
      <c r="B22" t="inlineStr">
        <is>
          <t>SW-DAMPER-021</t>
        </is>
      </c>
      <c r="C22" t="inlineStr">
        <is>
          <t>VAN GIÓ</t>
        </is>
      </c>
      <c r="D22" t="inlineStr">
        <is>
          <t>Van gió, miệng gió Van điều chỉnh lưu lượng VCD - Kích thước: 150x150</t>
        </is>
      </c>
      <c r="E22" t="inlineStr">
        <is>
          <t>150x150</t>
        </is>
      </c>
      <c r="F22" t="inlineStr">
        <is>
          <t>Cái</t>
        </is>
      </c>
      <c r="G22" s="250" t="n">
        <v>7</v>
      </c>
      <c r="H22" s="250">
        <f>SUMIF('01_BOC_TACH_ONG'!B:B, B22, '01_BOC_TACH_ONG'!K:K)</f>
        <v/>
      </c>
      <c r="I22" s="250">
        <f>SUMIF('02_BOC_TACH_CUA'!B:B, B22, '02_BOC_TACH_CUA'!K:K)</f>
        <v/>
      </c>
      <c r="J22" s="250">
        <f>SUMIF('03_BOC_TACH_VAN'!B:B, B22, '03_BOC_TACH_VAN'!K:K)</f>
        <v/>
      </c>
      <c r="K22" s="250">
        <f>SUM(H22:J22)</f>
        <v/>
      </c>
      <c r="L22" s="250">
        <f>(K22-SUMIFS('03_BOC_TACH_VAN'!K:K, '03_BOC_TACH_VAN'!B:B, B22, '03_BOC_TACH_VAN'!D:D, "ĐỘNG_CƠ_VÀ_CẢM_BIẾN"))*0.25</f>
        <v/>
      </c>
      <c r="M22" s="250">
        <f>(K22-SUMIFS('03_BOC_TACH_VAN'!K:K, '03_BOC_TACH_VAN'!B:B, B22, '03_BOC_TACH_VAN'!D:D, "ĐỘNG_CƠ_VÀ_CẢM_BIẾN"))*0.10</f>
        <v/>
      </c>
      <c r="N22" s="250">
        <f>K22+L22+M22</f>
        <v/>
      </c>
      <c r="O22" s="250">
        <f>IF(G22&gt;0, N22/G22, 0)</f>
        <v/>
      </c>
      <c r="P22" s="251" t="n">
        <v>0.18</v>
      </c>
      <c r="Q22" s="250">
        <f>IF(G22&gt;0, ((N22-SUMIFS('03_BOC_TACH_VAN'!K:K, '03_BOC_TACH_VAN'!B:B, B22, '03_BOC_TACH_VAN'!D:D, "ĐỘNG_CƠ_VÀ_CẢM_BIẾN"))*(1+P22)+SUMIFS('03_BOC_TACH_VAN'!K:K, '03_BOC_TACH_VAN'!B:B, B22, '03_BOC_TACH_VAN'!D:D, "ĐỘNG_CƠ_VÀ_CẢM_BIẾN"))/G22, 0)</f>
        <v/>
      </c>
      <c r="R22" s="250">
        <f>G22*Q22</f>
        <v/>
      </c>
      <c r="S22" t="inlineStr"/>
    </row>
    <row r="23">
      <c r="A23" t="n">
        <v>22</v>
      </c>
      <c r="B23" t="inlineStr">
        <is>
          <t>SW-DAMPER-022</t>
        </is>
      </c>
      <c r="C23" t="inlineStr">
        <is>
          <t>VAN GIÓ</t>
        </is>
      </c>
      <c r="D23" t="inlineStr">
        <is>
          <t>Van gió, miệng gió Van điều gió MD - Kích thước: 150x100</t>
        </is>
      </c>
      <c r="E23" t="inlineStr">
        <is>
          <t>150x100</t>
        </is>
      </c>
      <c r="F23" t="inlineStr">
        <is>
          <t>Cái</t>
        </is>
      </c>
      <c r="G23" s="250" t="n">
        <v>55</v>
      </c>
      <c r="H23" s="250">
        <f>SUMIF('01_BOC_TACH_ONG'!B:B, B23, '01_BOC_TACH_ONG'!K:K)</f>
        <v/>
      </c>
      <c r="I23" s="250">
        <f>SUMIF('02_BOC_TACH_CUA'!B:B, B23, '02_BOC_TACH_CUA'!K:K)</f>
        <v/>
      </c>
      <c r="J23" s="250">
        <f>SUMIF('03_BOC_TACH_VAN'!B:B, B23, '03_BOC_TACH_VAN'!K:K)</f>
        <v/>
      </c>
      <c r="K23" s="250">
        <f>SUM(H23:J23)</f>
        <v/>
      </c>
      <c r="L23" s="250">
        <f>(K23-SUMIFS('03_BOC_TACH_VAN'!K:K, '03_BOC_TACH_VAN'!B:B, B23, '03_BOC_TACH_VAN'!D:D, "ĐỘNG_CƠ_VÀ_CẢM_BIẾN"))*0.25</f>
        <v/>
      </c>
      <c r="M23" s="250">
        <f>(K23-SUMIFS('03_BOC_TACH_VAN'!K:K, '03_BOC_TACH_VAN'!B:B, B23, '03_BOC_TACH_VAN'!D:D, "ĐỘNG_CƠ_VÀ_CẢM_BIẾN"))*0.10</f>
        <v/>
      </c>
      <c r="N23" s="250">
        <f>K23+L23+M23</f>
        <v/>
      </c>
      <c r="O23" s="250">
        <f>IF(G23&gt;0, N23/G23, 0)</f>
        <v/>
      </c>
      <c r="P23" s="251" t="n">
        <v>0.18</v>
      </c>
      <c r="Q23" s="250">
        <f>IF(G23&gt;0, ((N23-SUMIFS('03_BOC_TACH_VAN'!K:K, '03_BOC_TACH_VAN'!B:B, B23, '03_BOC_TACH_VAN'!D:D, "ĐỘNG_CƠ_VÀ_CẢM_BIẾN"))*(1+P23)+SUMIFS('03_BOC_TACH_VAN'!K:K, '03_BOC_TACH_VAN'!B:B, B23, '03_BOC_TACH_VAN'!D:D, "ĐỘNG_CƠ_VÀ_CẢM_BIẾN"))/G23, 0)</f>
        <v/>
      </c>
      <c r="R23" s="250">
        <f>G23*Q23</f>
        <v/>
      </c>
      <c r="S23" t="inlineStr"/>
    </row>
    <row r="24">
      <c r="A24" t="n">
        <v>23</v>
      </c>
      <c r="B24" t="inlineStr">
        <is>
          <t>SW-UNKN-023</t>
        </is>
      </c>
      <c r="C24" t="inlineStr">
        <is>
          <t>HẠNG MỤC KHÁC</t>
        </is>
      </c>
      <c r="D24" t="inlineStr">
        <is>
          <t>Van gió, miệng gió Chi phí kiểm định</t>
        </is>
      </c>
      <c r="E24" t="inlineStr">
        <is>
          <t>-</t>
        </is>
      </c>
      <c r="F24" t="inlineStr">
        <is>
          <t>lô</t>
        </is>
      </c>
      <c r="G24" s="250" t="n">
        <v>1</v>
      </c>
      <c r="H24" s="250">
        <f>SUMIF('01_BOC_TACH_ONG'!B:B, B24, '01_BOC_TACH_ONG'!K:K)</f>
        <v/>
      </c>
      <c r="I24" s="250">
        <f>SUMIF('02_BOC_TACH_CUA'!B:B, B24, '02_BOC_TACH_CUA'!K:K)</f>
        <v/>
      </c>
      <c r="J24" s="250">
        <f>SUMIF('03_BOC_TACH_VAN'!B:B, B24, '03_BOC_TACH_VAN'!K:K)</f>
        <v/>
      </c>
      <c r="K24" s="250">
        <f>SUM(H24:J24)</f>
        <v/>
      </c>
      <c r="L24" s="250">
        <f>(K24-SUMIFS('03_BOC_TACH_VAN'!K:K, '03_BOC_TACH_VAN'!B:B, B24, '03_BOC_TACH_VAN'!D:D, "ĐỘNG_CƠ_VÀ_CẢM_BIẾN"))*0.00</f>
        <v/>
      </c>
      <c r="M24" s="250">
        <f>(K24-SUMIFS('03_BOC_TACH_VAN'!K:K, '03_BOC_TACH_VAN'!B:B, B24, '03_BOC_TACH_VAN'!D:D, "ĐỘNG_CƠ_VÀ_CẢM_BIẾN"))*0.02</f>
        <v/>
      </c>
      <c r="N24" s="250">
        <f>K24+L24+M24</f>
        <v/>
      </c>
      <c r="O24" s="250">
        <f>IF(G24&gt;0, N24/G24, 0)</f>
        <v/>
      </c>
      <c r="P24" s="251" t="n">
        <v>0.1</v>
      </c>
      <c r="Q24" s="250">
        <f>IF(G24&gt;0, ((N24-SUMIFS('03_BOC_TACH_VAN'!K:K, '03_BOC_TACH_VAN'!B:B, B24, '03_BOC_TACH_VAN'!D:D, "ĐỘNG_CƠ_VÀ_CẢM_BIẾN"))*(1+P24)+SUMIFS('03_BOC_TACH_VAN'!K:K, '03_BOC_TACH_VAN'!B:B, B24, '03_BOC_TACH_VAN'!D:D, "ĐỘNG_CƠ_VÀ_CẢM_BIẾN"))/G24, 0)</f>
        <v/>
      </c>
      <c r="R24" s="250">
        <f>G24*Q24</f>
        <v/>
      </c>
      <c r="S24" t="inlineStr"/>
    </row>
    <row r="25">
      <c r="A25" t="n">
        <v>24</v>
      </c>
      <c r="B25" t="inlineStr">
        <is>
          <t>SW-UNKN-024</t>
        </is>
      </c>
      <c r="C25" t="inlineStr">
        <is>
          <t>HẠNG MỤC KHÁC</t>
        </is>
      </c>
      <c r="D25" t="inlineStr">
        <is>
          <t>Van gió, miệng gió Vận chuyển</t>
        </is>
      </c>
      <c r="E25" t="inlineStr">
        <is>
          <t>-</t>
        </is>
      </c>
      <c r="F25" t="inlineStr">
        <is>
          <t>lô</t>
        </is>
      </c>
      <c r="G25" s="250" t="n">
        <v>1</v>
      </c>
      <c r="H25" s="250">
        <f>SUMIF('01_BOC_TACH_ONG'!B:B, B25, '01_BOC_TACH_ONG'!K:K)</f>
        <v/>
      </c>
      <c r="I25" s="250">
        <f>SUMIF('02_BOC_TACH_CUA'!B:B, B25, '02_BOC_TACH_CUA'!K:K)</f>
        <v/>
      </c>
      <c r="J25" s="250">
        <f>SUMIF('03_BOC_TACH_VAN'!B:B, B25, '03_BOC_TACH_VAN'!K:K)</f>
        <v/>
      </c>
      <c r="K25" s="250">
        <f>SUM(H25:J25)</f>
        <v/>
      </c>
      <c r="L25" s="250">
        <f>(K25-SUMIFS('03_BOC_TACH_VAN'!K:K, '03_BOC_TACH_VAN'!B:B, B25, '03_BOC_TACH_VAN'!D:D, "ĐỘNG_CƠ_VÀ_CẢM_BIẾN"))*0.00</f>
        <v/>
      </c>
      <c r="M25" s="250">
        <f>(K25-SUMIFS('03_BOC_TACH_VAN'!K:K, '03_BOC_TACH_VAN'!B:B, B25, '03_BOC_TACH_VAN'!D:D, "ĐỘNG_CƠ_VÀ_CẢM_BIẾN"))*0.02</f>
        <v/>
      </c>
      <c r="N25" s="250">
        <f>K25+L25+M25</f>
        <v/>
      </c>
      <c r="O25" s="250">
        <f>IF(G25&gt;0, N25/G25, 0)</f>
        <v/>
      </c>
      <c r="P25" s="251" t="n">
        <v>0.1</v>
      </c>
      <c r="Q25" s="250">
        <f>IF(G25&gt;0, ((N25-SUMIFS('03_BOC_TACH_VAN'!K:K, '03_BOC_TACH_VAN'!B:B, B25, '03_BOC_TACH_VAN'!D:D, "ĐỘNG_CƠ_VÀ_CẢM_BIẾN"))*(1+P25)+SUMIFS('03_BOC_TACH_VAN'!K:K, '03_BOC_TACH_VAN'!B:B, B25, '03_BOC_TACH_VAN'!D:D, "ĐỘNG_CƠ_VÀ_CẢM_BIẾN"))/G25, 0)</f>
        <v/>
      </c>
      <c r="R25" s="250">
        <f>G25*Q25</f>
        <v/>
      </c>
      <c r="S25" t="inlineStr"/>
    </row>
    <row r="26">
      <c r="A26" s="252" t="inlineStr">
        <is>
          <t>TỔNG CỘNG</t>
        </is>
      </c>
      <c r="H26" s="253">
        <f>SUM(H2:H25)</f>
        <v/>
      </c>
      <c r="I26" s="253">
        <f>SUM(I2:I25)</f>
        <v/>
      </c>
      <c r="J26" s="253">
        <f>SUM(J2:J25)</f>
        <v/>
      </c>
      <c r="K26" s="253">
        <f>SUM(K2:K25)</f>
        <v/>
      </c>
      <c r="L26" s="253">
        <f>SUM(L2:L25)</f>
        <v/>
      </c>
      <c r="M26" s="253">
        <f>SUM(M2:M25)</f>
        <v/>
      </c>
      <c r="N26" s="253">
        <f>SUM(N2:N25)</f>
        <v/>
      </c>
      <c r="R26" s="253">
        <f>SUM(R2:R25)</f>
        <v/>
      </c>
    </row>
  </sheetData>
  <mergeCells count="1">
    <mergeCell ref="A26:F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249" t="inlineStr">
        <is>
          <t>SUB_KEY</t>
        </is>
      </c>
      <c r="B1" s="249" t="inlineStr">
        <is>
          <t>PARENT_ITEM_ID</t>
        </is>
      </c>
      <c r="C1" s="249" t="inlineStr">
        <is>
          <t>TÊN CẤU KIỆN</t>
        </is>
      </c>
      <c r="D1" s="249" t="inlineStr">
        <is>
          <t>PHÂN LOẠI</t>
        </is>
      </c>
      <c r="E1" s="249" t="inlineStr">
        <is>
          <t>MÃ VẬT TƯ (MAT_ID)</t>
        </is>
      </c>
      <c r="F1" s="249" t="inlineStr">
        <is>
          <t>ĐVT</t>
        </is>
      </c>
      <c r="G1" s="249" t="inlineStr">
        <is>
          <t>ĐỊNH MỨC / 1 SP</t>
        </is>
      </c>
      <c r="H1" s="249" t="inlineStr">
        <is>
          <t>SL DỰ ÁN</t>
        </is>
      </c>
      <c r="I1" s="249" t="inlineStr">
        <is>
          <t>TỔNG NHU CẦU</t>
        </is>
      </c>
      <c r="J1" s="249" t="inlineStr">
        <is>
          <t>ĐƠN GIÁ GỐC</t>
        </is>
      </c>
      <c r="K1" s="249" t="inlineStr">
        <is>
          <t>THÀNH TIỀN (VNĐ)</t>
        </is>
      </c>
      <c r="L1" s="249" t="inlineStr">
        <is>
          <t>GHI CHÚ KỸ THUẬT</t>
        </is>
      </c>
    </row>
    <row r="2">
      <c r="A2" t="inlineStr">
        <is>
          <t>SW-UNKN-023-TM</t>
        </is>
      </c>
      <c r="B2" t="inlineStr">
        <is>
          <t>SW-UNKN-023</t>
        </is>
      </c>
      <c r="C2" t="inlineStr">
        <is>
          <t>Van gió, miệng gió Chi phí kiểm định</t>
        </is>
      </c>
      <c r="D2" t="inlineStr">
        <is>
          <t>KHAC</t>
        </is>
      </c>
      <c r="E2" t="inlineStr">
        <is>
          <t>MAT-KHAC-CHI_PHI_KIEM_DINH</t>
        </is>
      </c>
      <c r="F2" t="inlineStr">
        <is>
          <t>lô</t>
        </is>
      </c>
      <c r="G2" s="254" t="n">
        <v>1</v>
      </c>
      <c r="H2" s="250">
        <f>IFERROR(INDEX('00_TONG_HOP_BAO_GIA'!$G$1:$G$5000, MATCH(B2, '00_TONG_HOP_BAO_GIA'!$B$1:$B$5000, 0)), 1)</f>
        <v/>
      </c>
      <c r="I2" s="255">
        <f>G2*H2</f>
        <v/>
      </c>
      <c r="J2" s="250">
        <f>IFERROR(INDEX('06_BANG_GIA_VAT_TU_AP_DUNG'!$E$1:$E$5000, MATCH(E2, '06_BANG_GIA_VAT_TU_AP_DUNG'!$B$1:$B$5000, 0)), 0)</f>
        <v/>
      </c>
      <c r="K2" s="250">
        <f>I2*J2</f>
        <v/>
      </c>
      <c r="L2" t="inlineStr">
        <is>
          <t>Hàng thương mại mua ngoài</t>
        </is>
      </c>
    </row>
    <row r="3">
      <c r="A3" t="inlineStr">
        <is>
          <t>SW-UNKN-024-TM</t>
        </is>
      </c>
      <c r="B3" t="inlineStr">
        <is>
          <t>SW-UNKN-024</t>
        </is>
      </c>
      <c r="C3" t="inlineStr">
        <is>
          <t>Van gió, miệng gió Vận chuyển</t>
        </is>
      </c>
      <c r="D3" t="inlineStr">
        <is>
          <t>KHAC</t>
        </is>
      </c>
      <c r="E3" t="inlineStr">
        <is>
          <t>MAT-KHAC-VAN_CHUYEN</t>
        </is>
      </c>
      <c r="F3" t="inlineStr">
        <is>
          <t>lô</t>
        </is>
      </c>
      <c r="G3" s="254" t="n">
        <v>1</v>
      </c>
      <c r="H3" s="250">
        <f>IFERROR(INDEX('00_TONG_HOP_BAO_GIA'!$G$1:$G$5000, MATCH(B3, '00_TONG_HOP_BAO_GIA'!$B$1:$B$5000, 0)), 1)</f>
        <v/>
      </c>
      <c r="I3" s="255">
        <f>G3*H3</f>
        <v/>
      </c>
      <c r="J3" s="250">
        <f>IFERROR(INDEX('06_BANG_GIA_VAT_TU_AP_DUNG'!$E$1:$E$5000, MATCH(E3, '06_BANG_GIA_VAT_TU_AP_DUNG'!$B$1:$B$5000, 0)), 0)</f>
        <v/>
      </c>
      <c r="K3" s="250">
        <f>I3*J3</f>
        <v/>
      </c>
      <c r="L3" t="inlineStr">
        <is>
          <t>Hàng thương mại mua ngoài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249" t="inlineStr">
        <is>
          <t>SUB_KEY</t>
        </is>
      </c>
      <c r="B1" s="249" t="inlineStr">
        <is>
          <t>PARENT_ITEM_ID</t>
        </is>
      </c>
      <c r="C1" s="249" t="inlineStr">
        <is>
          <t>TÊN CẤU KIỆN</t>
        </is>
      </c>
      <c r="D1" s="249" t="inlineStr">
        <is>
          <t>PHÂN LOẠI</t>
        </is>
      </c>
      <c r="E1" s="249" t="inlineStr">
        <is>
          <t>MÃ VẬT TƯ (MAT_ID)</t>
        </is>
      </c>
      <c r="F1" s="249" t="inlineStr">
        <is>
          <t>ĐVT</t>
        </is>
      </c>
      <c r="G1" s="249" t="inlineStr">
        <is>
          <t>ĐỊNH MỨC / 1 SP</t>
        </is>
      </c>
      <c r="H1" s="249" t="inlineStr">
        <is>
          <t>SL DỰ ÁN</t>
        </is>
      </c>
      <c r="I1" s="249" t="inlineStr">
        <is>
          <t>TỔNG NHU CẦU</t>
        </is>
      </c>
      <c r="J1" s="249" t="inlineStr">
        <is>
          <t>ĐƠN GIÁ GỐC</t>
        </is>
      </c>
      <c r="K1" s="249" t="inlineStr">
        <is>
          <t>THÀNH TIỀN (VNĐ)</t>
        </is>
      </c>
      <c r="L1" s="249" t="inlineStr">
        <is>
          <t>GHI CHÚ KỸ THUẬT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2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249" t="inlineStr">
        <is>
          <t>SUB_KEY</t>
        </is>
      </c>
      <c r="B1" s="249" t="inlineStr">
        <is>
          <t>PARENT_ITEM_ID</t>
        </is>
      </c>
      <c r="C1" s="249" t="inlineStr">
        <is>
          <t>TÊN CẤU KIỆN</t>
        </is>
      </c>
      <c r="D1" s="249" t="inlineStr">
        <is>
          <t>PHÂN LOẠI</t>
        </is>
      </c>
      <c r="E1" s="249" t="inlineStr">
        <is>
          <t>MÃ VẬT TƯ (MAT_ID)</t>
        </is>
      </c>
      <c r="F1" s="249" t="inlineStr">
        <is>
          <t>ĐVT</t>
        </is>
      </c>
      <c r="G1" s="249" t="inlineStr">
        <is>
          <t>ĐỊNH MỨC / 1 SP</t>
        </is>
      </c>
      <c r="H1" s="249" t="inlineStr">
        <is>
          <t>SL DỰ ÁN</t>
        </is>
      </c>
      <c r="I1" s="249" t="inlineStr">
        <is>
          <t>TỔNG NHU CẦU</t>
        </is>
      </c>
      <c r="J1" s="249" t="inlineStr">
        <is>
          <t>ĐƠN GIÁ GỐC</t>
        </is>
      </c>
      <c r="K1" s="249" t="inlineStr">
        <is>
          <t>THÀNH TIỀN (VNĐ)</t>
        </is>
      </c>
      <c r="L1" s="249" t="inlineStr">
        <is>
          <t>GHI CHÚ KỸ THUẬT</t>
        </is>
      </c>
    </row>
    <row r="2">
      <c r="A2" t="inlineStr">
        <is>
          <t>SW-DAMPER-001-BODY</t>
        </is>
      </c>
      <c r="B2" t="inlineStr">
        <is>
          <t>SW-DAMPER-001</t>
        </is>
      </c>
      <c r="C2" t="inlineStr">
        <is>
          <t>Thân vỏ van FD bích C30/TDF (1.15mm)</t>
        </is>
      </c>
      <c r="D2" t="inlineStr">
        <is>
          <t>TÔN_CUỘN_MẠ_KẼM</t>
        </is>
      </c>
      <c r="E2" t="inlineStr">
        <is>
          <t>MAT-STEEL-PN-1.15</t>
        </is>
      </c>
      <c r="F2" t="inlineStr">
        <is>
          <t>kg</t>
        </is>
      </c>
      <c r="G2" s="254" t="n">
        <v>17.80666352927041</v>
      </c>
      <c r="H2" s="250">
        <f>IFERROR(INDEX('00_TONG_HOP_BAO_GIA'!$G$1:$G$5000, MATCH(B2, '00_TONG_HOP_BAO_GIA'!$B$1:$B$5000, 0)), 1)</f>
        <v/>
      </c>
      <c r="I2" s="255">
        <f>G2*H2</f>
        <v/>
      </c>
      <c r="J2" s="250">
        <f>IFERROR(INDEX('06_BANG_GIA_VAT_TU_AP_DUNG'!$E$1:$E$5000, MATCH(E2, '06_BANG_GIA_VAT_TU_AP_DUNG'!$B$1:$B$5000, 0)), 0)</f>
        <v/>
      </c>
      <c r="K2" s="250">
        <f>I2*J2</f>
        <v/>
      </c>
      <c r="L2" t="inlineStr">
        <is>
          <t>Kích thước vỏ 1000x1200x200mm (2 modul 1000x600mm)</t>
        </is>
      </c>
    </row>
    <row r="3">
      <c r="A3" t="inlineStr">
        <is>
          <t>SW-DAMPER-001-BLADE</t>
        </is>
      </c>
      <c r="B3" t="inlineStr">
        <is>
          <t>SW-DAMPER-001</t>
        </is>
      </c>
      <c r="C3" t="inlineStr">
        <is>
          <t>Lá cánh / Tôn tấm bọc van (8 cánh)</t>
        </is>
      </c>
      <c r="D3" t="inlineStr">
        <is>
          <t>TÔN_CUỘN_MẠ_KẼM</t>
        </is>
      </c>
      <c r="E3" t="inlineStr">
        <is>
          <t>MAT-STEEL-PN-1.15</t>
        </is>
      </c>
      <c r="F3" t="inlineStr">
        <is>
          <t>kg</t>
        </is>
      </c>
      <c r="G3" s="254" t="n">
        <v>23.26300023420263</v>
      </c>
      <c r="H3" s="250">
        <f>IFERROR(INDEX('00_TONG_HOP_BAO_GIA'!$G$1:$G$5000, MATCH(B3, '00_TONG_HOP_BAO_GIA'!$B$1:$B$5000, 0)), 1)</f>
        <v/>
      </c>
      <c r="I3" s="255">
        <f>G3*H3</f>
        <v/>
      </c>
      <c r="J3" s="250">
        <f>IFERROR(INDEX('06_BANG_GIA_VAT_TU_AP_DUNG'!$E$1:$E$5000, MATCH(E3, '06_BANG_GIA_VAT_TU_AP_DUNG'!$B$1:$B$5000, 0)), 0)</f>
        <v/>
      </c>
      <c r="K3" s="250">
        <f>I3*J3</f>
        <v/>
      </c>
      <c r="L3" t="inlineStr">
        <is>
          <t>Tôn bọc cánh &amp; thân (4 cánh/modul (2 modul 1000x600mm))</t>
        </is>
      </c>
    </row>
    <row r="4">
      <c r="A4" t="inlineStr">
        <is>
          <t>SW-DAMPER-001-AXLE</t>
        </is>
      </c>
      <c r="B4" t="inlineStr">
        <is>
          <t>SW-DAMPER-001</t>
        </is>
      </c>
      <c r="C4" t="inlineStr">
        <is>
          <t>Trục Sus 201 D10</t>
        </is>
      </c>
      <c r="D4" t="inlineStr">
        <is>
          <t>PHỤ_KIỆN_VAN</t>
        </is>
      </c>
      <c r="E4" t="inlineStr">
        <is>
          <t>MAT-DAMPER-TRUC-SUS-201-D10</t>
        </is>
      </c>
      <c r="F4" t="inlineStr">
        <is>
          <t>m</t>
        </is>
      </c>
      <c r="G4" s="254" t="n">
        <v>9.105060555065005</v>
      </c>
      <c r="H4" s="250">
        <f>IFERROR(INDEX('00_TONG_HOP_BAO_GIA'!$G$1:$G$5000, MATCH(B4, '00_TONG_HOP_BAO_GIA'!$B$1:$B$5000, 0)), 1)</f>
        <v/>
      </c>
      <c r="I4" s="255">
        <f>G4*H4</f>
        <v/>
      </c>
      <c r="J4" s="250">
        <f>IFERROR(INDEX('06_BANG_GIA_VAT_TU_AP_DUNG'!$E$1:$E$5000, MATCH(E4, '06_BANG_GIA_VAT_TU_AP_DUNG'!$B$1:$B$5000, 0)), 0)</f>
        <v/>
      </c>
      <c r="K4" s="250">
        <f>I4*J4</f>
        <v/>
      </c>
      <c r="L4" t="inlineStr">
        <is>
          <t>8 trục dài 1060mm</t>
        </is>
      </c>
    </row>
    <row r="5">
      <c r="A5" t="inlineStr">
        <is>
          <t>SW-DAMPER-001-BEARING</t>
        </is>
      </c>
      <c r="B5" t="inlineStr">
        <is>
          <t>SW-DAMPER-001</t>
        </is>
      </c>
      <c r="C5" t="inlineStr">
        <is>
          <t>Bạc đồng D10</t>
        </is>
      </c>
      <c r="D5" t="inlineStr">
        <is>
          <t>PHỤ_KIỆN_VAN</t>
        </is>
      </c>
      <c r="E5" t="inlineStr">
        <is>
          <t>MAT-DAMPER-BAC-DONG-D10</t>
        </is>
      </c>
      <c r="F5" t="inlineStr">
        <is>
          <t>Đôi</t>
        </is>
      </c>
      <c r="G5" s="254" t="n">
        <v>8</v>
      </c>
      <c r="H5" s="250">
        <f>IFERROR(INDEX('00_TONG_HOP_BAO_GIA'!$G$1:$G$5000, MATCH(B5, '00_TONG_HOP_BAO_GIA'!$B$1:$B$5000, 0)), 1)</f>
        <v/>
      </c>
      <c r="I5" s="255">
        <f>G5*H5</f>
        <v/>
      </c>
      <c r="J5" s="250">
        <f>IFERROR(INDEX('06_BANG_GIA_VAT_TU_AP_DUNG'!$E$1:$E$5000, MATCH(E5, '06_BANG_GIA_VAT_TU_AP_DUNG'!$B$1:$B$5000, 0)), 0)</f>
        <v/>
      </c>
      <c r="K5" s="250">
        <f>I5*J5</f>
        <v/>
      </c>
      <c r="L5" t="inlineStr">
        <is>
          <t>8 đôi bạc đỡ 2 bên thân</t>
        </is>
      </c>
    </row>
    <row r="6">
      <c r="A6" t="inlineStr">
        <is>
          <t>SW-DAMPER-001-GEAR</t>
        </is>
      </c>
      <c r="B6" t="inlineStr">
        <is>
          <t>SW-DAMPER-001</t>
        </is>
      </c>
      <c r="C6" t="inlineStr">
        <is>
          <t>Bánh răng van nhôm</t>
        </is>
      </c>
      <c r="D6" t="inlineStr">
        <is>
          <t>PHỤ_KIỆN_VAN</t>
        </is>
      </c>
      <c r="E6" t="inlineStr">
        <is>
          <t>MAT-DAMPER-BANH-RANG-VAN-NHOM</t>
        </is>
      </c>
      <c r="F6" t="inlineStr">
        <is>
          <t>Bộ</t>
        </is>
      </c>
      <c r="G6" s="254" t="n">
        <v>2</v>
      </c>
      <c r="H6" s="250">
        <f>IFERROR(INDEX('00_TONG_HOP_BAO_GIA'!$G$1:$G$5000, MATCH(B6, '00_TONG_HOP_BAO_GIA'!$B$1:$B$5000, 0)), 1)</f>
        <v/>
      </c>
      <c r="I6" s="255">
        <f>G6*H6</f>
        <v/>
      </c>
      <c r="J6" s="250">
        <f>IFERROR(INDEX('06_BANG_GIA_VAT_TU_AP_DUNG'!$E$1:$E$5000, MATCH(E6, '06_BANG_GIA_VAT_TU_AP_DUNG'!$B$1:$B$5000, 0)), 0)</f>
        <v/>
      </c>
      <c r="K6" s="250">
        <f>I6*J6</f>
        <v/>
      </c>
      <c r="L6" t="inlineStr">
        <is>
          <t>Cơ cấu liên động cánh (2 bộ)</t>
        </is>
      </c>
    </row>
    <row r="7">
      <c r="A7" t="inlineStr">
        <is>
          <t>SW-DAMPER-001-FUSE</t>
        </is>
      </c>
      <c r="B7" t="inlineStr">
        <is>
          <t>SW-DAMPER-001</t>
        </is>
      </c>
      <c r="C7" t="inlineStr">
        <is>
          <t>Cầu chì nhiệt nóng chảy 70°C/74°C (Elsie/USA)</t>
        </is>
      </c>
      <c r="D7" t="inlineStr">
        <is>
          <t>PHỤ_KIỆN_VAN</t>
        </is>
      </c>
      <c r="E7" t="inlineStr">
        <is>
          <t>MAT-DAMPER-CAU-CHI-USA-2-400X400</t>
        </is>
      </c>
      <c r="F7" t="inlineStr">
        <is>
          <t>Cái</t>
        </is>
      </c>
      <c r="G7" s="254" t="n">
        <v>2</v>
      </c>
      <c r="H7" s="250">
        <f>IFERROR(INDEX('00_TONG_HOP_BAO_GIA'!$G$1:$G$5000, MATCH(B7, '00_TONG_HOP_BAO_GIA'!$B$1:$B$5000, 0)), 1)</f>
        <v/>
      </c>
      <c r="I7" s="255">
        <f>G7*H7</f>
        <v/>
      </c>
      <c r="J7" s="250">
        <f>IFERROR(INDEX('06_BANG_GIA_VAT_TU_AP_DUNG'!$E$1:$E$5000, MATCH(E7, '06_BANG_GIA_VAT_TU_AP_DUNG'!$B$1:$B$5000, 0)), 0)</f>
        <v/>
      </c>
      <c r="K7" s="250">
        <f>I7*J7</f>
        <v/>
      </c>
      <c r="L7" t="inlineStr">
        <is>
          <t>Cầu chì kiểm định PCCC (2 cái)</t>
        </is>
      </c>
    </row>
    <row r="8">
      <c r="A8" t="inlineStr">
        <is>
          <t>SW-DAMPER-001-FB10-BODY</t>
        </is>
      </c>
      <c r="B8" t="inlineStr">
        <is>
          <t>SW-DAMPER-001</t>
        </is>
      </c>
      <c r="C8" t="inlineStr">
        <is>
          <t>Tấm chống cháy dày 10mm bọc thân van FD/MFD (2 lớp)</t>
        </is>
      </c>
      <c r="D8" t="inlineStr">
        <is>
          <t>VẬT_LIỆU_CÁCH_NHIỆT</t>
        </is>
      </c>
      <c r="E8" t="inlineStr">
        <is>
          <t>MAT-FIREBOARD-10MM-BODY</t>
        </is>
      </c>
      <c r="F8" t="inlineStr">
        <is>
          <t>m2</t>
        </is>
      </c>
      <c r="G8" s="254" t="n">
        <v>4.12304628908604</v>
      </c>
      <c r="H8" s="250">
        <f>IFERROR(INDEX('00_TONG_HOP_BAO_GIA'!$G$1:$G$5000, MATCH(B8, '00_TONG_HOP_BAO_GIA'!$B$1:$B$5000, 0)), 1)</f>
        <v/>
      </c>
      <c r="I8" s="255">
        <f>G8*H8</f>
        <v/>
      </c>
      <c r="J8" s="250">
        <f>IFERROR(INDEX('06_BANG_GIA_VAT_TU_AP_DUNG'!$E$1:$E$5000, MATCH(E8, '06_BANG_GIA_VAT_TU_AP_DUNG'!$B$1:$B$5000, 0)), 0)</f>
        <v/>
      </c>
      <c r="K8" s="250">
        <f>I8*J8</f>
        <v/>
      </c>
      <c r="L8" t="inlineStr">
        <is>
          <t>Bọc 2 lớp tấm 10mm quanh thân L=300mm (2 modul 1000x600mm)</t>
        </is>
      </c>
    </row>
    <row r="9">
      <c r="A9" t="inlineStr">
        <is>
          <t>SW-DAMPER-001-FB20-BLADE</t>
        </is>
      </c>
      <c r="B9" t="inlineStr">
        <is>
          <t>SW-DAMPER-001</t>
        </is>
      </c>
      <c r="C9" t="inlineStr">
        <is>
          <t>Tấm chống cháy dày 20mm làm lõi cánh van FD/MFD</t>
        </is>
      </c>
      <c r="D9" t="inlineStr">
        <is>
          <t>VẬT_LIỆU_CÁCH_NHIỆT</t>
        </is>
      </c>
      <c r="E9" t="inlineStr">
        <is>
          <t>MAT-FIREBOARD-20MM-BLADE</t>
        </is>
      </c>
      <c r="F9" t="inlineStr">
        <is>
          <t>m2</t>
        </is>
      </c>
      <c r="G9" s="254" t="n">
        <v>1.941269068999448</v>
      </c>
      <c r="H9" s="250">
        <f>IFERROR(INDEX('00_TONG_HOP_BAO_GIA'!$G$1:$G$5000, MATCH(B9, '00_TONG_HOP_BAO_GIA'!$B$1:$B$5000, 0)), 1)</f>
        <v/>
      </c>
      <c r="I9" s="255">
        <f>G9*H9</f>
        <v/>
      </c>
      <c r="J9" s="250">
        <f>IFERROR(INDEX('06_BANG_GIA_VAT_TU_AP_DUNG'!$E$1:$E$5000, MATCH(E9, '06_BANG_GIA_VAT_TU_AP_DUNG'!$B$1:$B$5000, 0)), 0)</f>
        <v/>
      </c>
      <c r="K9" s="250">
        <f>I9*J9</f>
        <v/>
      </c>
      <c r="L9" t="inlineStr">
        <is>
          <t>Lõi cánh tấm 20mm (Đa cánh hệ số (H-5)/149=3.99, bản rộng 210mm, hao hụt 10% (2 modul 1000x600mm))</t>
        </is>
      </c>
    </row>
    <row r="10">
      <c r="A10" t="inlineStr">
        <is>
          <t>SW-DAMPER-001-FB10-BLADE</t>
        </is>
      </c>
      <c r="B10" t="inlineStr">
        <is>
          <t>SW-DAMPER-001</t>
        </is>
      </c>
      <c r="C10" t="inlineStr">
        <is>
          <t>Tấm chống cháy dày 10mm ốp 2 mặt cánh van FD/MFD</t>
        </is>
      </c>
      <c r="D10" t="inlineStr">
        <is>
          <t>VẬT_LIỆU_CÁCH_NHIỆT</t>
        </is>
      </c>
      <c r="E10" t="inlineStr">
        <is>
          <t>MAT-FIREBOARD-10MM-BLADE</t>
        </is>
      </c>
      <c r="F10" t="inlineStr">
        <is>
          <t>m2</t>
        </is>
      </c>
      <c r="G10" s="254" t="n">
        <v>3.961773610202956</v>
      </c>
      <c r="H10" s="250">
        <f>IFERROR(INDEX('00_TONG_HOP_BAO_GIA'!$G$1:$G$5000, MATCH(B10, '00_TONG_HOP_BAO_GIA'!$B$1:$B$5000, 0)), 1)</f>
        <v/>
      </c>
      <c r="I10" s="255">
        <f>G10*H10</f>
        <v/>
      </c>
      <c r="J10" s="250">
        <f>IFERROR(INDEX('06_BANG_GIA_VAT_TU_AP_DUNG'!$E$1:$E$5000, MATCH(E10, '06_BANG_GIA_VAT_TU_AP_DUNG'!$B$1:$B$5000, 0)), 0)</f>
        <v/>
      </c>
      <c r="K10" s="250">
        <f>I10*J10</f>
        <v/>
      </c>
      <c r="L10" t="inlineStr">
        <is>
          <t>Ốp 2 mặt cánh tấm 10mm (Đa cánh hệ số (H-5)/149=3.99, bản rộng 210mm, hao hụt 10% (2 modul 1000x600mm))</t>
        </is>
      </c>
    </row>
    <row r="11">
      <c r="A11" t="inlineStr">
        <is>
          <t>SW-DAMPER-001-SPRING-BOX</t>
        </is>
      </c>
      <c r="B11" t="inlineStr">
        <is>
          <t>SW-DAMPER-001</t>
        </is>
      </c>
      <c r="C11" t="inlineStr">
        <is>
          <t>Hộp lò xo van chặn lửa FD/MFD</t>
        </is>
      </c>
      <c r="D11" t="inlineStr">
        <is>
          <t>PHỤ_KIỆN_VAN</t>
        </is>
      </c>
      <c r="E11" t="inlineStr">
        <is>
          <t>MAT-DAMPER-HOP-LO-XO</t>
        </is>
      </c>
      <c r="F11" t="inlineStr">
        <is>
          <t>Bộ</t>
        </is>
      </c>
      <c r="G11" s="254" t="n">
        <v>2</v>
      </c>
      <c r="H11" s="250">
        <f>IFERROR(INDEX('00_TONG_HOP_BAO_GIA'!$G$1:$G$5000, MATCH(B11, '00_TONG_HOP_BAO_GIA'!$B$1:$B$5000, 0)), 1)</f>
        <v/>
      </c>
      <c r="I11" s="255">
        <f>G11*H11</f>
        <v/>
      </c>
      <c r="J11" s="250">
        <f>IFERROR(INDEX('06_BANG_GIA_VAT_TU_AP_DUNG'!$E$1:$E$5000, MATCH(E11, '06_BANG_GIA_VAT_TU_AP_DUNG'!$B$1:$B$5000, 0)), 0)</f>
        <v/>
      </c>
      <c r="K11" s="250">
        <f>I11*J11</f>
        <v/>
      </c>
      <c r="L11" t="inlineStr">
        <is>
          <t>Hộp lò xo cơ cấu đóng sập (2 bộ)</t>
        </is>
      </c>
    </row>
    <row r="12">
      <c r="A12" t="inlineStr">
        <is>
          <t>SW-DAMPER-001-SILICON-BOLT</t>
        </is>
      </c>
      <c r="B12" t="inlineStr">
        <is>
          <t>SW-DAMPER-001</t>
        </is>
      </c>
      <c r="C12" t="inlineStr">
        <is>
          <t>Silicon chống cháy + bu lông, ốc vít van FD/MFD</t>
        </is>
      </c>
      <c r="D12" t="inlineStr">
        <is>
          <t>PHỤ_KIỆN_VAN</t>
        </is>
      </c>
      <c r="E12" t="inlineStr">
        <is>
          <t>MAT-DAMPER-SILICON-BULONG-VIT</t>
        </is>
      </c>
      <c r="F12" t="inlineStr">
        <is>
          <t>Bộ</t>
        </is>
      </c>
      <c r="G12" s="254" t="n">
        <v>2</v>
      </c>
      <c r="H12" s="250">
        <f>IFERROR(INDEX('00_TONG_HOP_BAO_GIA'!$G$1:$G$5000, MATCH(B12, '00_TONG_HOP_BAO_GIA'!$B$1:$B$5000, 0)), 1)</f>
        <v/>
      </c>
      <c r="I12" s="255">
        <f>G12*H12</f>
        <v/>
      </c>
      <c r="J12" s="250">
        <f>IFERROR(INDEX('06_BANG_GIA_VAT_TU_AP_DUNG'!$E$1:$E$5000, MATCH(E12, '06_BANG_GIA_VAT_TU_AP_DUNG'!$B$1:$B$5000, 0)), 0)</f>
        <v/>
      </c>
      <c r="K12" s="250">
        <f>I12*J12</f>
        <v/>
      </c>
      <c r="L12" t="inlineStr">
        <is>
          <t>Keo silicon chống cháy &amp; phụ kiện lắp ghép (2 bộ)</t>
        </is>
      </c>
    </row>
    <row r="13">
      <c r="A13" t="inlineStr">
        <is>
          <t>SW-DAMPER-002-BODY</t>
        </is>
      </c>
      <c r="B13" t="inlineStr">
        <is>
          <t>SW-DAMPER-002</t>
        </is>
      </c>
      <c r="C13" t="inlineStr">
        <is>
          <t>Thân vỏ van FD bích C30/TDF (1.15mm)</t>
        </is>
      </c>
      <c r="D13" t="inlineStr">
        <is>
          <t>TÔN_CUỘN_MẠ_KẼM</t>
        </is>
      </c>
      <c r="E13" t="inlineStr">
        <is>
          <t>MAT-STEEL-PN-1.15</t>
        </is>
      </c>
      <c r="F13" t="inlineStr">
        <is>
          <t>kg</t>
        </is>
      </c>
      <c r="G13" s="254" t="n">
        <v>10.51807283594987</v>
      </c>
      <c r="H13" s="250">
        <f>IFERROR(INDEX('00_TONG_HOP_BAO_GIA'!$G$1:$G$5000, MATCH(B13, '00_TONG_HOP_BAO_GIA'!$B$1:$B$5000, 0)), 1)</f>
        <v/>
      </c>
      <c r="I13" s="255">
        <f>G13*H13</f>
        <v/>
      </c>
      <c r="J13" s="250">
        <f>IFERROR(INDEX('06_BANG_GIA_VAT_TU_AP_DUNG'!$E$1:$E$5000, MATCH(E13, '06_BANG_GIA_VAT_TU_AP_DUNG'!$B$1:$B$5000, 0)), 0)</f>
        <v/>
      </c>
      <c r="K13" s="250">
        <f>I13*J13</f>
        <v/>
      </c>
      <c r="L13" t="inlineStr">
        <is>
          <t>Kích thước vỏ 1200x700x200mm</t>
        </is>
      </c>
    </row>
    <row r="14">
      <c r="A14" t="inlineStr">
        <is>
          <t>SW-DAMPER-002-BLADE</t>
        </is>
      </c>
      <c r="B14" t="inlineStr">
        <is>
          <t>SW-DAMPER-002</t>
        </is>
      </c>
      <c r="C14" t="inlineStr">
        <is>
          <t>Lá cánh / Tôn tấm bọc van (5 cánh)</t>
        </is>
      </c>
      <c r="D14" t="inlineStr">
        <is>
          <t>TÔN_CUỘN_MẠ_KẼM</t>
        </is>
      </c>
      <c r="E14" t="inlineStr">
        <is>
          <t>MAT-STEEL-PN-1.15</t>
        </is>
      </c>
      <c r="F14" t="inlineStr">
        <is>
          <t>kg</t>
        </is>
      </c>
      <c r="G14" s="254" t="n">
        <v>16.23159388263868</v>
      </c>
      <c r="H14" s="250">
        <f>IFERROR(INDEX('00_TONG_HOP_BAO_GIA'!$G$1:$G$5000, MATCH(B14, '00_TONG_HOP_BAO_GIA'!$B$1:$B$5000, 0)), 1)</f>
        <v/>
      </c>
      <c r="I14" s="255">
        <f>G14*H14</f>
        <v/>
      </c>
      <c r="J14" s="250">
        <f>IFERROR(INDEX('06_BANG_GIA_VAT_TU_AP_DUNG'!$E$1:$E$5000, MATCH(E14, '06_BANG_GIA_VAT_TU_AP_DUNG'!$B$1:$B$5000, 0)), 0)</f>
        <v/>
      </c>
      <c r="K14" s="250">
        <f>I14*J14</f>
        <v/>
      </c>
      <c r="L14" t="inlineStr">
        <is>
          <t>Tôn bọc cánh &amp; thân (5 cánh/modul)</t>
        </is>
      </c>
    </row>
    <row r="15">
      <c r="A15" t="inlineStr">
        <is>
          <t>SW-DAMPER-002-AXLE</t>
        </is>
      </c>
      <c r="B15" t="inlineStr">
        <is>
          <t>SW-DAMPER-002</t>
        </is>
      </c>
      <c r="C15" t="inlineStr">
        <is>
          <t>Trục Sus 201 D10</t>
        </is>
      </c>
      <c r="D15" t="inlineStr">
        <is>
          <t>PHỤ_KIỆN_VAN</t>
        </is>
      </c>
      <c r="E15" t="inlineStr">
        <is>
          <t>MAT-DAMPER-TRUC-SUS-201-D10</t>
        </is>
      </c>
      <c r="F15" t="inlineStr">
        <is>
          <t>m</t>
        </is>
      </c>
      <c r="G15" s="254" t="n">
        <v>6.742561845460546</v>
      </c>
      <c r="H15" s="250">
        <f>IFERROR(INDEX('00_TONG_HOP_BAO_GIA'!$G$1:$G$5000, MATCH(B15, '00_TONG_HOP_BAO_GIA'!$B$1:$B$5000, 0)), 1)</f>
        <v/>
      </c>
      <c r="I15" s="255">
        <f>G15*H15</f>
        <v/>
      </c>
      <c r="J15" s="250">
        <f>IFERROR(INDEX('06_BANG_GIA_VAT_TU_AP_DUNG'!$E$1:$E$5000, MATCH(E15, '06_BANG_GIA_VAT_TU_AP_DUNG'!$B$1:$B$5000, 0)), 0)</f>
        <v/>
      </c>
      <c r="K15" s="250">
        <f>I15*J15</f>
        <v/>
      </c>
      <c r="L15" t="inlineStr">
        <is>
          <t>5 trục dài 1260mm</t>
        </is>
      </c>
    </row>
    <row r="16">
      <c r="A16" t="inlineStr">
        <is>
          <t>SW-DAMPER-002-BEARING</t>
        </is>
      </c>
      <c r="B16" t="inlineStr">
        <is>
          <t>SW-DAMPER-002</t>
        </is>
      </c>
      <c r="C16" t="inlineStr">
        <is>
          <t>Bạc đồng D10</t>
        </is>
      </c>
      <c r="D16" t="inlineStr">
        <is>
          <t>PHỤ_KIỆN_VAN</t>
        </is>
      </c>
      <c r="E16" t="inlineStr">
        <is>
          <t>MAT-DAMPER-BAC-DONG-D10</t>
        </is>
      </c>
      <c r="F16" t="inlineStr">
        <is>
          <t>Đôi</t>
        </is>
      </c>
      <c r="G16" s="254" t="n">
        <v>5</v>
      </c>
      <c r="H16" s="250">
        <f>IFERROR(INDEX('00_TONG_HOP_BAO_GIA'!$G$1:$G$5000, MATCH(B16, '00_TONG_HOP_BAO_GIA'!$B$1:$B$5000, 0)), 1)</f>
        <v/>
      </c>
      <c r="I16" s="255">
        <f>G16*H16</f>
        <v/>
      </c>
      <c r="J16" s="250">
        <f>IFERROR(INDEX('06_BANG_GIA_VAT_TU_AP_DUNG'!$E$1:$E$5000, MATCH(E16, '06_BANG_GIA_VAT_TU_AP_DUNG'!$B$1:$B$5000, 0)), 0)</f>
        <v/>
      </c>
      <c r="K16" s="250">
        <f>I16*J16</f>
        <v/>
      </c>
      <c r="L16" t="inlineStr">
        <is>
          <t>5 đôi bạc đỡ 2 bên thân</t>
        </is>
      </c>
    </row>
    <row r="17">
      <c r="A17" t="inlineStr">
        <is>
          <t>SW-DAMPER-002-GEAR</t>
        </is>
      </c>
      <c r="B17" t="inlineStr">
        <is>
          <t>SW-DAMPER-002</t>
        </is>
      </c>
      <c r="C17" t="inlineStr">
        <is>
          <t>Bánh răng van nhôm</t>
        </is>
      </c>
      <c r="D17" t="inlineStr">
        <is>
          <t>PHỤ_KIỆN_VAN</t>
        </is>
      </c>
      <c r="E17" t="inlineStr">
        <is>
          <t>MAT-DAMPER-BANH-RANG-VAN-NHOM</t>
        </is>
      </c>
      <c r="F17" t="inlineStr">
        <is>
          <t>Bộ</t>
        </is>
      </c>
      <c r="G17" s="254" t="n">
        <v>1</v>
      </c>
      <c r="H17" s="250">
        <f>IFERROR(INDEX('00_TONG_HOP_BAO_GIA'!$G$1:$G$5000, MATCH(B17, '00_TONG_HOP_BAO_GIA'!$B$1:$B$5000, 0)), 1)</f>
        <v/>
      </c>
      <c r="I17" s="255">
        <f>G17*H17</f>
        <v/>
      </c>
      <c r="J17" s="250">
        <f>IFERROR(INDEX('06_BANG_GIA_VAT_TU_AP_DUNG'!$E$1:$E$5000, MATCH(E17, '06_BANG_GIA_VAT_TU_AP_DUNG'!$B$1:$B$5000, 0)), 0)</f>
        <v/>
      </c>
      <c r="K17" s="250">
        <f>I17*J17</f>
        <v/>
      </c>
      <c r="L17" t="inlineStr">
        <is>
          <t>Cơ cấu liên động cánh (1 bộ)</t>
        </is>
      </c>
    </row>
    <row r="18">
      <c r="A18" t="inlineStr">
        <is>
          <t>SW-DAMPER-002-FUSE</t>
        </is>
      </c>
      <c r="B18" t="inlineStr">
        <is>
          <t>SW-DAMPER-002</t>
        </is>
      </c>
      <c r="C18" t="inlineStr">
        <is>
          <t>Cầu chì nhiệt nóng chảy 70°C/74°C (Elsie/USA)</t>
        </is>
      </c>
      <c r="D18" t="inlineStr">
        <is>
          <t>PHỤ_KIỆN_VAN</t>
        </is>
      </c>
      <c r="E18" t="inlineStr">
        <is>
          <t>MAT-DAMPER-CAU-CHI-USA-2-400X400</t>
        </is>
      </c>
      <c r="F18" t="inlineStr">
        <is>
          <t>Cái</t>
        </is>
      </c>
      <c r="G18" s="254" t="n">
        <v>1</v>
      </c>
      <c r="H18" s="250">
        <f>IFERROR(INDEX('00_TONG_HOP_BAO_GIA'!$G$1:$G$5000, MATCH(B18, '00_TONG_HOP_BAO_GIA'!$B$1:$B$5000, 0)), 1)</f>
        <v/>
      </c>
      <c r="I18" s="255">
        <f>G18*H18</f>
        <v/>
      </c>
      <c r="J18" s="250">
        <f>IFERROR(INDEX('06_BANG_GIA_VAT_TU_AP_DUNG'!$E$1:$E$5000, MATCH(E18, '06_BANG_GIA_VAT_TU_AP_DUNG'!$B$1:$B$5000, 0)), 0)</f>
        <v/>
      </c>
      <c r="K18" s="250">
        <f>I18*J18</f>
        <v/>
      </c>
      <c r="L18" t="inlineStr">
        <is>
          <t>Cầu chì kiểm định PCCC (1 cái)</t>
        </is>
      </c>
    </row>
    <row r="19">
      <c r="A19" t="inlineStr">
        <is>
          <t>SW-DAMPER-002-FB10-BODY</t>
        </is>
      </c>
      <c r="B19" t="inlineStr">
        <is>
          <t>SW-DAMPER-002</t>
        </is>
      </c>
      <c r="C19" t="inlineStr">
        <is>
          <t>Tấm chống cháy dày 10mm bọc thân van FD/MFD (2 lớp)</t>
        </is>
      </c>
      <c r="D19" t="inlineStr">
        <is>
          <t>VẬT_LIỆU_CÁCH_NHIỆT</t>
        </is>
      </c>
      <c r="E19" t="inlineStr">
        <is>
          <t>MAT-FIREBOARD-10MM-BODY</t>
        </is>
      </c>
      <c r="F19" t="inlineStr">
        <is>
          <t>m2</t>
        </is>
      </c>
      <c r="G19" s="254" t="n">
        <v>2.440165239309531</v>
      </c>
      <c r="H19" s="250">
        <f>IFERROR(INDEX('00_TONG_HOP_BAO_GIA'!$G$1:$G$5000, MATCH(B19, '00_TONG_HOP_BAO_GIA'!$B$1:$B$5000, 0)), 1)</f>
        <v/>
      </c>
      <c r="I19" s="255">
        <f>G19*H19</f>
        <v/>
      </c>
      <c r="J19" s="250">
        <f>IFERROR(INDEX('06_BANG_GIA_VAT_TU_AP_DUNG'!$E$1:$E$5000, MATCH(E19, '06_BANG_GIA_VAT_TU_AP_DUNG'!$B$1:$B$5000, 0)), 0)</f>
        <v/>
      </c>
      <c r="K19" s="250">
        <f>I19*J19</f>
        <v/>
      </c>
      <c r="L19" t="inlineStr">
        <is>
          <t>Bọc 2 lớp tấm 10mm quanh thân L=300mm</t>
        </is>
      </c>
    </row>
    <row r="20">
      <c r="A20" t="inlineStr">
        <is>
          <t>SW-DAMPER-002-FB20-BLADE</t>
        </is>
      </c>
      <c r="B20" t="inlineStr">
        <is>
          <t>SW-DAMPER-002</t>
        </is>
      </c>
      <c r="C20" t="inlineStr">
        <is>
          <t>Tấm chống cháy dày 20mm làm lõi cánh van FD/MFD</t>
        </is>
      </c>
      <c r="D20" t="inlineStr">
        <is>
          <t>VẬT_LIỆU_CÁCH_NHIỆT</t>
        </is>
      </c>
      <c r="E20" t="inlineStr">
        <is>
          <t>MAT-FIREBOARD-20MM-BLADE</t>
        </is>
      </c>
      <c r="F20" t="inlineStr">
        <is>
          <t>m2</t>
        </is>
      </c>
      <c r="G20" s="254" t="n">
        <v>1.360745518212173</v>
      </c>
      <c r="H20" s="250">
        <f>IFERROR(INDEX('00_TONG_HOP_BAO_GIA'!$G$1:$G$5000, MATCH(B20, '00_TONG_HOP_BAO_GIA'!$B$1:$B$5000, 0)), 1)</f>
        <v/>
      </c>
      <c r="I20" s="255">
        <f>G20*H20</f>
        <v/>
      </c>
      <c r="J20" s="250">
        <f>IFERROR(INDEX('06_BANG_GIA_VAT_TU_AP_DUNG'!$E$1:$E$5000, MATCH(E20, '06_BANG_GIA_VAT_TU_AP_DUNG'!$B$1:$B$5000, 0)), 0)</f>
        <v/>
      </c>
      <c r="K20" s="250">
        <f>I20*J20</f>
        <v/>
      </c>
      <c r="L20" t="inlineStr">
        <is>
          <t>Lõi cánh tấm 20mm (Đa cánh hệ số (H-5)/149=4.66, bản rộng 210mm, hao hụt 10%)</t>
        </is>
      </c>
    </row>
    <row r="21">
      <c r="A21" t="inlineStr">
        <is>
          <t>SW-DAMPER-002-FB10-BLADE</t>
        </is>
      </c>
      <c r="B21" t="inlineStr">
        <is>
          <t>SW-DAMPER-002</t>
        </is>
      </c>
      <c r="C21" t="inlineStr">
        <is>
          <t>Tấm chống cháy dày 10mm ốp 2 mặt cánh van FD/MFD</t>
        </is>
      </c>
      <c r="D21" t="inlineStr">
        <is>
          <t>VẬT_LIỆU_CÁCH_NHIỆT</t>
        </is>
      </c>
      <c r="E21" t="inlineStr">
        <is>
          <t>MAT-FIREBOARD-10MM-BLADE</t>
        </is>
      </c>
      <c r="F21" t="inlineStr">
        <is>
          <t>m2</t>
        </is>
      </c>
      <c r="G21" s="254" t="n">
        <v>2.767618003143403</v>
      </c>
      <c r="H21" s="250">
        <f>IFERROR(INDEX('00_TONG_HOP_BAO_GIA'!$G$1:$G$5000, MATCH(B21, '00_TONG_HOP_BAO_GIA'!$B$1:$B$5000, 0)), 1)</f>
        <v/>
      </c>
      <c r="I21" s="255">
        <f>G21*H21</f>
        <v/>
      </c>
      <c r="J21" s="250">
        <f>IFERROR(INDEX('06_BANG_GIA_VAT_TU_AP_DUNG'!$E$1:$E$5000, MATCH(E21, '06_BANG_GIA_VAT_TU_AP_DUNG'!$B$1:$B$5000, 0)), 0)</f>
        <v/>
      </c>
      <c r="K21" s="250">
        <f>I21*J21</f>
        <v/>
      </c>
      <c r="L21" t="inlineStr">
        <is>
          <t>Ốp 2 mặt cánh tấm 10mm (Đa cánh hệ số (H-5)/149=4.66, bản rộng 210mm, hao hụt 10%)</t>
        </is>
      </c>
    </row>
    <row r="22">
      <c r="A22" t="inlineStr">
        <is>
          <t>SW-DAMPER-002-SPRING-BOX</t>
        </is>
      </c>
      <c r="B22" t="inlineStr">
        <is>
          <t>SW-DAMPER-002</t>
        </is>
      </c>
      <c r="C22" t="inlineStr">
        <is>
          <t>Hộp lò xo van chặn lửa FD/MFD</t>
        </is>
      </c>
      <c r="D22" t="inlineStr">
        <is>
          <t>PHỤ_KIỆN_VAN</t>
        </is>
      </c>
      <c r="E22" t="inlineStr">
        <is>
          <t>MAT-DAMPER-HOP-LO-XO</t>
        </is>
      </c>
      <c r="F22" t="inlineStr">
        <is>
          <t>Bộ</t>
        </is>
      </c>
      <c r="G22" s="254" t="n">
        <v>1</v>
      </c>
      <c r="H22" s="250">
        <f>IFERROR(INDEX('00_TONG_HOP_BAO_GIA'!$G$1:$G$5000, MATCH(B22, '00_TONG_HOP_BAO_GIA'!$B$1:$B$5000, 0)), 1)</f>
        <v/>
      </c>
      <c r="I22" s="255">
        <f>G22*H22</f>
        <v/>
      </c>
      <c r="J22" s="250">
        <f>IFERROR(INDEX('06_BANG_GIA_VAT_TU_AP_DUNG'!$E$1:$E$5000, MATCH(E22, '06_BANG_GIA_VAT_TU_AP_DUNG'!$B$1:$B$5000, 0)), 0)</f>
        <v/>
      </c>
      <c r="K22" s="250">
        <f>I22*J22</f>
        <v/>
      </c>
      <c r="L22" t="inlineStr">
        <is>
          <t>Hộp lò xo cơ cấu đóng sập (1 bộ)</t>
        </is>
      </c>
    </row>
    <row r="23">
      <c r="A23" t="inlineStr">
        <is>
          <t>SW-DAMPER-002-SILICON-BOLT</t>
        </is>
      </c>
      <c r="B23" t="inlineStr">
        <is>
          <t>SW-DAMPER-002</t>
        </is>
      </c>
      <c r="C23" t="inlineStr">
        <is>
          <t>Silicon chống cháy + bu lông, ốc vít van FD/MFD</t>
        </is>
      </c>
      <c r="D23" t="inlineStr">
        <is>
          <t>PHỤ_KIỆN_VAN</t>
        </is>
      </c>
      <c r="E23" t="inlineStr">
        <is>
          <t>MAT-DAMPER-SILICON-BULONG-VIT</t>
        </is>
      </c>
      <c r="F23" t="inlineStr">
        <is>
          <t>Bộ</t>
        </is>
      </c>
      <c r="G23" s="254" t="n">
        <v>1</v>
      </c>
      <c r="H23" s="250">
        <f>IFERROR(INDEX('00_TONG_HOP_BAO_GIA'!$G$1:$G$5000, MATCH(B23, '00_TONG_HOP_BAO_GIA'!$B$1:$B$5000, 0)), 1)</f>
        <v/>
      </c>
      <c r="I23" s="255">
        <f>G23*H23</f>
        <v/>
      </c>
      <c r="J23" s="250">
        <f>IFERROR(INDEX('06_BANG_GIA_VAT_TU_AP_DUNG'!$E$1:$E$5000, MATCH(E23, '06_BANG_GIA_VAT_TU_AP_DUNG'!$B$1:$B$5000, 0)), 0)</f>
        <v/>
      </c>
      <c r="K23" s="250">
        <f>I23*J23</f>
        <v/>
      </c>
      <c r="L23" t="inlineStr">
        <is>
          <t>Keo silicon chống cháy &amp; phụ kiện lắp ghép (1 bộ)</t>
        </is>
      </c>
    </row>
    <row r="24">
      <c r="A24" t="inlineStr">
        <is>
          <t>SW-DAMPER-003-BODY</t>
        </is>
      </c>
      <c r="B24" t="inlineStr">
        <is>
          <t>SW-DAMPER-003</t>
        </is>
      </c>
      <c r="C24" t="inlineStr">
        <is>
          <t>Thân vỏ van FD bích C30/TDF (1.15mm)</t>
        </is>
      </c>
      <c r="D24" t="inlineStr">
        <is>
          <t>TÔN_CUỘN_MẠ_KẼM</t>
        </is>
      </c>
      <c r="E24" t="inlineStr">
        <is>
          <t>MAT-STEEL-PN-1.15</t>
        </is>
      </c>
      <c r="F24" t="inlineStr">
        <is>
          <t>kg</t>
        </is>
      </c>
      <c r="G24" s="254" t="n">
        <v>19.67683802999458</v>
      </c>
      <c r="H24" s="250">
        <f>IFERROR(INDEX('00_TONG_HOP_BAO_GIA'!$G$1:$G$5000, MATCH(B24, '00_TONG_HOP_BAO_GIA'!$B$1:$B$5000, 0)), 1)</f>
        <v/>
      </c>
      <c r="I24" s="255">
        <f>G24*H24</f>
        <v/>
      </c>
      <c r="J24" s="250">
        <f>IFERROR(INDEX('06_BANG_GIA_VAT_TU_AP_DUNG'!$E$1:$E$5000, MATCH(E24, '06_BANG_GIA_VAT_TU_AP_DUNG'!$B$1:$B$5000, 0)), 0)</f>
        <v/>
      </c>
      <c r="K24" s="250">
        <f>I24*J24</f>
        <v/>
      </c>
      <c r="L24" t="inlineStr">
        <is>
          <t>Kích thước vỏ 1250x1000x200mm (2 modul 1250x500mm)</t>
        </is>
      </c>
    </row>
    <row r="25">
      <c r="A25" t="inlineStr">
        <is>
          <t>SW-DAMPER-003-BLADE</t>
        </is>
      </c>
      <c r="B25" t="inlineStr">
        <is>
          <t>SW-DAMPER-003</t>
        </is>
      </c>
      <c r="C25" t="inlineStr">
        <is>
          <t>Lá cánh / Tôn tấm bọc van (6 cánh)</t>
        </is>
      </c>
      <c r="D25" t="inlineStr">
        <is>
          <t>TÔN_CUỘN_MẠ_KẼM</t>
        </is>
      </c>
      <c r="E25" t="inlineStr">
        <is>
          <t>MAT-STEEL-PN-1.15</t>
        </is>
      </c>
      <c r="F25" t="inlineStr">
        <is>
          <t>kg</t>
        </is>
      </c>
      <c r="G25" s="254" t="n">
        <v>24.50806358920797</v>
      </c>
      <c r="H25" s="250">
        <f>IFERROR(INDEX('00_TONG_HOP_BAO_GIA'!$G$1:$G$5000, MATCH(B25, '00_TONG_HOP_BAO_GIA'!$B$1:$B$5000, 0)), 1)</f>
        <v/>
      </c>
      <c r="I25" s="255">
        <f>G25*H25</f>
        <v/>
      </c>
      <c r="J25" s="250">
        <f>IFERROR(INDEX('06_BANG_GIA_VAT_TU_AP_DUNG'!$E$1:$E$5000, MATCH(E25, '06_BANG_GIA_VAT_TU_AP_DUNG'!$B$1:$B$5000, 0)), 0)</f>
        <v/>
      </c>
      <c r="K25" s="250">
        <f>I25*J25</f>
        <v/>
      </c>
      <c r="L25" t="inlineStr">
        <is>
          <t>Tôn bọc cánh &amp; thân (3 cánh/modul (2 modul 1250x500mm))</t>
        </is>
      </c>
    </row>
    <row r="26">
      <c r="A26" t="inlineStr">
        <is>
          <t>SW-DAMPER-003-AXLE</t>
        </is>
      </c>
      <c r="B26" t="inlineStr">
        <is>
          <t>SW-DAMPER-003</t>
        </is>
      </c>
      <c r="C26" t="inlineStr">
        <is>
          <t>Trục Sus 201 D10</t>
        </is>
      </c>
      <c r="D26" t="inlineStr">
        <is>
          <t>PHỤ_KIỆN_VAN</t>
        </is>
      </c>
      <c r="E26" t="inlineStr">
        <is>
          <t>MAT-DAMPER-TRUC-SUS-201-D10</t>
        </is>
      </c>
      <c r="F26" t="inlineStr">
        <is>
          <t>m</t>
        </is>
      </c>
      <c r="G26" s="254" t="n">
        <v>8.535403148653545</v>
      </c>
      <c r="H26" s="250">
        <f>IFERROR(INDEX('00_TONG_HOP_BAO_GIA'!$G$1:$G$5000, MATCH(B26, '00_TONG_HOP_BAO_GIA'!$B$1:$B$5000, 0)), 1)</f>
        <v/>
      </c>
      <c r="I26" s="255">
        <f>G26*H26</f>
        <v/>
      </c>
      <c r="J26" s="250">
        <f>IFERROR(INDEX('06_BANG_GIA_VAT_TU_AP_DUNG'!$E$1:$E$5000, MATCH(E26, '06_BANG_GIA_VAT_TU_AP_DUNG'!$B$1:$B$5000, 0)), 0)</f>
        <v/>
      </c>
      <c r="K26" s="250">
        <f>I26*J26</f>
        <v/>
      </c>
      <c r="L26" t="inlineStr">
        <is>
          <t>6 trục dài 1310mm</t>
        </is>
      </c>
    </row>
    <row r="27">
      <c r="A27" t="inlineStr">
        <is>
          <t>SW-DAMPER-003-BEARING</t>
        </is>
      </c>
      <c r="B27" t="inlineStr">
        <is>
          <t>SW-DAMPER-003</t>
        </is>
      </c>
      <c r="C27" t="inlineStr">
        <is>
          <t>Bạc đồng D10</t>
        </is>
      </c>
      <c r="D27" t="inlineStr">
        <is>
          <t>PHỤ_KIỆN_VAN</t>
        </is>
      </c>
      <c r="E27" t="inlineStr">
        <is>
          <t>MAT-DAMPER-BAC-DONG-D10</t>
        </is>
      </c>
      <c r="F27" t="inlineStr">
        <is>
          <t>Đôi</t>
        </is>
      </c>
      <c r="G27" s="254" t="n">
        <v>6</v>
      </c>
      <c r="H27" s="250">
        <f>IFERROR(INDEX('00_TONG_HOP_BAO_GIA'!$G$1:$G$5000, MATCH(B27, '00_TONG_HOP_BAO_GIA'!$B$1:$B$5000, 0)), 1)</f>
        <v/>
      </c>
      <c r="I27" s="255">
        <f>G27*H27</f>
        <v/>
      </c>
      <c r="J27" s="250">
        <f>IFERROR(INDEX('06_BANG_GIA_VAT_TU_AP_DUNG'!$E$1:$E$5000, MATCH(E27, '06_BANG_GIA_VAT_TU_AP_DUNG'!$B$1:$B$5000, 0)), 0)</f>
        <v/>
      </c>
      <c r="K27" s="250">
        <f>I27*J27</f>
        <v/>
      </c>
      <c r="L27" t="inlineStr">
        <is>
          <t>6 đôi bạc đỡ 2 bên thân</t>
        </is>
      </c>
    </row>
    <row r="28">
      <c r="A28" t="inlineStr">
        <is>
          <t>SW-DAMPER-003-GEAR</t>
        </is>
      </c>
      <c r="B28" t="inlineStr">
        <is>
          <t>SW-DAMPER-003</t>
        </is>
      </c>
      <c r="C28" t="inlineStr">
        <is>
          <t>Bánh răng van nhôm</t>
        </is>
      </c>
      <c r="D28" t="inlineStr">
        <is>
          <t>PHỤ_KIỆN_VAN</t>
        </is>
      </c>
      <c r="E28" t="inlineStr">
        <is>
          <t>MAT-DAMPER-BANH-RANG-VAN-NHOM</t>
        </is>
      </c>
      <c r="F28" t="inlineStr">
        <is>
          <t>Bộ</t>
        </is>
      </c>
      <c r="G28" s="254" t="n">
        <v>2</v>
      </c>
      <c r="H28" s="250">
        <f>IFERROR(INDEX('00_TONG_HOP_BAO_GIA'!$G$1:$G$5000, MATCH(B28, '00_TONG_HOP_BAO_GIA'!$B$1:$B$5000, 0)), 1)</f>
        <v/>
      </c>
      <c r="I28" s="255">
        <f>G28*H28</f>
        <v/>
      </c>
      <c r="J28" s="250">
        <f>IFERROR(INDEX('06_BANG_GIA_VAT_TU_AP_DUNG'!$E$1:$E$5000, MATCH(E28, '06_BANG_GIA_VAT_TU_AP_DUNG'!$B$1:$B$5000, 0)), 0)</f>
        <v/>
      </c>
      <c r="K28" s="250">
        <f>I28*J28</f>
        <v/>
      </c>
      <c r="L28" t="inlineStr">
        <is>
          <t>Cơ cấu liên động cánh (2 bộ)</t>
        </is>
      </c>
    </row>
    <row r="29">
      <c r="A29" t="inlineStr">
        <is>
          <t>SW-DAMPER-003-FUSE</t>
        </is>
      </c>
      <c r="B29" t="inlineStr">
        <is>
          <t>SW-DAMPER-003</t>
        </is>
      </c>
      <c r="C29" t="inlineStr">
        <is>
          <t>Cầu chì nhiệt nóng chảy 70°C/74°C (Elsie/USA)</t>
        </is>
      </c>
      <c r="D29" t="inlineStr">
        <is>
          <t>PHỤ_KIỆN_VAN</t>
        </is>
      </c>
      <c r="E29" t="inlineStr">
        <is>
          <t>MAT-DAMPER-CAU-CHI-USA-2-400X400</t>
        </is>
      </c>
      <c r="F29" t="inlineStr">
        <is>
          <t>Cái</t>
        </is>
      </c>
      <c r="G29" s="254" t="n">
        <v>2</v>
      </c>
      <c r="H29" s="250">
        <f>IFERROR(INDEX('00_TONG_HOP_BAO_GIA'!$G$1:$G$5000, MATCH(B29, '00_TONG_HOP_BAO_GIA'!$B$1:$B$5000, 0)), 1)</f>
        <v/>
      </c>
      <c r="I29" s="255">
        <f>G29*H29</f>
        <v/>
      </c>
      <c r="J29" s="250">
        <f>IFERROR(INDEX('06_BANG_GIA_VAT_TU_AP_DUNG'!$E$1:$E$5000, MATCH(E29, '06_BANG_GIA_VAT_TU_AP_DUNG'!$B$1:$B$5000, 0)), 0)</f>
        <v/>
      </c>
      <c r="K29" s="250">
        <f>I29*J29</f>
        <v/>
      </c>
      <c r="L29" t="inlineStr">
        <is>
          <t>Cầu chì kiểm định PCCC (2 cái)</t>
        </is>
      </c>
    </row>
    <row r="30">
      <c r="A30" t="inlineStr">
        <is>
          <t>SW-DAMPER-003-FB10-BODY</t>
        </is>
      </c>
      <c r="B30" t="inlineStr">
        <is>
          <t>SW-DAMPER-003</t>
        </is>
      </c>
      <c r="C30" t="inlineStr">
        <is>
          <t>Tấm chống cháy dày 10mm bọc thân van FD/MFD (2 lớp)</t>
        </is>
      </c>
      <c r="D30" t="inlineStr">
        <is>
          <t>VẬT_LIỆU_CÁCH_NHIỆT</t>
        </is>
      </c>
      <c r="E30" t="inlineStr">
        <is>
          <t>MAT-FIREBOARD-10MM-BODY</t>
        </is>
      </c>
      <c r="F30" t="inlineStr">
        <is>
          <t>m2</t>
        </is>
      </c>
      <c r="G30" s="254" t="n">
        <v>4.560902445845405</v>
      </c>
      <c r="H30" s="250">
        <f>IFERROR(INDEX('00_TONG_HOP_BAO_GIA'!$G$1:$G$5000, MATCH(B30, '00_TONG_HOP_BAO_GIA'!$B$1:$B$5000, 0)), 1)</f>
        <v/>
      </c>
      <c r="I30" s="255">
        <f>G30*H30</f>
        <v/>
      </c>
      <c r="J30" s="250">
        <f>IFERROR(INDEX('06_BANG_GIA_VAT_TU_AP_DUNG'!$E$1:$E$5000, MATCH(E30, '06_BANG_GIA_VAT_TU_AP_DUNG'!$B$1:$B$5000, 0)), 0)</f>
        <v/>
      </c>
      <c r="K30" s="250">
        <f>I30*J30</f>
        <v/>
      </c>
      <c r="L30" t="inlineStr">
        <is>
          <t>Bọc 2 lớp tấm 10mm quanh thân L=300mm (2 modul 1250x500mm)</t>
        </is>
      </c>
    </row>
    <row r="31">
      <c r="A31" t="inlineStr">
        <is>
          <t>SW-DAMPER-003-FB20-BLADE</t>
        </is>
      </c>
      <c r="B31" t="inlineStr">
        <is>
          <t>SW-DAMPER-003</t>
        </is>
      </c>
      <c r="C31" t="inlineStr">
        <is>
          <t>Tấm chống cháy dày 20mm làm lõi cánh van FD/MFD</t>
        </is>
      </c>
      <c r="D31" t="inlineStr">
        <is>
          <t>VẬT_LIỆU_CÁCH_NHIỆT</t>
        </is>
      </c>
      <c r="E31" t="inlineStr">
        <is>
          <t>MAT-FIREBOARD-20MM-BLADE</t>
        </is>
      </c>
      <c r="F31" t="inlineStr">
        <is>
          <t>m2</t>
        </is>
      </c>
      <c r="G31" s="254" t="n">
        <v>2.050064429240452</v>
      </c>
      <c r="H31" s="250">
        <f>IFERROR(INDEX('00_TONG_HOP_BAO_GIA'!$G$1:$G$5000, MATCH(B31, '00_TONG_HOP_BAO_GIA'!$B$1:$B$5000, 0)), 1)</f>
        <v/>
      </c>
      <c r="I31" s="255">
        <f>G31*H31</f>
        <v/>
      </c>
      <c r="J31" s="250">
        <f>IFERROR(INDEX('06_BANG_GIA_VAT_TU_AP_DUNG'!$E$1:$E$5000, MATCH(E31, '06_BANG_GIA_VAT_TU_AP_DUNG'!$B$1:$B$5000, 0)), 0)</f>
        <v/>
      </c>
      <c r="K31" s="250">
        <f>I31*J31</f>
        <v/>
      </c>
      <c r="L31" t="inlineStr">
        <is>
          <t>Lõi cánh tấm 20mm (Đa cánh hệ số (H-5)/149=3.32, bản rộng 210mm, hao hụt 10% (2 modul 1250x500mm))</t>
        </is>
      </c>
    </row>
    <row r="32">
      <c r="A32" t="inlineStr">
        <is>
          <t>SW-DAMPER-003-FB10-BLADE</t>
        </is>
      </c>
      <c r="B32" t="inlineStr">
        <is>
          <t>SW-DAMPER-003</t>
        </is>
      </c>
      <c r="C32" t="inlineStr">
        <is>
          <t>Tấm chống cháy dày 10mm ốp 2 mặt cánh van FD/MFD</t>
        </is>
      </c>
      <c r="D32" t="inlineStr">
        <is>
          <t>VẬT_LIỆU_CÁCH_NHIỆT</t>
        </is>
      </c>
      <c r="E32" t="inlineStr">
        <is>
          <t>MAT-FIREBOARD-10MM-BLADE</t>
        </is>
      </c>
      <c r="F32" t="inlineStr">
        <is>
          <t>m2</t>
        </is>
      </c>
      <c r="G32" s="254" t="n">
        <v>4.166797620407422</v>
      </c>
      <c r="H32" s="250">
        <f>IFERROR(INDEX('00_TONG_HOP_BAO_GIA'!$G$1:$G$5000, MATCH(B32, '00_TONG_HOP_BAO_GIA'!$B$1:$B$5000, 0)), 1)</f>
        <v/>
      </c>
      <c r="I32" s="255">
        <f>G32*H32</f>
        <v/>
      </c>
      <c r="J32" s="250">
        <f>IFERROR(INDEX('06_BANG_GIA_VAT_TU_AP_DUNG'!$E$1:$E$5000, MATCH(E32, '06_BANG_GIA_VAT_TU_AP_DUNG'!$B$1:$B$5000, 0)), 0)</f>
        <v/>
      </c>
      <c r="K32" s="250">
        <f>I32*J32</f>
        <v/>
      </c>
      <c r="L32" t="inlineStr">
        <is>
          <t>Ốp 2 mặt cánh tấm 10mm (Đa cánh hệ số (H-5)/149=3.32, bản rộng 210mm, hao hụt 10% (2 modul 1250x500mm))</t>
        </is>
      </c>
    </row>
    <row r="33">
      <c r="A33" t="inlineStr">
        <is>
          <t>SW-DAMPER-003-SPRING-BOX</t>
        </is>
      </c>
      <c r="B33" t="inlineStr">
        <is>
          <t>SW-DAMPER-003</t>
        </is>
      </c>
      <c r="C33" t="inlineStr">
        <is>
          <t>Hộp lò xo van chặn lửa FD/MFD</t>
        </is>
      </c>
      <c r="D33" t="inlineStr">
        <is>
          <t>PHỤ_KIỆN_VAN</t>
        </is>
      </c>
      <c r="E33" t="inlineStr">
        <is>
          <t>MAT-DAMPER-HOP-LO-XO</t>
        </is>
      </c>
      <c r="F33" t="inlineStr">
        <is>
          <t>Bộ</t>
        </is>
      </c>
      <c r="G33" s="254" t="n">
        <v>2</v>
      </c>
      <c r="H33" s="250">
        <f>IFERROR(INDEX('00_TONG_HOP_BAO_GIA'!$G$1:$G$5000, MATCH(B33, '00_TONG_HOP_BAO_GIA'!$B$1:$B$5000, 0)), 1)</f>
        <v/>
      </c>
      <c r="I33" s="255">
        <f>G33*H33</f>
        <v/>
      </c>
      <c r="J33" s="250">
        <f>IFERROR(INDEX('06_BANG_GIA_VAT_TU_AP_DUNG'!$E$1:$E$5000, MATCH(E33, '06_BANG_GIA_VAT_TU_AP_DUNG'!$B$1:$B$5000, 0)), 0)</f>
        <v/>
      </c>
      <c r="K33" s="250">
        <f>I33*J33</f>
        <v/>
      </c>
      <c r="L33" t="inlineStr">
        <is>
          <t>Hộp lò xo cơ cấu đóng sập (2 bộ)</t>
        </is>
      </c>
    </row>
    <row r="34">
      <c r="A34" t="inlineStr">
        <is>
          <t>SW-DAMPER-003-SILICON-BOLT</t>
        </is>
      </c>
      <c r="B34" t="inlineStr">
        <is>
          <t>SW-DAMPER-003</t>
        </is>
      </c>
      <c r="C34" t="inlineStr">
        <is>
          <t>Silicon chống cháy + bu lông, ốc vít van FD/MFD</t>
        </is>
      </c>
      <c r="D34" t="inlineStr">
        <is>
          <t>PHỤ_KIỆN_VAN</t>
        </is>
      </c>
      <c r="E34" t="inlineStr">
        <is>
          <t>MAT-DAMPER-SILICON-BULONG-VIT</t>
        </is>
      </c>
      <c r="F34" t="inlineStr">
        <is>
          <t>Bộ</t>
        </is>
      </c>
      <c r="G34" s="254" t="n">
        <v>2</v>
      </c>
      <c r="H34" s="250">
        <f>IFERROR(INDEX('00_TONG_HOP_BAO_GIA'!$G$1:$G$5000, MATCH(B34, '00_TONG_HOP_BAO_GIA'!$B$1:$B$5000, 0)), 1)</f>
        <v/>
      </c>
      <c r="I34" s="255">
        <f>G34*H34</f>
        <v/>
      </c>
      <c r="J34" s="250">
        <f>IFERROR(INDEX('06_BANG_GIA_VAT_TU_AP_DUNG'!$E$1:$E$5000, MATCH(E34, '06_BANG_GIA_VAT_TU_AP_DUNG'!$B$1:$B$5000, 0)), 0)</f>
        <v/>
      </c>
      <c r="K34" s="250">
        <f>I34*J34</f>
        <v/>
      </c>
      <c r="L34" t="inlineStr">
        <is>
          <t>Keo silicon chống cháy &amp; phụ kiện lắp ghép (2 bộ)</t>
        </is>
      </c>
    </row>
    <row r="35">
      <c r="A35" t="inlineStr">
        <is>
          <t>SW-DAMPER-004-BODY</t>
        </is>
      </c>
      <c r="B35" t="inlineStr">
        <is>
          <t>SW-DAMPER-004</t>
        </is>
      </c>
      <c r="C35" t="inlineStr">
        <is>
          <t>Thân vỏ van FD bích C30/TDF (1.15mm)</t>
        </is>
      </c>
      <c r="D35" t="inlineStr">
        <is>
          <t>TÔN_CUỘN_MẠ_KẼM</t>
        </is>
      </c>
      <c r="E35" t="inlineStr">
        <is>
          <t>MAT-STEEL-PN-1.15</t>
        </is>
      </c>
      <c r="F35" t="inlineStr">
        <is>
          <t>kg</t>
        </is>
      </c>
      <c r="G35" s="254" t="n">
        <v>20.11675957743367</v>
      </c>
      <c r="H35" s="250">
        <f>IFERROR(INDEX('00_TONG_HOP_BAO_GIA'!$G$1:$G$5000, MATCH(B35, '00_TONG_HOP_BAO_GIA'!$B$1:$B$5000, 0)), 1)</f>
        <v/>
      </c>
      <c r="I35" s="255">
        <f>G35*H35</f>
        <v/>
      </c>
      <c r="J35" s="250">
        <f>IFERROR(INDEX('06_BANG_GIA_VAT_TU_AP_DUNG'!$E$1:$E$5000, MATCH(E35, '06_BANG_GIA_VAT_TU_AP_DUNG'!$B$1:$B$5000, 0)), 0)</f>
        <v/>
      </c>
      <c r="K35" s="250">
        <f>I35*J35</f>
        <v/>
      </c>
      <c r="L35" t="inlineStr">
        <is>
          <t>Kích thước vỏ 1350x900x200mm (2 modul 1350x450mm)</t>
        </is>
      </c>
    </row>
    <row r="36">
      <c r="A36" t="inlineStr">
        <is>
          <t>SW-DAMPER-004-BLADE</t>
        </is>
      </c>
      <c r="B36" t="inlineStr">
        <is>
          <t>SW-DAMPER-004</t>
        </is>
      </c>
      <c r="C36" t="inlineStr">
        <is>
          <t>Lá cánh / Tôn tấm bọc van (6 cánh)</t>
        </is>
      </c>
      <c r="D36" t="inlineStr">
        <is>
          <t>TÔN_CUỘN_MẠ_KẼM</t>
        </is>
      </c>
      <c r="E36" t="inlineStr">
        <is>
          <t>MAT-STEEL-PN-1.15</t>
        </is>
      </c>
      <c r="F36" t="inlineStr">
        <is>
          <t>kg</t>
        </is>
      </c>
      <c r="G36" s="254" t="n">
        <v>23.68535272068328</v>
      </c>
      <c r="H36" s="250">
        <f>IFERROR(INDEX('00_TONG_HOP_BAO_GIA'!$G$1:$G$5000, MATCH(B36, '00_TONG_HOP_BAO_GIA'!$B$1:$B$5000, 0)), 1)</f>
        <v/>
      </c>
      <c r="I36" s="255">
        <f>G36*H36</f>
        <v/>
      </c>
      <c r="J36" s="250">
        <f>IFERROR(INDEX('06_BANG_GIA_VAT_TU_AP_DUNG'!$E$1:$E$5000, MATCH(E36, '06_BANG_GIA_VAT_TU_AP_DUNG'!$B$1:$B$5000, 0)), 0)</f>
        <v/>
      </c>
      <c r="K36" s="250">
        <f>I36*J36</f>
        <v/>
      </c>
      <c r="L36" t="inlineStr">
        <is>
          <t>Tôn bọc cánh &amp; thân (3 cánh/modul (2 modul 1350x450mm))</t>
        </is>
      </c>
    </row>
    <row r="37">
      <c r="A37" t="inlineStr">
        <is>
          <t>SW-DAMPER-004-AXLE</t>
        </is>
      </c>
      <c r="B37" t="inlineStr">
        <is>
          <t>SW-DAMPER-004</t>
        </is>
      </c>
      <c r="C37" t="inlineStr">
        <is>
          <t>Trục Sus 201 D10</t>
        </is>
      </c>
      <c r="D37" t="inlineStr">
        <is>
          <t>PHỤ_KIỆN_VAN</t>
        </is>
      </c>
      <c r="E37" t="inlineStr">
        <is>
          <t>MAT-DAMPER-TRUC-SUS-201-D10</t>
        </is>
      </c>
      <c r="F37" t="inlineStr">
        <is>
          <t>m</t>
        </is>
      </c>
      <c r="G37" s="254" t="n">
        <v>9.134324772020591</v>
      </c>
      <c r="H37" s="250">
        <f>IFERROR(INDEX('00_TONG_HOP_BAO_GIA'!$G$1:$G$5000, MATCH(B37, '00_TONG_HOP_BAO_GIA'!$B$1:$B$5000, 0)), 1)</f>
        <v/>
      </c>
      <c r="I37" s="255">
        <f>G37*H37</f>
        <v/>
      </c>
      <c r="J37" s="250">
        <f>IFERROR(INDEX('06_BANG_GIA_VAT_TU_AP_DUNG'!$E$1:$E$5000, MATCH(E37, '06_BANG_GIA_VAT_TU_AP_DUNG'!$B$1:$B$5000, 0)), 0)</f>
        <v/>
      </c>
      <c r="K37" s="250">
        <f>I37*J37</f>
        <v/>
      </c>
      <c r="L37" t="inlineStr">
        <is>
          <t>6 trục dài 1410mm</t>
        </is>
      </c>
    </row>
    <row r="38">
      <c r="A38" t="inlineStr">
        <is>
          <t>SW-DAMPER-004-BEARING</t>
        </is>
      </c>
      <c r="B38" t="inlineStr">
        <is>
          <t>SW-DAMPER-004</t>
        </is>
      </c>
      <c r="C38" t="inlineStr">
        <is>
          <t>Bạc đồng D10</t>
        </is>
      </c>
      <c r="D38" t="inlineStr">
        <is>
          <t>PHỤ_KIỆN_VAN</t>
        </is>
      </c>
      <c r="E38" t="inlineStr">
        <is>
          <t>MAT-DAMPER-BAC-DONG-D10</t>
        </is>
      </c>
      <c r="F38" t="inlineStr">
        <is>
          <t>Đôi</t>
        </is>
      </c>
      <c r="G38" s="254" t="n">
        <v>6</v>
      </c>
      <c r="H38" s="250">
        <f>IFERROR(INDEX('00_TONG_HOP_BAO_GIA'!$G$1:$G$5000, MATCH(B38, '00_TONG_HOP_BAO_GIA'!$B$1:$B$5000, 0)), 1)</f>
        <v/>
      </c>
      <c r="I38" s="255">
        <f>G38*H38</f>
        <v/>
      </c>
      <c r="J38" s="250">
        <f>IFERROR(INDEX('06_BANG_GIA_VAT_TU_AP_DUNG'!$E$1:$E$5000, MATCH(E38, '06_BANG_GIA_VAT_TU_AP_DUNG'!$B$1:$B$5000, 0)), 0)</f>
        <v/>
      </c>
      <c r="K38" s="250">
        <f>I38*J38</f>
        <v/>
      </c>
      <c r="L38" t="inlineStr">
        <is>
          <t>6 đôi bạc đỡ 2 bên thân</t>
        </is>
      </c>
    </row>
    <row r="39">
      <c r="A39" t="inlineStr">
        <is>
          <t>SW-DAMPER-004-GEAR</t>
        </is>
      </c>
      <c r="B39" t="inlineStr">
        <is>
          <t>SW-DAMPER-004</t>
        </is>
      </c>
      <c r="C39" t="inlineStr">
        <is>
          <t>Bánh răng van nhôm</t>
        </is>
      </c>
      <c r="D39" t="inlineStr">
        <is>
          <t>PHỤ_KIỆN_VAN</t>
        </is>
      </c>
      <c r="E39" t="inlineStr">
        <is>
          <t>MAT-DAMPER-BANH-RANG-VAN-NHOM</t>
        </is>
      </c>
      <c r="F39" t="inlineStr">
        <is>
          <t>Bộ</t>
        </is>
      </c>
      <c r="G39" s="254" t="n">
        <v>2</v>
      </c>
      <c r="H39" s="250">
        <f>IFERROR(INDEX('00_TONG_HOP_BAO_GIA'!$G$1:$G$5000, MATCH(B39, '00_TONG_HOP_BAO_GIA'!$B$1:$B$5000, 0)), 1)</f>
        <v/>
      </c>
      <c r="I39" s="255">
        <f>G39*H39</f>
        <v/>
      </c>
      <c r="J39" s="250">
        <f>IFERROR(INDEX('06_BANG_GIA_VAT_TU_AP_DUNG'!$E$1:$E$5000, MATCH(E39, '06_BANG_GIA_VAT_TU_AP_DUNG'!$B$1:$B$5000, 0)), 0)</f>
        <v/>
      </c>
      <c r="K39" s="250">
        <f>I39*J39</f>
        <v/>
      </c>
      <c r="L39" t="inlineStr">
        <is>
          <t>Cơ cấu liên động cánh (2 bộ)</t>
        </is>
      </c>
    </row>
    <row r="40">
      <c r="A40" t="inlineStr">
        <is>
          <t>SW-DAMPER-004-FUSE</t>
        </is>
      </c>
      <c r="B40" t="inlineStr">
        <is>
          <t>SW-DAMPER-004</t>
        </is>
      </c>
      <c r="C40" t="inlineStr">
        <is>
          <t>Cầu chì nhiệt nóng chảy 70°C/74°C (Elsie/USA)</t>
        </is>
      </c>
      <c r="D40" t="inlineStr">
        <is>
          <t>PHỤ_KIỆN_VAN</t>
        </is>
      </c>
      <c r="E40" t="inlineStr">
        <is>
          <t>MAT-DAMPER-CAU-CHI-USA-2-400X400</t>
        </is>
      </c>
      <c r="F40" t="inlineStr">
        <is>
          <t>Cái</t>
        </is>
      </c>
      <c r="G40" s="254" t="n">
        <v>2</v>
      </c>
      <c r="H40" s="250">
        <f>IFERROR(INDEX('00_TONG_HOP_BAO_GIA'!$G$1:$G$5000, MATCH(B40, '00_TONG_HOP_BAO_GIA'!$B$1:$B$5000, 0)), 1)</f>
        <v/>
      </c>
      <c r="I40" s="255">
        <f>G40*H40</f>
        <v/>
      </c>
      <c r="J40" s="250">
        <f>IFERROR(INDEX('06_BANG_GIA_VAT_TU_AP_DUNG'!$E$1:$E$5000, MATCH(E40, '06_BANG_GIA_VAT_TU_AP_DUNG'!$B$1:$B$5000, 0)), 0)</f>
        <v/>
      </c>
      <c r="K40" s="250">
        <f>I40*J40</f>
        <v/>
      </c>
      <c r="L40" t="inlineStr">
        <is>
          <t>Cầu chì kiểm định PCCC (2 cái)</t>
        </is>
      </c>
    </row>
    <row r="41">
      <c r="A41" t="inlineStr">
        <is>
          <t>SW-DAMPER-004-FB10-BODY</t>
        </is>
      </c>
      <c r="B41" t="inlineStr">
        <is>
          <t>SW-DAMPER-004</t>
        </is>
      </c>
      <c r="C41" t="inlineStr">
        <is>
          <t>Tấm chống cháy dày 10mm bọc thân van FD/MFD (2 lớp)</t>
        </is>
      </c>
      <c r="D41" t="inlineStr">
        <is>
          <t>VẬT_LIỆU_CÁCH_NHIỆT</t>
        </is>
      </c>
      <c r="E41" t="inlineStr">
        <is>
          <t>MAT-FIREBOARD-10MM-BODY</t>
        </is>
      </c>
      <c r="F41" t="inlineStr">
        <is>
          <t>m2</t>
        </is>
      </c>
      <c r="G41" s="254" t="n">
        <v>4.664336053797749</v>
      </c>
      <c r="H41" s="250">
        <f>IFERROR(INDEX('00_TONG_HOP_BAO_GIA'!$G$1:$G$5000, MATCH(B41, '00_TONG_HOP_BAO_GIA'!$B$1:$B$5000, 0)), 1)</f>
        <v/>
      </c>
      <c r="I41" s="255">
        <f>G41*H41</f>
        <v/>
      </c>
      <c r="J41" s="250">
        <f>IFERROR(INDEX('06_BANG_GIA_VAT_TU_AP_DUNG'!$E$1:$E$5000, MATCH(E41, '06_BANG_GIA_VAT_TU_AP_DUNG'!$B$1:$B$5000, 0)), 0)</f>
        <v/>
      </c>
      <c r="K41" s="250">
        <f>I41*J41</f>
        <v/>
      </c>
      <c r="L41" t="inlineStr">
        <is>
          <t>Bọc 2 lớp tấm 10mm quanh thân L=300mm (2 modul 1350x450mm)</t>
        </is>
      </c>
    </row>
    <row r="42">
      <c r="A42" t="inlineStr">
        <is>
          <t>SW-DAMPER-004-FB20-BLADE</t>
        </is>
      </c>
      <c r="B42" t="inlineStr">
        <is>
          <t>SW-DAMPER-004</t>
        </is>
      </c>
      <c r="C42" t="inlineStr">
        <is>
          <t>Tấm chống cháy dày 20mm làm lõi cánh van FD/MFD</t>
        </is>
      </c>
      <c r="D42" t="inlineStr">
        <is>
          <t>VẬT_LIỆU_CÁCH_NHIỆT</t>
        </is>
      </c>
      <c r="E42" t="inlineStr">
        <is>
          <t>MAT-FIREBOARD-20MM-BLADE</t>
        </is>
      </c>
      <c r="F42" t="inlineStr">
        <is>
          <t>m2</t>
        </is>
      </c>
      <c r="G42" s="254" t="n">
        <v>1.981405868707077</v>
      </c>
      <c r="H42" s="250">
        <f>IFERROR(INDEX('00_TONG_HOP_BAO_GIA'!$G$1:$G$5000, MATCH(B42, '00_TONG_HOP_BAO_GIA'!$B$1:$B$5000, 0)), 1)</f>
        <v/>
      </c>
      <c r="I42" s="255">
        <f>G42*H42</f>
        <v/>
      </c>
      <c r="J42" s="250">
        <f>IFERROR(INDEX('06_BANG_GIA_VAT_TU_AP_DUNG'!$E$1:$E$5000, MATCH(E42, '06_BANG_GIA_VAT_TU_AP_DUNG'!$B$1:$B$5000, 0)), 0)</f>
        <v/>
      </c>
      <c r="K42" s="250">
        <f>I42*J42</f>
        <v/>
      </c>
      <c r="L42" t="inlineStr">
        <is>
          <t>Lõi cánh tấm 20mm (Đa cánh hệ số (H-5)/149=2.99, bản rộng 210mm, hao hụt 10% (2 modul 1350x450mm))</t>
        </is>
      </c>
    </row>
    <row r="43">
      <c r="A43" t="inlineStr">
        <is>
          <t>SW-DAMPER-004-FB10-BLADE</t>
        </is>
      </c>
      <c r="B43" t="inlineStr">
        <is>
          <t>SW-DAMPER-004</t>
        </is>
      </c>
      <c r="C43" t="inlineStr">
        <is>
          <t>Tấm chống cháy dày 10mm ốp 2 mặt cánh van FD/MFD</t>
        </is>
      </c>
      <c r="D43" t="inlineStr">
        <is>
          <t>VẬT_LIỆU_CÁCH_NHIỆT</t>
        </is>
      </c>
      <c r="E43" t="inlineStr">
        <is>
          <t>MAT-FIREBOARD-10MM-BLADE</t>
        </is>
      </c>
      <c r="F43" t="inlineStr">
        <is>
          <t>m2</t>
        </is>
      </c>
      <c r="G43" s="254" t="n">
        <v>4.022402891360232</v>
      </c>
      <c r="H43" s="250">
        <f>IFERROR(INDEX('00_TONG_HOP_BAO_GIA'!$G$1:$G$5000, MATCH(B43, '00_TONG_HOP_BAO_GIA'!$B$1:$B$5000, 0)), 1)</f>
        <v/>
      </c>
      <c r="I43" s="255">
        <f>G43*H43</f>
        <v/>
      </c>
      <c r="J43" s="250">
        <f>IFERROR(INDEX('06_BANG_GIA_VAT_TU_AP_DUNG'!$E$1:$E$5000, MATCH(E43, '06_BANG_GIA_VAT_TU_AP_DUNG'!$B$1:$B$5000, 0)), 0)</f>
        <v/>
      </c>
      <c r="K43" s="250">
        <f>I43*J43</f>
        <v/>
      </c>
      <c r="L43" t="inlineStr">
        <is>
          <t>Ốp 2 mặt cánh tấm 10mm (Đa cánh hệ số (H-5)/149=2.99, bản rộng 210mm, hao hụt 10% (2 modul 1350x450mm))</t>
        </is>
      </c>
    </row>
    <row r="44">
      <c r="A44" t="inlineStr">
        <is>
          <t>SW-DAMPER-004-SPRING-BOX</t>
        </is>
      </c>
      <c r="B44" t="inlineStr">
        <is>
          <t>SW-DAMPER-004</t>
        </is>
      </c>
      <c r="C44" t="inlineStr">
        <is>
          <t>Hộp lò xo van chặn lửa FD/MFD</t>
        </is>
      </c>
      <c r="D44" t="inlineStr">
        <is>
          <t>PHỤ_KIỆN_VAN</t>
        </is>
      </c>
      <c r="E44" t="inlineStr">
        <is>
          <t>MAT-DAMPER-HOP-LO-XO</t>
        </is>
      </c>
      <c r="F44" t="inlineStr">
        <is>
          <t>Bộ</t>
        </is>
      </c>
      <c r="G44" s="254" t="n">
        <v>2</v>
      </c>
      <c r="H44" s="250">
        <f>IFERROR(INDEX('00_TONG_HOP_BAO_GIA'!$G$1:$G$5000, MATCH(B44, '00_TONG_HOP_BAO_GIA'!$B$1:$B$5000, 0)), 1)</f>
        <v/>
      </c>
      <c r="I44" s="255">
        <f>G44*H44</f>
        <v/>
      </c>
      <c r="J44" s="250">
        <f>IFERROR(INDEX('06_BANG_GIA_VAT_TU_AP_DUNG'!$E$1:$E$5000, MATCH(E44, '06_BANG_GIA_VAT_TU_AP_DUNG'!$B$1:$B$5000, 0)), 0)</f>
        <v/>
      </c>
      <c r="K44" s="250">
        <f>I44*J44</f>
        <v/>
      </c>
      <c r="L44" t="inlineStr">
        <is>
          <t>Hộp lò xo cơ cấu đóng sập (2 bộ)</t>
        </is>
      </c>
    </row>
    <row r="45">
      <c r="A45" t="inlineStr">
        <is>
          <t>SW-DAMPER-004-SILICON-BOLT</t>
        </is>
      </c>
      <c r="B45" t="inlineStr">
        <is>
          <t>SW-DAMPER-004</t>
        </is>
      </c>
      <c r="C45" t="inlineStr">
        <is>
          <t>Silicon chống cháy + bu lông, ốc vít van FD/MFD</t>
        </is>
      </c>
      <c r="D45" t="inlineStr">
        <is>
          <t>PHỤ_KIỆN_VAN</t>
        </is>
      </c>
      <c r="E45" t="inlineStr">
        <is>
          <t>MAT-DAMPER-SILICON-BULONG-VIT</t>
        </is>
      </c>
      <c r="F45" t="inlineStr">
        <is>
          <t>Bộ</t>
        </is>
      </c>
      <c r="G45" s="254" t="n">
        <v>2</v>
      </c>
      <c r="H45" s="250">
        <f>IFERROR(INDEX('00_TONG_HOP_BAO_GIA'!$G$1:$G$5000, MATCH(B45, '00_TONG_HOP_BAO_GIA'!$B$1:$B$5000, 0)), 1)</f>
        <v/>
      </c>
      <c r="I45" s="255">
        <f>G45*H45</f>
        <v/>
      </c>
      <c r="J45" s="250">
        <f>IFERROR(INDEX('06_BANG_GIA_VAT_TU_AP_DUNG'!$E$1:$E$5000, MATCH(E45, '06_BANG_GIA_VAT_TU_AP_DUNG'!$B$1:$B$5000, 0)), 0)</f>
        <v/>
      </c>
      <c r="K45" s="250">
        <f>I45*J45</f>
        <v/>
      </c>
      <c r="L45" t="inlineStr">
        <is>
          <t>Keo silicon chống cháy &amp; phụ kiện lắp ghép (2 bộ)</t>
        </is>
      </c>
    </row>
    <row r="46">
      <c r="A46" t="inlineStr">
        <is>
          <t>SW-DAMPER-005-BODY</t>
        </is>
      </c>
      <c r="B46" t="inlineStr">
        <is>
          <t>SW-DAMPER-005</t>
        </is>
      </c>
      <c r="C46" t="inlineStr">
        <is>
          <t>Thân vỏ van FD bích C30/TDF (1.15mm)</t>
        </is>
      </c>
      <c r="D46" t="inlineStr">
        <is>
          <t>TÔN_CUỘN_MẠ_KẼM</t>
        </is>
      </c>
      <c r="E46" t="inlineStr">
        <is>
          <t>MAT-STEEL-PN-1.15</t>
        </is>
      </c>
      <c r="F46" t="inlineStr">
        <is>
          <t>kg</t>
        </is>
      </c>
      <c r="G46" s="254" t="n">
        <v>20.11675957743367</v>
      </c>
      <c r="H46" s="250">
        <f>IFERROR(INDEX('00_TONG_HOP_BAO_GIA'!$G$1:$G$5000, MATCH(B46, '00_TONG_HOP_BAO_GIA'!$B$1:$B$5000, 0)), 1)</f>
        <v/>
      </c>
      <c r="I46" s="255">
        <f>G46*H46</f>
        <v/>
      </c>
      <c r="J46" s="250">
        <f>IFERROR(INDEX('06_BANG_GIA_VAT_TU_AP_DUNG'!$E$1:$E$5000, MATCH(E46, '06_BANG_GIA_VAT_TU_AP_DUNG'!$B$1:$B$5000, 0)), 0)</f>
        <v/>
      </c>
      <c r="K46" s="250">
        <f>I46*J46</f>
        <v/>
      </c>
      <c r="L46" t="inlineStr">
        <is>
          <t>Kích thước vỏ 1350x900x200mm (2 modul 1350x450mm)</t>
        </is>
      </c>
    </row>
    <row r="47">
      <c r="A47" t="inlineStr">
        <is>
          <t>SW-DAMPER-005-BLADE</t>
        </is>
      </c>
      <c r="B47" t="inlineStr">
        <is>
          <t>SW-DAMPER-005</t>
        </is>
      </c>
      <c r="C47" t="inlineStr">
        <is>
          <t>Lá cánh / Tôn tấm bọc van (6 cánh)</t>
        </is>
      </c>
      <c r="D47" t="inlineStr">
        <is>
          <t>TÔN_CUỘN_MẠ_KẼM</t>
        </is>
      </c>
      <c r="E47" t="inlineStr">
        <is>
          <t>MAT-STEEL-PN-1.15</t>
        </is>
      </c>
      <c r="F47" t="inlineStr">
        <is>
          <t>kg</t>
        </is>
      </c>
      <c r="G47" s="254" t="n">
        <v>23.68535272068328</v>
      </c>
      <c r="H47" s="250">
        <f>IFERROR(INDEX('00_TONG_HOP_BAO_GIA'!$G$1:$G$5000, MATCH(B47, '00_TONG_HOP_BAO_GIA'!$B$1:$B$5000, 0)), 1)</f>
        <v/>
      </c>
      <c r="I47" s="255">
        <f>G47*H47</f>
        <v/>
      </c>
      <c r="J47" s="250">
        <f>IFERROR(INDEX('06_BANG_GIA_VAT_TU_AP_DUNG'!$E$1:$E$5000, MATCH(E47, '06_BANG_GIA_VAT_TU_AP_DUNG'!$B$1:$B$5000, 0)), 0)</f>
        <v/>
      </c>
      <c r="K47" s="250">
        <f>I47*J47</f>
        <v/>
      </c>
      <c r="L47" t="inlineStr">
        <is>
          <t>Tôn bọc cánh &amp; thân (3 cánh/modul (2 modul 1350x450mm))</t>
        </is>
      </c>
    </row>
    <row r="48">
      <c r="A48" t="inlineStr">
        <is>
          <t>SW-DAMPER-005-AXLE</t>
        </is>
      </c>
      <c r="B48" t="inlineStr">
        <is>
          <t>SW-DAMPER-005</t>
        </is>
      </c>
      <c r="C48" t="inlineStr">
        <is>
          <t>Trục Sus 201 D10</t>
        </is>
      </c>
      <c r="D48" t="inlineStr">
        <is>
          <t>PHỤ_KIỆN_VAN</t>
        </is>
      </c>
      <c r="E48" t="inlineStr">
        <is>
          <t>MAT-DAMPER-TRUC-SUS-201-D10</t>
        </is>
      </c>
      <c r="F48" t="inlineStr">
        <is>
          <t>m</t>
        </is>
      </c>
      <c r="G48" s="254" t="n">
        <v>9.134324772020591</v>
      </c>
      <c r="H48" s="250">
        <f>IFERROR(INDEX('00_TONG_HOP_BAO_GIA'!$G$1:$G$5000, MATCH(B48, '00_TONG_HOP_BAO_GIA'!$B$1:$B$5000, 0)), 1)</f>
        <v/>
      </c>
      <c r="I48" s="255">
        <f>G48*H48</f>
        <v/>
      </c>
      <c r="J48" s="250">
        <f>IFERROR(INDEX('06_BANG_GIA_VAT_TU_AP_DUNG'!$E$1:$E$5000, MATCH(E48, '06_BANG_GIA_VAT_TU_AP_DUNG'!$B$1:$B$5000, 0)), 0)</f>
        <v/>
      </c>
      <c r="K48" s="250">
        <f>I48*J48</f>
        <v/>
      </c>
      <c r="L48" t="inlineStr">
        <is>
          <t>6 trục dài 1410mm</t>
        </is>
      </c>
    </row>
    <row r="49">
      <c r="A49" t="inlineStr">
        <is>
          <t>SW-DAMPER-005-BEARING</t>
        </is>
      </c>
      <c r="B49" t="inlineStr">
        <is>
          <t>SW-DAMPER-005</t>
        </is>
      </c>
      <c r="C49" t="inlineStr">
        <is>
          <t>Bạc đồng D10</t>
        </is>
      </c>
      <c r="D49" t="inlineStr">
        <is>
          <t>PHỤ_KIỆN_VAN</t>
        </is>
      </c>
      <c r="E49" t="inlineStr">
        <is>
          <t>MAT-DAMPER-BAC-DONG-D10</t>
        </is>
      </c>
      <c r="F49" t="inlineStr">
        <is>
          <t>Đôi</t>
        </is>
      </c>
      <c r="G49" s="254" t="n">
        <v>6</v>
      </c>
      <c r="H49" s="250">
        <f>IFERROR(INDEX('00_TONG_HOP_BAO_GIA'!$G$1:$G$5000, MATCH(B49, '00_TONG_HOP_BAO_GIA'!$B$1:$B$5000, 0)), 1)</f>
        <v/>
      </c>
      <c r="I49" s="255">
        <f>G49*H49</f>
        <v/>
      </c>
      <c r="J49" s="250">
        <f>IFERROR(INDEX('06_BANG_GIA_VAT_TU_AP_DUNG'!$E$1:$E$5000, MATCH(E49, '06_BANG_GIA_VAT_TU_AP_DUNG'!$B$1:$B$5000, 0)), 0)</f>
        <v/>
      </c>
      <c r="K49" s="250">
        <f>I49*J49</f>
        <v/>
      </c>
      <c r="L49" t="inlineStr">
        <is>
          <t>6 đôi bạc đỡ 2 bên thân</t>
        </is>
      </c>
    </row>
    <row r="50">
      <c r="A50" t="inlineStr">
        <is>
          <t>SW-DAMPER-005-GEAR</t>
        </is>
      </c>
      <c r="B50" t="inlineStr">
        <is>
          <t>SW-DAMPER-005</t>
        </is>
      </c>
      <c r="C50" t="inlineStr">
        <is>
          <t>Bánh răng van nhôm</t>
        </is>
      </c>
      <c r="D50" t="inlineStr">
        <is>
          <t>PHỤ_KIỆN_VAN</t>
        </is>
      </c>
      <c r="E50" t="inlineStr">
        <is>
          <t>MAT-DAMPER-BANH-RANG-VAN-NHOM</t>
        </is>
      </c>
      <c r="F50" t="inlineStr">
        <is>
          <t>Bộ</t>
        </is>
      </c>
      <c r="G50" s="254" t="n">
        <v>2</v>
      </c>
      <c r="H50" s="250">
        <f>IFERROR(INDEX('00_TONG_HOP_BAO_GIA'!$G$1:$G$5000, MATCH(B50, '00_TONG_HOP_BAO_GIA'!$B$1:$B$5000, 0)), 1)</f>
        <v/>
      </c>
      <c r="I50" s="255">
        <f>G50*H50</f>
        <v/>
      </c>
      <c r="J50" s="250">
        <f>IFERROR(INDEX('06_BANG_GIA_VAT_TU_AP_DUNG'!$E$1:$E$5000, MATCH(E50, '06_BANG_GIA_VAT_TU_AP_DUNG'!$B$1:$B$5000, 0)), 0)</f>
        <v/>
      </c>
      <c r="K50" s="250">
        <f>I50*J50</f>
        <v/>
      </c>
      <c r="L50" t="inlineStr">
        <is>
          <t>Cơ cấu liên động cánh (2 bộ)</t>
        </is>
      </c>
    </row>
    <row r="51">
      <c r="A51" t="inlineStr">
        <is>
          <t>SW-DAMPER-005-FUSE</t>
        </is>
      </c>
      <c r="B51" t="inlineStr">
        <is>
          <t>SW-DAMPER-005</t>
        </is>
      </c>
      <c r="C51" t="inlineStr">
        <is>
          <t>Cầu chì nhiệt nóng chảy 70°C/74°C (Elsie/USA)</t>
        </is>
      </c>
      <c r="D51" t="inlineStr">
        <is>
          <t>PHỤ_KIỆN_VAN</t>
        </is>
      </c>
      <c r="E51" t="inlineStr">
        <is>
          <t>MAT-DAMPER-CAU-CHI-USA-2-400X400</t>
        </is>
      </c>
      <c r="F51" t="inlineStr">
        <is>
          <t>Cái</t>
        </is>
      </c>
      <c r="G51" s="254" t="n">
        <v>2</v>
      </c>
      <c r="H51" s="250">
        <f>IFERROR(INDEX('00_TONG_HOP_BAO_GIA'!$G$1:$G$5000, MATCH(B51, '00_TONG_HOP_BAO_GIA'!$B$1:$B$5000, 0)), 1)</f>
        <v/>
      </c>
      <c r="I51" s="255">
        <f>G51*H51</f>
        <v/>
      </c>
      <c r="J51" s="250">
        <f>IFERROR(INDEX('06_BANG_GIA_VAT_TU_AP_DUNG'!$E$1:$E$5000, MATCH(E51, '06_BANG_GIA_VAT_TU_AP_DUNG'!$B$1:$B$5000, 0)), 0)</f>
        <v/>
      </c>
      <c r="K51" s="250">
        <f>I51*J51</f>
        <v/>
      </c>
      <c r="L51" t="inlineStr">
        <is>
          <t>Cầu chì kiểm định PCCC (2 cái)</t>
        </is>
      </c>
    </row>
    <row r="52">
      <c r="A52" t="inlineStr">
        <is>
          <t>SW-DAMPER-005-FB10-BODY</t>
        </is>
      </c>
      <c r="B52" t="inlineStr">
        <is>
          <t>SW-DAMPER-005</t>
        </is>
      </c>
      <c r="C52" t="inlineStr">
        <is>
          <t>Tấm chống cháy dày 10mm bọc thân van FD/MFD (2 lớp)</t>
        </is>
      </c>
      <c r="D52" t="inlineStr">
        <is>
          <t>VẬT_LIỆU_CÁCH_NHIỆT</t>
        </is>
      </c>
      <c r="E52" t="inlineStr">
        <is>
          <t>MAT-FIREBOARD-10MM-BODY</t>
        </is>
      </c>
      <c r="F52" t="inlineStr">
        <is>
          <t>m2</t>
        </is>
      </c>
      <c r="G52" s="254" t="n">
        <v>4.664336053797749</v>
      </c>
      <c r="H52" s="250">
        <f>IFERROR(INDEX('00_TONG_HOP_BAO_GIA'!$G$1:$G$5000, MATCH(B52, '00_TONG_HOP_BAO_GIA'!$B$1:$B$5000, 0)), 1)</f>
        <v/>
      </c>
      <c r="I52" s="255">
        <f>G52*H52</f>
        <v/>
      </c>
      <c r="J52" s="250">
        <f>IFERROR(INDEX('06_BANG_GIA_VAT_TU_AP_DUNG'!$E$1:$E$5000, MATCH(E52, '06_BANG_GIA_VAT_TU_AP_DUNG'!$B$1:$B$5000, 0)), 0)</f>
        <v/>
      </c>
      <c r="K52" s="250">
        <f>I52*J52</f>
        <v/>
      </c>
      <c r="L52" t="inlineStr">
        <is>
          <t>Bọc 2 lớp tấm 10mm quanh thân L=300mm (2 modul 1350x450mm)</t>
        </is>
      </c>
    </row>
    <row r="53">
      <c r="A53" t="inlineStr">
        <is>
          <t>SW-DAMPER-005-FB20-BLADE</t>
        </is>
      </c>
      <c r="B53" t="inlineStr">
        <is>
          <t>SW-DAMPER-005</t>
        </is>
      </c>
      <c r="C53" t="inlineStr">
        <is>
          <t>Tấm chống cháy dày 20mm làm lõi cánh van FD/MFD</t>
        </is>
      </c>
      <c r="D53" t="inlineStr">
        <is>
          <t>VẬT_LIỆU_CÁCH_NHIỆT</t>
        </is>
      </c>
      <c r="E53" t="inlineStr">
        <is>
          <t>MAT-FIREBOARD-20MM-BLADE</t>
        </is>
      </c>
      <c r="F53" t="inlineStr">
        <is>
          <t>m2</t>
        </is>
      </c>
      <c r="G53" s="254" t="n">
        <v>1.981405868707077</v>
      </c>
      <c r="H53" s="250">
        <f>IFERROR(INDEX('00_TONG_HOP_BAO_GIA'!$G$1:$G$5000, MATCH(B53, '00_TONG_HOP_BAO_GIA'!$B$1:$B$5000, 0)), 1)</f>
        <v/>
      </c>
      <c r="I53" s="255">
        <f>G53*H53</f>
        <v/>
      </c>
      <c r="J53" s="250">
        <f>IFERROR(INDEX('06_BANG_GIA_VAT_TU_AP_DUNG'!$E$1:$E$5000, MATCH(E53, '06_BANG_GIA_VAT_TU_AP_DUNG'!$B$1:$B$5000, 0)), 0)</f>
        <v/>
      </c>
      <c r="K53" s="250">
        <f>I53*J53</f>
        <v/>
      </c>
      <c r="L53" t="inlineStr">
        <is>
          <t>Lõi cánh tấm 20mm (Đa cánh hệ số (H-5)/149=2.99, bản rộng 210mm, hao hụt 10% (2 modul 1350x450mm))</t>
        </is>
      </c>
    </row>
    <row r="54">
      <c r="A54" t="inlineStr">
        <is>
          <t>SW-DAMPER-005-FB10-BLADE</t>
        </is>
      </c>
      <c r="B54" t="inlineStr">
        <is>
          <t>SW-DAMPER-005</t>
        </is>
      </c>
      <c r="C54" t="inlineStr">
        <is>
          <t>Tấm chống cháy dày 10mm ốp 2 mặt cánh van FD/MFD</t>
        </is>
      </c>
      <c r="D54" t="inlineStr">
        <is>
          <t>VẬT_LIỆU_CÁCH_NHIỆT</t>
        </is>
      </c>
      <c r="E54" t="inlineStr">
        <is>
          <t>MAT-FIREBOARD-10MM-BLADE</t>
        </is>
      </c>
      <c r="F54" t="inlineStr">
        <is>
          <t>m2</t>
        </is>
      </c>
      <c r="G54" s="254" t="n">
        <v>4.022402891360232</v>
      </c>
      <c r="H54" s="250">
        <f>IFERROR(INDEX('00_TONG_HOP_BAO_GIA'!$G$1:$G$5000, MATCH(B54, '00_TONG_HOP_BAO_GIA'!$B$1:$B$5000, 0)), 1)</f>
        <v/>
      </c>
      <c r="I54" s="255">
        <f>G54*H54</f>
        <v/>
      </c>
      <c r="J54" s="250">
        <f>IFERROR(INDEX('06_BANG_GIA_VAT_TU_AP_DUNG'!$E$1:$E$5000, MATCH(E54, '06_BANG_GIA_VAT_TU_AP_DUNG'!$B$1:$B$5000, 0)), 0)</f>
        <v/>
      </c>
      <c r="K54" s="250">
        <f>I54*J54</f>
        <v/>
      </c>
      <c r="L54" t="inlineStr">
        <is>
          <t>Ốp 2 mặt cánh tấm 10mm (Đa cánh hệ số (H-5)/149=2.99, bản rộng 210mm, hao hụt 10% (2 modul 1350x450mm))</t>
        </is>
      </c>
    </row>
    <row r="55">
      <c r="A55" t="inlineStr">
        <is>
          <t>SW-DAMPER-005-SPRING-BOX</t>
        </is>
      </c>
      <c r="B55" t="inlineStr">
        <is>
          <t>SW-DAMPER-005</t>
        </is>
      </c>
      <c r="C55" t="inlineStr">
        <is>
          <t>Hộp lò xo van chặn lửa FD/MFD</t>
        </is>
      </c>
      <c r="D55" t="inlineStr">
        <is>
          <t>PHỤ_KIỆN_VAN</t>
        </is>
      </c>
      <c r="E55" t="inlineStr">
        <is>
          <t>MAT-DAMPER-HOP-LO-XO</t>
        </is>
      </c>
      <c r="F55" t="inlineStr">
        <is>
          <t>Bộ</t>
        </is>
      </c>
      <c r="G55" s="254" t="n">
        <v>2</v>
      </c>
      <c r="H55" s="250">
        <f>IFERROR(INDEX('00_TONG_HOP_BAO_GIA'!$G$1:$G$5000, MATCH(B55, '00_TONG_HOP_BAO_GIA'!$B$1:$B$5000, 0)), 1)</f>
        <v/>
      </c>
      <c r="I55" s="255">
        <f>G55*H55</f>
        <v/>
      </c>
      <c r="J55" s="250">
        <f>IFERROR(INDEX('06_BANG_GIA_VAT_TU_AP_DUNG'!$E$1:$E$5000, MATCH(E55, '06_BANG_GIA_VAT_TU_AP_DUNG'!$B$1:$B$5000, 0)), 0)</f>
        <v/>
      </c>
      <c r="K55" s="250">
        <f>I55*J55</f>
        <v/>
      </c>
      <c r="L55" t="inlineStr">
        <is>
          <t>Hộp lò xo cơ cấu đóng sập (2 bộ)</t>
        </is>
      </c>
    </row>
    <row r="56">
      <c r="A56" t="inlineStr">
        <is>
          <t>SW-DAMPER-005-SILICON-BOLT</t>
        </is>
      </c>
      <c r="B56" t="inlineStr">
        <is>
          <t>SW-DAMPER-005</t>
        </is>
      </c>
      <c r="C56" t="inlineStr">
        <is>
          <t>Silicon chống cháy + bu lông, ốc vít van FD/MFD</t>
        </is>
      </c>
      <c r="D56" t="inlineStr">
        <is>
          <t>PHỤ_KIỆN_VAN</t>
        </is>
      </c>
      <c r="E56" t="inlineStr">
        <is>
          <t>MAT-DAMPER-SILICON-BULONG-VIT</t>
        </is>
      </c>
      <c r="F56" t="inlineStr">
        <is>
          <t>Bộ</t>
        </is>
      </c>
      <c r="G56" s="254" t="n">
        <v>2</v>
      </c>
      <c r="H56" s="250">
        <f>IFERROR(INDEX('00_TONG_HOP_BAO_GIA'!$G$1:$G$5000, MATCH(B56, '00_TONG_HOP_BAO_GIA'!$B$1:$B$5000, 0)), 1)</f>
        <v/>
      </c>
      <c r="I56" s="255">
        <f>G56*H56</f>
        <v/>
      </c>
      <c r="J56" s="250">
        <f>IFERROR(INDEX('06_BANG_GIA_VAT_TU_AP_DUNG'!$E$1:$E$5000, MATCH(E56, '06_BANG_GIA_VAT_TU_AP_DUNG'!$B$1:$B$5000, 0)), 0)</f>
        <v/>
      </c>
      <c r="K56" s="250">
        <f>I56*J56</f>
        <v/>
      </c>
      <c r="L56" t="inlineStr">
        <is>
          <t>Keo silicon chống cháy &amp; phụ kiện lắp ghép (2 bộ)</t>
        </is>
      </c>
    </row>
    <row r="57">
      <c r="A57" t="inlineStr">
        <is>
          <t>SW-DAMPER-006-BODY</t>
        </is>
      </c>
      <c r="B57" t="inlineStr">
        <is>
          <t>SW-DAMPER-006</t>
        </is>
      </c>
      <c r="C57" t="inlineStr">
        <is>
          <t>Thân vỏ van FD bích C30/TDF (1.15mm)</t>
        </is>
      </c>
      <c r="D57" t="inlineStr">
        <is>
          <t>TÔN_CUỘN_MẠ_KẼM</t>
        </is>
      </c>
      <c r="E57" t="inlineStr">
        <is>
          <t>MAT-STEEL-PN-1.15</t>
        </is>
      </c>
      <c r="F57" t="inlineStr">
        <is>
          <t>kg</t>
        </is>
      </c>
      <c r="G57" s="254" t="n">
        <v>21.62177323709934</v>
      </c>
      <c r="H57" s="250">
        <f>IFERROR(INDEX('00_TONG_HOP_BAO_GIA'!$G$1:$G$5000, MATCH(B57, '00_TONG_HOP_BAO_GIA'!$B$1:$B$5000, 0)), 1)</f>
        <v/>
      </c>
      <c r="I57" s="255">
        <f>G57*H57</f>
        <v/>
      </c>
      <c r="J57" s="250">
        <f>IFERROR(INDEX('06_BANG_GIA_VAT_TU_AP_DUNG'!$E$1:$E$5000, MATCH(E57, '06_BANG_GIA_VAT_TU_AP_DUNG'!$B$1:$B$5000, 0)), 0)</f>
        <v/>
      </c>
      <c r="K57" s="250">
        <f>I57*J57</f>
        <v/>
      </c>
      <c r="L57" t="inlineStr">
        <is>
          <t>Kích thước vỏ 1400x1100x200mm (2 modul 1400x550mm)</t>
        </is>
      </c>
    </row>
    <row r="58">
      <c r="A58" t="inlineStr">
        <is>
          <t>SW-DAMPER-006-BLADE</t>
        </is>
      </c>
      <c r="B58" t="inlineStr">
        <is>
          <t>SW-DAMPER-006</t>
        </is>
      </c>
      <c r="C58" t="inlineStr">
        <is>
          <t>Lá cánh / Tôn tấm bọc van (8 cánh)</t>
        </is>
      </c>
      <c r="D58" t="inlineStr">
        <is>
          <t>TÔN_CUỘN_MẠ_KẼM</t>
        </is>
      </c>
      <c r="E58" t="inlineStr">
        <is>
          <t>MAT-STEEL-PN-1.15</t>
        </is>
      </c>
      <c r="F58" t="inlineStr">
        <is>
          <t>kg</t>
        </is>
      </c>
      <c r="G58" s="254" t="n">
        <v>29.81005271769038</v>
      </c>
      <c r="H58" s="250">
        <f>IFERROR(INDEX('00_TONG_HOP_BAO_GIA'!$G$1:$G$5000, MATCH(B58, '00_TONG_HOP_BAO_GIA'!$B$1:$B$5000, 0)), 1)</f>
        <v/>
      </c>
      <c r="I58" s="255">
        <f>G58*H58</f>
        <v/>
      </c>
      <c r="J58" s="250">
        <f>IFERROR(INDEX('06_BANG_GIA_VAT_TU_AP_DUNG'!$E$1:$E$5000, MATCH(E58, '06_BANG_GIA_VAT_TU_AP_DUNG'!$B$1:$B$5000, 0)), 0)</f>
        <v/>
      </c>
      <c r="K58" s="250">
        <f>I58*J58</f>
        <v/>
      </c>
      <c r="L58" t="inlineStr">
        <is>
          <t>Tôn bọc cánh &amp; thân (4 cánh/modul (2 modul 1400x550mm))</t>
        </is>
      </c>
    </row>
    <row r="59">
      <c r="A59" t="inlineStr">
        <is>
          <t>SW-DAMPER-006-AXLE</t>
        </is>
      </c>
      <c r="B59" t="inlineStr">
        <is>
          <t>SW-DAMPER-006</t>
        </is>
      </c>
      <c r="C59" t="inlineStr">
        <is>
          <t>Trục Sus 201 D10</t>
        </is>
      </c>
      <c r="D59" t="inlineStr">
        <is>
          <t>PHỤ_KIỆN_VAN</t>
        </is>
      </c>
      <c r="E59" t="inlineStr">
        <is>
          <t>MAT-DAMPER-TRUC-SUS-201-D10</t>
        </is>
      </c>
      <c r="F59" t="inlineStr">
        <is>
          <t>m</t>
        </is>
      </c>
      <c r="G59" s="254" t="n">
        <v>12.52239426221552</v>
      </c>
      <c r="H59" s="250">
        <f>IFERROR(INDEX('00_TONG_HOP_BAO_GIA'!$G$1:$G$5000, MATCH(B59, '00_TONG_HOP_BAO_GIA'!$B$1:$B$5000, 0)), 1)</f>
        <v/>
      </c>
      <c r="I59" s="255">
        <f>G59*H59</f>
        <v/>
      </c>
      <c r="J59" s="250">
        <f>IFERROR(INDEX('06_BANG_GIA_VAT_TU_AP_DUNG'!$E$1:$E$5000, MATCH(E59, '06_BANG_GIA_VAT_TU_AP_DUNG'!$B$1:$B$5000, 0)), 0)</f>
        <v/>
      </c>
      <c r="K59" s="250">
        <f>I59*J59</f>
        <v/>
      </c>
      <c r="L59" t="inlineStr">
        <is>
          <t>8 trục dài 1460mm</t>
        </is>
      </c>
    </row>
    <row r="60">
      <c r="A60" t="inlineStr">
        <is>
          <t>SW-DAMPER-006-BEARING</t>
        </is>
      </c>
      <c r="B60" t="inlineStr">
        <is>
          <t>SW-DAMPER-006</t>
        </is>
      </c>
      <c r="C60" t="inlineStr">
        <is>
          <t>Bạc đồng D10</t>
        </is>
      </c>
      <c r="D60" t="inlineStr">
        <is>
          <t>PHỤ_KIỆN_VAN</t>
        </is>
      </c>
      <c r="E60" t="inlineStr">
        <is>
          <t>MAT-DAMPER-BAC-DONG-D10</t>
        </is>
      </c>
      <c r="F60" t="inlineStr">
        <is>
          <t>Đôi</t>
        </is>
      </c>
      <c r="G60" s="254" t="n">
        <v>8</v>
      </c>
      <c r="H60" s="250">
        <f>IFERROR(INDEX('00_TONG_HOP_BAO_GIA'!$G$1:$G$5000, MATCH(B60, '00_TONG_HOP_BAO_GIA'!$B$1:$B$5000, 0)), 1)</f>
        <v/>
      </c>
      <c r="I60" s="255">
        <f>G60*H60</f>
        <v/>
      </c>
      <c r="J60" s="250">
        <f>IFERROR(INDEX('06_BANG_GIA_VAT_TU_AP_DUNG'!$E$1:$E$5000, MATCH(E60, '06_BANG_GIA_VAT_TU_AP_DUNG'!$B$1:$B$5000, 0)), 0)</f>
        <v/>
      </c>
      <c r="K60" s="250">
        <f>I60*J60</f>
        <v/>
      </c>
      <c r="L60" t="inlineStr">
        <is>
          <t>8 đôi bạc đỡ 2 bên thân</t>
        </is>
      </c>
    </row>
    <row r="61">
      <c r="A61" t="inlineStr">
        <is>
          <t>SW-DAMPER-006-GEAR</t>
        </is>
      </c>
      <c r="B61" t="inlineStr">
        <is>
          <t>SW-DAMPER-006</t>
        </is>
      </c>
      <c r="C61" t="inlineStr">
        <is>
          <t>Bánh răng van nhôm</t>
        </is>
      </c>
      <c r="D61" t="inlineStr">
        <is>
          <t>PHỤ_KIỆN_VAN</t>
        </is>
      </c>
      <c r="E61" t="inlineStr">
        <is>
          <t>MAT-DAMPER-BANH-RANG-VAN-NHOM</t>
        </is>
      </c>
      <c r="F61" t="inlineStr">
        <is>
          <t>Bộ</t>
        </is>
      </c>
      <c r="G61" s="254" t="n">
        <v>2</v>
      </c>
      <c r="H61" s="250">
        <f>IFERROR(INDEX('00_TONG_HOP_BAO_GIA'!$G$1:$G$5000, MATCH(B61, '00_TONG_HOP_BAO_GIA'!$B$1:$B$5000, 0)), 1)</f>
        <v/>
      </c>
      <c r="I61" s="255">
        <f>G61*H61</f>
        <v/>
      </c>
      <c r="J61" s="250">
        <f>IFERROR(INDEX('06_BANG_GIA_VAT_TU_AP_DUNG'!$E$1:$E$5000, MATCH(E61, '06_BANG_GIA_VAT_TU_AP_DUNG'!$B$1:$B$5000, 0)), 0)</f>
        <v/>
      </c>
      <c r="K61" s="250">
        <f>I61*J61</f>
        <v/>
      </c>
      <c r="L61" t="inlineStr">
        <is>
          <t>Cơ cấu liên động cánh (2 bộ)</t>
        </is>
      </c>
    </row>
    <row r="62">
      <c r="A62" t="inlineStr">
        <is>
          <t>SW-DAMPER-006-FUSE</t>
        </is>
      </c>
      <c r="B62" t="inlineStr">
        <is>
          <t>SW-DAMPER-006</t>
        </is>
      </c>
      <c r="C62" t="inlineStr">
        <is>
          <t>Cầu chì nhiệt nóng chảy 70°C/74°C (Elsie/USA)</t>
        </is>
      </c>
      <c r="D62" t="inlineStr">
        <is>
          <t>PHỤ_KIỆN_VAN</t>
        </is>
      </c>
      <c r="E62" t="inlineStr">
        <is>
          <t>MAT-DAMPER-CAU-CHI-USA-2-400X400</t>
        </is>
      </c>
      <c r="F62" t="inlineStr">
        <is>
          <t>Cái</t>
        </is>
      </c>
      <c r="G62" s="254" t="n">
        <v>2</v>
      </c>
      <c r="H62" s="250">
        <f>IFERROR(INDEX('00_TONG_HOP_BAO_GIA'!$G$1:$G$5000, MATCH(B62, '00_TONG_HOP_BAO_GIA'!$B$1:$B$5000, 0)), 1)</f>
        <v/>
      </c>
      <c r="I62" s="255">
        <f>G62*H62</f>
        <v/>
      </c>
      <c r="J62" s="250">
        <f>IFERROR(INDEX('06_BANG_GIA_VAT_TU_AP_DUNG'!$E$1:$E$5000, MATCH(E62, '06_BANG_GIA_VAT_TU_AP_DUNG'!$B$1:$B$5000, 0)), 0)</f>
        <v/>
      </c>
      <c r="K62" s="250">
        <f>I62*J62</f>
        <v/>
      </c>
      <c r="L62" t="inlineStr">
        <is>
          <t>Cầu chì kiểm định PCCC (2 cái)</t>
        </is>
      </c>
    </row>
    <row r="63">
      <c r="A63" t="inlineStr">
        <is>
          <t>SW-DAMPER-006-FB10-BODY</t>
        </is>
      </c>
      <c r="B63" t="inlineStr">
        <is>
          <t>SW-DAMPER-006</t>
        </is>
      </c>
      <c r="C63" t="inlineStr">
        <is>
          <t>Tấm chống cháy dày 10mm bọc thân van FD/MFD (2 lớp)</t>
        </is>
      </c>
      <c r="D63" t="inlineStr">
        <is>
          <t>VẬT_LIỆU_CÁCH_NHIỆT</t>
        </is>
      </c>
      <c r="E63" t="inlineStr">
        <is>
          <t>MAT-FIREBOARD-10MM-BODY</t>
        </is>
      </c>
      <c r="F63" t="inlineStr">
        <is>
          <t>m2</t>
        </is>
      </c>
      <c r="G63" s="254" t="n">
        <v>5.017534687257586</v>
      </c>
      <c r="H63" s="250">
        <f>IFERROR(INDEX('00_TONG_HOP_BAO_GIA'!$G$1:$G$5000, MATCH(B63, '00_TONG_HOP_BAO_GIA'!$B$1:$B$5000, 0)), 1)</f>
        <v/>
      </c>
      <c r="I63" s="255">
        <f>G63*H63</f>
        <v/>
      </c>
      <c r="J63" s="250">
        <f>IFERROR(INDEX('06_BANG_GIA_VAT_TU_AP_DUNG'!$E$1:$E$5000, MATCH(E63, '06_BANG_GIA_VAT_TU_AP_DUNG'!$B$1:$B$5000, 0)), 0)</f>
        <v/>
      </c>
      <c r="K63" s="250">
        <f>I63*J63</f>
        <v/>
      </c>
      <c r="L63" t="inlineStr">
        <is>
          <t>Bọc 2 lớp tấm 10mm quanh thân L=300mm (2 modul 1400x550mm)</t>
        </is>
      </c>
    </row>
    <row r="64">
      <c r="A64" t="inlineStr">
        <is>
          <t>SW-DAMPER-006-FB20-BLADE</t>
        </is>
      </c>
      <c r="B64" t="inlineStr">
        <is>
          <t>SW-DAMPER-006</t>
        </is>
      </c>
      <c r="C64" t="inlineStr">
        <is>
          <t>Tấm chống cháy dày 20mm làm lõi cánh van FD/MFD</t>
        </is>
      </c>
      <c r="D64" t="inlineStr">
        <is>
          <t>VẬT_LIỆU_CÁCH_NHIỆT</t>
        </is>
      </c>
      <c r="E64" t="inlineStr">
        <is>
          <t>MAT-FIREBOARD-20MM-BLADE</t>
        </is>
      </c>
      <c r="F64" t="inlineStr">
        <is>
          <t>m2</t>
        </is>
      </c>
      <c r="G64" s="254" t="n">
        <v>2.500206191258433</v>
      </c>
      <c r="H64" s="250">
        <f>IFERROR(INDEX('00_TONG_HOP_BAO_GIA'!$G$1:$G$5000, MATCH(B64, '00_TONG_HOP_BAO_GIA'!$B$1:$B$5000, 0)), 1)</f>
        <v/>
      </c>
      <c r="I64" s="255">
        <f>G64*H64</f>
        <v/>
      </c>
      <c r="J64" s="250">
        <f>IFERROR(INDEX('06_BANG_GIA_VAT_TU_AP_DUNG'!$E$1:$E$5000, MATCH(E64, '06_BANG_GIA_VAT_TU_AP_DUNG'!$B$1:$B$5000, 0)), 0)</f>
        <v/>
      </c>
      <c r="K64" s="250">
        <f>I64*J64</f>
        <v/>
      </c>
      <c r="L64" t="inlineStr">
        <is>
          <t>Lõi cánh tấm 20mm (Đa cánh hệ số (H-5)/149=3.66, bản rộng 210mm, hao hụt 10% (2 modul 1400x550mm))</t>
        </is>
      </c>
    </row>
    <row r="65">
      <c r="A65" t="inlineStr">
        <is>
          <t>SW-DAMPER-006-FB10-BLADE</t>
        </is>
      </c>
      <c r="B65" t="inlineStr">
        <is>
          <t>SW-DAMPER-006</t>
        </is>
      </c>
      <c r="C65" t="inlineStr">
        <is>
          <t>Tấm chống cháy dày 10mm ốp 2 mặt cánh van FD/MFD</t>
        </is>
      </c>
      <c r="D65" t="inlineStr">
        <is>
          <t>VẬT_LIỆU_CÁCH_NHIỆT</t>
        </is>
      </c>
      <c r="E65" t="inlineStr">
        <is>
          <t>MAT-FIREBOARD-10MM-BLADE</t>
        </is>
      </c>
      <c r="F65" t="inlineStr">
        <is>
          <t>m2</t>
        </is>
      </c>
      <c r="G65" s="254" t="n">
        <v>5.072882127191025</v>
      </c>
      <c r="H65" s="250">
        <f>IFERROR(INDEX('00_TONG_HOP_BAO_GIA'!$G$1:$G$5000, MATCH(B65, '00_TONG_HOP_BAO_GIA'!$B$1:$B$5000, 0)), 1)</f>
        <v/>
      </c>
      <c r="I65" s="255">
        <f>G65*H65</f>
        <v/>
      </c>
      <c r="J65" s="250">
        <f>IFERROR(INDEX('06_BANG_GIA_VAT_TU_AP_DUNG'!$E$1:$E$5000, MATCH(E65, '06_BANG_GIA_VAT_TU_AP_DUNG'!$B$1:$B$5000, 0)), 0)</f>
        <v/>
      </c>
      <c r="K65" s="250">
        <f>I65*J65</f>
        <v/>
      </c>
      <c r="L65" t="inlineStr">
        <is>
          <t>Ốp 2 mặt cánh tấm 10mm (Đa cánh hệ số (H-5)/149=3.66, bản rộng 210mm, hao hụt 10% (2 modul 1400x550mm))</t>
        </is>
      </c>
    </row>
    <row r="66">
      <c r="A66" t="inlineStr">
        <is>
          <t>SW-DAMPER-006-SPRING-BOX</t>
        </is>
      </c>
      <c r="B66" t="inlineStr">
        <is>
          <t>SW-DAMPER-006</t>
        </is>
      </c>
      <c r="C66" t="inlineStr">
        <is>
          <t>Hộp lò xo van chặn lửa FD/MFD</t>
        </is>
      </c>
      <c r="D66" t="inlineStr">
        <is>
          <t>PHỤ_KIỆN_VAN</t>
        </is>
      </c>
      <c r="E66" t="inlineStr">
        <is>
          <t>MAT-DAMPER-HOP-LO-XO</t>
        </is>
      </c>
      <c r="F66" t="inlineStr">
        <is>
          <t>Bộ</t>
        </is>
      </c>
      <c r="G66" s="254" t="n">
        <v>2</v>
      </c>
      <c r="H66" s="250">
        <f>IFERROR(INDEX('00_TONG_HOP_BAO_GIA'!$G$1:$G$5000, MATCH(B66, '00_TONG_HOP_BAO_GIA'!$B$1:$B$5000, 0)), 1)</f>
        <v/>
      </c>
      <c r="I66" s="255">
        <f>G66*H66</f>
        <v/>
      </c>
      <c r="J66" s="250">
        <f>IFERROR(INDEX('06_BANG_GIA_VAT_TU_AP_DUNG'!$E$1:$E$5000, MATCH(E66, '06_BANG_GIA_VAT_TU_AP_DUNG'!$B$1:$B$5000, 0)), 0)</f>
        <v/>
      </c>
      <c r="K66" s="250">
        <f>I66*J66</f>
        <v/>
      </c>
      <c r="L66" t="inlineStr">
        <is>
          <t>Hộp lò xo cơ cấu đóng sập (2 bộ)</t>
        </is>
      </c>
    </row>
    <row r="67">
      <c r="A67" t="inlineStr">
        <is>
          <t>SW-DAMPER-006-SILICON-BOLT</t>
        </is>
      </c>
      <c r="B67" t="inlineStr">
        <is>
          <t>SW-DAMPER-006</t>
        </is>
      </c>
      <c r="C67" t="inlineStr">
        <is>
          <t>Silicon chống cháy + bu lông, ốc vít van FD/MFD</t>
        </is>
      </c>
      <c r="D67" t="inlineStr">
        <is>
          <t>PHỤ_KIỆN_VAN</t>
        </is>
      </c>
      <c r="E67" t="inlineStr">
        <is>
          <t>MAT-DAMPER-SILICON-BULONG-VIT</t>
        </is>
      </c>
      <c r="F67" t="inlineStr">
        <is>
          <t>Bộ</t>
        </is>
      </c>
      <c r="G67" s="254" t="n">
        <v>2</v>
      </c>
      <c r="H67" s="250">
        <f>IFERROR(INDEX('00_TONG_HOP_BAO_GIA'!$G$1:$G$5000, MATCH(B67, '00_TONG_HOP_BAO_GIA'!$B$1:$B$5000, 0)), 1)</f>
        <v/>
      </c>
      <c r="I67" s="255">
        <f>G67*H67</f>
        <v/>
      </c>
      <c r="J67" s="250">
        <f>IFERROR(INDEX('06_BANG_GIA_VAT_TU_AP_DUNG'!$E$1:$E$5000, MATCH(E67, '06_BANG_GIA_VAT_TU_AP_DUNG'!$B$1:$B$5000, 0)), 0)</f>
        <v/>
      </c>
      <c r="K67" s="250">
        <f>I67*J67</f>
        <v/>
      </c>
      <c r="L67" t="inlineStr">
        <is>
          <t>Keo silicon chống cháy &amp; phụ kiện lắp ghép (2 bộ)</t>
        </is>
      </c>
    </row>
    <row r="68">
      <c r="A68" t="inlineStr">
        <is>
          <t>SW-DAMPER-007-BODY</t>
        </is>
      </c>
      <c r="B68" t="inlineStr">
        <is>
          <t>SW-DAMPER-007</t>
        </is>
      </c>
      <c r="C68" t="inlineStr">
        <is>
          <t>Thân vỏ van FD bích C30/TDF (1.15mm)</t>
        </is>
      </c>
      <c r="D68" t="inlineStr">
        <is>
          <t>TÔN_CUỘN_MẠ_KẼM</t>
        </is>
      </c>
      <c r="E68" t="inlineStr">
        <is>
          <t>MAT-STEEL-PN-1.15</t>
        </is>
      </c>
      <c r="F68" t="inlineStr">
        <is>
          <t>kg</t>
        </is>
      </c>
      <c r="G68" s="254" t="n">
        <v>17.67556470277618</v>
      </c>
      <c r="H68" s="250">
        <f>IFERROR(INDEX('00_TONG_HOP_BAO_GIA'!$G$1:$G$5000, MATCH(B68, '00_TONG_HOP_BAO_GIA'!$B$1:$B$5000, 0)), 1)</f>
        <v/>
      </c>
      <c r="I68" s="255">
        <f>G68*H68</f>
        <v/>
      </c>
      <c r="J68" s="250">
        <f>IFERROR(INDEX('06_BANG_GIA_VAT_TU_AP_DUNG'!$E$1:$E$5000, MATCH(E68, '06_BANG_GIA_VAT_TU_AP_DUNG'!$B$1:$B$5000, 0)), 0)</f>
        <v/>
      </c>
      <c r="K68" s="250">
        <f>I68*J68</f>
        <v/>
      </c>
      <c r="L68" t="inlineStr">
        <is>
          <t>Kích thước vỏ 1800x700x200mm (2 modul 900x700mm)</t>
        </is>
      </c>
    </row>
    <row r="69">
      <c r="A69" t="inlineStr">
        <is>
          <t>SW-DAMPER-007-BLADE</t>
        </is>
      </c>
      <c r="B69" t="inlineStr">
        <is>
          <t>SW-DAMPER-007</t>
        </is>
      </c>
      <c r="C69" t="inlineStr">
        <is>
          <t>Lá cánh / Tôn tấm bọc van (10 cánh)</t>
        </is>
      </c>
      <c r="D69" t="inlineStr">
        <is>
          <t>TÔN_CUỘN_MẠ_KẼM</t>
        </is>
      </c>
      <c r="E69" t="inlineStr">
        <is>
          <t>MAT-STEEL-PN-1.15</t>
        </is>
      </c>
      <c r="F69" t="inlineStr">
        <is>
          <t>kg</t>
        </is>
      </c>
      <c r="G69" s="254" t="n">
        <v>24.24631646471355</v>
      </c>
      <c r="H69" s="250">
        <f>IFERROR(INDEX('00_TONG_HOP_BAO_GIA'!$G$1:$G$5000, MATCH(B69, '00_TONG_HOP_BAO_GIA'!$B$1:$B$5000, 0)), 1)</f>
        <v/>
      </c>
      <c r="I69" s="255">
        <f>G69*H69</f>
        <v/>
      </c>
      <c r="J69" s="250">
        <f>IFERROR(INDEX('06_BANG_GIA_VAT_TU_AP_DUNG'!$E$1:$E$5000, MATCH(E69, '06_BANG_GIA_VAT_TU_AP_DUNG'!$B$1:$B$5000, 0)), 0)</f>
        <v/>
      </c>
      <c r="K69" s="250">
        <f>I69*J69</f>
        <v/>
      </c>
      <c r="L69" t="inlineStr">
        <is>
          <t>Tôn bọc cánh &amp; thân (5 cánh/modul (2 modul 900x700mm))</t>
        </is>
      </c>
    </row>
    <row r="70">
      <c r="A70" t="inlineStr">
        <is>
          <t>SW-DAMPER-007-AXLE</t>
        </is>
      </c>
      <c r="B70" t="inlineStr">
        <is>
          <t>SW-DAMPER-007</t>
        </is>
      </c>
      <c r="C70" t="inlineStr">
        <is>
          <t>Trục Sus 201 D10</t>
        </is>
      </c>
      <c r="D70" t="inlineStr">
        <is>
          <t>PHỤ_KIỆN_VAN</t>
        </is>
      </c>
      <c r="E70" t="inlineStr">
        <is>
          <t>MAT-DAMPER-TRUC-SUS-201-D10</t>
        </is>
      </c>
      <c r="F70" t="inlineStr">
        <is>
          <t>m</t>
        </is>
      </c>
      <c r="G70" s="254" t="n">
        <v>10.23172748441711</v>
      </c>
      <c r="H70" s="250">
        <f>IFERROR(INDEX('00_TONG_HOP_BAO_GIA'!$G$1:$G$5000, MATCH(B70, '00_TONG_HOP_BAO_GIA'!$B$1:$B$5000, 0)), 1)</f>
        <v/>
      </c>
      <c r="I70" s="255">
        <f>G70*H70</f>
        <v/>
      </c>
      <c r="J70" s="250">
        <f>IFERROR(INDEX('06_BANG_GIA_VAT_TU_AP_DUNG'!$E$1:$E$5000, MATCH(E70, '06_BANG_GIA_VAT_TU_AP_DUNG'!$B$1:$B$5000, 0)), 0)</f>
        <v/>
      </c>
      <c r="K70" s="250">
        <f>I70*J70</f>
        <v/>
      </c>
      <c r="L70" t="inlineStr">
        <is>
          <t>10 trục dài 960mm</t>
        </is>
      </c>
    </row>
    <row r="71">
      <c r="A71" t="inlineStr">
        <is>
          <t>SW-DAMPER-007-BEARING</t>
        </is>
      </c>
      <c r="B71" t="inlineStr">
        <is>
          <t>SW-DAMPER-007</t>
        </is>
      </c>
      <c r="C71" t="inlineStr">
        <is>
          <t>Bạc đồng D10</t>
        </is>
      </c>
      <c r="D71" t="inlineStr">
        <is>
          <t>PHỤ_KIỆN_VAN</t>
        </is>
      </c>
      <c r="E71" t="inlineStr">
        <is>
          <t>MAT-DAMPER-BAC-DONG-D10</t>
        </is>
      </c>
      <c r="F71" t="inlineStr">
        <is>
          <t>Đôi</t>
        </is>
      </c>
      <c r="G71" s="254" t="n">
        <v>10</v>
      </c>
      <c r="H71" s="250">
        <f>IFERROR(INDEX('00_TONG_HOP_BAO_GIA'!$G$1:$G$5000, MATCH(B71, '00_TONG_HOP_BAO_GIA'!$B$1:$B$5000, 0)), 1)</f>
        <v/>
      </c>
      <c r="I71" s="255">
        <f>G71*H71</f>
        <v/>
      </c>
      <c r="J71" s="250">
        <f>IFERROR(INDEX('06_BANG_GIA_VAT_TU_AP_DUNG'!$E$1:$E$5000, MATCH(E71, '06_BANG_GIA_VAT_TU_AP_DUNG'!$B$1:$B$5000, 0)), 0)</f>
        <v/>
      </c>
      <c r="K71" s="250">
        <f>I71*J71</f>
        <v/>
      </c>
      <c r="L71" t="inlineStr">
        <is>
          <t>10 đôi bạc đỡ 2 bên thân</t>
        </is>
      </c>
    </row>
    <row r="72">
      <c r="A72" t="inlineStr">
        <is>
          <t>SW-DAMPER-007-GEAR</t>
        </is>
      </c>
      <c r="B72" t="inlineStr">
        <is>
          <t>SW-DAMPER-007</t>
        </is>
      </c>
      <c r="C72" t="inlineStr">
        <is>
          <t>Bánh răng van nhôm</t>
        </is>
      </c>
      <c r="D72" t="inlineStr">
        <is>
          <t>PHỤ_KIỆN_VAN</t>
        </is>
      </c>
      <c r="E72" t="inlineStr">
        <is>
          <t>MAT-DAMPER-BANH-RANG-VAN-NHOM</t>
        </is>
      </c>
      <c r="F72" t="inlineStr">
        <is>
          <t>Bộ</t>
        </is>
      </c>
      <c r="G72" s="254" t="n">
        <v>2</v>
      </c>
      <c r="H72" s="250">
        <f>IFERROR(INDEX('00_TONG_HOP_BAO_GIA'!$G$1:$G$5000, MATCH(B72, '00_TONG_HOP_BAO_GIA'!$B$1:$B$5000, 0)), 1)</f>
        <v/>
      </c>
      <c r="I72" s="255">
        <f>G72*H72</f>
        <v/>
      </c>
      <c r="J72" s="250">
        <f>IFERROR(INDEX('06_BANG_GIA_VAT_TU_AP_DUNG'!$E$1:$E$5000, MATCH(E72, '06_BANG_GIA_VAT_TU_AP_DUNG'!$B$1:$B$5000, 0)), 0)</f>
        <v/>
      </c>
      <c r="K72" s="250">
        <f>I72*J72</f>
        <v/>
      </c>
      <c r="L72" t="inlineStr">
        <is>
          <t>Cơ cấu liên động cánh (2 bộ)</t>
        </is>
      </c>
    </row>
    <row r="73">
      <c r="A73" t="inlineStr">
        <is>
          <t>SW-DAMPER-007-FUSE</t>
        </is>
      </c>
      <c r="B73" t="inlineStr">
        <is>
          <t>SW-DAMPER-007</t>
        </is>
      </c>
      <c r="C73" t="inlineStr">
        <is>
          <t>Cầu chì nhiệt nóng chảy 70°C/74°C (Elsie/USA)</t>
        </is>
      </c>
      <c r="D73" t="inlineStr">
        <is>
          <t>PHỤ_KIỆN_VAN</t>
        </is>
      </c>
      <c r="E73" t="inlineStr">
        <is>
          <t>MAT-DAMPER-CAU-CHI-USA-2-400X400</t>
        </is>
      </c>
      <c r="F73" t="inlineStr">
        <is>
          <t>Cái</t>
        </is>
      </c>
      <c r="G73" s="254" t="n">
        <v>2</v>
      </c>
      <c r="H73" s="250">
        <f>IFERROR(INDEX('00_TONG_HOP_BAO_GIA'!$G$1:$G$5000, MATCH(B73, '00_TONG_HOP_BAO_GIA'!$B$1:$B$5000, 0)), 1)</f>
        <v/>
      </c>
      <c r="I73" s="255">
        <f>G73*H73</f>
        <v/>
      </c>
      <c r="J73" s="250">
        <f>IFERROR(INDEX('06_BANG_GIA_VAT_TU_AP_DUNG'!$E$1:$E$5000, MATCH(E73, '06_BANG_GIA_VAT_TU_AP_DUNG'!$B$1:$B$5000, 0)), 0)</f>
        <v/>
      </c>
      <c r="K73" s="250">
        <f>I73*J73</f>
        <v/>
      </c>
      <c r="L73" t="inlineStr">
        <is>
          <t>Cầu chì kiểm định PCCC (2 cái)</t>
        </is>
      </c>
    </row>
    <row r="74">
      <c r="A74" t="inlineStr">
        <is>
          <t>SW-DAMPER-007-FB10-BODY</t>
        </is>
      </c>
      <c r="B74" t="inlineStr">
        <is>
          <t>SW-DAMPER-007</t>
        </is>
      </c>
      <c r="C74" t="inlineStr">
        <is>
          <t>Tấm chống cháy dày 10mm bọc thân van FD/MFD (2 lớp)</t>
        </is>
      </c>
      <c r="D74" t="inlineStr">
        <is>
          <t>VẬT_LIỆU_CÁCH_NHIỆT</t>
        </is>
      </c>
      <c r="E74" t="inlineStr">
        <is>
          <t>MAT-FIREBOARD-10MM-BODY</t>
        </is>
      </c>
      <c r="F74" t="inlineStr">
        <is>
          <t>m2</t>
        </is>
      </c>
      <c r="G74" s="254" t="n">
        <v>4.092690993766843</v>
      </c>
      <c r="H74" s="250">
        <f>IFERROR(INDEX('00_TONG_HOP_BAO_GIA'!$G$1:$G$5000, MATCH(B74, '00_TONG_HOP_BAO_GIA'!$B$1:$B$5000, 0)), 1)</f>
        <v/>
      </c>
      <c r="I74" s="255">
        <f>G74*H74</f>
        <v/>
      </c>
      <c r="J74" s="250">
        <f>IFERROR(INDEX('06_BANG_GIA_VAT_TU_AP_DUNG'!$E$1:$E$5000, MATCH(E74, '06_BANG_GIA_VAT_TU_AP_DUNG'!$B$1:$B$5000, 0)), 0)</f>
        <v/>
      </c>
      <c r="K74" s="250">
        <f>I74*J74</f>
        <v/>
      </c>
      <c r="L74" t="inlineStr">
        <is>
          <t>Bọc 2 lớp tấm 10mm quanh thân L=300mm (2 modul 900x700mm)</t>
        </is>
      </c>
    </row>
    <row r="75">
      <c r="A75" t="inlineStr">
        <is>
          <t>SW-DAMPER-007-FB20-BLADE</t>
        </is>
      </c>
      <c r="B75" t="inlineStr">
        <is>
          <t>SW-DAMPER-007</t>
        </is>
      </c>
      <c r="C75" t="inlineStr">
        <is>
          <t>Tấm chống cháy dày 20mm làm lõi cánh van FD/MFD</t>
        </is>
      </c>
      <c r="D75" t="inlineStr">
        <is>
          <t>VẬT_LIỆU_CÁCH_NHIỆT</t>
        </is>
      </c>
      <c r="E75" t="inlineStr">
        <is>
          <t>MAT-FIREBOARD-20MM-BLADE</t>
        </is>
      </c>
      <c r="F75" t="inlineStr">
        <is>
          <t>m2</t>
        </is>
      </c>
      <c r="G75" s="254" t="n">
        <v>2.021161026716241</v>
      </c>
      <c r="H75" s="250">
        <f>IFERROR(INDEX('00_TONG_HOP_BAO_GIA'!$G$1:$G$5000, MATCH(B75, '00_TONG_HOP_BAO_GIA'!$B$1:$B$5000, 0)), 1)</f>
        <v/>
      </c>
      <c r="I75" s="255">
        <f>G75*H75</f>
        <v/>
      </c>
      <c r="J75" s="250">
        <f>IFERROR(INDEX('06_BANG_GIA_VAT_TU_AP_DUNG'!$E$1:$E$5000, MATCH(E75, '06_BANG_GIA_VAT_TU_AP_DUNG'!$B$1:$B$5000, 0)), 0)</f>
        <v/>
      </c>
      <c r="K75" s="250">
        <f>I75*J75</f>
        <v/>
      </c>
      <c r="L75" t="inlineStr">
        <is>
          <t>Lõi cánh tấm 20mm (Đa cánh hệ số (H-5)/149=4.66, bản rộng 210mm, hao hụt 10% (2 modul 900x700mm))</t>
        </is>
      </c>
    </row>
    <row r="76">
      <c r="A76" t="inlineStr">
        <is>
          <t>SW-DAMPER-007-FB10-BLADE</t>
        </is>
      </c>
      <c r="B76" t="inlineStr">
        <is>
          <t>SW-DAMPER-007</t>
        </is>
      </c>
      <c r="C76" t="inlineStr">
        <is>
          <t>Tấm chống cháy dày 10mm ốp 2 mặt cánh van FD/MFD</t>
        </is>
      </c>
      <c r="D76" t="inlineStr">
        <is>
          <t>VẬT_LIỆU_CÁCH_NHIỆT</t>
        </is>
      </c>
      <c r="E76" t="inlineStr">
        <is>
          <t>MAT-FIREBOARD-10MM-BLADE</t>
        </is>
      </c>
      <c r="F76" t="inlineStr">
        <is>
          <t>m2</t>
        </is>
      </c>
      <c r="G76" s="254" t="n">
        <v>4.134193009192311</v>
      </c>
      <c r="H76" s="250">
        <f>IFERROR(INDEX('00_TONG_HOP_BAO_GIA'!$G$1:$G$5000, MATCH(B76, '00_TONG_HOP_BAO_GIA'!$B$1:$B$5000, 0)), 1)</f>
        <v/>
      </c>
      <c r="I76" s="255">
        <f>G76*H76</f>
        <v/>
      </c>
      <c r="J76" s="250">
        <f>IFERROR(INDEX('06_BANG_GIA_VAT_TU_AP_DUNG'!$E$1:$E$5000, MATCH(E76, '06_BANG_GIA_VAT_TU_AP_DUNG'!$B$1:$B$5000, 0)), 0)</f>
        <v/>
      </c>
      <c r="K76" s="250">
        <f>I76*J76</f>
        <v/>
      </c>
      <c r="L76" t="inlineStr">
        <is>
          <t>Ốp 2 mặt cánh tấm 10mm (Đa cánh hệ số (H-5)/149=4.66, bản rộng 210mm, hao hụt 10% (2 modul 900x700mm))</t>
        </is>
      </c>
    </row>
    <row r="77">
      <c r="A77" t="inlineStr">
        <is>
          <t>SW-DAMPER-007-SPRING-BOX</t>
        </is>
      </c>
      <c r="B77" t="inlineStr">
        <is>
          <t>SW-DAMPER-007</t>
        </is>
      </c>
      <c r="C77" t="inlineStr">
        <is>
          <t>Hộp lò xo van chặn lửa FD/MFD</t>
        </is>
      </c>
      <c r="D77" t="inlineStr">
        <is>
          <t>PHỤ_KIỆN_VAN</t>
        </is>
      </c>
      <c r="E77" t="inlineStr">
        <is>
          <t>MAT-DAMPER-HOP-LO-XO</t>
        </is>
      </c>
      <c r="F77" t="inlineStr">
        <is>
          <t>Bộ</t>
        </is>
      </c>
      <c r="G77" s="254" t="n">
        <v>2</v>
      </c>
      <c r="H77" s="250">
        <f>IFERROR(INDEX('00_TONG_HOP_BAO_GIA'!$G$1:$G$5000, MATCH(B77, '00_TONG_HOP_BAO_GIA'!$B$1:$B$5000, 0)), 1)</f>
        <v/>
      </c>
      <c r="I77" s="255">
        <f>G77*H77</f>
        <v/>
      </c>
      <c r="J77" s="250">
        <f>IFERROR(INDEX('06_BANG_GIA_VAT_TU_AP_DUNG'!$E$1:$E$5000, MATCH(E77, '06_BANG_GIA_VAT_TU_AP_DUNG'!$B$1:$B$5000, 0)), 0)</f>
        <v/>
      </c>
      <c r="K77" s="250">
        <f>I77*J77</f>
        <v/>
      </c>
      <c r="L77" t="inlineStr">
        <is>
          <t>Hộp lò xo cơ cấu đóng sập (2 bộ)</t>
        </is>
      </c>
    </row>
    <row r="78">
      <c r="A78" t="inlineStr">
        <is>
          <t>SW-DAMPER-007-SILICON-BOLT</t>
        </is>
      </c>
      <c r="B78" t="inlineStr">
        <is>
          <t>SW-DAMPER-007</t>
        </is>
      </c>
      <c r="C78" t="inlineStr">
        <is>
          <t>Silicon chống cháy + bu lông, ốc vít van FD/MFD</t>
        </is>
      </c>
      <c r="D78" t="inlineStr">
        <is>
          <t>PHỤ_KIỆN_VAN</t>
        </is>
      </c>
      <c r="E78" t="inlineStr">
        <is>
          <t>MAT-DAMPER-SILICON-BULONG-VIT</t>
        </is>
      </c>
      <c r="F78" t="inlineStr">
        <is>
          <t>Bộ</t>
        </is>
      </c>
      <c r="G78" s="254" t="n">
        <v>2</v>
      </c>
      <c r="H78" s="250">
        <f>IFERROR(INDEX('00_TONG_HOP_BAO_GIA'!$G$1:$G$5000, MATCH(B78, '00_TONG_HOP_BAO_GIA'!$B$1:$B$5000, 0)), 1)</f>
        <v/>
      </c>
      <c r="I78" s="255">
        <f>G78*H78</f>
        <v/>
      </c>
      <c r="J78" s="250">
        <f>IFERROR(INDEX('06_BANG_GIA_VAT_TU_AP_DUNG'!$E$1:$E$5000, MATCH(E78, '06_BANG_GIA_VAT_TU_AP_DUNG'!$B$1:$B$5000, 0)), 0)</f>
        <v/>
      </c>
      <c r="K78" s="250">
        <f>I78*J78</f>
        <v/>
      </c>
      <c r="L78" t="inlineStr">
        <is>
          <t>Keo silicon chống cháy &amp; phụ kiện lắp ghép (2 bộ)</t>
        </is>
      </c>
    </row>
    <row r="79">
      <c r="A79" t="inlineStr">
        <is>
          <t>SW-DAMPER-008-BODY</t>
        </is>
      </c>
      <c r="B79" t="inlineStr">
        <is>
          <t>SW-DAMPER-008</t>
        </is>
      </c>
      <c r="C79" t="inlineStr">
        <is>
          <t>Thân vỏ van FD bích C30/TDF (1.15mm)</t>
        </is>
      </c>
      <c r="D79" t="inlineStr">
        <is>
          <t>TÔN_CUỘN_MẠ_KẼM</t>
        </is>
      </c>
      <c r="E79" t="inlineStr">
        <is>
          <t>MAT-STEEL-PN-1.15</t>
        </is>
      </c>
      <c r="F79" t="inlineStr">
        <is>
          <t>kg</t>
        </is>
      </c>
      <c r="G79" s="254" t="n">
        <v>4.924484940769935</v>
      </c>
      <c r="H79" s="250">
        <f>IFERROR(INDEX('00_TONG_HOP_BAO_GIA'!$G$1:$G$5000, MATCH(B79, '00_TONG_HOP_BAO_GIA'!$B$1:$B$5000, 0)), 1)</f>
        <v/>
      </c>
      <c r="I79" s="255">
        <f>G79*H79</f>
        <v/>
      </c>
      <c r="J79" s="250">
        <f>IFERROR(INDEX('06_BANG_GIA_VAT_TU_AP_DUNG'!$E$1:$E$5000, MATCH(E79, '06_BANG_GIA_VAT_TU_AP_DUNG'!$B$1:$B$5000, 0)), 0)</f>
        <v/>
      </c>
      <c r="K79" s="250">
        <f>I79*J79</f>
        <v/>
      </c>
      <c r="L79" t="inlineStr">
        <is>
          <t>Kích thước vỏ 500x400x200mm</t>
        </is>
      </c>
    </row>
    <row r="80">
      <c r="A80" t="inlineStr">
        <is>
          <t>SW-DAMPER-008-BLADE</t>
        </is>
      </c>
      <c r="B80" t="inlineStr">
        <is>
          <t>SW-DAMPER-008</t>
        </is>
      </c>
      <c r="C80" t="inlineStr">
        <is>
          <t>Lá cánh / Tôn tấm bọc van (3 cánh)</t>
        </is>
      </c>
      <c r="D80" t="inlineStr">
        <is>
          <t>TÔN_CUỘN_MẠ_KẼM</t>
        </is>
      </c>
      <c r="E80" t="inlineStr">
        <is>
          <t>MAT-STEEL-PN-1.15</t>
        </is>
      </c>
      <c r="F80" t="inlineStr">
        <is>
          <t>kg</t>
        </is>
      </c>
      <c r="G80" s="254" t="n">
        <v>3.776155924215884</v>
      </c>
      <c r="H80" s="250">
        <f>IFERROR(INDEX('00_TONG_HOP_BAO_GIA'!$G$1:$G$5000, MATCH(B80, '00_TONG_HOP_BAO_GIA'!$B$1:$B$5000, 0)), 1)</f>
        <v/>
      </c>
      <c r="I80" s="255">
        <f>G80*H80</f>
        <v/>
      </c>
      <c r="J80" s="250">
        <f>IFERROR(INDEX('06_BANG_GIA_VAT_TU_AP_DUNG'!$E$1:$E$5000, MATCH(E80, '06_BANG_GIA_VAT_TU_AP_DUNG'!$B$1:$B$5000, 0)), 0)</f>
        <v/>
      </c>
      <c r="K80" s="250">
        <f>I80*J80</f>
        <v/>
      </c>
      <c r="L80" t="inlineStr">
        <is>
          <t>Tôn bọc cánh &amp; thân (3 cánh/modul)</t>
        </is>
      </c>
    </row>
    <row r="81">
      <c r="A81" t="inlineStr">
        <is>
          <t>SW-DAMPER-008-AXLE</t>
        </is>
      </c>
      <c r="B81" t="inlineStr">
        <is>
          <t>SW-DAMPER-008</t>
        </is>
      </c>
      <c r="C81" t="inlineStr">
        <is>
          <t>Trục Sus 201 D10</t>
        </is>
      </c>
      <c r="D81" t="inlineStr">
        <is>
          <t>PHỤ_KIỆN_VAN</t>
        </is>
      </c>
      <c r="E81" t="inlineStr">
        <is>
          <t>MAT-DAMPER-TRUC-SUS-201-D10</t>
        </is>
      </c>
      <c r="F81" t="inlineStr">
        <is>
          <t>m</t>
        </is>
      </c>
      <c r="G81" s="254" t="n">
        <v>1.756837981911572</v>
      </c>
      <c r="H81" s="250">
        <f>IFERROR(INDEX('00_TONG_HOP_BAO_GIA'!$G$1:$G$5000, MATCH(B81, '00_TONG_HOP_BAO_GIA'!$B$1:$B$5000, 0)), 1)</f>
        <v/>
      </c>
      <c r="I81" s="255">
        <f>G81*H81</f>
        <v/>
      </c>
      <c r="J81" s="250">
        <f>IFERROR(INDEX('06_BANG_GIA_VAT_TU_AP_DUNG'!$E$1:$E$5000, MATCH(E81, '06_BANG_GIA_VAT_TU_AP_DUNG'!$B$1:$B$5000, 0)), 0)</f>
        <v/>
      </c>
      <c r="K81" s="250">
        <f>I81*J81</f>
        <v/>
      </c>
      <c r="L81" t="inlineStr">
        <is>
          <t>3 trục dài 560mm</t>
        </is>
      </c>
    </row>
    <row r="82">
      <c r="A82" t="inlineStr">
        <is>
          <t>SW-DAMPER-008-BEARING</t>
        </is>
      </c>
      <c r="B82" t="inlineStr">
        <is>
          <t>SW-DAMPER-008</t>
        </is>
      </c>
      <c r="C82" t="inlineStr">
        <is>
          <t>Bạc đồng D10</t>
        </is>
      </c>
      <c r="D82" t="inlineStr">
        <is>
          <t>PHỤ_KIỆN_VAN</t>
        </is>
      </c>
      <c r="E82" t="inlineStr">
        <is>
          <t>MAT-DAMPER-BAC-DONG-D10</t>
        </is>
      </c>
      <c r="F82" t="inlineStr">
        <is>
          <t>Đôi</t>
        </is>
      </c>
      <c r="G82" s="254" t="n">
        <v>3</v>
      </c>
      <c r="H82" s="250">
        <f>IFERROR(INDEX('00_TONG_HOP_BAO_GIA'!$G$1:$G$5000, MATCH(B82, '00_TONG_HOP_BAO_GIA'!$B$1:$B$5000, 0)), 1)</f>
        <v/>
      </c>
      <c r="I82" s="255">
        <f>G82*H82</f>
        <v/>
      </c>
      <c r="J82" s="250">
        <f>IFERROR(INDEX('06_BANG_GIA_VAT_TU_AP_DUNG'!$E$1:$E$5000, MATCH(E82, '06_BANG_GIA_VAT_TU_AP_DUNG'!$B$1:$B$5000, 0)), 0)</f>
        <v/>
      </c>
      <c r="K82" s="250">
        <f>I82*J82</f>
        <v/>
      </c>
      <c r="L82" t="inlineStr">
        <is>
          <t>3 đôi bạc đỡ 2 bên thân</t>
        </is>
      </c>
    </row>
    <row r="83">
      <c r="A83" t="inlineStr">
        <is>
          <t>SW-DAMPER-008-GEAR</t>
        </is>
      </c>
      <c r="B83" t="inlineStr">
        <is>
          <t>SW-DAMPER-008</t>
        </is>
      </c>
      <c r="C83" t="inlineStr">
        <is>
          <t>Bánh răng van nhôm</t>
        </is>
      </c>
      <c r="D83" t="inlineStr">
        <is>
          <t>PHỤ_KIỆN_VAN</t>
        </is>
      </c>
      <c r="E83" t="inlineStr">
        <is>
          <t>MAT-DAMPER-BANH-RANG-VAN-NHOM</t>
        </is>
      </c>
      <c r="F83" t="inlineStr">
        <is>
          <t>Bộ</t>
        </is>
      </c>
      <c r="G83" s="254" t="n">
        <v>1</v>
      </c>
      <c r="H83" s="250">
        <f>IFERROR(INDEX('00_TONG_HOP_BAO_GIA'!$G$1:$G$5000, MATCH(B83, '00_TONG_HOP_BAO_GIA'!$B$1:$B$5000, 0)), 1)</f>
        <v/>
      </c>
      <c r="I83" s="255">
        <f>G83*H83</f>
        <v/>
      </c>
      <c r="J83" s="250">
        <f>IFERROR(INDEX('06_BANG_GIA_VAT_TU_AP_DUNG'!$E$1:$E$5000, MATCH(E83, '06_BANG_GIA_VAT_TU_AP_DUNG'!$B$1:$B$5000, 0)), 0)</f>
        <v/>
      </c>
      <c r="K83" s="250">
        <f>I83*J83</f>
        <v/>
      </c>
      <c r="L83" t="inlineStr">
        <is>
          <t>Cơ cấu liên động cánh (1 bộ)</t>
        </is>
      </c>
    </row>
    <row r="84">
      <c r="A84" t="inlineStr">
        <is>
          <t>SW-DAMPER-008-FUSE</t>
        </is>
      </c>
      <c r="B84" t="inlineStr">
        <is>
          <t>SW-DAMPER-008</t>
        </is>
      </c>
      <c r="C84" t="inlineStr">
        <is>
          <t>Cầu chì nhiệt nóng chảy 70°C/74°C (Elsie/USA)</t>
        </is>
      </c>
      <c r="D84" t="inlineStr">
        <is>
          <t>PHỤ_KIỆN_VAN</t>
        </is>
      </c>
      <c r="E84" t="inlineStr">
        <is>
          <t>MAT-DAMPER-CAU-CHI-USA-2-400X400</t>
        </is>
      </c>
      <c r="F84" t="inlineStr">
        <is>
          <t>Cái</t>
        </is>
      </c>
      <c r="G84" s="254" t="n">
        <v>1</v>
      </c>
      <c r="H84" s="250">
        <f>IFERROR(INDEX('00_TONG_HOP_BAO_GIA'!$G$1:$G$5000, MATCH(B84, '00_TONG_HOP_BAO_GIA'!$B$1:$B$5000, 0)), 1)</f>
        <v/>
      </c>
      <c r="I84" s="255">
        <f>G84*H84</f>
        <v/>
      </c>
      <c r="J84" s="250">
        <f>IFERROR(INDEX('06_BANG_GIA_VAT_TU_AP_DUNG'!$E$1:$E$5000, MATCH(E84, '06_BANG_GIA_VAT_TU_AP_DUNG'!$B$1:$B$5000, 0)), 0)</f>
        <v/>
      </c>
      <c r="K84" s="250">
        <f>I84*J84</f>
        <v/>
      </c>
      <c r="L84" t="inlineStr">
        <is>
          <t>Cầu chì kiểm định PCCC (1 cái)</t>
        </is>
      </c>
    </row>
    <row r="85">
      <c r="A85" t="inlineStr">
        <is>
          <t>SW-DAMPER-008-FB10-BODY</t>
        </is>
      </c>
      <c r="B85" t="inlineStr">
        <is>
          <t>SW-DAMPER-008</t>
        </is>
      </c>
      <c r="C85" t="inlineStr">
        <is>
          <t>Tấm chống cháy dày 10mm bọc thân van FD/MFD (2 lớp)</t>
        </is>
      </c>
      <c r="D85" t="inlineStr">
        <is>
          <t>VẬT_LIỆU_CÁCH_NHIỆT</t>
        </is>
      </c>
      <c r="E85" t="inlineStr">
        <is>
          <t>MAT-FIREBOARD-10MM-BODY</t>
        </is>
      </c>
      <c r="F85" t="inlineStr">
        <is>
          <t>m2</t>
        </is>
      </c>
      <c r="G85" s="254" t="n">
        <v>1.129395845514582</v>
      </c>
      <c r="H85" s="250">
        <f>IFERROR(INDEX('00_TONG_HOP_BAO_GIA'!$G$1:$G$5000, MATCH(B85, '00_TONG_HOP_BAO_GIA'!$B$1:$B$5000, 0)), 1)</f>
        <v/>
      </c>
      <c r="I85" s="255">
        <f>G85*H85</f>
        <v/>
      </c>
      <c r="J85" s="250">
        <f>IFERROR(INDEX('06_BANG_GIA_VAT_TU_AP_DUNG'!$E$1:$E$5000, MATCH(E85, '06_BANG_GIA_VAT_TU_AP_DUNG'!$B$1:$B$5000, 0)), 0)</f>
        <v/>
      </c>
      <c r="K85" s="250">
        <f>I85*J85</f>
        <v/>
      </c>
      <c r="L85" t="inlineStr">
        <is>
          <t>Bọc 2 lớp tấm 10mm quanh thân L=300mm</t>
        </is>
      </c>
    </row>
    <row r="86">
      <c r="A86" t="inlineStr">
        <is>
          <t>SW-DAMPER-008-FB20-BLADE</t>
        </is>
      </c>
      <c r="B86" t="inlineStr">
        <is>
          <t>SW-DAMPER-008</t>
        </is>
      </c>
      <c r="C86" t="inlineStr">
        <is>
          <t>Tấm chống cháy dày 20mm làm lõi cánh van FD/MFD</t>
        </is>
      </c>
      <c r="D86" t="inlineStr">
        <is>
          <t>VẬT_LIỆU_CÁCH_NHIỆT</t>
        </is>
      </c>
      <c r="E86" t="inlineStr">
        <is>
          <t>MAT-FIREBOARD-20MM-BLADE</t>
        </is>
      </c>
      <c r="F86" t="inlineStr">
        <is>
          <t>m2</t>
        </is>
      </c>
      <c r="G86" s="254" t="n">
        <v>0.30738769253983</v>
      </c>
      <c r="H86" s="250">
        <f>IFERROR(INDEX('00_TONG_HOP_BAO_GIA'!$G$1:$G$5000, MATCH(B86, '00_TONG_HOP_BAO_GIA'!$B$1:$B$5000, 0)), 1)</f>
        <v/>
      </c>
      <c r="I86" s="255">
        <f>G86*H86</f>
        <v/>
      </c>
      <c r="J86" s="250">
        <f>IFERROR(INDEX('06_BANG_GIA_VAT_TU_AP_DUNG'!$E$1:$E$5000, MATCH(E86, '06_BANG_GIA_VAT_TU_AP_DUNG'!$B$1:$B$5000, 0)), 0)</f>
        <v/>
      </c>
      <c r="K86" s="250">
        <f>I86*J86</f>
        <v/>
      </c>
      <c r="L86" t="inlineStr">
        <is>
          <t>Lõi cánh tấm 20mm (Đa cánh hệ số (H-5)/149=2.65, bản rộng 210mm, hao hụt 10%)</t>
        </is>
      </c>
    </row>
    <row r="87">
      <c r="A87" t="inlineStr">
        <is>
          <t>SW-DAMPER-008-FB10-BLADE</t>
        </is>
      </c>
      <c r="B87" t="inlineStr">
        <is>
          <t>SW-DAMPER-008</t>
        </is>
      </c>
      <c r="C87" t="inlineStr">
        <is>
          <t>Tấm chống cháy dày 10mm ốp 2 mặt cánh van FD/MFD</t>
        </is>
      </c>
      <c r="D87" t="inlineStr">
        <is>
          <t>VẬT_LIỆU_CÁCH_NHIỆT</t>
        </is>
      </c>
      <c r="E87" t="inlineStr">
        <is>
          <t>MAT-FIREBOARD-10MM-BLADE</t>
        </is>
      </c>
      <c r="F87" t="inlineStr">
        <is>
          <t>m2</t>
        </is>
      </c>
      <c r="G87" s="254" t="n">
        <v>0.6403910261246459</v>
      </c>
      <c r="H87" s="250">
        <f>IFERROR(INDEX('00_TONG_HOP_BAO_GIA'!$G$1:$G$5000, MATCH(B87, '00_TONG_HOP_BAO_GIA'!$B$1:$B$5000, 0)), 1)</f>
        <v/>
      </c>
      <c r="I87" s="255">
        <f>G87*H87</f>
        <v/>
      </c>
      <c r="J87" s="250">
        <f>IFERROR(INDEX('06_BANG_GIA_VAT_TU_AP_DUNG'!$E$1:$E$5000, MATCH(E87, '06_BANG_GIA_VAT_TU_AP_DUNG'!$B$1:$B$5000, 0)), 0)</f>
        <v/>
      </c>
      <c r="K87" s="250">
        <f>I87*J87</f>
        <v/>
      </c>
      <c r="L87" t="inlineStr">
        <is>
          <t>Ốp 2 mặt cánh tấm 10mm (Đa cánh hệ số (H-5)/149=2.65, bản rộng 210mm, hao hụt 10%)</t>
        </is>
      </c>
    </row>
    <row r="88">
      <c r="A88" t="inlineStr">
        <is>
          <t>SW-DAMPER-008-SPRING-BOX</t>
        </is>
      </c>
      <c r="B88" t="inlineStr">
        <is>
          <t>SW-DAMPER-008</t>
        </is>
      </c>
      <c r="C88" t="inlineStr">
        <is>
          <t>Hộp lò xo van chặn lửa FD/MFD</t>
        </is>
      </c>
      <c r="D88" t="inlineStr">
        <is>
          <t>PHỤ_KIỆN_VAN</t>
        </is>
      </c>
      <c r="E88" t="inlineStr">
        <is>
          <t>MAT-DAMPER-HOP-LO-XO</t>
        </is>
      </c>
      <c r="F88" t="inlineStr">
        <is>
          <t>Bộ</t>
        </is>
      </c>
      <c r="G88" s="254" t="n">
        <v>1</v>
      </c>
      <c r="H88" s="250">
        <f>IFERROR(INDEX('00_TONG_HOP_BAO_GIA'!$G$1:$G$5000, MATCH(B88, '00_TONG_HOP_BAO_GIA'!$B$1:$B$5000, 0)), 1)</f>
        <v/>
      </c>
      <c r="I88" s="255">
        <f>G88*H88</f>
        <v/>
      </c>
      <c r="J88" s="250">
        <f>IFERROR(INDEX('06_BANG_GIA_VAT_TU_AP_DUNG'!$E$1:$E$5000, MATCH(E88, '06_BANG_GIA_VAT_TU_AP_DUNG'!$B$1:$B$5000, 0)), 0)</f>
        <v/>
      </c>
      <c r="K88" s="250">
        <f>I88*J88</f>
        <v/>
      </c>
      <c r="L88" t="inlineStr">
        <is>
          <t>Hộp lò xo cơ cấu đóng sập (1 bộ)</t>
        </is>
      </c>
    </row>
    <row r="89">
      <c r="A89" t="inlineStr">
        <is>
          <t>SW-DAMPER-008-SILICON-BOLT</t>
        </is>
      </c>
      <c r="B89" t="inlineStr">
        <is>
          <t>SW-DAMPER-008</t>
        </is>
      </c>
      <c r="C89" t="inlineStr">
        <is>
          <t>Silicon chống cháy + bu lông, ốc vít van FD/MFD</t>
        </is>
      </c>
      <c r="D89" t="inlineStr">
        <is>
          <t>PHỤ_KIỆN_VAN</t>
        </is>
      </c>
      <c r="E89" t="inlineStr">
        <is>
          <t>MAT-DAMPER-SILICON-BULONG-VIT</t>
        </is>
      </c>
      <c r="F89" t="inlineStr">
        <is>
          <t>Bộ</t>
        </is>
      </c>
      <c r="G89" s="254" t="n">
        <v>1</v>
      </c>
      <c r="H89" s="250">
        <f>IFERROR(INDEX('00_TONG_HOP_BAO_GIA'!$G$1:$G$5000, MATCH(B89, '00_TONG_HOP_BAO_GIA'!$B$1:$B$5000, 0)), 1)</f>
        <v/>
      </c>
      <c r="I89" s="255">
        <f>G89*H89</f>
        <v/>
      </c>
      <c r="J89" s="250">
        <f>IFERROR(INDEX('06_BANG_GIA_VAT_TU_AP_DUNG'!$E$1:$E$5000, MATCH(E89, '06_BANG_GIA_VAT_TU_AP_DUNG'!$B$1:$B$5000, 0)), 0)</f>
        <v/>
      </c>
      <c r="K89" s="250">
        <f>I89*J89</f>
        <v/>
      </c>
      <c r="L89" t="inlineStr">
        <is>
          <t>Keo silicon chống cháy &amp; phụ kiện lắp ghép (1 bộ)</t>
        </is>
      </c>
    </row>
    <row r="90">
      <c r="A90" t="inlineStr">
        <is>
          <t>SW-DAMPER-009-BODY</t>
        </is>
      </c>
      <c r="B90" t="inlineStr">
        <is>
          <t>SW-DAMPER-009</t>
        </is>
      </c>
      <c r="C90" t="inlineStr">
        <is>
          <t>Thân vỏ van FD bích C30/TDF (1.15mm)</t>
        </is>
      </c>
      <c r="D90" t="inlineStr">
        <is>
          <t>TÔN_CUỘN_MẠ_KẼM</t>
        </is>
      </c>
      <c r="E90" t="inlineStr">
        <is>
          <t>MAT-STEEL-PN-1.15</t>
        </is>
      </c>
      <c r="F90" t="inlineStr">
        <is>
          <t>kg</t>
        </is>
      </c>
      <c r="G90" s="254" t="n">
        <v>6.707273367829914</v>
      </c>
      <c r="H90" s="250">
        <f>IFERROR(INDEX('00_TONG_HOP_BAO_GIA'!$G$1:$G$5000, MATCH(B90, '00_TONG_HOP_BAO_GIA'!$B$1:$B$5000, 0)), 1)</f>
        <v/>
      </c>
      <c r="I90" s="255">
        <f>G90*H90</f>
        <v/>
      </c>
      <c r="J90" s="250">
        <f>IFERROR(INDEX('06_BANG_GIA_VAT_TU_AP_DUNG'!$E$1:$E$5000, MATCH(E90, '06_BANG_GIA_VAT_TU_AP_DUNG'!$B$1:$B$5000, 0)), 0)</f>
        <v/>
      </c>
      <c r="K90" s="250">
        <f>I90*J90</f>
        <v/>
      </c>
      <c r="L90" t="inlineStr">
        <is>
          <t>Kích thước vỏ 700x500x200mm</t>
        </is>
      </c>
    </row>
    <row r="91">
      <c r="A91" t="inlineStr">
        <is>
          <t>SW-DAMPER-009-BLADE</t>
        </is>
      </c>
      <c r="B91" t="inlineStr">
        <is>
          <t>SW-DAMPER-009</t>
        </is>
      </c>
      <c r="C91" t="inlineStr">
        <is>
          <t>Lá cánh / Tôn tấm bọc van (3 cánh)</t>
        </is>
      </c>
      <c r="D91" t="inlineStr">
        <is>
          <t>TÔN_CUỘN_MẠ_KẼM</t>
        </is>
      </c>
      <c r="E91" t="inlineStr">
        <is>
          <t>MAT-STEEL-PN-1.15</t>
        </is>
      </c>
      <c r="F91" t="inlineStr">
        <is>
          <t>kg</t>
        </is>
      </c>
      <c r="G91" s="254" t="n">
        <v>6.787364266170727</v>
      </c>
      <c r="H91" s="250">
        <f>IFERROR(INDEX('00_TONG_HOP_BAO_GIA'!$G$1:$G$5000, MATCH(B91, '00_TONG_HOP_BAO_GIA'!$B$1:$B$5000, 0)), 1)</f>
        <v/>
      </c>
      <c r="I91" s="255">
        <f>G91*H91</f>
        <v/>
      </c>
      <c r="J91" s="250">
        <f>IFERROR(INDEX('06_BANG_GIA_VAT_TU_AP_DUNG'!$E$1:$E$5000, MATCH(E91, '06_BANG_GIA_VAT_TU_AP_DUNG'!$B$1:$B$5000, 0)), 0)</f>
        <v/>
      </c>
      <c r="K91" s="250">
        <f>I91*J91</f>
        <v/>
      </c>
      <c r="L91" t="inlineStr">
        <is>
          <t>Tôn bọc cánh &amp; thân (3 cánh/modul)</t>
        </is>
      </c>
    </row>
    <row r="92">
      <c r="A92" t="inlineStr">
        <is>
          <t>SW-DAMPER-009-AXLE</t>
        </is>
      </c>
      <c r="B92" t="inlineStr">
        <is>
          <t>SW-DAMPER-009</t>
        </is>
      </c>
      <c r="C92" t="inlineStr">
        <is>
          <t>Trục Sus 201 D10</t>
        </is>
      </c>
      <c r="D92" t="inlineStr">
        <is>
          <t>PHỤ_KIỆN_VAN</t>
        </is>
      </c>
      <c r="E92" t="inlineStr">
        <is>
          <t>MAT-DAMPER-TRUC-SUS-201-D10</t>
        </is>
      </c>
      <c r="F92" t="inlineStr">
        <is>
          <t>m</t>
        </is>
      </c>
      <c r="G92" s="254" t="n">
        <v>2.448896708765955</v>
      </c>
      <c r="H92" s="250">
        <f>IFERROR(INDEX('00_TONG_HOP_BAO_GIA'!$G$1:$G$5000, MATCH(B92, '00_TONG_HOP_BAO_GIA'!$B$1:$B$5000, 0)), 1)</f>
        <v/>
      </c>
      <c r="I92" s="255">
        <f>G92*H92</f>
        <v/>
      </c>
      <c r="J92" s="250">
        <f>IFERROR(INDEX('06_BANG_GIA_VAT_TU_AP_DUNG'!$E$1:$E$5000, MATCH(E92, '06_BANG_GIA_VAT_TU_AP_DUNG'!$B$1:$B$5000, 0)), 0)</f>
        <v/>
      </c>
      <c r="K92" s="250">
        <f>I92*J92</f>
        <v/>
      </c>
      <c r="L92" t="inlineStr">
        <is>
          <t>3 trục dài 760mm</t>
        </is>
      </c>
    </row>
    <row r="93">
      <c r="A93" t="inlineStr">
        <is>
          <t>SW-DAMPER-009-BEARING</t>
        </is>
      </c>
      <c r="B93" t="inlineStr">
        <is>
          <t>SW-DAMPER-009</t>
        </is>
      </c>
      <c r="C93" t="inlineStr">
        <is>
          <t>Bạc đồng D10</t>
        </is>
      </c>
      <c r="D93" t="inlineStr">
        <is>
          <t>PHỤ_KIỆN_VAN</t>
        </is>
      </c>
      <c r="E93" t="inlineStr">
        <is>
          <t>MAT-DAMPER-BAC-DONG-D10</t>
        </is>
      </c>
      <c r="F93" t="inlineStr">
        <is>
          <t>Đôi</t>
        </is>
      </c>
      <c r="G93" s="254" t="n">
        <v>3</v>
      </c>
      <c r="H93" s="250">
        <f>IFERROR(INDEX('00_TONG_HOP_BAO_GIA'!$G$1:$G$5000, MATCH(B93, '00_TONG_HOP_BAO_GIA'!$B$1:$B$5000, 0)), 1)</f>
        <v/>
      </c>
      <c r="I93" s="255">
        <f>G93*H93</f>
        <v/>
      </c>
      <c r="J93" s="250">
        <f>IFERROR(INDEX('06_BANG_GIA_VAT_TU_AP_DUNG'!$E$1:$E$5000, MATCH(E93, '06_BANG_GIA_VAT_TU_AP_DUNG'!$B$1:$B$5000, 0)), 0)</f>
        <v/>
      </c>
      <c r="K93" s="250">
        <f>I93*J93</f>
        <v/>
      </c>
      <c r="L93" t="inlineStr">
        <is>
          <t>3 đôi bạc đỡ 2 bên thân</t>
        </is>
      </c>
    </row>
    <row r="94">
      <c r="A94" t="inlineStr">
        <is>
          <t>SW-DAMPER-009-GEAR</t>
        </is>
      </c>
      <c r="B94" t="inlineStr">
        <is>
          <t>SW-DAMPER-009</t>
        </is>
      </c>
      <c r="C94" t="inlineStr">
        <is>
          <t>Bánh răng van nhôm</t>
        </is>
      </c>
      <c r="D94" t="inlineStr">
        <is>
          <t>PHỤ_KIỆN_VAN</t>
        </is>
      </c>
      <c r="E94" t="inlineStr">
        <is>
          <t>MAT-DAMPER-BANH-RANG-VAN-NHOM</t>
        </is>
      </c>
      <c r="F94" t="inlineStr">
        <is>
          <t>Bộ</t>
        </is>
      </c>
      <c r="G94" s="254" t="n">
        <v>1</v>
      </c>
      <c r="H94" s="250">
        <f>IFERROR(INDEX('00_TONG_HOP_BAO_GIA'!$G$1:$G$5000, MATCH(B94, '00_TONG_HOP_BAO_GIA'!$B$1:$B$5000, 0)), 1)</f>
        <v/>
      </c>
      <c r="I94" s="255">
        <f>G94*H94</f>
        <v/>
      </c>
      <c r="J94" s="250">
        <f>IFERROR(INDEX('06_BANG_GIA_VAT_TU_AP_DUNG'!$E$1:$E$5000, MATCH(E94, '06_BANG_GIA_VAT_TU_AP_DUNG'!$B$1:$B$5000, 0)), 0)</f>
        <v/>
      </c>
      <c r="K94" s="250">
        <f>I94*J94</f>
        <v/>
      </c>
      <c r="L94" t="inlineStr">
        <is>
          <t>Cơ cấu liên động cánh (1 bộ)</t>
        </is>
      </c>
    </row>
    <row r="95">
      <c r="A95" t="inlineStr">
        <is>
          <t>SW-DAMPER-009-FUSE</t>
        </is>
      </c>
      <c r="B95" t="inlineStr">
        <is>
          <t>SW-DAMPER-009</t>
        </is>
      </c>
      <c r="C95" t="inlineStr">
        <is>
          <t>Cầu chì nhiệt nóng chảy 70°C/74°C (Elsie/USA)</t>
        </is>
      </c>
      <c r="D95" t="inlineStr">
        <is>
          <t>PHỤ_KIỆN_VAN</t>
        </is>
      </c>
      <c r="E95" t="inlineStr">
        <is>
          <t>MAT-DAMPER-CAU-CHI-USA-2-400X400</t>
        </is>
      </c>
      <c r="F95" t="inlineStr">
        <is>
          <t>Cái</t>
        </is>
      </c>
      <c r="G95" s="254" t="n">
        <v>1</v>
      </c>
      <c r="H95" s="250">
        <f>IFERROR(INDEX('00_TONG_HOP_BAO_GIA'!$G$1:$G$5000, MATCH(B95, '00_TONG_HOP_BAO_GIA'!$B$1:$B$5000, 0)), 1)</f>
        <v/>
      </c>
      <c r="I95" s="255">
        <f>G95*H95</f>
        <v/>
      </c>
      <c r="J95" s="250">
        <f>IFERROR(INDEX('06_BANG_GIA_VAT_TU_AP_DUNG'!$E$1:$E$5000, MATCH(E95, '06_BANG_GIA_VAT_TU_AP_DUNG'!$B$1:$B$5000, 0)), 0)</f>
        <v/>
      </c>
      <c r="K95" s="250">
        <f>I95*J95</f>
        <v/>
      </c>
      <c r="L95" t="inlineStr">
        <is>
          <t>Cầu chì kiểm định PCCC (1 cái)</t>
        </is>
      </c>
    </row>
    <row r="96">
      <c r="A96" t="inlineStr">
        <is>
          <t>SW-DAMPER-009-FB10-BODY</t>
        </is>
      </c>
      <c r="B96" t="inlineStr">
        <is>
          <t>SW-DAMPER-009</t>
        </is>
      </c>
      <c r="C96" t="inlineStr">
        <is>
          <t>Tấm chống cháy dày 10mm bọc thân van FD/MFD (2 lớp)</t>
        </is>
      </c>
      <c r="D96" t="inlineStr">
        <is>
          <t>VẬT_LIỆU_CÁCH_NHIỆT</t>
        </is>
      </c>
      <c r="E96" t="inlineStr">
        <is>
          <t>MAT-FIREBOARD-10MM-BODY</t>
        </is>
      </c>
      <c r="F96" t="inlineStr">
        <is>
          <t>m2</t>
        </is>
      </c>
      <c r="G96" s="254" t="n">
        <v>1.546671605536392</v>
      </c>
      <c r="H96" s="250">
        <f>IFERROR(INDEX('00_TONG_HOP_BAO_GIA'!$G$1:$G$5000, MATCH(B96, '00_TONG_HOP_BAO_GIA'!$B$1:$B$5000, 0)), 1)</f>
        <v/>
      </c>
      <c r="I96" s="255">
        <f>G96*H96</f>
        <v/>
      </c>
      <c r="J96" s="250">
        <f>IFERROR(INDEX('06_BANG_GIA_VAT_TU_AP_DUNG'!$E$1:$E$5000, MATCH(E96, '06_BANG_GIA_VAT_TU_AP_DUNG'!$B$1:$B$5000, 0)), 0)</f>
        <v/>
      </c>
      <c r="K96" s="250">
        <f>I96*J96</f>
        <v/>
      </c>
      <c r="L96" t="inlineStr">
        <is>
          <t>Bọc 2 lớp tấm 10mm quanh thân L=300mm</t>
        </is>
      </c>
    </row>
    <row r="97">
      <c r="A97" t="inlineStr">
        <is>
          <t>SW-DAMPER-009-FB20-BLADE</t>
        </is>
      </c>
      <c r="B97" t="inlineStr">
        <is>
          <t>SW-DAMPER-009</t>
        </is>
      </c>
      <c r="C97" t="inlineStr">
        <is>
          <t>Tấm chống cháy dày 20mm làm lõi cánh van FD/MFD</t>
        </is>
      </c>
      <c r="D97" t="inlineStr">
        <is>
          <t>VẬT_LIỆU_CÁCH_NHIỆT</t>
        </is>
      </c>
      <c r="E97" t="inlineStr">
        <is>
          <t>MAT-FIREBOARD-20MM-BLADE</t>
        </is>
      </c>
      <c r="F97" t="inlineStr">
        <is>
          <t>m2</t>
        </is>
      </c>
      <c r="G97" s="254" t="n">
        <v>0.5604997763788218</v>
      </c>
      <c r="H97" s="250">
        <f>IFERROR(INDEX('00_TONG_HOP_BAO_GIA'!$G$1:$G$5000, MATCH(B97, '00_TONG_HOP_BAO_GIA'!$B$1:$B$5000, 0)), 1)</f>
        <v/>
      </c>
      <c r="I97" s="255">
        <f>G97*H97</f>
        <v/>
      </c>
      <c r="J97" s="250">
        <f>IFERROR(INDEX('06_BANG_GIA_VAT_TU_AP_DUNG'!$E$1:$E$5000, MATCH(E97, '06_BANG_GIA_VAT_TU_AP_DUNG'!$B$1:$B$5000, 0)), 0)</f>
        <v/>
      </c>
      <c r="K97" s="250">
        <f>I97*J97</f>
        <v/>
      </c>
      <c r="L97" t="inlineStr">
        <is>
          <t>Lõi cánh tấm 20mm (Đa cánh hệ số (H-5)/149=3.32, bản rộng 210mm, hao hụt 10%)</t>
        </is>
      </c>
    </row>
    <row r="98">
      <c r="A98" t="inlineStr">
        <is>
          <t>SW-DAMPER-009-FB10-BLADE</t>
        </is>
      </c>
      <c r="B98" t="inlineStr">
        <is>
          <t>SW-DAMPER-009</t>
        </is>
      </c>
      <c r="C98" t="inlineStr">
        <is>
          <t>Tấm chống cháy dày 10mm ốp 2 mặt cánh van FD/MFD</t>
        </is>
      </c>
      <c r="D98" t="inlineStr">
        <is>
          <t>VẬT_LIỆU_CÁCH_NHIỆT</t>
        </is>
      </c>
      <c r="E98" t="inlineStr">
        <is>
          <t>MAT-FIREBOARD-10MM-BLADE</t>
        </is>
      </c>
      <c r="F98" t="inlineStr">
        <is>
          <t>m2</t>
        </is>
      </c>
      <c r="G98" s="254" t="n">
        <v>1.153970127838751</v>
      </c>
      <c r="H98" s="250">
        <f>IFERROR(INDEX('00_TONG_HOP_BAO_GIA'!$G$1:$G$5000, MATCH(B98, '00_TONG_HOP_BAO_GIA'!$B$1:$B$5000, 0)), 1)</f>
        <v/>
      </c>
      <c r="I98" s="255">
        <f>G98*H98</f>
        <v/>
      </c>
      <c r="J98" s="250">
        <f>IFERROR(INDEX('06_BANG_GIA_VAT_TU_AP_DUNG'!$E$1:$E$5000, MATCH(E98, '06_BANG_GIA_VAT_TU_AP_DUNG'!$B$1:$B$5000, 0)), 0)</f>
        <v/>
      </c>
      <c r="K98" s="250">
        <f>I98*J98</f>
        <v/>
      </c>
      <c r="L98" t="inlineStr">
        <is>
          <t>Ốp 2 mặt cánh tấm 10mm (Đa cánh hệ số (H-5)/149=3.32, bản rộng 210mm, hao hụt 10%)</t>
        </is>
      </c>
    </row>
    <row r="99">
      <c r="A99" t="inlineStr">
        <is>
          <t>SW-DAMPER-009-SPRING-BOX</t>
        </is>
      </c>
      <c r="B99" t="inlineStr">
        <is>
          <t>SW-DAMPER-009</t>
        </is>
      </c>
      <c r="C99" t="inlineStr">
        <is>
          <t>Hộp lò xo van chặn lửa FD/MFD</t>
        </is>
      </c>
      <c r="D99" t="inlineStr">
        <is>
          <t>PHỤ_KIỆN_VAN</t>
        </is>
      </c>
      <c r="E99" t="inlineStr">
        <is>
          <t>MAT-DAMPER-HOP-LO-XO</t>
        </is>
      </c>
      <c r="F99" t="inlineStr">
        <is>
          <t>Bộ</t>
        </is>
      </c>
      <c r="G99" s="254" t="n">
        <v>1</v>
      </c>
      <c r="H99" s="250">
        <f>IFERROR(INDEX('00_TONG_HOP_BAO_GIA'!$G$1:$G$5000, MATCH(B99, '00_TONG_HOP_BAO_GIA'!$B$1:$B$5000, 0)), 1)</f>
        <v/>
      </c>
      <c r="I99" s="255">
        <f>G99*H99</f>
        <v/>
      </c>
      <c r="J99" s="250">
        <f>IFERROR(INDEX('06_BANG_GIA_VAT_TU_AP_DUNG'!$E$1:$E$5000, MATCH(E99, '06_BANG_GIA_VAT_TU_AP_DUNG'!$B$1:$B$5000, 0)), 0)</f>
        <v/>
      </c>
      <c r="K99" s="250">
        <f>I99*J99</f>
        <v/>
      </c>
      <c r="L99" t="inlineStr">
        <is>
          <t>Hộp lò xo cơ cấu đóng sập (1 bộ)</t>
        </is>
      </c>
    </row>
    <row r="100">
      <c r="A100" t="inlineStr">
        <is>
          <t>SW-DAMPER-009-SILICON-BOLT</t>
        </is>
      </c>
      <c r="B100" t="inlineStr">
        <is>
          <t>SW-DAMPER-009</t>
        </is>
      </c>
      <c r="C100" t="inlineStr">
        <is>
          <t>Silicon chống cháy + bu lông, ốc vít van FD/MFD</t>
        </is>
      </c>
      <c r="D100" t="inlineStr">
        <is>
          <t>PHỤ_KIỆN_VAN</t>
        </is>
      </c>
      <c r="E100" t="inlineStr">
        <is>
          <t>MAT-DAMPER-SILICON-BULONG-VIT</t>
        </is>
      </c>
      <c r="F100" t="inlineStr">
        <is>
          <t>Bộ</t>
        </is>
      </c>
      <c r="G100" s="254" t="n">
        <v>1</v>
      </c>
      <c r="H100" s="250">
        <f>IFERROR(INDEX('00_TONG_HOP_BAO_GIA'!$G$1:$G$5000, MATCH(B100, '00_TONG_HOP_BAO_GIA'!$B$1:$B$5000, 0)), 1)</f>
        <v/>
      </c>
      <c r="I100" s="255">
        <f>G100*H100</f>
        <v/>
      </c>
      <c r="J100" s="250">
        <f>IFERROR(INDEX('06_BANG_GIA_VAT_TU_AP_DUNG'!$E$1:$E$5000, MATCH(E100, '06_BANG_GIA_VAT_TU_AP_DUNG'!$B$1:$B$5000, 0)), 0)</f>
        <v/>
      </c>
      <c r="K100" s="250">
        <f>I100*J100</f>
        <v/>
      </c>
      <c r="L100" t="inlineStr">
        <is>
          <t>Keo silicon chống cháy &amp; phụ kiện lắp ghép (1 bộ)</t>
        </is>
      </c>
    </row>
    <row r="101">
      <c r="A101" t="inlineStr">
        <is>
          <t>SW-DAMPER-010-BODY</t>
        </is>
      </c>
      <c r="B101" t="inlineStr">
        <is>
          <t>SW-DAMPER-010</t>
        </is>
      </c>
      <c r="C101" t="inlineStr">
        <is>
          <t>Thân vỏ van FD bích C30/TDF (1.15mm)</t>
        </is>
      </c>
      <c r="D101" t="inlineStr">
        <is>
          <t>TÔN_CUỘN_MẠ_KẼM</t>
        </is>
      </c>
      <c r="E101" t="inlineStr">
        <is>
          <t>MAT-STEEL-PN-1.15</t>
        </is>
      </c>
      <c r="F101" t="inlineStr">
        <is>
          <t>kg</t>
        </is>
      </c>
      <c r="G101" s="254" t="n">
        <v>17.51513803787433</v>
      </c>
      <c r="H101" s="250">
        <f>IFERROR(INDEX('00_TONG_HOP_BAO_GIA'!$G$1:$G$5000, MATCH(B101, '00_TONG_HOP_BAO_GIA'!$B$1:$B$5000, 0)), 1)</f>
        <v/>
      </c>
      <c r="I101" s="255">
        <f>G101*H101</f>
        <v/>
      </c>
      <c r="J101" s="250">
        <f>IFERROR(INDEX('06_BANG_GIA_VAT_TU_AP_DUNG'!$E$1:$E$5000, MATCH(E101, '06_BANG_GIA_VAT_TU_AP_DUNG'!$B$1:$B$5000, 0)), 0)</f>
        <v/>
      </c>
      <c r="K101" s="250">
        <f>I101*J101</f>
        <v/>
      </c>
      <c r="L101" t="inlineStr">
        <is>
          <t>Kích thước vỏ 800x1550x200mm (2 modul 800x775mm)</t>
        </is>
      </c>
    </row>
    <row r="102">
      <c r="A102" t="inlineStr">
        <is>
          <t>SW-DAMPER-010-BLADE</t>
        </is>
      </c>
      <c r="B102" t="inlineStr">
        <is>
          <t>SW-DAMPER-010</t>
        </is>
      </c>
      <c r="C102" t="inlineStr">
        <is>
          <t>Lá cánh / Tôn tấm bọc van (10 cánh)</t>
        </is>
      </c>
      <c r="D102" t="inlineStr">
        <is>
          <t>TÔN_CUỘN_MẠ_KẼM</t>
        </is>
      </c>
      <c r="E102" t="inlineStr">
        <is>
          <t>MAT-STEEL-PN-1.15</t>
        </is>
      </c>
      <c r="F102" t="inlineStr">
        <is>
          <t>kg</t>
        </is>
      </c>
      <c r="G102" s="254" t="n">
        <v>24.01549282310148</v>
      </c>
      <c r="H102" s="250">
        <f>IFERROR(INDEX('00_TONG_HOP_BAO_GIA'!$G$1:$G$5000, MATCH(B102, '00_TONG_HOP_BAO_GIA'!$B$1:$B$5000, 0)), 1)</f>
        <v/>
      </c>
      <c r="I102" s="255">
        <f>G102*H102</f>
        <v/>
      </c>
      <c r="J102" s="250">
        <f>IFERROR(INDEX('06_BANG_GIA_VAT_TU_AP_DUNG'!$E$1:$E$5000, MATCH(E102, '06_BANG_GIA_VAT_TU_AP_DUNG'!$B$1:$B$5000, 0)), 0)</f>
        <v/>
      </c>
      <c r="K102" s="250">
        <f>I102*J102</f>
        <v/>
      </c>
      <c r="L102" t="inlineStr">
        <is>
          <t>Tôn bọc cánh &amp; thân (5 cánh/modul (2 modul 800x775mm))</t>
        </is>
      </c>
    </row>
    <row r="103">
      <c r="A103" t="inlineStr">
        <is>
          <t>SW-DAMPER-010-AXLE</t>
        </is>
      </c>
      <c r="B103" t="inlineStr">
        <is>
          <t>SW-DAMPER-010</t>
        </is>
      </c>
      <c r="C103" t="inlineStr">
        <is>
          <t>Trục Sus 201 D10</t>
        </is>
      </c>
      <c r="D103" t="inlineStr">
        <is>
          <t>PHỤ_KIỆN_VAN</t>
        </is>
      </c>
      <c r="E103" t="inlineStr">
        <is>
          <t>MAT-DAMPER-TRUC-SUS-201-D10</t>
        </is>
      </c>
      <c r="F103" t="inlineStr">
        <is>
          <t>m</t>
        </is>
      </c>
      <c r="G103" s="254" t="n">
        <v>9.225093499194786</v>
      </c>
      <c r="H103" s="250">
        <f>IFERROR(INDEX('00_TONG_HOP_BAO_GIA'!$G$1:$G$5000, MATCH(B103, '00_TONG_HOP_BAO_GIA'!$B$1:$B$5000, 0)), 1)</f>
        <v/>
      </c>
      <c r="I103" s="255">
        <f>G103*H103</f>
        <v/>
      </c>
      <c r="J103" s="250">
        <f>IFERROR(INDEX('06_BANG_GIA_VAT_TU_AP_DUNG'!$E$1:$E$5000, MATCH(E103, '06_BANG_GIA_VAT_TU_AP_DUNG'!$B$1:$B$5000, 0)), 0)</f>
        <v/>
      </c>
      <c r="K103" s="250">
        <f>I103*J103</f>
        <v/>
      </c>
      <c r="L103" t="inlineStr">
        <is>
          <t>10 trục dài 860mm</t>
        </is>
      </c>
    </row>
    <row r="104">
      <c r="A104" t="inlineStr">
        <is>
          <t>SW-DAMPER-010-BEARING</t>
        </is>
      </c>
      <c r="B104" t="inlineStr">
        <is>
          <t>SW-DAMPER-010</t>
        </is>
      </c>
      <c r="C104" t="inlineStr">
        <is>
          <t>Bạc đồng D10</t>
        </is>
      </c>
      <c r="D104" t="inlineStr">
        <is>
          <t>PHỤ_KIỆN_VAN</t>
        </is>
      </c>
      <c r="E104" t="inlineStr">
        <is>
          <t>MAT-DAMPER-BAC-DONG-D10</t>
        </is>
      </c>
      <c r="F104" t="inlineStr">
        <is>
          <t>Đôi</t>
        </is>
      </c>
      <c r="G104" s="254" t="n">
        <v>10</v>
      </c>
      <c r="H104" s="250">
        <f>IFERROR(INDEX('00_TONG_HOP_BAO_GIA'!$G$1:$G$5000, MATCH(B104, '00_TONG_HOP_BAO_GIA'!$B$1:$B$5000, 0)), 1)</f>
        <v/>
      </c>
      <c r="I104" s="255">
        <f>G104*H104</f>
        <v/>
      </c>
      <c r="J104" s="250">
        <f>IFERROR(INDEX('06_BANG_GIA_VAT_TU_AP_DUNG'!$E$1:$E$5000, MATCH(E104, '06_BANG_GIA_VAT_TU_AP_DUNG'!$B$1:$B$5000, 0)), 0)</f>
        <v/>
      </c>
      <c r="K104" s="250">
        <f>I104*J104</f>
        <v/>
      </c>
      <c r="L104" t="inlineStr">
        <is>
          <t>10 đôi bạc đỡ 2 bên thân</t>
        </is>
      </c>
    </row>
    <row r="105">
      <c r="A105" t="inlineStr">
        <is>
          <t>SW-DAMPER-010-GEAR</t>
        </is>
      </c>
      <c r="B105" t="inlineStr">
        <is>
          <t>SW-DAMPER-010</t>
        </is>
      </c>
      <c r="C105" t="inlineStr">
        <is>
          <t>Bánh răng van nhôm</t>
        </is>
      </c>
      <c r="D105" t="inlineStr">
        <is>
          <t>PHỤ_KIỆN_VAN</t>
        </is>
      </c>
      <c r="E105" t="inlineStr">
        <is>
          <t>MAT-DAMPER-BANH-RANG-VAN-NHOM</t>
        </is>
      </c>
      <c r="F105" t="inlineStr">
        <is>
          <t>Bộ</t>
        </is>
      </c>
      <c r="G105" s="254" t="n">
        <v>2</v>
      </c>
      <c r="H105" s="250">
        <f>IFERROR(INDEX('00_TONG_HOP_BAO_GIA'!$G$1:$G$5000, MATCH(B105, '00_TONG_HOP_BAO_GIA'!$B$1:$B$5000, 0)), 1)</f>
        <v/>
      </c>
      <c r="I105" s="255">
        <f>G105*H105</f>
        <v/>
      </c>
      <c r="J105" s="250">
        <f>IFERROR(INDEX('06_BANG_GIA_VAT_TU_AP_DUNG'!$E$1:$E$5000, MATCH(E105, '06_BANG_GIA_VAT_TU_AP_DUNG'!$B$1:$B$5000, 0)), 0)</f>
        <v/>
      </c>
      <c r="K105" s="250">
        <f>I105*J105</f>
        <v/>
      </c>
      <c r="L105" t="inlineStr">
        <is>
          <t>Cơ cấu liên động cánh (2 bộ)</t>
        </is>
      </c>
    </row>
    <row r="106">
      <c r="A106" t="inlineStr">
        <is>
          <t>SW-DAMPER-010-FUSE</t>
        </is>
      </c>
      <c r="B106" t="inlineStr">
        <is>
          <t>SW-DAMPER-010</t>
        </is>
      </c>
      <c r="C106" t="inlineStr">
        <is>
          <t>Cầu chì nhiệt nóng chảy 70°C/74°C (Elsie/USA)</t>
        </is>
      </c>
      <c r="D106" t="inlineStr">
        <is>
          <t>PHỤ_KIỆN_VAN</t>
        </is>
      </c>
      <c r="E106" t="inlineStr">
        <is>
          <t>MAT-DAMPER-CAU-CHI-USA-2-400X400</t>
        </is>
      </c>
      <c r="F106" t="inlineStr">
        <is>
          <t>Cái</t>
        </is>
      </c>
      <c r="G106" s="254" t="n">
        <v>2</v>
      </c>
      <c r="H106" s="250">
        <f>IFERROR(INDEX('00_TONG_HOP_BAO_GIA'!$G$1:$G$5000, MATCH(B106, '00_TONG_HOP_BAO_GIA'!$B$1:$B$5000, 0)), 1)</f>
        <v/>
      </c>
      <c r="I106" s="255">
        <f>G106*H106</f>
        <v/>
      </c>
      <c r="J106" s="250">
        <f>IFERROR(INDEX('06_BANG_GIA_VAT_TU_AP_DUNG'!$E$1:$E$5000, MATCH(E106, '06_BANG_GIA_VAT_TU_AP_DUNG'!$B$1:$B$5000, 0)), 0)</f>
        <v/>
      </c>
      <c r="K106" s="250">
        <f>I106*J106</f>
        <v/>
      </c>
      <c r="L106" t="inlineStr">
        <is>
          <t>Cầu chì kiểm định PCCC (2 cái)</t>
        </is>
      </c>
    </row>
    <row r="107">
      <c r="A107" t="inlineStr">
        <is>
          <t>SW-DAMPER-010-FB10-BODY</t>
        </is>
      </c>
      <c r="B107" t="inlineStr">
        <is>
          <t>SW-DAMPER-010</t>
        </is>
      </c>
      <c r="C107" t="inlineStr">
        <is>
          <t>Tấm chống cháy dày 10mm bọc thân van FD/MFD (2 lớp)</t>
        </is>
      </c>
      <c r="D107" t="inlineStr">
        <is>
          <t>VẬT_LIỆU_CÁCH_NHIỆT</t>
        </is>
      </c>
      <c r="E107" t="inlineStr">
        <is>
          <t>MAT-FIREBOARD-10MM-BODY</t>
        </is>
      </c>
      <c r="F107" t="inlineStr">
        <is>
          <t>m2</t>
        </is>
      </c>
      <c r="G107" s="254" t="n">
        <v>4.054750398483289</v>
      </c>
      <c r="H107" s="250">
        <f>IFERROR(INDEX('00_TONG_HOP_BAO_GIA'!$G$1:$G$5000, MATCH(B107, '00_TONG_HOP_BAO_GIA'!$B$1:$B$5000, 0)), 1)</f>
        <v/>
      </c>
      <c r="I107" s="255">
        <f>G107*H107</f>
        <v/>
      </c>
      <c r="J107" s="250">
        <f>IFERROR(INDEX('06_BANG_GIA_VAT_TU_AP_DUNG'!$E$1:$E$5000, MATCH(E107, '06_BANG_GIA_VAT_TU_AP_DUNG'!$B$1:$B$5000, 0)), 0)</f>
        <v/>
      </c>
      <c r="K107" s="250">
        <f>I107*J107</f>
        <v/>
      </c>
      <c r="L107" t="inlineStr">
        <is>
          <t>Bọc 2 lớp tấm 10mm quanh thân L=300mm (2 modul 800x775mm)</t>
        </is>
      </c>
    </row>
    <row r="108">
      <c r="A108" t="inlineStr">
        <is>
          <t>SW-DAMPER-010-FB20-BLADE</t>
        </is>
      </c>
      <c r="B108" t="inlineStr">
        <is>
          <t>SW-DAMPER-010</t>
        </is>
      </c>
      <c r="C108" t="inlineStr">
        <is>
          <t>Tấm chống cháy dày 20mm làm lõi cánh van FD/MFD</t>
        </is>
      </c>
      <c r="D108" t="inlineStr">
        <is>
          <t>VẬT_LIỆU_CÁCH_NHIỆT</t>
        </is>
      </c>
      <c r="E108" t="inlineStr">
        <is>
          <t>MAT-FIREBOARD-20MM-BLADE</t>
        </is>
      </c>
      <c r="F108" t="inlineStr">
        <is>
          <t>m2</t>
        </is>
      </c>
      <c r="G108" s="254" t="n">
        <v>1.997622220926152</v>
      </c>
      <c r="H108" s="250">
        <f>IFERROR(INDEX('00_TONG_HOP_BAO_GIA'!$G$1:$G$5000, MATCH(B108, '00_TONG_HOP_BAO_GIA'!$B$1:$B$5000, 0)), 1)</f>
        <v/>
      </c>
      <c r="I108" s="255">
        <f>G108*H108</f>
        <v/>
      </c>
      <c r="J108" s="250">
        <f>IFERROR(INDEX('06_BANG_GIA_VAT_TU_AP_DUNG'!$E$1:$E$5000, MATCH(E108, '06_BANG_GIA_VAT_TU_AP_DUNG'!$B$1:$B$5000, 0)), 0)</f>
        <v/>
      </c>
      <c r="K108" s="250">
        <f>I108*J108</f>
        <v/>
      </c>
      <c r="L108" t="inlineStr">
        <is>
          <t>Lõi cánh tấm 20mm (Đa cánh hệ số (H-5)/149=5.17, bản rộng 210mm, hao hụt 10% (2 modul 800x775mm))</t>
        </is>
      </c>
    </row>
    <row r="109">
      <c r="A109" t="inlineStr">
        <is>
          <t>SW-DAMPER-010-FB10-BLADE</t>
        </is>
      </c>
      <c r="B109" t="inlineStr">
        <is>
          <t>SW-DAMPER-010</t>
        </is>
      </c>
      <c r="C109" t="inlineStr">
        <is>
          <t>Tấm chống cháy dày 10mm ốp 2 mặt cánh van FD/MFD</t>
        </is>
      </c>
      <c r="D109" t="inlineStr">
        <is>
          <t>VẬT_LIỆU_CÁCH_NHIỆT</t>
        </is>
      </c>
      <c r="E109" t="inlineStr">
        <is>
          <t>MAT-FIREBOARD-10MM-BLADE</t>
        </is>
      </c>
      <c r="F109" t="inlineStr">
        <is>
          <t>m2</t>
        </is>
      </c>
      <c r="G109" s="254" t="n">
        <v>4.097686607028005</v>
      </c>
      <c r="H109" s="250">
        <f>IFERROR(INDEX('00_TONG_HOP_BAO_GIA'!$G$1:$G$5000, MATCH(B109, '00_TONG_HOP_BAO_GIA'!$B$1:$B$5000, 0)), 1)</f>
        <v/>
      </c>
      <c r="I109" s="255">
        <f>G109*H109</f>
        <v/>
      </c>
      <c r="J109" s="250">
        <f>IFERROR(INDEX('06_BANG_GIA_VAT_TU_AP_DUNG'!$E$1:$E$5000, MATCH(E109, '06_BANG_GIA_VAT_TU_AP_DUNG'!$B$1:$B$5000, 0)), 0)</f>
        <v/>
      </c>
      <c r="K109" s="250">
        <f>I109*J109</f>
        <v/>
      </c>
      <c r="L109" t="inlineStr">
        <is>
          <t>Ốp 2 mặt cánh tấm 10mm (Đa cánh hệ số (H-5)/149=5.17, bản rộng 210mm, hao hụt 10% (2 modul 800x775mm))</t>
        </is>
      </c>
    </row>
    <row r="110">
      <c r="A110" t="inlineStr">
        <is>
          <t>SW-DAMPER-010-SPRING-BOX</t>
        </is>
      </c>
      <c r="B110" t="inlineStr">
        <is>
          <t>SW-DAMPER-010</t>
        </is>
      </c>
      <c r="C110" t="inlineStr">
        <is>
          <t>Hộp lò xo van chặn lửa FD/MFD</t>
        </is>
      </c>
      <c r="D110" t="inlineStr">
        <is>
          <t>PHỤ_KIỆN_VAN</t>
        </is>
      </c>
      <c r="E110" t="inlineStr">
        <is>
          <t>MAT-DAMPER-HOP-LO-XO</t>
        </is>
      </c>
      <c r="F110" t="inlineStr">
        <is>
          <t>Bộ</t>
        </is>
      </c>
      <c r="G110" s="254" t="n">
        <v>2</v>
      </c>
      <c r="H110" s="250">
        <f>IFERROR(INDEX('00_TONG_HOP_BAO_GIA'!$G$1:$G$5000, MATCH(B110, '00_TONG_HOP_BAO_GIA'!$B$1:$B$5000, 0)), 1)</f>
        <v/>
      </c>
      <c r="I110" s="255">
        <f>G110*H110</f>
        <v/>
      </c>
      <c r="J110" s="250">
        <f>IFERROR(INDEX('06_BANG_GIA_VAT_TU_AP_DUNG'!$E$1:$E$5000, MATCH(E110, '06_BANG_GIA_VAT_TU_AP_DUNG'!$B$1:$B$5000, 0)), 0)</f>
        <v/>
      </c>
      <c r="K110" s="250">
        <f>I110*J110</f>
        <v/>
      </c>
      <c r="L110" t="inlineStr">
        <is>
          <t>Hộp lò xo cơ cấu đóng sập (2 bộ)</t>
        </is>
      </c>
    </row>
    <row r="111">
      <c r="A111" t="inlineStr">
        <is>
          <t>SW-DAMPER-010-SILICON-BOLT</t>
        </is>
      </c>
      <c r="B111" t="inlineStr">
        <is>
          <t>SW-DAMPER-010</t>
        </is>
      </c>
      <c r="C111" t="inlineStr">
        <is>
          <t>Silicon chống cháy + bu lông, ốc vít van FD/MFD</t>
        </is>
      </c>
      <c r="D111" t="inlineStr">
        <is>
          <t>PHỤ_KIỆN_VAN</t>
        </is>
      </c>
      <c r="E111" t="inlineStr">
        <is>
          <t>MAT-DAMPER-SILICON-BULONG-VIT</t>
        </is>
      </c>
      <c r="F111" t="inlineStr">
        <is>
          <t>Bộ</t>
        </is>
      </c>
      <c r="G111" s="254" t="n">
        <v>2</v>
      </c>
      <c r="H111" s="250">
        <f>IFERROR(INDEX('00_TONG_HOP_BAO_GIA'!$G$1:$G$5000, MATCH(B111, '00_TONG_HOP_BAO_GIA'!$B$1:$B$5000, 0)), 1)</f>
        <v/>
      </c>
      <c r="I111" s="255">
        <f>G111*H111</f>
        <v/>
      </c>
      <c r="J111" s="250">
        <f>IFERROR(INDEX('06_BANG_GIA_VAT_TU_AP_DUNG'!$E$1:$E$5000, MATCH(E111, '06_BANG_GIA_VAT_TU_AP_DUNG'!$B$1:$B$5000, 0)), 0)</f>
        <v/>
      </c>
      <c r="K111" s="250">
        <f>I111*J111</f>
        <v/>
      </c>
      <c r="L111" t="inlineStr">
        <is>
          <t>Keo silicon chống cháy &amp; phụ kiện lắp ghép (2 bộ)</t>
        </is>
      </c>
    </row>
    <row r="112">
      <c r="A112" t="inlineStr">
        <is>
          <t>SW-DAMPER-011-BODY</t>
        </is>
      </c>
      <c r="B112" t="inlineStr">
        <is>
          <t>SW-DAMPER-011</t>
        </is>
      </c>
      <c r="C112" t="inlineStr">
        <is>
          <t>Thân vỏ van FD bích C30/TDF (1.15mm)</t>
        </is>
      </c>
      <c r="D112" t="inlineStr">
        <is>
          <t>TÔN_CUỘN_MẠ_KẼM</t>
        </is>
      </c>
      <c r="E112" t="inlineStr">
        <is>
          <t>MAT-STEEL-PN-1.15</t>
        </is>
      </c>
      <c r="F112" t="inlineStr">
        <is>
          <t>kg</t>
        </is>
      </c>
      <c r="G112" s="254" t="n">
        <v>1.854293367090143</v>
      </c>
      <c r="H112" s="250">
        <f>IFERROR(INDEX('00_TONG_HOP_BAO_GIA'!$G$1:$G$5000, MATCH(B112, '00_TONG_HOP_BAO_GIA'!$B$1:$B$5000, 0)), 1)</f>
        <v/>
      </c>
      <c r="I112" s="255">
        <f>G112*H112</f>
        <v/>
      </c>
      <c r="J112" s="250">
        <f>IFERROR(INDEX('06_BANG_GIA_VAT_TU_AP_DUNG'!$E$1:$E$5000, MATCH(E112, '06_BANG_GIA_VAT_TU_AP_DUNG'!$B$1:$B$5000, 0)), 0)</f>
        <v/>
      </c>
      <c r="K112" s="250">
        <f>I112*J112</f>
        <v/>
      </c>
      <c r="L112" t="inlineStr">
        <is>
          <t>Kích thước vỏ 150x150x200mm (Thu côn từ 150x150mm về 150x100mm)</t>
        </is>
      </c>
    </row>
    <row r="113">
      <c r="A113" t="inlineStr">
        <is>
          <t>SW-DAMPER-011-BLADE</t>
        </is>
      </c>
      <c r="B113" t="inlineStr">
        <is>
          <t>SW-DAMPER-011</t>
        </is>
      </c>
      <c r="C113" t="inlineStr">
        <is>
          <t>Lá cánh / Tôn tấm bọc van (1 cánh)</t>
        </is>
      </c>
      <c r="D113" t="inlineStr">
        <is>
          <t>TÔN_CUỘN_MẠ_KẼM</t>
        </is>
      </c>
      <c r="E113" t="inlineStr">
        <is>
          <t>MAT-STEEL-PN-1.15</t>
        </is>
      </c>
      <c r="F113" t="inlineStr">
        <is>
          <t>kg</t>
        </is>
      </c>
      <c r="G113" s="254" t="n">
        <v>0.4598941882664044</v>
      </c>
      <c r="H113" s="250">
        <f>IFERROR(INDEX('00_TONG_HOP_BAO_GIA'!$G$1:$G$5000, MATCH(B113, '00_TONG_HOP_BAO_GIA'!$B$1:$B$5000, 0)), 1)</f>
        <v/>
      </c>
      <c r="I113" s="255">
        <f>G113*H113</f>
        <v/>
      </c>
      <c r="J113" s="250">
        <f>IFERROR(INDEX('06_BANG_GIA_VAT_TU_AP_DUNG'!$E$1:$E$5000, MATCH(E113, '06_BANG_GIA_VAT_TU_AP_DUNG'!$B$1:$B$5000, 0)), 0)</f>
        <v/>
      </c>
      <c r="K113" s="250">
        <f>I113*J113</f>
        <v/>
      </c>
      <c r="L113" t="inlineStr">
        <is>
          <t>Tôn bọc cánh &amp; thân (1 cánh/modul)</t>
        </is>
      </c>
    </row>
    <row r="114">
      <c r="A114" t="inlineStr">
        <is>
          <t>SW-DAMPER-011-AXLE</t>
        </is>
      </c>
      <c r="B114" t="inlineStr">
        <is>
          <t>SW-DAMPER-011</t>
        </is>
      </c>
      <c r="C114" t="inlineStr">
        <is>
          <t>Trục Sus 201 D10</t>
        </is>
      </c>
      <c r="D114" t="inlineStr">
        <is>
          <t>PHỤ_KIỆN_VAN</t>
        </is>
      </c>
      <c r="E114" t="inlineStr">
        <is>
          <t>MAT-DAMPER-TRUC-SUS-201-D10</t>
        </is>
      </c>
      <c r="F114" t="inlineStr">
        <is>
          <t>m</t>
        </is>
      </c>
      <c r="G114" s="254" t="n">
        <v>0.2377372338495214</v>
      </c>
      <c r="H114" s="250">
        <f>IFERROR(INDEX('00_TONG_HOP_BAO_GIA'!$G$1:$G$5000, MATCH(B114, '00_TONG_HOP_BAO_GIA'!$B$1:$B$5000, 0)), 1)</f>
        <v/>
      </c>
      <c r="I114" s="255">
        <f>G114*H114</f>
        <v/>
      </c>
      <c r="J114" s="250">
        <f>IFERROR(INDEX('06_BANG_GIA_VAT_TU_AP_DUNG'!$E$1:$E$5000, MATCH(E114, '06_BANG_GIA_VAT_TU_AP_DUNG'!$B$1:$B$5000, 0)), 0)</f>
        <v/>
      </c>
      <c r="K114" s="250">
        <f>I114*J114</f>
        <v/>
      </c>
      <c r="L114" t="inlineStr">
        <is>
          <t>1 trục dài 210mm</t>
        </is>
      </c>
    </row>
    <row r="115">
      <c r="A115" t="inlineStr">
        <is>
          <t>SW-DAMPER-011-BEARING</t>
        </is>
      </c>
      <c r="B115" t="inlineStr">
        <is>
          <t>SW-DAMPER-011</t>
        </is>
      </c>
      <c r="C115" t="inlineStr">
        <is>
          <t>Bạc đồng D10</t>
        </is>
      </c>
      <c r="D115" t="inlineStr">
        <is>
          <t>PHỤ_KIỆN_VAN</t>
        </is>
      </c>
      <c r="E115" t="inlineStr">
        <is>
          <t>MAT-DAMPER-BAC-DONG-D10</t>
        </is>
      </c>
      <c r="F115" t="inlineStr">
        <is>
          <t>Đôi</t>
        </is>
      </c>
      <c r="G115" s="254" t="n">
        <v>1</v>
      </c>
      <c r="H115" s="250">
        <f>IFERROR(INDEX('00_TONG_HOP_BAO_GIA'!$G$1:$G$5000, MATCH(B115, '00_TONG_HOP_BAO_GIA'!$B$1:$B$5000, 0)), 1)</f>
        <v/>
      </c>
      <c r="I115" s="255">
        <f>G115*H115</f>
        <v/>
      </c>
      <c r="J115" s="250">
        <f>IFERROR(INDEX('06_BANG_GIA_VAT_TU_AP_DUNG'!$E$1:$E$5000, MATCH(E115, '06_BANG_GIA_VAT_TU_AP_DUNG'!$B$1:$B$5000, 0)), 0)</f>
        <v/>
      </c>
      <c r="K115" s="250">
        <f>I115*J115</f>
        <v/>
      </c>
      <c r="L115" t="inlineStr">
        <is>
          <t>1 đôi bạc đỡ 2 bên thân</t>
        </is>
      </c>
    </row>
    <row r="116">
      <c r="A116" t="inlineStr">
        <is>
          <t>SW-DAMPER-011-FUSE</t>
        </is>
      </c>
      <c r="B116" t="inlineStr">
        <is>
          <t>SW-DAMPER-011</t>
        </is>
      </c>
      <c r="C116" t="inlineStr">
        <is>
          <t>Cầu chì nhiệt nóng chảy 70°C/74°C (Elsie/USA)</t>
        </is>
      </c>
      <c r="D116" t="inlineStr">
        <is>
          <t>PHỤ_KIỆN_VAN</t>
        </is>
      </c>
      <c r="E116" t="inlineStr">
        <is>
          <t>MAT-DAMPER-CAU-CHI-USA-1-400X400</t>
        </is>
      </c>
      <c r="F116" t="inlineStr">
        <is>
          <t>Cái</t>
        </is>
      </c>
      <c r="G116" s="254" t="n">
        <v>1</v>
      </c>
      <c r="H116" s="250">
        <f>IFERROR(INDEX('00_TONG_HOP_BAO_GIA'!$G$1:$G$5000, MATCH(B116, '00_TONG_HOP_BAO_GIA'!$B$1:$B$5000, 0)), 1)</f>
        <v/>
      </c>
      <c r="I116" s="255">
        <f>G116*H116</f>
        <v/>
      </c>
      <c r="J116" s="250">
        <f>IFERROR(INDEX('06_BANG_GIA_VAT_TU_AP_DUNG'!$E$1:$E$5000, MATCH(E116, '06_BANG_GIA_VAT_TU_AP_DUNG'!$B$1:$B$5000, 0)), 0)</f>
        <v/>
      </c>
      <c r="K116" s="250">
        <f>I116*J116</f>
        <v/>
      </c>
      <c r="L116" t="inlineStr">
        <is>
          <t>Cầu chì kiểm định PCCC (1 cái)</t>
        </is>
      </c>
    </row>
    <row r="117">
      <c r="A117" t="inlineStr">
        <is>
          <t>SW-DAMPER-011-FB10-BODY</t>
        </is>
      </c>
      <c r="B117" t="inlineStr">
        <is>
          <t>SW-DAMPER-011</t>
        </is>
      </c>
      <c r="C117" t="inlineStr">
        <is>
          <t>Tấm chống cháy dày 10mm bọc thân van FD/MFD (2 lớp)</t>
        </is>
      </c>
      <c r="D117" t="inlineStr">
        <is>
          <t>VẬT_LIỆU_CÁCH_NHIỆT</t>
        </is>
      </c>
      <c r="E117" t="inlineStr">
        <is>
          <t>MAT-FIREBOARD-10MM-BODY</t>
        </is>
      </c>
      <c r="F117" t="inlineStr">
        <is>
          <t>m2</t>
        </is>
      </c>
      <c r="G117" s="254" t="n">
        <v>0.4075495437420367</v>
      </c>
      <c r="H117" s="250">
        <f>IFERROR(INDEX('00_TONG_HOP_BAO_GIA'!$G$1:$G$5000, MATCH(B117, '00_TONG_HOP_BAO_GIA'!$B$1:$B$5000, 0)), 1)</f>
        <v/>
      </c>
      <c r="I117" s="255">
        <f>G117*H117</f>
        <v/>
      </c>
      <c r="J117" s="250">
        <f>IFERROR(INDEX('06_BANG_GIA_VAT_TU_AP_DUNG'!$E$1:$E$5000, MATCH(E117, '06_BANG_GIA_VAT_TU_AP_DUNG'!$B$1:$B$5000, 0)), 0)</f>
        <v/>
      </c>
      <c r="K117" s="250">
        <f>I117*J117</f>
        <v/>
      </c>
      <c r="L117" t="inlineStr">
        <is>
          <t>Bọc 2 lớp tấm 10mm quanh thân L=300mm</t>
        </is>
      </c>
    </row>
    <row r="118">
      <c r="A118" t="inlineStr">
        <is>
          <t>SW-DAMPER-011-FB20-BLADE</t>
        </is>
      </c>
      <c r="B118" t="inlineStr">
        <is>
          <t>SW-DAMPER-011</t>
        </is>
      </c>
      <c r="C118" t="inlineStr">
        <is>
          <t>Tấm chống cháy dày 20mm làm lõi cánh van FD/MFD</t>
        </is>
      </c>
      <c r="D118" t="inlineStr">
        <is>
          <t>VẬT_LIỆU_CÁCH_NHIỆT</t>
        </is>
      </c>
      <c r="E118" t="inlineStr">
        <is>
          <t>MAT-FIREBOARD-20MM-BLADE</t>
        </is>
      </c>
      <c r="F118" t="inlineStr">
        <is>
          <t>m2</t>
        </is>
      </c>
      <c r="G118" s="254" t="n">
        <v>0.02547184648387729</v>
      </c>
      <c r="H118" s="250">
        <f>IFERROR(INDEX('00_TONG_HOP_BAO_GIA'!$G$1:$G$5000, MATCH(B118, '00_TONG_HOP_BAO_GIA'!$B$1:$B$5000, 0)), 1)</f>
        <v/>
      </c>
      <c r="I118" s="255">
        <f>G118*H118</f>
        <v/>
      </c>
      <c r="J118" s="250">
        <f>IFERROR(INDEX('06_BANG_GIA_VAT_TU_AP_DUNG'!$E$1:$E$5000, MATCH(E118, '06_BANG_GIA_VAT_TU_AP_DUNG'!$B$1:$B$5000, 0)), 0)</f>
        <v/>
      </c>
      <c r="K118" s="250">
        <f>I118*J118</f>
        <v/>
      </c>
      <c r="L118" t="inlineStr">
        <is>
          <t>Lõi cánh tấm 20mm (Cánh đơn 150x150mm)</t>
        </is>
      </c>
    </row>
    <row r="119">
      <c r="A119" t="inlineStr">
        <is>
          <t>SW-DAMPER-011-FB10-BLADE</t>
        </is>
      </c>
      <c r="B119" t="inlineStr">
        <is>
          <t>SW-DAMPER-011</t>
        </is>
      </c>
      <c r="C119" t="inlineStr">
        <is>
          <t>Tấm chống cháy dày 10mm ốp 2 mặt cánh van FD/MFD</t>
        </is>
      </c>
      <c r="D119" t="inlineStr">
        <is>
          <t>VẬT_LIỆU_CÁCH_NHIỆT</t>
        </is>
      </c>
      <c r="E119" t="inlineStr">
        <is>
          <t>MAT-FIREBOARD-10MM-BLADE</t>
        </is>
      </c>
      <c r="F119" t="inlineStr">
        <is>
          <t>m2</t>
        </is>
      </c>
      <c r="G119" s="254" t="n">
        <v>0.05094369296775458</v>
      </c>
      <c r="H119" s="250">
        <f>IFERROR(INDEX('00_TONG_HOP_BAO_GIA'!$G$1:$G$5000, MATCH(B119, '00_TONG_HOP_BAO_GIA'!$B$1:$B$5000, 0)), 1)</f>
        <v/>
      </c>
      <c r="I119" s="255">
        <f>G119*H119</f>
        <v/>
      </c>
      <c r="J119" s="250">
        <f>IFERROR(INDEX('06_BANG_GIA_VAT_TU_AP_DUNG'!$E$1:$E$5000, MATCH(E119, '06_BANG_GIA_VAT_TU_AP_DUNG'!$B$1:$B$5000, 0)), 0)</f>
        <v/>
      </c>
      <c r="K119" s="250">
        <f>I119*J119</f>
        <v/>
      </c>
      <c r="L119" t="inlineStr">
        <is>
          <t>Ốp 2 mặt cánh tấm 10mm (Cánh đơn 150x150mm)</t>
        </is>
      </c>
    </row>
    <row r="120">
      <c r="A120" t="inlineStr">
        <is>
          <t>SW-DAMPER-011-SPRING-BOX</t>
        </is>
      </c>
      <c r="B120" t="inlineStr">
        <is>
          <t>SW-DAMPER-011</t>
        </is>
      </c>
      <c r="C120" t="inlineStr">
        <is>
          <t>Hộp lò xo van chặn lửa FD/MFD</t>
        </is>
      </c>
      <c r="D120" t="inlineStr">
        <is>
          <t>PHỤ_KIỆN_VAN</t>
        </is>
      </c>
      <c r="E120" t="inlineStr">
        <is>
          <t>MAT-DAMPER-HOP-LO-XO</t>
        </is>
      </c>
      <c r="F120" t="inlineStr">
        <is>
          <t>Bộ</t>
        </is>
      </c>
      <c r="G120" s="254" t="n">
        <v>1</v>
      </c>
      <c r="H120" s="250">
        <f>IFERROR(INDEX('00_TONG_HOP_BAO_GIA'!$G$1:$G$5000, MATCH(B120, '00_TONG_HOP_BAO_GIA'!$B$1:$B$5000, 0)), 1)</f>
        <v/>
      </c>
      <c r="I120" s="255">
        <f>G120*H120</f>
        <v/>
      </c>
      <c r="J120" s="250">
        <f>IFERROR(INDEX('06_BANG_GIA_VAT_TU_AP_DUNG'!$E$1:$E$5000, MATCH(E120, '06_BANG_GIA_VAT_TU_AP_DUNG'!$B$1:$B$5000, 0)), 0)</f>
        <v/>
      </c>
      <c r="K120" s="250">
        <f>I120*J120</f>
        <v/>
      </c>
      <c r="L120" t="inlineStr">
        <is>
          <t>Hộp lò xo cơ cấu đóng sập (1 bộ)</t>
        </is>
      </c>
    </row>
    <row r="121">
      <c r="A121" t="inlineStr">
        <is>
          <t>SW-DAMPER-011-SILICON-BOLT</t>
        </is>
      </c>
      <c r="B121" t="inlineStr">
        <is>
          <t>SW-DAMPER-011</t>
        </is>
      </c>
      <c r="C121" t="inlineStr">
        <is>
          <t>Silicon chống cháy + bu lông, ốc vít van FD/MFD</t>
        </is>
      </c>
      <c r="D121" t="inlineStr">
        <is>
          <t>PHỤ_KIỆN_VAN</t>
        </is>
      </c>
      <c r="E121" t="inlineStr">
        <is>
          <t>MAT-DAMPER-SILICON-BULONG-VIT</t>
        </is>
      </c>
      <c r="F121" t="inlineStr">
        <is>
          <t>Bộ</t>
        </is>
      </c>
      <c r="G121" s="254" t="n">
        <v>1</v>
      </c>
      <c r="H121" s="250">
        <f>IFERROR(INDEX('00_TONG_HOP_BAO_GIA'!$G$1:$G$5000, MATCH(B121, '00_TONG_HOP_BAO_GIA'!$B$1:$B$5000, 0)), 1)</f>
        <v/>
      </c>
      <c r="I121" s="255">
        <f>G121*H121</f>
        <v/>
      </c>
      <c r="J121" s="250">
        <f>IFERROR(INDEX('06_BANG_GIA_VAT_TU_AP_DUNG'!$E$1:$E$5000, MATCH(E121, '06_BANG_GIA_VAT_TU_AP_DUNG'!$B$1:$B$5000, 0)), 0)</f>
        <v/>
      </c>
      <c r="K121" s="250">
        <f>I121*J121</f>
        <v/>
      </c>
      <c r="L121" t="inlineStr">
        <is>
          <t>Keo silicon chống cháy &amp; phụ kiện lắp ghép (1 bộ)</t>
        </is>
      </c>
    </row>
    <row r="122">
      <c r="A122" t="inlineStr">
        <is>
          <t>SW-DAMPER-012-BODY</t>
        </is>
      </c>
      <c r="B122" t="inlineStr">
        <is>
          <t>SW-DAMPER-012</t>
        </is>
      </c>
      <c r="C122" t="inlineStr">
        <is>
          <t>Thân vỏ van FD bích C30/TDF (1.15mm)</t>
        </is>
      </c>
      <c r="D122" t="inlineStr">
        <is>
          <t>TÔN_CUỘN_MẠ_KẼM</t>
        </is>
      </c>
      <c r="E122" t="inlineStr">
        <is>
          <t>MAT-STEEL-PN-1.15</t>
        </is>
      </c>
      <c r="F122" t="inlineStr">
        <is>
          <t>kg</t>
        </is>
      </c>
      <c r="G122" s="254" t="n">
        <v>1.854293367090143</v>
      </c>
      <c r="H122" s="250">
        <f>IFERROR(INDEX('00_TONG_HOP_BAO_GIA'!$G$1:$G$5000, MATCH(B122, '00_TONG_HOP_BAO_GIA'!$B$1:$B$5000, 0)), 1)</f>
        <v/>
      </c>
      <c r="I122" s="255">
        <f>G122*H122</f>
        <v/>
      </c>
      <c r="J122" s="250">
        <f>IFERROR(INDEX('06_BANG_GIA_VAT_TU_AP_DUNG'!$E$1:$E$5000, MATCH(E122, '06_BANG_GIA_VAT_TU_AP_DUNG'!$B$1:$B$5000, 0)), 0)</f>
        <v/>
      </c>
      <c r="K122" s="250">
        <f>I122*J122</f>
        <v/>
      </c>
      <c r="L122" t="inlineStr">
        <is>
          <t>Kích thước vỏ 150x150x200mm</t>
        </is>
      </c>
    </row>
    <row r="123">
      <c r="A123" t="inlineStr">
        <is>
          <t>SW-DAMPER-012-BLADE</t>
        </is>
      </c>
      <c r="B123" t="inlineStr">
        <is>
          <t>SW-DAMPER-012</t>
        </is>
      </c>
      <c r="C123" t="inlineStr">
        <is>
          <t>Lá cánh / Tôn tấm bọc van (1 cánh)</t>
        </is>
      </c>
      <c r="D123" t="inlineStr">
        <is>
          <t>TÔN_CUỘN_MẠ_KẼM</t>
        </is>
      </c>
      <c r="E123" t="inlineStr">
        <is>
          <t>MAT-STEEL-PN-1.15</t>
        </is>
      </c>
      <c r="F123" t="inlineStr">
        <is>
          <t>kg</t>
        </is>
      </c>
      <c r="G123" s="254" t="n">
        <v>0.4598941882664044</v>
      </c>
      <c r="H123" s="250">
        <f>IFERROR(INDEX('00_TONG_HOP_BAO_GIA'!$G$1:$G$5000, MATCH(B123, '00_TONG_HOP_BAO_GIA'!$B$1:$B$5000, 0)), 1)</f>
        <v/>
      </c>
      <c r="I123" s="255">
        <f>G123*H123</f>
        <v/>
      </c>
      <c r="J123" s="250">
        <f>IFERROR(INDEX('06_BANG_GIA_VAT_TU_AP_DUNG'!$E$1:$E$5000, MATCH(E123, '06_BANG_GIA_VAT_TU_AP_DUNG'!$B$1:$B$5000, 0)), 0)</f>
        <v/>
      </c>
      <c r="K123" s="250">
        <f>I123*J123</f>
        <v/>
      </c>
      <c r="L123" t="inlineStr">
        <is>
          <t>Tôn bọc cánh &amp; thân (1 cánh/modul)</t>
        </is>
      </c>
    </row>
    <row r="124">
      <c r="A124" t="inlineStr">
        <is>
          <t>SW-DAMPER-012-AXLE</t>
        </is>
      </c>
      <c r="B124" t="inlineStr">
        <is>
          <t>SW-DAMPER-012</t>
        </is>
      </c>
      <c r="C124" t="inlineStr">
        <is>
          <t>Trục Sus 201 D10</t>
        </is>
      </c>
      <c r="D124" t="inlineStr">
        <is>
          <t>PHỤ_KIỆN_VAN</t>
        </is>
      </c>
      <c r="E124" t="inlineStr">
        <is>
          <t>MAT-DAMPER-TRUC-SUS-201-D10</t>
        </is>
      </c>
      <c r="F124" t="inlineStr">
        <is>
          <t>m</t>
        </is>
      </c>
      <c r="G124" s="254" t="n">
        <v>0.2377372338495214</v>
      </c>
      <c r="H124" s="250">
        <f>IFERROR(INDEX('00_TONG_HOP_BAO_GIA'!$G$1:$G$5000, MATCH(B124, '00_TONG_HOP_BAO_GIA'!$B$1:$B$5000, 0)), 1)</f>
        <v/>
      </c>
      <c r="I124" s="255">
        <f>G124*H124</f>
        <v/>
      </c>
      <c r="J124" s="250">
        <f>IFERROR(INDEX('06_BANG_GIA_VAT_TU_AP_DUNG'!$E$1:$E$5000, MATCH(E124, '06_BANG_GIA_VAT_TU_AP_DUNG'!$B$1:$B$5000, 0)), 0)</f>
        <v/>
      </c>
      <c r="K124" s="250">
        <f>I124*J124</f>
        <v/>
      </c>
      <c r="L124" t="inlineStr">
        <is>
          <t>1 trục dài 210mm</t>
        </is>
      </c>
    </row>
    <row r="125">
      <c r="A125" t="inlineStr">
        <is>
          <t>SW-DAMPER-012-BEARING</t>
        </is>
      </c>
      <c r="B125" t="inlineStr">
        <is>
          <t>SW-DAMPER-012</t>
        </is>
      </c>
      <c r="C125" t="inlineStr">
        <is>
          <t>Bạc đồng D10</t>
        </is>
      </c>
      <c r="D125" t="inlineStr">
        <is>
          <t>PHỤ_KIỆN_VAN</t>
        </is>
      </c>
      <c r="E125" t="inlineStr">
        <is>
          <t>MAT-DAMPER-BAC-DONG-D10</t>
        </is>
      </c>
      <c r="F125" t="inlineStr">
        <is>
          <t>Đôi</t>
        </is>
      </c>
      <c r="G125" s="254" t="n">
        <v>1</v>
      </c>
      <c r="H125" s="250">
        <f>IFERROR(INDEX('00_TONG_HOP_BAO_GIA'!$G$1:$G$5000, MATCH(B125, '00_TONG_HOP_BAO_GIA'!$B$1:$B$5000, 0)), 1)</f>
        <v/>
      </c>
      <c r="I125" s="255">
        <f>G125*H125</f>
        <v/>
      </c>
      <c r="J125" s="250">
        <f>IFERROR(INDEX('06_BANG_GIA_VAT_TU_AP_DUNG'!$E$1:$E$5000, MATCH(E125, '06_BANG_GIA_VAT_TU_AP_DUNG'!$B$1:$B$5000, 0)), 0)</f>
        <v/>
      </c>
      <c r="K125" s="250">
        <f>I125*J125</f>
        <v/>
      </c>
      <c r="L125" t="inlineStr">
        <is>
          <t>1 đôi bạc đỡ 2 bên thân</t>
        </is>
      </c>
    </row>
    <row r="126">
      <c r="A126" t="inlineStr">
        <is>
          <t>SW-DAMPER-012-FUSE</t>
        </is>
      </c>
      <c r="B126" t="inlineStr">
        <is>
          <t>SW-DAMPER-012</t>
        </is>
      </c>
      <c r="C126" t="inlineStr">
        <is>
          <t>Cầu chì nhiệt nóng chảy 70°C/74°C (Elsie/USA)</t>
        </is>
      </c>
      <c r="D126" t="inlineStr">
        <is>
          <t>PHỤ_KIỆN_VAN</t>
        </is>
      </c>
      <c r="E126" t="inlineStr">
        <is>
          <t>MAT-DAMPER-CAU-CHI-USA-1-400X400</t>
        </is>
      </c>
      <c r="F126" t="inlineStr">
        <is>
          <t>Cái</t>
        </is>
      </c>
      <c r="G126" s="254" t="n">
        <v>1</v>
      </c>
      <c r="H126" s="250">
        <f>IFERROR(INDEX('00_TONG_HOP_BAO_GIA'!$G$1:$G$5000, MATCH(B126, '00_TONG_HOP_BAO_GIA'!$B$1:$B$5000, 0)), 1)</f>
        <v/>
      </c>
      <c r="I126" s="255">
        <f>G126*H126</f>
        <v/>
      </c>
      <c r="J126" s="250">
        <f>IFERROR(INDEX('06_BANG_GIA_VAT_TU_AP_DUNG'!$E$1:$E$5000, MATCH(E126, '06_BANG_GIA_VAT_TU_AP_DUNG'!$B$1:$B$5000, 0)), 0)</f>
        <v/>
      </c>
      <c r="K126" s="250">
        <f>I126*J126</f>
        <v/>
      </c>
      <c r="L126" t="inlineStr">
        <is>
          <t>Cầu chì kiểm định PCCC (1 cái)</t>
        </is>
      </c>
    </row>
    <row r="127">
      <c r="A127" t="inlineStr">
        <is>
          <t>SW-DAMPER-012-FB10-BODY</t>
        </is>
      </c>
      <c r="B127" t="inlineStr">
        <is>
          <t>SW-DAMPER-012</t>
        </is>
      </c>
      <c r="C127" t="inlineStr">
        <is>
          <t>Tấm chống cháy dày 10mm bọc thân van FD/MFD (2 lớp)</t>
        </is>
      </c>
      <c r="D127" t="inlineStr">
        <is>
          <t>VẬT_LIỆU_CÁCH_NHIỆT</t>
        </is>
      </c>
      <c r="E127" t="inlineStr">
        <is>
          <t>MAT-FIREBOARD-10MM-BODY</t>
        </is>
      </c>
      <c r="F127" t="inlineStr">
        <is>
          <t>m2</t>
        </is>
      </c>
      <c r="G127" s="254" t="n">
        <v>0.4075495437420367</v>
      </c>
      <c r="H127" s="250">
        <f>IFERROR(INDEX('00_TONG_HOP_BAO_GIA'!$G$1:$G$5000, MATCH(B127, '00_TONG_HOP_BAO_GIA'!$B$1:$B$5000, 0)), 1)</f>
        <v/>
      </c>
      <c r="I127" s="255">
        <f>G127*H127</f>
        <v/>
      </c>
      <c r="J127" s="250">
        <f>IFERROR(INDEX('06_BANG_GIA_VAT_TU_AP_DUNG'!$E$1:$E$5000, MATCH(E127, '06_BANG_GIA_VAT_TU_AP_DUNG'!$B$1:$B$5000, 0)), 0)</f>
        <v/>
      </c>
      <c r="K127" s="250">
        <f>I127*J127</f>
        <v/>
      </c>
      <c r="L127" t="inlineStr">
        <is>
          <t>Bọc 2 lớp tấm 10mm quanh thân L=300mm</t>
        </is>
      </c>
    </row>
    <row r="128">
      <c r="A128" t="inlineStr">
        <is>
          <t>SW-DAMPER-012-FB20-BLADE</t>
        </is>
      </c>
      <c r="B128" t="inlineStr">
        <is>
          <t>SW-DAMPER-012</t>
        </is>
      </c>
      <c r="C128" t="inlineStr">
        <is>
          <t>Tấm chống cháy dày 20mm làm lõi cánh van FD/MFD</t>
        </is>
      </c>
      <c r="D128" t="inlineStr">
        <is>
          <t>VẬT_LIỆU_CÁCH_NHIỆT</t>
        </is>
      </c>
      <c r="E128" t="inlineStr">
        <is>
          <t>MAT-FIREBOARD-20MM-BLADE</t>
        </is>
      </c>
      <c r="F128" t="inlineStr">
        <is>
          <t>m2</t>
        </is>
      </c>
      <c r="G128" s="254" t="n">
        <v>0.02547184648387729</v>
      </c>
      <c r="H128" s="250">
        <f>IFERROR(INDEX('00_TONG_HOP_BAO_GIA'!$G$1:$G$5000, MATCH(B128, '00_TONG_HOP_BAO_GIA'!$B$1:$B$5000, 0)), 1)</f>
        <v/>
      </c>
      <c r="I128" s="255">
        <f>G128*H128</f>
        <v/>
      </c>
      <c r="J128" s="250">
        <f>IFERROR(INDEX('06_BANG_GIA_VAT_TU_AP_DUNG'!$E$1:$E$5000, MATCH(E128, '06_BANG_GIA_VAT_TU_AP_DUNG'!$B$1:$B$5000, 0)), 0)</f>
        <v/>
      </c>
      <c r="K128" s="250">
        <f>I128*J128</f>
        <v/>
      </c>
      <c r="L128" t="inlineStr">
        <is>
          <t>Lõi cánh tấm 20mm (Cánh đơn 150x150mm)</t>
        </is>
      </c>
    </row>
    <row r="129">
      <c r="A129" t="inlineStr">
        <is>
          <t>SW-DAMPER-012-FB10-BLADE</t>
        </is>
      </c>
      <c r="B129" t="inlineStr">
        <is>
          <t>SW-DAMPER-012</t>
        </is>
      </c>
      <c r="C129" t="inlineStr">
        <is>
          <t>Tấm chống cháy dày 10mm ốp 2 mặt cánh van FD/MFD</t>
        </is>
      </c>
      <c r="D129" t="inlineStr">
        <is>
          <t>VẬT_LIỆU_CÁCH_NHIỆT</t>
        </is>
      </c>
      <c r="E129" t="inlineStr">
        <is>
          <t>MAT-FIREBOARD-10MM-BLADE</t>
        </is>
      </c>
      <c r="F129" t="inlineStr">
        <is>
          <t>m2</t>
        </is>
      </c>
      <c r="G129" s="254" t="n">
        <v>0.05094369296775458</v>
      </c>
      <c r="H129" s="250">
        <f>IFERROR(INDEX('00_TONG_HOP_BAO_GIA'!$G$1:$G$5000, MATCH(B129, '00_TONG_HOP_BAO_GIA'!$B$1:$B$5000, 0)), 1)</f>
        <v/>
      </c>
      <c r="I129" s="255">
        <f>G129*H129</f>
        <v/>
      </c>
      <c r="J129" s="250">
        <f>IFERROR(INDEX('06_BANG_GIA_VAT_TU_AP_DUNG'!$E$1:$E$5000, MATCH(E129, '06_BANG_GIA_VAT_TU_AP_DUNG'!$B$1:$B$5000, 0)), 0)</f>
        <v/>
      </c>
      <c r="K129" s="250">
        <f>I129*J129</f>
        <v/>
      </c>
      <c r="L129" t="inlineStr">
        <is>
          <t>Ốp 2 mặt cánh tấm 10mm (Cánh đơn 150x150mm)</t>
        </is>
      </c>
    </row>
    <row r="130">
      <c r="A130" t="inlineStr">
        <is>
          <t>SW-DAMPER-012-SPRING-BOX</t>
        </is>
      </c>
      <c r="B130" t="inlineStr">
        <is>
          <t>SW-DAMPER-012</t>
        </is>
      </c>
      <c r="C130" t="inlineStr">
        <is>
          <t>Hộp lò xo van chặn lửa FD/MFD</t>
        </is>
      </c>
      <c r="D130" t="inlineStr">
        <is>
          <t>PHỤ_KIỆN_VAN</t>
        </is>
      </c>
      <c r="E130" t="inlineStr">
        <is>
          <t>MAT-DAMPER-HOP-LO-XO</t>
        </is>
      </c>
      <c r="F130" t="inlineStr">
        <is>
          <t>Bộ</t>
        </is>
      </c>
      <c r="G130" s="254" t="n">
        <v>1</v>
      </c>
      <c r="H130" s="250">
        <f>IFERROR(INDEX('00_TONG_HOP_BAO_GIA'!$G$1:$G$5000, MATCH(B130, '00_TONG_HOP_BAO_GIA'!$B$1:$B$5000, 0)), 1)</f>
        <v/>
      </c>
      <c r="I130" s="255">
        <f>G130*H130</f>
        <v/>
      </c>
      <c r="J130" s="250">
        <f>IFERROR(INDEX('06_BANG_GIA_VAT_TU_AP_DUNG'!$E$1:$E$5000, MATCH(E130, '06_BANG_GIA_VAT_TU_AP_DUNG'!$B$1:$B$5000, 0)), 0)</f>
        <v/>
      </c>
      <c r="K130" s="250">
        <f>I130*J130</f>
        <v/>
      </c>
      <c r="L130" t="inlineStr">
        <is>
          <t>Hộp lò xo cơ cấu đóng sập (1 bộ)</t>
        </is>
      </c>
    </row>
    <row r="131">
      <c r="A131" t="inlineStr">
        <is>
          <t>SW-DAMPER-012-SILICON-BOLT</t>
        </is>
      </c>
      <c r="B131" t="inlineStr">
        <is>
          <t>SW-DAMPER-012</t>
        </is>
      </c>
      <c r="C131" t="inlineStr">
        <is>
          <t>Silicon chống cháy + bu lông, ốc vít van FD/MFD</t>
        </is>
      </c>
      <c r="D131" t="inlineStr">
        <is>
          <t>PHỤ_KIỆN_VAN</t>
        </is>
      </c>
      <c r="E131" t="inlineStr">
        <is>
          <t>MAT-DAMPER-SILICON-BULONG-VIT</t>
        </is>
      </c>
      <c r="F131" t="inlineStr">
        <is>
          <t>Bộ</t>
        </is>
      </c>
      <c r="G131" s="254" t="n">
        <v>1</v>
      </c>
      <c r="H131" s="250">
        <f>IFERROR(INDEX('00_TONG_HOP_BAO_GIA'!$G$1:$G$5000, MATCH(B131, '00_TONG_HOP_BAO_GIA'!$B$1:$B$5000, 0)), 1)</f>
        <v/>
      </c>
      <c r="I131" s="255">
        <f>G131*H131</f>
        <v/>
      </c>
      <c r="J131" s="250">
        <f>IFERROR(INDEX('06_BANG_GIA_VAT_TU_AP_DUNG'!$E$1:$E$5000, MATCH(E131, '06_BANG_GIA_VAT_TU_AP_DUNG'!$B$1:$B$5000, 0)), 0)</f>
        <v/>
      </c>
      <c r="K131" s="250">
        <f>I131*J131</f>
        <v/>
      </c>
      <c r="L131" t="inlineStr">
        <is>
          <t>Keo silicon chống cháy &amp; phụ kiện lắp ghép (1 bộ)</t>
        </is>
      </c>
    </row>
    <row r="132">
      <c r="A132" t="inlineStr">
        <is>
          <t>SW-DAMPER-013-BODY</t>
        </is>
      </c>
      <c r="B132" t="inlineStr">
        <is>
          <t>SW-DAMPER-013</t>
        </is>
      </c>
      <c r="C132" t="inlineStr">
        <is>
          <t>Thân vỏ van VCD bích C30/TDF (0.75mm)</t>
        </is>
      </c>
      <c r="D132" t="inlineStr">
        <is>
          <t>TÔN_CUỘN_MẠ_KẼM</t>
        </is>
      </c>
      <c r="E132" t="inlineStr">
        <is>
          <t>MAT-STEEL-PN-0.75</t>
        </is>
      </c>
      <c r="F132" t="inlineStr">
        <is>
          <t>kg</t>
        </is>
      </c>
      <c r="G132" s="254" t="n">
        <v>1.256710772900337</v>
      </c>
      <c r="H132" s="250">
        <f>IFERROR(INDEX('00_TONG_HOP_BAO_GIA'!$G$1:$G$5000, MATCH(B132, '00_TONG_HOP_BAO_GIA'!$B$1:$B$5000, 0)), 1)</f>
        <v/>
      </c>
      <c r="I132" s="255">
        <f>G132*H132</f>
        <v/>
      </c>
      <c r="J132" s="250">
        <f>IFERROR(INDEX('06_BANG_GIA_VAT_TU_AP_DUNG'!$E$1:$E$5000, MATCH(E132, '06_BANG_GIA_VAT_TU_AP_DUNG'!$B$1:$B$5000, 0)), 0)</f>
        <v/>
      </c>
      <c r="K132" s="250">
        <f>I132*J132</f>
        <v/>
      </c>
      <c r="L132" t="inlineStr">
        <is>
          <t>Kích thước vỏ 150x100x210mm</t>
        </is>
      </c>
    </row>
    <row r="133">
      <c r="A133" t="inlineStr">
        <is>
          <t>SW-DAMPER-013-BLADE</t>
        </is>
      </c>
      <c r="B133" t="inlineStr">
        <is>
          <t>SW-DAMPER-013</t>
        </is>
      </c>
      <c r="C133" t="inlineStr">
        <is>
          <t>Lá cánh / Tôn tấm bọc van (1 cánh)</t>
        </is>
      </c>
      <c r="D133" t="inlineStr">
        <is>
          <t>TÔN_CUỘN_MẠ_KẼM</t>
        </is>
      </c>
      <c r="E133" t="inlineStr">
        <is>
          <t>MAT-STEEL-PN-0.75</t>
        </is>
      </c>
      <c r="F133" t="inlineStr">
        <is>
          <t>kg</t>
        </is>
      </c>
      <c r="G133" s="254" t="n">
        <v>0.1538829517837147</v>
      </c>
      <c r="H133" s="250">
        <f>IFERROR(INDEX('00_TONG_HOP_BAO_GIA'!$G$1:$G$5000, MATCH(B133, '00_TONG_HOP_BAO_GIA'!$B$1:$B$5000, 0)), 1)</f>
        <v/>
      </c>
      <c r="I133" s="255">
        <f>G133*H133</f>
        <v/>
      </c>
      <c r="J133" s="250">
        <f>IFERROR(INDEX('06_BANG_GIA_VAT_TU_AP_DUNG'!$E$1:$E$5000, MATCH(E133, '06_BANG_GIA_VAT_TU_AP_DUNG'!$B$1:$B$5000, 0)), 0)</f>
        <v/>
      </c>
      <c r="K133" s="250">
        <f>I133*J133</f>
        <v/>
      </c>
      <c r="L133" t="inlineStr">
        <is>
          <t>1 cánh cao 120mm</t>
        </is>
      </c>
    </row>
    <row r="134">
      <c r="A134" t="inlineStr">
        <is>
          <t>SW-DAMPER-013-AXLE</t>
        </is>
      </c>
      <c r="B134" t="inlineStr">
        <is>
          <t>SW-DAMPER-013</t>
        </is>
      </c>
      <c r="C134" t="inlineStr">
        <is>
          <t>Trục Sus 201 D10</t>
        </is>
      </c>
      <c r="D134" t="inlineStr">
        <is>
          <t>PHỤ_KIỆN_VAN</t>
        </is>
      </c>
      <c r="E134" t="inlineStr">
        <is>
          <t>MAT-DAMPER-TRUC-SUS-201-D10</t>
        </is>
      </c>
      <c r="F134" t="inlineStr">
        <is>
          <t>m</t>
        </is>
      </c>
      <c r="G134" s="254" t="n">
        <v>0.2823466390097252</v>
      </c>
      <c r="H134" s="250">
        <f>IFERROR(INDEX('00_TONG_HOP_BAO_GIA'!$G$1:$G$5000, MATCH(B134, '00_TONG_HOP_BAO_GIA'!$B$1:$B$5000, 0)), 1)</f>
        <v/>
      </c>
      <c r="I134" s="255">
        <f>G134*H134</f>
        <v/>
      </c>
      <c r="J134" s="250">
        <f>IFERROR(INDEX('06_BANG_GIA_VAT_TU_AP_DUNG'!$E$1:$E$5000, MATCH(E134, '06_BANG_GIA_VAT_TU_AP_DUNG'!$B$1:$B$5000, 0)), 0)</f>
        <v/>
      </c>
      <c r="K134" s="250">
        <f>I134*J134</f>
        <v/>
      </c>
      <c r="L134" t="inlineStr">
        <is>
          <t>1 trục dài 210mm</t>
        </is>
      </c>
    </row>
    <row r="135">
      <c r="A135" t="inlineStr">
        <is>
          <t>SW-DAMPER-013-BEARING</t>
        </is>
      </c>
      <c r="B135" t="inlineStr">
        <is>
          <t>SW-DAMPER-013</t>
        </is>
      </c>
      <c r="C135" t="inlineStr">
        <is>
          <t>Bạc đồng D10</t>
        </is>
      </c>
      <c r="D135" t="inlineStr">
        <is>
          <t>PHỤ_KIỆN_VAN</t>
        </is>
      </c>
      <c r="E135" t="inlineStr">
        <is>
          <t>MAT-DAMPER-BAC-DONG-D10</t>
        </is>
      </c>
      <c r="F135" t="inlineStr">
        <is>
          <t>Đôi</t>
        </is>
      </c>
      <c r="G135" s="254" t="n">
        <v>1</v>
      </c>
      <c r="H135" s="250">
        <f>IFERROR(INDEX('00_TONG_HOP_BAO_GIA'!$G$1:$G$5000, MATCH(B135, '00_TONG_HOP_BAO_GIA'!$B$1:$B$5000, 0)), 1)</f>
        <v/>
      </c>
      <c r="I135" s="255">
        <f>G135*H135</f>
        <v/>
      </c>
      <c r="J135" s="250">
        <f>IFERROR(INDEX('06_BANG_GIA_VAT_TU_AP_DUNG'!$E$1:$E$5000, MATCH(E135, '06_BANG_GIA_VAT_TU_AP_DUNG'!$B$1:$B$5000, 0)), 0)</f>
        <v/>
      </c>
      <c r="K135" s="250">
        <f>I135*J135</f>
        <v/>
      </c>
      <c r="L135" t="inlineStr">
        <is>
          <t>1 đôi bạc đỡ 2 bên thân</t>
        </is>
      </c>
    </row>
    <row r="136">
      <c r="A136" t="inlineStr">
        <is>
          <t>SW-DAMPER-013-HANDLE</t>
        </is>
      </c>
      <c r="B136" t="inlineStr">
        <is>
          <t>SW-DAMPER-013</t>
        </is>
      </c>
      <c r="C136" t="inlineStr">
        <is>
          <t>Tay gạt nhỏ</t>
        </is>
      </c>
      <c r="D136" t="inlineStr">
        <is>
          <t>PHỤ_KIỆN_VAN</t>
        </is>
      </c>
      <c r="E136" t="inlineStr">
        <is>
          <t>MAT-DAMPER-TAY-GAT-NHO</t>
        </is>
      </c>
      <c r="F136" t="inlineStr">
        <is>
          <t>Bộ</t>
        </is>
      </c>
      <c r="G136" s="254" t="n">
        <v>1</v>
      </c>
      <c r="H136" s="250">
        <f>IFERROR(INDEX('00_TONG_HOP_BAO_GIA'!$G$1:$G$5000, MATCH(B136, '00_TONG_HOP_BAO_GIA'!$B$1:$B$5000, 0)), 1)</f>
        <v/>
      </c>
      <c r="I136" s="255">
        <f>G136*H136</f>
        <v/>
      </c>
      <c r="J136" s="250">
        <f>IFERROR(INDEX('06_BANG_GIA_VAT_TU_AP_DUNG'!$E$1:$E$5000, MATCH(E136, '06_BANG_GIA_VAT_TU_AP_DUNG'!$B$1:$B$5000, 0)), 0)</f>
        <v/>
      </c>
      <c r="K136" s="250">
        <f>I136*J136</f>
        <v/>
      </c>
      <c r="L136" t="inlineStr">
        <is>
          <t>Tay gạt khóa vị trí nan (S=0.01m2)</t>
        </is>
      </c>
    </row>
    <row r="137">
      <c r="A137" t="inlineStr">
        <is>
          <t>SW-DAMPER-014-BODY</t>
        </is>
      </c>
      <c r="B137" t="inlineStr">
        <is>
          <t>SW-DAMPER-014</t>
        </is>
      </c>
      <c r="C137" t="inlineStr">
        <is>
          <t>Thân vỏ van VCD bích C30/TDF (0.75mm)</t>
        </is>
      </c>
      <c r="D137" t="inlineStr">
        <is>
          <t>TÔN_CUỘN_MẠ_KẼM</t>
        </is>
      </c>
      <c r="E137" t="inlineStr">
        <is>
          <t>MAT-STEEL-PN-0.75</t>
        </is>
      </c>
      <c r="F137" t="inlineStr">
        <is>
          <t>kg</t>
        </is>
      </c>
      <c r="G137" s="254" t="n">
        <v>1.482633253802313</v>
      </c>
      <c r="H137" s="250">
        <f>IFERROR(INDEX('00_TONG_HOP_BAO_GIA'!$G$1:$G$5000, MATCH(B137, '00_TONG_HOP_BAO_GIA'!$B$1:$B$5000, 0)), 1)</f>
        <v/>
      </c>
      <c r="I137" s="255">
        <f>G137*H137</f>
        <v/>
      </c>
      <c r="J137" s="250">
        <f>IFERROR(INDEX('06_BANG_GIA_VAT_TU_AP_DUNG'!$E$1:$E$5000, MATCH(E137, '06_BANG_GIA_VAT_TU_AP_DUNG'!$B$1:$B$5000, 0)), 0)</f>
        <v/>
      </c>
      <c r="K137" s="250">
        <f>I137*J137</f>
        <v/>
      </c>
      <c r="L137" t="inlineStr">
        <is>
          <t>Kích thước vỏ 150x150x210mm</t>
        </is>
      </c>
    </row>
    <row r="138">
      <c r="A138" t="inlineStr">
        <is>
          <t>SW-DAMPER-014-BLADE</t>
        </is>
      </c>
      <c r="B138" t="inlineStr">
        <is>
          <t>SW-DAMPER-014</t>
        </is>
      </c>
      <c r="C138" t="inlineStr">
        <is>
          <t>Lá cánh / Tôn tấm bọc van (1 cánh)</t>
        </is>
      </c>
      <c r="D138" t="inlineStr">
        <is>
          <t>TÔN_CUỘN_MẠ_KẼM</t>
        </is>
      </c>
      <c r="E138" t="inlineStr">
        <is>
          <t>MAT-STEEL-PN-0.75</t>
        </is>
      </c>
      <c r="F138" t="inlineStr">
        <is>
          <t>kg</t>
        </is>
      </c>
      <c r="G138" s="254" t="n">
        <v>0.2170053136145605</v>
      </c>
      <c r="H138" s="250">
        <f>IFERROR(INDEX('00_TONG_HOP_BAO_GIA'!$G$1:$G$5000, MATCH(B138, '00_TONG_HOP_BAO_GIA'!$B$1:$B$5000, 0)), 1)</f>
        <v/>
      </c>
      <c r="I138" s="255">
        <f>G138*H138</f>
        <v/>
      </c>
      <c r="J138" s="250">
        <f>IFERROR(INDEX('06_BANG_GIA_VAT_TU_AP_DUNG'!$E$1:$E$5000, MATCH(E138, '06_BANG_GIA_VAT_TU_AP_DUNG'!$B$1:$B$5000, 0)), 0)</f>
        <v/>
      </c>
      <c r="K138" s="250">
        <f>I138*J138</f>
        <v/>
      </c>
      <c r="L138" t="inlineStr">
        <is>
          <t>1 cánh cao 170mm</t>
        </is>
      </c>
    </row>
    <row r="139">
      <c r="A139" t="inlineStr">
        <is>
          <t>SW-DAMPER-014-AXLE</t>
        </is>
      </c>
      <c r="B139" t="inlineStr">
        <is>
          <t>SW-DAMPER-014</t>
        </is>
      </c>
      <c r="C139" t="inlineStr">
        <is>
          <t>Trục Sus 201 D10</t>
        </is>
      </c>
      <c r="D139" t="inlineStr">
        <is>
          <t>PHỤ_KIỆN_VAN</t>
        </is>
      </c>
      <c r="E139" t="inlineStr">
        <is>
          <t>MAT-DAMPER-TRUC-SUS-201-D10</t>
        </is>
      </c>
      <c r="F139" t="inlineStr">
        <is>
          <t>m</t>
        </is>
      </c>
      <c r="G139" s="254" t="n">
        <v>0.2810572592133593</v>
      </c>
      <c r="H139" s="250">
        <f>IFERROR(INDEX('00_TONG_HOP_BAO_GIA'!$G$1:$G$5000, MATCH(B139, '00_TONG_HOP_BAO_GIA'!$B$1:$B$5000, 0)), 1)</f>
        <v/>
      </c>
      <c r="I139" s="255">
        <f>G139*H139</f>
        <v/>
      </c>
      <c r="J139" s="250">
        <f>IFERROR(INDEX('06_BANG_GIA_VAT_TU_AP_DUNG'!$E$1:$E$5000, MATCH(E139, '06_BANG_GIA_VAT_TU_AP_DUNG'!$B$1:$B$5000, 0)), 0)</f>
        <v/>
      </c>
      <c r="K139" s="250">
        <f>I139*J139</f>
        <v/>
      </c>
      <c r="L139" t="inlineStr">
        <is>
          <t>1 trục dài 210mm</t>
        </is>
      </c>
    </row>
    <row r="140">
      <c r="A140" t="inlineStr">
        <is>
          <t>SW-DAMPER-014-BEARING</t>
        </is>
      </c>
      <c r="B140" t="inlineStr">
        <is>
          <t>SW-DAMPER-014</t>
        </is>
      </c>
      <c r="C140" t="inlineStr">
        <is>
          <t>Bạc đồng D10</t>
        </is>
      </c>
      <c r="D140" t="inlineStr">
        <is>
          <t>PHỤ_KIỆN_VAN</t>
        </is>
      </c>
      <c r="E140" t="inlineStr">
        <is>
          <t>MAT-DAMPER-BAC-DONG-D10</t>
        </is>
      </c>
      <c r="F140" t="inlineStr">
        <is>
          <t>Đôi</t>
        </is>
      </c>
      <c r="G140" s="254" t="n">
        <v>1</v>
      </c>
      <c r="H140" s="250">
        <f>IFERROR(INDEX('00_TONG_HOP_BAO_GIA'!$G$1:$G$5000, MATCH(B140, '00_TONG_HOP_BAO_GIA'!$B$1:$B$5000, 0)), 1)</f>
        <v/>
      </c>
      <c r="I140" s="255">
        <f>G140*H140</f>
        <v/>
      </c>
      <c r="J140" s="250">
        <f>IFERROR(INDEX('06_BANG_GIA_VAT_TU_AP_DUNG'!$E$1:$E$5000, MATCH(E140, '06_BANG_GIA_VAT_TU_AP_DUNG'!$B$1:$B$5000, 0)), 0)</f>
        <v/>
      </c>
      <c r="K140" s="250">
        <f>I140*J140</f>
        <v/>
      </c>
      <c r="L140" t="inlineStr">
        <is>
          <t>1 đôi bạc đỡ 2 bên thân</t>
        </is>
      </c>
    </row>
    <row r="141">
      <c r="A141" t="inlineStr">
        <is>
          <t>SW-DAMPER-014-HANDLE</t>
        </is>
      </c>
      <c r="B141" t="inlineStr">
        <is>
          <t>SW-DAMPER-014</t>
        </is>
      </c>
      <c r="C141" t="inlineStr">
        <is>
          <t>Tay gạt nhỏ</t>
        </is>
      </c>
      <c r="D141" t="inlineStr">
        <is>
          <t>PHỤ_KIỆN_VAN</t>
        </is>
      </c>
      <c r="E141" t="inlineStr">
        <is>
          <t>MAT-DAMPER-TAY-GAT-NHO</t>
        </is>
      </c>
      <c r="F141" t="inlineStr">
        <is>
          <t>Bộ</t>
        </is>
      </c>
      <c r="G141" s="254" t="n">
        <v>1</v>
      </c>
      <c r="H141" s="250">
        <f>IFERROR(INDEX('00_TONG_HOP_BAO_GIA'!$G$1:$G$5000, MATCH(B141, '00_TONG_HOP_BAO_GIA'!$B$1:$B$5000, 0)), 1)</f>
        <v/>
      </c>
      <c r="I141" s="255">
        <f>G141*H141</f>
        <v/>
      </c>
      <c r="J141" s="250">
        <f>IFERROR(INDEX('06_BANG_GIA_VAT_TU_AP_DUNG'!$E$1:$E$5000, MATCH(E141, '06_BANG_GIA_VAT_TU_AP_DUNG'!$B$1:$B$5000, 0)), 0)</f>
        <v/>
      </c>
      <c r="K141" s="250">
        <f>I141*J141</f>
        <v/>
      </c>
      <c r="L141" t="inlineStr">
        <is>
          <t>Tay gạt khóa vị trí nan (S=0.02m2)</t>
        </is>
      </c>
    </row>
    <row r="142">
      <c r="A142" t="inlineStr">
        <is>
          <t>SW-DAMPER-015-BODY</t>
        </is>
      </c>
      <c r="B142" t="inlineStr">
        <is>
          <t>SW-DAMPER-015</t>
        </is>
      </c>
      <c r="C142" t="inlineStr">
        <is>
          <t>Thân vỏ van VCD bích C30/TDF (0.75mm)</t>
        </is>
      </c>
      <c r="D142" t="inlineStr">
        <is>
          <t>TÔN_CUỘN_MẠ_KẼM</t>
        </is>
      </c>
      <c r="E142" t="inlineStr">
        <is>
          <t>MAT-STEEL-PN-0.75</t>
        </is>
      </c>
      <c r="F142" t="inlineStr">
        <is>
          <t>kg</t>
        </is>
      </c>
      <c r="G142" s="254" t="n">
        <v>0.7857402825344321</v>
      </c>
      <c r="H142" s="250">
        <f>IFERROR(INDEX('00_TONG_HOP_BAO_GIA'!$G$1:$G$5000, MATCH(B142, '00_TONG_HOP_BAO_GIA'!$B$1:$B$5000, 0)), 1)</f>
        <v/>
      </c>
      <c r="I142" s="255">
        <f>G142*H142</f>
        <v/>
      </c>
      <c r="J142" s="250">
        <f>IFERROR(INDEX('06_BANG_GIA_VAT_TU_AP_DUNG'!$E$1:$E$5000, MATCH(E142, '06_BANG_GIA_VAT_TU_AP_DUNG'!$B$1:$B$5000, 0)), 0)</f>
        <v/>
      </c>
      <c r="K142" s="250">
        <f>I142*J142</f>
        <v/>
      </c>
      <c r="L142" t="inlineStr">
        <is>
          <t>Kích thước vỏ 300x200x210mm</t>
        </is>
      </c>
    </row>
    <row r="143">
      <c r="A143" t="inlineStr">
        <is>
          <t>SW-DAMPER-015-BLADE</t>
        </is>
      </c>
      <c r="B143" t="inlineStr">
        <is>
          <t>SW-DAMPER-015</t>
        </is>
      </c>
      <c r="C143" t="inlineStr">
        <is>
          <t>Lá cánh / Tôn tấm bọc van (2 cánh)</t>
        </is>
      </c>
      <c r="D143" t="inlineStr">
        <is>
          <t>TÔN_CUỘN_MẠ_KẼM</t>
        </is>
      </c>
      <c r="E143" t="inlineStr">
        <is>
          <t>MAT-STEEL-PN-0.75</t>
        </is>
      </c>
      <c r="F143" t="inlineStr">
        <is>
          <t>kg</t>
        </is>
      </c>
      <c r="G143" s="254" t="n">
        <v>0.1998271990118963</v>
      </c>
      <c r="H143" s="250">
        <f>IFERROR(INDEX('00_TONG_HOP_BAO_GIA'!$G$1:$G$5000, MATCH(B143, '00_TONG_HOP_BAO_GIA'!$B$1:$B$5000, 0)), 1)</f>
        <v/>
      </c>
      <c r="I143" s="255">
        <f>G143*H143</f>
        <v/>
      </c>
      <c r="J143" s="250">
        <f>IFERROR(INDEX('06_BANG_GIA_VAT_TU_AP_DUNG'!$E$1:$E$5000, MATCH(E143, '06_BANG_GIA_VAT_TU_AP_DUNG'!$B$1:$B$5000, 0)), 0)</f>
        <v/>
      </c>
      <c r="K143" s="250">
        <f>I143*J143</f>
        <v/>
      </c>
      <c r="L143" t="inlineStr">
        <is>
          <t>2 cánh cao 120mm</t>
        </is>
      </c>
    </row>
    <row r="144">
      <c r="A144" t="inlineStr">
        <is>
          <t>SW-DAMPER-015-AXLE</t>
        </is>
      </c>
      <c r="B144" t="inlineStr">
        <is>
          <t>SW-DAMPER-015</t>
        </is>
      </c>
      <c r="C144" t="inlineStr">
        <is>
          <t>Trục Sus 201 D10</t>
        </is>
      </c>
      <c r="D144" t="inlineStr">
        <is>
          <t>PHỤ_KIỆN_VAN</t>
        </is>
      </c>
      <c r="E144" t="inlineStr">
        <is>
          <t>MAT-DAMPER-TRUC-SUS-201-D10</t>
        </is>
      </c>
      <c r="F144" t="inlineStr">
        <is>
          <t>m</t>
        </is>
      </c>
      <c r="G144" s="254" t="n">
        <v>0.314267828909171</v>
      </c>
      <c r="H144" s="250">
        <f>IFERROR(INDEX('00_TONG_HOP_BAO_GIA'!$G$1:$G$5000, MATCH(B144, '00_TONG_HOP_BAO_GIA'!$B$1:$B$5000, 0)), 1)</f>
        <v/>
      </c>
      <c r="I144" s="255">
        <f>G144*H144</f>
        <v/>
      </c>
      <c r="J144" s="250">
        <f>IFERROR(INDEX('06_BANG_GIA_VAT_TU_AP_DUNG'!$E$1:$E$5000, MATCH(E144, '06_BANG_GIA_VAT_TU_AP_DUNG'!$B$1:$B$5000, 0)), 0)</f>
        <v/>
      </c>
      <c r="K144" s="250">
        <f>I144*J144</f>
        <v/>
      </c>
      <c r="L144" t="inlineStr">
        <is>
          <t>2 trục dài 360mm</t>
        </is>
      </c>
    </row>
    <row r="145">
      <c r="A145" t="inlineStr">
        <is>
          <t>SW-DAMPER-015-BEARING</t>
        </is>
      </c>
      <c r="B145" t="inlineStr">
        <is>
          <t>SW-DAMPER-015</t>
        </is>
      </c>
      <c r="C145" t="inlineStr">
        <is>
          <t>Bạc đồng D10</t>
        </is>
      </c>
      <c r="D145" t="inlineStr">
        <is>
          <t>PHỤ_KIỆN_VAN</t>
        </is>
      </c>
      <c r="E145" t="inlineStr">
        <is>
          <t>MAT-DAMPER-BAC-DONG-D10</t>
        </is>
      </c>
      <c r="F145" t="inlineStr">
        <is>
          <t>Đôi</t>
        </is>
      </c>
      <c r="G145" s="254" t="n">
        <v>2</v>
      </c>
      <c r="H145" s="250">
        <f>IFERROR(INDEX('00_TONG_HOP_BAO_GIA'!$G$1:$G$5000, MATCH(B145, '00_TONG_HOP_BAO_GIA'!$B$1:$B$5000, 0)), 1)</f>
        <v/>
      </c>
      <c r="I145" s="255">
        <f>G145*H145</f>
        <v/>
      </c>
      <c r="J145" s="250">
        <f>IFERROR(INDEX('06_BANG_GIA_VAT_TU_AP_DUNG'!$E$1:$E$5000, MATCH(E145, '06_BANG_GIA_VAT_TU_AP_DUNG'!$B$1:$B$5000, 0)), 0)</f>
        <v/>
      </c>
      <c r="K145" s="250">
        <f>I145*J145</f>
        <v/>
      </c>
      <c r="L145" t="inlineStr">
        <is>
          <t>2 đôi bạc đỡ 2 bên thân</t>
        </is>
      </c>
    </row>
    <row r="146">
      <c r="A146" t="inlineStr">
        <is>
          <t>SW-DAMPER-015-GEAR</t>
        </is>
      </c>
      <c r="B146" t="inlineStr">
        <is>
          <t>SW-DAMPER-015</t>
        </is>
      </c>
      <c r="C146" t="inlineStr">
        <is>
          <t>Bánh răng van nhôm</t>
        </is>
      </c>
      <c r="D146" t="inlineStr">
        <is>
          <t>PHỤ_KIỆN_VAN</t>
        </is>
      </c>
      <c r="E146" t="inlineStr">
        <is>
          <t>MAT-DAMPER-BANH-RANG-VAN-NHOM</t>
        </is>
      </c>
      <c r="F146" t="inlineStr">
        <is>
          <t>Bộ</t>
        </is>
      </c>
      <c r="G146" s="254" t="n">
        <v>1</v>
      </c>
      <c r="H146" s="250">
        <f>IFERROR(INDEX('00_TONG_HOP_BAO_GIA'!$G$1:$G$5000, MATCH(B146, '00_TONG_HOP_BAO_GIA'!$B$1:$B$5000, 0)), 1)</f>
        <v/>
      </c>
      <c r="I146" s="255">
        <f>G146*H146</f>
        <v/>
      </c>
      <c r="J146" s="250">
        <f>IFERROR(INDEX('06_BANG_GIA_VAT_TU_AP_DUNG'!$E$1:$E$5000, MATCH(E146, '06_BANG_GIA_VAT_TU_AP_DUNG'!$B$1:$B$5000, 0)), 0)</f>
        <v/>
      </c>
      <c r="K146" s="250">
        <f>I146*J146</f>
        <v/>
      </c>
      <c r="L146" t="inlineStr">
        <is>
          <t>Cơ cấu liên động cánh (1 bộ)</t>
        </is>
      </c>
    </row>
    <row r="147">
      <c r="A147" t="inlineStr">
        <is>
          <t>SW-DAMPER-015-HANDLE</t>
        </is>
      </c>
      <c r="B147" t="inlineStr">
        <is>
          <t>SW-DAMPER-015</t>
        </is>
      </c>
      <c r="C147" t="inlineStr">
        <is>
          <t>Tay gạt nhỏ</t>
        </is>
      </c>
      <c r="D147" t="inlineStr">
        <is>
          <t>PHỤ_KIỆN_VAN</t>
        </is>
      </c>
      <c r="E147" t="inlineStr">
        <is>
          <t>MAT-DAMPER-TAY-GAT-NHO</t>
        </is>
      </c>
      <c r="F147" t="inlineStr">
        <is>
          <t>Bộ</t>
        </is>
      </c>
      <c r="G147" s="254" t="n">
        <v>1</v>
      </c>
      <c r="H147" s="250">
        <f>IFERROR(INDEX('00_TONG_HOP_BAO_GIA'!$G$1:$G$5000, MATCH(B147, '00_TONG_HOP_BAO_GIA'!$B$1:$B$5000, 0)), 1)</f>
        <v/>
      </c>
      <c r="I147" s="255">
        <f>G147*H147</f>
        <v/>
      </c>
      <c r="J147" s="250">
        <f>IFERROR(INDEX('06_BANG_GIA_VAT_TU_AP_DUNG'!$E$1:$E$5000, MATCH(E147, '06_BANG_GIA_VAT_TU_AP_DUNG'!$B$1:$B$5000, 0)), 0)</f>
        <v/>
      </c>
      <c r="K147" s="250">
        <f>I147*J147</f>
        <v/>
      </c>
      <c r="L147" t="inlineStr">
        <is>
          <t>Tay gạt khóa vị trí nan (S=0.06m2)</t>
        </is>
      </c>
    </row>
    <row r="148">
      <c r="A148" t="inlineStr">
        <is>
          <t>SW-DAMPER-016-BODY</t>
        </is>
      </c>
      <c r="B148" t="inlineStr">
        <is>
          <t>SW-DAMPER-016</t>
        </is>
      </c>
      <c r="C148" t="inlineStr">
        <is>
          <t>Thân vỏ van MD bích C30/TDF (0.75mm)</t>
        </is>
      </c>
      <c r="D148" t="inlineStr">
        <is>
          <t>TÔN_CUỘN_MẠ_KẼM</t>
        </is>
      </c>
      <c r="E148" t="inlineStr">
        <is>
          <t>MAT-STEEL-PN-0.75</t>
        </is>
      </c>
      <c r="F148" t="inlineStr">
        <is>
          <t>kg</t>
        </is>
      </c>
      <c r="G148" s="254" t="n">
        <v>2.650974939680923</v>
      </c>
      <c r="H148" s="250">
        <f>IFERROR(INDEX('00_TONG_HOP_BAO_GIA'!$G$1:$G$5000, MATCH(B148, '00_TONG_HOP_BAO_GIA'!$B$1:$B$5000, 0)), 1)</f>
        <v/>
      </c>
      <c r="I148" s="255">
        <f>G148*H148</f>
        <v/>
      </c>
      <c r="J148" s="250">
        <f>IFERROR(INDEX('06_BANG_GIA_VAT_TU_AP_DUNG'!$E$1:$E$5000, MATCH(E148, '06_BANG_GIA_VAT_TU_AP_DUNG'!$B$1:$B$5000, 0)), 0)</f>
        <v/>
      </c>
      <c r="K148" s="250">
        <f>I148*J148</f>
        <v/>
      </c>
      <c r="L148" t="inlineStr">
        <is>
          <t>Kích thước vỏ 150x100x210mm</t>
        </is>
      </c>
    </row>
    <row r="149">
      <c r="A149" t="inlineStr">
        <is>
          <t>SW-DAMPER-016-BLADE</t>
        </is>
      </c>
      <c r="B149" t="inlineStr">
        <is>
          <t>SW-DAMPER-016</t>
        </is>
      </c>
      <c r="C149" t="inlineStr">
        <is>
          <t>Lá cánh / Tôn tấm bọc van (1 cánh)</t>
        </is>
      </c>
      <c r="D149" t="inlineStr">
        <is>
          <t>TÔN_CUỘN_MẠ_KẼM</t>
        </is>
      </c>
      <c r="E149" t="inlineStr">
        <is>
          <t>MAT-STEEL-PN-0.75</t>
        </is>
      </c>
      <c r="F149" t="inlineStr">
        <is>
          <t>kg</t>
        </is>
      </c>
      <c r="G149" s="254" t="n">
        <v>0.3246091762874598</v>
      </c>
      <c r="H149" s="250">
        <f>IFERROR(INDEX('00_TONG_HOP_BAO_GIA'!$G$1:$G$5000, MATCH(B149, '00_TONG_HOP_BAO_GIA'!$B$1:$B$5000, 0)), 1)</f>
        <v/>
      </c>
      <c r="I149" s="255">
        <f>G149*H149</f>
        <v/>
      </c>
      <c r="J149" s="250">
        <f>IFERROR(INDEX('06_BANG_GIA_VAT_TU_AP_DUNG'!$E$1:$E$5000, MATCH(E149, '06_BANG_GIA_VAT_TU_AP_DUNG'!$B$1:$B$5000, 0)), 0)</f>
        <v/>
      </c>
      <c r="K149" s="250">
        <f>I149*J149</f>
        <v/>
      </c>
      <c r="L149" t="inlineStr">
        <is>
          <t>1 cánh cao 120mm</t>
        </is>
      </c>
    </row>
    <row r="150">
      <c r="A150" t="inlineStr">
        <is>
          <t>SW-DAMPER-016-AXLE</t>
        </is>
      </c>
      <c r="B150" t="inlineStr">
        <is>
          <t>SW-DAMPER-016</t>
        </is>
      </c>
      <c r="C150" t="inlineStr">
        <is>
          <t>Trục Sus 201 D10</t>
        </is>
      </c>
      <c r="D150" t="inlineStr">
        <is>
          <t>PHỤ_KIỆN_VAN</t>
        </is>
      </c>
      <c r="E150" t="inlineStr">
        <is>
          <t>MAT-DAMPER-TRUC-SUS-201-D10</t>
        </is>
      </c>
      <c r="F150" t="inlineStr">
        <is>
          <t>m</t>
        </is>
      </c>
      <c r="G150" s="254" t="n">
        <v>0.5955975555063351</v>
      </c>
      <c r="H150" s="250">
        <f>IFERROR(INDEX('00_TONG_HOP_BAO_GIA'!$G$1:$G$5000, MATCH(B150, '00_TONG_HOP_BAO_GIA'!$B$1:$B$5000, 0)), 1)</f>
        <v/>
      </c>
      <c r="I150" s="255">
        <f>G150*H150</f>
        <v/>
      </c>
      <c r="J150" s="250">
        <f>IFERROR(INDEX('06_BANG_GIA_VAT_TU_AP_DUNG'!$E$1:$E$5000, MATCH(E150, '06_BANG_GIA_VAT_TU_AP_DUNG'!$B$1:$B$5000, 0)), 0)</f>
        <v/>
      </c>
      <c r="K150" s="250">
        <f>I150*J150</f>
        <v/>
      </c>
      <c r="L150" t="inlineStr">
        <is>
          <t>1 trục dài 210mm</t>
        </is>
      </c>
    </row>
    <row r="151">
      <c r="A151" t="inlineStr">
        <is>
          <t>SW-DAMPER-016-BEARING</t>
        </is>
      </c>
      <c r="B151" t="inlineStr">
        <is>
          <t>SW-DAMPER-016</t>
        </is>
      </c>
      <c r="C151" t="inlineStr">
        <is>
          <t>Bạc đồng D10</t>
        </is>
      </c>
      <c r="D151" t="inlineStr">
        <is>
          <t>PHỤ_KIỆN_VAN</t>
        </is>
      </c>
      <c r="E151" t="inlineStr">
        <is>
          <t>MAT-DAMPER-BAC-DONG-D10</t>
        </is>
      </c>
      <c r="F151" t="inlineStr">
        <is>
          <t>Đôi</t>
        </is>
      </c>
      <c r="G151" s="254" t="n">
        <v>1</v>
      </c>
      <c r="H151" s="250">
        <f>IFERROR(INDEX('00_TONG_HOP_BAO_GIA'!$G$1:$G$5000, MATCH(B151, '00_TONG_HOP_BAO_GIA'!$B$1:$B$5000, 0)), 1)</f>
        <v/>
      </c>
      <c r="I151" s="255">
        <f>G151*H151</f>
        <v/>
      </c>
      <c r="J151" s="250">
        <f>IFERROR(INDEX('06_BANG_GIA_VAT_TU_AP_DUNG'!$E$1:$E$5000, MATCH(E151, '06_BANG_GIA_VAT_TU_AP_DUNG'!$B$1:$B$5000, 0)), 0)</f>
        <v/>
      </c>
      <c r="K151" s="250">
        <f>I151*J151</f>
        <v/>
      </c>
      <c r="L151" t="inlineStr">
        <is>
          <t>1 đôi bạc đỡ 2 bên thân</t>
        </is>
      </c>
    </row>
    <row r="152">
      <c r="A152" t="inlineStr">
        <is>
          <t>SW-DAMPER-016-ACTUATOR</t>
        </is>
      </c>
      <c r="B152" t="inlineStr">
        <is>
          <t>SW-DAMPER-016</t>
        </is>
      </c>
      <c r="C152" t="inlineStr">
        <is>
          <t>Động cơ van gió Belimo ON/OFF 5Nm</t>
        </is>
      </c>
      <c r="D152" t="inlineStr">
        <is>
          <t>ĐỘNG_CƠ_VÀ_CẢM_BIẾN</t>
        </is>
      </c>
      <c r="E152" t="inlineStr">
        <is>
          <t>MAT-ACTUATOR-BELIMO-5NM</t>
        </is>
      </c>
      <c r="F152" t="inlineStr">
        <is>
          <t>Cái</t>
        </is>
      </c>
      <c r="G152" s="254" t="n">
        <v>1</v>
      </c>
      <c r="H152" s="250">
        <f>IFERROR(INDEX('00_TONG_HOP_BAO_GIA'!$G$1:$G$5000, MATCH(B152, '00_TONG_HOP_BAO_GIA'!$B$1:$B$5000, 0)), 1)</f>
        <v/>
      </c>
      <c r="I152" s="255">
        <f>G152*H152</f>
        <v/>
      </c>
      <c r="J152" s="250">
        <f>IFERROR(INDEX('06_BANG_GIA_VAT_TU_AP_DUNG'!$E$1:$E$5000, MATCH(E152, '06_BANG_GIA_VAT_TU_AP_DUNG'!$B$1:$B$5000, 0)), 0)</f>
        <v/>
      </c>
      <c r="K152" s="250">
        <f>I152*J152</f>
        <v/>
      </c>
      <c r="L152" t="inlineStr">
        <is>
          <t>Tiết diện 0.01m2/modul (1 bộ)</t>
        </is>
      </c>
    </row>
    <row r="153">
      <c r="A153" t="inlineStr">
        <is>
          <t>SW-DAMPER-017-BODY</t>
        </is>
      </c>
      <c r="B153" t="inlineStr">
        <is>
          <t>SW-DAMPER-017</t>
        </is>
      </c>
      <c r="C153" t="inlineStr">
        <is>
          <t>Thân vỏ van MD bích C30/TDF (0.75mm)</t>
        </is>
      </c>
      <c r="D153" t="inlineStr">
        <is>
          <t>TÔN_CUỘN_MẠ_KẼM</t>
        </is>
      </c>
      <c r="E153" t="inlineStr">
        <is>
          <t>MAT-STEEL-PN-0.75</t>
        </is>
      </c>
      <c r="F153" t="inlineStr">
        <is>
          <t>kg</t>
        </is>
      </c>
      <c r="G153" s="254" t="n">
        <v>2.926438744135771</v>
      </c>
      <c r="H153" s="250">
        <f>IFERROR(INDEX('00_TONG_HOP_BAO_GIA'!$G$1:$G$5000, MATCH(B153, '00_TONG_HOP_BAO_GIA'!$B$1:$B$5000, 0)), 1)</f>
        <v/>
      </c>
      <c r="I153" s="255">
        <f>G153*H153</f>
        <v/>
      </c>
      <c r="J153" s="250">
        <f>IFERROR(INDEX('06_BANG_GIA_VAT_TU_AP_DUNG'!$E$1:$E$5000, MATCH(E153, '06_BANG_GIA_VAT_TU_AP_DUNG'!$B$1:$B$5000, 0)), 0)</f>
        <v/>
      </c>
      <c r="K153" s="250">
        <f>I153*J153</f>
        <v/>
      </c>
      <c r="L153" t="inlineStr">
        <is>
          <t>Kích thước vỏ 150x150x210mm</t>
        </is>
      </c>
    </row>
    <row r="154">
      <c r="A154" t="inlineStr">
        <is>
          <t>SW-DAMPER-017-BLADE</t>
        </is>
      </c>
      <c r="B154" t="inlineStr">
        <is>
          <t>SW-DAMPER-017</t>
        </is>
      </c>
      <c r="C154" t="inlineStr">
        <is>
          <t>Lá cánh / Tôn tấm bọc van (1 cánh)</t>
        </is>
      </c>
      <c r="D154" t="inlineStr">
        <is>
          <t>TÔN_CUỘN_MẠ_KẼM</t>
        </is>
      </c>
      <c r="E154" t="inlineStr">
        <is>
          <t>MAT-STEEL-PN-0.75</t>
        </is>
      </c>
      <c r="F154" t="inlineStr">
        <is>
          <t>kg</t>
        </is>
      </c>
      <c r="G154" s="254" t="n">
        <v>0.4283276095530354</v>
      </c>
      <c r="H154" s="250">
        <f>IFERROR(INDEX('00_TONG_HOP_BAO_GIA'!$G$1:$G$5000, MATCH(B154, '00_TONG_HOP_BAO_GIA'!$B$1:$B$5000, 0)), 1)</f>
        <v/>
      </c>
      <c r="I154" s="255">
        <f>G154*H154</f>
        <v/>
      </c>
      <c r="J154" s="250">
        <f>IFERROR(INDEX('06_BANG_GIA_VAT_TU_AP_DUNG'!$E$1:$E$5000, MATCH(E154, '06_BANG_GIA_VAT_TU_AP_DUNG'!$B$1:$B$5000, 0)), 0)</f>
        <v/>
      </c>
      <c r="K154" s="250">
        <f>I154*J154</f>
        <v/>
      </c>
      <c r="L154" t="inlineStr">
        <is>
          <t>1 cánh cao 170mm</t>
        </is>
      </c>
    </row>
    <row r="155">
      <c r="A155" t="inlineStr">
        <is>
          <t>SW-DAMPER-017-AXLE</t>
        </is>
      </c>
      <c r="B155" t="inlineStr">
        <is>
          <t>SW-DAMPER-017</t>
        </is>
      </c>
      <c r="C155" t="inlineStr">
        <is>
          <t>Trục Sus 201 D10</t>
        </is>
      </c>
      <c r="D155" t="inlineStr">
        <is>
          <t>PHỤ_KIỆN_VAN</t>
        </is>
      </c>
      <c r="E155" t="inlineStr">
        <is>
          <t>MAT-DAMPER-TRUC-SUS-201-D10</t>
        </is>
      </c>
      <c r="F155" t="inlineStr">
        <is>
          <t>m</t>
        </is>
      </c>
      <c r="G155" s="254" t="n">
        <v>0.5547540840415096</v>
      </c>
      <c r="H155" s="250">
        <f>IFERROR(INDEX('00_TONG_HOP_BAO_GIA'!$G$1:$G$5000, MATCH(B155, '00_TONG_HOP_BAO_GIA'!$B$1:$B$5000, 0)), 1)</f>
        <v/>
      </c>
      <c r="I155" s="255">
        <f>G155*H155</f>
        <v/>
      </c>
      <c r="J155" s="250">
        <f>IFERROR(INDEX('06_BANG_GIA_VAT_TU_AP_DUNG'!$E$1:$E$5000, MATCH(E155, '06_BANG_GIA_VAT_TU_AP_DUNG'!$B$1:$B$5000, 0)), 0)</f>
        <v/>
      </c>
      <c r="K155" s="250">
        <f>I155*J155</f>
        <v/>
      </c>
      <c r="L155" t="inlineStr">
        <is>
          <t>1 trục dài 210mm</t>
        </is>
      </c>
    </row>
    <row r="156">
      <c r="A156" t="inlineStr">
        <is>
          <t>SW-DAMPER-017-BEARING</t>
        </is>
      </c>
      <c r="B156" t="inlineStr">
        <is>
          <t>SW-DAMPER-017</t>
        </is>
      </c>
      <c r="C156" t="inlineStr">
        <is>
          <t>Bạc đồng D10</t>
        </is>
      </c>
      <c r="D156" t="inlineStr">
        <is>
          <t>PHỤ_KIỆN_VAN</t>
        </is>
      </c>
      <c r="E156" t="inlineStr">
        <is>
          <t>MAT-DAMPER-BAC-DONG-D10</t>
        </is>
      </c>
      <c r="F156" t="inlineStr">
        <is>
          <t>Đôi</t>
        </is>
      </c>
      <c r="G156" s="254" t="n">
        <v>1</v>
      </c>
      <c r="H156" s="250">
        <f>IFERROR(INDEX('00_TONG_HOP_BAO_GIA'!$G$1:$G$5000, MATCH(B156, '00_TONG_HOP_BAO_GIA'!$B$1:$B$5000, 0)), 1)</f>
        <v/>
      </c>
      <c r="I156" s="255">
        <f>G156*H156</f>
        <v/>
      </c>
      <c r="J156" s="250">
        <f>IFERROR(INDEX('06_BANG_GIA_VAT_TU_AP_DUNG'!$E$1:$E$5000, MATCH(E156, '06_BANG_GIA_VAT_TU_AP_DUNG'!$B$1:$B$5000, 0)), 0)</f>
        <v/>
      </c>
      <c r="K156" s="250">
        <f>I156*J156</f>
        <v/>
      </c>
      <c r="L156" t="inlineStr">
        <is>
          <t>1 đôi bạc đỡ 2 bên thân</t>
        </is>
      </c>
    </row>
    <row r="157">
      <c r="A157" t="inlineStr">
        <is>
          <t>SW-DAMPER-017-ACTUATOR</t>
        </is>
      </c>
      <c r="B157" t="inlineStr">
        <is>
          <t>SW-DAMPER-017</t>
        </is>
      </c>
      <c r="C157" t="inlineStr">
        <is>
          <t>Động cơ van gió Belimo ON/OFF 5Nm</t>
        </is>
      </c>
      <c r="D157" t="inlineStr">
        <is>
          <t>ĐỘNG_CƠ_VÀ_CẢM_BIẾN</t>
        </is>
      </c>
      <c r="E157" t="inlineStr">
        <is>
          <t>MAT-ACTUATOR-BELIMO-5NM</t>
        </is>
      </c>
      <c r="F157" t="inlineStr">
        <is>
          <t>Cái</t>
        </is>
      </c>
      <c r="G157" s="254" t="n">
        <v>1</v>
      </c>
      <c r="H157" s="250">
        <f>IFERROR(INDEX('00_TONG_HOP_BAO_GIA'!$G$1:$G$5000, MATCH(B157, '00_TONG_HOP_BAO_GIA'!$B$1:$B$5000, 0)), 1)</f>
        <v/>
      </c>
      <c r="I157" s="255">
        <f>G157*H157</f>
        <v/>
      </c>
      <c r="J157" s="250">
        <f>IFERROR(INDEX('06_BANG_GIA_VAT_TU_AP_DUNG'!$E$1:$E$5000, MATCH(E157, '06_BANG_GIA_VAT_TU_AP_DUNG'!$B$1:$B$5000, 0)), 0)</f>
        <v/>
      </c>
      <c r="K157" s="250">
        <f>I157*J157</f>
        <v/>
      </c>
      <c r="L157" t="inlineStr">
        <is>
          <t>Tiết diện 0.02m2/modul (1 bộ)</t>
        </is>
      </c>
    </row>
    <row r="158">
      <c r="A158" t="inlineStr">
        <is>
          <t>SW-DAMPER-018-BODY</t>
        </is>
      </c>
      <c r="B158" t="inlineStr">
        <is>
          <t>SW-DAMPER-018</t>
        </is>
      </c>
      <c r="C158" t="inlineStr">
        <is>
          <t>Thân vỏ van FD bích C30/TDF (1.15mm)</t>
        </is>
      </c>
      <c r="D158" t="inlineStr">
        <is>
          <t>TÔN_CUỘN_MẠ_KẼM</t>
        </is>
      </c>
      <c r="E158" t="inlineStr">
        <is>
          <t>MAT-STEEL-PN-1.15</t>
        </is>
      </c>
      <c r="F158" t="inlineStr">
        <is>
          <t>kg</t>
        </is>
      </c>
      <c r="G158" s="254" t="n">
        <v>1.854293367090143</v>
      </c>
      <c r="H158" s="250">
        <f>IFERROR(INDEX('00_TONG_HOP_BAO_GIA'!$G$1:$G$5000, MATCH(B158, '00_TONG_HOP_BAO_GIA'!$B$1:$B$5000, 0)), 1)</f>
        <v/>
      </c>
      <c r="I158" s="255">
        <f>G158*H158</f>
        <v/>
      </c>
      <c r="J158" s="250">
        <f>IFERROR(INDEX('06_BANG_GIA_VAT_TU_AP_DUNG'!$E$1:$E$5000, MATCH(E158, '06_BANG_GIA_VAT_TU_AP_DUNG'!$B$1:$B$5000, 0)), 0)</f>
        <v/>
      </c>
      <c r="K158" s="250">
        <f>I158*J158</f>
        <v/>
      </c>
      <c r="L158" t="inlineStr">
        <is>
          <t>Kích thước vỏ 150x150x200mm (Thu côn từ 150x150mm về 150x100mm)</t>
        </is>
      </c>
    </row>
    <row r="159">
      <c r="A159" t="inlineStr">
        <is>
          <t>SW-DAMPER-018-BLADE</t>
        </is>
      </c>
      <c r="B159" t="inlineStr">
        <is>
          <t>SW-DAMPER-018</t>
        </is>
      </c>
      <c r="C159" t="inlineStr">
        <is>
          <t>Lá cánh / Tôn tấm bọc van (1 cánh)</t>
        </is>
      </c>
      <c r="D159" t="inlineStr">
        <is>
          <t>TÔN_CUỘN_MẠ_KẼM</t>
        </is>
      </c>
      <c r="E159" t="inlineStr">
        <is>
          <t>MAT-STEEL-PN-1.15</t>
        </is>
      </c>
      <c r="F159" t="inlineStr">
        <is>
          <t>kg</t>
        </is>
      </c>
      <c r="G159" s="254" t="n">
        <v>0.4598941882664044</v>
      </c>
      <c r="H159" s="250">
        <f>IFERROR(INDEX('00_TONG_HOP_BAO_GIA'!$G$1:$G$5000, MATCH(B159, '00_TONG_HOP_BAO_GIA'!$B$1:$B$5000, 0)), 1)</f>
        <v/>
      </c>
      <c r="I159" s="255">
        <f>G159*H159</f>
        <v/>
      </c>
      <c r="J159" s="250">
        <f>IFERROR(INDEX('06_BANG_GIA_VAT_TU_AP_DUNG'!$E$1:$E$5000, MATCH(E159, '06_BANG_GIA_VAT_TU_AP_DUNG'!$B$1:$B$5000, 0)), 0)</f>
        <v/>
      </c>
      <c r="K159" s="250">
        <f>I159*J159</f>
        <v/>
      </c>
      <c r="L159" t="inlineStr">
        <is>
          <t>Tôn bọc cánh &amp; thân (1 cánh/modul)</t>
        </is>
      </c>
    </row>
    <row r="160">
      <c r="A160" t="inlineStr">
        <is>
          <t>SW-DAMPER-018-AXLE</t>
        </is>
      </c>
      <c r="B160" t="inlineStr">
        <is>
          <t>SW-DAMPER-018</t>
        </is>
      </c>
      <c r="C160" t="inlineStr">
        <is>
          <t>Trục Sus 201 D10</t>
        </is>
      </c>
      <c r="D160" t="inlineStr">
        <is>
          <t>PHỤ_KIỆN_VAN</t>
        </is>
      </c>
      <c r="E160" t="inlineStr">
        <is>
          <t>MAT-DAMPER-TRUC-SUS-201-D10</t>
        </is>
      </c>
      <c r="F160" t="inlineStr">
        <is>
          <t>m</t>
        </is>
      </c>
      <c r="G160" s="254" t="n">
        <v>0.2377372338495214</v>
      </c>
      <c r="H160" s="250">
        <f>IFERROR(INDEX('00_TONG_HOP_BAO_GIA'!$G$1:$G$5000, MATCH(B160, '00_TONG_HOP_BAO_GIA'!$B$1:$B$5000, 0)), 1)</f>
        <v/>
      </c>
      <c r="I160" s="255">
        <f>G160*H160</f>
        <v/>
      </c>
      <c r="J160" s="250">
        <f>IFERROR(INDEX('06_BANG_GIA_VAT_TU_AP_DUNG'!$E$1:$E$5000, MATCH(E160, '06_BANG_GIA_VAT_TU_AP_DUNG'!$B$1:$B$5000, 0)), 0)</f>
        <v/>
      </c>
      <c r="K160" s="250">
        <f>I160*J160</f>
        <v/>
      </c>
      <c r="L160" t="inlineStr">
        <is>
          <t>1 trục dài 210mm</t>
        </is>
      </c>
    </row>
    <row r="161">
      <c r="A161" t="inlineStr">
        <is>
          <t>SW-DAMPER-018-BEARING</t>
        </is>
      </c>
      <c r="B161" t="inlineStr">
        <is>
          <t>SW-DAMPER-018</t>
        </is>
      </c>
      <c r="C161" t="inlineStr">
        <is>
          <t>Bạc đồng D10</t>
        </is>
      </c>
      <c r="D161" t="inlineStr">
        <is>
          <t>PHỤ_KIỆN_VAN</t>
        </is>
      </c>
      <c r="E161" t="inlineStr">
        <is>
          <t>MAT-DAMPER-BAC-DONG-D10</t>
        </is>
      </c>
      <c r="F161" t="inlineStr">
        <is>
          <t>Đôi</t>
        </is>
      </c>
      <c r="G161" s="254" t="n">
        <v>1</v>
      </c>
      <c r="H161" s="250">
        <f>IFERROR(INDEX('00_TONG_HOP_BAO_GIA'!$G$1:$G$5000, MATCH(B161, '00_TONG_HOP_BAO_GIA'!$B$1:$B$5000, 0)), 1)</f>
        <v/>
      </c>
      <c r="I161" s="255">
        <f>G161*H161</f>
        <v/>
      </c>
      <c r="J161" s="250">
        <f>IFERROR(INDEX('06_BANG_GIA_VAT_TU_AP_DUNG'!$E$1:$E$5000, MATCH(E161, '06_BANG_GIA_VAT_TU_AP_DUNG'!$B$1:$B$5000, 0)), 0)</f>
        <v/>
      </c>
      <c r="K161" s="250">
        <f>I161*J161</f>
        <v/>
      </c>
      <c r="L161" t="inlineStr">
        <is>
          <t>1 đôi bạc đỡ 2 bên thân</t>
        </is>
      </c>
    </row>
    <row r="162">
      <c r="A162" t="inlineStr">
        <is>
          <t>SW-DAMPER-018-FUSE</t>
        </is>
      </c>
      <c r="B162" t="inlineStr">
        <is>
          <t>SW-DAMPER-018</t>
        </is>
      </c>
      <c r="C162" t="inlineStr">
        <is>
          <t>Cầu chì nhiệt nóng chảy 70°C/74°C (Elsie/USA)</t>
        </is>
      </c>
      <c r="D162" t="inlineStr">
        <is>
          <t>PHỤ_KIỆN_VAN</t>
        </is>
      </c>
      <c r="E162" t="inlineStr">
        <is>
          <t>MAT-DAMPER-CAU-CHI-USA-1-400X400</t>
        </is>
      </c>
      <c r="F162" t="inlineStr">
        <is>
          <t>Cái</t>
        </is>
      </c>
      <c r="G162" s="254" t="n">
        <v>1</v>
      </c>
      <c r="H162" s="250">
        <f>IFERROR(INDEX('00_TONG_HOP_BAO_GIA'!$G$1:$G$5000, MATCH(B162, '00_TONG_HOP_BAO_GIA'!$B$1:$B$5000, 0)), 1)</f>
        <v/>
      </c>
      <c r="I162" s="255">
        <f>G162*H162</f>
        <v/>
      </c>
      <c r="J162" s="250">
        <f>IFERROR(INDEX('06_BANG_GIA_VAT_TU_AP_DUNG'!$E$1:$E$5000, MATCH(E162, '06_BANG_GIA_VAT_TU_AP_DUNG'!$B$1:$B$5000, 0)), 0)</f>
        <v/>
      </c>
      <c r="K162" s="250">
        <f>I162*J162</f>
        <v/>
      </c>
      <c r="L162" t="inlineStr">
        <is>
          <t>Cầu chì kiểm định PCCC (1 cái)</t>
        </is>
      </c>
    </row>
    <row r="163">
      <c r="A163" t="inlineStr">
        <is>
          <t>SW-DAMPER-018-FB10-BODY</t>
        </is>
      </c>
      <c r="B163" t="inlineStr">
        <is>
          <t>SW-DAMPER-018</t>
        </is>
      </c>
      <c r="C163" t="inlineStr">
        <is>
          <t>Tấm chống cháy dày 10mm bọc thân van FD/MFD (2 lớp)</t>
        </is>
      </c>
      <c r="D163" t="inlineStr">
        <is>
          <t>VẬT_LIỆU_CÁCH_NHIỆT</t>
        </is>
      </c>
      <c r="E163" t="inlineStr">
        <is>
          <t>MAT-FIREBOARD-10MM-BODY</t>
        </is>
      </c>
      <c r="F163" t="inlineStr">
        <is>
          <t>m2</t>
        </is>
      </c>
      <c r="G163" s="254" t="n">
        <v>0.4075495437420367</v>
      </c>
      <c r="H163" s="250">
        <f>IFERROR(INDEX('00_TONG_HOP_BAO_GIA'!$G$1:$G$5000, MATCH(B163, '00_TONG_HOP_BAO_GIA'!$B$1:$B$5000, 0)), 1)</f>
        <v/>
      </c>
      <c r="I163" s="255">
        <f>G163*H163</f>
        <v/>
      </c>
      <c r="J163" s="250">
        <f>IFERROR(INDEX('06_BANG_GIA_VAT_TU_AP_DUNG'!$E$1:$E$5000, MATCH(E163, '06_BANG_GIA_VAT_TU_AP_DUNG'!$B$1:$B$5000, 0)), 0)</f>
        <v/>
      </c>
      <c r="K163" s="250">
        <f>I163*J163</f>
        <v/>
      </c>
      <c r="L163" t="inlineStr">
        <is>
          <t>Bọc 2 lớp tấm 10mm quanh thân L=300mm</t>
        </is>
      </c>
    </row>
    <row r="164">
      <c r="A164" t="inlineStr">
        <is>
          <t>SW-DAMPER-018-FB20-BLADE</t>
        </is>
      </c>
      <c r="B164" t="inlineStr">
        <is>
          <t>SW-DAMPER-018</t>
        </is>
      </c>
      <c r="C164" t="inlineStr">
        <is>
          <t>Tấm chống cháy dày 20mm làm lõi cánh van FD/MFD</t>
        </is>
      </c>
      <c r="D164" t="inlineStr">
        <is>
          <t>VẬT_LIỆU_CÁCH_NHIỆT</t>
        </is>
      </c>
      <c r="E164" t="inlineStr">
        <is>
          <t>MAT-FIREBOARD-20MM-BLADE</t>
        </is>
      </c>
      <c r="F164" t="inlineStr">
        <is>
          <t>m2</t>
        </is>
      </c>
      <c r="G164" s="254" t="n">
        <v>0.02547184648387729</v>
      </c>
      <c r="H164" s="250">
        <f>IFERROR(INDEX('00_TONG_HOP_BAO_GIA'!$G$1:$G$5000, MATCH(B164, '00_TONG_HOP_BAO_GIA'!$B$1:$B$5000, 0)), 1)</f>
        <v/>
      </c>
      <c r="I164" s="255">
        <f>G164*H164</f>
        <v/>
      </c>
      <c r="J164" s="250">
        <f>IFERROR(INDEX('06_BANG_GIA_VAT_TU_AP_DUNG'!$E$1:$E$5000, MATCH(E164, '06_BANG_GIA_VAT_TU_AP_DUNG'!$B$1:$B$5000, 0)), 0)</f>
        <v/>
      </c>
      <c r="K164" s="250">
        <f>I164*J164</f>
        <v/>
      </c>
      <c r="L164" t="inlineStr">
        <is>
          <t>Lõi cánh tấm 20mm (Cánh đơn 150x150mm)</t>
        </is>
      </c>
    </row>
    <row r="165">
      <c r="A165" t="inlineStr">
        <is>
          <t>SW-DAMPER-018-FB10-BLADE</t>
        </is>
      </c>
      <c r="B165" t="inlineStr">
        <is>
          <t>SW-DAMPER-018</t>
        </is>
      </c>
      <c r="C165" t="inlineStr">
        <is>
          <t>Tấm chống cháy dày 10mm ốp 2 mặt cánh van FD/MFD</t>
        </is>
      </c>
      <c r="D165" t="inlineStr">
        <is>
          <t>VẬT_LIỆU_CÁCH_NHIỆT</t>
        </is>
      </c>
      <c r="E165" t="inlineStr">
        <is>
          <t>MAT-FIREBOARD-10MM-BLADE</t>
        </is>
      </c>
      <c r="F165" t="inlineStr">
        <is>
          <t>m2</t>
        </is>
      </c>
      <c r="G165" s="254" t="n">
        <v>0.05094369296775458</v>
      </c>
      <c r="H165" s="250">
        <f>IFERROR(INDEX('00_TONG_HOP_BAO_GIA'!$G$1:$G$5000, MATCH(B165, '00_TONG_HOP_BAO_GIA'!$B$1:$B$5000, 0)), 1)</f>
        <v/>
      </c>
      <c r="I165" s="255">
        <f>G165*H165</f>
        <v/>
      </c>
      <c r="J165" s="250">
        <f>IFERROR(INDEX('06_BANG_GIA_VAT_TU_AP_DUNG'!$E$1:$E$5000, MATCH(E165, '06_BANG_GIA_VAT_TU_AP_DUNG'!$B$1:$B$5000, 0)), 0)</f>
        <v/>
      </c>
      <c r="K165" s="250">
        <f>I165*J165</f>
        <v/>
      </c>
      <c r="L165" t="inlineStr">
        <is>
          <t>Ốp 2 mặt cánh tấm 10mm (Cánh đơn 150x150mm)</t>
        </is>
      </c>
    </row>
    <row r="166">
      <c r="A166" t="inlineStr">
        <is>
          <t>SW-DAMPER-018-SPRING-BOX</t>
        </is>
      </c>
      <c r="B166" t="inlineStr">
        <is>
          <t>SW-DAMPER-018</t>
        </is>
      </c>
      <c r="C166" t="inlineStr">
        <is>
          <t>Hộp lò xo van chặn lửa FD/MFD</t>
        </is>
      </c>
      <c r="D166" t="inlineStr">
        <is>
          <t>PHỤ_KIỆN_VAN</t>
        </is>
      </c>
      <c r="E166" t="inlineStr">
        <is>
          <t>MAT-DAMPER-HOP-LO-XO</t>
        </is>
      </c>
      <c r="F166" t="inlineStr">
        <is>
          <t>Bộ</t>
        </is>
      </c>
      <c r="G166" s="254" t="n">
        <v>1</v>
      </c>
      <c r="H166" s="250">
        <f>IFERROR(INDEX('00_TONG_HOP_BAO_GIA'!$G$1:$G$5000, MATCH(B166, '00_TONG_HOP_BAO_GIA'!$B$1:$B$5000, 0)), 1)</f>
        <v/>
      </c>
      <c r="I166" s="255">
        <f>G166*H166</f>
        <v/>
      </c>
      <c r="J166" s="250">
        <f>IFERROR(INDEX('06_BANG_GIA_VAT_TU_AP_DUNG'!$E$1:$E$5000, MATCH(E166, '06_BANG_GIA_VAT_TU_AP_DUNG'!$B$1:$B$5000, 0)), 0)</f>
        <v/>
      </c>
      <c r="K166" s="250">
        <f>I166*J166</f>
        <v/>
      </c>
      <c r="L166" t="inlineStr">
        <is>
          <t>Hộp lò xo cơ cấu đóng sập (1 bộ)</t>
        </is>
      </c>
    </row>
    <row r="167">
      <c r="A167" t="inlineStr">
        <is>
          <t>SW-DAMPER-018-SILICON-BOLT</t>
        </is>
      </c>
      <c r="B167" t="inlineStr">
        <is>
          <t>SW-DAMPER-018</t>
        </is>
      </c>
      <c r="C167" t="inlineStr">
        <is>
          <t>Silicon chống cháy + bu lông, ốc vít van FD/MFD</t>
        </is>
      </c>
      <c r="D167" t="inlineStr">
        <is>
          <t>PHỤ_KIỆN_VAN</t>
        </is>
      </c>
      <c r="E167" t="inlineStr">
        <is>
          <t>MAT-DAMPER-SILICON-BULONG-VIT</t>
        </is>
      </c>
      <c r="F167" t="inlineStr">
        <is>
          <t>Bộ</t>
        </is>
      </c>
      <c r="G167" s="254" t="n">
        <v>1</v>
      </c>
      <c r="H167" s="250">
        <f>IFERROR(INDEX('00_TONG_HOP_BAO_GIA'!$G$1:$G$5000, MATCH(B167, '00_TONG_HOP_BAO_GIA'!$B$1:$B$5000, 0)), 1)</f>
        <v/>
      </c>
      <c r="I167" s="255">
        <f>G167*H167</f>
        <v/>
      </c>
      <c r="J167" s="250">
        <f>IFERROR(INDEX('06_BANG_GIA_VAT_TU_AP_DUNG'!$E$1:$E$5000, MATCH(E167, '06_BANG_GIA_VAT_TU_AP_DUNG'!$B$1:$B$5000, 0)), 0)</f>
        <v/>
      </c>
      <c r="K167" s="250">
        <f>I167*J167</f>
        <v/>
      </c>
      <c r="L167" t="inlineStr">
        <is>
          <t>Keo silicon chống cháy &amp; phụ kiện lắp ghép (1 bộ)</t>
        </is>
      </c>
    </row>
    <row r="168">
      <c r="A168" t="inlineStr">
        <is>
          <t>SW-DAMPER-019-BODY</t>
        </is>
      </c>
      <c r="B168" t="inlineStr">
        <is>
          <t>SW-DAMPER-019</t>
        </is>
      </c>
      <c r="C168" t="inlineStr">
        <is>
          <t>Thân vỏ van FD bích C30/TDF (1.15mm)</t>
        </is>
      </c>
      <c r="D168" t="inlineStr">
        <is>
          <t>TÔN_CUỘN_MẠ_KẼM</t>
        </is>
      </c>
      <c r="E168" t="inlineStr">
        <is>
          <t>MAT-STEEL-PN-1.15</t>
        </is>
      </c>
      <c r="F168" t="inlineStr">
        <is>
          <t>kg</t>
        </is>
      </c>
      <c r="G168" s="254" t="n">
        <v>1.854293367090143</v>
      </c>
      <c r="H168" s="250">
        <f>IFERROR(INDEX('00_TONG_HOP_BAO_GIA'!$G$1:$G$5000, MATCH(B168, '00_TONG_HOP_BAO_GIA'!$B$1:$B$5000, 0)), 1)</f>
        <v/>
      </c>
      <c r="I168" s="255">
        <f>G168*H168</f>
        <v/>
      </c>
      <c r="J168" s="250">
        <f>IFERROR(INDEX('06_BANG_GIA_VAT_TU_AP_DUNG'!$E$1:$E$5000, MATCH(E168, '06_BANG_GIA_VAT_TU_AP_DUNG'!$B$1:$B$5000, 0)), 0)</f>
        <v/>
      </c>
      <c r="K168" s="250">
        <f>I168*J168</f>
        <v/>
      </c>
      <c r="L168" t="inlineStr">
        <is>
          <t>Kích thước vỏ 150x150x200mm</t>
        </is>
      </c>
    </row>
    <row r="169">
      <c r="A169" t="inlineStr">
        <is>
          <t>SW-DAMPER-019-BLADE</t>
        </is>
      </c>
      <c r="B169" t="inlineStr">
        <is>
          <t>SW-DAMPER-019</t>
        </is>
      </c>
      <c r="C169" t="inlineStr">
        <is>
          <t>Lá cánh / Tôn tấm bọc van (1 cánh)</t>
        </is>
      </c>
      <c r="D169" t="inlineStr">
        <is>
          <t>TÔN_CUỘN_MẠ_KẼM</t>
        </is>
      </c>
      <c r="E169" t="inlineStr">
        <is>
          <t>MAT-STEEL-PN-1.15</t>
        </is>
      </c>
      <c r="F169" t="inlineStr">
        <is>
          <t>kg</t>
        </is>
      </c>
      <c r="G169" s="254" t="n">
        <v>0.4598941882664044</v>
      </c>
      <c r="H169" s="250">
        <f>IFERROR(INDEX('00_TONG_HOP_BAO_GIA'!$G$1:$G$5000, MATCH(B169, '00_TONG_HOP_BAO_GIA'!$B$1:$B$5000, 0)), 1)</f>
        <v/>
      </c>
      <c r="I169" s="255">
        <f>G169*H169</f>
        <v/>
      </c>
      <c r="J169" s="250">
        <f>IFERROR(INDEX('06_BANG_GIA_VAT_TU_AP_DUNG'!$E$1:$E$5000, MATCH(E169, '06_BANG_GIA_VAT_TU_AP_DUNG'!$B$1:$B$5000, 0)), 0)</f>
        <v/>
      </c>
      <c r="K169" s="250">
        <f>I169*J169</f>
        <v/>
      </c>
      <c r="L169" t="inlineStr">
        <is>
          <t>Tôn bọc cánh &amp; thân (1 cánh/modul)</t>
        </is>
      </c>
    </row>
    <row r="170">
      <c r="A170" t="inlineStr">
        <is>
          <t>SW-DAMPER-019-AXLE</t>
        </is>
      </c>
      <c r="B170" t="inlineStr">
        <is>
          <t>SW-DAMPER-019</t>
        </is>
      </c>
      <c r="C170" t="inlineStr">
        <is>
          <t>Trục Sus 201 D10</t>
        </is>
      </c>
      <c r="D170" t="inlineStr">
        <is>
          <t>PHỤ_KIỆN_VAN</t>
        </is>
      </c>
      <c r="E170" t="inlineStr">
        <is>
          <t>MAT-DAMPER-TRUC-SUS-201-D10</t>
        </is>
      </c>
      <c r="F170" t="inlineStr">
        <is>
          <t>m</t>
        </is>
      </c>
      <c r="G170" s="254" t="n">
        <v>0.2377372338495214</v>
      </c>
      <c r="H170" s="250">
        <f>IFERROR(INDEX('00_TONG_HOP_BAO_GIA'!$G$1:$G$5000, MATCH(B170, '00_TONG_HOP_BAO_GIA'!$B$1:$B$5000, 0)), 1)</f>
        <v/>
      </c>
      <c r="I170" s="255">
        <f>G170*H170</f>
        <v/>
      </c>
      <c r="J170" s="250">
        <f>IFERROR(INDEX('06_BANG_GIA_VAT_TU_AP_DUNG'!$E$1:$E$5000, MATCH(E170, '06_BANG_GIA_VAT_TU_AP_DUNG'!$B$1:$B$5000, 0)), 0)</f>
        <v/>
      </c>
      <c r="K170" s="250">
        <f>I170*J170</f>
        <v/>
      </c>
      <c r="L170" t="inlineStr">
        <is>
          <t>1 trục dài 210mm</t>
        </is>
      </c>
    </row>
    <row r="171">
      <c r="A171" t="inlineStr">
        <is>
          <t>SW-DAMPER-019-BEARING</t>
        </is>
      </c>
      <c r="B171" t="inlineStr">
        <is>
          <t>SW-DAMPER-019</t>
        </is>
      </c>
      <c r="C171" t="inlineStr">
        <is>
          <t>Bạc đồng D10</t>
        </is>
      </c>
      <c r="D171" t="inlineStr">
        <is>
          <t>PHỤ_KIỆN_VAN</t>
        </is>
      </c>
      <c r="E171" t="inlineStr">
        <is>
          <t>MAT-DAMPER-BAC-DONG-D10</t>
        </is>
      </c>
      <c r="F171" t="inlineStr">
        <is>
          <t>Đôi</t>
        </is>
      </c>
      <c r="G171" s="254" t="n">
        <v>1</v>
      </c>
      <c r="H171" s="250">
        <f>IFERROR(INDEX('00_TONG_HOP_BAO_GIA'!$G$1:$G$5000, MATCH(B171, '00_TONG_HOP_BAO_GIA'!$B$1:$B$5000, 0)), 1)</f>
        <v/>
      </c>
      <c r="I171" s="255">
        <f>G171*H171</f>
        <v/>
      </c>
      <c r="J171" s="250">
        <f>IFERROR(INDEX('06_BANG_GIA_VAT_TU_AP_DUNG'!$E$1:$E$5000, MATCH(E171, '06_BANG_GIA_VAT_TU_AP_DUNG'!$B$1:$B$5000, 0)), 0)</f>
        <v/>
      </c>
      <c r="K171" s="250">
        <f>I171*J171</f>
        <v/>
      </c>
      <c r="L171" t="inlineStr">
        <is>
          <t>1 đôi bạc đỡ 2 bên thân</t>
        </is>
      </c>
    </row>
    <row r="172">
      <c r="A172" t="inlineStr">
        <is>
          <t>SW-DAMPER-019-FUSE</t>
        </is>
      </c>
      <c r="B172" t="inlineStr">
        <is>
          <t>SW-DAMPER-019</t>
        </is>
      </c>
      <c r="C172" t="inlineStr">
        <is>
          <t>Cầu chì nhiệt nóng chảy 70°C/74°C (Elsie/USA)</t>
        </is>
      </c>
      <c r="D172" t="inlineStr">
        <is>
          <t>PHỤ_KIỆN_VAN</t>
        </is>
      </c>
      <c r="E172" t="inlineStr">
        <is>
          <t>MAT-DAMPER-CAU-CHI-USA-1-400X400</t>
        </is>
      </c>
      <c r="F172" t="inlineStr">
        <is>
          <t>Cái</t>
        </is>
      </c>
      <c r="G172" s="254" t="n">
        <v>1</v>
      </c>
      <c r="H172" s="250">
        <f>IFERROR(INDEX('00_TONG_HOP_BAO_GIA'!$G$1:$G$5000, MATCH(B172, '00_TONG_HOP_BAO_GIA'!$B$1:$B$5000, 0)), 1)</f>
        <v/>
      </c>
      <c r="I172" s="255">
        <f>G172*H172</f>
        <v/>
      </c>
      <c r="J172" s="250">
        <f>IFERROR(INDEX('06_BANG_GIA_VAT_TU_AP_DUNG'!$E$1:$E$5000, MATCH(E172, '06_BANG_GIA_VAT_TU_AP_DUNG'!$B$1:$B$5000, 0)), 0)</f>
        <v/>
      </c>
      <c r="K172" s="250">
        <f>I172*J172</f>
        <v/>
      </c>
      <c r="L172" t="inlineStr">
        <is>
          <t>Cầu chì kiểm định PCCC (1 cái)</t>
        </is>
      </c>
    </row>
    <row r="173">
      <c r="A173" t="inlineStr">
        <is>
          <t>SW-DAMPER-019-FB10-BODY</t>
        </is>
      </c>
      <c r="B173" t="inlineStr">
        <is>
          <t>SW-DAMPER-019</t>
        </is>
      </c>
      <c r="C173" t="inlineStr">
        <is>
          <t>Tấm chống cháy dày 10mm bọc thân van FD/MFD (2 lớp)</t>
        </is>
      </c>
      <c r="D173" t="inlineStr">
        <is>
          <t>VẬT_LIỆU_CÁCH_NHIỆT</t>
        </is>
      </c>
      <c r="E173" t="inlineStr">
        <is>
          <t>MAT-FIREBOARD-10MM-BODY</t>
        </is>
      </c>
      <c r="F173" t="inlineStr">
        <is>
          <t>m2</t>
        </is>
      </c>
      <c r="G173" s="254" t="n">
        <v>0.4075495437420367</v>
      </c>
      <c r="H173" s="250">
        <f>IFERROR(INDEX('00_TONG_HOP_BAO_GIA'!$G$1:$G$5000, MATCH(B173, '00_TONG_HOP_BAO_GIA'!$B$1:$B$5000, 0)), 1)</f>
        <v/>
      </c>
      <c r="I173" s="255">
        <f>G173*H173</f>
        <v/>
      </c>
      <c r="J173" s="250">
        <f>IFERROR(INDEX('06_BANG_GIA_VAT_TU_AP_DUNG'!$E$1:$E$5000, MATCH(E173, '06_BANG_GIA_VAT_TU_AP_DUNG'!$B$1:$B$5000, 0)), 0)</f>
        <v/>
      </c>
      <c r="K173" s="250">
        <f>I173*J173</f>
        <v/>
      </c>
      <c r="L173" t="inlineStr">
        <is>
          <t>Bọc 2 lớp tấm 10mm quanh thân L=300mm</t>
        </is>
      </c>
    </row>
    <row r="174">
      <c r="A174" t="inlineStr">
        <is>
          <t>SW-DAMPER-019-FB20-BLADE</t>
        </is>
      </c>
      <c r="B174" t="inlineStr">
        <is>
          <t>SW-DAMPER-019</t>
        </is>
      </c>
      <c r="C174" t="inlineStr">
        <is>
          <t>Tấm chống cháy dày 20mm làm lõi cánh van FD/MFD</t>
        </is>
      </c>
      <c r="D174" t="inlineStr">
        <is>
          <t>VẬT_LIỆU_CÁCH_NHIỆT</t>
        </is>
      </c>
      <c r="E174" t="inlineStr">
        <is>
          <t>MAT-FIREBOARD-20MM-BLADE</t>
        </is>
      </c>
      <c r="F174" t="inlineStr">
        <is>
          <t>m2</t>
        </is>
      </c>
      <c r="G174" s="254" t="n">
        <v>0.02547184648387729</v>
      </c>
      <c r="H174" s="250">
        <f>IFERROR(INDEX('00_TONG_HOP_BAO_GIA'!$G$1:$G$5000, MATCH(B174, '00_TONG_HOP_BAO_GIA'!$B$1:$B$5000, 0)), 1)</f>
        <v/>
      </c>
      <c r="I174" s="255">
        <f>G174*H174</f>
        <v/>
      </c>
      <c r="J174" s="250">
        <f>IFERROR(INDEX('06_BANG_GIA_VAT_TU_AP_DUNG'!$E$1:$E$5000, MATCH(E174, '06_BANG_GIA_VAT_TU_AP_DUNG'!$B$1:$B$5000, 0)), 0)</f>
        <v/>
      </c>
      <c r="K174" s="250">
        <f>I174*J174</f>
        <v/>
      </c>
      <c r="L174" t="inlineStr">
        <is>
          <t>Lõi cánh tấm 20mm (Cánh đơn 150x150mm)</t>
        </is>
      </c>
    </row>
    <row r="175">
      <c r="A175" t="inlineStr">
        <is>
          <t>SW-DAMPER-019-FB10-BLADE</t>
        </is>
      </c>
      <c r="B175" t="inlineStr">
        <is>
          <t>SW-DAMPER-019</t>
        </is>
      </c>
      <c r="C175" t="inlineStr">
        <is>
          <t>Tấm chống cháy dày 10mm ốp 2 mặt cánh van FD/MFD</t>
        </is>
      </c>
      <c r="D175" t="inlineStr">
        <is>
          <t>VẬT_LIỆU_CÁCH_NHIỆT</t>
        </is>
      </c>
      <c r="E175" t="inlineStr">
        <is>
          <t>MAT-FIREBOARD-10MM-BLADE</t>
        </is>
      </c>
      <c r="F175" t="inlineStr">
        <is>
          <t>m2</t>
        </is>
      </c>
      <c r="G175" s="254" t="n">
        <v>0.05094369296775458</v>
      </c>
      <c r="H175" s="250">
        <f>IFERROR(INDEX('00_TONG_HOP_BAO_GIA'!$G$1:$G$5000, MATCH(B175, '00_TONG_HOP_BAO_GIA'!$B$1:$B$5000, 0)), 1)</f>
        <v/>
      </c>
      <c r="I175" s="255">
        <f>G175*H175</f>
        <v/>
      </c>
      <c r="J175" s="250">
        <f>IFERROR(INDEX('06_BANG_GIA_VAT_TU_AP_DUNG'!$E$1:$E$5000, MATCH(E175, '06_BANG_GIA_VAT_TU_AP_DUNG'!$B$1:$B$5000, 0)), 0)</f>
        <v/>
      </c>
      <c r="K175" s="250">
        <f>I175*J175</f>
        <v/>
      </c>
      <c r="L175" t="inlineStr">
        <is>
          <t>Ốp 2 mặt cánh tấm 10mm (Cánh đơn 150x150mm)</t>
        </is>
      </c>
    </row>
    <row r="176">
      <c r="A176" t="inlineStr">
        <is>
          <t>SW-DAMPER-019-SPRING-BOX</t>
        </is>
      </c>
      <c r="B176" t="inlineStr">
        <is>
          <t>SW-DAMPER-019</t>
        </is>
      </c>
      <c r="C176" t="inlineStr">
        <is>
          <t>Hộp lò xo van chặn lửa FD/MFD</t>
        </is>
      </c>
      <c r="D176" t="inlineStr">
        <is>
          <t>PHỤ_KIỆN_VAN</t>
        </is>
      </c>
      <c r="E176" t="inlineStr">
        <is>
          <t>MAT-DAMPER-HOP-LO-XO</t>
        </is>
      </c>
      <c r="F176" t="inlineStr">
        <is>
          <t>Bộ</t>
        </is>
      </c>
      <c r="G176" s="254" t="n">
        <v>1</v>
      </c>
      <c r="H176" s="250">
        <f>IFERROR(INDEX('00_TONG_HOP_BAO_GIA'!$G$1:$G$5000, MATCH(B176, '00_TONG_HOP_BAO_GIA'!$B$1:$B$5000, 0)), 1)</f>
        <v/>
      </c>
      <c r="I176" s="255">
        <f>G176*H176</f>
        <v/>
      </c>
      <c r="J176" s="250">
        <f>IFERROR(INDEX('06_BANG_GIA_VAT_TU_AP_DUNG'!$E$1:$E$5000, MATCH(E176, '06_BANG_GIA_VAT_TU_AP_DUNG'!$B$1:$B$5000, 0)), 0)</f>
        <v/>
      </c>
      <c r="K176" s="250">
        <f>I176*J176</f>
        <v/>
      </c>
      <c r="L176" t="inlineStr">
        <is>
          <t>Hộp lò xo cơ cấu đóng sập (1 bộ)</t>
        </is>
      </c>
    </row>
    <row r="177">
      <c r="A177" t="inlineStr">
        <is>
          <t>SW-DAMPER-019-SILICON-BOLT</t>
        </is>
      </c>
      <c r="B177" t="inlineStr">
        <is>
          <t>SW-DAMPER-019</t>
        </is>
      </c>
      <c r="C177" t="inlineStr">
        <is>
          <t>Silicon chống cháy + bu lông, ốc vít van FD/MFD</t>
        </is>
      </c>
      <c r="D177" t="inlineStr">
        <is>
          <t>PHỤ_KIỆN_VAN</t>
        </is>
      </c>
      <c r="E177" t="inlineStr">
        <is>
          <t>MAT-DAMPER-SILICON-BULONG-VIT</t>
        </is>
      </c>
      <c r="F177" t="inlineStr">
        <is>
          <t>Bộ</t>
        </is>
      </c>
      <c r="G177" s="254" t="n">
        <v>1</v>
      </c>
      <c r="H177" s="250">
        <f>IFERROR(INDEX('00_TONG_HOP_BAO_GIA'!$G$1:$G$5000, MATCH(B177, '00_TONG_HOP_BAO_GIA'!$B$1:$B$5000, 0)), 1)</f>
        <v/>
      </c>
      <c r="I177" s="255">
        <f>G177*H177</f>
        <v/>
      </c>
      <c r="J177" s="250">
        <f>IFERROR(INDEX('06_BANG_GIA_VAT_TU_AP_DUNG'!$E$1:$E$5000, MATCH(E177, '06_BANG_GIA_VAT_TU_AP_DUNG'!$B$1:$B$5000, 0)), 0)</f>
        <v/>
      </c>
      <c r="K177" s="250">
        <f>I177*J177</f>
        <v/>
      </c>
      <c r="L177" t="inlineStr">
        <is>
          <t>Keo silicon chống cháy &amp; phụ kiện lắp ghép (1 bộ)</t>
        </is>
      </c>
    </row>
    <row r="178">
      <c r="A178" t="inlineStr">
        <is>
          <t>SW-DAMPER-020-BODY</t>
        </is>
      </c>
      <c r="B178" t="inlineStr">
        <is>
          <t>SW-DAMPER-020</t>
        </is>
      </c>
      <c r="C178" t="inlineStr">
        <is>
          <t>Thân vỏ van VCD bích C30/TDF (0.75mm)</t>
        </is>
      </c>
      <c r="D178" t="inlineStr">
        <is>
          <t>TÔN_CUỘN_MẠ_KẼM</t>
        </is>
      </c>
      <c r="E178" t="inlineStr">
        <is>
          <t>MAT-STEEL-PN-0.75</t>
        </is>
      </c>
      <c r="F178" t="inlineStr">
        <is>
          <t>kg</t>
        </is>
      </c>
      <c r="G178" s="254" t="n">
        <v>1.256710772900337</v>
      </c>
      <c r="H178" s="250">
        <f>IFERROR(INDEX('00_TONG_HOP_BAO_GIA'!$G$1:$G$5000, MATCH(B178, '00_TONG_HOP_BAO_GIA'!$B$1:$B$5000, 0)), 1)</f>
        <v/>
      </c>
      <c r="I178" s="255">
        <f>G178*H178</f>
        <v/>
      </c>
      <c r="J178" s="250">
        <f>IFERROR(INDEX('06_BANG_GIA_VAT_TU_AP_DUNG'!$E$1:$E$5000, MATCH(E178, '06_BANG_GIA_VAT_TU_AP_DUNG'!$B$1:$B$5000, 0)), 0)</f>
        <v/>
      </c>
      <c r="K178" s="250">
        <f>I178*J178</f>
        <v/>
      </c>
      <c r="L178" t="inlineStr">
        <is>
          <t>Kích thước vỏ 150x100x210mm</t>
        </is>
      </c>
    </row>
    <row r="179">
      <c r="A179" t="inlineStr">
        <is>
          <t>SW-DAMPER-020-BLADE</t>
        </is>
      </c>
      <c r="B179" t="inlineStr">
        <is>
          <t>SW-DAMPER-020</t>
        </is>
      </c>
      <c r="C179" t="inlineStr">
        <is>
          <t>Lá cánh / Tôn tấm bọc van (1 cánh)</t>
        </is>
      </c>
      <c r="D179" t="inlineStr">
        <is>
          <t>TÔN_CUỘN_MẠ_KẼM</t>
        </is>
      </c>
      <c r="E179" t="inlineStr">
        <is>
          <t>MAT-STEEL-PN-0.75</t>
        </is>
      </c>
      <c r="F179" t="inlineStr">
        <is>
          <t>kg</t>
        </is>
      </c>
      <c r="G179" s="254" t="n">
        <v>0.1538829517837147</v>
      </c>
      <c r="H179" s="250">
        <f>IFERROR(INDEX('00_TONG_HOP_BAO_GIA'!$G$1:$G$5000, MATCH(B179, '00_TONG_HOP_BAO_GIA'!$B$1:$B$5000, 0)), 1)</f>
        <v/>
      </c>
      <c r="I179" s="255">
        <f>G179*H179</f>
        <v/>
      </c>
      <c r="J179" s="250">
        <f>IFERROR(INDEX('06_BANG_GIA_VAT_TU_AP_DUNG'!$E$1:$E$5000, MATCH(E179, '06_BANG_GIA_VAT_TU_AP_DUNG'!$B$1:$B$5000, 0)), 0)</f>
        <v/>
      </c>
      <c r="K179" s="250">
        <f>I179*J179</f>
        <v/>
      </c>
      <c r="L179" t="inlineStr">
        <is>
          <t>1 cánh cao 120mm</t>
        </is>
      </c>
    </row>
    <row r="180">
      <c r="A180" t="inlineStr">
        <is>
          <t>SW-DAMPER-020-AXLE</t>
        </is>
      </c>
      <c r="B180" t="inlineStr">
        <is>
          <t>SW-DAMPER-020</t>
        </is>
      </c>
      <c r="C180" t="inlineStr">
        <is>
          <t>Trục Sus 201 D10</t>
        </is>
      </c>
      <c r="D180" t="inlineStr">
        <is>
          <t>PHỤ_KIỆN_VAN</t>
        </is>
      </c>
      <c r="E180" t="inlineStr">
        <is>
          <t>MAT-DAMPER-TRUC-SUS-201-D10</t>
        </is>
      </c>
      <c r="F180" t="inlineStr">
        <is>
          <t>m</t>
        </is>
      </c>
      <c r="G180" s="254" t="n">
        <v>0.2823466390097252</v>
      </c>
      <c r="H180" s="250">
        <f>IFERROR(INDEX('00_TONG_HOP_BAO_GIA'!$G$1:$G$5000, MATCH(B180, '00_TONG_HOP_BAO_GIA'!$B$1:$B$5000, 0)), 1)</f>
        <v/>
      </c>
      <c r="I180" s="255">
        <f>G180*H180</f>
        <v/>
      </c>
      <c r="J180" s="250">
        <f>IFERROR(INDEX('06_BANG_GIA_VAT_TU_AP_DUNG'!$E$1:$E$5000, MATCH(E180, '06_BANG_GIA_VAT_TU_AP_DUNG'!$B$1:$B$5000, 0)), 0)</f>
        <v/>
      </c>
      <c r="K180" s="250">
        <f>I180*J180</f>
        <v/>
      </c>
      <c r="L180" t="inlineStr">
        <is>
          <t>1 trục dài 210mm</t>
        </is>
      </c>
    </row>
    <row r="181">
      <c r="A181" t="inlineStr">
        <is>
          <t>SW-DAMPER-020-BEARING</t>
        </is>
      </c>
      <c r="B181" t="inlineStr">
        <is>
          <t>SW-DAMPER-020</t>
        </is>
      </c>
      <c r="C181" t="inlineStr">
        <is>
          <t>Bạc đồng D10</t>
        </is>
      </c>
      <c r="D181" t="inlineStr">
        <is>
          <t>PHỤ_KIỆN_VAN</t>
        </is>
      </c>
      <c r="E181" t="inlineStr">
        <is>
          <t>MAT-DAMPER-BAC-DONG-D10</t>
        </is>
      </c>
      <c r="F181" t="inlineStr">
        <is>
          <t>Đôi</t>
        </is>
      </c>
      <c r="G181" s="254" t="n">
        <v>1</v>
      </c>
      <c r="H181" s="250">
        <f>IFERROR(INDEX('00_TONG_HOP_BAO_GIA'!$G$1:$G$5000, MATCH(B181, '00_TONG_HOP_BAO_GIA'!$B$1:$B$5000, 0)), 1)</f>
        <v/>
      </c>
      <c r="I181" s="255">
        <f>G181*H181</f>
        <v/>
      </c>
      <c r="J181" s="250">
        <f>IFERROR(INDEX('06_BANG_GIA_VAT_TU_AP_DUNG'!$E$1:$E$5000, MATCH(E181, '06_BANG_GIA_VAT_TU_AP_DUNG'!$B$1:$B$5000, 0)), 0)</f>
        <v/>
      </c>
      <c r="K181" s="250">
        <f>I181*J181</f>
        <v/>
      </c>
      <c r="L181" t="inlineStr">
        <is>
          <t>1 đôi bạc đỡ 2 bên thân</t>
        </is>
      </c>
    </row>
    <row r="182">
      <c r="A182" t="inlineStr">
        <is>
          <t>SW-DAMPER-020-HANDLE</t>
        </is>
      </c>
      <c r="B182" t="inlineStr">
        <is>
          <t>SW-DAMPER-020</t>
        </is>
      </c>
      <c r="C182" t="inlineStr">
        <is>
          <t>Tay gạt nhỏ</t>
        </is>
      </c>
      <c r="D182" t="inlineStr">
        <is>
          <t>PHỤ_KIỆN_VAN</t>
        </is>
      </c>
      <c r="E182" t="inlineStr">
        <is>
          <t>MAT-DAMPER-TAY-GAT-NHO</t>
        </is>
      </c>
      <c r="F182" t="inlineStr">
        <is>
          <t>Bộ</t>
        </is>
      </c>
      <c r="G182" s="254" t="n">
        <v>1</v>
      </c>
      <c r="H182" s="250">
        <f>IFERROR(INDEX('00_TONG_HOP_BAO_GIA'!$G$1:$G$5000, MATCH(B182, '00_TONG_HOP_BAO_GIA'!$B$1:$B$5000, 0)), 1)</f>
        <v/>
      </c>
      <c r="I182" s="255">
        <f>G182*H182</f>
        <v/>
      </c>
      <c r="J182" s="250">
        <f>IFERROR(INDEX('06_BANG_GIA_VAT_TU_AP_DUNG'!$E$1:$E$5000, MATCH(E182, '06_BANG_GIA_VAT_TU_AP_DUNG'!$B$1:$B$5000, 0)), 0)</f>
        <v/>
      </c>
      <c r="K182" s="250">
        <f>I182*J182</f>
        <v/>
      </c>
      <c r="L182" t="inlineStr">
        <is>
          <t>Tay gạt khóa vị trí nan (S=0.01m2)</t>
        </is>
      </c>
    </row>
    <row r="183">
      <c r="A183" t="inlineStr">
        <is>
          <t>SW-DAMPER-021-BODY</t>
        </is>
      </c>
      <c r="B183" t="inlineStr">
        <is>
          <t>SW-DAMPER-021</t>
        </is>
      </c>
      <c r="C183" t="inlineStr">
        <is>
          <t>Thân vỏ van VCD bích C30/TDF (0.75mm)</t>
        </is>
      </c>
      <c r="D183" t="inlineStr">
        <is>
          <t>TÔN_CUỘN_MẠ_KẼM</t>
        </is>
      </c>
      <c r="E183" t="inlineStr">
        <is>
          <t>MAT-STEEL-PN-0.75</t>
        </is>
      </c>
      <c r="F183" t="inlineStr">
        <is>
          <t>kg</t>
        </is>
      </c>
      <c r="G183" s="254" t="n">
        <v>1.482633253802313</v>
      </c>
      <c r="H183" s="250">
        <f>IFERROR(INDEX('00_TONG_HOP_BAO_GIA'!$G$1:$G$5000, MATCH(B183, '00_TONG_HOP_BAO_GIA'!$B$1:$B$5000, 0)), 1)</f>
        <v/>
      </c>
      <c r="I183" s="255">
        <f>G183*H183</f>
        <v/>
      </c>
      <c r="J183" s="250">
        <f>IFERROR(INDEX('06_BANG_GIA_VAT_TU_AP_DUNG'!$E$1:$E$5000, MATCH(E183, '06_BANG_GIA_VAT_TU_AP_DUNG'!$B$1:$B$5000, 0)), 0)</f>
        <v/>
      </c>
      <c r="K183" s="250">
        <f>I183*J183</f>
        <v/>
      </c>
      <c r="L183" t="inlineStr">
        <is>
          <t>Kích thước vỏ 150x150x210mm</t>
        </is>
      </c>
    </row>
    <row r="184">
      <c r="A184" t="inlineStr">
        <is>
          <t>SW-DAMPER-021-BLADE</t>
        </is>
      </c>
      <c r="B184" t="inlineStr">
        <is>
          <t>SW-DAMPER-021</t>
        </is>
      </c>
      <c r="C184" t="inlineStr">
        <is>
          <t>Lá cánh / Tôn tấm bọc van (1 cánh)</t>
        </is>
      </c>
      <c r="D184" t="inlineStr">
        <is>
          <t>TÔN_CUỘN_MẠ_KẼM</t>
        </is>
      </c>
      <c r="E184" t="inlineStr">
        <is>
          <t>MAT-STEEL-PN-0.75</t>
        </is>
      </c>
      <c r="F184" t="inlineStr">
        <is>
          <t>kg</t>
        </is>
      </c>
      <c r="G184" s="254" t="n">
        <v>0.2170053136145605</v>
      </c>
      <c r="H184" s="250">
        <f>IFERROR(INDEX('00_TONG_HOP_BAO_GIA'!$G$1:$G$5000, MATCH(B184, '00_TONG_HOP_BAO_GIA'!$B$1:$B$5000, 0)), 1)</f>
        <v/>
      </c>
      <c r="I184" s="255">
        <f>G184*H184</f>
        <v/>
      </c>
      <c r="J184" s="250">
        <f>IFERROR(INDEX('06_BANG_GIA_VAT_TU_AP_DUNG'!$E$1:$E$5000, MATCH(E184, '06_BANG_GIA_VAT_TU_AP_DUNG'!$B$1:$B$5000, 0)), 0)</f>
        <v/>
      </c>
      <c r="K184" s="250">
        <f>I184*J184</f>
        <v/>
      </c>
      <c r="L184" t="inlineStr">
        <is>
          <t>1 cánh cao 170mm</t>
        </is>
      </c>
    </row>
    <row r="185">
      <c r="A185" t="inlineStr">
        <is>
          <t>SW-DAMPER-021-AXLE</t>
        </is>
      </c>
      <c r="B185" t="inlineStr">
        <is>
          <t>SW-DAMPER-021</t>
        </is>
      </c>
      <c r="C185" t="inlineStr">
        <is>
          <t>Trục Sus 201 D10</t>
        </is>
      </c>
      <c r="D185" t="inlineStr">
        <is>
          <t>PHỤ_KIỆN_VAN</t>
        </is>
      </c>
      <c r="E185" t="inlineStr">
        <is>
          <t>MAT-DAMPER-TRUC-SUS-201-D10</t>
        </is>
      </c>
      <c r="F185" t="inlineStr">
        <is>
          <t>m</t>
        </is>
      </c>
      <c r="G185" s="254" t="n">
        <v>0.2810572592133593</v>
      </c>
      <c r="H185" s="250">
        <f>IFERROR(INDEX('00_TONG_HOP_BAO_GIA'!$G$1:$G$5000, MATCH(B185, '00_TONG_HOP_BAO_GIA'!$B$1:$B$5000, 0)), 1)</f>
        <v/>
      </c>
      <c r="I185" s="255">
        <f>G185*H185</f>
        <v/>
      </c>
      <c r="J185" s="250">
        <f>IFERROR(INDEX('06_BANG_GIA_VAT_TU_AP_DUNG'!$E$1:$E$5000, MATCH(E185, '06_BANG_GIA_VAT_TU_AP_DUNG'!$B$1:$B$5000, 0)), 0)</f>
        <v/>
      </c>
      <c r="K185" s="250">
        <f>I185*J185</f>
        <v/>
      </c>
      <c r="L185" t="inlineStr">
        <is>
          <t>1 trục dài 210mm</t>
        </is>
      </c>
    </row>
    <row r="186">
      <c r="A186" t="inlineStr">
        <is>
          <t>SW-DAMPER-021-BEARING</t>
        </is>
      </c>
      <c r="B186" t="inlineStr">
        <is>
          <t>SW-DAMPER-021</t>
        </is>
      </c>
      <c r="C186" t="inlineStr">
        <is>
          <t>Bạc đồng D10</t>
        </is>
      </c>
      <c r="D186" t="inlineStr">
        <is>
          <t>PHỤ_KIỆN_VAN</t>
        </is>
      </c>
      <c r="E186" t="inlineStr">
        <is>
          <t>MAT-DAMPER-BAC-DONG-D10</t>
        </is>
      </c>
      <c r="F186" t="inlineStr">
        <is>
          <t>Đôi</t>
        </is>
      </c>
      <c r="G186" s="254" t="n">
        <v>1</v>
      </c>
      <c r="H186" s="250">
        <f>IFERROR(INDEX('00_TONG_HOP_BAO_GIA'!$G$1:$G$5000, MATCH(B186, '00_TONG_HOP_BAO_GIA'!$B$1:$B$5000, 0)), 1)</f>
        <v/>
      </c>
      <c r="I186" s="255">
        <f>G186*H186</f>
        <v/>
      </c>
      <c r="J186" s="250">
        <f>IFERROR(INDEX('06_BANG_GIA_VAT_TU_AP_DUNG'!$E$1:$E$5000, MATCH(E186, '06_BANG_GIA_VAT_TU_AP_DUNG'!$B$1:$B$5000, 0)), 0)</f>
        <v/>
      </c>
      <c r="K186" s="250">
        <f>I186*J186</f>
        <v/>
      </c>
      <c r="L186" t="inlineStr">
        <is>
          <t>1 đôi bạc đỡ 2 bên thân</t>
        </is>
      </c>
    </row>
    <row r="187">
      <c r="A187" t="inlineStr">
        <is>
          <t>SW-DAMPER-021-HANDLE</t>
        </is>
      </c>
      <c r="B187" t="inlineStr">
        <is>
          <t>SW-DAMPER-021</t>
        </is>
      </c>
      <c r="C187" t="inlineStr">
        <is>
          <t>Tay gạt nhỏ</t>
        </is>
      </c>
      <c r="D187" t="inlineStr">
        <is>
          <t>PHỤ_KIỆN_VAN</t>
        </is>
      </c>
      <c r="E187" t="inlineStr">
        <is>
          <t>MAT-DAMPER-TAY-GAT-NHO</t>
        </is>
      </c>
      <c r="F187" t="inlineStr">
        <is>
          <t>Bộ</t>
        </is>
      </c>
      <c r="G187" s="254" t="n">
        <v>1</v>
      </c>
      <c r="H187" s="250">
        <f>IFERROR(INDEX('00_TONG_HOP_BAO_GIA'!$G$1:$G$5000, MATCH(B187, '00_TONG_HOP_BAO_GIA'!$B$1:$B$5000, 0)), 1)</f>
        <v/>
      </c>
      <c r="I187" s="255">
        <f>G187*H187</f>
        <v/>
      </c>
      <c r="J187" s="250">
        <f>IFERROR(INDEX('06_BANG_GIA_VAT_TU_AP_DUNG'!$E$1:$E$5000, MATCH(E187, '06_BANG_GIA_VAT_TU_AP_DUNG'!$B$1:$B$5000, 0)), 0)</f>
        <v/>
      </c>
      <c r="K187" s="250">
        <f>I187*J187</f>
        <v/>
      </c>
      <c r="L187" t="inlineStr">
        <is>
          <t>Tay gạt khóa vị trí nan (S=0.02m2)</t>
        </is>
      </c>
    </row>
    <row r="188">
      <c r="A188" t="inlineStr">
        <is>
          <t>SW-DAMPER-022-BODY</t>
        </is>
      </c>
      <c r="B188" t="inlineStr">
        <is>
          <t>SW-DAMPER-022</t>
        </is>
      </c>
      <c r="C188" t="inlineStr">
        <is>
          <t>Thân vỏ van MD bích C30/TDF (0.75mm)</t>
        </is>
      </c>
      <c r="D188" t="inlineStr">
        <is>
          <t>TÔN_CUỘN_MẠ_KẼM</t>
        </is>
      </c>
      <c r="E188" t="inlineStr">
        <is>
          <t>MAT-STEEL-PN-0.75</t>
        </is>
      </c>
      <c r="F188" t="inlineStr">
        <is>
          <t>kg</t>
        </is>
      </c>
      <c r="G188" s="254" t="n">
        <v>2.650974939680923</v>
      </c>
      <c r="H188" s="250">
        <f>IFERROR(INDEX('00_TONG_HOP_BAO_GIA'!$G$1:$G$5000, MATCH(B188, '00_TONG_HOP_BAO_GIA'!$B$1:$B$5000, 0)), 1)</f>
        <v/>
      </c>
      <c r="I188" s="255">
        <f>G188*H188</f>
        <v/>
      </c>
      <c r="J188" s="250">
        <f>IFERROR(INDEX('06_BANG_GIA_VAT_TU_AP_DUNG'!$E$1:$E$5000, MATCH(E188, '06_BANG_GIA_VAT_TU_AP_DUNG'!$B$1:$B$5000, 0)), 0)</f>
        <v/>
      </c>
      <c r="K188" s="250">
        <f>I188*J188</f>
        <v/>
      </c>
      <c r="L188" t="inlineStr">
        <is>
          <t>Kích thước vỏ 150x100x210mm</t>
        </is>
      </c>
    </row>
    <row r="189">
      <c r="A189" t="inlineStr">
        <is>
          <t>SW-DAMPER-022-BLADE</t>
        </is>
      </c>
      <c r="B189" t="inlineStr">
        <is>
          <t>SW-DAMPER-022</t>
        </is>
      </c>
      <c r="C189" t="inlineStr">
        <is>
          <t>Lá cánh / Tôn tấm bọc van (1 cánh)</t>
        </is>
      </c>
      <c r="D189" t="inlineStr">
        <is>
          <t>TÔN_CUỘN_MẠ_KẼM</t>
        </is>
      </c>
      <c r="E189" t="inlineStr">
        <is>
          <t>MAT-STEEL-PN-0.75</t>
        </is>
      </c>
      <c r="F189" t="inlineStr">
        <is>
          <t>kg</t>
        </is>
      </c>
      <c r="G189" s="254" t="n">
        <v>0.3246091762874598</v>
      </c>
      <c r="H189" s="250">
        <f>IFERROR(INDEX('00_TONG_HOP_BAO_GIA'!$G$1:$G$5000, MATCH(B189, '00_TONG_HOP_BAO_GIA'!$B$1:$B$5000, 0)), 1)</f>
        <v/>
      </c>
      <c r="I189" s="255">
        <f>G189*H189</f>
        <v/>
      </c>
      <c r="J189" s="250">
        <f>IFERROR(INDEX('06_BANG_GIA_VAT_TU_AP_DUNG'!$E$1:$E$5000, MATCH(E189, '06_BANG_GIA_VAT_TU_AP_DUNG'!$B$1:$B$5000, 0)), 0)</f>
        <v/>
      </c>
      <c r="K189" s="250">
        <f>I189*J189</f>
        <v/>
      </c>
      <c r="L189" t="inlineStr">
        <is>
          <t>1 cánh cao 120mm</t>
        </is>
      </c>
    </row>
    <row r="190">
      <c r="A190" t="inlineStr">
        <is>
          <t>SW-DAMPER-022-AXLE</t>
        </is>
      </c>
      <c r="B190" t="inlineStr">
        <is>
          <t>SW-DAMPER-022</t>
        </is>
      </c>
      <c r="C190" t="inlineStr">
        <is>
          <t>Trục Sus 201 D10</t>
        </is>
      </c>
      <c r="D190" t="inlineStr">
        <is>
          <t>PHỤ_KIỆN_VAN</t>
        </is>
      </c>
      <c r="E190" t="inlineStr">
        <is>
          <t>MAT-DAMPER-TRUC-SUS-201-D10</t>
        </is>
      </c>
      <c r="F190" t="inlineStr">
        <is>
          <t>m</t>
        </is>
      </c>
      <c r="G190" s="254" t="n">
        <v>0.5955975555063351</v>
      </c>
      <c r="H190" s="250">
        <f>IFERROR(INDEX('00_TONG_HOP_BAO_GIA'!$G$1:$G$5000, MATCH(B190, '00_TONG_HOP_BAO_GIA'!$B$1:$B$5000, 0)), 1)</f>
        <v/>
      </c>
      <c r="I190" s="255">
        <f>G190*H190</f>
        <v/>
      </c>
      <c r="J190" s="250">
        <f>IFERROR(INDEX('06_BANG_GIA_VAT_TU_AP_DUNG'!$E$1:$E$5000, MATCH(E190, '06_BANG_GIA_VAT_TU_AP_DUNG'!$B$1:$B$5000, 0)), 0)</f>
        <v/>
      </c>
      <c r="K190" s="250">
        <f>I190*J190</f>
        <v/>
      </c>
      <c r="L190" t="inlineStr">
        <is>
          <t>1 trục dài 210mm</t>
        </is>
      </c>
    </row>
    <row r="191">
      <c r="A191" t="inlineStr">
        <is>
          <t>SW-DAMPER-022-BEARING</t>
        </is>
      </c>
      <c r="B191" t="inlineStr">
        <is>
          <t>SW-DAMPER-022</t>
        </is>
      </c>
      <c r="C191" t="inlineStr">
        <is>
          <t>Bạc đồng D10</t>
        </is>
      </c>
      <c r="D191" t="inlineStr">
        <is>
          <t>PHỤ_KIỆN_VAN</t>
        </is>
      </c>
      <c r="E191" t="inlineStr">
        <is>
          <t>MAT-DAMPER-BAC-DONG-D10</t>
        </is>
      </c>
      <c r="F191" t="inlineStr">
        <is>
          <t>Đôi</t>
        </is>
      </c>
      <c r="G191" s="254" t="n">
        <v>1</v>
      </c>
      <c r="H191" s="250">
        <f>IFERROR(INDEX('00_TONG_HOP_BAO_GIA'!$G$1:$G$5000, MATCH(B191, '00_TONG_HOP_BAO_GIA'!$B$1:$B$5000, 0)), 1)</f>
        <v/>
      </c>
      <c r="I191" s="255">
        <f>G191*H191</f>
        <v/>
      </c>
      <c r="J191" s="250">
        <f>IFERROR(INDEX('06_BANG_GIA_VAT_TU_AP_DUNG'!$E$1:$E$5000, MATCH(E191, '06_BANG_GIA_VAT_TU_AP_DUNG'!$B$1:$B$5000, 0)), 0)</f>
        <v/>
      </c>
      <c r="K191" s="250">
        <f>I191*J191</f>
        <v/>
      </c>
      <c r="L191" t="inlineStr">
        <is>
          <t>1 đôi bạc đỡ 2 bên thân</t>
        </is>
      </c>
    </row>
    <row r="192">
      <c r="A192" t="inlineStr">
        <is>
          <t>SW-DAMPER-022-ACTUATOR</t>
        </is>
      </c>
      <c r="B192" t="inlineStr">
        <is>
          <t>SW-DAMPER-022</t>
        </is>
      </c>
      <c r="C192" t="inlineStr">
        <is>
          <t>Động cơ van gió Belimo ON/OFF 5Nm</t>
        </is>
      </c>
      <c r="D192" t="inlineStr">
        <is>
          <t>ĐỘNG_CƠ_VÀ_CẢM_BIẾN</t>
        </is>
      </c>
      <c r="E192" t="inlineStr">
        <is>
          <t>MAT-ACTUATOR-BELIMO-5NM</t>
        </is>
      </c>
      <c r="F192" t="inlineStr">
        <is>
          <t>Cái</t>
        </is>
      </c>
      <c r="G192" s="254" t="n">
        <v>1</v>
      </c>
      <c r="H192" s="250">
        <f>IFERROR(INDEX('00_TONG_HOP_BAO_GIA'!$G$1:$G$5000, MATCH(B192, '00_TONG_HOP_BAO_GIA'!$B$1:$B$5000, 0)), 1)</f>
        <v/>
      </c>
      <c r="I192" s="255">
        <f>G192*H192</f>
        <v/>
      </c>
      <c r="J192" s="250">
        <f>IFERROR(INDEX('06_BANG_GIA_VAT_TU_AP_DUNG'!$E$1:$E$5000, MATCH(E192, '06_BANG_GIA_VAT_TU_AP_DUNG'!$B$1:$B$5000, 0)), 0)</f>
        <v/>
      </c>
      <c r="K192" s="250">
        <f>I192*J192</f>
        <v/>
      </c>
      <c r="L192" t="inlineStr">
        <is>
          <t>Tiết diện 0.01m2/modul (1 bộ)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40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249" t="inlineStr">
        <is>
          <t>STT</t>
        </is>
      </c>
      <c r="B1" s="249" t="inlineStr">
        <is>
          <t>MAT_ID</t>
        </is>
      </c>
      <c r="C1" s="249" t="inlineStr">
        <is>
          <t>PHÂN LOẠI</t>
        </is>
      </c>
      <c r="D1" s="249" t="inlineStr">
        <is>
          <t>TÊN VẬT TƯ</t>
        </is>
      </c>
      <c r="E1" s="249" t="inlineStr">
        <is>
          <t>ĐVT</t>
        </is>
      </c>
      <c r="F1" s="249" t="inlineStr">
        <is>
          <t>BAREM KỸ THUẬT</t>
        </is>
      </c>
      <c r="G1" s="249" t="inlineStr">
        <is>
          <t>NGUỒN ĐỐI SOÁT</t>
        </is>
      </c>
    </row>
    <row r="2">
      <c r="A2" t="n">
        <v>1</v>
      </c>
      <c r="B2" t="inlineStr">
        <is>
          <t>MAT-STEEL-DONGBU-0.50</t>
        </is>
      </c>
      <c r="C2" t="inlineStr">
        <is>
          <t>TÔN_CUỘN_MẠ_KẼM</t>
        </is>
      </c>
      <c r="D2" t="inlineStr">
        <is>
          <t>TÔN DONGBU 0.50mm</t>
        </is>
      </c>
      <c r="E2" t="inlineStr">
        <is>
          <t>kg</t>
        </is>
      </c>
      <c r="F2" t="inlineStr">
        <is>
          <t>3.925 kg/m2</t>
        </is>
      </c>
      <c r="G2" t="inlineStr">
        <is>
          <t>Vat tu tôn!R5C2</t>
        </is>
      </c>
    </row>
    <row r="3">
      <c r="A3" t="n">
        <v>2</v>
      </c>
      <c r="B3" t="inlineStr">
        <is>
          <t>MAT-STEEL-DONGBU-0.60</t>
        </is>
      </c>
      <c r="C3" t="inlineStr">
        <is>
          <t>TÔN_CUỘN_MẠ_KẼM</t>
        </is>
      </c>
      <c r="D3" t="inlineStr">
        <is>
          <t>TÔN DONGBU 0.60mm</t>
        </is>
      </c>
      <c r="E3" t="inlineStr">
        <is>
          <t>kg</t>
        </is>
      </c>
      <c r="F3" t="inlineStr">
        <is>
          <t>4.71 kg/m2</t>
        </is>
      </c>
      <c r="G3" t="inlineStr">
        <is>
          <t>Vat tu tôn!R6C2</t>
        </is>
      </c>
    </row>
    <row r="4">
      <c r="A4" t="n">
        <v>3</v>
      </c>
      <c r="B4" t="inlineStr">
        <is>
          <t>MAT-STEEL-DONGBU-0.80</t>
        </is>
      </c>
      <c r="C4" t="inlineStr">
        <is>
          <t>TÔN_CUỘN_MẠ_KẼM</t>
        </is>
      </c>
      <c r="D4" t="inlineStr">
        <is>
          <t>TÔN DONGBU 0.80mm</t>
        </is>
      </c>
      <c r="E4" t="inlineStr">
        <is>
          <t>kg</t>
        </is>
      </c>
      <c r="F4" t="inlineStr">
        <is>
          <t>6.28 kg/m2</t>
        </is>
      </c>
      <c r="G4" t="inlineStr">
        <is>
          <t>Vat tu tôn!R7C2</t>
        </is>
      </c>
    </row>
    <row r="5">
      <c r="A5" t="n">
        <v>4</v>
      </c>
      <c r="B5" t="inlineStr">
        <is>
          <t>MAT-STEEL-DONGBU-1.00</t>
        </is>
      </c>
      <c r="C5" t="inlineStr">
        <is>
          <t>TÔN_CUỘN_MẠ_KẼM</t>
        </is>
      </c>
      <c r="D5" t="inlineStr">
        <is>
          <t>TÔN DONGBU 1.00mm</t>
        </is>
      </c>
      <c r="E5" t="inlineStr">
        <is>
          <t>kg</t>
        </is>
      </c>
      <c r="F5" t="inlineStr">
        <is>
          <t>7.85 kg/m2</t>
        </is>
      </c>
      <c r="G5" t="inlineStr">
        <is>
          <t>Vat tu tôn!R8C2</t>
        </is>
      </c>
    </row>
    <row r="6">
      <c r="A6" t="n">
        <v>5</v>
      </c>
      <c r="B6" t="inlineStr">
        <is>
          <t>MAT-STEEL-DONGBU-1.20</t>
        </is>
      </c>
      <c r="C6" t="inlineStr">
        <is>
          <t>TÔN_CUỘN_MẠ_KẼM</t>
        </is>
      </c>
      <c r="D6" t="inlineStr">
        <is>
          <t>TÔN DONGBU 1.20mm</t>
        </is>
      </c>
      <c r="E6" t="inlineStr">
        <is>
          <t>kg</t>
        </is>
      </c>
      <c r="F6" t="inlineStr">
        <is>
          <t>9.42 kg/m2</t>
        </is>
      </c>
      <c r="G6" t="inlineStr">
        <is>
          <t>Vat tu tôn!R9C2</t>
        </is>
      </c>
    </row>
    <row r="7">
      <c r="A7" t="n">
        <v>6</v>
      </c>
      <c r="B7" t="inlineStr">
        <is>
          <t>MAT-STEEL-DONGBU-1.50</t>
        </is>
      </c>
      <c r="C7" t="inlineStr">
        <is>
          <t>TÔN_CUỘN_MẠ_KẼM</t>
        </is>
      </c>
      <c r="D7" t="inlineStr">
        <is>
          <t>TÔN DONGBU 1.50mm</t>
        </is>
      </c>
      <c r="E7" t="inlineStr">
        <is>
          <t>kg</t>
        </is>
      </c>
      <c r="F7" t="inlineStr">
        <is>
          <t>11.775 kg/m2</t>
        </is>
      </c>
      <c r="G7" t="inlineStr">
        <is>
          <t>Vat tu tôn!R10C2</t>
        </is>
      </c>
    </row>
    <row r="8">
      <c r="A8" t="n">
        <v>7</v>
      </c>
      <c r="B8" t="inlineStr">
        <is>
          <t>MAT-STEEL-DONGBU-2.00</t>
        </is>
      </c>
      <c r="C8" t="inlineStr">
        <is>
          <t>TÔN_CUỘN_MẠ_KẼM</t>
        </is>
      </c>
      <c r="D8" t="inlineStr">
        <is>
          <t>TÔN DONGBU 2.00mm</t>
        </is>
      </c>
      <c r="E8" t="inlineStr">
        <is>
          <t>kg</t>
        </is>
      </c>
      <c r="F8" t="inlineStr">
        <is>
          <t>15.7 kg/m2</t>
        </is>
      </c>
      <c r="G8" t="inlineStr">
        <is>
          <t>Vat tu tôn!R11C2</t>
        </is>
      </c>
    </row>
    <row r="9">
      <c r="A9" t="n">
        <v>8</v>
      </c>
      <c r="B9" t="inlineStr">
        <is>
          <t>MAT-STEEL-VNSTEEL-0.35</t>
        </is>
      </c>
      <c r="C9" t="inlineStr">
        <is>
          <t>TÔN_CUỘN_MẠ_KẼM</t>
        </is>
      </c>
      <c r="D9" t="inlineStr">
        <is>
          <t>TÔN THĂNG LONG VNSTEEL 0.35mm</t>
        </is>
      </c>
      <c r="E9" t="inlineStr">
        <is>
          <t>kg</t>
        </is>
      </c>
      <c r="F9" t="inlineStr">
        <is>
          <t>3.15 kg/m2</t>
        </is>
      </c>
      <c r="G9" t="inlineStr">
        <is>
          <t>Vat tu tôn!R5C7</t>
        </is>
      </c>
    </row>
    <row r="10">
      <c r="A10" t="n">
        <v>9</v>
      </c>
      <c r="B10" t="inlineStr">
        <is>
          <t>MAT-STEEL-VNSTEEL-0.40</t>
        </is>
      </c>
      <c r="C10" t="inlineStr">
        <is>
          <t>TÔN_CUỘN_MẠ_KẼM</t>
        </is>
      </c>
      <c r="D10" t="inlineStr">
        <is>
          <t>TÔN THĂNG LONG VNSTEEL 0.40mm</t>
        </is>
      </c>
      <c r="E10" t="inlineStr">
        <is>
          <t>kg</t>
        </is>
      </c>
      <c r="F10" t="inlineStr">
        <is>
          <t>3.72 kg/m2</t>
        </is>
      </c>
      <c r="G10" t="inlineStr">
        <is>
          <t>Vat tu tôn!R6C7</t>
        </is>
      </c>
    </row>
    <row r="11">
      <c r="A11" t="n">
        <v>10</v>
      </c>
      <c r="B11" t="inlineStr">
        <is>
          <t>MAT-STEEL-VNSTEEL-0.42</t>
        </is>
      </c>
      <c r="C11" t="inlineStr">
        <is>
          <t>TÔN_CUỘN_MẠ_KẼM</t>
        </is>
      </c>
      <c r="D11" t="inlineStr">
        <is>
          <t>TÔN THĂNG LONG VNSTEEL 0.42mm</t>
        </is>
      </c>
      <c r="E11" t="inlineStr">
        <is>
          <t>kg</t>
        </is>
      </c>
      <c r="F11" t="inlineStr">
        <is>
          <t>3.91 kg/m2</t>
        </is>
      </c>
      <c r="G11" t="inlineStr">
        <is>
          <t>Vat tu tôn!R7C7</t>
        </is>
      </c>
    </row>
    <row r="12">
      <c r="A12" t="n">
        <v>11</v>
      </c>
      <c r="B12" t="inlineStr">
        <is>
          <t>MAT-STEEL-VNSTEEL-0.47</t>
        </is>
      </c>
      <c r="C12" t="inlineStr">
        <is>
          <t>TÔN_CUỘN_MẠ_KẼM</t>
        </is>
      </c>
      <c r="D12" t="inlineStr">
        <is>
          <t>TÔN THĂNG LONG VNSTEEL 0.47mm</t>
        </is>
      </c>
      <c r="E12" t="inlineStr">
        <is>
          <t>kg</t>
        </is>
      </c>
      <c r="F12" t="inlineStr">
        <is>
          <t>4.38 kg/m2</t>
        </is>
      </c>
      <c r="G12" t="inlineStr">
        <is>
          <t>Vat tu tôn!R8C7</t>
        </is>
      </c>
    </row>
    <row r="13">
      <c r="A13" t="n">
        <v>12</v>
      </c>
      <c r="B13" t="inlineStr">
        <is>
          <t>MAT-STEEL-VNSTEEL-0.50</t>
        </is>
      </c>
      <c r="C13" t="inlineStr">
        <is>
          <t>TÔN_CUỘN_MẠ_KẼM</t>
        </is>
      </c>
      <c r="D13" t="inlineStr">
        <is>
          <t>TÔN THĂNG LONG VNSTEEL 0.50mm</t>
        </is>
      </c>
      <c r="E13" t="inlineStr">
        <is>
          <t>kg</t>
        </is>
      </c>
      <c r="F13" t="inlineStr">
        <is>
          <t>4.66 kg/m2</t>
        </is>
      </c>
      <c r="G13" t="inlineStr">
        <is>
          <t>Vat tu tôn!R9C7</t>
        </is>
      </c>
    </row>
    <row r="14">
      <c r="A14" t="n">
        <v>13</v>
      </c>
      <c r="B14" t="inlineStr">
        <is>
          <t>MAT-STEEL-VNSTEEL-0.55</t>
        </is>
      </c>
      <c r="C14" t="inlineStr">
        <is>
          <t>TÔN_CUỘN_MẠ_KẼM</t>
        </is>
      </c>
      <c r="D14" t="inlineStr">
        <is>
          <t>TÔN THĂNG LONG VNSTEEL 0.55mm</t>
        </is>
      </c>
      <c r="E14" t="inlineStr">
        <is>
          <t>kg</t>
        </is>
      </c>
      <c r="F14" t="inlineStr">
        <is>
          <t>5.13 kg/m2</t>
        </is>
      </c>
      <c r="G14" t="inlineStr">
        <is>
          <t>Vat tu tôn!R10C7</t>
        </is>
      </c>
    </row>
    <row r="15">
      <c r="A15" t="n">
        <v>14</v>
      </c>
      <c r="B15" t="inlineStr">
        <is>
          <t>MAT-STEEL-VNSTEEL-0.58</t>
        </is>
      </c>
      <c r="C15" t="inlineStr">
        <is>
          <t>TÔN_CUỘN_MẠ_KẼM</t>
        </is>
      </c>
      <c r="D15" t="inlineStr">
        <is>
          <t>TÔN THĂNG LONG VNSTEEL 0.58mm</t>
        </is>
      </c>
      <c r="E15" t="inlineStr">
        <is>
          <t>kg</t>
        </is>
      </c>
      <c r="F15" t="inlineStr">
        <is>
          <t>5.41 kg/m2</t>
        </is>
      </c>
      <c r="G15" t="inlineStr">
        <is>
          <t>Vat tu tôn!R11C7</t>
        </is>
      </c>
    </row>
    <row r="16">
      <c r="A16" t="n">
        <v>15</v>
      </c>
      <c r="B16" t="inlineStr">
        <is>
          <t>MAT-STEEL-VNSTEEL-0.60</t>
        </is>
      </c>
      <c r="C16" t="inlineStr">
        <is>
          <t>TÔN_CUỘN_MẠ_KẼM</t>
        </is>
      </c>
      <c r="D16" t="inlineStr">
        <is>
          <t>TÔN THĂNG LONG VNSTEEL 0.60mm</t>
        </is>
      </c>
      <c r="E16" t="inlineStr">
        <is>
          <t>kg</t>
        </is>
      </c>
      <c r="F16" t="inlineStr">
        <is>
          <t>5.6 kg/m2</t>
        </is>
      </c>
      <c r="G16" t="inlineStr">
        <is>
          <t>Vat tu tôn!R12C7</t>
        </is>
      </c>
    </row>
    <row r="17">
      <c r="A17" t="n">
        <v>16</v>
      </c>
      <c r="B17" t="inlineStr">
        <is>
          <t>MAT-STEEL-VNSTEEL-0.64</t>
        </is>
      </c>
      <c r="C17" t="inlineStr">
        <is>
          <t>TÔN_CUỘN_MẠ_KẼM</t>
        </is>
      </c>
      <c r="D17" t="inlineStr">
        <is>
          <t>TÔN THĂNG LONG VNSTEEL 0.64mm</t>
        </is>
      </c>
      <c r="E17" t="inlineStr">
        <is>
          <t>kg</t>
        </is>
      </c>
      <c r="F17" t="inlineStr">
        <is>
          <t>5.98 kg/m2</t>
        </is>
      </c>
      <c r="G17" t="inlineStr">
        <is>
          <t>Vat tu tôn!R13C7</t>
        </is>
      </c>
    </row>
    <row r="18">
      <c r="A18" t="n">
        <v>17</v>
      </c>
      <c r="B18" t="inlineStr">
        <is>
          <t>MAT-STEEL-VNSTEEL-0.70</t>
        </is>
      </c>
      <c r="C18" t="inlineStr">
        <is>
          <t>TÔN_CUỘN_MẠ_KẼM</t>
        </is>
      </c>
      <c r="D18" t="inlineStr">
        <is>
          <t>TÔN THĂNG LONG VNSTEEL 0.70mm</t>
        </is>
      </c>
      <c r="E18" t="inlineStr">
        <is>
          <t>kg</t>
        </is>
      </c>
      <c r="F18" t="inlineStr">
        <is>
          <t>6.54 kg/m2</t>
        </is>
      </c>
      <c r="G18" t="inlineStr">
        <is>
          <t>Vat tu tôn!R14C7</t>
        </is>
      </c>
    </row>
    <row r="19">
      <c r="A19" t="n">
        <v>18</v>
      </c>
      <c r="B19" t="inlineStr">
        <is>
          <t>MAT-STEEL-VNSTEEL-0.75</t>
        </is>
      </c>
      <c r="C19" t="inlineStr">
        <is>
          <t>TÔN_CUỘN_MẠ_KẼM</t>
        </is>
      </c>
      <c r="D19" t="inlineStr">
        <is>
          <t>TÔN THĂNG LONG VNSTEEL 0.75mm</t>
        </is>
      </c>
      <c r="E19" t="inlineStr">
        <is>
          <t>kg</t>
        </is>
      </c>
      <c r="F19" t="inlineStr">
        <is>
          <t>7.02 kg/m2</t>
        </is>
      </c>
      <c r="G19" t="inlineStr">
        <is>
          <t>Vat tu tôn!R15C7</t>
        </is>
      </c>
    </row>
    <row r="20">
      <c r="A20" t="n">
        <v>19</v>
      </c>
      <c r="B20" t="inlineStr">
        <is>
          <t>MAT-STEEL-VNSTEEL-0.95</t>
        </is>
      </c>
      <c r="C20" t="inlineStr">
        <is>
          <t>TÔN_CUỘN_MẠ_KẼM</t>
        </is>
      </c>
      <c r="D20" t="inlineStr">
        <is>
          <t>TÔN THĂNG LONG VNSTEEL 0.95mm</t>
        </is>
      </c>
      <c r="E20" t="inlineStr">
        <is>
          <t>kg</t>
        </is>
      </c>
      <c r="F20" t="inlineStr">
        <is>
          <t>8.9 kg/m2</t>
        </is>
      </c>
      <c r="G20" t="inlineStr">
        <is>
          <t>Vat tu tôn!R16C7</t>
        </is>
      </c>
    </row>
    <row r="21">
      <c r="A21" t="n">
        <v>20</v>
      </c>
      <c r="B21" t="inlineStr">
        <is>
          <t>MAT-STEEL-VNSTEEL-1.15</t>
        </is>
      </c>
      <c r="C21" t="inlineStr">
        <is>
          <t>TÔN_CUỘN_MẠ_KẼM</t>
        </is>
      </c>
      <c r="D21" t="inlineStr">
        <is>
          <t>TÔN THĂNG LONG VNSTEEL 1.15mm</t>
        </is>
      </c>
      <c r="E21" t="inlineStr">
        <is>
          <t>kg</t>
        </is>
      </c>
      <c r="F21" t="inlineStr">
        <is>
          <t>10.78 kg/m2</t>
        </is>
      </c>
      <c r="G21" t="inlineStr">
        <is>
          <t>Vat tu tôn!R17C7</t>
        </is>
      </c>
    </row>
    <row r="22">
      <c r="A22" t="n">
        <v>21</v>
      </c>
      <c r="B22" t="inlineStr">
        <is>
          <t>MAT-STEEL-VNSTEEL-1.20</t>
        </is>
      </c>
      <c r="C22" t="inlineStr">
        <is>
          <t>TÔN_CUỘN_MẠ_KẼM</t>
        </is>
      </c>
      <c r="D22" t="inlineStr">
        <is>
          <t>TÔN THĂNG LONG VNSTEEL 1.20mm</t>
        </is>
      </c>
      <c r="E22" t="inlineStr">
        <is>
          <t>kg</t>
        </is>
      </c>
      <c r="F22" t="inlineStr">
        <is>
          <t>11.25 kg/m2</t>
        </is>
      </c>
      <c r="G22" t="inlineStr">
        <is>
          <t>Vat tu tôn!R18C7</t>
        </is>
      </c>
    </row>
    <row r="23">
      <c r="A23" t="n">
        <v>22</v>
      </c>
      <c r="B23" t="inlineStr">
        <is>
          <t>MAT-STEEL-PN-0.48</t>
        </is>
      </c>
      <c r="C23" t="inlineStr">
        <is>
          <t>TÔN_CUỘN_MẠ_KẼM</t>
        </is>
      </c>
      <c r="D23" t="inlineStr">
        <is>
          <t>TÔN PHƯƠNG NAM 0.48mm</t>
        </is>
      </c>
      <c r="E23" t="inlineStr">
        <is>
          <t>kg</t>
        </is>
      </c>
      <c r="F23" t="inlineStr">
        <is>
          <t>3.768 kg/m2</t>
        </is>
      </c>
      <c r="G23" t="inlineStr">
        <is>
          <t>Vat tu tôn!R5C14</t>
        </is>
      </c>
    </row>
    <row r="24">
      <c r="A24" t="n">
        <v>23</v>
      </c>
      <c r="B24" t="inlineStr">
        <is>
          <t>MAT-STEEL-PN-0.58</t>
        </is>
      </c>
      <c r="C24" t="inlineStr">
        <is>
          <t>TÔN_CUỘN_MẠ_KẼM</t>
        </is>
      </c>
      <c r="D24" t="inlineStr">
        <is>
          <t>TÔN PHƯƠNG NAM 0.58mm</t>
        </is>
      </c>
      <c r="E24" t="inlineStr">
        <is>
          <t>kg</t>
        </is>
      </c>
      <c r="F24" t="inlineStr">
        <is>
          <t>4.553 kg/m2</t>
        </is>
      </c>
      <c r="G24" t="inlineStr">
        <is>
          <t>Vat tu tôn!R6C14</t>
        </is>
      </c>
    </row>
    <row r="25">
      <c r="A25" t="n">
        <v>24</v>
      </c>
      <c r="B25" t="inlineStr">
        <is>
          <t>MAT-STEEL-PN-0.75</t>
        </is>
      </c>
      <c r="C25" t="inlineStr">
        <is>
          <t>TÔN_CUỘN_MẠ_KẼM</t>
        </is>
      </c>
      <c r="D25" t="inlineStr">
        <is>
          <t>TÔN PHƯƠNG NAM 0.75mm</t>
        </is>
      </c>
      <c r="E25" t="inlineStr">
        <is>
          <t>kg</t>
        </is>
      </c>
      <c r="F25" t="inlineStr">
        <is>
          <t>5.887 kg/m2</t>
        </is>
      </c>
      <c r="G25" t="inlineStr">
        <is>
          <t>Vat tu tôn!R7C14</t>
        </is>
      </c>
    </row>
    <row r="26">
      <c r="A26" t="n">
        <v>25</v>
      </c>
      <c r="B26" t="inlineStr">
        <is>
          <t>MAT-STEEL-PN-0.95</t>
        </is>
      </c>
      <c r="C26" t="inlineStr">
        <is>
          <t>TÔN_CUỘN_MẠ_KẼM</t>
        </is>
      </c>
      <c r="D26" t="inlineStr">
        <is>
          <t>TÔN PHƯƠNG NAM 0.95mm</t>
        </is>
      </c>
      <c r="E26" t="inlineStr">
        <is>
          <t>kg</t>
        </is>
      </c>
      <c r="F26" t="inlineStr">
        <is>
          <t>7.457 kg/m2</t>
        </is>
      </c>
      <c r="G26" t="inlineStr">
        <is>
          <t>Vat tu tôn!R8C14</t>
        </is>
      </c>
    </row>
    <row r="27">
      <c r="A27" t="n">
        <v>26</v>
      </c>
      <c r="B27" t="inlineStr">
        <is>
          <t>MAT-STEEL-PN-1.15</t>
        </is>
      </c>
      <c r="C27" t="inlineStr">
        <is>
          <t>TÔN_CUỘN_MẠ_KẼM</t>
        </is>
      </c>
      <c r="D27" t="inlineStr">
        <is>
          <t>TÔN PHƯƠNG NAM 1.15mm</t>
        </is>
      </c>
      <c r="E27" t="inlineStr">
        <is>
          <t>kg</t>
        </is>
      </c>
      <c r="F27" t="inlineStr">
        <is>
          <t>9.027 kg/m2</t>
        </is>
      </c>
      <c r="G27" t="inlineStr">
        <is>
          <t>Vat tu tôn!R9C14</t>
        </is>
      </c>
    </row>
    <row r="28">
      <c r="A28" t="n">
        <v>27</v>
      </c>
      <c r="B28" t="inlineStr">
        <is>
          <t>MAT-STEEL-PN-1.20</t>
        </is>
      </c>
      <c r="C28" t="inlineStr">
        <is>
          <t>TÔN_CUỘN_MẠ_KẼM</t>
        </is>
      </c>
      <c r="D28" t="inlineStr">
        <is>
          <t>TÔN PHƯƠNG NAM 1.20mm</t>
        </is>
      </c>
      <c r="E28" t="inlineStr">
        <is>
          <t>kg</t>
        </is>
      </c>
      <c r="F28" t="inlineStr">
        <is>
          <t>9.027 kg/m2</t>
        </is>
      </c>
      <c r="G28" t="inlineStr">
        <is>
          <t>Vat tu tôn!R9C14</t>
        </is>
      </c>
    </row>
    <row r="29">
      <c r="A29" t="n">
        <v>28</v>
      </c>
      <c r="B29" t="inlineStr">
        <is>
          <t>MAT-STEEL-PN-1.38</t>
        </is>
      </c>
      <c r="C29" t="inlineStr">
        <is>
          <t>TÔN_CUỘN_MẠ_KẼM</t>
        </is>
      </c>
      <c r="D29" t="inlineStr">
        <is>
          <t>TÔN PHƯƠNG NAM 1.38mm</t>
        </is>
      </c>
      <c r="E29" t="inlineStr">
        <is>
          <t>kg</t>
        </is>
      </c>
      <c r="F29" t="inlineStr">
        <is>
          <t>10.833 kg/m2</t>
        </is>
      </c>
      <c r="G29" t="inlineStr">
        <is>
          <t>Vat tu tôn!R10C14</t>
        </is>
      </c>
    </row>
    <row r="30">
      <c r="A30" t="n">
        <v>29</v>
      </c>
      <c r="B30" t="inlineStr">
        <is>
          <t>MAT-STEEL-PN-1.48</t>
        </is>
      </c>
      <c r="C30" t="inlineStr">
        <is>
          <t>TÔN_CUỘN_MẠ_KẼM</t>
        </is>
      </c>
      <c r="D30" t="inlineStr">
        <is>
          <t>TÔN PHƯƠNG NAM 1.48mm</t>
        </is>
      </c>
      <c r="E30" t="inlineStr">
        <is>
          <t>kg</t>
        </is>
      </c>
      <c r="F30" t="inlineStr">
        <is>
          <t>11.618 kg/m2</t>
        </is>
      </c>
      <c r="G30" t="inlineStr">
        <is>
          <t>Vat tu tôn!R11C14</t>
        </is>
      </c>
    </row>
    <row r="31">
      <c r="A31" t="n">
        <v>30</v>
      </c>
      <c r="B31" t="inlineStr">
        <is>
          <t>MAT-STEEL-PN-1.50</t>
        </is>
      </c>
      <c r="C31" t="inlineStr">
        <is>
          <t>TÔN_CUỘN_MẠ_KẼM</t>
        </is>
      </c>
      <c r="D31" t="inlineStr">
        <is>
          <t>TÔN PHƯƠNG NAM 1.50mm</t>
        </is>
      </c>
      <c r="E31" t="inlineStr">
        <is>
          <t>kg</t>
        </is>
      </c>
      <c r="F31" t="inlineStr">
        <is>
          <t>11.618 kg/m2</t>
        </is>
      </c>
      <c r="G31" t="inlineStr">
        <is>
          <t>Vat tu tôn!R11C14</t>
        </is>
      </c>
    </row>
    <row r="32">
      <c r="A32" t="n">
        <v>31</v>
      </c>
      <c r="B32" t="inlineStr">
        <is>
          <t>MAT-STEEL-HOASEN-0.48</t>
        </is>
      </c>
      <c r="C32" t="inlineStr">
        <is>
          <t>TÔN_CUỘN_MẠ_KẼM</t>
        </is>
      </c>
      <c r="D32" t="inlineStr">
        <is>
          <t>TÔN HOA SEN 0.48mm</t>
        </is>
      </c>
      <c r="E32" t="inlineStr">
        <is>
          <t>kg</t>
        </is>
      </c>
      <c r="F32" t="inlineStr">
        <is>
          <t>3.768 kg/m2</t>
        </is>
      </c>
      <c r="G32" t="inlineStr">
        <is>
          <t>Vat tu tôn!R5C19</t>
        </is>
      </c>
    </row>
    <row r="33">
      <c r="A33" t="n">
        <v>32</v>
      </c>
      <c r="B33" t="inlineStr">
        <is>
          <t>MAT-STEEL-HOASEN-0.58</t>
        </is>
      </c>
      <c r="C33" t="inlineStr">
        <is>
          <t>TÔN_CUỘN_MẠ_KẼM</t>
        </is>
      </c>
      <c r="D33" t="inlineStr">
        <is>
          <t>TÔN HOA SEN 0.58mm</t>
        </is>
      </c>
      <c r="E33" t="inlineStr">
        <is>
          <t>kg</t>
        </is>
      </c>
      <c r="F33" t="inlineStr">
        <is>
          <t>4.553 kg/m2</t>
        </is>
      </c>
      <c r="G33" t="inlineStr">
        <is>
          <t>Vat tu tôn!R6C19</t>
        </is>
      </c>
    </row>
    <row r="34">
      <c r="A34" t="n">
        <v>33</v>
      </c>
      <c r="B34" t="inlineStr">
        <is>
          <t>MAT-STEEL-HOASEN-0.75</t>
        </is>
      </c>
      <c r="C34" t="inlineStr">
        <is>
          <t>TÔN_CUỘN_MẠ_KẼM</t>
        </is>
      </c>
      <c r="D34" t="inlineStr">
        <is>
          <t>TÔN HOA SEN 0.75mm</t>
        </is>
      </c>
      <c r="E34" t="inlineStr">
        <is>
          <t>kg</t>
        </is>
      </c>
      <c r="F34" t="inlineStr">
        <is>
          <t>5.887 kg/m2</t>
        </is>
      </c>
      <c r="G34" t="inlineStr">
        <is>
          <t>Vat tu tôn!R7C19</t>
        </is>
      </c>
    </row>
    <row r="35">
      <c r="A35" t="n">
        <v>34</v>
      </c>
      <c r="B35" t="inlineStr">
        <is>
          <t>MAT-STEEL-HOASEN-0.95</t>
        </is>
      </c>
      <c r="C35" t="inlineStr">
        <is>
          <t>TÔN_CUỘN_MẠ_KẼM</t>
        </is>
      </c>
      <c r="D35" t="inlineStr">
        <is>
          <t>TÔN HOA SEN 0.95mm</t>
        </is>
      </c>
      <c r="E35" t="inlineStr">
        <is>
          <t>kg</t>
        </is>
      </c>
      <c r="F35" t="inlineStr">
        <is>
          <t>7.457 kg/m2</t>
        </is>
      </c>
      <c r="G35" t="inlineStr">
        <is>
          <t>Vat tu tôn!R8C19</t>
        </is>
      </c>
    </row>
    <row r="36">
      <c r="A36" t="n">
        <v>35</v>
      </c>
      <c r="B36" t="inlineStr">
        <is>
          <t>MAT-STEEL-HOASEN-1.15</t>
        </is>
      </c>
      <c r="C36" t="inlineStr">
        <is>
          <t>TÔN_CUỘN_MẠ_KẼM</t>
        </is>
      </c>
      <c r="D36" t="inlineStr">
        <is>
          <t>TÔN HOA SEN 1.15mm</t>
        </is>
      </c>
      <c r="E36" t="inlineStr">
        <is>
          <t>kg</t>
        </is>
      </c>
      <c r="F36" t="inlineStr">
        <is>
          <t>9.027 kg/m2</t>
        </is>
      </c>
      <c r="G36" t="inlineStr">
        <is>
          <t>Vat tu tôn!R9C19</t>
        </is>
      </c>
    </row>
    <row r="37">
      <c r="A37" t="n">
        <v>36</v>
      </c>
      <c r="B37" t="inlineStr">
        <is>
          <t>MAT-STEEL-HOA_SEN-1.15</t>
        </is>
      </c>
      <c r="C37" t="inlineStr">
        <is>
          <t>TÔN_CUỘN_MẠ_KẼM</t>
        </is>
      </c>
      <c r="D37" t="inlineStr">
        <is>
          <t>TÔN HOA SEN 1.15mm</t>
        </is>
      </c>
      <c r="E37" t="inlineStr">
        <is>
          <t>kg</t>
        </is>
      </c>
      <c r="F37" t="inlineStr">
        <is>
          <t>9.027 kg/m2</t>
        </is>
      </c>
      <c r="G37" t="inlineStr">
        <is>
          <t>Vat tu tôn!R9C19</t>
        </is>
      </c>
    </row>
    <row r="38">
      <c r="A38" t="n">
        <v>37</v>
      </c>
      <c r="B38" t="inlineStr">
        <is>
          <t>MAT-STEEL-HOASEN-1.50</t>
        </is>
      </c>
      <c r="C38" t="inlineStr">
        <is>
          <t>TÔN_CUỘN_MẠ_KẼM</t>
        </is>
      </c>
      <c r="D38" t="inlineStr">
        <is>
          <t>TÔN HOA SEN 1.50mm</t>
        </is>
      </c>
      <c r="E38" t="inlineStr">
        <is>
          <t>kg</t>
        </is>
      </c>
      <c r="F38" t="inlineStr">
        <is>
          <t>11.775 kg/m2</t>
        </is>
      </c>
      <c r="G38" t="inlineStr">
        <is>
          <t>Vat tu tôn!R10C19</t>
        </is>
      </c>
    </row>
    <row r="39">
      <c r="A39" t="n">
        <v>38</v>
      </c>
      <c r="B39" t="inlineStr">
        <is>
          <t>MAT-STEEL-BLUESCOPE-0.47</t>
        </is>
      </c>
      <c r="C39" t="inlineStr">
        <is>
          <t>TÔN_CUỘN_MẠ_KẼM</t>
        </is>
      </c>
      <c r="D39" t="inlineStr">
        <is>
          <t>TÔN BLUESCOPE 0.47mm</t>
        </is>
      </c>
      <c r="E39" t="inlineStr">
        <is>
          <t>kg</t>
        </is>
      </c>
      <c r="F39" t="inlineStr">
        <is>
          <t>3.689 kg/m2</t>
        </is>
      </c>
      <c r="G39" t="inlineStr">
        <is>
          <t>Vat tu tôn!R5C24</t>
        </is>
      </c>
    </row>
    <row r="40">
      <c r="A40" t="n">
        <v>39</v>
      </c>
      <c r="B40" t="inlineStr">
        <is>
          <t>MAT-STEEL-BLUESCOPE-0.57</t>
        </is>
      </c>
      <c r="C40" t="inlineStr">
        <is>
          <t>TÔN_CUỘN_MẠ_KẼM</t>
        </is>
      </c>
      <c r="D40" t="inlineStr">
        <is>
          <t>TÔN BLUESCOPE 0.57mm</t>
        </is>
      </c>
      <c r="E40" t="inlineStr">
        <is>
          <t>kg</t>
        </is>
      </c>
      <c r="F40" t="inlineStr">
        <is>
          <t>4.474 kg/m2</t>
        </is>
      </c>
      <c r="G40" t="inlineStr">
        <is>
          <t>Vat tu tôn!R6C24</t>
        </is>
      </c>
    </row>
    <row r="41">
      <c r="A41" t="n">
        <v>40</v>
      </c>
      <c r="B41" t="inlineStr">
        <is>
          <t>MAT-STEEL-BLUESCOPE-0.77</t>
        </is>
      </c>
      <c r="C41" t="inlineStr">
        <is>
          <t>TÔN_CUỘN_MẠ_KẼM</t>
        </is>
      </c>
      <c r="D41" t="inlineStr">
        <is>
          <t>TÔN BLUESCOPE 0.77mm</t>
        </is>
      </c>
      <c r="E41" t="inlineStr">
        <is>
          <t>kg</t>
        </is>
      </c>
      <c r="F41" t="inlineStr">
        <is>
          <t>6.045 kg/m2</t>
        </is>
      </c>
      <c r="G41" t="inlineStr">
        <is>
          <t>Vat tu tôn!R7C24</t>
        </is>
      </c>
    </row>
    <row r="42">
      <c r="A42" t="n">
        <v>41</v>
      </c>
      <c r="B42" t="inlineStr">
        <is>
          <t>MAT-STEEL-BLUESCOPE-0.95</t>
        </is>
      </c>
      <c r="C42" t="inlineStr">
        <is>
          <t>TÔN_CUỘN_MẠ_KẼM</t>
        </is>
      </c>
      <c r="D42" t="inlineStr">
        <is>
          <t>TÔN BLUESCOPE 0.95mm</t>
        </is>
      </c>
      <c r="E42" t="inlineStr">
        <is>
          <t>kg</t>
        </is>
      </c>
      <c r="F42" t="inlineStr">
        <is>
          <t>7.457 kg/m2</t>
        </is>
      </c>
      <c r="G42" t="inlineStr">
        <is>
          <t>Vat tu tôn!R8C24</t>
        </is>
      </c>
    </row>
    <row r="43">
      <c r="A43" t="n">
        <v>42</v>
      </c>
      <c r="B43" t="inlineStr">
        <is>
          <t>MAT-STEEL-BLUESCOPE-1.15</t>
        </is>
      </c>
      <c r="C43" t="inlineStr">
        <is>
          <t>TÔN_CUỘN_MẠ_KẼM</t>
        </is>
      </c>
      <c r="D43" t="inlineStr">
        <is>
          <t>TÔN BLUESCOPE 1.15mm</t>
        </is>
      </c>
      <c r="E43" t="inlineStr">
        <is>
          <t>kg</t>
        </is>
      </c>
      <c r="F43" t="inlineStr">
        <is>
          <t>9.027 kg/m2</t>
        </is>
      </c>
      <c r="G43" t="inlineStr">
        <is>
          <t>Vat tu tôn!R9C24</t>
        </is>
      </c>
    </row>
    <row r="44">
      <c r="A44" t="n">
        <v>43</v>
      </c>
      <c r="B44" t="inlineStr">
        <is>
          <t>MAT-INOX-SUS304-0-5</t>
        </is>
      </c>
      <c r="C44" t="inlineStr">
        <is>
          <t>INOX</t>
        </is>
      </c>
      <c r="D44" t="inlineStr">
        <is>
          <t>Inox Sus304-0.5</t>
        </is>
      </c>
      <c r="E44" t="inlineStr">
        <is>
          <t>kg</t>
        </is>
      </c>
      <c r="F44" t="inlineStr"/>
      <c r="G44" t="inlineStr">
        <is>
          <t>Vat tu tôn!R5C29</t>
        </is>
      </c>
    </row>
    <row r="45">
      <c r="A45" t="n">
        <v>44</v>
      </c>
      <c r="B45" t="inlineStr">
        <is>
          <t>MAT-INOX-SUS304-0-6</t>
        </is>
      </c>
      <c r="C45" t="inlineStr">
        <is>
          <t>INOX</t>
        </is>
      </c>
      <c r="D45" t="inlineStr">
        <is>
          <t>Inox Sus304-0.6</t>
        </is>
      </c>
      <c r="E45" t="inlineStr">
        <is>
          <t>kg</t>
        </is>
      </c>
      <c r="F45" t="inlineStr"/>
      <c r="G45" t="inlineStr">
        <is>
          <t>Vat tu tôn!R6C29</t>
        </is>
      </c>
    </row>
    <row r="46">
      <c r="A46" t="n">
        <v>45</v>
      </c>
      <c r="B46" t="inlineStr">
        <is>
          <t>MAT-INOX-SUS304-0-7</t>
        </is>
      </c>
      <c r="C46" t="inlineStr">
        <is>
          <t>INOX</t>
        </is>
      </c>
      <c r="D46" t="inlineStr">
        <is>
          <t>Inox Sus304-0.7</t>
        </is>
      </c>
      <c r="E46" t="inlineStr">
        <is>
          <t>kg</t>
        </is>
      </c>
      <c r="F46" t="inlineStr"/>
      <c r="G46" t="inlineStr">
        <is>
          <t>Vat tu tôn!R7C29</t>
        </is>
      </c>
    </row>
    <row r="47">
      <c r="A47" t="n">
        <v>46</v>
      </c>
      <c r="B47" t="inlineStr">
        <is>
          <t>MAT-INOX-SUS304-0-8</t>
        </is>
      </c>
      <c r="C47" t="inlineStr">
        <is>
          <t>INOX</t>
        </is>
      </c>
      <c r="D47" t="inlineStr">
        <is>
          <t>Inox Sus304-0.8</t>
        </is>
      </c>
      <c r="E47" t="inlineStr">
        <is>
          <t>kg</t>
        </is>
      </c>
      <c r="F47" t="inlineStr"/>
      <c r="G47" t="inlineStr">
        <is>
          <t>Vat tu tôn!R8C29</t>
        </is>
      </c>
    </row>
    <row r="48">
      <c r="A48" t="n">
        <v>47</v>
      </c>
      <c r="B48" t="inlineStr">
        <is>
          <t>MAT-INOX-SUS304-0-9</t>
        </is>
      </c>
      <c r="C48" t="inlineStr">
        <is>
          <t>INOX</t>
        </is>
      </c>
      <c r="D48" t="inlineStr">
        <is>
          <t>Inox Sus304-0.9</t>
        </is>
      </c>
      <c r="E48" t="inlineStr">
        <is>
          <t>kg</t>
        </is>
      </c>
      <c r="F48" t="inlineStr"/>
      <c r="G48" t="inlineStr">
        <is>
          <t>Vat tu tôn!R9C29</t>
        </is>
      </c>
    </row>
    <row r="49">
      <c r="A49" t="n">
        <v>48</v>
      </c>
      <c r="B49" t="inlineStr">
        <is>
          <t>MAT-INOX-SUS304-1-0</t>
        </is>
      </c>
      <c r="C49" t="inlineStr">
        <is>
          <t>INOX</t>
        </is>
      </c>
      <c r="D49" t="inlineStr">
        <is>
          <t>Inox Sus304-1,0</t>
        </is>
      </c>
      <c r="E49" t="inlineStr">
        <is>
          <t>kg</t>
        </is>
      </c>
      <c r="F49" t="inlineStr"/>
      <c r="G49" t="inlineStr">
        <is>
          <t>Vat tu tôn!R10C29</t>
        </is>
      </c>
    </row>
    <row r="50">
      <c r="A50" t="n">
        <v>49</v>
      </c>
      <c r="B50" t="inlineStr">
        <is>
          <t>MAT-INOX-SUS304-1-2</t>
        </is>
      </c>
      <c r="C50" t="inlineStr">
        <is>
          <t>INOX</t>
        </is>
      </c>
      <c r="D50" t="inlineStr">
        <is>
          <t>Inox Sus304-1,2</t>
        </is>
      </c>
      <c r="E50" t="inlineStr">
        <is>
          <t>kg</t>
        </is>
      </c>
      <c r="F50" t="inlineStr"/>
      <c r="G50" t="inlineStr">
        <is>
          <t>Vat tu tôn!R11C29</t>
        </is>
      </c>
    </row>
    <row r="51">
      <c r="A51" t="n">
        <v>50</v>
      </c>
      <c r="B51" t="inlineStr">
        <is>
          <t>MAT-INOX-SUS430-0-5</t>
        </is>
      </c>
      <c r="C51" t="inlineStr">
        <is>
          <t>INOX</t>
        </is>
      </c>
      <c r="D51" t="inlineStr">
        <is>
          <t>Inox Sus430-0.5</t>
        </is>
      </c>
      <c r="E51" t="inlineStr">
        <is>
          <t>kg</t>
        </is>
      </c>
      <c r="F51" t="inlineStr"/>
      <c r="G51" t="inlineStr">
        <is>
          <t>Vat tu tôn!R12C29</t>
        </is>
      </c>
    </row>
    <row r="52">
      <c r="A52" t="n">
        <v>51</v>
      </c>
      <c r="B52" t="inlineStr">
        <is>
          <t>MAT-INOX-SUS430-0-6</t>
        </is>
      </c>
      <c r="C52" t="inlineStr">
        <is>
          <t>INOX</t>
        </is>
      </c>
      <c r="D52" t="inlineStr">
        <is>
          <t>Inox Sus430-0.6</t>
        </is>
      </c>
      <c r="E52" t="inlineStr">
        <is>
          <t>kg</t>
        </is>
      </c>
      <c r="F52" t="inlineStr"/>
      <c r="G52" t="inlineStr">
        <is>
          <t>Vat tu tôn!R13C29</t>
        </is>
      </c>
    </row>
    <row r="53">
      <c r="A53" t="n">
        <v>52</v>
      </c>
      <c r="B53" t="inlineStr">
        <is>
          <t>MAT-INOX-SUS430-0-7</t>
        </is>
      </c>
      <c r="C53" t="inlineStr">
        <is>
          <t>INOX</t>
        </is>
      </c>
      <c r="D53" t="inlineStr">
        <is>
          <t>Inox Sus430-0.7</t>
        </is>
      </c>
      <c r="E53" t="inlineStr">
        <is>
          <t>kg</t>
        </is>
      </c>
      <c r="F53" t="inlineStr"/>
      <c r="G53" t="inlineStr">
        <is>
          <t>Vat tu tôn!R14C29</t>
        </is>
      </c>
    </row>
    <row r="54">
      <c r="A54" t="n">
        <v>53</v>
      </c>
      <c r="B54" t="inlineStr">
        <is>
          <t>MAT-INOX-SUS430-0-8</t>
        </is>
      </c>
      <c r="C54" t="inlineStr">
        <is>
          <t>INOX</t>
        </is>
      </c>
      <c r="D54" t="inlineStr">
        <is>
          <t>Inox Sus430-0.8</t>
        </is>
      </c>
      <c r="E54" t="inlineStr">
        <is>
          <t>kg</t>
        </is>
      </c>
      <c r="F54" t="inlineStr"/>
      <c r="G54" t="inlineStr">
        <is>
          <t>Vat tu tôn!R15C29</t>
        </is>
      </c>
    </row>
    <row r="55">
      <c r="A55" t="n">
        <v>54</v>
      </c>
      <c r="B55" t="inlineStr">
        <is>
          <t>MAT-INOX-SUS430-0-9</t>
        </is>
      </c>
      <c r="C55" t="inlineStr">
        <is>
          <t>INOX</t>
        </is>
      </c>
      <c r="D55" t="inlineStr">
        <is>
          <t>Inox Sus430-0.9</t>
        </is>
      </c>
      <c r="E55" t="inlineStr">
        <is>
          <t>kg</t>
        </is>
      </c>
      <c r="F55" t="inlineStr"/>
      <c r="G55" t="inlineStr">
        <is>
          <t>Vat tu tôn!R16C29</t>
        </is>
      </c>
    </row>
    <row r="56">
      <c r="A56" t="n">
        <v>55</v>
      </c>
      <c r="B56" t="inlineStr">
        <is>
          <t>MAT-INOX-SUS430-1-0</t>
        </is>
      </c>
      <c r="C56" t="inlineStr">
        <is>
          <t>INOX</t>
        </is>
      </c>
      <c r="D56" t="inlineStr">
        <is>
          <t>Inox Sus430-1,0</t>
        </is>
      </c>
      <c r="E56" t="inlineStr">
        <is>
          <t>kg</t>
        </is>
      </c>
      <c r="F56" t="inlineStr"/>
      <c r="G56" t="inlineStr">
        <is>
          <t>Vat tu tôn!R17C29</t>
        </is>
      </c>
    </row>
    <row r="57">
      <c r="A57" t="n">
        <v>56</v>
      </c>
      <c r="B57" t="inlineStr">
        <is>
          <t>MAT-INOX-SUS430-1-1</t>
        </is>
      </c>
      <c r="C57" t="inlineStr">
        <is>
          <t>INOX</t>
        </is>
      </c>
      <c r="D57" t="inlineStr">
        <is>
          <t>Inox Sus430-1,1</t>
        </is>
      </c>
      <c r="E57" t="inlineStr">
        <is>
          <t>kg</t>
        </is>
      </c>
      <c r="F57" t="inlineStr"/>
      <c r="G57" t="inlineStr">
        <is>
          <t>Vat tu tôn!R18C29</t>
        </is>
      </c>
    </row>
    <row r="58">
      <c r="A58" t="n">
        <v>57</v>
      </c>
      <c r="B58" t="inlineStr">
        <is>
          <t>MAT-INOX-SUS430-1-2</t>
        </is>
      </c>
      <c r="C58" t="inlineStr">
        <is>
          <t>INOX</t>
        </is>
      </c>
      <c r="D58" t="inlineStr">
        <is>
          <t>Inox Sus430-1,2</t>
        </is>
      </c>
      <c r="E58" t="inlineStr">
        <is>
          <t>kg</t>
        </is>
      </c>
      <c r="F58" t="inlineStr"/>
      <c r="G58" t="inlineStr">
        <is>
          <t>Vat tu tôn!R19C29</t>
        </is>
      </c>
    </row>
    <row r="59">
      <c r="A59" t="n">
        <v>58</v>
      </c>
      <c r="B59" t="inlineStr">
        <is>
          <t>MAT-INOX-SUS201-0-4</t>
        </is>
      </c>
      <c r="C59" t="inlineStr">
        <is>
          <t>INOX</t>
        </is>
      </c>
      <c r="D59" t="inlineStr">
        <is>
          <t>Inox Sus201-0.4</t>
        </is>
      </c>
      <c r="E59" t="inlineStr">
        <is>
          <t>kg</t>
        </is>
      </c>
      <c r="F59" t="inlineStr"/>
      <c r="G59" t="inlineStr">
        <is>
          <t>Vat tu tôn!R20C29</t>
        </is>
      </c>
    </row>
    <row r="60">
      <c r="A60" t="n">
        <v>59</v>
      </c>
      <c r="B60" t="inlineStr">
        <is>
          <t>MAT-INOX-SUS201-0-5</t>
        </is>
      </c>
      <c r="C60" t="inlineStr">
        <is>
          <t>INOX</t>
        </is>
      </c>
      <c r="D60" t="inlineStr">
        <is>
          <t>Inox Sus201-0.5</t>
        </is>
      </c>
      <c r="E60" t="inlineStr">
        <is>
          <t>kg</t>
        </is>
      </c>
      <c r="F60" t="inlineStr"/>
      <c r="G60" t="inlineStr">
        <is>
          <t>Vat tu tôn!R21C29</t>
        </is>
      </c>
    </row>
    <row r="61">
      <c r="A61" t="n">
        <v>60</v>
      </c>
      <c r="B61" t="inlineStr">
        <is>
          <t>MAT-INOX-SUS201-0-6</t>
        </is>
      </c>
      <c r="C61" t="inlineStr">
        <is>
          <t>INOX</t>
        </is>
      </c>
      <c r="D61" t="inlineStr">
        <is>
          <t>Inox Sus201-0.6</t>
        </is>
      </c>
      <c r="E61" t="inlineStr">
        <is>
          <t>kg</t>
        </is>
      </c>
      <c r="F61" t="inlineStr"/>
      <c r="G61" t="inlineStr">
        <is>
          <t>Vat tu tôn!R22C29</t>
        </is>
      </c>
    </row>
    <row r="62">
      <c r="A62" t="n">
        <v>61</v>
      </c>
      <c r="B62" t="inlineStr">
        <is>
          <t>MAT-INOX-SUS201-0-7</t>
        </is>
      </c>
      <c r="C62" t="inlineStr">
        <is>
          <t>INOX</t>
        </is>
      </c>
      <c r="D62" t="inlineStr">
        <is>
          <t>Inox Sus201-0.7</t>
        </is>
      </c>
      <c r="E62" t="inlineStr">
        <is>
          <t>kg</t>
        </is>
      </c>
      <c r="F62" t="inlineStr"/>
      <c r="G62" t="inlineStr">
        <is>
          <t>Vat tu tôn!R23C29</t>
        </is>
      </c>
    </row>
    <row r="63">
      <c r="A63" t="n">
        <v>62</v>
      </c>
      <c r="B63" t="inlineStr">
        <is>
          <t>MAT-INOX-SUS201-0-8</t>
        </is>
      </c>
      <c r="C63" t="inlineStr">
        <is>
          <t>INOX</t>
        </is>
      </c>
      <c r="D63" t="inlineStr">
        <is>
          <t>Inox Sus201-0.8</t>
        </is>
      </c>
      <c r="E63" t="inlineStr">
        <is>
          <t>kg</t>
        </is>
      </c>
      <c r="F63" t="inlineStr"/>
      <c r="G63" t="inlineStr">
        <is>
          <t>Vat tu tôn!R24C29</t>
        </is>
      </c>
    </row>
    <row r="64">
      <c r="A64" t="n">
        <v>63</v>
      </c>
      <c r="B64" t="inlineStr">
        <is>
          <t>MAT-DAMPER-TRUC-SUS-201-D10</t>
        </is>
      </c>
      <c r="C64" t="inlineStr">
        <is>
          <t>PHỤ_KIỆN_VAN</t>
        </is>
      </c>
      <c r="D64" t="inlineStr">
        <is>
          <t>Trục Sus 201 D10</t>
        </is>
      </c>
      <c r="E64" t="inlineStr">
        <is>
          <t>m</t>
        </is>
      </c>
      <c r="F64" t="inlineStr"/>
      <c r="G64" t="inlineStr">
        <is>
          <t>Vat tu tôn</t>
        </is>
      </c>
    </row>
    <row r="65">
      <c r="A65" t="n">
        <v>64</v>
      </c>
      <c r="B65" t="inlineStr">
        <is>
          <t>MAT-DAMPER-TRUC-SUS-201-D12</t>
        </is>
      </c>
      <c r="C65" t="inlineStr">
        <is>
          <t>PHỤ_KIỆN_VAN</t>
        </is>
      </c>
      <c r="D65" t="inlineStr">
        <is>
          <t>Trục Sus 201 D12</t>
        </is>
      </c>
      <c r="E65" t="inlineStr">
        <is>
          <t>m</t>
        </is>
      </c>
      <c r="F65" t="inlineStr"/>
      <c r="G65" t="inlineStr">
        <is>
          <t>Vat tu tôn</t>
        </is>
      </c>
    </row>
    <row r="66">
      <c r="A66" t="n">
        <v>65</v>
      </c>
      <c r="B66" t="inlineStr">
        <is>
          <t>MAT-DAMPER-TRUC-SUS-201-D14</t>
        </is>
      </c>
      <c r="C66" t="inlineStr">
        <is>
          <t>PHỤ_KIỆN_VAN</t>
        </is>
      </c>
      <c r="D66" t="inlineStr">
        <is>
          <t>Trục Sus 201 D14</t>
        </is>
      </c>
      <c r="E66" t="inlineStr">
        <is>
          <t>m</t>
        </is>
      </c>
      <c r="F66" t="inlineStr"/>
      <c r="G66" t="inlineStr">
        <is>
          <t>Vat tu tôn</t>
        </is>
      </c>
    </row>
    <row r="67">
      <c r="A67" t="n">
        <v>66</v>
      </c>
      <c r="B67" t="inlineStr">
        <is>
          <t>MAT-DAMPER-BAC-DONG-D10</t>
        </is>
      </c>
      <c r="C67" t="inlineStr">
        <is>
          <t>PHỤ_KIỆN_VAN</t>
        </is>
      </c>
      <c r="D67" t="inlineStr">
        <is>
          <t>Bạc đồng D10</t>
        </is>
      </c>
      <c r="E67" t="inlineStr">
        <is>
          <t>Đôi</t>
        </is>
      </c>
      <c r="F67" t="inlineStr"/>
      <c r="G67" t="inlineStr">
        <is>
          <t>Vat tu tôn</t>
        </is>
      </c>
    </row>
    <row r="68">
      <c r="A68" t="n">
        <v>67</v>
      </c>
      <c r="B68" t="inlineStr">
        <is>
          <t>MAT-DAMPER-BAC-DONG-D12</t>
        </is>
      </c>
      <c r="C68" t="inlineStr">
        <is>
          <t>PHỤ_KIỆN_VAN</t>
        </is>
      </c>
      <c r="D68" t="inlineStr">
        <is>
          <t>Bạc đồng D12</t>
        </is>
      </c>
      <c r="E68" t="inlineStr">
        <is>
          <t>Đôi</t>
        </is>
      </c>
      <c r="F68" t="inlineStr"/>
      <c r="G68" t="inlineStr">
        <is>
          <t>Vat tu tôn</t>
        </is>
      </c>
    </row>
    <row r="69">
      <c r="A69" t="n">
        <v>68</v>
      </c>
      <c r="B69" t="inlineStr">
        <is>
          <t>MAT-DAMPER-BAC-DONG-D14</t>
        </is>
      </c>
      <c r="C69" t="inlineStr">
        <is>
          <t>PHỤ_KIỆN_VAN</t>
        </is>
      </c>
      <c r="D69" t="inlineStr">
        <is>
          <t>Bạc đồng D14</t>
        </is>
      </c>
      <c r="E69" t="inlineStr">
        <is>
          <t>Đôi</t>
        </is>
      </c>
      <c r="F69" t="inlineStr"/>
      <c r="G69" t="inlineStr">
        <is>
          <t>Vat tu tôn</t>
        </is>
      </c>
    </row>
    <row r="70">
      <c r="A70" t="n">
        <v>69</v>
      </c>
      <c r="B70" t="inlineStr">
        <is>
          <t>MAT-DAMPER-TAY-GAT-1-1M2</t>
        </is>
      </c>
      <c r="C70" t="inlineStr">
        <is>
          <t>PHỤ_KIỆN_VAN</t>
        </is>
      </c>
      <c r="D70" t="inlineStr">
        <is>
          <t>Tay gạt 1 &gt;1m2</t>
        </is>
      </c>
      <c r="E70" t="inlineStr">
        <is>
          <t>Cái</t>
        </is>
      </c>
      <c r="F70" t="inlineStr"/>
      <c r="G70" t="inlineStr">
        <is>
          <t>Vat tu tôn</t>
        </is>
      </c>
    </row>
    <row r="71">
      <c r="A71" t="n">
        <v>70</v>
      </c>
      <c r="B71" t="inlineStr">
        <is>
          <t>MAT-DAMPER-GIANG-TAY-GAT-1</t>
        </is>
      </c>
      <c r="C71" t="inlineStr">
        <is>
          <t>PHỤ_KIỆN_VAN</t>
        </is>
      </c>
      <c r="D71" t="inlineStr">
        <is>
          <t>Giằng tay gạt 1</t>
        </is>
      </c>
      <c r="E71" t="inlineStr">
        <is>
          <t>Cái</t>
        </is>
      </c>
      <c r="F71" t="inlineStr"/>
      <c r="G71" t="inlineStr">
        <is>
          <t>Vat tu tôn</t>
        </is>
      </c>
    </row>
    <row r="72">
      <c r="A72" t="n">
        <v>71</v>
      </c>
      <c r="B72" t="inlineStr">
        <is>
          <t>MAT-DAMPER-GIANG-TAY-GAT-2</t>
        </is>
      </c>
      <c r="C72" t="inlineStr">
        <is>
          <t>PHỤ_KIỆN_VAN</t>
        </is>
      </c>
      <c r="D72" t="inlineStr">
        <is>
          <t>Giằng tay gạt 2</t>
        </is>
      </c>
      <c r="E72" t="inlineStr">
        <is>
          <t>Cái</t>
        </is>
      </c>
      <c r="F72" t="inlineStr"/>
      <c r="G72" t="inlineStr">
        <is>
          <t>Vat tu tôn!R13C33</t>
        </is>
      </c>
    </row>
    <row r="73">
      <c r="A73" t="n">
        <v>72</v>
      </c>
      <c r="B73" t="inlineStr">
        <is>
          <t>MAT-DAMPER-CAU-CHI-1-400X400</t>
        </is>
      </c>
      <c r="C73" t="inlineStr">
        <is>
          <t>PHỤ_KIỆN_VAN</t>
        </is>
      </c>
      <c r="D73" t="inlineStr">
        <is>
          <t>Cầu chì 1 &lt;400x400</t>
        </is>
      </c>
      <c r="E73" t="inlineStr">
        <is>
          <t>Cái</t>
        </is>
      </c>
      <c r="F73" t="inlineStr"/>
      <c r="G73" t="inlineStr">
        <is>
          <t>Vat tu tôn!R14C33</t>
        </is>
      </c>
    </row>
    <row r="74">
      <c r="A74" t="n">
        <v>73</v>
      </c>
      <c r="B74" t="inlineStr">
        <is>
          <t>MAT-DAMPER-CAU-CHI-2-400X400</t>
        </is>
      </c>
      <c r="C74" t="inlineStr">
        <is>
          <t>PHỤ_KIỆN_VAN</t>
        </is>
      </c>
      <c r="D74" t="inlineStr">
        <is>
          <t>Cầu chì 2&gt;400x400</t>
        </is>
      </c>
      <c r="E74" t="inlineStr">
        <is>
          <t>Cái</t>
        </is>
      </c>
      <c r="F74" t="inlineStr"/>
      <c r="G74" t="inlineStr">
        <is>
          <t>Vat tu tôn!R15C33</t>
        </is>
      </c>
    </row>
    <row r="75">
      <c r="A75" t="n">
        <v>74</v>
      </c>
      <c r="B75" t="inlineStr">
        <is>
          <t>MAT-DAMPER-TRUC-VIT-1</t>
        </is>
      </c>
      <c r="C75" t="inlineStr">
        <is>
          <t>PHỤ_KIỆN_VAN</t>
        </is>
      </c>
      <c r="D75" t="inlineStr">
        <is>
          <t>Trục vít 1</t>
        </is>
      </c>
      <c r="E75" t="inlineStr">
        <is>
          <t>Cái</t>
        </is>
      </c>
      <c r="F75" t="inlineStr"/>
      <c r="G75" t="inlineStr">
        <is>
          <t>Vat tu tôn!R16C33</t>
        </is>
      </c>
    </row>
    <row r="76">
      <c r="A76" t="n">
        <v>75</v>
      </c>
      <c r="B76" t="inlineStr">
        <is>
          <t>MAT-DAMPER-BAC-DONG-8</t>
        </is>
      </c>
      <c r="C76" t="inlineStr">
        <is>
          <t>PHỤ_KIỆN_VAN</t>
        </is>
      </c>
      <c r="D76" t="inlineStr">
        <is>
          <t>Bạc đồng 8</t>
        </is>
      </c>
      <c r="E76" t="inlineStr">
        <is>
          <t>cặp</t>
        </is>
      </c>
      <c r="F76" t="inlineStr"/>
      <c r="G76" t="inlineStr">
        <is>
          <t>Vat tu tôn!R18C33</t>
        </is>
      </c>
    </row>
    <row r="77">
      <c r="A77" t="n">
        <v>76</v>
      </c>
      <c r="B77" t="inlineStr">
        <is>
          <t>MAT-DAMPER-BANH-RANG-VAN-NHOM</t>
        </is>
      </c>
      <c r="C77" t="inlineStr">
        <is>
          <t>PHỤ_KIỆN_VAN</t>
        </is>
      </c>
      <c r="D77" t="inlineStr">
        <is>
          <t>Bánh răng van nhôm</t>
        </is>
      </c>
      <c r="E77" t="inlineStr">
        <is>
          <t>Bộ</t>
        </is>
      </c>
      <c r="F77" t="inlineStr"/>
      <c r="G77" t="inlineStr">
        <is>
          <t>Vat tu tôn!R19C33</t>
        </is>
      </c>
    </row>
    <row r="78">
      <c r="A78" t="n">
        <v>77</v>
      </c>
      <c r="B78" t="inlineStr">
        <is>
          <t>MAT-DAMPER-TAY-VAN-NHUA-1M2</t>
        </is>
      </c>
      <c r="C78" t="inlineStr">
        <is>
          <t>PHỤ_KIỆN_VAN</t>
        </is>
      </c>
      <c r="D78" t="inlineStr">
        <is>
          <t>Tay van nhựa &gt;1m2</t>
        </is>
      </c>
      <c r="E78" t="inlineStr">
        <is>
          <t>Bộ</t>
        </is>
      </c>
      <c r="F78" t="inlineStr"/>
      <c r="G78" t="inlineStr">
        <is>
          <t>Vat tu tôn!R20C33</t>
        </is>
      </c>
    </row>
    <row r="79">
      <c r="A79" t="n">
        <v>78</v>
      </c>
      <c r="B79" t="inlineStr">
        <is>
          <t>MAT-DAMPER-TAY-VAN-INOX-1M2</t>
        </is>
      </c>
      <c r="C79" t="inlineStr">
        <is>
          <t>PHỤ_KIỆN_VAN</t>
        </is>
      </c>
      <c r="D79" t="inlineStr">
        <is>
          <t>Tay van Inox &gt;1m2</t>
        </is>
      </c>
      <c r="E79" t="inlineStr">
        <is>
          <t>Bộ</t>
        </is>
      </c>
      <c r="F79" t="inlineStr"/>
      <c r="G79" t="inlineStr">
        <is>
          <t>Vat tu tôn!R21C33</t>
        </is>
      </c>
    </row>
    <row r="80">
      <c r="A80" t="n">
        <v>79</v>
      </c>
      <c r="B80" t="inlineStr">
        <is>
          <t>MAT-DAMPER-TAY-VAN-NHOM</t>
        </is>
      </c>
      <c r="C80" t="inlineStr">
        <is>
          <t>PHỤ_KIỆN_VAN</t>
        </is>
      </c>
      <c r="D80" t="inlineStr">
        <is>
          <t>Tay van nhôm</t>
        </is>
      </c>
      <c r="E80" t="inlineStr">
        <is>
          <t>Bộ</t>
        </is>
      </c>
      <c r="F80" t="inlineStr"/>
      <c r="G80" t="inlineStr">
        <is>
          <t>Vat tu tôn!R22C33</t>
        </is>
      </c>
    </row>
    <row r="81">
      <c r="A81" t="n">
        <v>80</v>
      </c>
      <c r="B81" t="inlineStr">
        <is>
          <t>MAT-DAMPER-GIOANG-CAO-SU-VAN-NHOM</t>
        </is>
      </c>
      <c r="C81" t="inlineStr">
        <is>
          <t>PHỤ_KIỆN_VAN</t>
        </is>
      </c>
      <c r="D81" t="inlineStr">
        <is>
          <t>Gioăng cao su van nhôm</t>
        </is>
      </c>
      <c r="E81" t="inlineStr">
        <is>
          <t>M</t>
        </is>
      </c>
      <c r="F81" t="inlineStr"/>
      <c r="G81" t="inlineStr">
        <is>
          <t>Vat tu tôn!R23C33</t>
        </is>
      </c>
    </row>
    <row r="82">
      <c r="A82" t="n">
        <v>81</v>
      </c>
      <c r="B82" t="inlineStr">
        <is>
          <t>MAT-DAMPER-TAY-GAT-NHO</t>
        </is>
      </c>
      <c r="C82" t="inlineStr">
        <is>
          <t>PHỤ_KIỆN_VAN</t>
        </is>
      </c>
      <c r="D82" t="inlineStr">
        <is>
          <t>Tay gạt nhỏ</t>
        </is>
      </c>
      <c r="E82" t="inlineStr">
        <is>
          <t>Bộ</t>
        </is>
      </c>
      <c r="F82" t="inlineStr"/>
      <c r="G82" t="inlineStr">
        <is>
          <t>Vat tu tôn!R24C33</t>
        </is>
      </c>
    </row>
    <row r="83">
      <c r="A83" t="n">
        <v>82</v>
      </c>
      <c r="B83" t="inlineStr">
        <is>
          <t>MAT-DAMPER-TAY-GAT-TRUNG-BINH</t>
        </is>
      </c>
      <c r="C83" t="inlineStr">
        <is>
          <t>PHỤ_KIỆN_VAN</t>
        </is>
      </c>
      <c r="D83" t="inlineStr">
        <is>
          <t>Tay gạt trung bình</t>
        </is>
      </c>
      <c r="E83" t="inlineStr">
        <is>
          <t>Bộ</t>
        </is>
      </c>
      <c r="F83" t="inlineStr"/>
      <c r="G83" t="inlineStr">
        <is>
          <t>Vat tu tôn!R25C33</t>
        </is>
      </c>
    </row>
    <row r="84">
      <c r="A84" t="n">
        <v>83</v>
      </c>
      <c r="B84" t="inlineStr">
        <is>
          <t>MAT-DAMPER-MOTOR-NENUTEC-THUY-SY-LT-300X300</t>
        </is>
      </c>
      <c r="C84" t="inlineStr">
        <is>
          <t>PHỤ_KIỆN_VAN</t>
        </is>
      </c>
      <c r="D84" t="inlineStr">
        <is>
          <t>Motor NENUTEC - THỤY SỸ &lt;300x300</t>
        </is>
      </c>
      <c r="E84" t="inlineStr">
        <is>
          <t>cái</t>
        </is>
      </c>
      <c r="F84" t="inlineStr"/>
      <c r="G84" t="inlineStr">
        <is>
          <t>Vat tu tôn!R26C33</t>
        </is>
      </c>
    </row>
    <row r="85">
      <c r="A85" t="n">
        <v>84</v>
      </c>
      <c r="B85" t="inlineStr">
        <is>
          <t>MAT-DAMPER-MOTOR-NENUTEC-THUY-SY-GT-300X300</t>
        </is>
      </c>
      <c r="C85" t="inlineStr">
        <is>
          <t>PHỤ_KIỆN_VAN</t>
        </is>
      </c>
      <c r="D85" t="inlineStr">
        <is>
          <t>Motor NENUTEC - THỤY SỸ &gt;300x300</t>
        </is>
      </c>
      <c r="E85" t="inlineStr">
        <is>
          <t>cái</t>
        </is>
      </c>
      <c r="F85" t="inlineStr"/>
      <c r="G85" t="inlineStr">
        <is>
          <t>Vat tu tôn!R27C33</t>
        </is>
      </c>
    </row>
    <row r="86">
      <c r="A86" t="n">
        <v>85</v>
      </c>
      <c r="B86" t="inlineStr">
        <is>
          <t>MAT-DAMPER-MOTOR-NENUTEC-THUY-SY-1M2</t>
        </is>
      </c>
      <c r="C86" t="inlineStr">
        <is>
          <t>PHỤ_KIỆN_VAN</t>
        </is>
      </c>
      <c r="D86" t="inlineStr">
        <is>
          <t>Motor NENUTEC - THỤY SỸ &gt;1m2</t>
        </is>
      </c>
      <c r="E86" t="inlineStr">
        <is>
          <t>cái</t>
        </is>
      </c>
      <c r="F86" t="inlineStr"/>
      <c r="G86" t="inlineStr">
        <is>
          <t>Vat tu tôn!R28C33</t>
        </is>
      </c>
    </row>
    <row r="87">
      <c r="A87" t="n">
        <v>86</v>
      </c>
      <c r="B87" t="inlineStr">
        <is>
          <t>MAT-DAMPER-MOTOR-VAN-DAP-LUA-CAM-BIEN</t>
        </is>
      </c>
      <c r="C87" t="inlineStr">
        <is>
          <t>PHỤ_KIỆN_VAN</t>
        </is>
      </c>
      <c r="D87" t="inlineStr">
        <is>
          <t>Motor van dập lửa + cảm biến</t>
        </is>
      </c>
      <c r="E87" t="inlineStr">
        <is>
          <t>Cái</t>
        </is>
      </c>
      <c r="F87" t="inlineStr"/>
      <c r="G87" t="inlineStr">
        <is>
          <t>Vat tu tôn!R29C33</t>
        </is>
      </c>
    </row>
    <row r="88">
      <c r="A88" t="n">
        <v>87</v>
      </c>
      <c r="B88" t="inlineStr">
        <is>
          <t>MAT-DAMPER-MOTOR-VAN-AP-SUAT</t>
        </is>
      </c>
      <c r="C88" t="inlineStr">
        <is>
          <t>PHỤ_KIỆN_VAN</t>
        </is>
      </c>
      <c r="D88" t="inlineStr">
        <is>
          <t>Motor van áp suất</t>
        </is>
      </c>
      <c r="E88" t="inlineStr">
        <is>
          <t>Cái</t>
        </is>
      </c>
      <c r="F88" t="inlineStr"/>
      <c r="G88" t="inlineStr">
        <is>
          <t>Vat tu tôn!R30C33</t>
        </is>
      </c>
    </row>
    <row r="89">
      <c r="A89" t="n">
        <v>88</v>
      </c>
      <c r="B89" t="inlineStr">
        <is>
          <t>MAT-DAMPER-CAU-CHI-TRUNG-QUOC</t>
        </is>
      </c>
      <c r="C89" t="inlineStr">
        <is>
          <t>PHỤ_KIỆN_VAN</t>
        </is>
      </c>
      <c r="D89" t="inlineStr">
        <is>
          <t>Cầu chì Trung Quốc</t>
        </is>
      </c>
      <c r="E89" t="inlineStr">
        <is>
          <t>Cái</t>
        </is>
      </c>
      <c r="F89" t="inlineStr"/>
      <c r="G89" t="inlineStr">
        <is>
          <t>Vat tu tôn!R31C33</t>
        </is>
      </c>
    </row>
    <row r="90">
      <c r="A90" t="n">
        <v>89</v>
      </c>
      <c r="B90" t="inlineStr">
        <is>
          <t>MAT-DAMPER-CAU-CHI-USA-1-400X400</t>
        </is>
      </c>
      <c r="C90" t="inlineStr">
        <is>
          <t>PHỤ_KIỆN_VAN</t>
        </is>
      </c>
      <c r="D90" t="inlineStr">
        <is>
          <t>Cầu chì USA -1 (&lt;400x400)</t>
        </is>
      </c>
      <c r="E90" t="inlineStr">
        <is>
          <t>Cái</t>
        </is>
      </c>
      <c r="F90" t="inlineStr"/>
      <c r="G90" t="inlineStr">
        <is>
          <t>Vat tu tôn!R32C33</t>
        </is>
      </c>
    </row>
    <row r="91">
      <c r="A91" t="n">
        <v>90</v>
      </c>
      <c r="B91" t="inlineStr">
        <is>
          <t>MAT-DAMPER-CAU-CHI-USA-2-400X400</t>
        </is>
      </c>
      <c r="C91" t="inlineStr">
        <is>
          <t>PHỤ_KIỆN_VAN</t>
        </is>
      </c>
      <c r="D91" t="inlineStr">
        <is>
          <t>Cầu chì USA-2 (&gt;400x400)</t>
        </is>
      </c>
      <c r="E91" t="inlineStr">
        <is>
          <t>Cái</t>
        </is>
      </c>
      <c r="F91" t="inlineStr"/>
      <c r="G91" t="inlineStr">
        <is>
          <t>Vat tu tôn!R33C33</t>
        </is>
      </c>
    </row>
    <row r="92">
      <c r="A92" t="n">
        <v>91</v>
      </c>
      <c r="B92" t="inlineStr">
        <is>
          <t>MAT-FLANGE-L-30X30X2-CT38-L-6-M</t>
        </is>
      </c>
      <c r="C92" t="inlineStr">
        <is>
          <t>THÉP_BÍCH_GÓC</t>
        </is>
      </c>
      <c r="D92" t="inlineStr">
        <is>
          <t>L 30x30x2 CT38 L = 6 m</t>
        </is>
      </c>
      <c r="E92" t="inlineStr">
        <is>
          <t>m</t>
        </is>
      </c>
      <c r="F92" t="inlineStr"/>
      <c r="G92" t="inlineStr">
        <is>
          <t>Vat tu tôn!R13C37</t>
        </is>
      </c>
    </row>
    <row r="93">
      <c r="A93" t="n">
        <v>92</v>
      </c>
      <c r="B93" t="inlineStr">
        <is>
          <t>MAT-FLANGE-L-30X30X3-CT38-L-6-M</t>
        </is>
      </c>
      <c r="C93" t="inlineStr">
        <is>
          <t>THÉP_BÍCH_GÓC</t>
        </is>
      </c>
      <c r="D93" t="inlineStr">
        <is>
          <t>L 30x30x3 CT38 L = 6 m</t>
        </is>
      </c>
      <c r="E93" t="inlineStr">
        <is>
          <t>m</t>
        </is>
      </c>
      <c r="F93" t="inlineStr"/>
      <c r="G93" t="inlineStr">
        <is>
          <t>Vat tu tôn!R14C37</t>
        </is>
      </c>
    </row>
    <row r="94">
      <c r="A94" t="n">
        <v>93</v>
      </c>
      <c r="B94" t="inlineStr">
        <is>
          <t>MAT-FLANGE-L-40X40X4-CT39-L-6-M</t>
        </is>
      </c>
      <c r="C94" t="inlineStr">
        <is>
          <t>THÉP_BÍCH_GÓC</t>
        </is>
      </c>
      <c r="D94" t="inlineStr">
        <is>
          <t>L 40x40x4 CT39 L = 6 m</t>
        </is>
      </c>
      <c r="E94" t="inlineStr">
        <is>
          <t>m</t>
        </is>
      </c>
      <c r="F94" t="inlineStr"/>
      <c r="G94" t="inlineStr">
        <is>
          <t>Vat tu tôn!R15C37</t>
        </is>
      </c>
    </row>
    <row r="95">
      <c r="A95" t="n">
        <v>94</v>
      </c>
      <c r="B95" t="inlineStr">
        <is>
          <t>MAT-FLANGE-L-50X50X4-CT40-L-6-M</t>
        </is>
      </c>
      <c r="C95" t="inlineStr">
        <is>
          <t>THÉP_BÍCH_GÓC</t>
        </is>
      </c>
      <c r="D95" t="inlineStr">
        <is>
          <t>L 50x50x4 CT40 L = 6 m</t>
        </is>
      </c>
      <c r="E95" t="inlineStr">
        <is>
          <t>m</t>
        </is>
      </c>
      <c r="F95" t="inlineStr"/>
      <c r="G95" t="inlineStr">
        <is>
          <t>Vat tu tôn!R16C37</t>
        </is>
      </c>
    </row>
    <row r="96">
      <c r="A96" t="n">
        <v>95</v>
      </c>
      <c r="B96" t="inlineStr">
        <is>
          <t>MAT-INSUL-LUOI-NHUA</t>
        </is>
      </c>
      <c r="C96" t="inlineStr">
        <is>
          <t>VẬT_LIỆU_TIÊU_ÂM</t>
        </is>
      </c>
      <c r="D96" t="inlineStr">
        <is>
          <t>Lưới nhựa</t>
        </is>
      </c>
      <c r="E96" t="inlineStr">
        <is>
          <t>m2</t>
        </is>
      </c>
      <c r="F96" t="inlineStr"/>
      <c r="G96" t="inlineStr">
        <is>
          <t>Vat tu tôn!R5C41</t>
        </is>
      </c>
    </row>
    <row r="97">
      <c r="A97" t="n">
        <v>96</v>
      </c>
      <c r="B97" t="inlineStr">
        <is>
          <t>MAT-INSUL-MOTOR-NENUTEC-THUY-SY-LT-300X300</t>
        </is>
      </c>
      <c r="C97" t="inlineStr">
        <is>
          <t>VẬT_LIỆU_TIÊU_ÂM</t>
        </is>
      </c>
      <c r="D97" t="inlineStr">
        <is>
          <t>Motor NENUTEC - THỤY SỸ &lt;300x300</t>
        </is>
      </c>
      <c r="E97" t="inlineStr">
        <is>
          <t>cái</t>
        </is>
      </c>
      <c r="F97" t="inlineStr"/>
      <c r="G97" t="inlineStr">
        <is>
          <t>Vat tu tôn!R6C41</t>
        </is>
      </c>
    </row>
    <row r="98">
      <c r="A98" t="n">
        <v>97</v>
      </c>
      <c r="B98" t="inlineStr">
        <is>
          <t>MAT-INSUL-MOTOR-NENUTEC-THUY-SY-GT-300X300</t>
        </is>
      </c>
      <c r="C98" t="inlineStr">
        <is>
          <t>VẬT_LIỆU_TIÊU_ÂM</t>
        </is>
      </c>
      <c r="D98" t="inlineStr">
        <is>
          <t>Motor NENUTEC - THỤY SỸ &gt;300x300</t>
        </is>
      </c>
      <c r="E98" t="inlineStr">
        <is>
          <t>cái</t>
        </is>
      </c>
      <c r="F98" t="inlineStr"/>
      <c r="G98" t="inlineStr">
        <is>
          <t>Vat tu tôn!R7C41</t>
        </is>
      </c>
    </row>
    <row r="99">
      <c r="A99" t="n">
        <v>98</v>
      </c>
      <c r="B99" t="inlineStr">
        <is>
          <t>MAT-INSUL-MOTOR-NENUTEC-THUY-SY-1M2</t>
        </is>
      </c>
      <c r="C99" t="inlineStr">
        <is>
          <t>VẬT_LIỆU_TIÊU_ÂM</t>
        </is>
      </c>
      <c r="D99" t="inlineStr">
        <is>
          <t>Motor NENUTEC - THỤY SỸ &gt;1m2</t>
        </is>
      </c>
      <c r="E99" t="inlineStr">
        <is>
          <t>cái</t>
        </is>
      </c>
      <c r="F99" t="inlineStr"/>
      <c r="G99" t="inlineStr">
        <is>
          <t>Vat tu tôn!R8C41</t>
        </is>
      </c>
    </row>
    <row r="100">
      <c r="A100" t="n">
        <v>99</v>
      </c>
      <c r="B100" t="inlineStr">
        <is>
          <t>MAT-INSUL-MOTOR-VAN-DAP-LUA-CAM-BIEN</t>
        </is>
      </c>
      <c r="C100" t="inlineStr">
        <is>
          <t>VẬT_LIỆU_TIÊU_ÂM</t>
        </is>
      </c>
      <c r="D100" t="inlineStr">
        <is>
          <t>Motor van dập lửa + cảm biến</t>
        </is>
      </c>
      <c r="E100" t="inlineStr">
        <is>
          <t>m2</t>
        </is>
      </c>
      <c r="F100" t="inlineStr"/>
      <c r="G100" t="inlineStr">
        <is>
          <t>Vat tu tôn!R9C41</t>
        </is>
      </c>
    </row>
    <row r="101">
      <c r="A101" t="n">
        <v>100</v>
      </c>
      <c r="B101" t="inlineStr">
        <is>
          <t>MAT-INSUL-MOTOR-VAN-AP-SUAT</t>
        </is>
      </c>
      <c r="C101" t="inlineStr">
        <is>
          <t>VẬT_LIỆU_TIÊU_ÂM</t>
        </is>
      </c>
      <c r="D101" t="inlineStr">
        <is>
          <t>Motor van áp suất</t>
        </is>
      </c>
      <c r="E101" t="inlineStr">
        <is>
          <t>m2</t>
        </is>
      </c>
      <c r="F101" t="inlineStr"/>
      <c r="G101" t="inlineStr">
        <is>
          <t>Vat tu tôn!R10C41</t>
        </is>
      </c>
    </row>
    <row r="102">
      <c r="A102" t="n">
        <v>101</v>
      </c>
      <c r="B102" t="inlineStr">
        <is>
          <t>MAT-ALU-NAN-BD</t>
        </is>
      </c>
      <c r="C102" t="inlineStr">
        <is>
          <t>NHÔM_ĐỊNH_HÌNH</t>
        </is>
      </c>
      <c r="D102" t="inlineStr">
        <is>
          <t>Nhôm định hình NAN BD</t>
        </is>
      </c>
      <c r="E102" t="inlineStr">
        <is>
          <t>kg</t>
        </is>
      </c>
      <c r="F102" t="inlineStr">
        <is>
          <t>0.058 kg/m</t>
        </is>
      </c>
      <c r="G102" t="inlineStr">
        <is>
          <t>BG Cửa  (rút gọn)!R3C2</t>
        </is>
      </c>
    </row>
    <row r="103">
      <c r="A103" t="n">
        <v>102</v>
      </c>
      <c r="B103" t="inlineStr">
        <is>
          <t>MAT-ALU-NAN-T</t>
        </is>
      </c>
      <c r="C103" t="inlineStr">
        <is>
          <t>NHÔM_ĐỊNH_HÌNH</t>
        </is>
      </c>
      <c r="D103" t="inlineStr">
        <is>
          <t>Nhôm định hình NAN T</t>
        </is>
      </c>
      <c r="E103" t="inlineStr">
        <is>
          <t>kg</t>
        </is>
      </c>
      <c r="F103" t="inlineStr">
        <is>
          <t>0.078 kg/m</t>
        </is>
      </c>
      <c r="G103" t="inlineStr">
        <is>
          <t>BG Cửa  (rút gọn)!R4C2</t>
        </is>
      </c>
    </row>
    <row r="104">
      <c r="A104" t="n">
        <v>103</v>
      </c>
      <c r="B104" t="inlineStr">
        <is>
          <t>MAT-ALU-KHUNG-BD</t>
        </is>
      </c>
      <c r="C104" t="inlineStr">
        <is>
          <t>NHÔM_ĐỊNH_HÌNH</t>
        </is>
      </c>
      <c r="D104" t="inlineStr">
        <is>
          <t>Nhôm định hình KHUNG BD</t>
        </is>
      </c>
      <c r="E104" t="inlineStr">
        <is>
          <t>kg</t>
        </is>
      </c>
      <c r="F104" t="inlineStr">
        <is>
          <t>0.2 kg/m</t>
        </is>
      </c>
      <c r="G104" t="inlineStr">
        <is>
          <t>BG Cửa  (rút gọn)!R5C2</t>
        </is>
      </c>
    </row>
    <row r="105">
      <c r="A105" t="n">
        <v>104</v>
      </c>
      <c r="B105" t="inlineStr">
        <is>
          <t>MAT-ALU-KHUNG-BD-Z-MONG</t>
        </is>
      </c>
      <c r="C105" t="inlineStr">
        <is>
          <t>NHÔM_ĐỊNH_HÌNH</t>
        </is>
      </c>
      <c r="D105" t="inlineStr">
        <is>
          <t>Nhôm định hình KHUNG BD+ Z MỎNG</t>
        </is>
      </c>
      <c r="E105" t="inlineStr">
        <is>
          <t>kg</t>
        </is>
      </c>
      <c r="F105" t="inlineStr">
        <is>
          <t>0.173 kg/m</t>
        </is>
      </c>
      <c r="G105" t="inlineStr">
        <is>
          <t>BG Cửa  (rút gọn)!R6C2</t>
        </is>
      </c>
    </row>
    <row r="106">
      <c r="A106" t="n">
        <v>105</v>
      </c>
      <c r="B106" t="inlineStr">
        <is>
          <t>MAT-ALU-NAN-Z-DAY</t>
        </is>
      </c>
      <c r="C106" t="inlineStr">
        <is>
          <t>NHÔM_ĐỊNH_HÌNH</t>
        </is>
      </c>
      <c r="D106" t="inlineStr">
        <is>
          <t>Nhôm định hình NAN Z DÀY</t>
        </is>
      </c>
      <c r="E106" t="inlineStr">
        <is>
          <t>kg</t>
        </is>
      </c>
      <c r="F106" t="inlineStr">
        <is>
          <t>0.217 kg/m</t>
        </is>
      </c>
      <c r="G106" t="inlineStr">
        <is>
          <t>BG Cửa  (rút gọn)!R7C2</t>
        </is>
      </c>
    </row>
    <row r="107">
      <c r="A107" t="n">
        <v>106</v>
      </c>
      <c r="B107" t="inlineStr">
        <is>
          <t>MAT-ALU-NAN-Z-MONG</t>
        </is>
      </c>
      <c r="C107" t="inlineStr">
        <is>
          <t>NHÔM_ĐỊNH_HÌNH</t>
        </is>
      </c>
      <c r="D107" t="inlineStr">
        <is>
          <t>Nhôm định hình NAN Z MỎNG</t>
        </is>
      </c>
      <c r="E107" t="inlineStr">
        <is>
          <t>kg</t>
        </is>
      </c>
      <c r="F107" t="inlineStr">
        <is>
          <t>0.16 kg/m</t>
        </is>
      </c>
      <c r="G107" t="inlineStr">
        <is>
          <t>BG Cửa  (rút gọn)!R8C2</t>
        </is>
      </c>
    </row>
    <row r="108">
      <c r="A108" t="n">
        <v>107</v>
      </c>
      <c r="B108" t="inlineStr">
        <is>
          <t>MAT-ALU-KHUNG-Z-2-LOP</t>
        </is>
      </c>
      <c r="C108" t="inlineStr">
        <is>
          <t>NHÔM_ĐỊNH_HÌNH</t>
        </is>
      </c>
      <c r="D108" t="inlineStr">
        <is>
          <t>Nhôm định hình KHUNG Z+2 LỚP</t>
        </is>
      </c>
      <c r="E108" t="inlineStr">
        <is>
          <t>kg</t>
        </is>
      </c>
      <c r="F108" t="inlineStr">
        <is>
          <t>0.227 kg/m</t>
        </is>
      </c>
      <c r="G108" t="inlineStr">
        <is>
          <t>BG Cửa  (rút gọn)!R9C2</t>
        </is>
      </c>
    </row>
    <row r="109">
      <c r="A109" t="n">
        <v>108</v>
      </c>
      <c r="B109" t="inlineStr">
        <is>
          <t>MAT-ALU-NAN-OBD</t>
        </is>
      </c>
      <c r="C109" t="inlineStr">
        <is>
          <t>NHÔM_ĐỊNH_HÌNH</t>
        </is>
      </c>
      <c r="D109" t="inlineStr">
        <is>
          <t>Nhôm định hình NAN OBD</t>
        </is>
      </c>
      <c r="E109" t="inlineStr">
        <is>
          <t>kg</t>
        </is>
      </c>
      <c r="F109" t="inlineStr">
        <is>
          <t>0.11 kg/m</t>
        </is>
      </c>
      <c r="G109" t="inlineStr">
        <is>
          <t>BG Cửa  (rút gọn)!R10C2</t>
        </is>
      </c>
    </row>
    <row r="110">
      <c r="A110" t="n">
        <v>109</v>
      </c>
      <c r="B110" t="inlineStr">
        <is>
          <t>MAT-ALU-KHUNG-OBD</t>
        </is>
      </c>
      <c r="C110" t="inlineStr">
        <is>
          <t>NHÔM_ĐỊNH_HÌNH</t>
        </is>
      </c>
      <c r="D110" t="inlineStr">
        <is>
          <t>Nhôm định hình KHUNG OBD</t>
        </is>
      </c>
      <c r="E110" t="inlineStr">
        <is>
          <t>kg</t>
        </is>
      </c>
      <c r="F110" t="inlineStr">
        <is>
          <t>0.158 kg/m</t>
        </is>
      </c>
      <c r="G110" t="inlineStr">
        <is>
          <t>BG Cửa  (rút gọn)!R11C2</t>
        </is>
      </c>
    </row>
    <row r="111">
      <c r="A111" t="n">
        <v>110</v>
      </c>
      <c r="B111" t="inlineStr">
        <is>
          <t>MAT-ALU-NAN-BD-EUS02</t>
        </is>
      </c>
      <c r="C111" t="inlineStr">
        <is>
          <t>NHÔM_ĐỊNH_HÌNH</t>
        </is>
      </c>
      <c r="D111" t="inlineStr">
        <is>
          <t>Nhôm định hình NAN BD EUS 02</t>
        </is>
      </c>
      <c r="E111" t="inlineStr">
        <is>
          <t>kg</t>
        </is>
      </c>
      <c r="F111" t="inlineStr">
        <is>
          <t>0.071 kg/m</t>
        </is>
      </c>
      <c r="G111" t="inlineStr">
        <is>
          <t>BG Cửa  (rút gọn)!R14C2</t>
        </is>
      </c>
    </row>
    <row r="112">
      <c r="A112" t="n">
        <v>111</v>
      </c>
      <c r="B112" t="inlineStr">
        <is>
          <t>MAT-ALU-KHUNG-BD-EUS01</t>
        </is>
      </c>
      <c r="C112" t="inlineStr">
        <is>
          <t>NHÔM_ĐỊNH_HÌNH</t>
        </is>
      </c>
      <c r="D112" t="inlineStr">
        <is>
          <t>Nhôm định hình KHUNG BD EUS 01</t>
        </is>
      </c>
      <c r="E112" t="inlineStr">
        <is>
          <t>kg</t>
        </is>
      </c>
      <c r="F112" t="inlineStr">
        <is>
          <t>0.206 kg/m</t>
        </is>
      </c>
      <c r="G112" t="inlineStr">
        <is>
          <t>BG Cửa  (rút gọn)!R15C2</t>
        </is>
      </c>
    </row>
    <row r="113">
      <c r="A113" t="n">
        <v>112</v>
      </c>
      <c r="B113" t="inlineStr">
        <is>
          <t>MAT-ALU-NAN-Z-EUS05</t>
        </is>
      </c>
      <c r="C113" t="inlineStr">
        <is>
          <t>NHÔM_ĐỊNH_HÌNH</t>
        </is>
      </c>
      <c r="D113" t="inlineStr">
        <is>
          <t>Nhôm định hình NAN Z EUS 05</t>
        </is>
      </c>
      <c r="E113" t="inlineStr">
        <is>
          <t>kg</t>
        </is>
      </c>
      <c r="F113" t="inlineStr">
        <is>
          <t>0.162 kg/m</t>
        </is>
      </c>
      <c r="G113" t="inlineStr">
        <is>
          <t>BG Cửa  (rút gọn)!R16C2</t>
        </is>
      </c>
    </row>
    <row r="114">
      <c r="A114" t="n">
        <v>113</v>
      </c>
      <c r="B114" t="inlineStr">
        <is>
          <t>MAT-ALU-KHUNG-Z-EUS03</t>
        </is>
      </c>
      <c r="C114" t="inlineStr">
        <is>
          <t>NHÔM_ĐỊNH_HÌNH</t>
        </is>
      </c>
      <c r="D114" t="inlineStr">
        <is>
          <t>Nhôm định hình KHUNG Z EUS 03</t>
        </is>
      </c>
      <c r="E114" t="inlineStr">
        <is>
          <t>kg</t>
        </is>
      </c>
      <c r="F114" t="inlineStr">
        <is>
          <t>0.247 kg/m</t>
        </is>
      </c>
      <c r="G114" t="inlineStr">
        <is>
          <t>BG Cửa  (rút gọn)!R17C2</t>
        </is>
      </c>
    </row>
    <row r="115">
      <c r="A115" t="n">
        <v>114</v>
      </c>
      <c r="B115" t="inlineStr">
        <is>
          <t>MAT-ALU-NAN-OBD-EUS20</t>
        </is>
      </c>
      <c r="C115" t="inlineStr">
        <is>
          <t>NHÔM_ĐỊNH_HÌNH</t>
        </is>
      </c>
      <c r="D115" t="inlineStr">
        <is>
          <t>Nhôm định hình NAN OBD EUS 20</t>
        </is>
      </c>
      <c r="E115" t="inlineStr">
        <is>
          <t>kg</t>
        </is>
      </c>
      <c r="F115" t="inlineStr">
        <is>
          <t>0.094 kg/m</t>
        </is>
      </c>
      <c r="G115" t="inlineStr">
        <is>
          <t>BG Cửa  (rút gọn)!R18C2</t>
        </is>
      </c>
    </row>
    <row r="116">
      <c r="A116" t="n">
        <v>115</v>
      </c>
      <c r="B116" t="inlineStr">
        <is>
          <t>MAT-ALU-KHUNG-OBD-EUS10</t>
        </is>
      </c>
      <c r="C116" t="inlineStr">
        <is>
          <t>NHÔM_ĐỊNH_HÌNH</t>
        </is>
      </c>
      <c r="D116" t="inlineStr">
        <is>
          <t>Nhôm định hình KHUNG OBD EUS 10</t>
        </is>
      </c>
      <c r="E116" t="inlineStr">
        <is>
          <t>kg</t>
        </is>
      </c>
      <c r="F116" t="inlineStr">
        <is>
          <t>0.141 kg/m</t>
        </is>
      </c>
      <c r="G116" t="inlineStr">
        <is>
          <t>BG Cửa  (rút gọn)!R19C2</t>
        </is>
      </c>
    </row>
    <row r="117">
      <c r="A117" t="n">
        <v>116</v>
      </c>
      <c r="B117" t="inlineStr">
        <is>
          <t>MAT-PAINT-POWDER</t>
        </is>
      </c>
      <c r="C117" t="inlineStr">
        <is>
          <t>SƠN_TĨNH_ĐIỆN</t>
        </is>
      </c>
      <c r="D117" t="inlineStr">
        <is>
          <t>Sơn tĩnh điện tiêu chuẩn Polyester</t>
        </is>
      </c>
      <c r="E117" t="inlineStr">
        <is>
          <t>m2</t>
        </is>
      </c>
      <c r="F117" t="inlineStr"/>
      <c r="G117" t="inlineStr">
        <is>
          <t>BG Cửa  (rút gọn)!R32C21</t>
        </is>
      </c>
    </row>
    <row r="118">
      <c r="A118" t="n">
        <v>117</v>
      </c>
      <c r="B118" t="inlineStr">
        <is>
          <t>MAT-DOOR-ACCESSORY</t>
        </is>
      </c>
      <c r="C118" t="inlineStr">
        <is>
          <t>PHỤ_KIỆN_CỬA</t>
        </is>
      </c>
      <c r="D118" t="inlineStr">
        <is>
          <t>Phụ kiện lắp ghép / Ke góc cửa gió</t>
        </is>
      </c>
      <c r="E118" t="inlineStr">
        <is>
          <t>Bộ</t>
        </is>
      </c>
      <c r="F118" t="inlineStr"/>
      <c r="G118" t="inlineStr">
        <is>
          <t>BG Cửa  (rút gọn)!R34C20</t>
        </is>
      </c>
    </row>
    <row r="119">
      <c r="A119" t="n">
        <v>118</v>
      </c>
      <c r="B119" t="inlineStr">
        <is>
          <t>MAT-ACTUATOR-NACA-2-05</t>
        </is>
      </c>
      <c r="C119" t="inlineStr">
        <is>
          <t>ĐỘNG_CƠ_VÀ_CẢM_BIẾN</t>
        </is>
      </c>
      <c r="D119" t="inlineStr">
        <is>
          <t>Model: NACA 2-05  ( 220VAC, On/Off )</t>
        </is>
      </c>
      <c r="E119" t="inlineStr">
        <is>
          <t>Cái</t>
        </is>
      </c>
      <c r="F119" t="inlineStr"/>
      <c r="G119" t="inlineStr">
        <is>
          <t>VT van</t>
        </is>
      </c>
    </row>
    <row r="120">
      <c r="A120" t="n">
        <v>119</v>
      </c>
      <c r="B120" t="inlineStr">
        <is>
          <t>MAT-ACTUATOR-NACA-2-10</t>
        </is>
      </c>
      <c r="C120" t="inlineStr">
        <is>
          <t>ĐỘNG_CƠ_VÀ_CẢM_BIẾN</t>
        </is>
      </c>
      <c r="D120" t="inlineStr">
        <is>
          <t>Model: NACA 2-10   ( 220VAC, On/Off )</t>
        </is>
      </c>
      <c r="E120" t="inlineStr">
        <is>
          <t>Cái</t>
        </is>
      </c>
      <c r="F120" t="inlineStr"/>
      <c r="G120" t="inlineStr">
        <is>
          <t>VT van</t>
        </is>
      </c>
    </row>
    <row r="121">
      <c r="A121" t="n">
        <v>120</v>
      </c>
      <c r="B121" t="inlineStr">
        <is>
          <t>MAT-ACTUATOR-NACA-2-20</t>
        </is>
      </c>
      <c r="C121" t="inlineStr">
        <is>
          <t>ĐỘNG_CƠ_VÀ_CẢM_BIẾN</t>
        </is>
      </c>
      <c r="D121" t="inlineStr">
        <is>
          <t>Model: NACA 2-20   ( 220VAC, On/Off )</t>
        </is>
      </c>
      <c r="E121" t="inlineStr">
        <is>
          <t>Cái</t>
        </is>
      </c>
      <c r="F121" t="inlineStr"/>
      <c r="G121" t="inlineStr">
        <is>
          <t>VT van</t>
        </is>
      </c>
    </row>
    <row r="122">
      <c r="A122" t="n">
        <v>121</v>
      </c>
      <c r="B122" t="inlineStr">
        <is>
          <t>MAT-ACTUATOR-NACA-2-40</t>
        </is>
      </c>
      <c r="C122" t="inlineStr">
        <is>
          <t>ĐỘNG_CƠ_VÀ_CẢM_BIẾN</t>
        </is>
      </c>
      <c r="D122" t="inlineStr">
        <is>
          <t>Model: NACA 2-40   ( 220VAC, On/Off )</t>
        </is>
      </c>
      <c r="E122" t="inlineStr">
        <is>
          <t>Cái</t>
        </is>
      </c>
      <c r="F122" t="inlineStr"/>
      <c r="G122" t="inlineStr">
        <is>
          <t>VT van</t>
        </is>
      </c>
    </row>
    <row r="123">
      <c r="A123" t="n">
        <v>122</v>
      </c>
      <c r="B123" t="inlineStr">
        <is>
          <t>MAT-ACTUATOR-NTC-831</t>
        </is>
      </c>
      <c r="C123" t="inlineStr">
        <is>
          <t>ĐỘNG_CƠ_VÀ_CẢM_BIẾN</t>
        </is>
      </c>
      <c r="D123" t="inlineStr">
        <is>
          <t>Model: NTC 831</t>
        </is>
      </c>
      <c r="E123" t="inlineStr">
        <is>
          <t>Cái</t>
        </is>
      </c>
      <c r="F123" t="inlineStr"/>
      <c r="G123" t="inlineStr">
        <is>
          <t>VT van</t>
        </is>
      </c>
    </row>
    <row r="124">
      <c r="A124" t="n">
        <v>123</v>
      </c>
      <c r="B124" t="inlineStr">
        <is>
          <t>MAT-ACTUATOR-NACM-1-2-05</t>
        </is>
      </c>
      <c r="C124" t="inlineStr">
        <is>
          <t>ĐỘNG_CƠ_VÀ_CẢM_BIẾN</t>
        </is>
      </c>
      <c r="D124" t="inlineStr">
        <is>
          <t>Model: NACM 1.2-05  ( Modulating )</t>
        </is>
      </c>
      <c r="E124" t="inlineStr">
        <is>
          <t>Cái</t>
        </is>
      </c>
      <c r="F124" t="inlineStr"/>
      <c r="G124" t="inlineStr">
        <is>
          <t>VT van</t>
        </is>
      </c>
    </row>
    <row r="125">
      <c r="A125" t="n">
        <v>124</v>
      </c>
      <c r="B125" t="inlineStr">
        <is>
          <t>MAT-ACTUATOR-NACM-1-1-10</t>
        </is>
      </c>
      <c r="C125" t="inlineStr">
        <is>
          <t>ĐỘNG_CƠ_VÀ_CẢM_BIẾN</t>
        </is>
      </c>
      <c r="D125" t="inlineStr">
        <is>
          <t>Model: NACM 1.1-10  ( Modulating )</t>
        </is>
      </c>
      <c r="E125" t="inlineStr">
        <is>
          <t>Cái</t>
        </is>
      </c>
      <c r="F125" t="inlineStr"/>
      <c r="G125" t="inlineStr">
        <is>
          <t>VT van</t>
        </is>
      </c>
    </row>
    <row r="126">
      <c r="A126" t="n">
        <v>125</v>
      </c>
      <c r="B126" t="inlineStr">
        <is>
          <t>MAT-ACTUATOR-NACM-1-1-20</t>
        </is>
      </c>
      <c r="C126" t="inlineStr">
        <is>
          <t>ĐỘNG_CƠ_VÀ_CẢM_BIẾN</t>
        </is>
      </c>
      <c r="D126" t="inlineStr">
        <is>
          <t>Model: NACM 1.1-20  ( Modulating )</t>
        </is>
      </c>
      <c r="E126" t="inlineStr">
        <is>
          <t>Cái</t>
        </is>
      </c>
      <c r="F126" t="inlineStr"/>
      <c r="G126" t="inlineStr">
        <is>
          <t>VT van</t>
        </is>
      </c>
    </row>
    <row r="127">
      <c r="A127" t="n">
        <v>126</v>
      </c>
      <c r="B127" t="inlineStr">
        <is>
          <t>MAT-ACTUATOR-NACM-1-1-40</t>
        </is>
      </c>
      <c r="C127" t="inlineStr">
        <is>
          <t>ĐỘNG_CƠ_VÀ_CẢM_BIẾN</t>
        </is>
      </c>
      <c r="D127" t="inlineStr">
        <is>
          <t>Model: NACM 1.1-40  ( Modulating )</t>
        </is>
      </c>
      <c r="E127" t="inlineStr">
        <is>
          <t>Cái</t>
        </is>
      </c>
      <c r="F127" t="inlineStr"/>
      <c r="G127" t="inlineStr">
        <is>
          <t>VT van!R26C3</t>
        </is>
      </c>
    </row>
    <row r="128">
      <c r="A128" t="n">
        <v>127</v>
      </c>
      <c r="B128" t="inlineStr">
        <is>
          <t>MAT-ACTUATOR-MODEL-NPG-1-DIEU-KHI</t>
        </is>
      </c>
      <c r="C128" t="inlineStr">
        <is>
          <t>ĐỘNG_CƠ_VÀ_CẢM_BIẾN</t>
        </is>
      </c>
      <c r="D128" t="inlineStr">
        <is>
          <t>Model: NPG-1 ( Điều khiển cửa gió theo % đóng mở )</t>
        </is>
      </c>
      <c r="E128" t="inlineStr">
        <is>
          <t>Cái</t>
        </is>
      </c>
      <c r="F128" t="inlineStr"/>
      <c r="G128" t="inlineStr">
        <is>
          <t>VT van!R28C3</t>
        </is>
      </c>
    </row>
    <row r="129">
      <c r="A129" t="n">
        <v>128</v>
      </c>
      <c r="B129" t="inlineStr">
        <is>
          <t>MAT-ACTUATOR-MODEL-NTC-843-DIEU-K</t>
        </is>
      </c>
      <c r="C129" t="inlineStr">
        <is>
          <t>ĐỘNG_CƠ_VÀ_CẢM_BIẾN</t>
        </is>
      </c>
      <c r="D129" t="inlineStr">
        <is>
          <t>Model: NTC-843 ( Điều khiển cửa gió theo nhiệt độ phòng )</t>
        </is>
      </c>
      <c r="E129" t="inlineStr">
        <is>
          <t>Cái</t>
        </is>
      </c>
      <c r="F129" t="inlineStr"/>
      <c r="G129" t="inlineStr">
        <is>
          <t>VT van!R29C3</t>
        </is>
      </c>
    </row>
    <row r="130">
      <c r="A130" t="n">
        <v>129</v>
      </c>
      <c r="B130" t="inlineStr">
        <is>
          <t>MAT-ACTUATOR-SAFA-1-05S</t>
        </is>
      </c>
      <c r="C130" t="inlineStr">
        <is>
          <t>ĐỘNG_CƠ_VÀ_CẢM_BIẾN</t>
        </is>
      </c>
      <c r="D130" t="inlineStr">
        <is>
          <t>SAFA - 1 - 05S ( 24VAC/DC ) - Không có cảm biến</t>
        </is>
      </c>
      <c r="E130" t="inlineStr">
        <is>
          <t>Cái</t>
        </is>
      </c>
      <c r="F130" t="inlineStr"/>
      <c r="G130" t="inlineStr">
        <is>
          <t>VT van!R31C3</t>
        </is>
      </c>
    </row>
    <row r="131">
      <c r="A131" t="n">
        <v>130</v>
      </c>
      <c r="B131" t="inlineStr">
        <is>
          <t>MAT-ACTUATOR-SAFA-1-08S</t>
        </is>
      </c>
      <c r="C131" t="inlineStr">
        <is>
          <t>ĐỘNG_CƠ_VÀ_CẢM_BIẾN</t>
        </is>
      </c>
      <c r="D131" t="inlineStr">
        <is>
          <t>SAFA - 1 - 08S ( 24VAC/DC )  - Không có cảm biến</t>
        </is>
      </c>
      <c r="E131" t="inlineStr">
        <is>
          <t>Cái</t>
        </is>
      </c>
      <c r="F131" t="inlineStr"/>
      <c r="G131" t="inlineStr">
        <is>
          <t>VT van!R32C3</t>
        </is>
      </c>
    </row>
    <row r="132">
      <c r="A132" t="n">
        <v>131</v>
      </c>
      <c r="B132" t="inlineStr">
        <is>
          <t>MAT-ACTUATOR-SAFA-2-05S</t>
        </is>
      </c>
      <c r="C132" t="inlineStr">
        <is>
          <t>ĐỘNG_CƠ_VÀ_CẢM_BIẾN</t>
        </is>
      </c>
      <c r="D132" t="inlineStr">
        <is>
          <t>SAFA - 2 - 05S ( 220VAC  )  - Không có cảm biến</t>
        </is>
      </c>
      <c r="E132" t="inlineStr">
        <is>
          <t>Cái</t>
        </is>
      </c>
      <c r="F132" t="inlineStr"/>
      <c r="G132" t="inlineStr">
        <is>
          <t>VT van!R33C3</t>
        </is>
      </c>
    </row>
    <row r="133">
      <c r="A133" t="n">
        <v>132</v>
      </c>
      <c r="B133" t="inlineStr">
        <is>
          <t>MAT-ACTUATOR-SAFA-2-08S</t>
        </is>
      </c>
      <c r="C133" t="inlineStr">
        <is>
          <t>ĐỘNG_CƠ_VÀ_CẢM_BIẾN</t>
        </is>
      </c>
      <c r="D133" t="inlineStr">
        <is>
          <t>SAFA - 2 - 08S ( 220VAC  )  - Không có cảm biến</t>
        </is>
      </c>
      <c r="E133" t="inlineStr">
        <is>
          <t>Cái</t>
        </is>
      </c>
      <c r="F133" t="inlineStr"/>
      <c r="G133" t="inlineStr">
        <is>
          <t>VT van!R34C3</t>
        </is>
      </c>
    </row>
    <row r="134">
      <c r="A134" t="n">
        <v>133</v>
      </c>
      <c r="B134" t="inlineStr">
        <is>
          <t>MAT-ACTUATOR-CAM-BIEN-NHIET-BANG-</t>
        </is>
      </c>
      <c r="C134" t="inlineStr">
        <is>
          <t>ĐỘNG_CƠ_VÀ_CẢM_BIẾN</t>
        </is>
      </c>
      <c r="D134" t="inlineStr">
        <is>
          <t>Cảm biến nhiệt bằng điện gắn với Motor dùng cho fire damper</t>
        </is>
      </c>
      <c r="E134" t="inlineStr">
        <is>
          <t>Cái</t>
        </is>
      </c>
      <c r="F134" t="inlineStr"/>
      <c r="G134" t="inlineStr">
        <is>
          <t>VT van!R35C3</t>
        </is>
      </c>
    </row>
    <row r="135">
      <c r="A135" t="n">
        <v>134</v>
      </c>
      <c r="B135" t="inlineStr">
        <is>
          <t>MAT-ACTUATOR-MODEL-B</t>
        </is>
      </c>
      <c r="C135" t="inlineStr">
        <is>
          <t>ĐỘNG_CƠ_VÀ_CẢM_BIẾN</t>
        </is>
      </c>
      <c r="D135" t="inlineStr">
        <is>
          <t>Model: B (165ºF) ( Loại nhỏ )</t>
        </is>
      </c>
      <c r="E135" t="inlineStr">
        <is>
          <t>Cái</t>
        </is>
      </c>
      <c r="F135" t="inlineStr"/>
      <c r="G135" t="inlineStr">
        <is>
          <t>VT van!R37C3</t>
        </is>
      </c>
    </row>
    <row r="136">
      <c r="A136" t="n">
        <v>135</v>
      </c>
      <c r="B136" t="inlineStr">
        <is>
          <t>MAT-ACTUATOR-MODEL-A</t>
        </is>
      </c>
      <c r="C136" t="inlineStr">
        <is>
          <t>ĐỘNG_CƠ_VÀ_CẢM_BIẾN</t>
        </is>
      </c>
      <c r="D136" t="inlineStr">
        <is>
          <t>Model: A (165ºF) ( Loại lớn )</t>
        </is>
      </c>
      <c r="E136" t="inlineStr">
        <is>
          <t>Cái</t>
        </is>
      </c>
      <c r="F136" t="inlineStr"/>
      <c r="G136" t="inlineStr">
        <is>
          <t>VT van!R38C3</t>
        </is>
      </c>
    </row>
    <row r="137">
      <c r="A137" t="n">
        <v>136</v>
      </c>
      <c r="B137" t="inlineStr">
        <is>
          <t>MAT-INSUL-BONG-THUY-TINH-KHONG-MAT-12</t>
        </is>
      </c>
      <c r="C137" t="inlineStr">
        <is>
          <t>VẬT_LIỆU_TIÊU_ÂM</t>
        </is>
      </c>
      <c r="D137" t="inlineStr">
        <is>
          <t>Bông thuỷ tinh không mặt bạc T12 D50 - Chiều dày 50mm, khổ rộng 1,2m dài 30m. Tổng 36m2/cuộn. Tỷ trọng 12kg/m3</t>
        </is>
      </c>
      <c r="E137" t="inlineStr">
        <is>
          <t>m2</t>
        </is>
      </c>
      <c r="F137" t="inlineStr"/>
      <c r="G137" t="inlineStr">
        <is>
          <t>VT tiêu âm!R12C2</t>
        </is>
      </c>
    </row>
    <row r="138">
      <c r="A138" t="n">
        <v>137</v>
      </c>
      <c r="B138" t="inlineStr">
        <is>
          <t>MAT-INSUL-BONG-THUY-TINH-CO-BAC-T12-13</t>
        </is>
      </c>
      <c r="C138" t="inlineStr">
        <is>
          <t>VẬT_LIỆU_TIÊU_ÂM</t>
        </is>
      </c>
      <c r="D138" t="inlineStr">
        <is>
          <t>Bông thuỷ tinh có bạc T12 D50 - Chiều dày 50mm, khổ rộng 1,2m dài 30m. Tổng 36m2/cuộn. Tỷ trọng 12kg/m3</t>
        </is>
      </c>
      <c r="E138" t="inlineStr">
        <is>
          <t>m2</t>
        </is>
      </c>
      <c r="F138" t="inlineStr"/>
      <c r="G138" t="inlineStr">
        <is>
          <t>VT tiêu âm!R13C2</t>
        </is>
      </c>
    </row>
    <row r="139">
      <c r="A139" t="n">
        <v>138</v>
      </c>
      <c r="B139" t="inlineStr">
        <is>
          <t>MAT-INSUL-BONG-THUY-TINH-KHONG-MAT-14</t>
        </is>
      </c>
      <c r="C139" t="inlineStr">
        <is>
          <t>VẬT_LIỆU_TIÊU_ÂM</t>
        </is>
      </c>
      <c r="D139" t="inlineStr">
        <is>
          <t>Bông thuỷ tinh không mặt bạc T24 D50 - Chiều dày 50mm, khổ rộng 1,2m dài 20m. Tổng 24m2/cuộn. Tỷ trọng 24kg/m3</t>
        </is>
      </c>
      <c r="E139" t="inlineStr">
        <is>
          <t>m2</t>
        </is>
      </c>
      <c r="F139" t="inlineStr"/>
      <c r="G139" t="inlineStr">
        <is>
          <t>VT tiêu âm!R14C2</t>
        </is>
      </c>
    </row>
    <row r="140">
      <c r="A140" t="n">
        <v>139</v>
      </c>
      <c r="B140" t="inlineStr">
        <is>
          <t>MAT-INSUL-BONG-THUY-TINH-CO-BAC-T24-15</t>
        </is>
      </c>
      <c r="C140" t="inlineStr">
        <is>
          <t>VẬT_LIỆU_TIÊU_ÂM</t>
        </is>
      </c>
      <c r="D140" t="inlineStr">
        <is>
          <t>Bông thuỷ tinh có bạc T24 D50 - Chiều dày 50mm, khổ rộng 1,2m dài 20m. Tổng 24m2/cuộn. Tỷ trọng 24kg/m3</t>
        </is>
      </c>
      <c r="E140" t="inlineStr">
        <is>
          <t>m2</t>
        </is>
      </c>
      <c r="F140" t="inlineStr"/>
      <c r="G140" t="inlineStr">
        <is>
          <t>VT tiêu âm!R15C2</t>
        </is>
      </c>
    </row>
    <row r="141">
      <c r="A141" t="n">
        <v>140</v>
      </c>
      <c r="B141" t="inlineStr">
        <is>
          <t>MAT-INSUL-BONG-THUY-TINH-KHONG-MAT-16</t>
        </is>
      </c>
      <c r="C141" t="inlineStr">
        <is>
          <t>VẬT_LIỆU_TIÊU_ÂM</t>
        </is>
      </c>
      <c r="D141" t="inlineStr">
        <is>
          <t>Bông thuỷ tinh không mặt bạc T32 D50 - Chiều dày 50mm, khổ rộng 1,2m dài 15m. Tổng 18m2/cuộn. Tỷ trọng 32kg/m3</t>
        </is>
      </c>
      <c r="E141" t="inlineStr">
        <is>
          <t>m2</t>
        </is>
      </c>
      <c r="F141" t="inlineStr"/>
      <c r="G141" t="inlineStr">
        <is>
          <t>VT tiêu âm!R16C2</t>
        </is>
      </c>
    </row>
    <row r="142">
      <c r="A142" t="n">
        <v>141</v>
      </c>
      <c r="B142" t="inlineStr">
        <is>
          <t>MAT-INSUL-BONG-THUY-TINH-CO-MAT-BAC-17</t>
        </is>
      </c>
      <c r="C142" t="inlineStr">
        <is>
          <t>VẬT_LIỆU_TIÊU_ÂM</t>
        </is>
      </c>
      <c r="D142" t="inlineStr">
        <is>
          <t>Bông thuỷ tinh có mặt bạc T32 D50 - Chiều dày 50mm, khổ rộng 1,2m dài 15m. Tổng 18m2/cuộn. Tỷ trọng 32kg/m3</t>
        </is>
      </c>
      <c r="E142" t="inlineStr">
        <is>
          <t>m2</t>
        </is>
      </c>
      <c r="F142" t="inlineStr"/>
      <c r="G142" t="inlineStr">
        <is>
          <t>VT tiêu âm!R17C2</t>
        </is>
      </c>
    </row>
    <row r="143">
      <c r="A143" t="n">
        <v>142</v>
      </c>
      <c r="B143" t="inlineStr">
        <is>
          <t>MAT-INSUL-BONG-KHOANG-TAM-T40-19</t>
        </is>
      </c>
      <c r="C143" t="inlineStr">
        <is>
          <t>VẬT_LIỆU_TIÊU_ÂM</t>
        </is>
      </c>
      <c r="D143" t="inlineStr">
        <is>
          <t>Bông khoáng tấm T40 - Kích thước tấm: 50 x 600 x 1200mm - 1 Kiện gồm 06 tấm, tỷ trọng 40kg/m3</t>
        </is>
      </c>
      <c r="E143" t="inlineStr">
        <is>
          <t>kiện</t>
        </is>
      </c>
      <c r="F143" t="inlineStr"/>
      <c r="G143" t="inlineStr">
        <is>
          <t>VT tiêu âm!R19C2</t>
        </is>
      </c>
    </row>
    <row r="144">
      <c r="A144" t="n">
        <v>143</v>
      </c>
      <c r="B144" t="inlineStr">
        <is>
          <t>MAT-INSUL-BONG-KHOANG-TAM-T50-20</t>
        </is>
      </c>
      <c r="C144" t="inlineStr">
        <is>
          <t>VẬT_LIỆU_TIÊU_ÂM</t>
        </is>
      </c>
      <c r="D144" t="inlineStr">
        <is>
          <t>Bông khoáng tấm T50 - Kích thước tấm: 50 x 600 x 1200mm - 1 Kiện gồm 06 tấm, tỷ trọng 50kg/m3</t>
        </is>
      </c>
      <c r="E144" t="inlineStr">
        <is>
          <t>kiện</t>
        </is>
      </c>
      <c r="F144" t="inlineStr"/>
      <c r="G144" t="inlineStr">
        <is>
          <t>VT tiêu âm!R20C2</t>
        </is>
      </c>
    </row>
    <row r="145">
      <c r="A145" t="n">
        <v>144</v>
      </c>
      <c r="B145" t="inlineStr">
        <is>
          <t>MAT-INSUL-BONG-KHOANG-T60-D50-21</t>
        </is>
      </c>
      <c r="C145" t="inlineStr">
        <is>
          <t>VẬT_LIỆU_TIÊU_ÂM</t>
        </is>
      </c>
      <c r="D145" t="inlineStr">
        <is>
          <t>Bông khoáng T60 D50 - Kích thước tấm: 50 x 600 x 1200mm - 1 Kiện gồm 06 tấm, tỷ trọng 60kg/m3</t>
        </is>
      </c>
      <c r="E145" t="inlineStr">
        <is>
          <t>kiện</t>
        </is>
      </c>
      <c r="F145" t="inlineStr"/>
      <c r="G145" t="inlineStr">
        <is>
          <t>VT tiêu âm!R21C2</t>
        </is>
      </c>
    </row>
    <row r="146">
      <c r="A146" t="n">
        <v>145</v>
      </c>
      <c r="B146" t="inlineStr">
        <is>
          <t>MAT-INSUL-BONG-KHOANG-T80-D50-22</t>
        </is>
      </c>
      <c r="C146" t="inlineStr">
        <is>
          <t>VẬT_LIỆU_TIÊU_ÂM</t>
        </is>
      </c>
      <c r="D146" t="inlineStr">
        <is>
          <t>Bông khoáng T80 D50 - Kích thước tấm: 50 x 600 x 1200mm - 1 Kiện gồm 06 tấm, tỷ trọng 80kg/m3</t>
        </is>
      </c>
      <c r="E146" t="inlineStr">
        <is>
          <t>kiện</t>
        </is>
      </c>
      <c r="F146" t="inlineStr"/>
      <c r="G146" t="inlineStr">
        <is>
          <t>VT tiêu âm!R22C2</t>
        </is>
      </c>
    </row>
    <row r="147">
      <c r="A147" t="n">
        <v>146</v>
      </c>
      <c r="B147" t="inlineStr">
        <is>
          <t>MAT-INSUL-BONG-KHOANG-T100-D50-23</t>
        </is>
      </c>
      <c r="C147" t="inlineStr">
        <is>
          <t>VẬT_LIỆU_TIÊU_ÂM</t>
        </is>
      </c>
      <c r="D147" t="inlineStr">
        <is>
          <t>Bông khoáng T100 D50 - Kích thước tấm: 100 x 600 x 1200mm - 1 Kiện gồm 03 tấm, tỷ trọng 100kg/m3</t>
        </is>
      </c>
      <c r="E147" t="inlineStr">
        <is>
          <t>kiện</t>
        </is>
      </c>
      <c r="F147" t="inlineStr"/>
      <c r="G147" t="inlineStr">
        <is>
          <t>VT tiêu âm!R23C2</t>
        </is>
      </c>
    </row>
    <row r="148">
      <c r="A148" t="n">
        <v>147</v>
      </c>
      <c r="B148" t="inlineStr">
        <is>
          <t>MAT-INSUL-BONG-GOM-BAO-610-X7200-X-25</t>
        </is>
      </c>
      <c r="C148" t="inlineStr">
        <is>
          <t>VẬT_LIỆU_TIÊU_ÂM</t>
        </is>
      </c>
      <c r="D148" t="inlineStr">
        <is>
          <t>Bông gốm bao 610 x7200 x 25mm - Bông gốm dạng bao dài 7,2m, rộng 0,61 dày 25mm , chịu nhiệt 1000 độ</t>
        </is>
      </c>
      <c r="E148" t="inlineStr">
        <is>
          <t>bao</t>
        </is>
      </c>
      <c r="F148" t="inlineStr"/>
      <c r="G148" t="inlineStr">
        <is>
          <t>VT tiêu âm!R25C2</t>
        </is>
      </c>
    </row>
    <row r="149">
      <c r="A149" t="n">
        <v>148</v>
      </c>
      <c r="B149" t="inlineStr">
        <is>
          <t>MAT-INSUL-BONG-GOM-HOP-610-X7200-X-26</t>
        </is>
      </c>
      <c r="C149" t="inlineStr">
        <is>
          <t>VẬT_LIỆU_TIÊU_ÂM</t>
        </is>
      </c>
      <c r="D149" t="inlineStr">
        <is>
          <t>Bông gốm hộp  610 x7200 x 25mm T96 - Bông gốm dạng bao dài 7,2m, rộng 0,61 dày 25mm , chịu nhiệt 1260 độ . 6P</t>
        </is>
      </c>
      <c r="E149" t="inlineStr">
        <is>
          <t>hộp</t>
        </is>
      </c>
      <c r="F149" t="inlineStr"/>
      <c r="G149" t="inlineStr">
        <is>
          <t>VT tiêu âm!R26C2</t>
        </is>
      </c>
    </row>
    <row r="150">
      <c r="A150" t="n">
        <v>149</v>
      </c>
      <c r="B150" t="inlineStr">
        <is>
          <t>MAT-INSUL-BONG-GOM-HOP-610-X7200-X-27</t>
        </is>
      </c>
      <c r="C150" t="inlineStr">
        <is>
          <t>VẬT_LIỆU_TIÊU_ÂM</t>
        </is>
      </c>
      <c r="D150" t="inlineStr">
        <is>
          <t>Bông gốm hộp  610 x7200 x 25mm T128 - Bông gốm dạng bao dài 7,2m, rộng 0,61 dày 25mm , chịu nhiệt 1260 độ . 8P</t>
        </is>
      </c>
      <c r="E150" t="inlineStr">
        <is>
          <t>hộp</t>
        </is>
      </c>
      <c r="F150" t="inlineStr"/>
      <c r="G150" t="inlineStr">
        <is>
          <t>VT tiêu âm!R27C2</t>
        </is>
      </c>
    </row>
    <row r="151">
      <c r="A151" t="n">
        <v>150</v>
      </c>
      <c r="B151" t="inlineStr">
        <is>
          <t>MAT-INSUL-BONG-GOM-HOP-610-X7200-X-28</t>
        </is>
      </c>
      <c r="C151" t="inlineStr">
        <is>
          <t>VẬT_LIỆU_TIÊU_ÂM</t>
        </is>
      </c>
      <c r="D151" t="inlineStr">
        <is>
          <t>Bông gốm hộp  610 x7200 x 25mm T128 - Bông gốm dạng bao dài 7,2m, rộng 0,61 dày 25mm , chịu nhiệt 1430 độ</t>
        </is>
      </c>
      <c r="E151" t="inlineStr">
        <is>
          <t>hộp</t>
        </is>
      </c>
      <c r="F151" t="inlineStr"/>
      <c r="G151" t="inlineStr">
        <is>
          <t>VT tiêu âm!R28C2</t>
        </is>
      </c>
    </row>
    <row r="152">
      <c r="A152" t="n">
        <v>151</v>
      </c>
      <c r="B152" t="inlineStr">
        <is>
          <t>MAT-INSUL-BONG-GOM-DANG-TAM-600-X-9-29</t>
        </is>
      </c>
      <c r="C152" t="inlineStr">
        <is>
          <t>VẬT_LIỆU_TIÊU_ÂM</t>
        </is>
      </c>
      <c r="D152" t="inlineStr">
        <is>
          <t>Bông gốm dạng tấm 600 x 900 T340 - Hộp D25 = 4 tấm  - Hộp D50 = 2 tấm</t>
        </is>
      </c>
      <c r="E152" t="inlineStr">
        <is>
          <t>hộp</t>
        </is>
      </c>
      <c r="F152" t="inlineStr"/>
      <c r="G152" t="inlineStr">
        <is>
          <t>VT tiêu âm!R29C2</t>
        </is>
      </c>
    </row>
    <row r="153">
      <c r="A153" t="n">
        <v>152</v>
      </c>
      <c r="B153" t="inlineStr">
        <is>
          <t>MAT-INSUL-BONG-GOM-DANG-ROI-30</t>
        </is>
      </c>
      <c r="C153" t="inlineStr">
        <is>
          <t>VẬT_LIỆU_TIÊU_ÂM</t>
        </is>
      </c>
      <c r="D153" t="inlineStr">
        <is>
          <t>Bông gốm dạng rời</t>
        </is>
      </c>
      <c r="E153" t="inlineStr">
        <is>
          <t>hộp</t>
        </is>
      </c>
      <c r="F153" t="inlineStr"/>
      <c r="G153" t="inlineStr">
        <is>
          <t>VT tiêu âm!R30C2</t>
        </is>
      </c>
    </row>
    <row r="154">
      <c r="A154" t="n">
        <v>153</v>
      </c>
      <c r="B154" t="inlineStr">
        <is>
          <t>MAT-INSUL-MUT-TRUNG-3CM-KICH-THUOC-32</t>
        </is>
      </c>
      <c r="C154" t="inlineStr">
        <is>
          <t>VẬT_LIỆU_TIÊU_ÂM</t>
        </is>
      </c>
      <c r="D154" t="inlineStr">
        <is>
          <t>Mút trứng 3cm , kích thước tấm 1,6 x 2m</t>
        </is>
      </c>
      <c r="E154" t="inlineStr">
        <is>
          <t>tấm</t>
        </is>
      </c>
      <c r="F154" t="inlineStr"/>
      <c r="G154" t="inlineStr">
        <is>
          <t>VT tiêu âm!R32C2</t>
        </is>
      </c>
    </row>
    <row r="155">
      <c r="A155" t="n">
        <v>154</v>
      </c>
      <c r="B155" t="inlineStr">
        <is>
          <t>MAT-INSUL-MUT-TRUNG-5CM-KICH-THUOC-33</t>
        </is>
      </c>
      <c r="C155" t="inlineStr">
        <is>
          <t>VẬT_LIỆU_TIÊU_ÂM</t>
        </is>
      </c>
      <c r="D155" t="inlineStr">
        <is>
          <t>Mút trứng 5cm , kích thước tấm 1,6 x 2m</t>
        </is>
      </c>
      <c r="E155" t="inlineStr">
        <is>
          <t>tấm</t>
        </is>
      </c>
      <c r="F155" t="inlineStr"/>
      <c r="G155" t="inlineStr">
        <is>
          <t>VT tiêu âm!R33C2</t>
        </is>
      </c>
    </row>
    <row r="156">
      <c r="A156" t="n">
        <v>155</v>
      </c>
      <c r="B156" t="inlineStr">
        <is>
          <t>MAT-INSUL-MUT-GAI-5CM-KICH-THUOC-TA-34</t>
        </is>
      </c>
      <c r="C156" t="inlineStr">
        <is>
          <t>VẬT_LIỆU_TIÊU_ÂM</t>
        </is>
      </c>
      <c r="D156" t="inlineStr">
        <is>
          <t>Mút gai 5cm , kích thước tấm 1 x 1m</t>
        </is>
      </c>
      <c r="E156" t="inlineStr">
        <is>
          <t>tấm</t>
        </is>
      </c>
      <c r="F156" t="inlineStr"/>
      <c r="G156" t="inlineStr">
        <is>
          <t>VT tiêu âm!R34C2</t>
        </is>
      </c>
    </row>
    <row r="157">
      <c r="A157" t="n">
        <v>156</v>
      </c>
      <c r="B157" t="inlineStr">
        <is>
          <t>MAT-INSUL-XOP-XPS-DAY-25MM-KICH-THU-35</t>
        </is>
      </c>
      <c r="C157" t="inlineStr">
        <is>
          <t>VẬT_LIỆU_TIÊU_ÂM</t>
        </is>
      </c>
      <c r="D157" t="inlineStr">
        <is>
          <t>Xốp XPS . Dày 25mm kích thước tấm 600 x 1800</t>
        </is>
      </c>
      <c r="E157" t="inlineStr">
        <is>
          <t>m2</t>
        </is>
      </c>
      <c r="F157" t="inlineStr"/>
      <c r="G157" t="inlineStr">
        <is>
          <t>VT tiêu âm!R35C2</t>
        </is>
      </c>
    </row>
    <row r="158">
      <c r="A158" t="n">
        <v>157</v>
      </c>
      <c r="B158" t="inlineStr">
        <is>
          <t>MAT-INSUL-VAI-THUY-TINH-36</t>
        </is>
      </c>
      <c r="C158" t="inlineStr">
        <is>
          <t>VẬT_LIỆU_TIÊU_ÂM</t>
        </is>
      </c>
      <c r="D158" t="inlineStr">
        <is>
          <t>Vải thủy tinh</t>
        </is>
      </c>
      <c r="E158" t="inlineStr">
        <is>
          <t>kg</t>
        </is>
      </c>
      <c r="F158" t="inlineStr"/>
      <c r="G158" t="inlineStr">
        <is>
          <t>VT tiêu âm!R36C2</t>
        </is>
      </c>
    </row>
    <row r="159">
      <c r="A159" t="n">
        <v>158</v>
      </c>
      <c r="B159" t="inlineStr">
        <is>
          <t>MAT-INSUL-TON-LO-D6-38</t>
        </is>
      </c>
      <c r="C159" t="inlineStr">
        <is>
          <t>VẬT_LIỆU_TIÊU_ÂM</t>
        </is>
      </c>
      <c r="D159" t="inlineStr">
        <is>
          <t>Tôn lỗ D6</t>
        </is>
      </c>
      <c r="E159" t="inlineStr">
        <is>
          <t>tấm</t>
        </is>
      </c>
      <c r="F159" t="inlineStr"/>
      <c r="G159" t="inlineStr">
        <is>
          <t>VT tiêu âm!R38C2</t>
        </is>
      </c>
    </row>
    <row r="160">
      <c r="A160" t="n">
        <v>159</v>
      </c>
      <c r="B160" t="inlineStr">
        <is>
          <t>MAT-INSUL-TON-LO-D10-40</t>
        </is>
      </c>
      <c r="C160" t="inlineStr">
        <is>
          <t>VẬT_LIỆU_TIÊU_ÂM</t>
        </is>
      </c>
      <c r="D160" t="inlineStr">
        <is>
          <t>Tôn lỗ D10</t>
        </is>
      </c>
      <c r="E160" t="inlineStr">
        <is>
          <t>tấm</t>
        </is>
      </c>
      <c r="F160" t="inlineStr"/>
      <c r="G160" t="inlineStr">
        <is>
          <t>VT tiêu âm!R40C2</t>
        </is>
      </c>
    </row>
    <row r="161">
      <c r="A161" t="n">
        <v>160</v>
      </c>
      <c r="B161" t="inlineStr">
        <is>
          <t>CANVAS_FIRE_RESISTANT</t>
        </is>
      </c>
      <c r="C161" t="inlineStr">
        <is>
          <t>VẬT_TƯ_BẠT</t>
        </is>
      </c>
      <c r="D161" t="inlineStr">
        <is>
          <t>Cuộn vải bạt bọc cách nhiệt/chống cháy</t>
        </is>
      </c>
      <c r="E161" t="inlineStr">
        <is>
          <t>m2</t>
        </is>
      </c>
      <c r="F161" t="inlineStr"/>
      <c r="G161" t="inlineStr">
        <is>
          <t>BG canvas, ventcap</t>
        </is>
      </c>
    </row>
    <row r="162">
      <c r="A162" t="n">
        <v>161</v>
      </c>
      <c r="B162" t="inlineStr">
        <is>
          <t>ROCKWOOL_50MM_50KG</t>
        </is>
      </c>
      <c r="C162" t="inlineStr">
        <is>
          <t>VẬT_LIỆU_TIÊU_ÂM</t>
        </is>
      </c>
      <c r="D162" t="inlineStr">
        <is>
          <t>Bông Rockwool tỷ trọng 50kg/m3 dày 50mm</t>
        </is>
      </c>
      <c r="E162" t="inlineStr">
        <is>
          <t>m2</t>
        </is>
      </c>
      <c r="F162" t="inlineStr"/>
      <c r="G162" t="inlineStr">
        <is>
          <t>BG TIEU AM</t>
        </is>
      </c>
    </row>
    <row r="163">
      <c r="A163" t="n">
        <v>162</v>
      </c>
      <c r="B163" t="inlineStr">
        <is>
          <t>GLASS_CLOTH</t>
        </is>
      </c>
      <c r="C163" t="inlineStr">
        <is>
          <t>VẬT_LIỆU_TIÊU_ÂM</t>
        </is>
      </c>
      <c r="D163" t="inlineStr">
        <is>
          <t>Vải thủy tinh bọc tiêu âm</t>
        </is>
      </c>
      <c r="E163" t="inlineStr">
        <is>
          <t>m2</t>
        </is>
      </c>
      <c r="F163" t="inlineStr"/>
      <c r="G163" t="inlineStr">
        <is>
          <t>BG TIEU AM</t>
        </is>
      </c>
    </row>
    <row r="164">
      <c r="A164" t="n">
        <v>163</v>
      </c>
      <c r="B164" t="inlineStr">
        <is>
          <t>PERFORATED_SHEET</t>
        </is>
      </c>
      <c r="C164" t="inlineStr">
        <is>
          <t>VẬT_LIỆU_TIÊU_ÂM</t>
        </is>
      </c>
      <c r="D164" t="inlineStr">
        <is>
          <t>Tôn đục lỗ tiêu âm</t>
        </is>
      </c>
      <c r="E164" t="inlineStr">
        <is>
          <t>m2</t>
        </is>
      </c>
      <c r="F164" t="inlineStr"/>
      <c r="G164" t="inlineStr">
        <is>
          <t>BG TIEU AM</t>
        </is>
      </c>
    </row>
    <row r="165">
      <c r="A165" t="n">
        <v>164</v>
      </c>
      <c r="B165" t="inlineStr">
        <is>
          <t>SUPERLON_19MM</t>
        </is>
      </c>
      <c r="C165" t="inlineStr">
        <is>
          <t>VẬT_LIỆU_BẢO_ÔN</t>
        </is>
      </c>
      <c r="D165" t="inlineStr">
        <is>
          <t>Bảo ôn Superlon dạng tấm dày 19mm</t>
        </is>
      </c>
      <c r="E165" t="inlineStr">
        <is>
          <t>m2</t>
        </is>
      </c>
      <c r="F165" t="inlineStr"/>
      <c r="G165" t="inlineStr">
        <is>
          <t>bảo ôn</t>
        </is>
      </c>
    </row>
    <row r="166">
      <c r="A166" t="n">
        <v>165</v>
      </c>
      <c r="B166" t="inlineStr">
        <is>
          <t>FLEX_DUCT_D100_NON_INSUL</t>
        </is>
      </c>
      <c r="C166" t="inlineStr">
        <is>
          <t>ỐNG_GIÓ_MỀM</t>
        </is>
      </c>
      <c r="D166" t="inlineStr">
        <is>
          <t>ống mềm D100 không bảo ôn</t>
        </is>
      </c>
      <c r="E166" t="inlineStr">
        <is>
          <t>ống</t>
        </is>
      </c>
      <c r="F166" t="inlineStr"/>
      <c r="G166" t="inlineStr">
        <is>
          <t>bảo ôn</t>
        </is>
      </c>
    </row>
    <row r="167">
      <c r="A167" t="n">
        <v>166</v>
      </c>
      <c r="B167" t="inlineStr">
        <is>
          <t>FLEX_DUCT_D150_NON_INSUL</t>
        </is>
      </c>
      <c r="C167" t="inlineStr">
        <is>
          <t>ỐNG_GIÓ_MỀM</t>
        </is>
      </c>
      <c r="D167" t="inlineStr">
        <is>
          <t>ống mềm D150 không bảo ôn</t>
        </is>
      </c>
      <c r="E167" t="inlineStr">
        <is>
          <t>ống</t>
        </is>
      </c>
      <c r="F167" t="inlineStr"/>
      <c r="G167" t="inlineStr">
        <is>
          <t>bảo ôn</t>
        </is>
      </c>
    </row>
    <row r="168">
      <c r="A168" t="n">
        <v>167</v>
      </c>
      <c r="B168" t="inlineStr">
        <is>
          <t>FLEX_DUCT_D200_NON_INSUL</t>
        </is>
      </c>
      <c r="C168" t="inlineStr">
        <is>
          <t>ỐNG_GIÓ_MỀM</t>
        </is>
      </c>
      <c r="D168" t="inlineStr">
        <is>
          <t>ống mềm D200 không bảo ôn</t>
        </is>
      </c>
      <c r="E168" t="inlineStr">
        <is>
          <t>ống</t>
        </is>
      </c>
      <c r="F168" t="inlineStr"/>
      <c r="G168" t="inlineStr">
        <is>
          <t>bảo ôn</t>
        </is>
      </c>
    </row>
    <row r="169">
      <c r="A169" t="n">
        <v>168</v>
      </c>
      <c r="B169" t="inlineStr">
        <is>
          <t>FLEX_DUCT_D250_NON_INSUL</t>
        </is>
      </c>
      <c r="C169" t="inlineStr">
        <is>
          <t>ỐNG_GIÓ_MỀM</t>
        </is>
      </c>
      <c r="D169" t="inlineStr">
        <is>
          <t>ống mềm D250 không bảo ôn</t>
        </is>
      </c>
      <c r="E169" t="inlineStr">
        <is>
          <t>ống</t>
        </is>
      </c>
      <c r="F169" t="inlineStr"/>
      <c r="G169" t="inlineStr">
        <is>
          <t>bảo ôn</t>
        </is>
      </c>
    </row>
    <row r="170">
      <c r="A170" t="n">
        <v>169</v>
      </c>
      <c r="B170" t="inlineStr">
        <is>
          <t>FLEX_DUCT_D300_NON_INSUL</t>
        </is>
      </c>
      <c r="C170" t="inlineStr">
        <is>
          <t>ỐNG_GIÓ_MỀM</t>
        </is>
      </c>
      <c r="D170" t="inlineStr">
        <is>
          <t>ống mềm D300 không bảo ôn</t>
        </is>
      </c>
      <c r="E170" t="inlineStr">
        <is>
          <t>ống</t>
        </is>
      </c>
      <c r="F170" t="inlineStr"/>
      <c r="G170" t="inlineStr">
        <is>
          <t>bảo ôn</t>
        </is>
      </c>
    </row>
    <row r="171">
      <c r="A171" t="n">
        <v>170</v>
      </c>
      <c r="B171" t="inlineStr">
        <is>
          <t>FLEX_DUCT_D350_NON_INSUL</t>
        </is>
      </c>
      <c r="C171" t="inlineStr">
        <is>
          <t>ỐNG_GIÓ_MỀM</t>
        </is>
      </c>
      <c r="D171" t="inlineStr">
        <is>
          <t>ống mềm D350 không bảo ôn</t>
        </is>
      </c>
      <c r="E171" t="inlineStr">
        <is>
          <t>ống</t>
        </is>
      </c>
      <c r="F171" t="inlineStr"/>
      <c r="G171" t="inlineStr">
        <is>
          <t>bảo ôn</t>
        </is>
      </c>
    </row>
    <row r="172">
      <c r="A172" t="n">
        <v>171</v>
      </c>
      <c r="B172" t="inlineStr">
        <is>
          <t>FLEX_DUCT_D100_INSUL</t>
        </is>
      </c>
      <c r="C172" t="inlineStr">
        <is>
          <t>ỐNG_GIÓ_MỀM</t>
        </is>
      </c>
      <c r="D172" t="inlineStr">
        <is>
          <t>ống mềm D100 có bảo ôn</t>
        </is>
      </c>
      <c r="E172" t="inlineStr">
        <is>
          <t>ống</t>
        </is>
      </c>
      <c r="F172" t="inlineStr"/>
      <c r="G172" t="inlineStr">
        <is>
          <t>bảo ôn</t>
        </is>
      </c>
    </row>
    <row r="173">
      <c r="A173" t="n">
        <v>172</v>
      </c>
      <c r="B173" t="inlineStr">
        <is>
          <t>FLEX_DUCT_D150_INSUL</t>
        </is>
      </c>
      <c r="C173" t="inlineStr">
        <is>
          <t>ỐNG_GIÓ_MỀM</t>
        </is>
      </c>
      <c r="D173" t="inlineStr">
        <is>
          <t>ống mềm D150 có bảo ôn</t>
        </is>
      </c>
      <c r="E173" t="inlineStr">
        <is>
          <t>ống</t>
        </is>
      </c>
      <c r="F173" t="inlineStr"/>
      <c r="G173" t="inlineStr">
        <is>
          <t>bảo ôn</t>
        </is>
      </c>
    </row>
    <row r="174">
      <c r="A174" t="n">
        <v>173</v>
      </c>
      <c r="B174" t="inlineStr">
        <is>
          <t>FLEX_DUCT_D200_INSUL</t>
        </is>
      </c>
      <c r="C174" t="inlineStr">
        <is>
          <t>ỐNG_GIÓ_MỀM</t>
        </is>
      </c>
      <c r="D174" t="inlineStr">
        <is>
          <t>ống mềm D200 có bảo ôn</t>
        </is>
      </c>
      <c r="E174" t="inlineStr">
        <is>
          <t>ống</t>
        </is>
      </c>
      <c r="F174" t="inlineStr"/>
      <c r="G174" t="inlineStr">
        <is>
          <t>bảo ôn</t>
        </is>
      </c>
    </row>
    <row r="175">
      <c r="A175" t="n">
        <v>174</v>
      </c>
      <c r="B175" t="inlineStr">
        <is>
          <t>FLEX_DUCT_D250_INSUL</t>
        </is>
      </c>
      <c r="C175" t="inlineStr">
        <is>
          <t>ỐNG_GIÓ_MỀM</t>
        </is>
      </c>
      <c r="D175" t="inlineStr">
        <is>
          <t>ống mềm D250 có bảo ôn</t>
        </is>
      </c>
      <c r="E175" t="inlineStr">
        <is>
          <t>ống</t>
        </is>
      </c>
      <c r="F175" t="inlineStr"/>
      <c r="G175" t="inlineStr">
        <is>
          <t>bảo ôn</t>
        </is>
      </c>
    </row>
    <row r="176">
      <c r="A176" t="n">
        <v>175</v>
      </c>
      <c r="B176" t="inlineStr">
        <is>
          <t>FLEX_DUCT_D300_INSUL</t>
        </is>
      </c>
      <c r="C176" t="inlineStr">
        <is>
          <t>ỐNG_GIÓ_MỀM</t>
        </is>
      </c>
      <c r="D176" t="inlineStr">
        <is>
          <t>ống mềm D300 có bảo ôn</t>
        </is>
      </c>
      <c r="E176" t="inlineStr">
        <is>
          <t>ống</t>
        </is>
      </c>
      <c r="F176" t="inlineStr"/>
      <c r="G176" t="inlineStr">
        <is>
          <t>bảo ôn</t>
        </is>
      </c>
    </row>
    <row r="177">
      <c r="A177" t="n">
        <v>176</v>
      </c>
      <c r="B177" t="inlineStr">
        <is>
          <t>FLEX_DUCT_D350_INSUL</t>
        </is>
      </c>
      <c r="C177" t="inlineStr">
        <is>
          <t>ỐNG_GIÓ_MỀM</t>
        </is>
      </c>
      <c r="D177" t="inlineStr">
        <is>
          <t>ống mềm D350 có bảo ôn</t>
        </is>
      </c>
      <c r="E177" t="inlineStr">
        <is>
          <t>ống</t>
        </is>
      </c>
      <c r="F177" t="inlineStr"/>
      <c r="G177" t="inlineStr">
        <is>
          <t>bảo ôn</t>
        </is>
      </c>
    </row>
    <row r="178">
      <c r="A178" t="n">
        <v>177</v>
      </c>
      <c r="B178" t="inlineStr">
        <is>
          <t>FLEX_DUCT_D400_NON_INSUL</t>
        </is>
      </c>
      <c r="C178" t="inlineStr">
        <is>
          <t>ỐNG_GIÓ_MỀM</t>
        </is>
      </c>
      <c r="D178" t="inlineStr">
        <is>
          <t>ống mềm D400 không bảo ôn</t>
        </is>
      </c>
      <c r="E178" t="inlineStr">
        <is>
          <t>ống</t>
        </is>
      </c>
      <c r="F178" t="inlineStr"/>
      <c r="G178" t="inlineStr">
        <is>
          <t>bảo ôn</t>
        </is>
      </c>
    </row>
    <row r="179">
      <c r="A179" t="n">
        <v>178</v>
      </c>
      <c r="B179" t="inlineStr">
        <is>
          <t>FLEX_DUCT_D400_INSUL</t>
        </is>
      </c>
      <c r="C179" t="inlineStr">
        <is>
          <t>ỐNG_GIÓ_MỀM</t>
        </is>
      </c>
      <c r="D179" t="inlineStr">
        <is>
          <t>ống mềm D400 có bảo ôn</t>
        </is>
      </c>
      <c r="E179" t="inlineStr">
        <is>
          <t>ống</t>
        </is>
      </c>
      <c r="F179" t="inlineStr"/>
      <c r="G179" t="inlineStr">
        <is>
          <t>bảo ôn</t>
        </is>
      </c>
    </row>
    <row r="180">
      <c r="A180" t="n">
        <v>179</v>
      </c>
      <c r="B180" t="inlineStr">
        <is>
          <t>MAT-FIREBOARD-10MM-BODY</t>
        </is>
      </c>
      <c r="C180" t="inlineStr">
        <is>
          <t>VẬT_LIỆU_CÁCH_NHIỆT</t>
        </is>
      </c>
      <c r="D180" t="inlineStr">
        <is>
          <t>Tấm chống cháy dày 10mm bọc thân van FD/MFD</t>
        </is>
      </c>
      <c r="E180" t="inlineStr">
        <is>
          <t>m2</t>
        </is>
      </c>
      <c r="F180" t="inlineStr"/>
      <c r="G180" t="inlineStr">
        <is>
          <t>BG VAN !R16C43</t>
        </is>
      </c>
    </row>
    <row r="181">
      <c r="A181" t="n">
        <v>180</v>
      </c>
      <c r="B181" t="inlineStr">
        <is>
          <t>MAT-FIREBOARD-20MM-BLADE</t>
        </is>
      </c>
      <c r="C181" t="inlineStr">
        <is>
          <t>VẬT_LIỆU_CÁCH_NHIỆT</t>
        </is>
      </c>
      <c r="D181" t="inlineStr">
        <is>
          <t>Tấm chống cháy dày 20mm làm lõi cánh van FD/MFD</t>
        </is>
      </c>
      <c r="E181" t="inlineStr">
        <is>
          <t>m2</t>
        </is>
      </c>
      <c r="F181" t="inlineStr"/>
      <c r="G181" t="inlineStr">
        <is>
          <t>BG VAN !R16C44</t>
        </is>
      </c>
    </row>
    <row r="182">
      <c r="A182" t="n">
        <v>181</v>
      </c>
      <c r="B182" t="inlineStr">
        <is>
          <t>MAT-FIREBOARD-10MM-BLADE</t>
        </is>
      </c>
      <c r="C182" t="inlineStr">
        <is>
          <t>VẬT_LIỆU_CÁCH_NHIỆT</t>
        </is>
      </c>
      <c r="D182" t="inlineStr">
        <is>
          <t>Tấm chống cháy dày 10mm ốp 2 mặt cánh van FD/MFD</t>
        </is>
      </c>
      <c r="E182" t="inlineStr">
        <is>
          <t>m2</t>
        </is>
      </c>
      <c r="F182" t="inlineStr"/>
      <c r="G182" t="inlineStr">
        <is>
          <t>BG VAN !R16C45</t>
        </is>
      </c>
    </row>
    <row r="183">
      <c r="A183" t="n">
        <v>182</v>
      </c>
      <c r="B183" t="inlineStr">
        <is>
          <t>MAT-INSULATION-EI-DAMPER</t>
        </is>
      </c>
      <c r="C183" t="inlineStr">
        <is>
          <t>VẬT_LIỆU_CÁCH_NHIỆT</t>
        </is>
      </c>
      <c r="D183" t="inlineStr">
        <is>
          <t>Bọc cách nhiệt chống cháy tấm MGO/Thạch cao 10mm (Tiêu chuẩn EI)</t>
        </is>
      </c>
      <c r="E183" t="inlineStr">
        <is>
          <t>m2</t>
        </is>
      </c>
      <c r="F183" t="inlineStr"/>
      <c r="G183" t="inlineStr">
        <is>
          <t>BG VAN !R16C43</t>
        </is>
      </c>
    </row>
    <row r="184">
      <c r="A184" t="n">
        <v>183</v>
      </c>
      <c r="B184" t="inlineStr">
        <is>
          <t>MAT-ACTUATOR-BELIMO-FSLF24</t>
        </is>
      </c>
      <c r="C184" t="inlineStr">
        <is>
          <t>ĐỘNG_CƠ_VÀ_CẢM_BIẾN</t>
        </is>
      </c>
      <c r="D184" t="inlineStr">
        <is>
          <t>Động cơ chặn lửa ON/OFF 3.5Nm, 230V/24V (BELIMO FSLF24 / FSLF230)</t>
        </is>
      </c>
      <c r="E184" t="inlineStr">
        <is>
          <t>Cái</t>
        </is>
      </c>
      <c r="F184" t="inlineStr"/>
      <c r="G184" t="inlineStr">
        <is>
          <t>BG VAN !R16C41</t>
        </is>
      </c>
    </row>
    <row r="185">
      <c r="A185" t="n">
        <v>184</v>
      </c>
      <c r="B185" t="inlineStr">
        <is>
          <t>MAT-ACTUATOR-BELIMO-BFN24</t>
        </is>
      </c>
      <c r="C185" t="inlineStr">
        <is>
          <t>ĐỘNG_CƠ_VÀ_CẢM_BIẾN</t>
        </is>
      </c>
      <c r="D185" t="inlineStr">
        <is>
          <t>Động cơ chặn lửa ON/OFF 9Nm, 230V/24V (BELIMO BFN24 / BFN230)</t>
        </is>
      </c>
      <c r="E185" t="inlineStr">
        <is>
          <t>Cái</t>
        </is>
      </c>
      <c r="F185" t="inlineStr"/>
      <c r="G185" t="inlineStr">
        <is>
          <t>BG VAN !R16C42</t>
        </is>
      </c>
    </row>
    <row r="186">
      <c r="A186" t="n">
        <v>185</v>
      </c>
      <c r="B186" t="inlineStr">
        <is>
          <t>MAT-ACTUATOR-BELIMO-BF24</t>
        </is>
      </c>
      <c r="C186" t="inlineStr">
        <is>
          <t>ĐỘNG_CƠ_VÀ_CẢM_BIẾN</t>
        </is>
      </c>
      <c r="D186" t="inlineStr">
        <is>
          <t>Động cơ chặn lửa ON/OFF 18Nm, 24V (BELIMO BF 24 hoặc tương đương)</t>
        </is>
      </c>
      <c r="E186" t="inlineStr">
        <is>
          <t>Cái</t>
        </is>
      </c>
      <c r="F186" t="inlineStr"/>
      <c r="G186" t="inlineStr">
        <is>
          <t>Bang_Tinh_Gia_Swind_Chuan_2026_Estimated</t>
        </is>
      </c>
    </row>
    <row r="187">
      <c r="A187" t="n">
        <v>186</v>
      </c>
      <c r="B187" t="inlineStr">
        <is>
          <t>MAT-ACTUATOR-HONEYWELL</t>
        </is>
      </c>
      <c r="C187" t="inlineStr">
        <is>
          <t>ĐỘNG_CƠ_VÀ_CẢM_BIẾN</t>
        </is>
      </c>
      <c r="D187" t="inlineStr">
        <is>
          <t>Động cơ chặn lửa ON/OFF (Honeywell)</t>
        </is>
      </c>
      <c r="E187" t="inlineStr">
        <is>
          <t>Cái</t>
        </is>
      </c>
      <c r="F187" t="inlineStr"/>
      <c r="G187" t="inlineStr">
        <is>
          <t>BG VAN !R16C46</t>
        </is>
      </c>
    </row>
    <row r="188">
      <c r="A188" t="n">
        <v>187</v>
      </c>
      <c r="B188" t="inlineStr">
        <is>
          <t>MAT-ACTUATOR-SWIND-VIWECO</t>
        </is>
      </c>
      <c r="C188" t="inlineStr">
        <is>
          <t>ĐỘNG_CƠ_VÀ_CẢM_BIẾN</t>
        </is>
      </c>
      <c r="D188" t="inlineStr">
        <is>
          <t>Động cơ chặn lửa ON/OFF Swind (Viweco V6006FS500S)</t>
        </is>
      </c>
      <c r="E188" t="inlineStr">
        <is>
          <t>Cái</t>
        </is>
      </c>
      <c r="F188" t="inlineStr"/>
      <c r="G188" t="inlineStr">
        <is>
          <t>BG VAN !R16C47</t>
        </is>
      </c>
    </row>
    <row r="189">
      <c r="A189" t="n">
        <v>188</v>
      </c>
      <c r="B189" t="inlineStr">
        <is>
          <t>MAT-ACTUATOR-BELIMO-5NM</t>
        </is>
      </c>
      <c r="C189" t="inlineStr">
        <is>
          <t>ĐỘNG_CƠ_VÀ_CẢM_BIẾN</t>
        </is>
      </c>
      <c r="D189" t="inlineStr">
        <is>
          <t>Động cơ van gió Belimo ON/OFF 5Nm</t>
        </is>
      </c>
      <c r="E189" t="inlineStr">
        <is>
          <t>Cái</t>
        </is>
      </c>
      <c r="F189" t="inlineStr"/>
      <c r="G189" t="inlineStr">
        <is>
          <t>BG VAN !R16C48</t>
        </is>
      </c>
    </row>
    <row r="190">
      <c r="A190" t="n">
        <v>189</v>
      </c>
      <c r="B190" t="inlineStr">
        <is>
          <t>MAT-ACTUATOR-BELIMO-10NM</t>
        </is>
      </c>
      <c r="C190" t="inlineStr">
        <is>
          <t>ĐỘNG_CƠ_VÀ_CẢM_BIẾN</t>
        </is>
      </c>
      <c r="D190" t="inlineStr">
        <is>
          <t>Động cơ van gió Belimo ON/OFF 10Nm</t>
        </is>
      </c>
      <c r="E190" t="inlineStr">
        <is>
          <t>Cái</t>
        </is>
      </c>
      <c r="F190" t="inlineStr"/>
      <c r="G190" t="inlineStr">
        <is>
          <t>BG VAN !R16C49</t>
        </is>
      </c>
    </row>
    <row r="191">
      <c r="A191" t="n">
        <v>190</v>
      </c>
      <c r="B191" t="inlineStr">
        <is>
          <t>MAT-ACTUATOR-BELIMO-20NM</t>
        </is>
      </c>
      <c r="C191" t="inlineStr">
        <is>
          <t>ĐỘNG_CƠ_VÀ_CẢM_BIẾN</t>
        </is>
      </c>
      <c r="D191" t="inlineStr">
        <is>
          <t>Động cơ van gió Belimo ON/OFF 20Nm</t>
        </is>
      </c>
      <c r="E191" t="inlineStr">
        <is>
          <t>Cái</t>
        </is>
      </c>
      <c r="F191" t="inlineStr"/>
      <c r="G191" t="inlineStr">
        <is>
          <t>BG VAN !R16C50</t>
        </is>
      </c>
    </row>
    <row r="192">
      <c r="A192" t="n">
        <v>191</v>
      </c>
      <c r="B192" t="inlineStr">
        <is>
          <t>MAT-DAMPER-HOP-LO-XO</t>
        </is>
      </c>
      <c r="C192" t="inlineStr">
        <is>
          <t>PHỤ_KIỆN_VAN</t>
        </is>
      </c>
      <c r="D192" t="inlineStr">
        <is>
          <t>Hộp lò xo van chặn lửa FD/MFD</t>
        </is>
      </c>
      <c r="E192" t="inlineStr">
        <is>
          <t>Bộ</t>
        </is>
      </c>
      <c r="F192" t="inlineStr"/>
      <c r="G192" t="inlineStr">
        <is>
          <t>BG VAN !R31C52</t>
        </is>
      </c>
    </row>
    <row r="193">
      <c r="A193" t="n">
        <v>192</v>
      </c>
      <c r="B193" t="inlineStr">
        <is>
          <t>MAT-DAMPER-SILICON-BULONG-VIT</t>
        </is>
      </c>
      <c r="C193" t="inlineStr">
        <is>
          <t>PHỤ_KIỆN_VAN</t>
        </is>
      </c>
      <c r="D193" t="inlineStr">
        <is>
          <t>Silicon chống cháy + bu lông, ốc vít van FD/MFD</t>
        </is>
      </c>
      <c r="E193" t="inlineStr">
        <is>
          <t>Bộ</t>
        </is>
      </c>
      <c r="F193" t="inlineStr"/>
      <c r="G193" t="inlineStr">
        <is>
          <t>BG VAN !R31C53</t>
        </is>
      </c>
    </row>
    <row r="194">
      <c r="A194" t="n">
        <v>193</v>
      </c>
      <c r="B194" t="inlineStr">
        <is>
          <t>MAT-DAMPER-TAY-GAT-CAU-CHI-1</t>
        </is>
      </c>
      <c r="C194" t="inlineStr">
        <is>
          <t>PHỤ_KIỆN_VAN</t>
        </is>
      </c>
      <c r="D194" t="inlineStr">
        <is>
          <t>Tay gạt cầu chì van FD (Loại 1-2 cánh)</t>
        </is>
      </c>
      <c r="E194" t="inlineStr">
        <is>
          <t>Bộ</t>
        </is>
      </c>
      <c r="F194" t="inlineStr"/>
      <c r="G194" t="inlineStr">
        <is>
          <t>BG VAN !R31C39</t>
        </is>
      </c>
    </row>
    <row r="195">
      <c r="A195" t="n">
        <v>194</v>
      </c>
      <c r="B195" t="inlineStr">
        <is>
          <t>MAT-DAMPER-TAY-GAT-CAU-CHI-2</t>
        </is>
      </c>
      <c r="C195" t="inlineStr">
        <is>
          <t>PHỤ_KIỆN_VAN</t>
        </is>
      </c>
      <c r="D195" t="inlineStr">
        <is>
          <t>Tay gạt cầu chì van FD (Loại 3-5 cánh)</t>
        </is>
      </c>
      <c r="E195" t="inlineStr">
        <is>
          <t>Bộ</t>
        </is>
      </c>
      <c r="F195" t="inlineStr"/>
      <c r="G195" t="inlineStr">
        <is>
          <t>BG VAN !R43C39</t>
        </is>
      </c>
    </row>
    <row r="196">
      <c r="A196" t="n">
        <v>195</v>
      </c>
      <c r="B196" t="inlineStr">
        <is>
          <t>MAT-DAMPER-LO-XO-DOI</t>
        </is>
      </c>
      <c r="C196" t="inlineStr">
        <is>
          <t>PHỤ_KIỆN_VAN</t>
        </is>
      </c>
      <c r="D196" t="inlineStr">
        <is>
          <t>Lò xo van chặn lửa / đôi</t>
        </is>
      </c>
      <c r="E196" t="inlineStr">
        <is>
          <t>Đôi</t>
        </is>
      </c>
      <c r="F196" t="inlineStr"/>
      <c r="G196" t="inlineStr">
        <is>
          <t>BG VAN !R16C40</t>
        </is>
      </c>
    </row>
    <row r="197">
      <c r="A197" t="n">
        <v>196</v>
      </c>
      <c r="B197" t="inlineStr">
        <is>
          <t>ECCENTRIC_SHAFT</t>
        </is>
      </c>
      <c r="C197" t="inlineStr">
        <is>
          <t>PHỤ_KIỆN_VAN</t>
        </is>
      </c>
      <c r="D197" t="inlineStr">
        <is>
          <t>Cơ cấu lệch tâm / Lò xo đóng mở (NRD)</t>
        </is>
      </c>
      <c r="E197" t="inlineStr">
        <is>
          <t>Bộ</t>
        </is>
      </c>
      <c r="F197" t="inlineStr"/>
      <c r="G197" t="inlineStr">
        <is>
          <t>BG VAN CU</t>
        </is>
      </c>
    </row>
    <row r="198">
      <c r="A198" t="n">
        <v>197</v>
      </c>
      <c r="B198" t="inlineStr">
        <is>
          <t>MAT-MESH-INOX-304</t>
        </is>
      </c>
      <c r="C198" t="inlineStr">
        <is>
          <t>PHỤ_KIỆN_CỬA</t>
        </is>
      </c>
      <c r="D198" t="inlineStr">
        <is>
          <t>Lưới chắn côn trùng Inox 304 (LCCT)</t>
        </is>
      </c>
      <c r="E198" t="inlineStr">
        <is>
          <t>m2</t>
        </is>
      </c>
      <c r="F198" t="inlineStr"/>
      <c r="G198" t="inlineStr">
        <is>
          <t>BG Cửa !R211C18</t>
        </is>
      </c>
    </row>
    <row r="199">
      <c r="A199" t="n">
        <v>198</v>
      </c>
      <c r="B199" t="inlineStr">
        <is>
          <t>MAT-ALU-EGGCRATE-CORE</t>
        </is>
      </c>
      <c r="C199" t="inlineStr">
        <is>
          <t>NHÔM_ĐỊNH_HÌNH</t>
        </is>
      </c>
      <c r="D199" t="inlineStr">
        <is>
          <t>Lõi nhôm sọt trứng (Eggcrate Core 12.7x12.7x12.7mm)</t>
        </is>
      </c>
      <c r="E199" t="inlineStr">
        <is>
          <t>m2</t>
        </is>
      </c>
      <c r="F199" t="inlineStr"/>
      <c r="G199" t="inlineStr">
        <is>
          <t>BG Cửa !R157C16</t>
        </is>
      </c>
    </row>
    <row r="200">
      <c r="A200" t="n">
        <v>199</v>
      </c>
      <c r="B200" t="inlineStr">
        <is>
          <t>MAT-FILTER-G4</t>
        </is>
      </c>
      <c r="C200" t="inlineStr">
        <is>
          <t>PHỤ_KIỆN_CỬA</t>
        </is>
      </c>
      <c r="D200" t="inlineStr">
        <is>
          <t>Lưới lọc bụi sơ cấp G4 kèm khung nhôm</t>
        </is>
      </c>
      <c r="E200" t="inlineStr">
        <is>
          <t>m2</t>
        </is>
      </c>
      <c r="F200" t="inlineStr"/>
      <c r="G200" t="inlineStr">
        <is>
          <t>BG Cửa !Filter</t>
        </is>
      </c>
    </row>
    <row r="201">
      <c r="A201" t="n">
        <v>200</v>
      </c>
      <c r="B201" t="inlineStr">
        <is>
          <t>MAT-THUONG_MAI-LOP_CHONG_CHAY_EI30</t>
        </is>
      </c>
      <c r="C201" t="inlineStr">
        <is>
          <t>VẬT_LIỆU_CÁCH_NHIỆT</t>
        </is>
      </c>
      <c r="D201" t="inlineStr">
        <is>
          <t>Bọc chống cháy ống gió chuẩn EI30</t>
        </is>
      </c>
      <c r="E201" t="inlineStr">
        <is>
          <t>m2</t>
        </is>
      </c>
      <c r="F201" t="inlineStr"/>
      <c r="G201" t="inlineStr">
        <is>
          <t>BG VAN !EI30</t>
        </is>
      </c>
    </row>
    <row r="202">
      <c r="A202" t="n">
        <v>201</v>
      </c>
      <c r="B202" t="inlineStr">
        <is>
          <t>MAT-THUONG_MAI-LOP_CHONG_CHAY_EI60</t>
        </is>
      </c>
      <c r="C202" t="inlineStr">
        <is>
          <t>VẬT_LIỆU_CÁCH_NHIỆT</t>
        </is>
      </c>
      <c r="D202" t="inlineStr">
        <is>
          <t>Bọc chống cháy ống gió chuẩn EI60</t>
        </is>
      </c>
      <c r="E202" t="inlineStr">
        <is>
          <t>m2</t>
        </is>
      </c>
      <c r="F202" t="inlineStr"/>
      <c r="G202" t="inlineStr">
        <is>
          <t>BG VAN !EI60</t>
        </is>
      </c>
    </row>
    <row r="203">
      <c r="A203" t="n">
        <v>202</v>
      </c>
      <c r="B203" t="inlineStr">
        <is>
          <t>MAT-THUONG_MAI-LOP_CHONG_CHAY_EI120</t>
        </is>
      </c>
      <c r="C203" t="inlineStr">
        <is>
          <t>VẬT_LIỆU_CÁCH_NHIỆT</t>
        </is>
      </c>
      <c r="D203" t="inlineStr">
        <is>
          <t>Bọc chống cháy ống gió chuẩn EI120</t>
        </is>
      </c>
      <c r="E203" t="inlineStr">
        <is>
          <t>m2</t>
        </is>
      </c>
      <c r="F203" t="inlineStr"/>
      <c r="G203" t="inlineStr">
        <is>
          <t>BG VAN !EI120</t>
        </is>
      </c>
    </row>
    <row r="204">
      <c r="A204" t="n">
        <v>203</v>
      </c>
      <c r="B204" t="inlineStr">
        <is>
          <t>MAT-THUONG_MAI-LUOI_BAO_VE</t>
        </is>
      </c>
      <c r="C204" t="inlineStr">
        <is>
          <t>PHỤ_KIỆN_CỬA</t>
        </is>
      </c>
      <c r="D204" t="inlineStr">
        <is>
          <t>Lưới bảo vệ đầu ống Inox 304</t>
        </is>
      </c>
      <c r="E204" t="inlineStr">
        <is>
          <t>cái</t>
        </is>
      </c>
      <c r="F204" t="inlineStr"/>
      <c r="G204" t="inlineStr">
        <is>
          <t>BG Cửa !Mesh</t>
        </is>
      </c>
    </row>
    <row r="205">
      <c r="A205" t="n">
        <v>204</v>
      </c>
      <c r="B205" t="inlineStr">
        <is>
          <t>MAT-KHAC-LUOI_BAO_VE</t>
        </is>
      </c>
      <c r="C205" t="inlineStr">
        <is>
          <t>THƯƠNG_MẠI_TỰ_ĐỘNG</t>
        </is>
      </c>
      <c r="D205" t="inlineStr">
        <is>
          <t>Lưới bảo vệ</t>
        </is>
      </c>
      <c r="E205" t="inlineStr">
        <is>
          <t>Cái/Bộ</t>
        </is>
      </c>
      <c r="F205" t="inlineStr"/>
      <c r="G205" t="inlineStr">
        <is>
          <t>Auto-learned from Excel</t>
        </is>
      </c>
    </row>
    <row r="206">
      <c r="A206" t="n">
        <v>205</v>
      </c>
      <c r="B206" t="inlineStr">
        <is>
          <t>MAT-KHAC-CHI_PHI_KIEM_DINH</t>
        </is>
      </c>
      <c r="C206" t="inlineStr">
        <is>
          <t>KHAC</t>
        </is>
      </c>
      <c r="D206" t="inlineStr">
        <is>
          <t>Van gió, miệng gió Chi phí kiểm định</t>
        </is>
      </c>
      <c r="E206" t="inlineStr">
        <is>
          <t>lô</t>
        </is>
      </c>
      <c r="F206" t="inlineStr">
        <is>
          <t>-</t>
        </is>
      </c>
      <c r="G206" t="inlineStr">
        <is>
          <t>Phát sinh từ BOQ (chưa có trong CSDL)</t>
        </is>
      </c>
    </row>
    <row r="207">
      <c r="A207" t="n">
        <v>206</v>
      </c>
      <c r="B207" t="inlineStr">
        <is>
          <t>MAT-KHAC-VAN_CHUYEN</t>
        </is>
      </c>
      <c r="C207" t="inlineStr">
        <is>
          <t>KHAC</t>
        </is>
      </c>
      <c r="D207" t="inlineStr">
        <is>
          <t>Van gió, miệng gió Vận chuyển</t>
        </is>
      </c>
      <c r="E207" t="inlineStr">
        <is>
          <t>lô</t>
        </is>
      </c>
      <c r="F207" t="inlineStr">
        <is>
          <t>-</t>
        </is>
      </c>
      <c r="G207" t="inlineStr">
        <is>
          <t>Phát sinh từ BOQ (chưa có trong CSDL)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20" customWidth="1" min="4" max="4"/>
    <col width="25" customWidth="1" min="5" max="5"/>
  </cols>
  <sheetData>
    <row r="1" ht="28" customHeight="1">
      <c r="A1" s="249" t="inlineStr">
        <is>
          <t>STT</t>
        </is>
      </c>
      <c r="B1" s="249" t="inlineStr">
        <is>
          <t>MAT_ID</t>
        </is>
      </c>
      <c r="C1" s="249" t="inlineStr">
        <is>
          <t>TÊN VẬT TƯ</t>
        </is>
      </c>
      <c r="D1" s="249" t="inlineStr">
        <is>
          <t>PHÂN LOẠI</t>
        </is>
      </c>
      <c r="E1" s="249" t="inlineStr">
        <is>
          <t>ĐƠN GIÁ GỐC (VNĐ)</t>
        </is>
      </c>
    </row>
    <row r="2">
      <c r="A2" t="n">
        <v>1</v>
      </c>
      <c r="B2" t="inlineStr">
        <is>
          <t>MAT-STEEL-DONGBU-0.50</t>
        </is>
      </c>
      <c r="C2" t="inlineStr">
        <is>
          <t>TÔN DONGBU 0.50mm</t>
        </is>
      </c>
      <c r="D2" t="inlineStr">
        <is>
          <t>TÔN_CUỘN_MẠ_KẼM</t>
        </is>
      </c>
      <c r="E2" s="250" t="n">
        <v>26000</v>
      </c>
    </row>
    <row r="3">
      <c r="A3" t="n">
        <v>2</v>
      </c>
      <c r="B3" t="inlineStr">
        <is>
          <t>MAT-STEEL-DONGBU-0.60</t>
        </is>
      </c>
      <c r="C3" t="inlineStr">
        <is>
          <t>TÔN DONGBU 0.60mm</t>
        </is>
      </c>
      <c r="D3" t="inlineStr">
        <is>
          <t>TÔN_CUỘN_MẠ_KẼM</t>
        </is>
      </c>
      <c r="E3" s="250" t="n">
        <v>26000</v>
      </c>
    </row>
    <row r="4">
      <c r="A4" t="n">
        <v>3</v>
      </c>
      <c r="B4" t="inlineStr">
        <is>
          <t>MAT-STEEL-DONGBU-0.80</t>
        </is>
      </c>
      <c r="C4" t="inlineStr">
        <is>
          <t>TÔN DONGBU 0.80mm</t>
        </is>
      </c>
      <c r="D4" t="inlineStr">
        <is>
          <t>TÔN_CUỘN_MẠ_KẼM</t>
        </is>
      </c>
      <c r="E4" s="250" t="n">
        <v>26000</v>
      </c>
    </row>
    <row r="5">
      <c r="A5" t="n">
        <v>4</v>
      </c>
      <c r="B5" t="inlineStr">
        <is>
          <t>MAT-STEEL-DONGBU-1.00</t>
        </is>
      </c>
      <c r="C5" t="inlineStr">
        <is>
          <t>TÔN DONGBU 1.00mm</t>
        </is>
      </c>
      <c r="D5" t="inlineStr">
        <is>
          <t>TÔN_CUỘN_MẠ_KẼM</t>
        </is>
      </c>
      <c r="E5" s="250" t="n">
        <v>26000</v>
      </c>
    </row>
    <row r="6">
      <c r="A6" t="n">
        <v>5</v>
      </c>
      <c r="B6" t="inlineStr">
        <is>
          <t>MAT-STEEL-DONGBU-1.20</t>
        </is>
      </c>
      <c r="C6" t="inlineStr">
        <is>
          <t>TÔN DONGBU 1.20mm</t>
        </is>
      </c>
      <c r="D6" t="inlineStr">
        <is>
          <t>TÔN_CUỘN_MẠ_KẼM</t>
        </is>
      </c>
      <c r="E6" s="250" t="n">
        <v>26000</v>
      </c>
    </row>
    <row r="7">
      <c r="A7" t="n">
        <v>6</v>
      </c>
      <c r="B7" t="inlineStr">
        <is>
          <t>MAT-STEEL-DONGBU-1.50</t>
        </is>
      </c>
      <c r="C7" t="inlineStr">
        <is>
          <t>TÔN DONGBU 1.50mm</t>
        </is>
      </c>
      <c r="D7" t="inlineStr">
        <is>
          <t>TÔN_CUỘN_MẠ_KẼM</t>
        </is>
      </c>
      <c r="E7" s="250" t="n">
        <v>26000</v>
      </c>
    </row>
    <row r="8">
      <c r="A8" t="n">
        <v>7</v>
      </c>
      <c r="B8" t="inlineStr">
        <is>
          <t>MAT-STEEL-DONGBU-2.00</t>
        </is>
      </c>
      <c r="C8" t="inlineStr">
        <is>
          <t>TÔN DONGBU 2.00mm</t>
        </is>
      </c>
      <c r="D8" t="inlineStr">
        <is>
          <t>TÔN_CUỘN_MẠ_KẼM</t>
        </is>
      </c>
      <c r="E8" s="250" t="n">
        <v>26000</v>
      </c>
    </row>
    <row r="9">
      <c r="A9" t="n">
        <v>8</v>
      </c>
      <c r="B9" t="inlineStr">
        <is>
          <t>MAT-STEEL-VNSTEEL-0.35</t>
        </is>
      </c>
      <c r="C9" t="inlineStr">
        <is>
          <t>TÔN THĂNG LONG VNSTEEL 0.35mm</t>
        </is>
      </c>
      <c r="D9" t="inlineStr">
        <is>
          <t>TÔN_CUỘN_MẠ_KẼM</t>
        </is>
      </c>
      <c r="E9" s="250" t="n">
        <v>23800</v>
      </c>
    </row>
    <row r="10">
      <c r="A10" t="n">
        <v>9</v>
      </c>
      <c r="B10" t="inlineStr">
        <is>
          <t>MAT-STEEL-VNSTEEL-0.40</t>
        </is>
      </c>
      <c r="C10" t="inlineStr">
        <is>
          <t>TÔN THĂNG LONG VNSTEEL 0.40mm</t>
        </is>
      </c>
      <c r="D10" t="inlineStr">
        <is>
          <t>TÔN_CUỘN_MẠ_KẼM</t>
        </is>
      </c>
      <c r="E10" s="250" t="n">
        <v>23550</v>
      </c>
    </row>
    <row r="11">
      <c r="A11" t="n">
        <v>10</v>
      </c>
      <c r="B11" t="inlineStr">
        <is>
          <t>MAT-STEEL-VNSTEEL-0.42</t>
        </is>
      </c>
      <c r="C11" t="inlineStr">
        <is>
          <t>TÔN THĂNG LONG VNSTEEL 0.42mm</t>
        </is>
      </c>
      <c r="D11" t="inlineStr">
        <is>
          <t>TÔN_CUỘN_MẠ_KẼM</t>
        </is>
      </c>
      <c r="E11" s="250" t="n">
        <v>23400</v>
      </c>
    </row>
    <row r="12">
      <c r="A12" t="n">
        <v>11</v>
      </c>
      <c r="B12" t="inlineStr">
        <is>
          <t>MAT-STEEL-VNSTEEL-0.47</t>
        </is>
      </c>
      <c r="C12" t="inlineStr">
        <is>
          <t>TÔN THĂNG LONG VNSTEEL 0.47mm</t>
        </is>
      </c>
      <c r="D12" t="inlineStr">
        <is>
          <t>TÔN_CUỘN_MẠ_KẼM</t>
        </is>
      </c>
      <c r="E12" s="250" t="n">
        <v>23200</v>
      </c>
    </row>
    <row r="13">
      <c r="A13" t="n">
        <v>12</v>
      </c>
      <c r="B13" t="inlineStr">
        <is>
          <t>MAT-STEEL-VNSTEEL-0.50</t>
        </is>
      </c>
      <c r="C13" t="inlineStr">
        <is>
          <t>TÔN THĂNG LONG VNSTEEL 0.50mm</t>
        </is>
      </c>
      <c r="D13" t="inlineStr">
        <is>
          <t>TÔN_CUỘN_MẠ_KẼM</t>
        </is>
      </c>
      <c r="E13" s="250" t="n">
        <v>23200</v>
      </c>
    </row>
    <row r="14">
      <c r="A14" t="n">
        <v>13</v>
      </c>
      <c r="B14" t="inlineStr">
        <is>
          <t>MAT-STEEL-VNSTEEL-0.55</t>
        </is>
      </c>
      <c r="C14" t="inlineStr">
        <is>
          <t>TÔN THĂNG LONG VNSTEEL 0.55mm</t>
        </is>
      </c>
      <c r="D14" t="inlineStr">
        <is>
          <t>TÔN_CUỘN_MẠ_KẼM</t>
        </is>
      </c>
      <c r="E14" s="250" t="n">
        <v>23000</v>
      </c>
    </row>
    <row r="15">
      <c r="A15" t="n">
        <v>14</v>
      </c>
      <c r="B15" t="inlineStr">
        <is>
          <t>MAT-STEEL-VNSTEEL-0.58</t>
        </is>
      </c>
      <c r="C15" t="inlineStr">
        <is>
          <t>TÔN THĂNG LONG VNSTEEL 0.58mm</t>
        </is>
      </c>
      <c r="D15" t="inlineStr">
        <is>
          <t>TÔN_CUỘN_MẠ_KẼM</t>
        </is>
      </c>
      <c r="E15" s="250" t="n">
        <v>23000</v>
      </c>
    </row>
    <row r="16">
      <c r="A16" t="n">
        <v>15</v>
      </c>
      <c r="B16" t="inlineStr">
        <is>
          <t>MAT-STEEL-VNSTEEL-0.60</t>
        </is>
      </c>
      <c r="C16" t="inlineStr">
        <is>
          <t>TÔN THĂNG LONG VNSTEEL 0.60mm</t>
        </is>
      </c>
      <c r="D16" t="inlineStr">
        <is>
          <t>TÔN_CUỘN_MẠ_KẼM</t>
        </is>
      </c>
      <c r="E16" s="250" t="n">
        <v>22850</v>
      </c>
    </row>
    <row r="17">
      <c r="A17" t="n">
        <v>16</v>
      </c>
      <c r="B17" t="inlineStr">
        <is>
          <t>MAT-STEEL-VNSTEEL-0.64</t>
        </is>
      </c>
      <c r="C17" t="inlineStr">
        <is>
          <t>TÔN THĂNG LONG VNSTEEL 0.64mm</t>
        </is>
      </c>
      <c r="D17" t="inlineStr">
        <is>
          <t>TÔN_CUỘN_MẠ_KẼM</t>
        </is>
      </c>
      <c r="E17" s="250" t="n">
        <v>22800</v>
      </c>
    </row>
    <row r="18">
      <c r="A18" t="n">
        <v>17</v>
      </c>
      <c r="B18" t="inlineStr">
        <is>
          <t>MAT-STEEL-VNSTEEL-0.70</t>
        </is>
      </c>
      <c r="C18" t="inlineStr">
        <is>
          <t>TÔN THĂNG LONG VNSTEEL 0.70mm</t>
        </is>
      </c>
      <c r="D18" t="inlineStr">
        <is>
          <t>TÔN_CUỘN_MẠ_KẼM</t>
        </is>
      </c>
      <c r="E18" s="250" t="n">
        <v>22700</v>
      </c>
    </row>
    <row r="19">
      <c r="A19" t="n">
        <v>18</v>
      </c>
      <c r="B19" t="inlineStr">
        <is>
          <t>MAT-STEEL-VNSTEEL-0.75</t>
        </is>
      </c>
      <c r="C19" t="inlineStr">
        <is>
          <t>TÔN THĂNG LONG VNSTEEL 0.75mm</t>
        </is>
      </c>
      <c r="D19" t="inlineStr">
        <is>
          <t>TÔN_CUỘN_MẠ_KẼM</t>
        </is>
      </c>
      <c r="E19" s="250" t="n">
        <v>22600</v>
      </c>
    </row>
    <row r="20">
      <c r="A20" t="n">
        <v>19</v>
      </c>
      <c r="B20" t="inlineStr">
        <is>
          <t>MAT-STEEL-VNSTEEL-0.95</t>
        </is>
      </c>
      <c r="C20" t="inlineStr">
        <is>
          <t>TÔN THĂNG LONG VNSTEEL 0.95mm</t>
        </is>
      </c>
      <c r="D20" t="inlineStr">
        <is>
          <t>TÔN_CUỘN_MẠ_KẼM</t>
        </is>
      </c>
      <c r="E20" s="250" t="n">
        <v>22500</v>
      </c>
    </row>
    <row r="21">
      <c r="A21" t="n">
        <v>20</v>
      </c>
      <c r="B21" t="inlineStr">
        <is>
          <t>MAT-STEEL-VNSTEEL-1.15</t>
        </is>
      </c>
      <c r="C21" t="inlineStr">
        <is>
          <t>TÔN THĂNG LONG VNSTEEL 1.15mm</t>
        </is>
      </c>
      <c r="D21" t="inlineStr">
        <is>
          <t>TÔN_CUỘN_MẠ_KẼM</t>
        </is>
      </c>
      <c r="E21" s="250" t="n">
        <v>22400</v>
      </c>
    </row>
    <row r="22">
      <c r="A22" t="n">
        <v>21</v>
      </c>
      <c r="B22" t="inlineStr">
        <is>
          <t>MAT-STEEL-VNSTEEL-1.20</t>
        </is>
      </c>
      <c r="C22" t="inlineStr">
        <is>
          <t>TÔN THĂNG LONG VNSTEEL 1.20mm</t>
        </is>
      </c>
      <c r="D22" t="inlineStr">
        <is>
          <t>TÔN_CUỘN_MẠ_KẼM</t>
        </is>
      </c>
      <c r="E22" s="250" t="n">
        <v>22400</v>
      </c>
    </row>
    <row r="23">
      <c r="A23" t="n">
        <v>22</v>
      </c>
      <c r="B23" t="inlineStr">
        <is>
          <t>MAT-STEEL-PN-0.48</t>
        </is>
      </c>
      <c r="C23" t="inlineStr">
        <is>
          <t>TÔN PHƯƠNG NAM 0.48mm</t>
        </is>
      </c>
      <c r="D23" t="inlineStr">
        <is>
          <t>TÔN_CUỘN_MẠ_KẼM</t>
        </is>
      </c>
      <c r="E23" s="250" t="n">
        <v>23664.19</v>
      </c>
    </row>
    <row r="24">
      <c r="A24" t="n">
        <v>23</v>
      </c>
      <c r="B24" t="inlineStr">
        <is>
          <t>MAT-STEEL-PN-0.58</t>
        </is>
      </c>
      <c r="C24" t="inlineStr">
        <is>
          <t>TÔN PHƯƠNG NAM 0.58mm</t>
        </is>
      </c>
      <c r="D24" t="inlineStr">
        <is>
          <t>TÔN_CUỘN_MẠ_KẼM</t>
        </is>
      </c>
      <c r="E24" s="250" t="n">
        <v>21597.48</v>
      </c>
    </row>
    <row r="25">
      <c r="A25" t="n">
        <v>24</v>
      </c>
      <c r="B25" t="inlineStr">
        <is>
          <t>MAT-STEEL-PN-0.75</t>
        </is>
      </c>
      <c r="C25" t="inlineStr">
        <is>
          <t>TÔN PHƯƠNG NAM 0.75mm</t>
        </is>
      </c>
      <c r="D25" t="inlineStr">
        <is>
          <t>TÔN_CUỘN_MẠ_KẼM</t>
        </is>
      </c>
      <c r="E25" s="250" t="n">
        <v>21941</v>
      </c>
    </row>
    <row r="26">
      <c r="A26" t="n">
        <v>25</v>
      </c>
      <c r="B26" t="inlineStr">
        <is>
          <t>MAT-STEEL-PN-0.95</t>
        </is>
      </c>
      <c r="C26" t="inlineStr">
        <is>
          <t>TÔN PHƯƠNG NAM 0.95mm</t>
        </is>
      </c>
      <c r="D26" t="inlineStr">
        <is>
          <t>TÔN_CUỘN_MẠ_KẼM</t>
        </is>
      </c>
      <c r="E26" s="250" t="n">
        <v>20897.59</v>
      </c>
    </row>
    <row r="27">
      <c r="A27" t="n">
        <v>26</v>
      </c>
      <c r="B27" t="inlineStr">
        <is>
          <t>MAT-STEEL-PN-1.15</t>
        </is>
      </c>
      <c r="C27" t="inlineStr">
        <is>
          <t>TÔN PHƯƠNG NAM 1.15mm</t>
        </is>
      </c>
      <c r="D27" t="inlineStr">
        <is>
          <t>TÔN_CUỘN_MẠ_KẼM</t>
        </is>
      </c>
      <c r="E27" s="250" t="n">
        <v>20586.39</v>
      </c>
    </row>
    <row r="28">
      <c r="A28" t="n">
        <v>27</v>
      </c>
      <c r="B28" t="inlineStr">
        <is>
          <t>MAT-STEEL-PN-1.20</t>
        </is>
      </c>
      <c r="C28" t="inlineStr">
        <is>
          <t>TÔN PHƯƠNG NAM 1.20mm</t>
        </is>
      </c>
      <c r="D28" t="inlineStr">
        <is>
          <t>TÔN_CUỘN_MẠ_KẼM</t>
        </is>
      </c>
      <c r="E28" s="250" t="n">
        <v>20586.39</v>
      </c>
    </row>
    <row r="29">
      <c r="A29" t="n">
        <v>28</v>
      </c>
      <c r="B29" t="inlineStr">
        <is>
          <t>MAT-STEEL-PN-1.38</t>
        </is>
      </c>
      <c r="C29" t="inlineStr">
        <is>
          <t>TÔN PHƯƠNG NAM 1.38mm</t>
        </is>
      </c>
      <c r="D29" t="inlineStr">
        <is>
          <t>TÔN_CUỘN_MẠ_KẼM</t>
        </is>
      </c>
      <c r="E29" s="250" t="n">
        <v>21923.75</v>
      </c>
    </row>
    <row r="30">
      <c r="A30" t="n">
        <v>29</v>
      </c>
      <c r="B30" t="inlineStr">
        <is>
          <t>MAT-STEEL-PN-1.48</t>
        </is>
      </c>
      <c r="C30" t="inlineStr">
        <is>
          <t>TÔN PHƯƠNG NAM 1.48mm</t>
        </is>
      </c>
      <c r="D30" t="inlineStr">
        <is>
          <t>TÔN_CUỘN_MẠ_KẼM</t>
        </is>
      </c>
      <c r="E30" s="250" t="n">
        <v>20442.42</v>
      </c>
    </row>
    <row r="31">
      <c r="A31" t="n">
        <v>30</v>
      </c>
      <c r="B31" t="inlineStr">
        <is>
          <t>MAT-STEEL-PN-1.50</t>
        </is>
      </c>
      <c r="C31" t="inlineStr">
        <is>
          <t>TÔN PHƯƠNG NAM 1.50mm</t>
        </is>
      </c>
      <c r="D31" t="inlineStr">
        <is>
          <t>TÔN_CUỘN_MẠ_KẼM</t>
        </is>
      </c>
      <c r="E31" s="250" t="n">
        <v>20442.42</v>
      </c>
    </row>
    <row r="32">
      <c r="A32" t="n">
        <v>31</v>
      </c>
      <c r="B32" t="inlineStr">
        <is>
          <t>MAT-STEEL-HOASEN-0.48</t>
        </is>
      </c>
      <c r="C32" t="inlineStr">
        <is>
          <t>TÔN HOA SEN 0.48mm</t>
        </is>
      </c>
      <c r="D32" t="inlineStr">
        <is>
          <t>TÔN_CUỘN_MẠ_KẼM</t>
        </is>
      </c>
      <c r="E32" s="250" t="n">
        <v>22115.98</v>
      </c>
    </row>
    <row r="33">
      <c r="A33" t="n">
        <v>32</v>
      </c>
      <c r="B33" t="inlineStr">
        <is>
          <t>MAT-STEEL-HOASEN-0.58</t>
        </is>
      </c>
      <c r="C33" t="inlineStr">
        <is>
          <t>TÔN HOA SEN 0.58mm</t>
        </is>
      </c>
      <c r="D33" t="inlineStr">
        <is>
          <t>TÔN_CUỘN_MẠ_KẼM</t>
        </is>
      </c>
      <c r="E33" s="250" t="n">
        <v>20865.36</v>
      </c>
    </row>
    <row r="34">
      <c r="A34" t="n">
        <v>33</v>
      </c>
      <c r="B34" t="inlineStr">
        <is>
          <t>MAT-STEEL-HOASEN-0.75</t>
        </is>
      </c>
      <c r="C34" t="inlineStr">
        <is>
          <t>TÔN HOA SEN 0.75mm</t>
        </is>
      </c>
      <c r="D34" t="inlineStr">
        <is>
          <t>TÔN_CUỘN_MẠ_KẼM</t>
        </is>
      </c>
      <c r="E34" s="250" t="n">
        <v>20460.34</v>
      </c>
    </row>
    <row r="35">
      <c r="A35" t="n">
        <v>34</v>
      </c>
      <c r="B35" t="inlineStr">
        <is>
          <t>MAT-STEEL-HOASEN-0.95</t>
        </is>
      </c>
      <c r="C35" t="inlineStr">
        <is>
          <t>TÔN HOA SEN 0.95mm</t>
        </is>
      </c>
      <c r="D35" t="inlineStr">
        <is>
          <t>TÔN_CUỘN_MẠ_KẼM</t>
        </is>
      </c>
      <c r="E35" s="250" t="n">
        <v>20003.58</v>
      </c>
    </row>
    <row r="36">
      <c r="A36" t="n">
        <v>35</v>
      </c>
      <c r="B36" t="inlineStr">
        <is>
          <t>MAT-STEEL-HOASEN-1.15</t>
        </is>
      </c>
      <c r="C36" t="inlineStr">
        <is>
          <t>TÔN HOA SEN 1.15mm</t>
        </is>
      </c>
      <c r="D36" t="inlineStr">
        <is>
          <t>TÔN_CUỘN_MẠ_KẼM</t>
        </is>
      </c>
      <c r="E36" s="250" t="n">
        <v>19764.78</v>
      </c>
    </row>
    <row r="37">
      <c r="A37" t="n">
        <v>36</v>
      </c>
      <c r="B37" t="inlineStr">
        <is>
          <t>MAT-STEEL-HOA_SEN-1.15</t>
        </is>
      </c>
      <c r="C37" t="inlineStr">
        <is>
          <t>TÔN HOA SEN 1.15mm</t>
        </is>
      </c>
      <c r="D37" t="inlineStr">
        <is>
          <t>TÔN_CUỘN_MẠ_KẼM</t>
        </is>
      </c>
      <c r="E37" s="250" t="n">
        <v>19764.78</v>
      </c>
    </row>
    <row r="38">
      <c r="A38" t="n">
        <v>37</v>
      </c>
      <c r="B38" t="inlineStr">
        <is>
          <t>MAT-STEEL-HOASEN-1.50</t>
        </is>
      </c>
      <c r="C38" t="inlineStr">
        <is>
          <t>TÔN HOA SEN 1.50mm</t>
        </is>
      </c>
      <c r="D38" t="inlineStr">
        <is>
          <t>TÔN_CUỘN_MẠ_KẼM</t>
        </is>
      </c>
      <c r="E38" s="250" t="n">
        <v>18966.74</v>
      </c>
    </row>
    <row r="39">
      <c r="A39" t="n">
        <v>38</v>
      </c>
      <c r="B39" t="inlineStr">
        <is>
          <t>MAT-STEEL-BLUESCOPE-0.47</t>
        </is>
      </c>
      <c r="C39" t="inlineStr">
        <is>
          <t>TÔN BLUESCOPE 0.47mm</t>
        </is>
      </c>
      <c r="D39" t="inlineStr">
        <is>
          <t>TÔN_CUỘN_MẠ_KẼM</t>
        </is>
      </c>
      <c r="E39" s="250" t="n">
        <v>19714.63</v>
      </c>
    </row>
    <row r="40">
      <c r="A40" t="n">
        <v>39</v>
      </c>
      <c r="B40" t="inlineStr">
        <is>
          <t>MAT-STEEL-BLUESCOPE-0.57</t>
        </is>
      </c>
      <c r="C40" t="inlineStr">
        <is>
          <t>TÔN BLUESCOPE 0.57mm</t>
        </is>
      </c>
      <c r="D40" t="inlineStr">
        <is>
          <t>TÔN_CUỘN_MẠ_KẼM</t>
        </is>
      </c>
      <c r="E40" s="250" t="n">
        <v>20319.42</v>
      </c>
    </row>
    <row r="41">
      <c r="A41" t="n">
        <v>40</v>
      </c>
      <c r="B41" t="inlineStr">
        <is>
          <t>MAT-STEEL-BLUESCOPE-0.77</t>
        </is>
      </c>
      <c r="C41" t="inlineStr">
        <is>
          <t>TÔN BLUESCOPE 0.77mm</t>
        </is>
      </c>
      <c r="D41" t="inlineStr">
        <is>
          <t>TÔN_CUỘN_MẠ_KẼM</t>
        </is>
      </c>
      <c r="E41" s="250" t="n">
        <v>19926.31</v>
      </c>
    </row>
    <row r="42">
      <c r="A42" t="n">
        <v>41</v>
      </c>
      <c r="B42" t="inlineStr">
        <is>
          <t>MAT-STEEL-BLUESCOPE-0.95</t>
        </is>
      </c>
      <c r="C42" t="inlineStr">
        <is>
          <t>TÔN BLUESCOPE 0.95mm</t>
        </is>
      </c>
      <c r="D42" t="inlineStr">
        <is>
          <t>TÔN_CUỘN_MẠ_KẼM</t>
        </is>
      </c>
      <c r="E42" s="250" t="n">
        <v>20013.74</v>
      </c>
    </row>
    <row r="43">
      <c r="A43" t="n">
        <v>42</v>
      </c>
      <c r="B43" t="inlineStr">
        <is>
          <t>MAT-STEEL-BLUESCOPE-1.15</t>
        </is>
      </c>
      <c r="C43" t="inlineStr">
        <is>
          <t>TÔN BLUESCOPE 1.15mm</t>
        </is>
      </c>
      <c r="D43" t="inlineStr">
        <is>
          <t>TÔN_CUỘN_MẠ_KẼM</t>
        </is>
      </c>
      <c r="E43" s="250" t="n">
        <v>19973.75</v>
      </c>
    </row>
    <row r="44">
      <c r="A44" t="n">
        <v>43</v>
      </c>
      <c r="B44" t="inlineStr">
        <is>
          <t>MAT-INOX-SUS304-0-5</t>
        </is>
      </c>
      <c r="C44" t="inlineStr">
        <is>
          <t>Inox Sus304-0.5</t>
        </is>
      </c>
      <c r="D44" t="inlineStr">
        <is>
          <t>INOX</t>
        </is>
      </c>
      <c r="E44" s="250" t="n">
        <v>78000</v>
      </c>
    </row>
    <row r="45">
      <c r="A45" t="n">
        <v>44</v>
      </c>
      <c r="B45" t="inlineStr">
        <is>
          <t>MAT-INOX-SUS304-0-6</t>
        </is>
      </c>
      <c r="C45" t="inlineStr">
        <is>
          <t>Inox Sus304-0.6</t>
        </is>
      </c>
      <c r="D45" t="inlineStr">
        <is>
          <t>INOX</t>
        </is>
      </c>
      <c r="E45" s="250" t="n">
        <v>78000</v>
      </c>
    </row>
    <row r="46">
      <c r="A46" t="n">
        <v>45</v>
      </c>
      <c r="B46" t="inlineStr">
        <is>
          <t>MAT-INOX-SUS304-0-7</t>
        </is>
      </c>
      <c r="C46" t="inlineStr">
        <is>
          <t>Inox Sus304-0.7</t>
        </is>
      </c>
      <c r="D46" t="inlineStr">
        <is>
          <t>INOX</t>
        </is>
      </c>
      <c r="E46" s="250" t="n">
        <v>78000</v>
      </c>
    </row>
    <row r="47">
      <c r="A47" t="n">
        <v>46</v>
      </c>
      <c r="B47" t="inlineStr">
        <is>
          <t>MAT-INOX-SUS304-0-8</t>
        </is>
      </c>
      <c r="C47" t="inlineStr">
        <is>
          <t>Inox Sus304-0.8</t>
        </is>
      </c>
      <c r="D47" t="inlineStr">
        <is>
          <t>INOX</t>
        </is>
      </c>
      <c r="E47" s="250" t="n">
        <v>78000</v>
      </c>
    </row>
    <row r="48">
      <c r="A48" t="n">
        <v>47</v>
      </c>
      <c r="B48" t="inlineStr">
        <is>
          <t>MAT-INOX-SUS304-0-9</t>
        </is>
      </c>
      <c r="C48" t="inlineStr">
        <is>
          <t>Inox Sus304-0.9</t>
        </is>
      </c>
      <c r="D48" t="inlineStr">
        <is>
          <t>INOX</t>
        </is>
      </c>
      <c r="E48" s="250" t="n">
        <v>78000</v>
      </c>
    </row>
    <row r="49">
      <c r="A49" t="n">
        <v>48</v>
      </c>
      <c r="B49" t="inlineStr">
        <is>
          <t>MAT-INOX-SUS304-1-0</t>
        </is>
      </c>
      <c r="C49" t="inlineStr">
        <is>
          <t>Inox Sus304-1,0</t>
        </is>
      </c>
      <c r="D49" t="inlineStr">
        <is>
          <t>INOX</t>
        </is>
      </c>
      <c r="E49" s="250" t="n">
        <v>78000</v>
      </c>
    </row>
    <row r="50">
      <c r="A50" t="n">
        <v>49</v>
      </c>
      <c r="B50" t="inlineStr">
        <is>
          <t>MAT-INOX-SUS304-1-2</t>
        </is>
      </c>
      <c r="C50" t="inlineStr">
        <is>
          <t>Inox Sus304-1,2</t>
        </is>
      </c>
      <c r="D50" t="inlineStr">
        <is>
          <t>INOX</t>
        </is>
      </c>
      <c r="E50" s="250" t="n">
        <v>78000</v>
      </c>
    </row>
    <row r="51">
      <c r="A51" t="n">
        <v>50</v>
      </c>
      <c r="B51" t="inlineStr">
        <is>
          <t>MAT-INOX-SUS430-0-5</t>
        </is>
      </c>
      <c r="C51" t="inlineStr">
        <is>
          <t>Inox Sus430-0.5</t>
        </is>
      </c>
      <c r="D51" t="inlineStr">
        <is>
          <t>INOX</t>
        </is>
      </c>
      <c r="E51" s="250" t="n">
        <v>45000</v>
      </c>
    </row>
    <row r="52">
      <c r="A52" t="n">
        <v>51</v>
      </c>
      <c r="B52" t="inlineStr">
        <is>
          <t>MAT-INOX-SUS430-0-6</t>
        </is>
      </c>
      <c r="C52" t="inlineStr">
        <is>
          <t>Inox Sus430-0.6</t>
        </is>
      </c>
      <c r="D52" t="inlineStr">
        <is>
          <t>INOX</t>
        </is>
      </c>
      <c r="E52" s="250" t="n">
        <v>45000</v>
      </c>
    </row>
    <row r="53">
      <c r="A53" t="n">
        <v>52</v>
      </c>
      <c r="B53" t="inlineStr">
        <is>
          <t>MAT-INOX-SUS430-0-7</t>
        </is>
      </c>
      <c r="C53" t="inlineStr">
        <is>
          <t>Inox Sus430-0.7</t>
        </is>
      </c>
      <c r="D53" t="inlineStr">
        <is>
          <t>INOX</t>
        </is>
      </c>
      <c r="E53" s="250" t="n">
        <v>45000</v>
      </c>
    </row>
    <row r="54">
      <c r="A54" t="n">
        <v>53</v>
      </c>
      <c r="B54" t="inlineStr">
        <is>
          <t>MAT-INOX-SUS430-0-8</t>
        </is>
      </c>
      <c r="C54" t="inlineStr">
        <is>
          <t>Inox Sus430-0.8</t>
        </is>
      </c>
      <c r="D54" t="inlineStr">
        <is>
          <t>INOX</t>
        </is>
      </c>
      <c r="E54" s="250" t="n">
        <v>45000</v>
      </c>
    </row>
    <row r="55">
      <c r="A55" t="n">
        <v>54</v>
      </c>
      <c r="B55" t="inlineStr">
        <is>
          <t>MAT-INOX-SUS430-0-9</t>
        </is>
      </c>
      <c r="C55" t="inlineStr">
        <is>
          <t>Inox Sus430-0.9</t>
        </is>
      </c>
      <c r="D55" t="inlineStr">
        <is>
          <t>INOX</t>
        </is>
      </c>
      <c r="E55" s="250" t="n">
        <v>45000</v>
      </c>
    </row>
    <row r="56">
      <c r="A56" t="n">
        <v>55</v>
      </c>
      <c r="B56" t="inlineStr">
        <is>
          <t>MAT-INOX-SUS430-1-0</t>
        </is>
      </c>
      <c r="C56" t="inlineStr">
        <is>
          <t>Inox Sus430-1,0</t>
        </is>
      </c>
      <c r="D56" t="inlineStr">
        <is>
          <t>INOX</t>
        </is>
      </c>
      <c r="E56" s="250" t="n">
        <v>45000</v>
      </c>
    </row>
    <row r="57">
      <c r="A57" t="n">
        <v>56</v>
      </c>
      <c r="B57" t="inlineStr">
        <is>
          <t>MAT-INOX-SUS430-1-1</t>
        </is>
      </c>
      <c r="C57" t="inlineStr">
        <is>
          <t>Inox Sus430-1,1</t>
        </is>
      </c>
      <c r="D57" t="inlineStr">
        <is>
          <t>INOX</t>
        </is>
      </c>
      <c r="E57" s="250" t="n">
        <v>45000</v>
      </c>
    </row>
    <row r="58">
      <c r="A58" t="n">
        <v>57</v>
      </c>
      <c r="B58" t="inlineStr">
        <is>
          <t>MAT-INOX-SUS430-1-2</t>
        </is>
      </c>
      <c r="C58" t="inlineStr">
        <is>
          <t>Inox Sus430-1,2</t>
        </is>
      </c>
      <c r="D58" t="inlineStr">
        <is>
          <t>INOX</t>
        </is>
      </c>
      <c r="E58" s="250" t="n">
        <v>45000</v>
      </c>
    </row>
    <row r="59">
      <c r="A59" t="n">
        <v>58</v>
      </c>
      <c r="B59" t="inlineStr">
        <is>
          <t>MAT-INOX-SUS201-0-4</t>
        </is>
      </c>
      <c r="C59" t="inlineStr">
        <is>
          <t>Inox Sus201-0.4</t>
        </is>
      </c>
      <c r="D59" t="inlineStr">
        <is>
          <t>INOX</t>
        </is>
      </c>
      <c r="E59" s="250" t="n">
        <v>48000</v>
      </c>
    </row>
    <row r="60">
      <c r="A60" t="n">
        <v>59</v>
      </c>
      <c r="B60" t="inlineStr">
        <is>
          <t>MAT-INOX-SUS201-0-5</t>
        </is>
      </c>
      <c r="C60" t="inlineStr">
        <is>
          <t>Inox Sus201-0.5</t>
        </is>
      </c>
      <c r="D60" t="inlineStr">
        <is>
          <t>INOX</t>
        </is>
      </c>
      <c r="E60" s="250" t="n">
        <v>48000</v>
      </c>
    </row>
    <row r="61">
      <c r="A61" t="n">
        <v>60</v>
      </c>
      <c r="B61" t="inlineStr">
        <is>
          <t>MAT-INOX-SUS201-0-6</t>
        </is>
      </c>
      <c r="C61" t="inlineStr">
        <is>
          <t>Inox Sus201-0.6</t>
        </is>
      </c>
      <c r="D61" t="inlineStr">
        <is>
          <t>INOX</t>
        </is>
      </c>
      <c r="E61" s="250" t="n">
        <v>48000</v>
      </c>
    </row>
    <row r="62">
      <c r="A62" t="n">
        <v>61</v>
      </c>
      <c r="B62" t="inlineStr">
        <is>
          <t>MAT-INOX-SUS201-0-7</t>
        </is>
      </c>
      <c r="C62" t="inlineStr">
        <is>
          <t>Inox Sus201-0.7</t>
        </is>
      </c>
      <c r="D62" t="inlineStr">
        <is>
          <t>INOX</t>
        </is>
      </c>
      <c r="E62" s="250" t="n">
        <v>48000</v>
      </c>
    </row>
    <row r="63">
      <c r="A63" t="n">
        <v>62</v>
      </c>
      <c r="B63" t="inlineStr">
        <is>
          <t>MAT-INOX-SUS201-0-8</t>
        </is>
      </c>
      <c r="C63" t="inlineStr">
        <is>
          <t>Inox Sus201-0.8</t>
        </is>
      </c>
      <c r="D63" t="inlineStr">
        <is>
          <t>INOX</t>
        </is>
      </c>
      <c r="E63" s="250" t="n">
        <v>48000</v>
      </c>
    </row>
    <row r="64">
      <c r="A64" t="n">
        <v>63</v>
      </c>
      <c r="B64" t="inlineStr">
        <is>
          <t>MAT-DAMPER-TRUC-SUS-201-D10</t>
        </is>
      </c>
      <c r="C64" t="inlineStr">
        <is>
          <t>Trục Sus 201 D10</t>
        </is>
      </c>
      <c r="D64" t="inlineStr">
        <is>
          <t>PHỤ_KIỆN_VAN</t>
        </is>
      </c>
      <c r="E64" s="250" t="n">
        <v>50000</v>
      </c>
    </row>
    <row r="65">
      <c r="A65" t="n">
        <v>64</v>
      </c>
      <c r="B65" t="inlineStr">
        <is>
          <t>MAT-DAMPER-TRUC-SUS-201-D12</t>
        </is>
      </c>
      <c r="C65" t="inlineStr">
        <is>
          <t>Trục Sus 201 D12</t>
        </is>
      </c>
      <c r="D65" t="inlineStr">
        <is>
          <t>PHỤ_KIỆN_VAN</t>
        </is>
      </c>
      <c r="E65" s="250" t="n">
        <v>72000</v>
      </c>
    </row>
    <row r="66">
      <c r="A66" t="n">
        <v>65</v>
      </c>
      <c r="B66" t="inlineStr">
        <is>
          <t>MAT-DAMPER-TRUC-SUS-201-D14</t>
        </is>
      </c>
      <c r="C66" t="inlineStr">
        <is>
          <t>Trục Sus 201 D14</t>
        </is>
      </c>
      <c r="D66" t="inlineStr">
        <is>
          <t>PHỤ_KIỆN_VAN</t>
        </is>
      </c>
      <c r="E66" s="250" t="n">
        <v>98000</v>
      </c>
    </row>
    <row r="67">
      <c r="A67" t="n">
        <v>66</v>
      </c>
      <c r="B67" t="inlineStr">
        <is>
          <t>MAT-DAMPER-BAC-DONG-D10</t>
        </is>
      </c>
      <c r="C67" t="inlineStr">
        <is>
          <t>Bạc đồng D10</t>
        </is>
      </c>
      <c r="D67" t="inlineStr">
        <is>
          <t>PHỤ_KIỆN_VAN</t>
        </is>
      </c>
      <c r="E67" s="250" t="n">
        <v>6000</v>
      </c>
    </row>
    <row r="68">
      <c r="A68" t="n">
        <v>67</v>
      </c>
      <c r="B68" t="inlineStr">
        <is>
          <t>MAT-DAMPER-BAC-DONG-D12</t>
        </is>
      </c>
      <c r="C68" t="inlineStr">
        <is>
          <t>Bạc đồng D12</t>
        </is>
      </c>
      <c r="D68" t="inlineStr">
        <is>
          <t>PHỤ_KIỆN_VAN</t>
        </is>
      </c>
      <c r="E68" s="250" t="n">
        <v>8000</v>
      </c>
    </row>
    <row r="69">
      <c r="A69" t="n">
        <v>68</v>
      </c>
      <c r="B69" t="inlineStr">
        <is>
          <t>MAT-DAMPER-BAC-DONG-D14</t>
        </is>
      </c>
      <c r="C69" t="inlineStr">
        <is>
          <t>Bạc đồng D14</t>
        </is>
      </c>
      <c r="D69" t="inlineStr">
        <is>
          <t>PHỤ_KIỆN_VAN</t>
        </is>
      </c>
      <c r="E69" s="250" t="n">
        <v>10000</v>
      </c>
    </row>
    <row r="70">
      <c r="A70" t="n">
        <v>69</v>
      </c>
      <c r="B70" t="inlineStr">
        <is>
          <t>MAT-DAMPER-TAY-GAT-1-1M2</t>
        </is>
      </c>
      <c r="C70" t="inlineStr">
        <is>
          <t>Tay gạt 1 &gt;1m2</t>
        </is>
      </c>
      <c r="D70" t="inlineStr">
        <is>
          <t>PHỤ_KIỆN_VAN</t>
        </is>
      </c>
      <c r="E70" s="250" t="n">
        <v>100000</v>
      </c>
    </row>
    <row r="71">
      <c r="A71" t="n">
        <v>70</v>
      </c>
      <c r="B71" t="inlineStr">
        <is>
          <t>MAT-DAMPER-GIANG-TAY-GAT-1</t>
        </is>
      </c>
      <c r="C71" t="inlineStr">
        <is>
          <t>Giằng tay gạt 1</t>
        </is>
      </c>
      <c r="D71" t="inlineStr">
        <is>
          <t>PHỤ_KIỆN_VAN</t>
        </is>
      </c>
      <c r="E71" s="250" t="n">
        <v>20000</v>
      </c>
    </row>
    <row r="72">
      <c r="A72" t="n">
        <v>71</v>
      </c>
      <c r="B72" t="inlineStr">
        <is>
          <t>MAT-DAMPER-GIANG-TAY-GAT-2</t>
        </is>
      </c>
      <c r="C72" t="inlineStr">
        <is>
          <t>Giằng tay gạt 2</t>
        </is>
      </c>
      <c r="D72" t="inlineStr">
        <is>
          <t>PHỤ_KIỆN_VAN</t>
        </is>
      </c>
      <c r="E72" s="250" t="n">
        <v>25000</v>
      </c>
    </row>
    <row r="73">
      <c r="A73" t="n">
        <v>72</v>
      </c>
      <c r="B73" t="inlineStr">
        <is>
          <t>MAT-DAMPER-CAU-CHI-1-400X400</t>
        </is>
      </c>
      <c r="C73" t="inlineStr">
        <is>
          <t>Cầu chì 1 &lt;400x400</t>
        </is>
      </c>
      <c r="D73" t="inlineStr">
        <is>
          <t>PHỤ_KIỆN_VAN</t>
        </is>
      </c>
      <c r="E73" s="250" t="n">
        <v>220000</v>
      </c>
    </row>
    <row r="74">
      <c r="A74" t="n">
        <v>73</v>
      </c>
      <c r="B74" t="inlineStr">
        <is>
          <t>MAT-DAMPER-CAU-CHI-2-400X400</t>
        </is>
      </c>
      <c r="C74" t="inlineStr">
        <is>
          <t>Cầu chì 2&gt;400x400</t>
        </is>
      </c>
      <c r="D74" t="inlineStr">
        <is>
          <t>PHỤ_KIỆN_VAN</t>
        </is>
      </c>
      <c r="E74" s="250" t="n">
        <v>300000</v>
      </c>
    </row>
    <row r="75">
      <c r="A75" t="n">
        <v>74</v>
      </c>
      <c r="B75" t="inlineStr">
        <is>
          <t>MAT-DAMPER-TRUC-VIT-1</t>
        </is>
      </c>
      <c r="C75" t="inlineStr">
        <is>
          <t>Trục vít 1</t>
        </is>
      </c>
      <c r="D75" t="inlineStr">
        <is>
          <t>PHỤ_KIỆN_VAN</t>
        </is>
      </c>
      <c r="E75" s="250" t="n">
        <v>100000</v>
      </c>
    </row>
    <row r="76">
      <c r="A76" t="n">
        <v>75</v>
      </c>
      <c r="B76" t="inlineStr">
        <is>
          <t>MAT-DAMPER-BAC-DONG-8</t>
        </is>
      </c>
      <c r="C76" t="inlineStr">
        <is>
          <t>Bạc đồng 8</t>
        </is>
      </c>
      <c r="D76" t="inlineStr">
        <is>
          <t>PHỤ_KIỆN_VAN</t>
        </is>
      </c>
      <c r="E76" s="250" t="n">
        <v>4000</v>
      </c>
    </row>
    <row r="77">
      <c r="A77" t="n">
        <v>76</v>
      </c>
      <c r="B77" t="inlineStr">
        <is>
          <t>MAT-DAMPER-BANH-RANG-VAN-NHOM</t>
        </is>
      </c>
      <c r="C77" t="inlineStr">
        <is>
          <t>Bánh răng van nhôm</t>
        </is>
      </c>
      <c r="D77" t="inlineStr">
        <is>
          <t>PHỤ_KIỆN_VAN</t>
        </is>
      </c>
      <c r="E77" s="250" t="n">
        <v>35000</v>
      </c>
    </row>
    <row r="78">
      <c r="A78" t="n">
        <v>77</v>
      </c>
      <c r="B78" t="inlineStr">
        <is>
          <t>MAT-DAMPER-TAY-VAN-NHUA-1M2</t>
        </is>
      </c>
      <c r="C78" t="inlineStr">
        <is>
          <t>Tay van nhựa &gt;1m2</t>
        </is>
      </c>
      <c r="D78" t="inlineStr">
        <is>
          <t>PHỤ_KIỆN_VAN</t>
        </is>
      </c>
      <c r="E78" s="250" t="n">
        <v>165000</v>
      </c>
    </row>
    <row r="79">
      <c r="A79" t="n">
        <v>78</v>
      </c>
      <c r="B79" t="inlineStr">
        <is>
          <t>MAT-DAMPER-TAY-VAN-INOX-1M2</t>
        </is>
      </c>
      <c r="C79" t="inlineStr">
        <is>
          <t>Tay van Inox &gt;1m2</t>
        </is>
      </c>
      <c r="D79" t="inlineStr">
        <is>
          <t>PHỤ_KIỆN_VAN</t>
        </is>
      </c>
      <c r="E79" s="250" t="n">
        <v>195000</v>
      </c>
    </row>
    <row r="80">
      <c r="A80" t="n">
        <v>79</v>
      </c>
      <c r="B80" t="inlineStr">
        <is>
          <t>MAT-DAMPER-TAY-VAN-NHOM</t>
        </is>
      </c>
      <c r="C80" t="inlineStr">
        <is>
          <t>Tay van nhôm</t>
        </is>
      </c>
      <c r="D80" t="inlineStr">
        <is>
          <t>PHỤ_KIỆN_VAN</t>
        </is>
      </c>
      <c r="E80" s="250" t="n">
        <v>260000</v>
      </c>
    </row>
    <row r="81">
      <c r="A81" t="n">
        <v>80</v>
      </c>
      <c r="B81" t="inlineStr">
        <is>
          <t>MAT-DAMPER-GIOANG-CAO-SU-VAN-NHOM</t>
        </is>
      </c>
      <c r="C81" t="inlineStr">
        <is>
          <t>Gioăng cao su van nhôm</t>
        </is>
      </c>
      <c r="D81" t="inlineStr">
        <is>
          <t>PHỤ_KIỆN_VAN</t>
        </is>
      </c>
      <c r="E81" s="250" t="n">
        <v>6500</v>
      </c>
    </row>
    <row r="82">
      <c r="A82" t="n">
        <v>81</v>
      </c>
      <c r="B82" t="inlineStr">
        <is>
          <t>MAT-DAMPER-TAY-GAT-NHO</t>
        </is>
      </c>
      <c r="C82" t="inlineStr">
        <is>
          <t>Tay gạt nhỏ</t>
        </is>
      </c>
      <c r="D82" t="inlineStr">
        <is>
          <t>PHỤ_KIỆN_VAN</t>
        </is>
      </c>
      <c r="E82" s="250" t="n">
        <v>50000</v>
      </c>
    </row>
    <row r="83">
      <c r="A83" t="n">
        <v>82</v>
      </c>
      <c r="B83" t="inlineStr">
        <is>
          <t>MAT-DAMPER-TAY-GAT-TRUNG-BINH</t>
        </is>
      </c>
      <c r="C83" t="inlineStr">
        <is>
          <t>Tay gạt trung bình</t>
        </is>
      </c>
      <c r="D83" t="inlineStr">
        <is>
          <t>PHỤ_KIỆN_VAN</t>
        </is>
      </c>
      <c r="E83" s="250" t="n">
        <v>75000</v>
      </c>
    </row>
    <row r="84">
      <c r="A84" t="n">
        <v>83</v>
      </c>
      <c r="B84" t="inlineStr">
        <is>
          <t>MAT-DAMPER-MOTOR-NENUTEC-THUY-SY-LT-300X300</t>
        </is>
      </c>
      <c r="C84" t="inlineStr">
        <is>
          <t>Motor NENUTEC - THỤY SỸ &lt;300x300</t>
        </is>
      </c>
      <c r="D84" t="inlineStr">
        <is>
          <t>PHỤ_KIỆN_VAN</t>
        </is>
      </c>
      <c r="E84" s="250" t="n">
        <v>1750000</v>
      </c>
    </row>
    <row r="85">
      <c r="A85" t="n">
        <v>84</v>
      </c>
      <c r="B85" t="inlineStr">
        <is>
          <t>MAT-DAMPER-MOTOR-NENUTEC-THUY-SY-GT-300X300</t>
        </is>
      </c>
      <c r="C85" t="inlineStr">
        <is>
          <t>Motor NENUTEC - THỤY SỸ &gt;300x300</t>
        </is>
      </c>
      <c r="D85" t="inlineStr">
        <is>
          <t>PHỤ_KIỆN_VAN</t>
        </is>
      </c>
      <c r="E85" s="250" t="n">
        <v>1950000</v>
      </c>
    </row>
    <row r="86">
      <c r="A86" t="n">
        <v>85</v>
      </c>
      <c r="B86" t="inlineStr">
        <is>
          <t>MAT-DAMPER-MOTOR-NENUTEC-THUY-SY-1M2</t>
        </is>
      </c>
      <c r="C86" t="inlineStr">
        <is>
          <t>Motor NENUTEC - THỤY SỸ &gt;1m2</t>
        </is>
      </c>
      <c r="D86" t="inlineStr">
        <is>
          <t>PHỤ_KIỆN_VAN</t>
        </is>
      </c>
      <c r="E86" s="250" t="n">
        <v>2200000</v>
      </c>
    </row>
    <row r="87">
      <c r="A87" t="n">
        <v>86</v>
      </c>
      <c r="B87" t="inlineStr">
        <is>
          <t>MAT-DAMPER-MOTOR-VAN-DAP-LUA-CAM-BIEN</t>
        </is>
      </c>
      <c r="C87" t="inlineStr">
        <is>
          <t>Motor van dập lửa + cảm biến</t>
        </is>
      </c>
      <c r="D87" t="inlineStr">
        <is>
          <t>PHỤ_KIỆN_VAN</t>
        </is>
      </c>
      <c r="E87" s="250" t="n">
        <v>4200000</v>
      </c>
    </row>
    <row r="88">
      <c r="A88" t="n">
        <v>87</v>
      </c>
      <c r="B88" t="inlineStr">
        <is>
          <t>MAT-DAMPER-MOTOR-VAN-AP-SUAT</t>
        </is>
      </c>
      <c r="C88" t="inlineStr">
        <is>
          <t>Motor van áp suất</t>
        </is>
      </c>
      <c r="D88" t="inlineStr">
        <is>
          <t>PHỤ_KIỆN_VAN</t>
        </is>
      </c>
      <c r="E88" s="250" t="n">
        <v>4200000</v>
      </c>
    </row>
    <row r="89">
      <c r="A89" t="n">
        <v>88</v>
      </c>
      <c r="B89" t="inlineStr">
        <is>
          <t>MAT-DAMPER-CAU-CHI-TRUNG-QUOC</t>
        </is>
      </c>
      <c r="C89" t="inlineStr">
        <is>
          <t>Cầu chì Trung Quốc</t>
        </is>
      </c>
      <c r="D89" t="inlineStr">
        <is>
          <t>PHỤ_KIỆN_VAN</t>
        </is>
      </c>
      <c r="E89" s="250" t="n">
        <v>65000</v>
      </c>
    </row>
    <row r="90">
      <c r="A90" t="n">
        <v>89</v>
      </c>
      <c r="B90" t="inlineStr">
        <is>
          <t>MAT-DAMPER-CAU-CHI-USA-1-400X400</t>
        </is>
      </c>
      <c r="C90" t="inlineStr">
        <is>
          <t>Cầu chì USA -1 (&lt;400x400)</t>
        </is>
      </c>
      <c r="D90" t="inlineStr">
        <is>
          <t>PHỤ_KIỆN_VAN</t>
        </is>
      </c>
      <c r="E90" s="250" t="n">
        <v>105000</v>
      </c>
    </row>
    <row r="91">
      <c r="A91" t="n">
        <v>90</v>
      </c>
      <c r="B91" t="inlineStr">
        <is>
          <t>MAT-DAMPER-CAU-CHI-USA-2-400X400</t>
        </is>
      </c>
      <c r="C91" t="inlineStr">
        <is>
          <t>Cầu chì USA-2 (&gt;400x400)</t>
        </is>
      </c>
      <c r="D91" t="inlineStr">
        <is>
          <t>PHỤ_KIỆN_VAN</t>
        </is>
      </c>
      <c r="E91" s="250" t="n">
        <v>126000</v>
      </c>
    </row>
    <row r="92">
      <c r="A92" t="n">
        <v>91</v>
      </c>
      <c r="B92" t="inlineStr">
        <is>
          <t>MAT-FLANGE-L-30X30X2-CT38-L-6-M</t>
        </is>
      </c>
      <c r="C92" t="inlineStr">
        <is>
          <t>L 30x30x2 CT38 L = 6 m</t>
        </is>
      </c>
      <c r="D92" t="inlineStr">
        <is>
          <t>THÉP_BÍCH_GÓC</t>
        </is>
      </c>
      <c r="E92" s="250" t="n">
        <v>30000</v>
      </c>
    </row>
    <row r="93">
      <c r="A93" t="n">
        <v>92</v>
      </c>
      <c r="B93" t="inlineStr">
        <is>
          <t>MAT-FLANGE-L-30X30X3-CT38-L-6-M</t>
        </is>
      </c>
      <c r="C93" t="inlineStr">
        <is>
          <t>L 30x30x3 CT38 L = 6 m</t>
        </is>
      </c>
      <c r="D93" t="inlineStr">
        <is>
          <t>THÉP_BÍCH_GÓC</t>
        </is>
      </c>
      <c r="E93" s="250" t="n">
        <v>35000</v>
      </c>
    </row>
    <row r="94">
      <c r="A94" t="n">
        <v>93</v>
      </c>
      <c r="B94" t="inlineStr">
        <is>
          <t>MAT-FLANGE-L-40X40X4-CT39-L-6-M</t>
        </is>
      </c>
      <c r="C94" t="inlineStr">
        <is>
          <t>L 40x40x4 CT39 L = 6 m</t>
        </is>
      </c>
      <c r="D94" t="inlineStr">
        <is>
          <t>THÉP_BÍCH_GÓC</t>
        </is>
      </c>
      <c r="E94" s="250" t="n">
        <v>45000</v>
      </c>
    </row>
    <row r="95">
      <c r="A95" t="n">
        <v>94</v>
      </c>
      <c r="B95" t="inlineStr">
        <is>
          <t>MAT-FLANGE-L-50X50X4-CT40-L-6-M</t>
        </is>
      </c>
      <c r="C95" t="inlineStr">
        <is>
          <t>L 50x50x4 CT40 L = 6 m</t>
        </is>
      </c>
      <c r="D95" t="inlineStr">
        <is>
          <t>THÉP_BÍCH_GÓC</t>
        </is>
      </c>
      <c r="E95" s="250" t="n">
        <v>55000</v>
      </c>
    </row>
    <row r="96">
      <c r="A96" t="n">
        <v>95</v>
      </c>
      <c r="B96" t="inlineStr">
        <is>
          <t>MAT-INSUL-LUOI-NHUA</t>
        </is>
      </c>
      <c r="C96" t="inlineStr">
        <is>
          <t>Lưới nhựa</t>
        </is>
      </c>
      <c r="D96" t="inlineStr">
        <is>
          <t>VẬT_LIỆU_TIÊU_ÂM</t>
        </is>
      </c>
      <c r="E96" s="250" t="n">
        <v>25000</v>
      </c>
    </row>
    <row r="97">
      <c r="A97" t="n">
        <v>96</v>
      </c>
      <c r="B97" t="inlineStr">
        <is>
          <t>MAT-INSUL-MOTOR-NENUTEC-THUY-SY-LT-300X300</t>
        </is>
      </c>
      <c r="C97" t="inlineStr">
        <is>
          <t>Motor NENUTEC - THỤY SỸ &lt;300x300</t>
        </is>
      </c>
      <c r="D97" t="inlineStr">
        <is>
          <t>VẬT_LIỆU_TIÊU_ÂM</t>
        </is>
      </c>
      <c r="E97" s="250" t="n">
        <v>1750000</v>
      </c>
    </row>
    <row r="98">
      <c r="A98" t="n">
        <v>97</v>
      </c>
      <c r="B98" t="inlineStr">
        <is>
          <t>MAT-INSUL-MOTOR-NENUTEC-THUY-SY-GT-300X300</t>
        </is>
      </c>
      <c r="C98" t="inlineStr">
        <is>
          <t>Motor NENUTEC - THỤY SỸ &gt;300x300</t>
        </is>
      </c>
      <c r="D98" t="inlineStr">
        <is>
          <t>VẬT_LIỆU_TIÊU_ÂM</t>
        </is>
      </c>
      <c r="E98" s="250" t="n">
        <v>1950000</v>
      </c>
    </row>
    <row r="99">
      <c r="A99" t="n">
        <v>98</v>
      </c>
      <c r="B99" t="inlineStr">
        <is>
          <t>MAT-INSUL-MOTOR-NENUTEC-THUY-SY-1M2</t>
        </is>
      </c>
      <c r="C99" t="inlineStr">
        <is>
          <t>Motor NENUTEC - THỤY SỸ &gt;1m2</t>
        </is>
      </c>
      <c r="D99" t="inlineStr">
        <is>
          <t>VẬT_LIỆU_TIÊU_ÂM</t>
        </is>
      </c>
      <c r="E99" s="250" t="n">
        <v>2200000</v>
      </c>
    </row>
    <row r="100">
      <c r="A100" t="n">
        <v>99</v>
      </c>
      <c r="B100" t="inlineStr">
        <is>
          <t>MAT-INSUL-MOTOR-VAN-DAP-LUA-CAM-BIEN</t>
        </is>
      </c>
      <c r="C100" t="inlineStr">
        <is>
          <t>Motor van dập lửa + cảm biến</t>
        </is>
      </c>
      <c r="D100" t="inlineStr">
        <is>
          <t>VẬT_LIỆU_TIÊU_ÂM</t>
        </is>
      </c>
      <c r="E100" s="250" t="n">
        <v>4200000</v>
      </c>
    </row>
    <row r="101">
      <c r="A101" t="n">
        <v>100</v>
      </c>
      <c r="B101" t="inlineStr">
        <is>
          <t>MAT-INSUL-MOTOR-VAN-AP-SUAT</t>
        </is>
      </c>
      <c r="C101" t="inlineStr">
        <is>
          <t>Motor van áp suất</t>
        </is>
      </c>
      <c r="D101" t="inlineStr">
        <is>
          <t>VẬT_LIỆU_TIÊU_ÂM</t>
        </is>
      </c>
      <c r="E101" s="250" t="n">
        <v>4200000</v>
      </c>
    </row>
    <row r="102">
      <c r="A102" t="n">
        <v>101</v>
      </c>
      <c r="B102" t="inlineStr">
        <is>
          <t>MAT-ALU-NAN-BD</t>
        </is>
      </c>
      <c r="C102" t="inlineStr">
        <is>
          <t>Nhôm định hình NAN BD</t>
        </is>
      </c>
      <c r="D102" t="inlineStr">
        <is>
          <t>NHÔM_ĐỊNH_HÌNH</t>
        </is>
      </c>
      <c r="E102" s="250" t="n">
        <v>126000</v>
      </c>
    </row>
    <row r="103">
      <c r="A103" t="n">
        <v>102</v>
      </c>
      <c r="B103" t="inlineStr">
        <is>
          <t>MAT-ALU-NAN-T</t>
        </is>
      </c>
      <c r="C103" t="inlineStr">
        <is>
          <t>Nhôm định hình NAN T</t>
        </is>
      </c>
      <c r="D103" t="inlineStr">
        <is>
          <t>NHÔM_ĐỊNH_HÌNH</t>
        </is>
      </c>
      <c r="E103" s="250" t="n">
        <v>126000</v>
      </c>
    </row>
    <row r="104">
      <c r="A104" t="n">
        <v>103</v>
      </c>
      <c r="B104" t="inlineStr">
        <is>
          <t>MAT-ALU-KHUNG-BD</t>
        </is>
      </c>
      <c r="C104" t="inlineStr">
        <is>
          <t>Nhôm định hình KHUNG BD</t>
        </is>
      </c>
      <c r="D104" t="inlineStr">
        <is>
          <t>NHÔM_ĐỊNH_HÌNH</t>
        </is>
      </c>
      <c r="E104" s="250" t="n">
        <v>126000</v>
      </c>
    </row>
    <row r="105">
      <c r="A105" t="n">
        <v>104</v>
      </c>
      <c r="B105" t="inlineStr">
        <is>
          <t>MAT-ALU-KHUNG-BD-Z-MONG</t>
        </is>
      </c>
      <c r="C105" t="inlineStr">
        <is>
          <t>Nhôm định hình KHUNG BD+ Z MỎNG</t>
        </is>
      </c>
      <c r="D105" t="inlineStr">
        <is>
          <t>NHÔM_ĐỊNH_HÌNH</t>
        </is>
      </c>
      <c r="E105" s="250" t="n">
        <v>126000</v>
      </c>
    </row>
    <row r="106">
      <c r="A106" t="n">
        <v>105</v>
      </c>
      <c r="B106" t="inlineStr">
        <is>
          <t>MAT-ALU-NAN-Z-DAY</t>
        </is>
      </c>
      <c r="C106" t="inlineStr">
        <is>
          <t>Nhôm định hình NAN Z DÀY</t>
        </is>
      </c>
      <c r="D106" t="inlineStr">
        <is>
          <t>NHÔM_ĐỊNH_HÌNH</t>
        </is>
      </c>
      <c r="E106" s="250" t="n">
        <v>126000</v>
      </c>
    </row>
    <row r="107">
      <c r="A107" t="n">
        <v>106</v>
      </c>
      <c r="B107" t="inlineStr">
        <is>
          <t>MAT-ALU-NAN-Z-MONG</t>
        </is>
      </c>
      <c r="C107" t="inlineStr">
        <is>
          <t>Nhôm định hình NAN Z MỎNG</t>
        </is>
      </c>
      <c r="D107" t="inlineStr">
        <is>
          <t>NHÔM_ĐỊNH_HÌNH</t>
        </is>
      </c>
      <c r="E107" s="250" t="n">
        <v>126000</v>
      </c>
    </row>
    <row r="108">
      <c r="A108" t="n">
        <v>107</v>
      </c>
      <c r="B108" t="inlineStr">
        <is>
          <t>MAT-ALU-KHUNG-Z-2-LOP</t>
        </is>
      </c>
      <c r="C108" t="inlineStr">
        <is>
          <t>Nhôm định hình KHUNG Z+2 LỚP</t>
        </is>
      </c>
      <c r="D108" t="inlineStr">
        <is>
          <t>NHÔM_ĐỊNH_HÌNH</t>
        </is>
      </c>
      <c r="E108" s="250" t="n">
        <v>126000</v>
      </c>
    </row>
    <row r="109">
      <c r="A109" t="n">
        <v>108</v>
      </c>
      <c r="B109" t="inlineStr">
        <is>
          <t>MAT-ALU-NAN-OBD</t>
        </is>
      </c>
      <c r="C109" t="inlineStr">
        <is>
          <t>Nhôm định hình NAN OBD</t>
        </is>
      </c>
      <c r="D109" t="inlineStr">
        <is>
          <t>NHÔM_ĐỊNH_HÌNH</t>
        </is>
      </c>
      <c r="E109" s="250" t="n">
        <v>133000</v>
      </c>
    </row>
    <row r="110">
      <c r="A110" t="n">
        <v>109</v>
      </c>
      <c r="B110" t="inlineStr">
        <is>
          <t>MAT-ALU-KHUNG-OBD</t>
        </is>
      </c>
      <c r="C110" t="inlineStr">
        <is>
          <t>Nhôm định hình KHUNG OBD</t>
        </is>
      </c>
      <c r="D110" t="inlineStr">
        <is>
          <t>NHÔM_ĐỊNH_HÌNH</t>
        </is>
      </c>
      <c r="E110" s="250" t="n">
        <v>133000</v>
      </c>
    </row>
    <row r="111">
      <c r="A111" t="n">
        <v>110</v>
      </c>
      <c r="B111" t="inlineStr">
        <is>
          <t>MAT-ALU-NAN-BD-EUS02</t>
        </is>
      </c>
      <c r="C111" t="inlineStr">
        <is>
          <t>Nhôm định hình NAN BD EUS 02</t>
        </is>
      </c>
      <c r="D111" t="inlineStr">
        <is>
          <t>NHÔM_ĐỊNH_HÌNH</t>
        </is>
      </c>
      <c r="E111" s="250" t="n">
        <v>120000</v>
      </c>
    </row>
    <row r="112">
      <c r="A112" t="n">
        <v>111</v>
      </c>
      <c r="B112" t="inlineStr">
        <is>
          <t>MAT-ALU-KHUNG-BD-EUS01</t>
        </is>
      </c>
      <c r="C112" t="inlineStr">
        <is>
          <t>Nhôm định hình KHUNG BD EUS 01</t>
        </is>
      </c>
      <c r="D112" t="inlineStr">
        <is>
          <t>NHÔM_ĐỊNH_HÌNH</t>
        </is>
      </c>
      <c r="E112" s="250" t="n">
        <v>120000</v>
      </c>
    </row>
    <row r="113">
      <c r="A113" t="n">
        <v>112</v>
      </c>
      <c r="B113" t="inlineStr">
        <is>
          <t>MAT-ALU-NAN-Z-EUS05</t>
        </is>
      </c>
      <c r="C113" t="inlineStr">
        <is>
          <t>Nhôm định hình NAN Z EUS 05</t>
        </is>
      </c>
      <c r="D113" t="inlineStr">
        <is>
          <t>NHÔM_ĐỊNH_HÌNH</t>
        </is>
      </c>
      <c r="E113" s="250" t="n">
        <v>120000</v>
      </c>
    </row>
    <row r="114">
      <c r="A114" t="n">
        <v>113</v>
      </c>
      <c r="B114" t="inlineStr">
        <is>
          <t>MAT-ALU-KHUNG-Z-EUS03</t>
        </is>
      </c>
      <c r="C114" t="inlineStr">
        <is>
          <t>Nhôm định hình KHUNG Z EUS 03</t>
        </is>
      </c>
      <c r="D114" t="inlineStr">
        <is>
          <t>NHÔM_ĐỊNH_HÌNH</t>
        </is>
      </c>
      <c r="E114" s="250" t="n">
        <v>120000</v>
      </c>
    </row>
    <row r="115">
      <c r="A115" t="n">
        <v>114</v>
      </c>
      <c r="B115" t="inlineStr">
        <is>
          <t>MAT-ALU-NAN-OBD-EUS20</t>
        </is>
      </c>
      <c r="C115" t="inlineStr">
        <is>
          <t>Nhôm định hình NAN OBD EUS 20</t>
        </is>
      </c>
      <c r="D115" t="inlineStr">
        <is>
          <t>NHÔM_ĐỊNH_HÌNH</t>
        </is>
      </c>
      <c r="E115" s="250" t="n">
        <v>130000</v>
      </c>
    </row>
    <row r="116">
      <c r="A116" t="n">
        <v>115</v>
      </c>
      <c r="B116" t="inlineStr">
        <is>
          <t>MAT-ALU-KHUNG-OBD-EUS10</t>
        </is>
      </c>
      <c r="C116" t="inlineStr">
        <is>
          <t>Nhôm định hình KHUNG OBD EUS 10</t>
        </is>
      </c>
      <c r="D116" t="inlineStr">
        <is>
          <t>NHÔM_ĐỊNH_HÌNH</t>
        </is>
      </c>
      <c r="E116" s="250" t="n">
        <v>130000</v>
      </c>
    </row>
    <row r="117">
      <c r="A117" t="n">
        <v>116</v>
      </c>
      <c r="B117" t="inlineStr">
        <is>
          <t>MAT-PAINT-POWDER</t>
        </is>
      </c>
      <c r="C117" t="inlineStr">
        <is>
          <t>Sơn tĩnh điện tiêu chuẩn Polyester</t>
        </is>
      </c>
      <c r="D117" t="inlineStr">
        <is>
          <t>SƠN_TĨNH_ĐIỆN</t>
        </is>
      </c>
      <c r="E117" s="250" t="n">
        <v>75000</v>
      </c>
    </row>
    <row r="118">
      <c r="A118" t="n">
        <v>117</v>
      </c>
      <c r="B118" t="inlineStr">
        <is>
          <t>MAT-DOOR-ACCESSORY</t>
        </is>
      </c>
      <c r="C118" t="inlineStr">
        <is>
          <t>Phụ kiện lắp ghép / Ke góc cửa gió</t>
        </is>
      </c>
      <c r="D118" t="inlineStr">
        <is>
          <t>PHỤ_KIỆN_CỬA</t>
        </is>
      </c>
      <c r="E118" s="250" t="n">
        <v>15000</v>
      </c>
    </row>
    <row r="119">
      <c r="A119" t="n">
        <v>118</v>
      </c>
      <c r="B119" t="inlineStr">
        <is>
          <t>MAT-ACTUATOR-NACA-2-05</t>
        </is>
      </c>
      <c r="C119" t="inlineStr">
        <is>
          <t>Model: NACA 2-05  ( 220VAC, On/Off )</t>
        </is>
      </c>
      <c r="D119" t="inlineStr">
        <is>
          <t>ĐỘNG_CƠ_VÀ_CẢM_BIẾN</t>
        </is>
      </c>
      <c r="E119" s="250" t="n">
        <v>1250000</v>
      </c>
    </row>
    <row r="120">
      <c r="A120" t="n">
        <v>119</v>
      </c>
      <c r="B120" t="inlineStr">
        <is>
          <t>MAT-ACTUATOR-NACA-2-10</t>
        </is>
      </c>
      <c r="C120" t="inlineStr">
        <is>
          <t>Model: NACA 2-10   ( 220VAC, On/Off )</t>
        </is>
      </c>
      <c r="D120" t="inlineStr">
        <is>
          <t>ĐỘNG_CƠ_VÀ_CẢM_BIẾN</t>
        </is>
      </c>
      <c r="E120" s="250" t="n">
        <v>1732500</v>
      </c>
    </row>
    <row r="121">
      <c r="A121" t="n">
        <v>120</v>
      </c>
      <c r="B121" t="inlineStr">
        <is>
          <t>MAT-ACTUATOR-NACA-2-20</t>
        </is>
      </c>
      <c r="C121" t="inlineStr">
        <is>
          <t>Model: NACA 2-20   ( 220VAC, On/Off )</t>
        </is>
      </c>
      <c r="D121" t="inlineStr">
        <is>
          <t>ĐỘNG_CƠ_VÀ_CẢM_BIẾN</t>
        </is>
      </c>
      <c r="E121" s="250" t="n">
        <v>2016000</v>
      </c>
    </row>
    <row r="122">
      <c r="A122" t="n">
        <v>121</v>
      </c>
      <c r="B122" t="inlineStr">
        <is>
          <t>MAT-ACTUATOR-NACA-2-40</t>
        </is>
      </c>
      <c r="C122" t="inlineStr">
        <is>
          <t>Model: NACA 2-40   ( 220VAC, On/Off )</t>
        </is>
      </c>
      <c r="D122" t="inlineStr">
        <is>
          <t>ĐỘNG_CƠ_VÀ_CẢM_BIẾN</t>
        </is>
      </c>
      <c r="E122" s="250" t="n">
        <v>3549000</v>
      </c>
    </row>
    <row r="123">
      <c r="A123" t="n">
        <v>122</v>
      </c>
      <c r="B123" t="inlineStr">
        <is>
          <t>MAT-ACTUATOR-NTC-831</t>
        </is>
      </c>
      <c r="C123" t="inlineStr">
        <is>
          <t>Model: NTC 831</t>
        </is>
      </c>
      <c r="D123" t="inlineStr">
        <is>
          <t>ĐỘNG_CƠ_VÀ_CẢM_BIẾN</t>
        </is>
      </c>
      <c r="E123" s="250" t="n">
        <v>800000</v>
      </c>
    </row>
    <row r="124">
      <c r="A124" t="n">
        <v>123</v>
      </c>
      <c r="B124" t="inlineStr">
        <is>
          <t>MAT-ACTUATOR-NACM-1-2-05</t>
        </is>
      </c>
      <c r="C124" t="inlineStr">
        <is>
          <t>Model: NACM 1.2-05  ( Modulating )</t>
        </is>
      </c>
      <c r="D124" t="inlineStr">
        <is>
          <t>ĐỘNG_CƠ_VÀ_CẢM_BIẾN</t>
        </is>
      </c>
      <c r="E124" s="250" t="n">
        <v>1785000</v>
      </c>
    </row>
    <row r="125">
      <c r="A125" t="n">
        <v>124</v>
      </c>
      <c r="B125" t="inlineStr">
        <is>
          <t>MAT-ACTUATOR-NACM-1-1-10</t>
        </is>
      </c>
      <c r="C125" t="inlineStr">
        <is>
          <t>Model: NACM 1.1-10  ( Modulating )</t>
        </is>
      </c>
      <c r="D125" t="inlineStr">
        <is>
          <t>ĐỘNG_CƠ_VÀ_CẢM_BIẾN</t>
        </is>
      </c>
      <c r="E125" s="250" t="n">
        <v>2226000</v>
      </c>
    </row>
    <row r="126">
      <c r="A126" t="n">
        <v>125</v>
      </c>
      <c r="B126" t="inlineStr">
        <is>
          <t>MAT-ACTUATOR-NACM-1-1-20</t>
        </is>
      </c>
      <c r="C126" t="inlineStr">
        <is>
          <t>Model: NACM 1.1-20  ( Modulating )</t>
        </is>
      </c>
      <c r="D126" t="inlineStr">
        <is>
          <t>ĐỘNG_CƠ_VÀ_CẢM_BIẾN</t>
        </is>
      </c>
      <c r="E126" s="250" t="n">
        <v>3087000</v>
      </c>
    </row>
    <row r="127">
      <c r="A127" t="n">
        <v>126</v>
      </c>
      <c r="B127" t="inlineStr">
        <is>
          <t>MAT-ACTUATOR-NACM-1-1-40</t>
        </is>
      </c>
      <c r="C127" t="inlineStr">
        <is>
          <t>Model: NACM 1.1-40  ( Modulating )</t>
        </is>
      </c>
      <c r="D127" t="inlineStr">
        <is>
          <t>ĐỘNG_CƠ_VÀ_CẢM_BIẾN</t>
        </is>
      </c>
      <c r="E127" s="250" t="n">
        <v>4515000</v>
      </c>
    </row>
    <row r="128">
      <c r="A128" t="n">
        <v>127</v>
      </c>
      <c r="B128" t="inlineStr">
        <is>
          <t>MAT-ACTUATOR-MODEL-NPG-1-DIEU-KHI</t>
        </is>
      </c>
      <c r="C128" t="inlineStr">
        <is>
          <t>Model: NPG-1 ( Điều khiển cửa gió theo % đóng mở )</t>
        </is>
      </c>
      <c r="D128" t="inlineStr">
        <is>
          <t>ĐỘNG_CƠ_VÀ_CẢM_BIẾN</t>
        </is>
      </c>
      <c r="E128" s="250" t="n">
        <v>1260000</v>
      </c>
    </row>
    <row r="129">
      <c r="A129" t="n">
        <v>128</v>
      </c>
      <c r="B129" t="inlineStr">
        <is>
          <t>MAT-ACTUATOR-MODEL-NTC-843-DIEU-K</t>
        </is>
      </c>
      <c r="C129" t="inlineStr">
        <is>
          <t>Model: NTC-843 ( Điều khiển cửa gió theo nhiệt độ phòng )</t>
        </is>
      </c>
      <c r="D129" t="inlineStr">
        <is>
          <t>ĐỘNG_CƠ_VÀ_CẢM_BIẾN</t>
        </is>
      </c>
      <c r="E129" s="250" t="n">
        <v>1512000</v>
      </c>
    </row>
    <row r="130">
      <c r="A130" t="n">
        <v>129</v>
      </c>
      <c r="B130" t="inlineStr">
        <is>
          <t>MAT-ACTUATOR-SAFA-1-05S</t>
        </is>
      </c>
      <c r="C130" t="inlineStr">
        <is>
          <t>SAFA - 1 - 05S ( 24VAC/DC ) - Không có cảm biến</t>
        </is>
      </c>
      <c r="D130" t="inlineStr">
        <is>
          <t>ĐỘNG_CƠ_VÀ_CẢM_BIẾN</t>
        </is>
      </c>
      <c r="E130" s="250" t="n">
        <v>3108000</v>
      </c>
    </row>
    <row r="131">
      <c r="A131" t="n">
        <v>130</v>
      </c>
      <c r="B131" t="inlineStr">
        <is>
          <t>MAT-ACTUATOR-SAFA-1-08S</t>
        </is>
      </c>
      <c r="C131" t="inlineStr">
        <is>
          <t>SAFA - 1 - 08S ( 24VAC/DC )  - Không có cảm biến</t>
        </is>
      </c>
      <c r="D131" t="inlineStr">
        <is>
          <t>ĐỘNG_CƠ_VÀ_CẢM_BIẾN</t>
        </is>
      </c>
      <c r="E131" s="250" t="n">
        <v>3507000</v>
      </c>
    </row>
    <row r="132">
      <c r="A132" t="n">
        <v>131</v>
      </c>
      <c r="B132" t="inlineStr">
        <is>
          <t>MAT-ACTUATOR-SAFA-2-05S</t>
        </is>
      </c>
      <c r="C132" t="inlineStr">
        <is>
          <t>SAFA - 2 - 05S ( 220VAC  )  - Không có cảm biến</t>
        </is>
      </c>
      <c r="D132" t="inlineStr">
        <is>
          <t>ĐỘNG_CƠ_VÀ_CẢM_BIẾN</t>
        </is>
      </c>
      <c r="E132" s="250" t="n">
        <v>3255000</v>
      </c>
    </row>
    <row r="133">
      <c r="A133" t="n">
        <v>132</v>
      </c>
      <c r="B133" t="inlineStr">
        <is>
          <t>MAT-ACTUATOR-SAFA-2-08S</t>
        </is>
      </c>
      <c r="C133" t="inlineStr">
        <is>
          <t>SAFA - 2 - 08S ( 220VAC  )  - Không có cảm biến</t>
        </is>
      </c>
      <c r="D133" t="inlineStr">
        <is>
          <t>ĐỘNG_CƠ_VÀ_CẢM_BIẾN</t>
        </is>
      </c>
      <c r="E133" s="250" t="n">
        <v>3696000</v>
      </c>
    </row>
    <row r="134">
      <c r="A134" t="n">
        <v>133</v>
      </c>
      <c r="B134" t="inlineStr">
        <is>
          <t>MAT-ACTUATOR-CAM-BIEN-NHIET-BANG-</t>
        </is>
      </c>
      <c r="C134" t="inlineStr">
        <is>
          <t>Cảm biến nhiệt bằng điện gắn với Motor dùng cho fire damper</t>
        </is>
      </c>
      <c r="D134" t="inlineStr">
        <is>
          <t>ĐỘNG_CƠ_VÀ_CẢM_BIẾN</t>
        </is>
      </c>
      <c r="E134" s="250" t="n">
        <v>300000</v>
      </c>
    </row>
    <row r="135">
      <c r="A135" t="n">
        <v>134</v>
      </c>
      <c r="B135" t="inlineStr">
        <is>
          <t>MAT-ACTUATOR-MODEL-B</t>
        </is>
      </c>
      <c r="C135" t="inlineStr">
        <is>
          <t>Model: B (165ºF) ( Loại nhỏ )</t>
        </is>
      </c>
      <c r="D135" t="inlineStr">
        <is>
          <t>ĐỘNG_CƠ_VÀ_CẢM_BIẾN</t>
        </is>
      </c>
      <c r="E135" s="250" t="n">
        <v>70000</v>
      </c>
    </row>
    <row r="136">
      <c r="A136" t="n">
        <v>135</v>
      </c>
      <c r="B136" t="inlineStr">
        <is>
          <t>MAT-ACTUATOR-MODEL-A</t>
        </is>
      </c>
      <c r="C136" t="inlineStr">
        <is>
          <t>Model: A (165ºF) ( Loại lớn )</t>
        </is>
      </c>
      <c r="D136" t="inlineStr">
        <is>
          <t>ĐỘNG_CƠ_VÀ_CẢM_BIẾN</t>
        </is>
      </c>
      <c r="E136" s="250" t="n">
        <v>80000</v>
      </c>
    </row>
    <row r="137">
      <c r="A137" t="n">
        <v>136</v>
      </c>
      <c r="B137" t="inlineStr">
        <is>
          <t>MAT-INSUL-BONG-THUY-TINH-KHONG-MAT-12</t>
        </is>
      </c>
      <c r="C137" t="inlineStr">
        <is>
          <t>Bông thuỷ tinh không mặt bạc T12 D50 - Chiều dày 50mm, khổ rộng 1,2m dài 30m. Tổng 36m2/cuộn. Tỷ trọng 12kg/m3</t>
        </is>
      </c>
      <c r="D137" t="inlineStr">
        <is>
          <t>VẬT_LIỆU_TIÊU_ÂM</t>
        </is>
      </c>
      <c r="E137" s="250" t="n">
        <v>13000</v>
      </c>
    </row>
    <row r="138">
      <c r="A138" t="n">
        <v>137</v>
      </c>
      <c r="B138" t="inlineStr">
        <is>
          <t>MAT-INSUL-BONG-THUY-TINH-CO-BAC-T12-13</t>
        </is>
      </c>
      <c r="C138" t="inlineStr">
        <is>
          <t>Bông thuỷ tinh có bạc T12 D50 - Chiều dày 50mm, khổ rộng 1,2m dài 30m. Tổng 36m2/cuộn. Tỷ trọng 12kg/m3</t>
        </is>
      </c>
      <c r="D138" t="inlineStr">
        <is>
          <t>VẬT_LIỆU_TIÊU_ÂM</t>
        </is>
      </c>
      <c r="E138" s="250" t="n">
        <v>18500</v>
      </c>
    </row>
    <row r="139">
      <c r="A139" t="n">
        <v>138</v>
      </c>
      <c r="B139" t="inlineStr">
        <is>
          <t>MAT-INSUL-BONG-THUY-TINH-KHONG-MAT-14</t>
        </is>
      </c>
      <c r="C139" t="inlineStr">
        <is>
          <t>Bông thuỷ tinh không mặt bạc T24 D50 - Chiều dày 50mm, khổ rộng 1,2m dài 20m. Tổng 24m2/cuộn. Tỷ trọng 24kg/m3</t>
        </is>
      </c>
      <c r="D139" t="inlineStr">
        <is>
          <t>VẬT_LIỆU_TIÊU_ÂM</t>
        </is>
      </c>
      <c r="E139" s="250" t="n">
        <v>24000</v>
      </c>
    </row>
    <row r="140">
      <c r="A140" t="n">
        <v>139</v>
      </c>
      <c r="B140" t="inlineStr">
        <is>
          <t>MAT-INSUL-BONG-THUY-TINH-CO-BAC-T24-15</t>
        </is>
      </c>
      <c r="C140" t="inlineStr">
        <is>
          <t>Bông thuỷ tinh có bạc T24 D50 - Chiều dày 50mm, khổ rộng 1,2m dài 20m. Tổng 24m2/cuộn. Tỷ trọng 24kg/m3</t>
        </is>
      </c>
      <c r="D140" t="inlineStr">
        <is>
          <t>VẬT_LIỆU_TIÊU_ÂM</t>
        </is>
      </c>
      <c r="E140" s="250" t="n">
        <v>28000</v>
      </c>
    </row>
    <row r="141">
      <c r="A141" t="n">
        <v>140</v>
      </c>
      <c r="B141" t="inlineStr">
        <is>
          <t>MAT-INSUL-BONG-THUY-TINH-KHONG-MAT-16</t>
        </is>
      </c>
      <c r="C141" t="inlineStr">
        <is>
          <t>Bông thuỷ tinh không mặt bạc T32 D50 - Chiều dày 50mm, khổ rộng 1,2m dài 15m. Tổng 18m2/cuộn. Tỷ trọng 32kg/m3</t>
        </is>
      </c>
      <c r="D141" t="inlineStr">
        <is>
          <t>VẬT_LIỆU_TIÊU_ÂM</t>
        </is>
      </c>
      <c r="E141" s="250" t="n">
        <v>32000</v>
      </c>
    </row>
    <row r="142">
      <c r="A142" t="n">
        <v>141</v>
      </c>
      <c r="B142" t="inlineStr">
        <is>
          <t>MAT-INSUL-BONG-THUY-TINH-CO-MAT-BAC-17</t>
        </is>
      </c>
      <c r="C142" t="inlineStr">
        <is>
          <t>Bông thuỷ tinh có mặt bạc T32 D50 - Chiều dày 50mm, khổ rộng 1,2m dài 15m. Tổng 18m2/cuộn. Tỷ trọng 32kg/m3</t>
        </is>
      </c>
      <c r="D142" t="inlineStr">
        <is>
          <t>VẬT_LIỆU_TIÊU_ÂM</t>
        </is>
      </c>
      <c r="E142" s="250" t="n">
        <v>37000</v>
      </c>
    </row>
    <row r="143">
      <c r="A143" t="n">
        <v>142</v>
      </c>
      <c r="B143" t="inlineStr">
        <is>
          <t>MAT-INSUL-BONG-KHOANG-TAM-T40-19</t>
        </is>
      </c>
      <c r="C143" t="inlineStr">
        <is>
          <t>Bông khoáng tấm T40 - Kích thước tấm: 50 x 600 x 1200mm - 1 Kiện gồm 06 tấm, tỷ trọng 40kg/m3</t>
        </is>
      </c>
      <c r="D143" t="inlineStr">
        <is>
          <t>VẬT_LIỆU_TIÊU_ÂM</t>
        </is>
      </c>
      <c r="E143" s="250" t="n">
        <v>215000</v>
      </c>
    </row>
    <row r="144">
      <c r="A144" t="n">
        <v>143</v>
      </c>
      <c r="B144" t="inlineStr">
        <is>
          <t>MAT-INSUL-BONG-KHOANG-TAM-T50-20</t>
        </is>
      </c>
      <c r="C144" t="inlineStr">
        <is>
          <t>Bông khoáng tấm T50 - Kích thước tấm: 50 x 600 x 1200mm - 1 Kiện gồm 06 tấm, tỷ trọng 50kg/m3</t>
        </is>
      </c>
      <c r="D144" t="inlineStr">
        <is>
          <t>VẬT_LIỆU_TIÊU_ÂM</t>
        </is>
      </c>
      <c r="E144" s="250" t="n">
        <v>240000</v>
      </c>
    </row>
    <row r="145">
      <c r="A145" t="n">
        <v>144</v>
      </c>
      <c r="B145" t="inlineStr">
        <is>
          <t>MAT-INSUL-BONG-KHOANG-T60-D50-21</t>
        </is>
      </c>
      <c r="C145" t="inlineStr">
        <is>
          <t>Bông khoáng T60 D50 - Kích thước tấm: 50 x 600 x 1200mm - 1 Kiện gồm 06 tấm, tỷ trọng 60kg/m3</t>
        </is>
      </c>
      <c r="D145" t="inlineStr">
        <is>
          <t>VẬT_LIỆU_TIÊU_ÂM</t>
        </is>
      </c>
      <c r="E145" s="250" t="n">
        <v>260000</v>
      </c>
    </row>
    <row r="146">
      <c r="A146" t="n">
        <v>145</v>
      </c>
      <c r="B146" t="inlineStr">
        <is>
          <t>MAT-INSUL-BONG-KHOANG-T80-D50-22</t>
        </is>
      </c>
      <c r="C146" t="inlineStr">
        <is>
          <t>Bông khoáng T80 D50 - Kích thước tấm: 50 x 600 x 1200mm - 1 Kiện gồm 06 tấm, tỷ trọng 80kg/m3</t>
        </is>
      </c>
      <c r="D146" t="inlineStr">
        <is>
          <t>VẬT_LIỆU_TIÊU_ÂM</t>
        </is>
      </c>
      <c r="E146" s="250" t="n">
        <v>340000</v>
      </c>
    </row>
    <row r="147">
      <c r="A147" t="n">
        <v>146</v>
      </c>
      <c r="B147" t="inlineStr">
        <is>
          <t>MAT-INSUL-BONG-KHOANG-T100-D50-23</t>
        </is>
      </c>
      <c r="C147" t="inlineStr">
        <is>
          <t>Bông khoáng T100 D50 - Kích thước tấm: 100 x 600 x 1200mm - 1 Kiện gồm 03 tấm, tỷ trọng 100kg/m3</t>
        </is>
      </c>
      <c r="D147" t="inlineStr">
        <is>
          <t>VẬT_LIỆU_TIÊU_ÂM</t>
        </is>
      </c>
      <c r="E147" s="250" t="n">
        <v>378000</v>
      </c>
    </row>
    <row r="148">
      <c r="A148" t="n">
        <v>147</v>
      </c>
      <c r="B148" t="inlineStr">
        <is>
          <t>MAT-INSUL-BONG-GOM-BAO-610-X7200-X-25</t>
        </is>
      </c>
      <c r="C148" t="inlineStr">
        <is>
          <t>Bông gốm bao 610 x7200 x 25mm - Bông gốm dạng bao dài 7,2m, rộng 0,61 dày 25mm , chịu nhiệt 1000 độ</t>
        </is>
      </c>
      <c r="D148" t="inlineStr">
        <is>
          <t>VẬT_LIỆU_TIÊU_ÂM</t>
        </is>
      </c>
      <c r="E148" s="250" t="n">
        <v>280000</v>
      </c>
    </row>
    <row r="149">
      <c r="A149" t="n">
        <v>148</v>
      </c>
      <c r="B149" t="inlineStr">
        <is>
          <t>MAT-INSUL-BONG-GOM-HOP-610-X7200-X-26</t>
        </is>
      </c>
      <c r="C149" t="inlineStr">
        <is>
          <t>Bông gốm hộp  610 x7200 x 25mm T96 - Bông gốm dạng bao dài 7,2m, rộng 0,61 dày 25mm , chịu nhiệt 1260 độ . 6P</t>
        </is>
      </c>
      <c r="D149" t="inlineStr">
        <is>
          <t>VẬT_LIỆU_TIÊU_ÂM</t>
        </is>
      </c>
      <c r="E149" s="250" t="n">
        <v>360000</v>
      </c>
    </row>
    <row r="150">
      <c r="A150" t="n">
        <v>149</v>
      </c>
      <c r="B150" t="inlineStr">
        <is>
          <t>MAT-INSUL-BONG-GOM-HOP-610-X7200-X-27</t>
        </is>
      </c>
      <c r="C150" t="inlineStr">
        <is>
          <t>Bông gốm hộp  610 x7200 x 25mm T128 - Bông gốm dạng bao dài 7,2m, rộng 0,61 dày 25mm , chịu nhiệt 1260 độ . 8P</t>
        </is>
      </c>
      <c r="D150" t="inlineStr">
        <is>
          <t>VẬT_LIỆU_TIÊU_ÂM</t>
        </is>
      </c>
      <c r="E150" s="250" t="n">
        <v>465000</v>
      </c>
    </row>
    <row r="151">
      <c r="A151" t="n">
        <v>150</v>
      </c>
      <c r="B151" t="inlineStr">
        <is>
          <t>MAT-INSUL-BONG-GOM-HOP-610-X7200-X-28</t>
        </is>
      </c>
      <c r="C151" t="inlineStr">
        <is>
          <t>Bông gốm hộp  610 x7200 x 25mm T128 - Bông gốm dạng bao dài 7,2m, rộng 0,61 dày 25mm , chịu nhiệt 1430 độ</t>
        </is>
      </c>
      <c r="D151" t="inlineStr">
        <is>
          <t>VẬT_LIỆU_TIÊU_ÂM</t>
        </is>
      </c>
      <c r="E151" s="250" t="n">
        <v>970000</v>
      </c>
    </row>
    <row r="152">
      <c r="A152" t="n">
        <v>151</v>
      </c>
      <c r="B152" t="inlineStr">
        <is>
          <t>MAT-INSUL-BONG-GOM-DANG-TAM-600-X-9-29</t>
        </is>
      </c>
      <c r="C152" t="inlineStr">
        <is>
          <t>Bông gốm dạng tấm 600 x 900 T340 - Hộp D25 = 4 tấm  - Hộp D50 = 2 tấm</t>
        </is>
      </c>
      <c r="D152" t="inlineStr">
        <is>
          <t>VẬT_LIỆU_TIÊU_ÂM</t>
        </is>
      </c>
      <c r="E152" s="250" t="n">
        <v>720000</v>
      </c>
    </row>
    <row r="153">
      <c r="A153" t="n">
        <v>152</v>
      </c>
      <c r="B153" t="inlineStr">
        <is>
          <t>MAT-INSUL-BONG-GOM-DANG-ROI-30</t>
        </is>
      </c>
      <c r="C153" t="inlineStr">
        <is>
          <t>Bông gốm dạng rời</t>
        </is>
      </c>
      <c r="D153" t="inlineStr">
        <is>
          <t>VẬT_LIỆU_TIÊU_ÂM</t>
        </is>
      </c>
      <c r="E153" s="250" t="n">
        <v>370000</v>
      </c>
    </row>
    <row r="154">
      <c r="A154" t="n">
        <v>153</v>
      </c>
      <c r="B154" t="inlineStr">
        <is>
          <t>MAT-INSUL-MUT-TRUNG-3CM-KICH-THUOC-32</t>
        </is>
      </c>
      <c r="C154" t="inlineStr">
        <is>
          <t>Mút trứng 3cm , kích thước tấm 1,6 x 2m</t>
        </is>
      </c>
      <c r="D154" t="inlineStr">
        <is>
          <t>VẬT_LIỆU_TIÊU_ÂM</t>
        </is>
      </c>
      <c r="E154" s="250" t="n">
        <v>260000</v>
      </c>
    </row>
    <row r="155">
      <c r="A155" t="n">
        <v>154</v>
      </c>
      <c r="B155" t="inlineStr">
        <is>
          <t>MAT-INSUL-MUT-TRUNG-5CM-KICH-THUOC-33</t>
        </is>
      </c>
      <c r="C155" t="inlineStr">
        <is>
          <t>Mút trứng 5cm , kích thước tấm 1,6 x 2m</t>
        </is>
      </c>
      <c r="D155" t="inlineStr">
        <is>
          <t>VẬT_LIỆU_TIÊU_ÂM</t>
        </is>
      </c>
      <c r="E155" s="250" t="n">
        <v>360000</v>
      </c>
    </row>
    <row r="156">
      <c r="A156" t="n">
        <v>155</v>
      </c>
      <c r="B156" t="inlineStr">
        <is>
          <t>MAT-INSUL-MUT-GAI-5CM-KICH-THUOC-TA-34</t>
        </is>
      </c>
      <c r="C156" t="inlineStr">
        <is>
          <t>Mút gai 5cm , kích thước tấm 1 x 1m</t>
        </is>
      </c>
      <c r="D156" t="inlineStr">
        <is>
          <t>VẬT_LIỆU_TIÊU_ÂM</t>
        </is>
      </c>
      <c r="E156" s="250" t="n">
        <v>330000</v>
      </c>
    </row>
    <row r="157">
      <c r="A157" t="n">
        <v>156</v>
      </c>
      <c r="B157" t="inlineStr">
        <is>
          <t>MAT-INSUL-XOP-XPS-DAY-25MM-KICH-THU-35</t>
        </is>
      </c>
      <c r="C157" t="inlineStr">
        <is>
          <t>Xốp XPS . Dày 25mm kích thước tấm 600 x 1800</t>
        </is>
      </c>
      <c r="D157" t="inlineStr">
        <is>
          <t>VẬT_LIỆU_TIÊU_ÂM</t>
        </is>
      </c>
      <c r="E157" s="250" t="n">
        <v>72000</v>
      </c>
    </row>
    <row r="158">
      <c r="A158" t="n">
        <v>157</v>
      </c>
      <c r="B158" t="inlineStr">
        <is>
          <t>MAT-INSUL-VAI-THUY-TINH-36</t>
        </is>
      </c>
      <c r="C158" t="inlineStr">
        <is>
          <t>Vải thủy tinh</t>
        </is>
      </c>
      <c r="D158" t="inlineStr">
        <is>
          <t>VẬT_LIỆU_TIÊU_ÂM</t>
        </is>
      </c>
      <c r="E158" s="250" t="n">
        <v>85000</v>
      </c>
    </row>
    <row r="159">
      <c r="A159" t="n">
        <v>158</v>
      </c>
      <c r="B159" t="inlineStr">
        <is>
          <t>MAT-INSUL-TON-LO-D6-38</t>
        </is>
      </c>
      <c r="C159" t="inlineStr">
        <is>
          <t>Tôn lỗ D6</t>
        </is>
      </c>
      <c r="D159" t="inlineStr">
        <is>
          <t>VẬT_LIỆU_TIÊU_ÂM</t>
        </is>
      </c>
      <c r="E159" s="250" t="n">
        <v>130000</v>
      </c>
    </row>
    <row r="160">
      <c r="A160" t="n">
        <v>159</v>
      </c>
      <c r="B160" t="inlineStr">
        <is>
          <t>MAT-INSUL-TON-LO-D10-40</t>
        </is>
      </c>
      <c r="C160" t="inlineStr">
        <is>
          <t>Tôn lỗ D10</t>
        </is>
      </c>
      <c r="D160" t="inlineStr">
        <is>
          <t>VẬT_LIỆU_TIÊU_ÂM</t>
        </is>
      </c>
      <c r="E160" s="250" t="n">
        <v>130000</v>
      </c>
    </row>
    <row r="161">
      <c r="A161" t="n">
        <v>160</v>
      </c>
      <c r="B161" t="inlineStr">
        <is>
          <t>CANVAS_FIRE_RESISTANT</t>
        </is>
      </c>
      <c r="C161" t="inlineStr">
        <is>
          <t>Cuộn vải bạt bọc cách nhiệt/chống cháy</t>
        </is>
      </c>
      <c r="D161" t="inlineStr">
        <is>
          <t>VẬT_TƯ_BẠT</t>
        </is>
      </c>
      <c r="E161" s="250" t="n">
        <v>57600</v>
      </c>
    </row>
    <row r="162">
      <c r="A162" t="n">
        <v>161</v>
      </c>
      <c r="B162" t="inlineStr">
        <is>
          <t>ROCKWOOL_50MM_50KG</t>
        </is>
      </c>
      <c r="C162" t="inlineStr">
        <is>
          <t>Bông Rockwool tỷ trọng 50kg/m3 dày 50mm</t>
        </is>
      </c>
      <c r="D162" t="inlineStr">
        <is>
          <t>VẬT_LIỆU_TIÊU_ÂM</t>
        </is>
      </c>
      <c r="E162" s="250" t="n">
        <v>65000</v>
      </c>
    </row>
    <row r="163">
      <c r="A163" t="n">
        <v>162</v>
      </c>
      <c r="B163" t="inlineStr">
        <is>
          <t>GLASS_CLOTH</t>
        </is>
      </c>
      <c r="C163" t="inlineStr">
        <is>
          <t>Vải thủy tinh bọc tiêu âm</t>
        </is>
      </c>
      <c r="D163" t="inlineStr">
        <is>
          <t>VẬT_LIỆU_TIÊU_ÂM</t>
        </is>
      </c>
      <c r="E163" s="250" t="n">
        <v>15000</v>
      </c>
    </row>
    <row r="164">
      <c r="A164" t="n">
        <v>163</v>
      </c>
      <c r="B164" t="inlineStr">
        <is>
          <t>PERFORATED_SHEET</t>
        </is>
      </c>
      <c r="C164" t="inlineStr">
        <is>
          <t>Tôn đục lỗ tiêu âm</t>
        </is>
      </c>
      <c r="D164" t="inlineStr">
        <is>
          <t>VẬT_LIỆU_TIÊU_ÂM</t>
        </is>
      </c>
      <c r="E164" s="250" t="n">
        <v>55000</v>
      </c>
    </row>
    <row r="165">
      <c r="A165" t="n">
        <v>164</v>
      </c>
      <c r="B165" t="inlineStr">
        <is>
          <t>SUPERLON_19MM</t>
        </is>
      </c>
      <c r="C165" t="inlineStr">
        <is>
          <t>Bảo ôn Superlon dạng tấm dày 19mm</t>
        </is>
      </c>
      <c r="D165" t="inlineStr">
        <is>
          <t>VẬT_LIỆU_BẢO_ÔN</t>
        </is>
      </c>
      <c r="E165" s="250" t="n">
        <v>220000</v>
      </c>
    </row>
    <row r="166">
      <c r="A166" t="n">
        <v>165</v>
      </c>
      <c r="B166" t="inlineStr">
        <is>
          <t>FLEX_DUCT_D100_NON_INSUL</t>
        </is>
      </c>
      <c r="C166" t="inlineStr">
        <is>
          <t>ống mềm D100 không bảo ôn</t>
        </is>
      </c>
      <c r="D166" t="inlineStr">
        <is>
          <t>ỐNG_GIÓ_MỀM</t>
        </is>
      </c>
      <c r="E166" s="250" t="n">
        <v>55000</v>
      </c>
    </row>
    <row r="167">
      <c r="A167" t="n">
        <v>166</v>
      </c>
      <c r="B167" t="inlineStr">
        <is>
          <t>FLEX_DUCT_D150_NON_INSUL</t>
        </is>
      </c>
      <c r="C167" t="inlineStr">
        <is>
          <t>ống mềm D150 không bảo ôn</t>
        </is>
      </c>
      <c r="D167" t="inlineStr">
        <is>
          <t>ỐNG_GIÓ_MỀM</t>
        </is>
      </c>
      <c r="E167" s="250" t="n">
        <v>70000</v>
      </c>
    </row>
    <row r="168">
      <c r="A168" t="n">
        <v>167</v>
      </c>
      <c r="B168" t="inlineStr">
        <is>
          <t>FLEX_DUCT_D200_NON_INSUL</t>
        </is>
      </c>
      <c r="C168" t="inlineStr">
        <is>
          <t>ống mềm D200 không bảo ôn</t>
        </is>
      </c>
      <c r="D168" t="inlineStr">
        <is>
          <t>ỐNG_GIÓ_MỀM</t>
        </is>
      </c>
      <c r="E168" s="250" t="n">
        <v>99500</v>
      </c>
    </row>
    <row r="169">
      <c r="A169" t="n">
        <v>168</v>
      </c>
      <c r="B169" t="inlineStr">
        <is>
          <t>FLEX_DUCT_D250_NON_INSUL</t>
        </is>
      </c>
      <c r="C169" t="inlineStr">
        <is>
          <t>ống mềm D250 không bảo ôn</t>
        </is>
      </c>
      <c r="D169" t="inlineStr">
        <is>
          <t>ỐNG_GIÓ_MỀM</t>
        </is>
      </c>
      <c r="E169" s="250" t="n">
        <v>115000</v>
      </c>
    </row>
    <row r="170">
      <c r="A170" t="n">
        <v>169</v>
      </c>
      <c r="B170" t="inlineStr">
        <is>
          <t>FLEX_DUCT_D300_NON_INSUL</t>
        </is>
      </c>
      <c r="C170" t="inlineStr">
        <is>
          <t>ống mềm D300 không bảo ôn</t>
        </is>
      </c>
      <c r="D170" t="inlineStr">
        <is>
          <t>ỐNG_GIÓ_MỀM</t>
        </is>
      </c>
      <c r="E170" s="250" t="n">
        <v>135000</v>
      </c>
    </row>
    <row r="171">
      <c r="A171" t="n">
        <v>170</v>
      </c>
      <c r="B171" t="inlineStr">
        <is>
          <t>FLEX_DUCT_D350_NON_INSUL</t>
        </is>
      </c>
      <c r="C171" t="inlineStr">
        <is>
          <t>ống mềm D350 không bảo ôn</t>
        </is>
      </c>
      <c r="D171" t="inlineStr">
        <is>
          <t>ỐNG_GIÓ_MỀM</t>
        </is>
      </c>
      <c r="E171" s="250" t="n">
        <v>195000</v>
      </c>
    </row>
    <row r="172">
      <c r="A172" t="n">
        <v>171</v>
      </c>
      <c r="B172" t="inlineStr">
        <is>
          <t>FLEX_DUCT_D100_INSUL</t>
        </is>
      </c>
      <c r="C172" t="inlineStr">
        <is>
          <t>ống mềm D100 có bảo ôn</t>
        </is>
      </c>
      <c r="D172" t="inlineStr">
        <is>
          <t>ỐNG_GIÓ_MỀM</t>
        </is>
      </c>
      <c r="E172" s="250" t="n">
        <v>130000</v>
      </c>
    </row>
    <row r="173">
      <c r="A173" t="n">
        <v>172</v>
      </c>
      <c r="B173" t="inlineStr">
        <is>
          <t>FLEX_DUCT_D150_INSUL</t>
        </is>
      </c>
      <c r="C173" t="inlineStr">
        <is>
          <t>ống mềm D150 có bảo ôn</t>
        </is>
      </c>
      <c r="D173" t="inlineStr">
        <is>
          <t>ỐNG_GIÓ_MỀM</t>
        </is>
      </c>
      <c r="E173" s="250" t="n">
        <v>165000</v>
      </c>
    </row>
    <row r="174">
      <c r="A174" t="n">
        <v>173</v>
      </c>
      <c r="B174" t="inlineStr">
        <is>
          <t>FLEX_DUCT_D200_INSUL</t>
        </is>
      </c>
      <c r="C174" t="inlineStr">
        <is>
          <t>ống mềm D200 có bảo ôn</t>
        </is>
      </c>
      <c r="D174" t="inlineStr">
        <is>
          <t>ỐNG_GIÓ_MỀM</t>
        </is>
      </c>
      <c r="E174" s="250" t="n">
        <v>190000</v>
      </c>
    </row>
    <row r="175">
      <c r="A175" t="n">
        <v>174</v>
      </c>
      <c r="B175" t="inlineStr">
        <is>
          <t>FLEX_DUCT_D250_INSUL</t>
        </is>
      </c>
      <c r="C175" t="inlineStr">
        <is>
          <t>ống mềm D250 có bảo ôn</t>
        </is>
      </c>
      <c r="D175" t="inlineStr">
        <is>
          <t>ỐNG_GIÓ_MỀM</t>
        </is>
      </c>
      <c r="E175" s="250" t="n">
        <v>245000</v>
      </c>
    </row>
    <row r="176">
      <c r="A176" t="n">
        <v>175</v>
      </c>
      <c r="B176" t="inlineStr">
        <is>
          <t>FLEX_DUCT_D300_INSUL</t>
        </is>
      </c>
      <c r="C176" t="inlineStr">
        <is>
          <t>ống mềm D300 có bảo ôn</t>
        </is>
      </c>
      <c r="D176" t="inlineStr">
        <is>
          <t>ỐNG_GIÓ_MỀM</t>
        </is>
      </c>
      <c r="E176" s="250" t="n">
        <v>245000</v>
      </c>
    </row>
    <row r="177">
      <c r="A177" t="n">
        <v>176</v>
      </c>
      <c r="B177" t="inlineStr">
        <is>
          <t>FLEX_DUCT_D350_INSUL</t>
        </is>
      </c>
      <c r="C177" t="inlineStr">
        <is>
          <t>ống mềm D350 có bảo ôn</t>
        </is>
      </c>
      <c r="D177" t="inlineStr">
        <is>
          <t>ỐNG_GIÓ_MỀM</t>
        </is>
      </c>
      <c r="E177" s="250" t="n">
        <v>280000</v>
      </c>
    </row>
    <row r="178">
      <c r="A178" t="n">
        <v>177</v>
      </c>
      <c r="B178" t="inlineStr">
        <is>
          <t>FLEX_DUCT_D400_NON_INSUL</t>
        </is>
      </c>
      <c r="C178" t="inlineStr">
        <is>
          <t>ống mềm D400 không bảo ôn</t>
        </is>
      </c>
      <c r="D178" t="inlineStr">
        <is>
          <t>ỐNG_GIÓ_MỀM</t>
        </is>
      </c>
      <c r="E178" s="250" t="n">
        <v>225000</v>
      </c>
    </row>
    <row r="179">
      <c r="A179" t="n">
        <v>178</v>
      </c>
      <c r="B179" t="inlineStr">
        <is>
          <t>FLEX_DUCT_D400_INSUL</t>
        </is>
      </c>
      <c r="C179" t="inlineStr">
        <is>
          <t>ống mềm D400 có bảo ôn</t>
        </is>
      </c>
      <c r="D179" t="inlineStr">
        <is>
          <t>ỐNG_GIÓ_MỀM</t>
        </is>
      </c>
      <c r="E179" s="250" t="n">
        <v>320000</v>
      </c>
    </row>
    <row r="180">
      <c r="A180" t="n">
        <v>179</v>
      </c>
      <c r="B180" t="inlineStr">
        <is>
          <t>MAT-FIREBOARD-10MM-BODY</t>
        </is>
      </c>
      <c r="C180" t="inlineStr">
        <is>
          <t>Tấm chống cháy dày 10mm bọc thân van FD/MFD</t>
        </is>
      </c>
      <c r="D180" t="inlineStr">
        <is>
          <t>VẬT_LIỆU_CÁCH_NHIỆT</t>
        </is>
      </c>
      <c r="E180" s="250" t="n">
        <v>518500</v>
      </c>
    </row>
    <row r="181">
      <c r="A181" t="n">
        <v>180</v>
      </c>
      <c r="B181" t="inlineStr">
        <is>
          <t>MAT-FIREBOARD-20MM-BLADE</t>
        </is>
      </c>
      <c r="C181" t="inlineStr">
        <is>
          <t>Tấm chống cháy dày 20mm làm lõi cánh van FD/MFD</t>
        </is>
      </c>
      <c r="D181" t="inlineStr">
        <is>
          <t>VẬT_LIỆU_CÁCH_NHIỆT</t>
        </is>
      </c>
      <c r="E181" s="250" t="n">
        <v>592600</v>
      </c>
    </row>
    <row r="182">
      <c r="A182" t="n">
        <v>181</v>
      </c>
      <c r="B182" t="inlineStr">
        <is>
          <t>MAT-FIREBOARD-10MM-BLADE</t>
        </is>
      </c>
      <c r="C182" t="inlineStr">
        <is>
          <t>Tấm chống cháy dày 10mm ốp 2 mặt cánh van FD/MFD</t>
        </is>
      </c>
      <c r="D182" t="inlineStr">
        <is>
          <t>VẬT_LIỆU_CÁCH_NHIỆT</t>
        </is>
      </c>
      <c r="E182" s="250" t="n">
        <v>518500</v>
      </c>
    </row>
    <row r="183">
      <c r="A183" t="n">
        <v>182</v>
      </c>
      <c r="B183" t="inlineStr">
        <is>
          <t>MAT-INSULATION-EI-DAMPER</t>
        </is>
      </c>
      <c r="C183" t="inlineStr">
        <is>
          <t>Bọc cách nhiệt chống cháy tấm MGO/Thạch cao 10mm (Tiêu chuẩn EI)</t>
        </is>
      </c>
      <c r="D183" t="inlineStr">
        <is>
          <t>VẬT_LIỆU_CÁCH_NHIỆT</t>
        </is>
      </c>
      <c r="E183" s="250" t="n">
        <v>518500</v>
      </c>
    </row>
    <row r="184">
      <c r="A184" t="n">
        <v>183</v>
      </c>
      <c r="B184" t="inlineStr">
        <is>
          <t>MAT-ACTUATOR-BELIMO-FSLF24</t>
        </is>
      </c>
      <c r="C184" t="inlineStr">
        <is>
          <t>Động cơ chặn lửa ON/OFF 3.5Nm, 230V/24V (BELIMO FSLF24 / FSLF230)</t>
        </is>
      </c>
      <c r="D184" t="inlineStr">
        <is>
          <t>ĐỘNG_CƠ_VÀ_CẢM_BIẾN</t>
        </is>
      </c>
      <c r="E184" s="250" t="n">
        <v>3700000</v>
      </c>
    </row>
    <row r="185">
      <c r="A185" t="n">
        <v>184</v>
      </c>
      <c r="B185" t="inlineStr">
        <is>
          <t>MAT-ACTUATOR-BELIMO-BFN24</t>
        </is>
      </c>
      <c r="C185" t="inlineStr">
        <is>
          <t>Động cơ chặn lửa ON/OFF 9Nm, 230V/24V (BELIMO BFN24 / BFN230)</t>
        </is>
      </c>
      <c r="D185" t="inlineStr">
        <is>
          <t>ĐỘNG_CƠ_VÀ_CẢM_BIẾN</t>
        </is>
      </c>
      <c r="E185" s="250" t="n">
        <v>3700000</v>
      </c>
    </row>
    <row r="186">
      <c r="A186" t="n">
        <v>185</v>
      </c>
      <c r="B186" t="inlineStr">
        <is>
          <t>MAT-ACTUATOR-BELIMO-BF24</t>
        </is>
      </c>
      <c r="C186" t="inlineStr">
        <is>
          <t>Động cơ chặn lửa ON/OFF 18Nm, 24V (BELIMO BF 24 hoặc tương đương)</t>
        </is>
      </c>
      <c r="D186" t="inlineStr">
        <is>
          <t>ĐỘNG_CƠ_VÀ_CẢM_BIẾN</t>
        </is>
      </c>
      <c r="E186" s="250" t="n">
        <v>5500000</v>
      </c>
    </row>
    <row r="187">
      <c r="A187" t="n">
        <v>186</v>
      </c>
      <c r="B187" t="inlineStr">
        <is>
          <t>MAT-ACTUATOR-HONEYWELL</t>
        </is>
      </c>
      <c r="C187" t="inlineStr">
        <is>
          <t>Động cơ chặn lửa ON/OFF (Honeywell)</t>
        </is>
      </c>
      <c r="D187" t="inlineStr">
        <is>
          <t>ĐỘNG_CƠ_VÀ_CẢM_BIẾN</t>
        </is>
      </c>
      <c r="E187" s="250" t="n">
        <v>3600000</v>
      </c>
    </row>
    <row r="188">
      <c r="A188" t="n">
        <v>187</v>
      </c>
      <c r="B188" t="inlineStr">
        <is>
          <t>MAT-ACTUATOR-SWIND-VIWECO</t>
        </is>
      </c>
      <c r="C188" t="inlineStr">
        <is>
          <t>Động cơ chặn lửa ON/OFF Swind (Viweco V6006FS500S)</t>
        </is>
      </c>
      <c r="D188" t="inlineStr">
        <is>
          <t>ĐỘNG_CƠ_VÀ_CẢM_BIẾN</t>
        </is>
      </c>
      <c r="E188" s="250" t="n">
        <v>1600000</v>
      </c>
    </row>
    <row r="189">
      <c r="A189" t="n">
        <v>188</v>
      </c>
      <c r="B189" t="inlineStr">
        <is>
          <t>MAT-ACTUATOR-BELIMO-5NM</t>
        </is>
      </c>
      <c r="C189" t="inlineStr">
        <is>
          <t>Động cơ van gió Belimo ON/OFF 5Nm</t>
        </is>
      </c>
      <c r="D189" t="inlineStr">
        <is>
          <t>ĐỘNG_CƠ_VÀ_CẢM_BIẾN</t>
        </is>
      </c>
      <c r="E189" s="250" t="n">
        <v>2200000</v>
      </c>
    </row>
    <row r="190">
      <c r="A190" t="n">
        <v>189</v>
      </c>
      <c r="B190" t="inlineStr">
        <is>
          <t>MAT-ACTUATOR-BELIMO-10NM</t>
        </is>
      </c>
      <c r="C190" t="inlineStr">
        <is>
          <t>Động cơ van gió Belimo ON/OFF 10Nm</t>
        </is>
      </c>
      <c r="D190" t="inlineStr">
        <is>
          <t>ĐỘNG_CƠ_VÀ_CẢM_BIẾN</t>
        </is>
      </c>
      <c r="E190" s="250" t="n">
        <v>2800000</v>
      </c>
    </row>
    <row r="191">
      <c r="A191" t="n">
        <v>190</v>
      </c>
      <c r="B191" t="inlineStr">
        <is>
          <t>MAT-ACTUATOR-BELIMO-20NM</t>
        </is>
      </c>
      <c r="C191" t="inlineStr">
        <is>
          <t>Động cơ van gió Belimo ON/OFF 20Nm</t>
        </is>
      </c>
      <c r="D191" t="inlineStr">
        <is>
          <t>ĐỘNG_CƠ_VÀ_CẢM_BIẾN</t>
        </is>
      </c>
      <c r="E191" s="250" t="n">
        <v>3150000</v>
      </c>
    </row>
    <row r="192">
      <c r="A192" t="n">
        <v>191</v>
      </c>
      <c r="B192" t="inlineStr">
        <is>
          <t>MAT-DAMPER-HOP-LO-XO</t>
        </is>
      </c>
      <c r="C192" t="inlineStr">
        <is>
          <t>Hộp lò xo van chặn lửa FD/MFD</t>
        </is>
      </c>
      <c r="D192" t="inlineStr">
        <is>
          <t>PHỤ_KIỆN_VAN</t>
        </is>
      </c>
      <c r="E192" s="250" t="n">
        <v>60000</v>
      </c>
    </row>
    <row r="193">
      <c r="A193" t="n">
        <v>192</v>
      </c>
      <c r="B193" t="inlineStr">
        <is>
          <t>MAT-DAMPER-SILICON-BULONG-VIT</t>
        </is>
      </c>
      <c r="C193" t="inlineStr">
        <is>
          <t>Silicon chống cháy + bu lông, ốc vít van FD/MFD</t>
        </is>
      </c>
      <c r="D193" t="inlineStr">
        <is>
          <t>PHỤ_KIỆN_VAN</t>
        </is>
      </c>
      <c r="E193" s="250" t="n">
        <v>40000</v>
      </c>
    </row>
    <row r="194">
      <c r="A194" t="n">
        <v>193</v>
      </c>
      <c r="B194" t="inlineStr">
        <is>
          <t>MAT-DAMPER-TAY-GAT-CAU-CHI-1</t>
        </is>
      </c>
      <c r="C194" t="inlineStr">
        <is>
          <t>Tay gạt cầu chì van FD (Loại 1-2 cánh)</t>
        </is>
      </c>
      <c r="D194" t="inlineStr">
        <is>
          <t>PHỤ_KIỆN_VAN</t>
        </is>
      </c>
      <c r="E194" s="250" t="n">
        <v>150000</v>
      </c>
    </row>
    <row r="195">
      <c r="A195" t="n">
        <v>194</v>
      </c>
      <c r="B195" t="inlineStr">
        <is>
          <t>MAT-DAMPER-TAY-GAT-CAU-CHI-2</t>
        </is>
      </c>
      <c r="C195" t="inlineStr">
        <is>
          <t>Tay gạt cầu chì van FD (Loại 3-5 cánh)</t>
        </is>
      </c>
      <c r="D195" t="inlineStr">
        <is>
          <t>PHỤ_KIỆN_VAN</t>
        </is>
      </c>
      <c r="E195" s="250" t="n">
        <v>225000</v>
      </c>
    </row>
    <row r="196">
      <c r="A196" t="n">
        <v>195</v>
      </c>
      <c r="B196" t="inlineStr">
        <is>
          <t>MAT-DAMPER-LO-XO-DOI</t>
        </is>
      </c>
      <c r="C196" t="inlineStr">
        <is>
          <t>Lò xo van chặn lửa / đôi</t>
        </is>
      </c>
      <c r="D196" t="inlineStr">
        <is>
          <t>PHỤ_KIỆN_VAN</t>
        </is>
      </c>
      <c r="E196" s="250" t="n">
        <v>4000</v>
      </c>
    </row>
    <row r="197">
      <c r="A197" t="n">
        <v>196</v>
      </c>
      <c r="B197" t="inlineStr">
        <is>
          <t>ECCENTRIC_SHAFT</t>
        </is>
      </c>
      <c r="C197" t="inlineStr">
        <is>
          <t>Cơ cấu lệch tâm / Lò xo đóng mở (NRD)</t>
        </is>
      </c>
      <c r="D197" t="inlineStr">
        <is>
          <t>PHỤ_KIỆN_VAN</t>
        </is>
      </c>
      <c r="E197" s="250" t="n">
        <v>45000</v>
      </c>
    </row>
    <row r="198">
      <c r="A198" t="n">
        <v>197</v>
      </c>
      <c r="B198" t="inlineStr">
        <is>
          <t>MAT-MESH-INOX-304</t>
        </is>
      </c>
      <c r="C198" t="inlineStr">
        <is>
          <t>Lưới chắn côn trùng Inox 304 (LCCT)</t>
        </is>
      </c>
      <c r="D198" t="inlineStr">
        <is>
          <t>PHỤ_KIỆN_CỬA</t>
        </is>
      </c>
      <c r="E198" s="250" t="n">
        <v>150000</v>
      </c>
    </row>
    <row r="199">
      <c r="A199" t="n">
        <v>198</v>
      </c>
      <c r="B199" t="inlineStr">
        <is>
          <t>MAT-ALU-EGGCRATE-CORE</t>
        </is>
      </c>
      <c r="C199" t="inlineStr">
        <is>
          <t>Lõi nhôm sọt trứng (Eggcrate Core 12.7x12.7x12.7mm)</t>
        </is>
      </c>
      <c r="D199" t="inlineStr">
        <is>
          <t>NHÔM_ĐỊNH_HÌNH</t>
        </is>
      </c>
      <c r="E199" s="250" t="n">
        <v>750000</v>
      </c>
    </row>
    <row r="200">
      <c r="A200" t="n">
        <v>199</v>
      </c>
      <c r="B200" t="inlineStr">
        <is>
          <t>MAT-FILTER-G4</t>
        </is>
      </c>
      <c r="C200" t="inlineStr">
        <is>
          <t>Lưới lọc bụi sơ cấp G4 kèm khung nhôm</t>
        </is>
      </c>
      <c r="D200" t="inlineStr">
        <is>
          <t>PHỤ_KIỆN_CỬA</t>
        </is>
      </c>
      <c r="E200" s="250" t="n">
        <v>220000</v>
      </c>
    </row>
    <row r="201">
      <c r="A201" t="n">
        <v>200</v>
      </c>
      <c r="B201" t="inlineStr">
        <is>
          <t>MAT-THUONG_MAI-LOP_CHONG_CHAY_EI30</t>
        </is>
      </c>
      <c r="C201" t="inlineStr">
        <is>
          <t>Bọc chống cháy ống gió chuẩn EI30</t>
        </is>
      </c>
      <c r="D201" t="inlineStr">
        <is>
          <t>VẬT_LIỆU_CÁCH_NHIỆT</t>
        </is>
      </c>
      <c r="E201" s="250" t="n">
        <v>450000</v>
      </c>
    </row>
    <row r="202">
      <c r="A202" t="n">
        <v>201</v>
      </c>
      <c r="B202" t="inlineStr">
        <is>
          <t>MAT-THUONG_MAI-LOP_CHONG_CHAY_EI60</t>
        </is>
      </c>
      <c r="C202" t="inlineStr">
        <is>
          <t>Bọc chống cháy ống gió chuẩn EI60</t>
        </is>
      </c>
      <c r="D202" t="inlineStr">
        <is>
          <t>VẬT_LIỆU_CÁCH_NHIỆT</t>
        </is>
      </c>
      <c r="E202" s="250" t="n">
        <v>550000</v>
      </c>
    </row>
    <row r="203">
      <c r="A203" t="n">
        <v>202</v>
      </c>
      <c r="B203" t="inlineStr">
        <is>
          <t>MAT-THUONG_MAI-LOP_CHONG_CHAY_EI120</t>
        </is>
      </c>
      <c r="C203" t="inlineStr">
        <is>
          <t>Bọc chống cháy ống gió chuẩn EI120</t>
        </is>
      </c>
      <c r="D203" t="inlineStr">
        <is>
          <t>VẬT_LIỆU_CÁCH_NHIỆT</t>
        </is>
      </c>
      <c r="E203" s="250" t="n">
        <v>700000</v>
      </c>
    </row>
    <row r="204">
      <c r="A204" t="n">
        <v>203</v>
      </c>
      <c r="B204" t="inlineStr">
        <is>
          <t>MAT-THUONG_MAI-LUOI_BAO_VE</t>
        </is>
      </c>
      <c r="C204" t="inlineStr">
        <is>
          <t>Lưới bảo vệ đầu ống Inox 304</t>
        </is>
      </c>
      <c r="D204" t="inlineStr">
        <is>
          <t>PHỤ_KIỆN_CỬA</t>
        </is>
      </c>
      <c r="E204" s="250" t="n">
        <v>150000</v>
      </c>
    </row>
    <row r="205">
      <c r="A205" t="n">
        <v>204</v>
      </c>
      <c r="B205" t="inlineStr">
        <is>
          <t>MAT-KHAC-LUOI_BAO_VE</t>
        </is>
      </c>
      <c r="C205" t="inlineStr">
        <is>
          <t>Lưới bảo vệ</t>
        </is>
      </c>
      <c r="D205" t="inlineStr">
        <is>
          <t>THƯƠNG_MẠI_TỰ_ĐỘNG</t>
        </is>
      </c>
      <c r="E205" s="250" t="n">
        <v>165000</v>
      </c>
    </row>
    <row r="206">
      <c r="A206" t="n">
        <v>205</v>
      </c>
      <c r="B206" t="inlineStr">
        <is>
          <t>MAT-KHAC-CHI_PHI_KIEM_DINH</t>
        </is>
      </c>
      <c r="C206" t="inlineStr">
        <is>
          <t>Van gió, miệng gió Chi phí kiểm định</t>
        </is>
      </c>
      <c r="D206" t="inlineStr">
        <is>
          <t>KHAC</t>
        </is>
      </c>
      <c r="E206" s="250" t="n">
        <v>0</v>
      </c>
    </row>
    <row r="207">
      <c r="A207" t="n">
        <v>206</v>
      </c>
      <c r="B207" t="inlineStr">
        <is>
          <t>MAT-KHAC-VAN_CHUYEN</t>
        </is>
      </c>
      <c r="C207" t="inlineStr">
        <is>
          <t>Van gió, miệng gió Vận chuyển</t>
        </is>
      </c>
      <c r="D207" t="inlineStr">
        <is>
          <t>KHAC</t>
        </is>
      </c>
      <c r="E207" s="250" t="n">
        <v>0</v>
      </c>
    </row>
  </sheetData>
  <dataValidations count="1">
    <dataValidation sqref="D2:D5000" showDropDown="0" showInputMessage="0" showErrorMessage="0" allowBlank="1" type="list">
      <formula1>"ONG_GIO,CUA_GIO,VAN_GIO,THUONG_MAI,ONG_MEM,CANVAS,TIEU_AM,KHAC"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2026-02-26T07:25:28Z</dcterms:created>
  <dcterms:modified xmlns:dcterms="http://purl.org/dc/terms/" xmlns:xsi="http://www.w3.org/2001/XMLSchema-instance" xsi:type="dcterms:W3CDTF">2026-10-18T02:56:05Z</dcterms:modified>
  <cp:lastModifiedBy>Administrator</cp:lastModifiedBy>
</cp:coreProperties>
</file>